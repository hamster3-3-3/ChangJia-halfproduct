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1月半成品及日報繳交處\"/>
    </mc:Choice>
  </mc:AlternateContent>
  <xr:revisionPtr revIDLastSave="0" documentId="13_ncr:1_{AB231E70-7C1B-41E1-B4C9-4A453A7B7E0B}" xr6:coauthVersionLast="47" xr6:coauthVersionMax="47" xr10:uidLastSave="{00000000-0000-0000-0000-000000000000}"/>
  <bookViews>
    <workbookView xWindow="-120" yWindow="-120" windowWidth="29040" windowHeight="15720" tabRatio="781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51" l="1"/>
  <c r="M12" i="51"/>
  <c r="M11" i="51"/>
  <c r="C15" i="57"/>
  <c r="C17" i="57" l="1"/>
  <c r="AV83" i="48" l="1"/>
  <c r="AV84" i="48"/>
  <c r="AV85" i="48"/>
  <c r="AQ83" i="48"/>
  <c r="AQ84" i="48"/>
  <c r="AQ85" i="48"/>
  <c r="AL83" i="48"/>
  <c r="AL84" i="48"/>
  <c r="AL85" i="48"/>
  <c r="AG83" i="48"/>
  <c r="AG84" i="48"/>
  <c r="AG85" i="48"/>
  <c r="AB83" i="48"/>
  <c r="AB84" i="48"/>
  <c r="AB85" i="48"/>
  <c r="X55" i="1"/>
  <c r="X54" i="1"/>
  <c r="X53" i="1"/>
  <c r="X52" i="1"/>
  <c r="X47" i="1"/>
  <c r="X46" i="1"/>
  <c r="X45" i="1"/>
  <c r="X44" i="1"/>
  <c r="X43" i="1"/>
  <c r="X42" i="1"/>
  <c r="V42" i="1" s="1"/>
  <c r="X41" i="1"/>
  <c r="X40" i="1"/>
  <c r="X39" i="1"/>
  <c r="X38" i="1"/>
  <c r="X37" i="1"/>
  <c r="X33" i="1"/>
  <c r="X32" i="1"/>
  <c r="X31" i="1"/>
  <c r="X30" i="1"/>
  <c r="X29" i="1"/>
  <c r="X28" i="1"/>
  <c r="V28" i="1" s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Q12" i="1"/>
  <c r="O12" i="1"/>
  <c r="U11" i="1"/>
  <c r="W11" i="1" s="1"/>
  <c r="Q11" i="1"/>
  <c r="O11" i="1"/>
  <c r="C11" i="1"/>
  <c r="B11" i="1"/>
  <c r="U10" i="1"/>
  <c r="W10" i="1" s="1"/>
  <c r="O10" i="1"/>
  <c r="Q10" i="1" s="1"/>
  <c r="E10" i="1"/>
  <c r="D10" i="1"/>
  <c r="W9" i="1"/>
  <c r="U9" i="1"/>
  <c r="O9" i="1"/>
  <c r="Q9" i="1" s="1"/>
  <c r="C9" i="1"/>
  <c r="B9" i="1"/>
  <c r="W8" i="1"/>
  <c r="U8" i="1"/>
  <c r="O8" i="1"/>
  <c r="Q8" i="1" s="1"/>
  <c r="E8" i="1"/>
  <c r="D8" i="1"/>
  <c r="U7" i="1"/>
  <c r="W7" i="1" s="1"/>
  <c r="Q7" i="1"/>
  <c r="O7" i="1"/>
  <c r="O14" i="1" s="1"/>
  <c r="E7" i="1"/>
  <c r="D7" i="1"/>
  <c r="U6" i="1"/>
  <c r="U14" i="1" s="1"/>
  <c r="Q6" i="1"/>
  <c r="O6" i="1"/>
  <c r="E6" i="1"/>
  <c r="D6" i="1"/>
  <c r="K36" i="56"/>
  <c r="I36" i="56"/>
  <c r="G36" i="56"/>
  <c r="E36" i="56"/>
  <c r="C36" i="56"/>
  <c r="B36" i="56"/>
  <c r="F36" i="56" s="1"/>
  <c r="L35" i="56"/>
  <c r="K35" i="56"/>
  <c r="I35" i="56"/>
  <c r="G35" i="56"/>
  <c r="H35" i="56" s="1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O28" i="56"/>
  <c r="N28" i="56"/>
  <c r="M28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O21" i="56"/>
  <c r="N21" i="56"/>
  <c r="M21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O14" i="56"/>
  <c r="N14" i="56"/>
  <c r="M14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O7" i="56"/>
  <c r="N7" i="56"/>
  <c r="M7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AD8" i="55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0" i="51"/>
  <c r="M9" i="51"/>
  <c r="M29" i="50"/>
  <c r="M28" i="50"/>
  <c r="M27" i="50"/>
  <c r="M26" i="50"/>
  <c r="M30" i="50" s="1"/>
  <c r="K30" i="50" s="1"/>
  <c r="M25" i="50"/>
  <c r="M22" i="50"/>
  <c r="K22" i="50" s="1"/>
  <c r="M13" i="50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 s="1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L10" i="40"/>
  <c r="J10" i="40"/>
  <c r="C10" i="40"/>
  <c r="C9" i="40"/>
  <c r="AB113" i="49"/>
  <c r="AC113" i="49" s="1"/>
  <c r="X113" i="49"/>
  <c r="W113" i="49"/>
  <c r="S113" i="49"/>
  <c r="R113" i="49"/>
  <c r="AC112" i="49"/>
  <c r="AB112" i="49"/>
  <c r="W112" i="49"/>
  <c r="X112" i="49" s="1"/>
  <c r="R112" i="49"/>
  <c r="S112" i="49" s="1"/>
  <c r="AC111" i="49"/>
  <c r="AB111" i="49"/>
  <c r="X111" i="49"/>
  <c r="W111" i="49"/>
  <c r="R111" i="49"/>
  <c r="S111" i="49" s="1"/>
  <c r="AC110" i="49"/>
  <c r="AB110" i="49"/>
  <c r="W110" i="49"/>
  <c r="X110" i="49" s="1"/>
  <c r="S110" i="49"/>
  <c r="R110" i="49"/>
  <c r="AW109" i="49"/>
  <c r="AV109" i="49"/>
  <c r="AR109" i="49"/>
  <c r="AQ109" i="49"/>
  <c r="AL109" i="49"/>
  <c r="AM109" i="49" s="1"/>
  <c r="AH109" i="49"/>
  <c r="AG109" i="49"/>
  <c r="AB109" i="49"/>
  <c r="AC109" i="49" s="1"/>
  <c r="W109" i="49"/>
  <c r="X109" i="49" s="1"/>
  <c r="S109" i="49"/>
  <c r="R109" i="49"/>
  <c r="M109" i="49"/>
  <c r="K109" i="49"/>
  <c r="J109" i="49"/>
  <c r="I109" i="49"/>
  <c r="G109" i="49"/>
  <c r="F109" i="49"/>
  <c r="E109" i="49"/>
  <c r="AV108" i="49"/>
  <c r="AW108" i="49" s="1"/>
  <c r="AR108" i="49"/>
  <c r="AQ108" i="49"/>
  <c r="AL108" i="49"/>
  <c r="AM108" i="49" s="1"/>
  <c r="AH108" i="49"/>
  <c r="AG108" i="49"/>
  <c r="AC108" i="49"/>
  <c r="AB108" i="49"/>
  <c r="X108" i="49"/>
  <c r="W108" i="49"/>
  <c r="R108" i="49"/>
  <c r="S108" i="49" s="1"/>
  <c r="M108" i="49"/>
  <c r="K108" i="49"/>
  <c r="J108" i="49"/>
  <c r="I108" i="49"/>
  <c r="F108" i="49"/>
  <c r="E108" i="49"/>
  <c r="G108" i="49" s="1"/>
  <c r="AX107" i="49"/>
  <c r="AW107" i="49"/>
  <c r="AV107" i="49"/>
  <c r="AQ107" i="49"/>
  <c r="AS107" i="49" s="1"/>
  <c r="AL107" i="49"/>
  <c r="AI107" i="49"/>
  <c r="AG107" i="49"/>
  <c r="AC107" i="49"/>
  <c r="AB107" i="49"/>
  <c r="AD107" i="49" s="1"/>
  <c r="Y107" i="49"/>
  <c r="X107" i="49"/>
  <c r="W107" i="49"/>
  <c r="R107" i="49"/>
  <c r="J107" i="49"/>
  <c r="I107" i="49"/>
  <c r="H107" i="49"/>
  <c r="G107" i="49"/>
  <c r="F107" i="49"/>
  <c r="E107" i="49"/>
  <c r="AW89" i="49"/>
  <c r="AV89" i="49"/>
  <c r="AQ89" i="49"/>
  <c r="AR89" i="49" s="1"/>
  <c r="AL89" i="49"/>
  <c r="AM89" i="49" s="1"/>
  <c r="AG89" i="49"/>
  <c r="AH89" i="49" s="1"/>
  <c r="AB89" i="49"/>
  <c r="AC89" i="49" s="1"/>
  <c r="W89" i="49"/>
  <c r="X89" i="49" s="1"/>
  <c r="S89" i="49"/>
  <c r="R89" i="49"/>
  <c r="M89" i="49"/>
  <c r="K89" i="49"/>
  <c r="J89" i="49"/>
  <c r="I89" i="49"/>
  <c r="F89" i="49"/>
  <c r="G89" i="49" s="1"/>
  <c r="E89" i="49"/>
  <c r="AV88" i="49"/>
  <c r="AW88" i="49" s="1"/>
  <c r="AR88" i="49"/>
  <c r="AQ88" i="49"/>
  <c r="AL88" i="49"/>
  <c r="AM88" i="49" s="1"/>
  <c r="AH88" i="49"/>
  <c r="AG88" i="49"/>
  <c r="AB88" i="49"/>
  <c r="AC88" i="49" s="1"/>
  <c r="W88" i="49"/>
  <c r="X88" i="49" s="1"/>
  <c r="R88" i="49"/>
  <c r="K88" i="49" s="1"/>
  <c r="M88" i="49" s="1"/>
  <c r="J88" i="49"/>
  <c r="I88" i="49"/>
  <c r="G88" i="49"/>
  <c r="F88" i="49"/>
  <c r="E88" i="49"/>
  <c r="AW87" i="49"/>
  <c r="AV87" i="49"/>
  <c r="AX87" i="49" s="1"/>
  <c r="AR87" i="49"/>
  <c r="AQ87" i="49"/>
  <c r="AS87" i="49" s="1"/>
  <c r="AL87" i="49"/>
  <c r="AI87" i="49"/>
  <c r="AG87" i="49"/>
  <c r="AH87" i="49" s="1"/>
  <c r="AD87" i="49"/>
  <c r="AC87" i="49"/>
  <c r="AB87" i="49"/>
  <c r="X87" i="49"/>
  <c r="W87" i="49"/>
  <c r="Y87" i="49" s="1"/>
  <c r="R87" i="49"/>
  <c r="K87" i="49"/>
  <c r="J87" i="49"/>
  <c r="I87" i="49"/>
  <c r="G87" i="49"/>
  <c r="F87" i="49"/>
  <c r="E87" i="49"/>
  <c r="AV69" i="49"/>
  <c r="AW69" i="49" s="1"/>
  <c r="AR69" i="49"/>
  <c r="AQ69" i="49"/>
  <c r="AL69" i="49"/>
  <c r="AM69" i="49" s="1"/>
  <c r="AG69" i="49"/>
  <c r="AH69" i="49" s="1"/>
  <c r="AB69" i="49"/>
  <c r="X69" i="49"/>
  <c r="W69" i="49"/>
  <c r="R69" i="49"/>
  <c r="J69" i="49"/>
  <c r="I69" i="49"/>
  <c r="F69" i="49"/>
  <c r="G69" i="49" s="1"/>
  <c r="E69" i="49"/>
  <c r="AV68" i="49"/>
  <c r="AQ68" i="49"/>
  <c r="AR68" i="49" s="1"/>
  <c r="AL68" i="49"/>
  <c r="AM68" i="49" s="1"/>
  <c r="AG68" i="49"/>
  <c r="AI67" i="49" s="1"/>
  <c r="AB68" i="49"/>
  <c r="W68" i="49"/>
  <c r="X68" i="49" s="1"/>
  <c r="S68" i="49"/>
  <c r="R68" i="49"/>
  <c r="J68" i="49"/>
  <c r="I68" i="49"/>
  <c r="F68" i="49"/>
  <c r="E68" i="49"/>
  <c r="G68" i="49" s="1"/>
  <c r="AV67" i="49"/>
  <c r="AQ67" i="49"/>
  <c r="AL67" i="49"/>
  <c r="AG67" i="49"/>
  <c r="AH67" i="49" s="1"/>
  <c r="AB67" i="49"/>
  <c r="Y67" i="49"/>
  <c r="X67" i="49"/>
  <c r="W67" i="49"/>
  <c r="R67" i="49"/>
  <c r="J67" i="49"/>
  <c r="I67" i="49"/>
  <c r="F67" i="49"/>
  <c r="G67" i="49" s="1"/>
  <c r="H67" i="49" s="1"/>
  <c r="E67" i="49"/>
  <c r="AV49" i="49"/>
  <c r="AR49" i="49"/>
  <c r="AQ49" i="49"/>
  <c r="AL49" i="49"/>
  <c r="AH49" i="49"/>
  <c r="AG49" i="49"/>
  <c r="AB49" i="49"/>
  <c r="W49" i="49"/>
  <c r="R49" i="49"/>
  <c r="J49" i="49"/>
  <c r="I49" i="49"/>
  <c r="F49" i="49"/>
  <c r="G49" i="49" s="1"/>
  <c r="E49" i="49"/>
  <c r="AV48" i="49"/>
  <c r="AQ48" i="49"/>
  <c r="AL48" i="49"/>
  <c r="AH48" i="49"/>
  <c r="AG48" i="49"/>
  <c r="AB48" i="49"/>
  <c r="AC48" i="49" s="1"/>
  <c r="W48" i="49"/>
  <c r="R48" i="49"/>
  <c r="J48" i="49"/>
  <c r="I48" i="49"/>
  <c r="F48" i="49"/>
  <c r="E48" i="49"/>
  <c r="G48" i="49" s="1"/>
  <c r="AW47" i="49"/>
  <c r="AV47" i="49"/>
  <c r="AW49" i="49" s="1"/>
  <c r="AR47" i="49"/>
  <c r="AQ47" i="49"/>
  <c r="AL47" i="49"/>
  <c r="AI47" i="49"/>
  <c r="AG47" i="49"/>
  <c r="AB47" i="49"/>
  <c r="W47" i="49"/>
  <c r="R47" i="49"/>
  <c r="K47" i="49"/>
  <c r="J47" i="49"/>
  <c r="I47" i="49"/>
  <c r="F47" i="49"/>
  <c r="E47" i="49"/>
  <c r="AV29" i="49"/>
  <c r="AQ29" i="49"/>
  <c r="AL29" i="49"/>
  <c r="AM29" i="49" s="1"/>
  <c r="AH29" i="49"/>
  <c r="AG29" i="49"/>
  <c r="AH28" i="49" s="1"/>
  <c r="AB29" i="49"/>
  <c r="AC29" i="49" s="1"/>
  <c r="W29" i="49"/>
  <c r="R29" i="49"/>
  <c r="K29" i="49"/>
  <c r="J29" i="49"/>
  <c r="I29" i="49"/>
  <c r="F29" i="49"/>
  <c r="E29" i="49"/>
  <c r="G29" i="49" s="1"/>
  <c r="AV28" i="49"/>
  <c r="AQ28" i="49"/>
  <c r="AL28" i="49"/>
  <c r="AG28" i="49"/>
  <c r="AB28" i="49"/>
  <c r="AC27" i="49" s="1"/>
  <c r="X28" i="49"/>
  <c r="W28" i="49"/>
  <c r="R28" i="49"/>
  <c r="J28" i="49"/>
  <c r="I28" i="49"/>
  <c r="F28" i="49"/>
  <c r="E28" i="49"/>
  <c r="G28" i="49" s="1"/>
  <c r="AV27" i="49"/>
  <c r="AS27" i="49"/>
  <c r="AQ27" i="49"/>
  <c r="AR28" i="49" s="1"/>
  <c r="AL27" i="49"/>
  <c r="AG27" i="49"/>
  <c r="AD27" i="49"/>
  <c r="AB27" i="49"/>
  <c r="Y27" i="49"/>
  <c r="X27" i="49"/>
  <c r="W27" i="49"/>
  <c r="R27" i="49"/>
  <c r="K27" i="49"/>
  <c r="J27" i="49"/>
  <c r="I27" i="49"/>
  <c r="F27" i="49"/>
  <c r="G27" i="49" s="1"/>
  <c r="H27" i="49" s="1"/>
  <c r="E27" i="49"/>
  <c r="S13" i="49"/>
  <c r="R13" i="49"/>
  <c r="R12" i="49"/>
  <c r="S12" i="49" s="1"/>
  <c r="R11" i="49"/>
  <c r="S11" i="49" s="1"/>
  <c r="R10" i="49"/>
  <c r="S10" i="49" s="1"/>
  <c r="AV9" i="49"/>
  <c r="AW9" i="49" s="1"/>
  <c r="AQ9" i="49"/>
  <c r="K9" i="49" s="1"/>
  <c r="AL9" i="49"/>
  <c r="AH9" i="49"/>
  <c r="AG9" i="49"/>
  <c r="AB9" i="49"/>
  <c r="AC9" i="49" s="1"/>
  <c r="W9" i="49"/>
  <c r="X9" i="49" s="1"/>
  <c r="S9" i="49"/>
  <c r="R9" i="49"/>
  <c r="J9" i="49"/>
  <c r="I9" i="49"/>
  <c r="G9" i="49"/>
  <c r="F9" i="49"/>
  <c r="E9" i="49"/>
  <c r="AW8" i="49"/>
  <c r="AV8" i="49"/>
  <c r="AQ8" i="49"/>
  <c r="AM8" i="49"/>
  <c r="AL8" i="49"/>
  <c r="AH8" i="49"/>
  <c r="AG8" i="49"/>
  <c r="AB8" i="49"/>
  <c r="AC8" i="49" s="1"/>
  <c r="X8" i="49"/>
  <c r="W8" i="49"/>
  <c r="S8" i="49"/>
  <c r="R8" i="49"/>
  <c r="J8" i="49"/>
  <c r="I8" i="49"/>
  <c r="G8" i="49"/>
  <c r="F8" i="49"/>
  <c r="E8" i="49"/>
  <c r="AX7" i="49"/>
  <c r="AW7" i="49"/>
  <c r="AV7" i="49"/>
  <c r="AQ7" i="49"/>
  <c r="K7" i="49" s="1"/>
  <c r="AL7" i="49"/>
  <c r="AM9" i="49" s="1"/>
  <c r="AI7" i="49"/>
  <c r="AH7" i="49"/>
  <c r="AG7" i="49"/>
  <c r="AD7" i="49"/>
  <c r="AC7" i="49"/>
  <c r="AB7" i="49"/>
  <c r="Y7" i="49"/>
  <c r="X7" i="49"/>
  <c r="W7" i="49"/>
  <c r="R7" i="49"/>
  <c r="T7" i="49" s="1"/>
  <c r="J7" i="49"/>
  <c r="I7" i="49"/>
  <c r="F7" i="49"/>
  <c r="G7" i="49" s="1"/>
  <c r="H7" i="49" s="1"/>
  <c r="E7" i="49"/>
  <c r="K96" i="36"/>
  <c r="M96" i="36" s="1"/>
  <c r="J96" i="36"/>
  <c r="I96" i="36"/>
  <c r="K95" i="36"/>
  <c r="M95" i="36" s="1"/>
  <c r="J95" i="36"/>
  <c r="I95" i="36"/>
  <c r="M94" i="36"/>
  <c r="K94" i="36"/>
  <c r="J94" i="36"/>
  <c r="I94" i="36"/>
  <c r="K93" i="36"/>
  <c r="M93" i="36" s="1"/>
  <c r="J93" i="36"/>
  <c r="I93" i="36"/>
  <c r="K92" i="36"/>
  <c r="M92" i="36" s="1"/>
  <c r="J92" i="36"/>
  <c r="I92" i="36"/>
  <c r="M91" i="36"/>
  <c r="K91" i="36"/>
  <c r="J91" i="36"/>
  <c r="I91" i="36"/>
  <c r="K90" i="36"/>
  <c r="M90" i="36" s="1"/>
  <c r="J90" i="36"/>
  <c r="I90" i="36"/>
  <c r="M89" i="36"/>
  <c r="K89" i="36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J87" i="36"/>
  <c r="I87" i="36"/>
  <c r="H87" i="36"/>
  <c r="M81" i="36"/>
  <c r="M80" i="36"/>
  <c r="K80" i="36"/>
  <c r="J80" i="36"/>
  <c r="I80" i="36"/>
  <c r="K79" i="36"/>
  <c r="M79" i="36" s="1"/>
  <c r="J79" i="36"/>
  <c r="I79" i="36"/>
  <c r="M78" i="36"/>
  <c r="K78" i="36"/>
  <c r="J78" i="36"/>
  <c r="I78" i="36"/>
  <c r="M77" i="36"/>
  <c r="K77" i="36"/>
  <c r="J77" i="36"/>
  <c r="I77" i="36"/>
  <c r="K76" i="36"/>
  <c r="M76" i="36" s="1"/>
  <c r="J76" i="36"/>
  <c r="I76" i="36"/>
  <c r="M75" i="36"/>
  <c r="K75" i="36"/>
  <c r="J75" i="36"/>
  <c r="I75" i="36"/>
  <c r="M74" i="36"/>
  <c r="K74" i="36"/>
  <c r="J74" i="36"/>
  <c r="I74" i="36"/>
  <c r="K73" i="36"/>
  <c r="M73" i="36" s="1"/>
  <c r="J73" i="36"/>
  <c r="I73" i="36"/>
  <c r="M72" i="36"/>
  <c r="K72" i="36"/>
  <c r="J72" i="36"/>
  <c r="I72" i="36"/>
  <c r="M71" i="36"/>
  <c r="K71" i="36"/>
  <c r="J71" i="36"/>
  <c r="I71" i="36"/>
  <c r="K70" i="36"/>
  <c r="M70" i="36" s="1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60" i="36"/>
  <c r="M59" i="36"/>
  <c r="M58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M49" i="36"/>
  <c r="K49" i="36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M57" i="36" s="1"/>
  <c r="J47" i="36"/>
  <c r="I47" i="36"/>
  <c r="H47" i="36"/>
  <c r="M36" i="36"/>
  <c r="K36" i="36"/>
  <c r="J36" i="36"/>
  <c r="I36" i="36"/>
  <c r="M35" i="36"/>
  <c r="K35" i="36"/>
  <c r="J35" i="36"/>
  <c r="I35" i="36"/>
  <c r="K34" i="36"/>
  <c r="M34" i="36" s="1"/>
  <c r="J34" i="36"/>
  <c r="I34" i="36"/>
  <c r="K33" i="36"/>
  <c r="M33" i="36" s="1"/>
  <c r="J33" i="36"/>
  <c r="I33" i="36"/>
  <c r="M32" i="36"/>
  <c r="K32" i="36"/>
  <c r="J32" i="36"/>
  <c r="I32" i="36"/>
  <c r="K31" i="36"/>
  <c r="M31" i="36" s="1"/>
  <c r="J31" i="36"/>
  <c r="I31" i="36"/>
  <c r="M30" i="36"/>
  <c r="K30" i="36"/>
  <c r="J30" i="36"/>
  <c r="I30" i="36"/>
  <c r="M29" i="36"/>
  <c r="K29" i="36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B136" i="48"/>
  <c r="AC136" i="48" s="1"/>
  <c r="W136" i="48"/>
  <c r="X136" i="48" s="1"/>
  <c r="AB135" i="48"/>
  <c r="AC135" i="48" s="1"/>
  <c r="X135" i="48"/>
  <c r="W135" i="48"/>
  <c r="R135" i="48"/>
  <c r="J135" i="48"/>
  <c r="I135" i="48"/>
  <c r="AB134" i="48"/>
  <c r="AC134" i="48" s="1"/>
  <c r="W134" i="48"/>
  <c r="X134" i="48" s="1"/>
  <c r="S134" i="48"/>
  <c r="R134" i="48"/>
  <c r="K134" i="48"/>
  <c r="M134" i="48" s="1"/>
  <c r="J134" i="48"/>
  <c r="I134" i="48"/>
  <c r="AV133" i="48"/>
  <c r="AW133" i="48" s="1"/>
  <c r="AB133" i="48"/>
  <c r="AC133" i="48" s="1"/>
  <c r="X133" i="48"/>
  <c r="W133" i="48"/>
  <c r="S133" i="48"/>
  <c r="R133" i="48"/>
  <c r="K133" i="48" s="1"/>
  <c r="M133" i="48"/>
  <c r="J133" i="48"/>
  <c r="I133" i="48"/>
  <c r="AV132" i="48"/>
  <c r="AW132" i="48" s="1"/>
  <c r="AQ132" i="48"/>
  <c r="AR132" i="48" s="1"/>
  <c r="AL132" i="48"/>
  <c r="AM132" i="48" s="1"/>
  <c r="AH132" i="48"/>
  <c r="AG132" i="48"/>
  <c r="AC132" i="48"/>
  <c r="AB132" i="48"/>
  <c r="X132" i="48"/>
  <c r="W132" i="48"/>
  <c r="F132" i="48"/>
  <c r="E132" i="48"/>
  <c r="AV131" i="48"/>
  <c r="AW131" i="48" s="1"/>
  <c r="AQ131" i="48"/>
  <c r="AR131" i="48" s="1"/>
  <c r="AM131" i="48"/>
  <c r="AL131" i="48"/>
  <c r="AG131" i="48"/>
  <c r="AH131" i="48" s="1"/>
  <c r="AC131" i="48"/>
  <c r="AB131" i="48"/>
  <c r="W131" i="48"/>
  <c r="X131" i="48" s="1"/>
  <c r="S131" i="48"/>
  <c r="R131" i="48"/>
  <c r="M131" i="48"/>
  <c r="K131" i="48"/>
  <c r="J131" i="48"/>
  <c r="I131" i="48"/>
  <c r="F131" i="48"/>
  <c r="G131" i="48" s="1"/>
  <c r="E131" i="48"/>
  <c r="AW130" i="48"/>
  <c r="AV130" i="48"/>
  <c r="AQ130" i="48"/>
  <c r="AR130" i="48" s="1"/>
  <c r="AM130" i="48"/>
  <c r="AL130" i="48"/>
  <c r="AG130" i="48"/>
  <c r="AH130" i="48" s="1"/>
  <c r="AC130" i="48"/>
  <c r="AB130" i="48"/>
  <c r="W130" i="48"/>
  <c r="X130" i="48" s="1"/>
  <c r="S130" i="48"/>
  <c r="R130" i="48"/>
  <c r="K130" i="48"/>
  <c r="M130" i="48" s="1"/>
  <c r="J130" i="48"/>
  <c r="I130" i="48"/>
  <c r="G130" i="48"/>
  <c r="F130" i="48"/>
  <c r="E130" i="48"/>
  <c r="AV129" i="48"/>
  <c r="AW129" i="48" s="1"/>
  <c r="AQ129" i="48"/>
  <c r="AR129" i="48" s="1"/>
  <c r="AM129" i="48"/>
  <c r="AL129" i="48"/>
  <c r="AG129" i="48"/>
  <c r="AH129" i="48" s="1"/>
  <c r="AB129" i="48"/>
  <c r="AC129" i="48" s="1"/>
  <c r="W129" i="48"/>
  <c r="X129" i="48" s="1"/>
  <c r="R129" i="48"/>
  <c r="S129" i="48" s="1"/>
  <c r="K129" i="48"/>
  <c r="M129" i="48" s="1"/>
  <c r="J129" i="48"/>
  <c r="I129" i="48"/>
  <c r="F129" i="48"/>
  <c r="E129" i="48"/>
  <c r="AW128" i="48"/>
  <c r="AV128" i="48"/>
  <c r="AR128" i="48"/>
  <c r="AQ128" i="48"/>
  <c r="AL128" i="48"/>
  <c r="AM128" i="48" s="1"/>
  <c r="AG128" i="48"/>
  <c r="AH128" i="48" s="1"/>
  <c r="AC128" i="48"/>
  <c r="AB128" i="48"/>
  <c r="W128" i="48"/>
  <c r="X128" i="48" s="1"/>
  <c r="G128" i="48"/>
  <c r="F128" i="48"/>
  <c r="E128" i="48"/>
  <c r="AV127" i="48"/>
  <c r="AW127" i="48" s="1"/>
  <c r="AQ127" i="48"/>
  <c r="AR127" i="48" s="1"/>
  <c r="AL127" i="48"/>
  <c r="AM127" i="48" s="1"/>
  <c r="AH127" i="48"/>
  <c r="AG127" i="48"/>
  <c r="AB127" i="48"/>
  <c r="AC127" i="48" s="1"/>
  <c r="X127" i="48"/>
  <c r="W127" i="48"/>
  <c r="R127" i="48"/>
  <c r="S127" i="48" s="1"/>
  <c r="K127" i="48"/>
  <c r="M127" i="48" s="1"/>
  <c r="J127" i="48"/>
  <c r="I127" i="48"/>
  <c r="G127" i="48"/>
  <c r="F127" i="48"/>
  <c r="E127" i="48"/>
  <c r="AV126" i="48"/>
  <c r="AW126" i="48" s="1"/>
  <c r="AR126" i="48"/>
  <c r="AQ126" i="48"/>
  <c r="AM126" i="48"/>
  <c r="AL126" i="48"/>
  <c r="AG126" i="48"/>
  <c r="AH126" i="48" s="1"/>
  <c r="AB126" i="48"/>
  <c r="AC126" i="48" s="1"/>
  <c r="X126" i="48"/>
  <c r="W126" i="48"/>
  <c r="R126" i="48"/>
  <c r="J126" i="48"/>
  <c r="I126" i="48"/>
  <c r="G126" i="48"/>
  <c r="F126" i="48"/>
  <c r="E126" i="48"/>
  <c r="AW125" i="48"/>
  <c r="AV125" i="48"/>
  <c r="AR125" i="48"/>
  <c r="AQ125" i="48"/>
  <c r="AL125" i="48"/>
  <c r="AM125" i="48" s="1"/>
  <c r="AG125" i="48"/>
  <c r="AH125" i="48" s="1"/>
  <c r="AB125" i="48"/>
  <c r="AC125" i="48" s="1"/>
  <c r="W125" i="48"/>
  <c r="X125" i="48" s="1"/>
  <c r="F125" i="48"/>
  <c r="E125" i="48"/>
  <c r="G125" i="48" s="1"/>
  <c r="AW124" i="48"/>
  <c r="AV124" i="48"/>
  <c r="AR124" i="48"/>
  <c r="AQ124" i="48"/>
  <c r="AL124" i="48"/>
  <c r="AM124" i="48" s="1"/>
  <c r="AH124" i="48"/>
  <c r="AG124" i="48"/>
  <c r="AC124" i="48"/>
  <c r="AB124" i="48"/>
  <c r="W124" i="48"/>
  <c r="X124" i="48" s="1"/>
  <c r="S124" i="48"/>
  <c r="R124" i="48"/>
  <c r="K124" i="48" s="1"/>
  <c r="M124" i="48"/>
  <c r="J124" i="48"/>
  <c r="I124" i="48"/>
  <c r="F124" i="48"/>
  <c r="E124" i="48"/>
  <c r="AW123" i="48"/>
  <c r="AV123" i="48"/>
  <c r="AQ123" i="48"/>
  <c r="AR123" i="48" s="1"/>
  <c r="AM123" i="48"/>
  <c r="AL123" i="48"/>
  <c r="AG123" i="48"/>
  <c r="AH123" i="48" s="1"/>
  <c r="AB123" i="48"/>
  <c r="AC123" i="48" s="1"/>
  <c r="W123" i="48"/>
  <c r="X123" i="48" s="1"/>
  <c r="R123" i="48"/>
  <c r="K123" i="48" s="1"/>
  <c r="M123" i="48" s="1"/>
  <c r="J123" i="48"/>
  <c r="I123" i="48"/>
  <c r="F123" i="48"/>
  <c r="E123" i="48"/>
  <c r="AV122" i="48"/>
  <c r="AW122" i="48" s="1"/>
  <c r="AQ122" i="48"/>
  <c r="AR122" i="48" s="1"/>
  <c r="AL122" i="48"/>
  <c r="AM122" i="48" s="1"/>
  <c r="AH122" i="48"/>
  <c r="AG122" i="48"/>
  <c r="AC122" i="48"/>
  <c r="AB122" i="48"/>
  <c r="W122" i="48"/>
  <c r="X122" i="48" s="1"/>
  <c r="S122" i="48"/>
  <c r="R122" i="48"/>
  <c r="K122" i="48" s="1"/>
  <c r="M122" i="48"/>
  <c r="J122" i="48"/>
  <c r="I122" i="48"/>
  <c r="G122" i="48"/>
  <c r="F122" i="48"/>
  <c r="E122" i="48"/>
  <c r="AV121" i="48"/>
  <c r="AW121" i="48" s="1"/>
  <c r="AQ121" i="48"/>
  <c r="AR121" i="48" s="1"/>
  <c r="AL121" i="48"/>
  <c r="AM121" i="48" s="1"/>
  <c r="AG121" i="48"/>
  <c r="AH121" i="48" s="1"/>
  <c r="AB121" i="48"/>
  <c r="AC121" i="48" s="1"/>
  <c r="W121" i="48"/>
  <c r="X121" i="48" s="1"/>
  <c r="R121" i="48"/>
  <c r="J121" i="48"/>
  <c r="I121" i="48"/>
  <c r="F121" i="48"/>
  <c r="G121" i="48" s="1"/>
  <c r="E121" i="48"/>
  <c r="AV120" i="48"/>
  <c r="AW120" i="48" s="1"/>
  <c r="AR120" i="48"/>
  <c r="AQ120" i="48"/>
  <c r="AM120" i="48"/>
  <c r="AL120" i="48"/>
  <c r="AG120" i="48"/>
  <c r="AH120" i="48" s="1"/>
  <c r="AC120" i="48"/>
  <c r="AB120" i="48"/>
  <c r="W120" i="48"/>
  <c r="X120" i="48" s="1"/>
  <c r="R120" i="48"/>
  <c r="K120" i="48" s="1"/>
  <c r="M120" i="48"/>
  <c r="J120" i="48"/>
  <c r="I120" i="48"/>
  <c r="G120" i="48"/>
  <c r="F120" i="48"/>
  <c r="E120" i="48"/>
  <c r="AX119" i="48"/>
  <c r="AV119" i="48"/>
  <c r="AW119" i="48" s="1"/>
  <c r="AQ119" i="48"/>
  <c r="AS119" i="48" s="1"/>
  <c r="AM119" i="48"/>
  <c r="AL119" i="48"/>
  <c r="AN119" i="48" s="1"/>
  <c r="AI119" i="48"/>
  <c r="AH119" i="48"/>
  <c r="AG119" i="48"/>
  <c r="AB119" i="48"/>
  <c r="AD119" i="48" s="1"/>
  <c r="W119" i="48"/>
  <c r="Y119" i="48" s="1"/>
  <c r="R119" i="48"/>
  <c r="S119" i="48" s="1"/>
  <c r="J119" i="48"/>
  <c r="I119" i="48"/>
  <c r="F119" i="48"/>
  <c r="E119" i="48"/>
  <c r="AV112" i="48"/>
  <c r="AW112" i="48" s="1"/>
  <c r="AQ112" i="48"/>
  <c r="AR112" i="48" s="1"/>
  <c r="AM112" i="48"/>
  <c r="AL112" i="48"/>
  <c r="AH112" i="48"/>
  <c r="AG112" i="48"/>
  <c r="AB112" i="48"/>
  <c r="J112" i="48"/>
  <c r="I112" i="48"/>
  <c r="AV111" i="48"/>
  <c r="AW111" i="48" s="1"/>
  <c r="AR111" i="48"/>
  <c r="AQ111" i="48"/>
  <c r="AM111" i="48"/>
  <c r="AL111" i="48"/>
  <c r="AG111" i="48"/>
  <c r="AH111" i="48" s="1"/>
  <c r="AC111" i="48"/>
  <c r="AB111" i="48"/>
  <c r="K111" i="48"/>
  <c r="M111" i="48" s="1"/>
  <c r="J111" i="48"/>
  <c r="I111" i="48"/>
  <c r="AV110" i="48"/>
  <c r="AW110" i="48" s="1"/>
  <c r="AR110" i="48"/>
  <c r="AQ110" i="48"/>
  <c r="AL110" i="48"/>
  <c r="AM110" i="48" s="1"/>
  <c r="AG110" i="48"/>
  <c r="AH110" i="48" s="1"/>
  <c r="AB110" i="48"/>
  <c r="AC110" i="48" s="1"/>
  <c r="K110" i="48"/>
  <c r="M110" i="48" s="1"/>
  <c r="J110" i="48"/>
  <c r="I110" i="48"/>
  <c r="AW109" i="48"/>
  <c r="AV109" i="48"/>
  <c r="AR109" i="48"/>
  <c r="AQ109" i="48"/>
  <c r="AM109" i="48"/>
  <c r="AL109" i="48"/>
  <c r="AG109" i="48"/>
  <c r="AH109" i="48" s="1"/>
  <c r="AB109" i="48"/>
  <c r="AC109" i="48" s="1"/>
  <c r="K109" i="48"/>
  <c r="M109" i="48" s="1"/>
  <c r="J109" i="48"/>
  <c r="I109" i="48"/>
  <c r="AW108" i="48"/>
  <c r="AV108" i="48"/>
  <c r="AQ108" i="48"/>
  <c r="AR108" i="48" s="1"/>
  <c r="AL108" i="48"/>
  <c r="AM108" i="48" s="1"/>
  <c r="AG108" i="48"/>
  <c r="AH108" i="48" s="1"/>
  <c r="AC108" i="48"/>
  <c r="AB108" i="48"/>
  <c r="K108" i="48"/>
  <c r="M108" i="48" s="1"/>
  <c r="J108" i="48"/>
  <c r="I108" i="48"/>
  <c r="G108" i="48"/>
  <c r="F108" i="48"/>
  <c r="E108" i="48"/>
  <c r="AW107" i="48"/>
  <c r="AV107" i="48"/>
  <c r="AQ107" i="48"/>
  <c r="AR107" i="48" s="1"/>
  <c r="AL107" i="48"/>
  <c r="AM107" i="48" s="1"/>
  <c r="AH107" i="48"/>
  <c r="AG107" i="48"/>
  <c r="AB107" i="48"/>
  <c r="AC107" i="48" s="1"/>
  <c r="X107" i="48"/>
  <c r="W107" i="48"/>
  <c r="S107" i="48"/>
  <c r="R107" i="48"/>
  <c r="K107" i="48"/>
  <c r="M107" i="48" s="1"/>
  <c r="J107" i="48"/>
  <c r="I107" i="48"/>
  <c r="F107" i="48"/>
  <c r="E107" i="48"/>
  <c r="AW106" i="48"/>
  <c r="AV106" i="48"/>
  <c r="AQ106" i="48"/>
  <c r="AR106" i="48" s="1"/>
  <c r="AM106" i="48"/>
  <c r="AL106" i="48"/>
  <c r="AG106" i="48"/>
  <c r="AH106" i="48" s="1"/>
  <c r="AB106" i="48"/>
  <c r="AC106" i="48" s="1"/>
  <c r="X106" i="48"/>
  <c r="W106" i="48"/>
  <c r="R106" i="48"/>
  <c r="J106" i="48"/>
  <c r="I106" i="48"/>
  <c r="F106" i="48"/>
  <c r="E106" i="48"/>
  <c r="G106" i="48" s="1"/>
  <c r="AQ105" i="48"/>
  <c r="AR105" i="48" s="1"/>
  <c r="AL105" i="48"/>
  <c r="AM105" i="48" s="1"/>
  <c r="AH105" i="48"/>
  <c r="AG105" i="48"/>
  <c r="AB105" i="48"/>
  <c r="AC105" i="48" s="1"/>
  <c r="W105" i="48"/>
  <c r="X105" i="48" s="1"/>
  <c r="S105" i="48"/>
  <c r="R105" i="48"/>
  <c r="M105" i="48"/>
  <c r="K105" i="48"/>
  <c r="J105" i="48"/>
  <c r="I105" i="48"/>
  <c r="G105" i="48"/>
  <c r="F105" i="48"/>
  <c r="E105" i="48"/>
  <c r="AW104" i="48"/>
  <c r="AV104" i="48"/>
  <c r="AR104" i="48"/>
  <c r="AQ104" i="48"/>
  <c r="AL104" i="48"/>
  <c r="AM104" i="48" s="1"/>
  <c r="AH104" i="48"/>
  <c r="AG104" i="48"/>
  <c r="AC104" i="48"/>
  <c r="AB104" i="48"/>
  <c r="W104" i="48"/>
  <c r="X104" i="48" s="1"/>
  <c r="R104" i="48"/>
  <c r="S104" i="48" s="1"/>
  <c r="K104" i="48"/>
  <c r="M104" i="48" s="1"/>
  <c r="J104" i="48"/>
  <c r="I104" i="48"/>
  <c r="F104" i="48"/>
  <c r="E104" i="48"/>
  <c r="AW103" i="48"/>
  <c r="AV103" i="48"/>
  <c r="AR103" i="48"/>
  <c r="AQ103" i="48"/>
  <c r="AM103" i="48"/>
  <c r="AL103" i="48"/>
  <c r="AG103" i="48"/>
  <c r="AH103" i="48" s="1"/>
  <c r="AC103" i="48"/>
  <c r="AB103" i="48"/>
  <c r="W103" i="48"/>
  <c r="X103" i="48" s="1"/>
  <c r="S103" i="48"/>
  <c r="R103" i="48"/>
  <c r="M103" i="48"/>
  <c r="K103" i="48"/>
  <c r="J103" i="48"/>
  <c r="I103" i="48"/>
  <c r="F103" i="48"/>
  <c r="G103" i="48" s="1"/>
  <c r="E103" i="48"/>
  <c r="W102" i="48"/>
  <c r="X102" i="48" s="1"/>
  <c r="R102" i="48"/>
  <c r="S102" i="48" s="1"/>
  <c r="J102" i="48"/>
  <c r="I102" i="48"/>
  <c r="F102" i="48"/>
  <c r="G102" i="48" s="1"/>
  <c r="E102" i="48"/>
  <c r="AW101" i="48"/>
  <c r="AV101" i="48"/>
  <c r="AR101" i="48"/>
  <c r="AQ101" i="48"/>
  <c r="AL101" i="48"/>
  <c r="AM101" i="48" s="1"/>
  <c r="AH101" i="48"/>
  <c r="AG101" i="48"/>
  <c r="AC101" i="48"/>
  <c r="AB101" i="48"/>
  <c r="W101" i="48"/>
  <c r="X101" i="48" s="1"/>
  <c r="R101" i="48"/>
  <c r="J101" i="48"/>
  <c r="I101" i="48"/>
  <c r="F101" i="48"/>
  <c r="E101" i="48"/>
  <c r="G101" i="48" s="1"/>
  <c r="AV100" i="48"/>
  <c r="AW100" i="48" s="1"/>
  <c r="AR100" i="48"/>
  <c r="AQ100" i="48"/>
  <c r="AM100" i="48"/>
  <c r="AL100" i="48"/>
  <c r="AH100" i="48"/>
  <c r="AG100" i="48"/>
  <c r="AB100" i="48"/>
  <c r="AC100" i="48" s="1"/>
  <c r="W100" i="48"/>
  <c r="X100" i="48" s="1"/>
  <c r="S100" i="48"/>
  <c r="R100" i="48"/>
  <c r="K100" i="48"/>
  <c r="M100" i="48" s="1"/>
  <c r="J100" i="48"/>
  <c r="I100" i="48"/>
  <c r="G100" i="48"/>
  <c r="F100" i="48"/>
  <c r="E100" i="48"/>
  <c r="AW99" i="48"/>
  <c r="AV99" i="48"/>
  <c r="AQ99" i="48"/>
  <c r="AR99" i="48" s="1"/>
  <c r="AL99" i="48"/>
  <c r="AM99" i="48" s="1"/>
  <c r="AG99" i="48"/>
  <c r="AH99" i="48" s="1"/>
  <c r="AC99" i="48"/>
  <c r="AB99" i="48"/>
  <c r="X99" i="48"/>
  <c r="W99" i="48"/>
  <c r="S99" i="48"/>
  <c r="R99" i="48"/>
  <c r="M99" i="48"/>
  <c r="K99" i="48"/>
  <c r="J99" i="48"/>
  <c r="I99" i="48"/>
  <c r="F99" i="48"/>
  <c r="G99" i="48" s="1"/>
  <c r="E99" i="48"/>
  <c r="AV98" i="48"/>
  <c r="AW98" i="48" s="1"/>
  <c r="AR98" i="48"/>
  <c r="AQ98" i="48"/>
  <c r="AL98" i="48"/>
  <c r="AM98" i="48" s="1"/>
  <c r="AG98" i="48"/>
  <c r="AH98" i="48" s="1"/>
  <c r="AB98" i="48"/>
  <c r="AC98" i="48" s="1"/>
  <c r="W98" i="48"/>
  <c r="X98" i="48" s="1"/>
  <c r="R98" i="48"/>
  <c r="K98" i="48" s="1"/>
  <c r="M98" i="48" s="1"/>
  <c r="J98" i="48"/>
  <c r="I98" i="48"/>
  <c r="F98" i="48"/>
  <c r="G98" i="48" s="1"/>
  <c r="E98" i="48"/>
  <c r="AV97" i="48"/>
  <c r="AW97" i="48" s="1"/>
  <c r="AR97" i="48"/>
  <c r="AQ97" i="48"/>
  <c r="AL97" i="48"/>
  <c r="AM97" i="48" s="1"/>
  <c r="AH97" i="48"/>
  <c r="AG97" i="48"/>
  <c r="AC97" i="48"/>
  <c r="AB97" i="48"/>
  <c r="X97" i="48"/>
  <c r="W97" i="48"/>
  <c r="R97" i="48"/>
  <c r="K97" i="48" s="1"/>
  <c r="M97" i="48"/>
  <c r="J97" i="48"/>
  <c r="I97" i="48"/>
  <c r="G97" i="48"/>
  <c r="F97" i="48"/>
  <c r="E97" i="48"/>
  <c r="AX96" i="48"/>
  <c r="AW96" i="48"/>
  <c r="AV96" i="48"/>
  <c r="AQ96" i="48"/>
  <c r="AS96" i="48" s="1"/>
  <c r="AL96" i="48"/>
  <c r="AN96" i="48" s="1"/>
  <c r="AG96" i="48"/>
  <c r="AH96" i="48" s="1"/>
  <c r="AB96" i="48"/>
  <c r="W96" i="48"/>
  <c r="Y96" i="48" s="1"/>
  <c r="T96" i="48"/>
  <c r="R96" i="48"/>
  <c r="S96" i="48" s="1"/>
  <c r="M96" i="48"/>
  <c r="K96" i="48"/>
  <c r="L96" i="48" s="1"/>
  <c r="J96" i="48"/>
  <c r="I96" i="48"/>
  <c r="F96" i="48"/>
  <c r="E96" i="48"/>
  <c r="G96" i="48" s="1"/>
  <c r="W85" i="48"/>
  <c r="R85" i="48"/>
  <c r="J85" i="48"/>
  <c r="I85" i="48"/>
  <c r="G85" i="48"/>
  <c r="F85" i="48"/>
  <c r="E85" i="48"/>
  <c r="W84" i="48"/>
  <c r="R84" i="48"/>
  <c r="J84" i="48"/>
  <c r="I84" i="48"/>
  <c r="F84" i="48"/>
  <c r="E84" i="48"/>
  <c r="W83" i="48"/>
  <c r="R83" i="48"/>
  <c r="K83" i="48"/>
  <c r="J83" i="48"/>
  <c r="I83" i="48"/>
  <c r="F83" i="48"/>
  <c r="G83" i="48" s="1"/>
  <c r="E83" i="48"/>
  <c r="AV82" i="48"/>
  <c r="AQ82" i="48"/>
  <c r="AL82" i="48"/>
  <c r="AG82" i="48"/>
  <c r="AB82" i="48"/>
  <c r="AC82" i="48" s="1"/>
  <c r="W82" i="48"/>
  <c r="R82" i="48"/>
  <c r="S74" i="48" s="1"/>
  <c r="J82" i="48"/>
  <c r="I82" i="48"/>
  <c r="G82" i="48"/>
  <c r="F82" i="48"/>
  <c r="E82" i="48"/>
  <c r="AV81" i="48"/>
  <c r="AQ81" i="48"/>
  <c r="AL81" i="48"/>
  <c r="AG81" i="48"/>
  <c r="AC81" i="48"/>
  <c r="AB81" i="48"/>
  <c r="W81" i="48"/>
  <c r="R81" i="48"/>
  <c r="J81" i="48"/>
  <c r="I81" i="48"/>
  <c r="F81" i="48"/>
  <c r="E81" i="48"/>
  <c r="G81" i="48" s="1"/>
  <c r="AV80" i="48"/>
  <c r="AQ80" i="48"/>
  <c r="AL80" i="48"/>
  <c r="AG80" i="48"/>
  <c r="AB80" i="48"/>
  <c r="W80" i="48"/>
  <c r="R80" i="48"/>
  <c r="J80" i="48"/>
  <c r="I80" i="48"/>
  <c r="F80" i="48"/>
  <c r="E80" i="48"/>
  <c r="G80" i="48" s="1"/>
  <c r="AV79" i="48"/>
  <c r="AW79" i="48" s="1"/>
  <c r="AQ79" i="48"/>
  <c r="AL79" i="48"/>
  <c r="AG79" i="48"/>
  <c r="AB79" i="48"/>
  <c r="W79" i="48"/>
  <c r="R79" i="48"/>
  <c r="J79" i="48"/>
  <c r="I79" i="48"/>
  <c r="F79" i="48"/>
  <c r="E79" i="48"/>
  <c r="G79" i="48" s="1"/>
  <c r="AV78" i="48"/>
  <c r="AQ78" i="48"/>
  <c r="AL78" i="48"/>
  <c r="AG78" i="48"/>
  <c r="AB78" i="48"/>
  <c r="W78" i="48"/>
  <c r="R78" i="48"/>
  <c r="J78" i="48"/>
  <c r="I78" i="48"/>
  <c r="F78" i="48"/>
  <c r="E78" i="48"/>
  <c r="G78" i="48" s="1"/>
  <c r="AV77" i="48"/>
  <c r="AQ77" i="48"/>
  <c r="AL77" i="48"/>
  <c r="AG77" i="48"/>
  <c r="AH77" i="48" s="1"/>
  <c r="AB77" i="48"/>
  <c r="W77" i="48"/>
  <c r="R77" i="48"/>
  <c r="J77" i="48"/>
  <c r="I77" i="48"/>
  <c r="F77" i="48"/>
  <c r="G77" i="48" s="1"/>
  <c r="E77" i="48"/>
  <c r="AV76" i="48"/>
  <c r="AQ76" i="48"/>
  <c r="AR76" i="48" s="1"/>
  <c r="AL76" i="48"/>
  <c r="AM76" i="48" s="1"/>
  <c r="AG76" i="48"/>
  <c r="AH76" i="48" s="1"/>
  <c r="AB76" i="48"/>
  <c r="AC76" i="48" s="1"/>
  <c r="W76" i="48"/>
  <c r="R76" i="48"/>
  <c r="J76" i="48"/>
  <c r="I76" i="48"/>
  <c r="F76" i="48"/>
  <c r="E76" i="48"/>
  <c r="G76" i="48" s="1"/>
  <c r="AV75" i="48"/>
  <c r="AQ75" i="48"/>
  <c r="AL75" i="48"/>
  <c r="AG75" i="48"/>
  <c r="AB75" i="48"/>
  <c r="W75" i="48"/>
  <c r="R75" i="48"/>
  <c r="J75" i="48"/>
  <c r="I75" i="48"/>
  <c r="F75" i="48"/>
  <c r="G75" i="48" s="1"/>
  <c r="E75" i="48"/>
  <c r="AV74" i="48"/>
  <c r="AQ74" i="48"/>
  <c r="AL74" i="48"/>
  <c r="AG74" i="48"/>
  <c r="AB74" i="48"/>
  <c r="W74" i="48"/>
  <c r="R74" i="48"/>
  <c r="J74" i="48"/>
  <c r="I74" i="48"/>
  <c r="F74" i="48"/>
  <c r="E74" i="48"/>
  <c r="G74" i="48" s="1"/>
  <c r="AV73" i="48"/>
  <c r="AQ73" i="48"/>
  <c r="AL73" i="48"/>
  <c r="AG73" i="48"/>
  <c r="AB73" i="48"/>
  <c r="W73" i="48"/>
  <c r="R73" i="48"/>
  <c r="J73" i="48"/>
  <c r="I73" i="48"/>
  <c r="F73" i="48"/>
  <c r="E73" i="48"/>
  <c r="AV64" i="48"/>
  <c r="AQ64" i="48"/>
  <c r="K64" i="48" s="1"/>
  <c r="AL64" i="48"/>
  <c r="AG64" i="48"/>
  <c r="AB64" i="48"/>
  <c r="W64" i="48"/>
  <c r="R64" i="48"/>
  <c r="J64" i="48"/>
  <c r="I64" i="48"/>
  <c r="F64" i="48"/>
  <c r="E64" i="48"/>
  <c r="G64" i="48" s="1"/>
  <c r="AW63" i="48"/>
  <c r="AV63" i="48"/>
  <c r="AQ63" i="48"/>
  <c r="AL63" i="48"/>
  <c r="AG63" i="48"/>
  <c r="AB63" i="48"/>
  <c r="W63" i="48"/>
  <c r="R63" i="48"/>
  <c r="J63" i="48"/>
  <c r="I63" i="48"/>
  <c r="F63" i="48"/>
  <c r="E63" i="48"/>
  <c r="G63" i="48" s="1"/>
  <c r="AW62" i="48"/>
  <c r="AV62" i="48"/>
  <c r="AQ62" i="48"/>
  <c r="AL62" i="48"/>
  <c r="AG62" i="48"/>
  <c r="AB62" i="48"/>
  <c r="W62" i="48"/>
  <c r="R62" i="48"/>
  <c r="S62" i="48" s="1"/>
  <c r="K62" i="48"/>
  <c r="J62" i="48"/>
  <c r="I62" i="48"/>
  <c r="F62" i="48"/>
  <c r="G62" i="48" s="1"/>
  <c r="E62" i="48"/>
  <c r="AV61" i="48"/>
  <c r="AQ61" i="48"/>
  <c r="AL61" i="48"/>
  <c r="AG61" i="48"/>
  <c r="AB61" i="48"/>
  <c r="AC60" i="48" s="1"/>
  <c r="W61" i="48"/>
  <c r="R61" i="48"/>
  <c r="J61" i="48"/>
  <c r="I61" i="48"/>
  <c r="F61" i="48"/>
  <c r="E61" i="48"/>
  <c r="G61" i="48" s="1"/>
  <c r="AV60" i="48"/>
  <c r="AQ60" i="48"/>
  <c r="AL60" i="48"/>
  <c r="AG60" i="48"/>
  <c r="AB60" i="48"/>
  <c r="W60" i="48"/>
  <c r="R60" i="48"/>
  <c r="J60" i="48"/>
  <c r="I60" i="48"/>
  <c r="F60" i="48"/>
  <c r="E60" i="48"/>
  <c r="AV59" i="48"/>
  <c r="AQ59" i="48"/>
  <c r="AL59" i="48"/>
  <c r="AG59" i="48"/>
  <c r="AB59" i="48"/>
  <c r="W59" i="48"/>
  <c r="K59" i="48" s="1"/>
  <c r="R59" i="48"/>
  <c r="J59" i="48"/>
  <c r="I59" i="48"/>
  <c r="G59" i="48"/>
  <c r="F59" i="48"/>
  <c r="E59" i="48"/>
  <c r="AV58" i="48"/>
  <c r="AQ58" i="48"/>
  <c r="AL58" i="48"/>
  <c r="AG58" i="48"/>
  <c r="AH58" i="48" s="1"/>
  <c r="AB58" i="48"/>
  <c r="AC58" i="48" s="1"/>
  <c r="W58" i="48"/>
  <c r="R58" i="48"/>
  <c r="J58" i="48"/>
  <c r="I58" i="48"/>
  <c r="G58" i="48"/>
  <c r="F58" i="48"/>
  <c r="E58" i="48"/>
  <c r="AV57" i="48"/>
  <c r="AQ57" i="48"/>
  <c r="AL57" i="48"/>
  <c r="AG57" i="48"/>
  <c r="AB57" i="48"/>
  <c r="W57" i="48"/>
  <c r="S57" i="48"/>
  <c r="R57" i="48"/>
  <c r="K57" i="48"/>
  <c r="J57" i="48"/>
  <c r="I57" i="48"/>
  <c r="F57" i="48"/>
  <c r="E57" i="48"/>
  <c r="G57" i="48" s="1"/>
  <c r="AV56" i="48"/>
  <c r="AQ56" i="48"/>
  <c r="AL56" i="48"/>
  <c r="AM59" i="48" s="1"/>
  <c r="AG56" i="48"/>
  <c r="AB56" i="48"/>
  <c r="W56" i="48"/>
  <c r="R56" i="48"/>
  <c r="J56" i="48"/>
  <c r="I56" i="48"/>
  <c r="F56" i="48"/>
  <c r="E56" i="48"/>
  <c r="G56" i="48" s="1"/>
  <c r="AW55" i="48"/>
  <c r="AV55" i="48"/>
  <c r="AQ55" i="48"/>
  <c r="AR55" i="48" s="1"/>
  <c r="AL55" i="48"/>
  <c r="AG55" i="48"/>
  <c r="AB55" i="48"/>
  <c r="W55" i="48"/>
  <c r="S55" i="48"/>
  <c r="R55" i="48"/>
  <c r="J55" i="48"/>
  <c r="I55" i="48"/>
  <c r="F55" i="48"/>
  <c r="E55" i="48"/>
  <c r="G55" i="48" s="1"/>
  <c r="AV54" i="48"/>
  <c r="AQ54" i="48"/>
  <c r="AL54" i="48"/>
  <c r="AG54" i="48"/>
  <c r="AB54" i="48"/>
  <c r="W54" i="48"/>
  <c r="S54" i="48"/>
  <c r="R54" i="48"/>
  <c r="K54" i="48" s="1"/>
  <c r="J54" i="48"/>
  <c r="I54" i="48"/>
  <c r="F54" i="48"/>
  <c r="G54" i="48" s="1"/>
  <c r="E54" i="48"/>
  <c r="AV53" i="48"/>
  <c r="AQ53" i="48"/>
  <c r="AL53" i="48"/>
  <c r="AG53" i="48"/>
  <c r="AB53" i="48"/>
  <c r="W53" i="48"/>
  <c r="T53" i="48"/>
  <c r="S53" i="48"/>
  <c r="R53" i="48"/>
  <c r="J53" i="48"/>
  <c r="I53" i="48"/>
  <c r="F53" i="48"/>
  <c r="G53" i="48" s="1"/>
  <c r="E53" i="48"/>
  <c r="AV41" i="48"/>
  <c r="K41" i="48" s="1"/>
  <c r="AQ41" i="48"/>
  <c r="AL41" i="48"/>
  <c r="AG41" i="48"/>
  <c r="AB41" i="48"/>
  <c r="W41" i="48"/>
  <c r="S41" i="48"/>
  <c r="R41" i="48"/>
  <c r="J41" i="48"/>
  <c r="I41" i="48"/>
  <c r="G41" i="48"/>
  <c r="F41" i="48"/>
  <c r="E41" i="48"/>
  <c r="AV40" i="48"/>
  <c r="AQ40" i="48"/>
  <c r="AL40" i="48"/>
  <c r="AH40" i="48"/>
  <c r="AG40" i="48"/>
  <c r="AB40" i="48"/>
  <c r="W40" i="48"/>
  <c r="R40" i="48"/>
  <c r="J40" i="48"/>
  <c r="I40" i="48"/>
  <c r="F40" i="48"/>
  <c r="E40" i="48"/>
  <c r="AV39" i="48"/>
  <c r="AQ39" i="48"/>
  <c r="AR39" i="48" s="1"/>
  <c r="AL39" i="48"/>
  <c r="AG39" i="48"/>
  <c r="AB39" i="48"/>
  <c r="W39" i="48"/>
  <c r="X39" i="48" s="1"/>
  <c r="R39" i="48"/>
  <c r="J39" i="48"/>
  <c r="I39" i="48"/>
  <c r="F39" i="48"/>
  <c r="E39" i="48"/>
  <c r="G39" i="48" s="1"/>
  <c r="AV38" i="48"/>
  <c r="AW38" i="48" s="1"/>
  <c r="AQ38" i="48"/>
  <c r="AL38" i="48"/>
  <c r="AG38" i="48"/>
  <c r="AB38" i="48"/>
  <c r="W38" i="48"/>
  <c r="R38" i="48"/>
  <c r="J38" i="48"/>
  <c r="I38" i="48"/>
  <c r="F38" i="48"/>
  <c r="G38" i="48" s="1"/>
  <c r="E38" i="48"/>
  <c r="AV37" i="48"/>
  <c r="AQ37" i="48"/>
  <c r="AR37" i="48" s="1"/>
  <c r="AL37" i="48"/>
  <c r="AG37" i="48"/>
  <c r="AB37" i="48"/>
  <c r="W37" i="48"/>
  <c r="R37" i="48"/>
  <c r="J37" i="48"/>
  <c r="I37" i="48"/>
  <c r="F37" i="48"/>
  <c r="E37" i="48"/>
  <c r="G37" i="48" s="1"/>
  <c r="AV36" i="48"/>
  <c r="AW36" i="48" s="1"/>
  <c r="AQ36" i="48"/>
  <c r="AL36" i="48"/>
  <c r="AG36" i="48"/>
  <c r="AB36" i="48"/>
  <c r="AC36" i="48" s="1"/>
  <c r="W36" i="48"/>
  <c r="R36" i="48"/>
  <c r="K36" i="48"/>
  <c r="J36" i="48"/>
  <c r="I36" i="48"/>
  <c r="F36" i="48"/>
  <c r="G36" i="48" s="1"/>
  <c r="E36" i="48"/>
  <c r="AV35" i="48"/>
  <c r="AQ35" i="48"/>
  <c r="AL35" i="48"/>
  <c r="AM35" i="48" s="1"/>
  <c r="AG35" i="48"/>
  <c r="AH35" i="48" s="1"/>
  <c r="AC35" i="48"/>
  <c r="AB35" i="48"/>
  <c r="W35" i="48"/>
  <c r="R35" i="48"/>
  <c r="J35" i="48"/>
  <c r="I35" i="48"/>
  <c r="F35" i="48"/>
  <c r="G35" i="48" s="1"/>
  <c r="E35" i="48"/>
  <c r="AV34" i="48"/>
  <c r="AQ34" i="48"/>
  <c r="AL34" i="48"/>
  <c r="AG34" i="48"/>
  <c r="AB34" i="48"/>
  <c r="W34" i="48"/>
  <c r="R34" i="48"/>
  <c r="K34" i="48"/>
  <c r="J34" i="48"/>
  <c r="I34" i="48"/>
  <c r="F34" i="48"/>
  <c r="G34" i="48" s="1"/>
  <c r="E34" i="48"/>
  <c r="AV33" i="48"/>
  <c r="AQ33" i="48"/>
  <c r="AL33" i="48"/>
  <c r="AG33" i="48"/>
  <c r="AB33" i="48"/>
  <c r="X33" i="48"/>
  <c r="W33" i="48"/>
  <c r="K33" i="48" s="1"/>
  <c r="S33" i="48"/>
  <c r="R33" i="48"/>
  <c r="J33" i="48"/>
  <c r="I33" i="48"/>
  <c r="G33" i="48"/>
  <c r="F33" i="48"/>
  <c r="E33" i="48"/>
  <c r="AV32" i="48"/>
  <c r="AQ32" i="48"/>
  <c r="K32" i="48" s="1"/>
  <c r="AL32" i="48"/>
  <c r="AH32" i="48"/>
  <c r="AG32" i="48"/>
  <c r="AC32" i="48"/>
  <c r="AB32" i="48"/>
  <c r="W32" i="48"/>
  <c r="R32" i="48"/>
  <c r="J32" i="48"/>
  <c r="I32" i="48"/>
  <c r="F32" i="48"/>
  <c r="G32" i="48" s="1"/>
  <c r="E32" i="48"/>
  <c r="AV31" i="48"/>
  <c r="AW34" i="48" s="1"/>
  <c r="AQ31" i="48"/>
  <c r="AL31" i="48"/>
  <c r="AG31" i="48"/>
  <c r="AC31" i="48"/>
  <c r="AB31" i="48"/>
  <c r="W31" i="48"/>
  <c r="R31" i="48"/>
  <c r="J31" i="48"/>
  <c r="I31" i="48"/>
  <c r="F31" i="48"/>
  <c r="G31" i="48" s="1"/>
  <c r="E31" i="48"/>
  <c r="AV30" i="48"/>
  <c r="AQ30" i="48"/>
  <c r="AL30" i="48"/>
  <c r="AG30" i="48"/>
  <c r="AB30" i="48"/>
  <c r="W30" i="48"/>
  <c r="X38" i="48" s="1"/>
  <c r="R30" i="48"/>
  <c r="K30" i="48" s="1"/>
  <c r="J30" i="48"/>
  <c r="I30" i="48"/>
  <c r="F30" i="48"/>
  <c r="E30" i="48"/>
  <c r="G30" i="48" s="1"/>
  <c r="S24" i="48"/>
  <c r="R24" i="48"/>
  <c r="S23" i="48"/>
  <c r="R23" i="48"/>
  <c r="S22" i="48"/>
  <c r="R22" i="48"/>
  <c r="R21" i="48"/>
  <c r="S21" i="48" s="1"/>
  <c r="AH20" i="48"/>
  <c r="AG20" i="48"/>
  <c r="AB20" i="48"/>
  <c r="AC20" i="48" s="1"/>
  <c r="X20" i="48"/>
  <c r="W20" i="48"/>
  <c r="R20" i="48"/>
  <c r="S20" i="48" s="1"/>
  <c r="AH19" i="48"/>
  <c r="AG19" i="48"/>
  <c r="AB19" i="48"/>
  <c r="AC19" i="48" s="1"/>
  <c r="X19" i="48"/>
  <c r="W19" i="48"/>
  <c r="R19" i="48"/>
  <c r="S19" i="48" s="1"/>
  <c r="AQ18" i="48"/>
  <c r="AL18" i="48"/>
  <c r="AG18" i="48"/>
  <c r="AH18" i="48" s="1"/>
  <c r="AB18" i="48"/>
  <c r="AC18" i="48" s="1"/>
  <c r="X18" i="48"/>
  <c r="W18" i="48"/>
  <c r="R18" i="48"/>
  <c r="S18" i="48" s="1"/>
  <c r="J18" i="48"/>
  <c r="I18" i="48"/>
  <c r="F18" i="48"/>
  <c r="E18" i="48"/>
  <c r="G18" i="48" s="1"/>
  <c r="AV17" i="48"/>
  <c r="AQ17" i="48"/>
  <c r="AR17" i="48" s="1"/>
  <c r="AL17" i="48"/>
  <c r="AM14" i="48" s="1"/>
  <c r="AG17" i="48"/>
  <c r="AH17" i="48" s="1"/>
  <c r="AC17" i="48"/>
  <c r="AB17" i="48"/>
  <c r="W17" i="48"/>
  <c r="X17" i="48" s="1"/>
  <c r="R17" i="48"/>
  <c r="S17" i="48" s="1"/>
  <c r="J17" i="48"/>
  <c r="I17" i="48"/>
  <c r="F17" i="48"/>
  <c r="G17" i="48" s="1"/>
  <c r="E17" i="48"/>
  <c r="AV16" i="48"/>
  <c r="AQ16" i="48"/>
  <c r="AL16" i="48"/>
  <c r="AG16" i="48"/>
  <c r="AH16" i="48" s="1"/>
  <c r="AC16" i="48"/>
  <c r="AB16" i="48"/>
  <c r="X16" i="48"/>
  <c r="W16" i="48"/>
  <c r="S16" i="48"/>
  <c r="R16" i="48"/>
  <c r="J16" i="48"/>
  <c r="I16" i="48"/>
  <c r="F16" i="48"/>
  <c r="E16" i="48"/>
  <c r="AV15" i="48"/>
  <c r="AQ15" i="48"/>
  <c r="AL15" i="48"/>
  <c r="AG15" i="48"/>
  <c r="AH15" i="48" s="1"/>
  <c r="AB15" i="48"/>
  <c r="AC15" i="48" s="1"/>
  <c r="X15" i="48"/>
  <c r="W15" i="48"/>
  <c r="R15" i="48"/>
  <c r="S15" i="48" s="1"/>
  <c r="K15" i="48"/>
  <c r="J15" i="48"/>
  <c r="I15" i="48"/>
  <c r="G15" i="48"/>
  <c r="F15" i="48"/>
  <c r="E15" i="48"/>
  <c r="AV14" i="48"/>
  <c r="AQ14" i="48"/>
  <c r="AL14" i="48"/>
  <c r="AH14" i="48"/>
  <c r="AG14" i="48"/>
  <c r="AB14" i="48"/>
  <c r="AC14" i="48" s="1"/>
  <c r="X14" i="48"/>
  <c r="W14" i="48"/>
  <c r="S14" i="48"/>
  <c r="R14" i="48"/>
  <c r="J14" i="48"/>
  <c r="I14" i="48"/>
  <c r="F14" i="48"/>
  <c r="G14" i="48" s="1"/>
  <c r="E14" i="48"/>
  <c r="AV13" i="48"/>
  <c r="AQ13" i="48"/>
  <c r="AL13" i="48"/>
  <c r="AG13" i="48"/>
  <c r="AH13" i="48" s="1"/>
  <c r="AB13" i="48"/>
  <c r="AC13" i="48" s="1"/>
  <c r="W13" i="48"/>
  <c r="X13" i="48" s="1"/>
  <c r="R13" i="48"/>
  <c r="S13" i="48" s="1"/>
  <c r="J13" i="48"/>
  <c r="I13" i="48"/>
  <c r="F13" i="48"/>
  <c r="G13" i="48" s="1"/>
  <c r="E13" i="48"/>
  <c r="AV12" i="48"/>
  <c r="AQ12" i="48"/>
  <c r="AL12" i="48"/>
  <c r="AG12" i="48"/>
  <c r="AH12" i="48" s="1"/>
  <c r="AC12" i="48"/>
  <c r="AB12" i="48"/>
  <c r="W12" i="48"/>
  <c r="X12" i="48" s="1"/>
  <c r="S12" i="48"/>
  <c r="R12" i="48"/>
  <c r="J12" i="48"/>
  <c r="I12" i="48"/>
  <c r="F12" i="48"/>
  <c r="E12" i="48"/>
  <c r="G12" i="48" s="1"/>
  <c r="AV11" i="48"/>
  <c r="AW11" i="48" s="1"/>
  <c r="AQ11" i="48"/>
  <c r="K11" i="48" s="1"/>
  <c r="AL11" i="48"/>
  <c r="AG11" i="48"/>
  <c r="AH11" i="48" s="1"/>
  <c r="AB11" i="48"/>
  <c r="AC11" i="48" s="1"/>
  <c r="W11" i="48"/>
  <c r="X11" i="48" s="1"/>
  <c r="R11" i="48"/>
  <c r="S11" i="48" s="1"/>
  <c r="J11" i="48"/>
  <c r="I11" i="48"/>
  <c r="G11" i="48"/>
  <c r="F11" i="48"/>
  <c r="E11" i="48"/>
  <c r="AV10" i="48"/>
  <c r="AQ10" i="48"/>
  <c r="AL10" i="48"/>
  <c r="K10" i="48" s="1"/>
  <c r="AG10" i="48"/>
  <c r="AH10" i="48" s="1"/>
  <c r="AB10" i="48"/>
  <c r="AC10" i="48" s="1"/>
  <c r="W10" i="48"/>
  <c r="X10" i="48" s="1"/>
  <c r="R10" i="48"/>
  <c r="S10" i="48" s="1"/>
  <c r="J10" i="48"/>
  <c r="I10" i="48"/>
  <c r="F10" i="48"/>
  <c r="E10" i="48"/>
  <c r="AW9" i="48"/>
  <c r="AV9" i="48"/>
  <c r="AQ9" i="48"/>
  <c r="AL9" i="48"/>
  <c r="AG9" i="48"/>
  <c r="AH9" i="48" s="1"/>
  <c r="AC9" i="48"/>
  <c r="AB9" i="48"/>
  <c r="W9" i="48"/>
  <c r="X9" i="48" s="1"/>
  <c r="R9" i="48"/>
  <c r="S9" i="48" s="1"/>
  <c r="J9" i="48"/>
  <c r="I9" i="48"/>
  <c r="F9" i="48"/>
  <c r="G9" i="48" s="1"/>
  <c r="E9" i="48"/>
  <c r="AV8" i="48"/>
  <c r="AW8" i="48" s="1"/>
  <c r="AQ8" i="48"/>
  <c r="AL8" i="48"/>
  <c r="K8" i="48" s="1"/>
  <c r="AH8" i="48"/>
  <c r="AG8" i="48"/>
  <c r="AC8" i="48"/>
  <c r="AB8" i="48"/>
  <c r="W8" i="48"/>
  <c r="X8" i="48" s="1"/>
  <c r="S8" i="48"/>
  <c r="R8" i="48"/>
  <c r="J8" i="48"/>
  <c r="I8" i="48"/>
  <c r="F8" i="48"/>
  <c r="E8" i="48"/>
  <c r="G8" i="48" s="1"/>
  <c r="AV7" i="48"/>
  <c r="AQ7" i="48"/>
  <c r="AL7" i="48"/>
  <c r="AG7" i="48"/>
  <c r="AB7" i="48"/>
  <c r="AD7" i="48" s="1"/>
  <c r="W7" i="48"/>
  <c r="Y7" i="48" s="1"/>
  <c r="T7" i="48"/>
  <c r="S7" i="48"/>
  <c r="R7" i="48"/>
  <c r="J7" i="48"/>
  <c r="I7" i="48"/>
  <c r="F7" i="48"/>
  <c r="G7" i="48" s="1"/>
  <c r="E7" i="48"/>
  <c r="F37" i="6"/>
  <c r="N36" i="6"/>
  <c r="L36" i="6"/>
  <c r="F36" i="6"/>
  <c r="J36" i="6" s="1"/>
  <c r="F35" i="6"/>
  <c r="L34" i="6"/>
  <c r="J34" i="6"/>
  <c r="F34" i="6"/>
  <c r="N34" i="6" s="1"/>
  <c r="N33" i="6"/>
  <c r="L33" i="6"/>
  <c r="F33" i="6"/>
  <c r="J33" i="6" s="1"/>
  <c r="F32" i="6"/>
  <c r="N32" i="6" s="1"/>
  <c r="L31" i="6"/>
  <c r="J31" i="6"/>
  <c r="G31" i="6"/>
  <c r="F31" i="6"/>
  <c r="N31" i="6" s="1"/>
  <c r="F30" i="6"/>
  <c r="L30" i="6" s="1"/>
  <c r="F29" i="6"/>
  <c r="L29" i="6" s="1"/>
  <c r="F28" i="6"/>
  <c r="F27" i="6"/>
  <c r="L27" i="6" s="1"/>
  <c r="J26" i="6"/>
  <c r="F26" i="6"/>
  <c r="N26" i="6" s="1"/>
  <c r="F25" i="6"/>
  <c r="F24" i="6"/>
  <c r="N23" i="6"/>
  <c r="L23" i="6"/>
  <c r="J23" i="6"/>
  <c r="F23" i="6"/>
  <c r="F22" i="6"/>
  <c r="F21" i="6"/>
  <c r="L21" i="6" s="1"/>
  <c r="N20" i="6"/>
  <c r="L20" i="6"/>
  <c r="J20" i="6"/>
  <c r="F20" i="6"/>
  <c r="N19" i="6"/>
  <c r="F19" i="6"/>
  <c r="L19" i="6" s="1"/>
  <c r="F18" i="6"/>
  <c r="F17" i="6"/>
  <c r="N17" i="6" s="1"/>
  <c r="N16" i="6"/>
  <c r="L16" i="6"/>
  <c r="J16" i="6"/>
  <c r="F16" i="6"/>
  <c r="F15" i="6"/>
  <c r="N14" i="6"/>
  <c r="L14" i="6"/>
  <c r="J14" i="6"/>
  <c r="F14" i="6"/>
  <c r="N13" i="6"/>
  <c r="L13" i="6"/>
  <c r="J13" i="6"/>
  <c r="F13" i="6"/>
  <c r="J12" i="6"/>
  <c r="F12" i="6"/>
  <c r="L12" i="6" s="1"/>
  <c r="L11" i="6"/>
  <c r="J11" i="6"/>
  <c r="F11" i="6"/>
  <c r="N11" i="6" s="1"/>
  <c r="N10" i="6"/>
  <c r="F10" i="6"/>
  <c r="F9" i="6"/>
  <c r="N9" i="6" s="1"/>
  <c r="F8" i="6"/>
  <c r="N7" i="6"/>
  <c r="L7" i="6"/>
  <c r="F7" i="6"/>
  <c r="J7" i="6" s="1"/>
  <c r="F37" i="7"/>
  <c r="N36" i="7"/>
  <c r="J36" i="7"/>
  <c r="F36" i="7"/>
  <c r="L36" i="7" s="1"/>
  <c r="N35" i="7"/>
  <c r="F35" i="7"/>
  <c r="F34" i="7"/>
  <c r="N33" i="7"/>
  <c r="L33" i="7"/>
  <c r="J33" i="7"/>
  <c r="F33" i="7"/>
  <c r="F32" i="7"/>
  <c r="L31" i="7"/>
  <c r="F31" i="7"/>
  <c r="F30" i="7"/>
  <c r="N30" i="7" s="1"/>
  <c r="L29" i="7"/>
  <c r="F29" i="7"/>
  <c r="N29" i="7" s="1"/>
  <c r="J28" i="7"/>
  <c r="F28" i="7"/>
  <c r="L28" i="7" s="1"/>
  <c r="F27" i="7"/>
  <c r="F26" i="7"/>
  <c r="N26" i="7" s="1"/>
  <c r="F25" i="7"/>
  <c r="J25" i="7" s="1"/>
  <c r="F24" i="7"/>
  <c r="F23" i="7"/>
  <c r="J23" i="7" s="1"/>
  <c r="F22" i="7"/>
  <c r="J21" i="7"/>
  <c r="F21" i="7"/>
  <c r="N20" i="7"/>
  <c r="L20" i="7"/>
  <c r="F20" i="7"/>
  <c r="J20" i="7" s="1"/>
  <c r="J19" i="7"/>
  <c r="F19" i="7"/>
  <c r="N19" i="7" s="1"/>
  <c r="N18" i="7"/>
  <c r="L18" i="7"/>
  <c r="J18" i="7"/>
  <c r="F18" i="7"/>
  <c r="N17" i="7"/>
  <c r="L17" i="7"/>
  <c r="F17" i="7"/>
  <c r="J17" i="7" s="1"/>
  <c r="N16" i="7"/>
  <c r="J16" i="7"/>
  <c r="F16" i="7"/>
  <c r="L16" i="7" s="1"/>
  <c r="F15" i="7"/>
  <c r="L15" i="7" s="1"/>
  <c r="N14" i="7"/>
  <c r="J14" i="7"/>
  <c r="F14" i="7"/>
  <c r="L14" i="7" s="1"/>
  <c r="N13" i="7"/>
  <c r="F13" i="7"/>
  <c r="L13" i="7" s="1"/>
  <c r="L12" i="7"/>
  <c r="J12" i="7"/>
  <c r="F12" i="7"/>
  <c r="N12" i="7" s="1"/>
  <c r="N11" i="7"/>
  <c r="J11" i="7"/>
  <c r="F11" i="7"/>
  <c r="L11" i="7" s="1"/>
  <c r="N10" i="7"/>
  <c r="L10" i="7"/>
  <c r="F10" i="7"/>
  <c r="J10" i="7" s="1"/>
  <c r="L9" i="7"/>
  <c r="J9" i="7"/>
  <c r="F9" i="7"/>
  <c r="N9" i="7" s="1"/>
  <c r="F8" i="7"/>
  <c r="N7" i="7"/>
  <c r="L7" i="7"/>
  <c r="J7" i="7"/>
  <c r="F7" i="7"/>
  <c r="I43" i="5"/>
  <c r="I42" i="5"/>
  <c r="I41" i="5"/>
  <c r="I40" i="5"/>
  <c r="I39" i="5"/>
  <c r="J37" i="5" s="1"/>
  <c r="I38" i="5"/>
  <c r="V37" i="5"/>
  <c r="S37" i="5"/>
  <c r="P37" i="5"/>
  <c r="M37" i="5"/>
  <c r="I37" i="5"/>
  <c r="G37" i="5"/>
  <c r="I36" i="5"/>
  <c r="I35" i="5"/>
  <c r="I34" i="5"/>
  <c r="I33" i="5"/>
  <c r="I32" i="5"/>
  <c r="I31" i="5"/>
  <c r="I30" i="5"/>
  <c r="V29" i="5"/>
  <c r="S29" i="5"/>
  <c r="P29" i="5"/>
  <c r="M29" i="5"/>
  <c r="I29" i="5"/>
  <c r="G29" i="5"/>
  <c r="I28" i="5"/>
  <c r="I27" i="5"/>
  <c r="I26" i="5"/>
  <c r="I25" i="5"/>
  <c r="I24" i="5"/>
  <c r="I23" i="5"/>
  <c r="V22" i="5"/>
  <c r="S22" i="5"/>
  <c r="P22" i="5"/>
  <c r="M22" i="5"/>
  <c r="I22" i="5"/>
  <c r="G22" i="5"/>
  <c r="I21" i="5"/>
  <c r="I20" i="5"/>
  <c r="I19" i="5"/>
  <c r="I18" i="5"/>
  <c r="J15" i="5" s="1"/>
  <c r="I17" i="5"/>
  <c r="I16" i="5"/>
  <c r="V15" i="5"/>
  <c r="S15" i="5"/>
  <c r="P15" i="5"/>
  <c r="M15" i="5"/>
  <c r="I15" i="5"/>
  <c r="G15" i="5"/>
  <c r="I14" i="5"/>
  <c r="I13" i="5"/>
  <c r="I12" i="5"/>
  <c r="I11" i="5"/>
  <c r="I10" i="5"/>
  <c r="I9" i="5"/>
  <c r="V8" i="5"/>
  <c r="S8" i="5"/>
  <c r="P8" i="5"/>
  <c r="M8" i="5"/>
  <c r="I8" i="5"/>
  <c r="G8" i="5"/>
  <c r="I7" i="5"/>
  <c r="I6" i="5"/>
  <c r="W5" i="5"/>
  <c r="T5" i="5"/>
  <c r="Q5" i="5"/>
  <c r="N5" i="5"/>
  <c r="I5" i="5"/>
  <c r="H5" i="5"/>
  <c r="V37" i="3"/>
  <c r="S37" i="3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M29" i="3"/>
  <c r="J29" i="3"/>
  <c r="G29" i="3"/>
  <c r="U28" i="3"/>
  <c r="O28" i="3"/>
  <c r="U27" i="3"/>
  <c r="V27" i="3" s="1"/>
  <c r="S27" i="3"/>
  <c r="O27" i="3"/>
  <c r="U26" i="3"/>
  <c r="O26" i="3"/>
  <c r="U25" i="3"/>
  <c r="O25" i="3"/>
  <c r="U24" i="3"/>
  <c r="O24" i="3"/>
  <c r="U23" i="3"/>
  <c r="O23" i="3"/>
  <c r="U22" i="3"/>
  <c r="O22" i="3"/>
  <c r="M22" i="3"/>
  <c r="J22" i="3"/>
  <c r="G22" i="3"/>
  <c r="U21" i="3"/>
  <c r="O21" i="3"/>
  <c r="U20" i="3"/>
  <c r="S20" i="3"/>
  <c r="O20" i="3"/>
  <c r="U19" i="3"/>
  <c r="O19" i="3"/>
  <c r="U18" i="3"/>
  <c r="O18" i="3"/>
  <c r="U17" i="3"/>
  <c r="O17" i="3"/>
  <c r="U16" i="3"/>
  <c r="O16" i="3"/>
  <c r="U15" i="3"/>
  <c r="O15" i="3"/>
  <c r="M15" i="3"/>
  <c r="P15" i="3" s="1"/>
  <c r="J15" i="3"/>
  <c r="G15" i="3"/>
  <c r="U14" i="3"/>
  <c r="O14" i="3"/>
  <c r="U13" i="3"/>
  <c r="V13" i="3" s="1"/>
  <c r="S13" i="3"/>
  <c r="O13" i="3"/>
  <c r="U12" i="3"/>
  <c r="O12" i="3"/>
  <c r="U11" i="3"/>
  <c r="O11" i="3"/>
  <c r="U10" i="3"/>
  <c r="O10" i="3"/>
  <c r="U9" i="3"/>
  <c r="O9" i="3"/>
  <c r="U8" i="3"/>
  <c r="O8" i="3"/>
  <c r="M8" i="3"/>
  <c r="P8" i="3" s="1"/>
  <c r="J8" i="3"/>
  <c r="G8" i="3"/>
  <c r="U7" i="3"/>
  <c r="V6" i="3" s="1"/>
  <c r="O7" i="3"/>
  <c r="U6" i="3"/>
  <c r="S6" i="3"/>
  <c r="O6" i="3"/>
  <c r="V5" i="3"/>
  <c r="U5" i="3"/>
  <c r="T5" i="3"/>
  <c r="W5" i="3" s="1"/>
  <c r="S5" i="3"/>
  <c r="O5" i="3"/>
  <c r="N5" i="3"/>
  <c r="K5" i="3"/>
  <c r="H5" i="3"/>
  <c r="D24" i="57"/>
  <c r="D23" i="57"/>
  <c r="D22" i="57"/>
  <c r="J18" i="57"/>
  <c r="D18" i="57"/>
  <c r="I17" i="57"/>
  <c r="K17" i="57" s="1"/>
  <c r="E17" i="57"/>
  <c r="I16" i="57"/>
  <c r="K16" i="57" s="1"/>
  <c r="C16" i="57"/>
  <c r="E16" i="57" s="1"/>
  <c r="I15" i="57"/>
  <c r="E15" i="57"/>
  <c r="D11" i="57"/>
  <c r="D10" i="57"/>
  <c r="E9" i="57"/>
  <c r="C9" i="57"/>
  <c r="B9" i="57"/>
  <c r="D8" i="57"/>
  <c r="K7" i="57"/>
  <c r="J7" i="57"/>
  <c r="I7" i="57"/>
  <c r="D7" i="57"/>
  <c r="D6" i="57"/>
  <c r="J36" i="56" l="1"/>
  <c r="D35" i="56"/>
  <c r="F35" i="56"/>
  <c r="M14" i="19"/>
  <c r="K14" i="19" s="1"/>
  <c r="L26" i="6"/>
  <c r="N30" i="6"/>
  <c r="J27" i="6"/>
  <c r="N27" i="6"/>
  <c r="N29" i="6"/>
  <c r="J30" i="6"/>
  <c r="J30" i="7"/>
  <c r="L30" i="7"/>
  <c r="J26" i="7"/>
  <c r="J29" i="7"/>
  <c r="L26" i="7"/>
  <c r="N28" i="7"/>
  <c r="D9" i="57"/>
  <c r="P22" i="3"/>
  <c r="I18" i="57"/>
  <c r="C18" i="57"/>
  <c r="V20" i="3"/>
  <c r="Q5" i="3"/>
  <c r="K15" i="57"/>
  <c r="AX67" i="49"/>
  <c r="AW68" i="49"/>
  <c r="AW67" i="49"/>
  <c r="AW80" i="48"/>
  <c r="AW76" i="48"/>
  <c r="AW78" i="48"/>
  <c r="AW77" i="48"/>
  <c r="AW81" i="48"/>
  <c r="AW82" i="48"/>
  <c r="AW75" i="48"/>
  <c r="AX73" i="48"/>
  <c r="AW84" i="48"/>
  <c r="AW83" i="48"/>
  <c r="AW73" i="48"/>
  <c r="AW85" i="48"/>
  <c r="AW74" i="48"/>
  <c r="AR85" i="48"/>
  <c r="AR84" i="48"/>
  <c r="AS73" i="48"/>
  <c r="AR83" i="48"/>
  <c r="AR77" i="48"/>
  <c r="AR79" i="48"/>
  <c r="AR80" i="48"/>
  <c r="AR81" i="48"/>
  <c r="AR82" i="48"/>
  <c r="AR73" i="48"/>
  <c r="AR74" i="48"/>
  <c r="AR75" i="48"/>
  <c r="AR78" i="48"/>
  <c r="K69" i="49"/>
  <c r="M69" i="49" s="1"/>
  <c r="AM82" i="48"/>
  <c r="AM79" i="48"/>
  <c r="AM80" i="48"/>
  <c r="AM81" i="48"/>
  <c r="AN73" i="48"/>
  <c r="AM77" i="48"/>
  <c r="AM84" i="48"/>
  <c r="AM83" i="48"/>
  <c r="AM74" i="48"/>
  <c r="AM75" i="48"/>
  <c r="AM85" i="48"/>
  <c r="AM73" i="48"/>
  <c r="AM78" i="48"/>
  <c r="AH81" i="48"/>
  <c r="AH82" i="48"/>
  <c r="AH73" i="48"/>
  <c r="AH74" i="48"/>
  <c r="AH75" i="48"/>
  <c r="AH84" i="48"/>
  <c r="AH83" i="48"/>
  <c r="AH78" i="48"/>
  <c r="AH79" i="48"/>
  <c r="AH80" i="48"/>
  <c r="K77" i="48"/>
  <c r="AI73" i="48"/>
  <c r="AH85" i="48"/>
  <c r="K85" i="48"/>
  <c r="AH68" i="49"/>
  <c r="AC69" i="49"/>
  <c r="AC68" i="49"/>
  <c r="K68" i="49"/>
  <c r="AC79" i="48"/>
  <c r="AC80" i="48"/>
  <c r="AC85" i="48"/>
  <c r="AC84" i="48"/>
  <c r="AC74" i="48"/>
  <c r="AC77" i="48"/>
  <c r="AC78" i="48"/>
  <c r="AC83" i="48"/>
  <c r="K79" i="48"/>
  <c r="M79" i="48" s="1"/>
  <c r="K84" i="48"/>
  <c r="K80" i="48"/>
  <c r="AC75" i="48"/>
  <c r="K75" i="48"/>
  <c r="L15" i="6"/>
  <c r="N15" i="6"/>
  <c r="J15" i="6"/>
  <c r="AM39" i="48"/>
  <c r="K39" i="48"/>
  <c r="G16" i="48"/>
  <c r="K74" i="48"/>
  <c r="X82" i="48"/>
  <c r="X74" i="48"/>
  <c r="X83" i="48"/>
  <c r="AW16" i="48"/>
  <c r="K38" i="48"/>
  <c r="AH60" i="48"/>
  <c r="S97" i="48"/>
  <c r="N27" i="7"/>
  <c r="J27" i="7"/>
  <c r="N22" i="7"/>
  <c r="L22" i="7"/>
  <c r="M29" i="49"/>
  <c r="N32" i="7"/>
  <c r="L32" i="7"/>
  <c r="J32" i="7"/>
  <c r="AR13" i="48"/>
  <c r="K13" i="48"/>
  <c r="AW13" i="48"/>
  <c r="G119" i="48"/>
  <c r="H119" i="48" s="1"/>
  <c r="N8" i="6"/>
  <c r="L8" i="6"/>
  <c r="J8" i="6"/>
  <c r="AN7" i="48"/>
  <c r="X55" i="48"/>
  <c r="AR59" i="48"/>
  <c r="K63" i="48"/>
  <c r="AC63" i="48"/>
  <c r="S73" i="48"/>
  <c r="S80" i="48"/>
  <c r="AR96" i="48"/>
  <c r="G124" i="48"/>
  <c r="X48" i="49"/>
  <c r="X47" i="49"/>
  <c r="AR35" i="48"/>
  <c r="AM56" i="48"/>
  <c r="AM58" i="48"/>
  <c r="AN53" i="48"/>
  <c r="AM40" i="48"/>
  <c r="J22" i="7"/>
  <c r="AS30" i="48"/>
  <c r="AR38" i="48"/>
  <c r="AR31" i="48"/>
  <c r="AR40" i="48"/>
  <c r="AR36" i="48"/>
  <c r="N21" i="6"/>
  <c r="J21" i="6"/>
  <c r="AR30" i="48"/>
  <c r="X61" i="48"/>
  <c r="K61" i="48"/>
  <c r="J8" i="5"/>
  <c r="J15" i="7"/>
  <c r="AR57" i="48"/>
  <c r="J22" i="5"/>
  <c r="L17" i="6"/>
  <c r="J17" i="6"/>
  <c r="AM41" i="48"/>
  <c r="AC61" i="48"/>
  <c r="G84" i="48"/>
  <c r="AR7" i="49"/>
  <c r="AR9" i="49"/>
  <c r="AS7" i="49"/>
  <c r="K8" i="49"/>
  <c r="AR8" i="49"/>
  <c r="D36" i="56"/>
  <c r="N15" i="7"/>
  <c r="L25" i="7"/>
  <c r="N25" i="7"/>
  <c r="G17" i="6"/>
  <c r="AR41" i="48"/>
  <c r="N34" i="7"/>
  <c r="J34" i="7"/>
  <c r="L34" i="7"/>
  <c r="N18" i="6"/>
  <c r="J18" i="6"/>
  <c r="L18" i="6"/>
  <c r="N28" i="6"/>
  <c r="J28" i="6"/>
  <c r="AR136" i="48"/>
  <c r="AR18" i="48"/>
  <c r="AR134" i="48"/>
  <c r="AR8" i="48"/>
  <c r="K7" i="48"/>
  <c r="M8" i="48" s="1"/>
  <c r="AR10" i="48"/>
  <c r="AR135" i="48"/>
  <c r="AS7" i="48"/>
  <c r="AR7" i="48"/>
  <c r="AR15" i="48"/>
  <c r="S39" i="48"/>
  <c r="S30" i="48"/>
  <c r="S35" i="48"/>
  <c r="S32" i="48"/>
  <c r="S37" i="48"/>
  <c r="S40" i="48"/>
  <c r="AM34" i="48"/>
  <c r="S36" i="48"/>
  <c r="AW41" i="48"/>
  <c r="AM61" i="48"/>
  <c r="X75" i="48"/>
  <c r="N8" i="7"/>
  <c r="J8" i="7"/>
  <c r="H7" i="7"/>
  <c r="L8" i="7"/>
  <c r="L35" i="7"/>
  <c r="J35" i="7"/>
  <c r="G10" i="6"/>
  <c r="L10" i="6"/>
  <c r="J10" i="6"/>
  <c r="L28" i="6"/>
  <c r="AX7" i="48"/>
  <c r="AW14" i="48"/>
  <c r="AW12" i="48"/>
  <c r="AW17" i="48"/>
  <c r="T30" i="48"/>
  <c r="K31" i="48"/>
  <c r="M31" i="48" s="1"/>
  <c r="AC37" i="48"/>
  <c r="AR56" i="48"/>
  <c r="AC55" i="48"/>
  <c r="AC56" i="48"/>
  <c r="AM62" i="48"/>
  <c r="X73" i="48"/>
  <c r="AR133" i="48"/>
  <c r="K135" i="48"/>
  <c r="M135" i="48" s="1"/>
  <c r="S135" i="48"/>
  <c r="AW27" i="49"/>
  <c r="AW28" i="49"/>
  <c r="L27" i="7"/>
  <c r="AR11" i="48"/>
  <c r="AM32" i="48"/>
  <c r="X78" i="48"/>
  <c r="K78" i="48"/>
  <c r="K126" i="48"/>
  <c r="M126" i="48" s="1"/>
  <c r="S126" i="48"/>
  <c r="N24" i="7"/>
  <c r="L24" i="7"/>
  <c r="G24" i="7"/>
  <c r="L24" i="6"/>
  <c r="G24" i="6"/>
  <c r="J24" i="6"/>
  <c r="AW7" i="48"/>
  <c r="AR14" i="48"/>
  <c r="AC40" i="48"/>
  <c r="K40" i="48"/>
  <c r="AW53" i="48"/>
  <c r="AW64" i="48"/>
  <c r="AW58" i="48"/>
  <c r="AW56" i="48"/>
  <c r="AW57" i="48"/>
  <c r="AM54" i="48"/>
  <c r="AH62" i="48"/>
  <c r="AW61" i="48"/>
  <c r="AR63" i="48"/>
  <c r="AH64" i="48"/>
  <c r="Y73" i="48"/>
  <c r="S81" i="48"/>
  <c r="AC112" i="48"/>
  <c r="K112" i="48"/>
  <c r="M112" i="48" s="1"/>
  <c r="L87" i="49"/>
  <c r="M87" i="49"/>
  <c r="AR64" i="48"/>
  <c r="K82" i="48"/>
  <c r="M82" i="48" s="1"/>
  <c r="S82" i="48"/>
  <c r="D9" i="1"/>
  <c r="E9" i="1"/>
  <c r="AM17" i="48"/>
  <c r="K17" i="48"/>
  <c r="X60" i="48"/>
  <c r="W6" i="1"/>
  <c r="H7" i="6"/>
  <c r="X7" i="48"/>
  <c r="M54" i="48"/>
  <c r="S85" i="48"/>
  <c r="J24" i="7"/>
  <c r="AW31" i="48"/>
  <c r="Y53" i="48"/>
  <c r="AM33" i="48"/>
  <c r="J29" i="5"/>
  <c r="AC38" i="48"/>
  <c r="G17" i="7"/>
  <c r="N21" i="7"/>
  <c r="L21" i="7"/>
  <c r="N24" i="6"/>
  <c r="AM10" i="48"/>
  <c r="AC39" i="48"/>
  <c r="AH38" i="48"/>
  <c r="AH37" i="48"/>
  <c r="AH30" i="48"/>
  <c r="AX53" i="48"/>
  <c r="AH56" i="48"/>
  <c r="X57" i="48"/>
  <c r="X81" i="48"/>
  <c r="K81" i="48"/>
  <c r="AM49" i="49"/>
  <c r="K49" i="49"/>
  <c r="M49" i="49" s="1"/>
  <c r="AD67" i="49"/>
  <c r="AC67" i="49"/>
  <c r="K5" i="5"/>
  <c r="AM12" i="48"/>
  <c r="K12" i="48"/>
  <c r="M12" i="48" s="1"/>
  <c r="AI30" i="48"/>
  <c r="AH33" i="48"/>
  <c r="X54" i="48"/>
  <c r="K55" i="48"/>
  <c r="AH61" i="48"/>
  <c r="K73" i="48"/>
  <c r="AD73" i="48"/>
  <c r="AC73" i="48"/>
  <c r="AR48" i="49"/>
  <c r="AS47" i="49"/>
  <c r="K9" i="48"/>
  <c r="AM9" i="48"/>
  <c r="AR12" i="48"/>
  <c r="AM15" i="48"/>
  <c r="K18" i="48"/>
  <c r="AM18" i="48"/>
  <c r="H30" i="48"/>
  <c r="S34" i="48"/>
  <c r="S38" i="48"/>
  <c r="AR58" i="48"/>
  <c r="AC62" i="48"/>
  <c r="AC64" i="48"/>
  <c r="AD53" i="48"/>
  <c r="AC59" i="48"/>
  <c r="AC57" i="48"/>
  <c r="X58" i="48"/>
  <c r="AW59" i="48"/>
  <c r="AR60" i="48"/>
  <c r="S79" i="48"/>
  <c r="AW60" i="48"/>
  <c r="K76" i="48"/>
  <c r="X79" i="48"/>
  <c r="G107" i="48"/>
  <c r="AC119" i="48"/>
  <c r="G132" i="48"/>
  <c r="S7" i="49"/>
  <c r="AM7" i="49"/>
  <c r="AN67" i="49"/>
  <c r="AM67" i="49"/>
  <c r="N31" i="7"/>
  <c r="J31" i="7"/>
  <c r="N25" i="6"/>
  <c r="L25" i="6"/>
  <c r="AC7" i="48"/>
  <c r="AR9" i="48"/>
  <c r="AM13" i="48"/>
  <c r="AM30" i="48"/>
  <c r="AM36" i="48"/>
  <c r="S31" i="48"/>
  <c r="AR32" i="48"/>
  <c r="G40" i="48"/>
  <c r="AR53" i="48"/>
  <c r="AC54" i="48"/>
  <c r="G31" i="7"/>
  <c r="J25" i="6"/>
  <c r="AH7" i="48"/>
  <c r="AI7" i="48"/>
  <c r="AN30" i="48"/>
  <c r="X31" i="48"/>
  <c r="X37" i="48"/>
  <c r="X41" i="48"/>
  <c r="X30" i="48"/>
  <c r="AW32" i="48"/>
  <c r="X35" i="48"/>
  <c r="K35" i="48"/>
  <c r="AM37" i="48"/>
  <c r="AH41" i="48"/>
  <c r="K53" i="48"/>
  <c r="S61" i="48"/>
  <c r="S60" i="48"/>
  <c r="S58" i="48"/>
  <c r="S64" i="48"/>
  <c r="AS53" i="48"/>
  <c r="AH54" i="48"/>
  <c r="AH55" i="48"/>
  <c r="AH63" i="48"/>
  <c r="S63" i="48"/>
  <c r="G73" i="48"/>
  <c r="H73" i="48" s="1"/>
  <c r="X76" i="48"/>
  <c r="K101" i="48"/>
  <c r="M101" i="48" s="1"/>
  <c r="S101" i="48"/>
  <c r="K106" i="48"/>
  <c r="M106" i="48" s="1"/>
  <c r="S106" i="48"/>
  <c r="AN7" i="49"/>
  <c r="AS67" i="49"/>
  <c r="AR67" i="49"/>
  <c r="G104" i="48"/>
  <c r="N22" i="6"/>
  <c r="L22" i="6"/>
  <c r="J22" i="6"/>
  <c r="G10" i="48"/>
  <c r="H7" i="48" s="1"/>
  <c r="K16" i="48"/>
  <c r="AM16" i="48"/>
  <c r="AW39" i="48"/>
  <c r="AW30" i="48"/>
  <c r="AW35" i="48"/>
  <c r="AH31" i="48"/>
  <c r="AW33" i="48"/>
  <c r="AR34" i="48"/>
  <c r="AW37" i="48"/>
  <c r="X56" i="48"/>
  <c r="X64" i="48"/>
  <c r="AR54" i="48"/>
  <c r="X59" i="48"/>
  <c r="AR62" i="48"/>
  <c r="S77" i="48"/>
  <c r="X96" i="48"/>
  <c r="M97" i="36"/>
  <c r="M99" i="36"/>
  <c r="M98" i="36"/>
  <c r="M101" i="36"/>
  <c r="M100" i="36"/>
  <c r="M87" i="36"/>
  <c r="L87" i="36"/>
  <c r="P29" i="3"/>
  <c r="N35" i="6"/>
  <c r="L35" i="6"/>
  <c r="J35" i="6"/>
  <c r="AM11" i="48"/>
  <c r="AR16" i="48"/>
  <c r="AX30" i="48"/>
  <c r="X53" i="48"/>
  <c r="K60" i="48"/>
  <c r="X34" i="1"/>
  <c r="V34" i="1" s="1"/>
  <c r="X48" i="1"/>
  <c r="V48" i="1" s="1"/>
  <c r="X85" i="48"/>
  <c r="AH36" i="48"/>
  <c r="K37" i="48"/>
  <c r="AW54" i="48"/>
  <c r="S98" i="48"/>
  <c r="AR119" i="48"/>
  <c r="S120" i="48"/>
  <c r="S123" i="48"/>
  <c r="L27" i="49"/>
  <c r="AW29" i="49"/>
  <c r="AC28" i="49"/>
  <c r="L47" i="49"/>
  <c r="H36" i="56"/>
  <c r="S84" i="48"/>
  <c r="S75" i="48"/>
  <c r="AM8" i="48"/>
  <c r="M41" i="36"/>
  <c r="M27" i="36"/>
  <c r="M40" i="36"/>
  <c r="L27" i="36"/>
  <c r="M39" i="36"/>
  <c r="M38" i="36"/>
  <c r="M37" i="36"/>
  <c r="T119" i="48"/>
  <c r="K119" i="48"/>
  <c r="AC33" i="48"/>
  <c r="K56" i="48"/>
  <c r="G10" i="7"/>
  <c r="J13" i="7"/>
  <c r="L19" i="7"/>
  <c r="L23" i="7"/>
  <c r="J9" i="6"/>
  <c r="N12" i="6"/>
  <c r="J19" i="6"/>
  <c r="J29" i="6"/>
  <c r="J32" i="6"/>
  <c r="AM7" i="48"/>
  <c r="AW10" i="48"/>
  <c r="AC30" i="48"/>
  <c r="X32" i="48"/>
  <c r="AC34" i="48"/>
  <c r="AW40" i="48"/>
  <c r="AH53" i="48"/>
  <c r="AH57" i="48"/>
  <c r="AI53" i="48"/>
  <c r="S56" i="48"/>
  <c r="K58" i="48"/>
  <c r="M58" i="48" s="1"/>
  <c r="AH59" i="48"/>
  <c r="AM96" i="48"/>
  <c r="X119" i="48"/>
  <c r="S29" i="49"/>
  <c r="T27" i="49"/>
  <c r="S27" i="49"/>
  <c r="S28" i="49"/>
  <c r="AX27" i="49"/>
  <c r="S49" i="49"/>
  <c r="T47" i="49"/>
  <c r="S47" i="49"/>
  <c r="S48" i="49"/>
  <c r="AX47" i="49"/>
  <c r="H87" i="49"/>
  <c r="X34" i="48"/>
  <c r="AM38" i="48"/>
  <c r="X62" i="48"/>
  <c r="X80" i="48"/>
  <c r="N23" i="7"/>
  <c r="L9" i="6"/>
  <c r="L32" i="6"/>
  <c r="AD30" i="48"/>
  <c r="AR33" i="48"/>
  <c r="AH34" i="48"/>
  <c r="AC41" i="48"/>
  <c r="AM63" i="48"/>
  <c r="AM53" i="48"/>
  <c r="AM55" i="48"/>
  <c r="AM57" i="48"/>
  <c r="AR61" i="48"/>
  <c r="S78" i="48"/>
  <c r="G129" i="48"/>
  <c r="X49" i="49"/>
  <c r="Y47" i="49"/>
  <c r="AH107" i="49"/>
  <c r="K107" i="49"/>
  <c r="M14" i="50"/>
  <c r="K14" i="50" s="1"/>
  <c r="L36" i="56"/>
  <c r="AH39" i="48"/>
  <c r="S59" i="48"/>
  <c r="G60" i="48"/>
  <c r="H53" i="48" s="1"/>
  <c r="AM60" i="48"/>
  <c r="X77" i="48"/>
  <c r="AD96" i="48"/>
  <c r="AC96" i="48"/>
  <c r="M20" i="36"/>
  <c r="M17" i="36"/>
  <c r="M18" i="36"/>
  <c r="M7" i="36"/>
  <c r="M21" i="36"/>
  <c r="L7" i="36"/>
  <c r="C1" i="36" s="1"/>
  <c r="M9" i="49"/>
  <c r="AN27" i="49"/>
  <c r="AM27" i="49"/>
  <c r="K28" i="49"/>
  <c r="AN107" i="49"/>
  <c r="AM107" i="49"/>
  <c r="H96" i="48"/>
  <c r="AR29" i="49"/>
  <c r="AD47" i="49"/>
  <c r="AC49" i="49"/>
  <c r="S69" i="49"/>
  <c r="T67" i="49"/>
  <c r="S67" i="49"/>
  <c r="K67" i="49"/>
  <c r="M22" i="19"/>
  <c r="K22" i="19" s="1"/>
  <c r="E11" i="1"/>
  <c r="D11" i="1"/>
  <c r="K14" i="48"/>
  <c r="AW15" i="48"/>
  <c r="Y30" i="48"/>
  <c r="X40" i="48"/>
  <c r="X63" i="48"/>
  <c r="AM64" i="48"/>
  <c r="S76" i="48"/>
  <c r="T73" i="48"/>
  <c r="X84" i="48"/>
  <c r="AI96" i="48"/>
  <c r="AR27" i="49"/>
  <c r="AC47" i="49"/>
  <c r="AW48" i="49"/>
  <c r="AN87" i="49"/>
  <c r="AM87" i="49"/>
  <c r="S88" i="49"/>
  <c r="AR107" i="49"/>
  <c r="G47" i="49"/>
  <c r="H47" i="49" s="1"/>
  <c r="J35" i="56"/>
  <c r="AM31" i="48"/>
  <c r="AC53" i="48"/>
  <c r="S83" i="48"/>
  <c r="M121" i="49"/>
  <c r="L7" i="49"/>
  <c r="M120" i="49"/>
  <c r="M117" i="49"/>
  <c r="M111" i="49"/>
  <c r="M116" i="49"/>
  <c r="M7" i="49"/>
  <c r="AN47" i="49"/>
  <c r="AM47" i="49"/>
  <c r="K48" i="49"/>
  <c r="T87" i="49"/>
  <c r="S87" i="49"/>
  <c r="S121" i="48"/>
  <c r="K121" i="48"/>
  <c r="M121" i="48" s="1"/>
  <c r="AM28" i="49"/>
  <c r="X29" i="49"/>
  <c r="AH27" i="49"/>
  <c r="AM48" i="49"/>
  <c r="T107" i="49"/>
  <c r="S107" i="49"/>
  <c r="X36" i="48"/>
  <c r="G123" i="48"/>
  <c r="AI27" i="49"/>
  <c r="AH47" i="49"/>
  <c r="M68" i="49" l="1"/>
  <c r="M76" i="48"/>
  <c r="M81" i="48"/>
  <c r="M83" i="48"/>
  <c r="M77" i="48"/>
  <c r="M80" i="48"/>
  <c r="M78" i="48"/>
  <c r="M74" i="48"/>
  <c r="M75" i="48"/>
  <c r="M60" i="48"/>
  <c r="M14" i="48"/>
  <c r="M55" i="48"/>
  <c r="M8" i="49"/>
  <c r="M113" i="49"/>
  <c r="M119" i="49"/>
  <c r="M118" i="49"/>
  <c r="M110" i="49"/>
  <c r="M112" i="49"/>
  <c r="M114" i="49"/>
  <c r="M38" i="48"/>
  <c r="M33" i="48"/>
  <c r="M35" i="48"/>
  <c r="M85" i="48"/>
  <c r="M63" i="48"/>
  <c r="L30" i="48"/>
  <c r="M62" i="48"/>
  <c r="M27" i="49"/>
  <c r="M28" i="49"/>
  <c r="M61" i="48"/>
  <c r="M30" i="48"/>
  <c r="L107" i="49"/>
  <c r="M107" i="49"/>
  <c r="L73" i="48"/>
  <c r="M84" i="48"/>
  <c r="M73" i="48"/>
  <c r="M13" i="48"/>
  <c r="M18" i="48"/>
  <c r="M34" i="48"/>
  <c r="M57" i="48"/>
  <c r="L119" i="48"/>
  <c r="M119" i="48"/>
  <c r="M48" i="49"/>
  <c r="M47" i="49"/>
  <c r="L67" i="49"/>
  <c r="M67" i="49"/>
  <c r="M17" i="48"/>
  <c r="M40" i="48"/>
  <c r="L7" i="48"/>
  <c r="M7" i="48"/>
  <c r="M36" i="48"/>
  <c r="M9" i="48"/>
  <c r="M41" i="48"/>
  <c r="M56" i="48"/>
  <c r="M37" i="48"/>
  <c r="M16" i="48"/>
  <c r="M10" i="48"/>
  <c r="M64" i="48"/>
  <c r="M115" i="49"/>
  <c r="M15" i="48"/>
  <c r="M53" i="48"/>
  <c r="L53" i="48"/>
  <c r="M59" i="48"/>
  <c r="M11" i="48"/>
  <c r="M39" i="48"/>
  <c r="M32" i="48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<sst xmlns="http://schemas.openxmlformats.org/spreadsheetml/2006/main" count="2703" uniqueCount="422">
  <si>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</si>
  <si>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</si>
  <si>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</si>
  <si>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</si>
  <si>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</si>
  <si>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</si>
  <si>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</si>
  <si>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</si>
  <si>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</si>
  <si>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</si>
  <si>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</si>
  <si>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</si>
  <si>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</si>
  <si>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十一</t>
  </si>
  <si>
    <t>六</t>
  </si>
  <si>
    <t>一</t>
  </si>
  <si>
    <t>二</t>
  </si>
  <si>
    <t>三</t>
  </si>
  <si>
    <t>四</t>
  </si>
  <si>
    <t>五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</si>
  <si>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</si>
  <si>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</si>
  <si>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</si>
  <si>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</si>
  <si>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</si>
  <si>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</si>
  <si>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</si>
  <si>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</si>
  <si>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</si>
  <si>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</si>
  <si>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</si>
  <si>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</si>
  <si>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</si>
  <si>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</si>
  <si>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</si>
  <si>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</si>
  <si>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</si>
  <si>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</si>
  <si>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</si>
  <si>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</si>
  <si>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</si>
  <si>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</si>
  <si>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</si>
  <si>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</si>
  <si>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</si>
  <si>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</si>
  <si>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</si>
  <si>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</si>
  <si>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</si>
  <si>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</si>
  <si>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</si>
  <si>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</si>
  <si>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</si>
  <si>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</si>
  <si>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</si>
  <si>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</si>
  <si>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</si>
  <si>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</si>
  <si>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</si>
  <si>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</si>
  <si>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</si>
  <si>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</si>
  <si>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</si>
  <si>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</si>
  <si>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</si>
  <si>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</si>
  <si>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</si>
  <si>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</si>
  <si>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</si>
  <si>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</si>
  <si>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</si>
  <si>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</si>
  <si>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</si>
  <si>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</si>
  <si>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白酒蛤蜊義大利麵</t>
  </si>
  <si>
    <t>義式蕃茄起司義大利麵</t>
  </si>
  <si>
    <t>奶油培根義大利麵</t>
  </si>
  <si>
    <t>韓式起司炸雞義大利麵</t>
  </si>
  <si>
    <t>青醬蛤蜊義大利麵</t>
  </si>
  <si>
    <t>配料模式變更待料</t>
  </si>
  <si>
    <t>▼1</t>
  </si>
  <si>
    <t>焗烤明太子筆尖麵</t>
  </si>
  <si>
    <t>▼2</t>
  </si>
  <si>
    <t>奶油蒜香雞義大利麵</t>
  </si>
  <si>
    <t>▼3</t>
  </si>
  <si>
    <t>濃拿坡里義大利麵</t>
  </si>
  <si>
    <t>▼4</t>
  </si>
  <si>
    <t>青花椒麻雞肉拌麵</t>
  </si>
  <si>
    <t>▼5</t>
  </si>
  <si>
    <t>奶油起司蝦仁通心粉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</si>
  <si>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</si>
  <si>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</si>
  <si>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</si>
  <si>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</si>
  <si>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</si>
  <si>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</si>
  <si>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</si>
  <si>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</si>
  <si>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</si>
  <si>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</si>
  <si>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</si>
  <si>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</si>
  <si>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</si>
  <si>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</si>
  <si>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</si>
  <si>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</si>
  <si>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</si>
  <si>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</si>
  <si>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</si>
  <si>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</si>
  <si>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</si>
  <si>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</si>
  <si>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</si>
  <si>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</si>
  <si>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</si>
  <si>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</si>
  <si>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</si>
  <si>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預估&gt;實際→配料方式變更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</si>
  <si>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</si>
  <si>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</si>
  <si>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</si>
  <si>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義麵-海鮮湯凍(113年)</t>
  </si>
  <si>
    <t>韓式炸雞義大利麵</t>
  </si>
  <si>
    <t>義麵-蒜味奶油湯凍</t>
  </si>
  <si>
    <t>煮單色彎管麵</t>
  </si>
  <si>
    <t>包裝超用超補→加強教育訓練</t>
  </si>
  <si>
    <t>剝皮辣椒雞奶油細扁麵</t>
  </si>
  <si>
    <t>細扁麵</t>
  </si>
  <si>
    <t>調理包-味噌醬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</si>
  <si>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</si>
  <si>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</si>
  <si>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</si>
  <si>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</si>
  <si>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煮細扁麵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</si>
  <si>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</si>
  <si>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</si>
  <si>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</si>
  <si>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</si>
  <si>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</si>
  <si>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</si>
  <si>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</si>
  <si>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</si>
  <si>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</si>
  <si>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</si>
  <si>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</si>
  <si>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</si>
  <si>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</si>
  <si>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</si>
  <si>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</si>
  <si>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</si>
  <si>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</si>
  <si>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</si>
  <si>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</si>
  <si>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</si>
  <si>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</si>
  <si>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</si>
  <si>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</si>
  <si>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</si>
  <si>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</si>
  <si>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</si>
  <si>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</si>
  <si>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</si>
  <si>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</si>
  <si>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</si>
  <si>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</si>
  <si>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</si>
  <si>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</si>
  <si>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</si>
  <si>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</si>
  <si>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</si>
  <si>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</si>
  <si>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</si>
  <si>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義麵-紅咖哩醬</t>
  </si>
  <si>
    <t>生管預估</t>
  </si>
  <si>
    <t>預估量大於訂單量</t>
  </si>
  <si>
    <t>配料方式變更-預估訂單80%日班配料,20%及調整由夜班配料</t>
  </si>
  <si>
    <t>南洋紅咖哩豬義大利麵</t>
  </si>
  <si>
    <t>週前二十</t>
  </si>
  <si>
    <t>調理多產</t>
  </si>
  <si>
    <t>義麵-奶油起司白醬</t>
  </si>
  <si>
    <t>調理</t>
  </si>
  <si>
    <t>包裝</t>
  </si>
  <si>
    <t>焗烤起司雙饗筆尖麵</t>
  </si>
  <si>
    <t>原物料</t>
  </si>
  <si>
    <t>加強教育訓練，抓樣範圍95%~105%</t>
  </si>
  <si>
    <t>調理包-起司醬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</si>
  <si>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</si>
  <si>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川燙玉米筍塊</t>
  </si>
  <si>
    <t>加強教育訓練，抓樣範圍95%~104%</t>
  </si>
  <si>
    <t>川燙洋蔥絲</t>
  </si>
  <si>
    <t>濃拿波里義大利麵</t>
  </si>
  <si>
    <t>步留因素</t>
  </si>
  <si>
    <t>川燙青椒絲</t>
  </si>
  <si>
    <t>研發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</si>
  <si>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</si>
  <si>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</si>
  <si>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加強教育訓練，抓樣範圍95%~106%</t>
  </si>
  <si>
    <t>甜不辣條包裝4條不足重，使用蘿蔔補重</t>
  </si>
  <si>
    <t>加強教育訓練，抓樣範圍95%~108%</t>
  </si>
  <si>
    <t>加強教育訓練，抓樣範圍95%~109%</t>
  </si>
  <si>
    <t>加強教育訓練，抓樣範圍95%~110%</t>
  </si>
  <si>
    <t>加強教育訓練，抓樣範圍95%~111%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</si>
  <si>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</si>
  <si>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</si>
  <si>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</si>
  <si>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</si>
  <si>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</si>
  <si>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</si>
  <si>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</si>
  <si>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</si>
  <si>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</si>
  <si>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</si>
  <si>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</si>
  <si>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</si>
  <si>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</si>
  <si>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</si>
  <si>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</si>
  <si>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</si>
  <si>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</si>
  <si>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</si>
  <si>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</si>
  <si>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</si>
  <si>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</si>
  <si>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</si>
  <si>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</si>
  <si>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</si>
  <si>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</si>
  <si>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</si>
  <si>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</si>
  <si>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</si>
  <si>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</si>
  <si>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</si>
  <si>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</si>
  <si>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</si>
  <si>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</si>
  <si>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</si>
  <si>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</si>
  <si>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</si>
  <si>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</si>
  <si>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</si>
  <si>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</si>
  <si>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</si>
  <si>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</si>
  <si>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</si>
  <si>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</si>
  <si>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</si>
  <si>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</si>
  <si>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</si>
  <si>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</si>
  <si>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</si>
  <si>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</si>
  <si>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</si>
  <si>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</si>
  <si>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</si>
  <si>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</si>
  <si>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</si>
  <si>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</si>
  <si>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</si>
  <si>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</si>
  <si>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</si>
  <si>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</si>
  <si>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</si>
  <si>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</si>
  <si>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</si>
  <si>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</si>
  <si>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</si>
  <si>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</si>
  <si>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</si>
  <si>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</si>
  <si>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</si>
  <si>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</si>
  <si>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</si>
  <si>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</si>
  <si>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</si>
  <si>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</si>
  <si>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</si>
  <si>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</si>
  <si>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</si>
  <si>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</si>
  <si>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</si>
  <si>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</si>
  <si>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</si>
  <si>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</si>
  <si>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</si>
  <si>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</si>
  <si>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</si>
  <si>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</si>
  <si>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</si>
  <si>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</si>
  <si>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</si>
  <si>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</si>
  <si>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</si>
  <si>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</si>
  <si>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</si>
  <si>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</si>
  <si>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</si>
  <si>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</si>
  <si>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</si>
  <si>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</si>
  <si>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</si>
  <si>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</si>
  <si>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</si>
  <si>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</si>
  <si>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</si>
  <si>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</si>
  <si>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</si>
  <si>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</si>
  <si>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</si>
  <si>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</si>
  <si>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</si>
  <si>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</si>
  <si>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</si>
  <si>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</si>
  <si>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</si>
  <si>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</si>
  <si>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</si>
  <si>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</si>
  <si>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</si>
  <si>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</si>
  <si>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</si>
  <si>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</si>
  <si>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</si>
  <si>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</si>
  <si>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</si>
  <si>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</si>
  <si>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</si>
  <si>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</si>
  <si>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</si>
  <si>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</si>
  <si>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</si>
  <si>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</si>
  <si>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</si>
  <si>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</si>
  <si>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</si>
  <si>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</si>
  <si>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</si>
  <si>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</si>
  <si>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</si>
  <si>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</si>
  <si>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</si>
  <si>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</si>
  <si>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</si>
  <si>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</si>
  <si>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</si>
  <si>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</si>
  <si>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</si>
  <si>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</si>
  <si>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</si>
  <si>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</si>
  <si>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</si>
  <si>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</si>
  <si>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</si>
  <si>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</si>
  <si>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</si>
  <si>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</si>
  <si>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</si>
  <si>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</si>
  <si>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</si>
  <si>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</si>
  <si>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剝皮辣椒雞奶油扁麵</t>
  </si>
  <si>
    <t>青花椒麻雞肉拌麵-降速生產</t>
  </si>
  <si>
    <t>奶油蒜香雞義大利麵-降速生產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</si>
  <si>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11/02</t>
    </r>
  </si>
  <si>
    <t>熱那亞青醬義大利麵</t>
  </si>
  <si>
    <t>拿坡里義大利麵</t>
  </si>
  <si>
    <t>黑胡椒燻豬腿義大利麵</t>
  </si>
  <si>
    <t>韓式辣醬肉丸義大利麵</t>
  </si>
  <si>
    <t>家傳炸醬麵</t>
  </si>
  <si>
    <t>羊乳起司培根筆尖麵</t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</si>
  <si>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</si>
  <si>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</si>
  <si>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</si>
  <si>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</si>
  <si>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</si>
  <si>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</si>
  <si>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</si>
  <si>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</si>
  <si>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</si>
  <si>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</si>
  <si>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</si>
  <si>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</si>
  <si>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</si>
  <si>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</si>
  <si>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</si>
  <si>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</si>
  <si>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</si>
  <si>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小滷青蔬</t>
    <phoneticPr fontId="19" type="noConversion"/>
  </si>
  <si>
    <t>起司馬鈴薯</t>
    <phoneticPr fontId="19" type="noConversion"/>
  </si>
  <si>
    <t>生產量過少</t>
    <phoneticPr fontId="19" type="noConversion"/>
  </si>
  <si>
    <t>奶油培根義大利麵</t>
    <phoneticPr fontId="19" type="noConversion"/>
  </si>
  <si>
    <t>青醬蛤蜊義大利麵</t>
    <phoneticPr fontId="19" type="noConversion"/>
  </si>
  <si>
    <t>南洋紅咖哩豬義大利麵</t>
    <phoneticPr fontId="19" type="noConversion"/>
  </si>
  <si>
    <t>韓式起司炸雞義大利麵</t>
    <phoneticPr fontId="19" type="noConversion"/>
  </si>
  <si>
    <t>義式蕃茄起司義大利麵</t>
    <phoneticPr fontId="19" type="noConversion"/>
  </si>
  <si>
    <t>奶油蒜香雞義大利麵</t>
    <phoneticPr fontId="19" type="noConversion"/>
  </si>
  <si>
    <t>濃拿坡里義大利麵</t>
    <phoneticPr fontId="19" type="noConversion"/>
  </si>
  <si>
    <t>剝皮辣椒雞奶油扁麵</t>
    <phoneticPr fontId="19" type="noConversion"/>
  </si>
  <si>
    <t>新線製作，熟練度不足</t>
    <phoneticPr fontId="19" type="noConversion"/>
  </si>
  <si>
    <t>焗烤起司雙饗筆尖麵</t>
    <phoneticPr fontId="19" type="noConversion"/>
  </si>
  <si>
    <t>人員不足</t>
    <phoneticPr fontId="19" type="noConversion"/>
  </si>
  <si>
    <t>新品上巿出料較多</t>
    <phoneticPr fontId="19" type="noConversion"/>
  </si>
  <si>
    <t>超用</t>
    <phoneticPr fontId="19" type="noConversion"/>
  </si>
  <si>
    <t xml:space="preserve">	F-生蒜包</t>
  </si>
  <si>
    <t>義麵-紅咖哩醬</t>
    <phoneticPr fontId="19" type="noConversion"/>
  </si>
  <si>
    <t>新品上巿→調整出料率</t>
    <phoneticPr fontId="19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</si>
  <si>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</si>
  <si>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焗烤奶油白醬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</si>
  <si>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9" type="noConversion"/>
  </si>
  <si>
    <t>焗烤明太子筆尖麵</t>
    <phoneticPr fontId="19" type="noConversion"/>
  </si>
  <si>
    <t>奶油起司蝦仁通心粉</t>
    <phoneticPr fontId="19" type="noConversion"/>
  </si>
  <si>
    <t>義麵-奶油起司白醬</t>
    <phoneticPr fontId="19" type="noConversion"/>
  </si>
  <si>
    <t>義麵-蛋黃白醬(113年)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</si>
  <si>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烤起司雙饗筆尖麵</t>
    </r>
    <phoneticPr fontId="19" type="noConversion"/>
  </si>
  <si>
    <t>韓式炸雞義大利麵</t>
    <phoneticPr fontId="19" type="noConversion"/>
  </si>
  <si>
    <t>義麵-韓式辣奶油白醬(114年)</t>
    <phoneticPr fontId="19" type="noConversion"/>
  </si>
  <si>
    <t>炒-紅咖哩豬肉片</t>
    <phoneticPr fontId="19" type="noConversion"/>
  </si>
  <si>
    <t>台式綜合甜不辣</t>
    <phoneticPr fontId="19" type="noConversion"/>
  </si>
  <si>
    <t>調理包-味噌醬</t>
    <phoneticPr fontId="19" type="noConversion"/>
  </si>
  <si>
    <t>瀝水-白蘿蔔塊</t>
    <phoneticPr fontId="19" type="noConversion"/>
  </si>
  <si>
    <t>川燙-切紅甜椒丁</t>
    <phoneticPr fontId="19" type="noConversion"/>
  </si>
  <si>
    <t>1118~1124</t>
    <phoneticPr fontId="19" type="noConversion"/>
  </si>
  <si>
    <t>W23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</si>
</sst>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theme="1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58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179" fontId="72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" fontId="73" fillId="0" borderId="22" xfId="66" applyNumberFormat="1" applyFont="1" applyBorder="1" applyAlignment="1">
      <alignment horizontal="center" vertical="center"/>
    </xf>
    <xf numFmtId="177" fontId="26" fillId="0" borderId="37" xfId="0" applyNumberFormat="1" applyFont="1" applyBorder="1"/>
    <xf numFmtId="10" fontId="26" fillId="0" borderId="37" xfId="0" applyNumberFormat="1" applyFont="1" applyBorder="1"/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9" fillId="9" borderId="43" xfId="15" applyNumberFormat="1" applyFont="1" applyFill="1" applyBorder="1" applyAlignment="1">
      <alignment horizontal="center" vertical="center"/>
    </xf>
    <xf numFmtId="191" fontId="79" fillId="0" borderId="43" xfId="15" applyNumberFormat="1" applyFont="1" applyBorder="1" applyAlignment="1">
      <alignment horizontal="center" vertical="center"/>
    </xf>
    <xf numFmtId="190" fontId="79" fillId="9" borderId="43" xfId="43" applyNumberFormat="1" applyFont="1" applyFill="1" applyBorder="1" applyAlignment="1">
      <alignment horizontal="center" vertical="center"/>
    </xf>
    <xf numFmtId="10" fontId="79" fillId="0" borderId="43" xfId="255" applyNumberFormat="1" applyFont="1" applyBorder="1" applyAlignment="1">
      <alignment horizontal="center" vertical="center"/>
    </xf>
    <xf numFmtId="190" fontId="79" fillId="9" borderId="43" xfId="255" applyNumberFormat="1" applyFont="1" applyFill="1" applyBorder="1" applyAlignment="1">
      <alignment horizontal="center" vertical="center"/>
    </xf>
    <xf numFmtId="192" fontId="79" fillId="9" borderId="43" xfId="15" applyNumberFormat="1" applyFont="1" applyFill="1" applyBorder="1" applyAlignment="1">
      <alignment horizontal="center" vertical="center"/>
    </xf>
    <xf numFmtId="10" fontId="79" fillId="0" borderId="43" xfId="15" applyNumberFormat="1" applyFont="1" applyBorder="1" applyAlignment="1">
      <alignment horizontal="center" vertical="center"/>
    </xf>
    <xf numFmtId="190" fontId="79" fillId="9" borderId="22" xfId="15" applyNumberFormat="1" applyFont="1" applyFill="1" applyBorder="1" applyAlignment="1">
      <alignment horizontal="center" vertical="center"/>
    </xf>
    <xf numFmtId="191" fontId="79" fillId="0" borderId="22" xfId="15" applyNumberFormat="1" applyFont="1" applyBorder="1" applyAlignment="1">
      <alignment horizontal="center" vertical="center"/>
    </xf>
    <xf numFmtId="190" fontId="79" fillId="9" borderId="22" xfId="43" applyNumberFormat="1" applyFont="1" applyFill="1" applyBorder="1" applyAlignment="1">
      <alignment horizontal="center" vertical="center"/>
    </xf>
    <xf numFmtId="10" fontId="79" fillId="0" borderId="22" xfId="255" applyNumberFormat="1" applyFont="1" applyBorder="1" applyAlignment="1">
      <alignment horizontal="center" vertical="center"/>
    </xf>
    <xf numFmtId="190" fontId="79" fillId="9" borderId="22" xfId="255" applyNumberFormat="1" applyFont="1" applyFill="1" applyBorder="1" applyAlignment="1">
      <alignment horizontal="center" vertical="center"/>
    </xf>
    <xf numFmtId="192" fontId="79" fillId="9" borderId="22" xfId="15" applyNumberFormat="1" applyFont="1" applyFill="1" applyBorder="1" applyAlignment="1">
      <alignment horizontal="center" vertical="center"/>
    </xf>
    <xf numFmtId="10" fontId="79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9" fillId="0" borderId="45" xfId="75" applyNumberFormat="1" applyFont="1" applyBorder="1" applyAlignment="1">
      <alignment horizontal="center" vertical="center"/>
    </xf>
    <xf numFmtId="189" fontId="78" fillId="0" borderId="46" xfId="75" applyNumberFormat="1" applyFont="1" applyBorder="1" applyAlignment="1">
      <alignment horizontal="center" vertical="center"/>
    </xf>
    <xf numFmtId="190" fontId="79" fillId="9" borderId="47" xfId="15" applyNumberFormat="1" applyFont="1" applyFill="1" applyBorder="1" applyAlignment="1">
      <alignment horizontal="center" vertical="center"/>
    </xf>
    <xf numFmtId="191" fontId="79" fillId="0" borderId="47" xfId="15" applyNumberFormat="1" applyFont="1" applyBorder="1" applyAlignment="1">
      <alignment horizontal="center" vertical="center"/>
    </xf>
    <xf numFmtId="10" fontId="79" fillId="0" borderId="47" xfId="255" applyNumberFormat="1" applyFont="1" applyBorder="1" applyAlignment="1">
      <alignment horizontal="center" vertical="center"/>
    </xf>
    <xf numFmtId="10" fontId="79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9" fillId="9" borderId="47" xfId="43" applyNumberFormat="1" applyFont="1" applyFill="1" applyBorder="1" applyAlignment="1">
      <alignment horizontal="center" vertical="center"/>
    </xf>
    <xf numFmtId="190" fontId="79" fillId="9" borderId="47" xfId="255" applyNumberFormat="1" applyFont="1" applyFill="1" applyBorder="1" applyAlignment="1">
      <alignment horizontal="center" vertical="center"/>
    </xf>
    <xf numFmtId="192" fontId="79" fillId="9" borderId="47" xfId="15" applyNumberFormat="1" applyFont="1" applyFill="1" applyBorder="1" applyAlignment="1">
      <alignment horizontal="center" vertical="center"/>
    </xf>
    <xf numFmtId="189" fontId="79" fillId="0" borderId="42" xfId="75" applyNumberFormat="1" applyFont="1" applyBorder="1" applyAlignment="1">
      <alignment horizontal="center" vertical="center"/>
    </xf>
    <xf numFmtId="190" fontId="79" fillId="9" borderId="30" xfId="15" applyNumberFormat="1" applyFont="1" applyFill="1" applyBorder="1" applyAlignment="1">
      <alignment horizontal="center" vertical="center"/>
    </xf>
    <xf numFmtId="191" fontId="79" fillId="0" borderId="30" xfId="15" applyNumberFormat="1" applyFont="1" applyBorder="1" applyAlignment="1">
      <alignment horizontal="center" vertical="center"/>
    </xf>
    <xf numFmtId="190" fontId="79" fillId="9" borderId="30" xfId="43" applyNumberFormat="1" applyFont="1" applyFill="1" applyBorder="1" applyAlignment="1">
      <alignment horizontal="center" vertical="center"/>
    </xf>
    <xf numFmtId="10" fontId="79" fillId="0" borderId="30" xfId="255" applyNumberFormat="1" applyFont="1" applyBorder="1" applyAlignment="1">
      <alignment horizontal="center" vertical="center"/>
    </xf>
    <xf numFmtId="190" fontId="79" fillId="9" borderId="30" xfId="255" applyNumberFormat="1" applyFont="1" applyFill="1" applyBorder="1" applyAlignment="1">
      <alignment horizontal="center" vertical="center"/>
    </xf>
    <xf numFmtId="192" fontId="79" fillId="9" borderId="30" xfId="15" applyNumberFormat="1" applyFont="1" applyFill="1" applyBorder="1" applyAlignment="1">
      <alignment horizontal="center" vertical="center"/>
    </xf>
    <xf numFmtId="10" fontId="79" fillId="0" borderId="30" xfId="15" applyNumberFormat="1" applyFont="1" applyBorder="1" applyAlignment="1">
      <alignment horizontal="center" vertical="center"/>
    </xf>
    <xf numFmtId="10" fontId="79" fillId="0" borderId="0" xfId="15" applyNumberFormat="1" applyFont="1" applyAlignment="1">
      <alignment horizontal="center" vertical="center"/>
    </xf>
    <xf numFmtId="189" fontId="80" fillId="0" borderId="22" xfId="75" applyNumberFormat="1" applyFont="1" applyBorder="1" applyAlignment="1">
      <alignment horizontal="center" vertical="center"/>
    </xf>
    <xf numFmtId="10" fontId="78" fillId="0" borderId="22" xfId="255" applyNumberFormat="1" applyFont="1" applyBorder="1" applyAlignment="1">
      <alignment horizontal="center" vertical="center"/>
    </xf>
    <xf numFmtId="0" fontId="79" fillId="0" borderId="0" xfId="15" applyFont="1">
      <alignment vertical="center"/>
    </xf>
    <xf numFmtId="1" fontId="79" fillId="0" borderId="0" xfId="15" applyNumberFormat="1" applyFont="1">
      <alignment vertical="center"/>
    </xf>
    <xf numFmtId="190" fontId="79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2" fillId="0" borderId="22" xfId="66" applyFont="1" applyBorder="1" applyAlignment="1">
      <alignment horizontal="center" vertical="center" shrinkToFit="1"/>
    </xf>
    <xf numFmtId="0" fontId="83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80" fillId="0" borderId="30" xfId="75" applyNumberFormat="1" applyFont="1" applyBorder="1" applyAlignment="1">
      <alignment horizontal="center" vertical="center"/>
    </xf>
    <xf numFmtId="10" fontId="78" fillId="0" borderId="30" xfId="255" applyNumberFormat="1" applyFont="1" applyBorder="1" applyAlignment="1">
      <alignment horizontal="center" vertical="center"/>
    </xf>
    <xf numFmtId="189" fontId="79" fillId="0" borderId="22" xfId="75" applyNumberFormat="1" applyFont="1" applyBorder="1" applyAlignment="1">
      <alignment horizontal="center" vertical="center"/>
    </xf>
    <xf numFmtId="190" fontId="78" fillId="9" borderId="22" xfId="15" applyNumberFormat="1" applyFont="1" applyFill="1" applyBorder="1" applyAlignment="1">
      <alignment horizontal="center" vertical="center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83" fontId="73" fillId="0" borderId="22" xfId="66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2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5" fillId="0" borderId="22" xfId="66" applyFont="1" applyBorder="1" applyAlignment="1">
      <alignment horizontal="left" vertical="center"/>
    </xf>
    <xf numFmtId="0" fontId="86" fillId="0" borderId="22" xfId="66" applyFont="1" applyBorder="1" applyAlignment="1">
      <alignment horizontal="left" vertical="center"/>
    </xf>
    <xf numFmtId="0" fontId="88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0" fontId="26" fillId="0" borderId="0" xfId="0" applyNumberFormat="1" applyFont="1" applyAlignment="1">
      <alignment horizontal="right"/>
    </xf>
    <xf numFmtId="190" fontId="78" fillId="9" borderId="22" xfId="43" applyNumberFormat="1" applyFont="1" applyFill="1" applyBorder="1" applyAlignment="1">
      <alignment horizontal="center" vertical="center"/>
    </xf>
    <xf numFmtId="189" fontId="78" fillId="0" borderId="23" xfId="75" applyNumberFormat="1" applyFont="1" applyBorder="1" applyAlignment="1">
      <alignment horizontal="center" vertical="center"/>
    </xf>
    <xf numFmtId="190" fontId="79" fillId="9" borderId="23" xfId="15" applyNumberFormat="1" applyFont="1" applyFill="1" applyBorder="1" applyAlignment="1">
      <alignment horizontal="center" vertical="center"/>
    </xf>
    <xf numFmtId="191" fontId="79" fillId="0" borderId="23" xfId="15" applyNumberFormat="1" applyFont="1" applyBorder="1" applyAlignment="1">
      <alignment horizontal="center" vertical="center"/>
    </xf>
    <xf numFmtId="190" fontId="79" fillId="9" borderId="23" xfId="43" applyNumberFormat="1" applyFont="1" applyFill="1" applyBorder="1" applyAlignment="1">
      <alignment horizontal="center" vertical="center"/>
    </xf>
    <xf numFmtId="10" fontId="79" fillId="0" borderId="23" xfId="255" applyNumberFormat="1" applyFont="1" applyBorder="1" applyAlignment="1">
      <alignment horizontal="center" vertical="center"/>
    </xf>
    <xf numFmtId="190" fontId="79" fillId="9" borderId="23" xfId="255" applyNumberFormat="1" applyFont="1" applyFill="1" applyBorder="1" applyAlignment="1">
      <alignment horizontal="center" vertical="center"/>
    </xf>
    <xf numFmtId="192" fontId="79" fillId="9" borderId="23" xfId="15" applyNumberFormat="1" applyFont="1" applyFill="1" applyBorder="1" applyAlignment="1">
      <alignment horizontal="center" vertical="center"/>
    </xf>
    <xf numFmtId="10" fontId="79" fillId="0" borderId="23" xfId="15" applyNumberFormat="1" applyFont="1" applyBorder="1" applyAlignment="1">
      <alignment horizontal="center" vertical="center"/>
    </xf>
    <xf numFmtId="193" fontId="79" fillId="0" borderId="22" xfId="15" applyNumberFormat="1" applyFont="1" applyBorder="1">
      <alignment vertical="center"/>
    </xf>
    <xf numFmtId="193" fontId="79" fillId="0" borderId="23" xfId="15" applyNumberFormat="1" applyFont="1" applyBorder="1">
      <alignment vertical="center"/>
    </xf>
    <xf numFmtId="193" fontId="3" fillId="0" borderId="22" xfId="15" applyNumberForma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0" fontId="37" fillId="0" borderId="22" xfId="5" applyFont="1" applyBorder="1" applyAlignment="1">
      <alignment horizontal="center" vertical="center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0" fontId="40" fillId="0" borderId="0" xfId="66" applyFont="1" applyAlignment="1">
      <alignment horizontal="center" vertical="center" shrinkToFit="1"/>
    </xf>
    <xf numFmtId="0" fontId="82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79" fontId="26" fillId="0" borderId="0" xfId="66" applyNumberFormat="1" applyFont="1" applyAlignment="1">
      <alignment horizontal="center" vertical="center"/>
    </xf>
    <xf numFmtId="187" fontId="26" fillId="0" borderId="0" xfId="66" applyNumberFormat="1" applyFont="1" applyAlignment="1">
      <alignment horizontal="right" vertical="center"/>
    </xf>
    <xf numFmtId="0" fontId="7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86" fontId="26" fillId="0" borderId="0" xfId="0" applyNumberFormat="1" applyFont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34" fillId="0" borderId="0" xfId="66" applyFont="1" applyAlignment="1">
      <alignment horizontal="left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28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65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4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70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4" fillId="5" borderId="22" xfId="14" applyFont="1" applyFill="1" applyBorder="1" applyAlignment="1">
      <alignment horizontal="center"/>
    </xf>
    <xf numFmtId="0" fontId="87" fillId="5" borderId="22" xfId="14" applyFont="1" applyFill="1" applyBorder="1" applyAlignment="1">
      <alignment horizontal="center"/>
    </xf>
    <xf numFmtId="193" fontId="79" fillId="0" borderId="44" xfId="15" applyNumberFormat="1" applyFont="1" applyBorder="1" applyAlignment="1">
      <alignment horizontal="center" vertical="center"/>
    </xf>
    <xf numFmtId="193" fontId="79" fillId="0" borderId="29" xfId="15" applyNumberFormat="1" applyFont="1" applyBorder="1" applyAlignment="1">
      <alignment horizontal="center" vertical="center"/>
    </xf>
    <xf numFmtId="193" fontId="79" fillId="0" borderId="48" xfId="15" applyNumberFormat="1" applyFont="1" applyBorder="1" applyAlignment="1">
      <alignment horizontal="center" vertical="center"/>
    </xf>
    <xf numFmtId="0" fontId="81" fillId="0" borderId="0" xfId="75" applyFont="1" applyAlignment="1">
      <alignment horizontal="left" vertical="center"/>
    </xf>
    <xf numFmtId="0" fontId="75" fillId="5" borderId="22" xfId="15" applyFont="1" applyFill="1" applyBorder="1" applyAlignment="1">
      <alignment horizontal="center" vertical="center"/>
    </xf>
    <xf numFmtId="0" fontId="76" fillId="10" borderId="22" xfId="15" applyFont="1" applyFill="1" applyBorder="1" applyAlignment="1">
      <alignment horizontal="center" vertical="center" wrapText="1"/>
    </xf>
    <xf numFmtId="0" fontId="76" fillId="10" borderId="23" xfId="15" applyFont="1" applyFill="1" applyBorder="1" applyAlignment="1">
      <alignment horizontal="center" vertical="center" wrapText="1"/>
    </xf>
    <xf numFmtId="0" fontId="77" fillId="10" borderId="27" xfId="15" applyFont="1" applyFill="1" applyBorder="1" applyAlignment="1">
      <alignment horizontal="center" vertical="center"/>
    </xf>
    <xf numFmtId="0" fontId="77" fillId="10" borderId="28" xfId="15" applyFont="1" applyFill="1" applyBorder="1" applyAlignment="1">
      <alignment horizontal="center" vertical="center"/>
    </xf>
    <xf numFmtId="0" fontId="77" fillId="10" borderId="25" xfId="15" applyFont="1" applyFill="1" applyBorder="1" applyAlignment="1">
      <alignment horizontal="center" vertical="center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9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8" xfId="8" xr:uid="{980C6D1A-3746-49BB-9AA7-0D2231082B21}"/>
    <cellStyle name="一般 2 2" xfId="9" xr:uid="{00000000-0005-0000-0000-000006000000}"/>
    <cellStyle name="一般 2 2 10" xfId="10" xr:uid="{3392B9AB-9349-4FC1-9D84-50CE7E22BAD8}"/>
    <cellStyle name="一般 2 2 2" xfId="11" xr:uid="{00000000-0005-0000-0000-000007000000}"/>
    <cellStyle name="一般 2 2 2 2" xfId="12" xr:uid="{FC903EAD-821C-4EBF-AA01-EF414A3E4C41}"/>
    <cellStyle name="一般 2 2 30 2 2 30 2" xfId="13" xr:uid="{00000000-0005-0000-0000-000008000000}"/>
    <cellStyle name="一般 2 2 30 2 2 30 2 2" xfId="14" xr:uid="{00000000-0005-0000-0000-000009000000}"/>
    <cellStyle name="一般 2 2 30 2 2 30 2 2 2" xfId="15" xr:uid="{00000000-0005-0000-0000-00000A000000}"/>
    <cellStyle name="一般 2 2 30 2 2 30 2 2 3" xfId="16" xr:uid="{00000000-0005-0000-0000-00000B000000}"/>
    <cellStyle name="一般 2 2 30 2 2 30 2 3" xfId="17" xr:uid="{00000000-0005-0000-0000-00000C000000}"/>
    <cellStyle name="一般 2 2 30 2 2 30 2 3 2" xfId="18" xr:uid="{00000000-0005-0000-0000-00000D000000}"/>
    <cellStyle name="一般 2 2 30 2 2 30 2 4" xfId="19" xr:uid="{00000000-0005-0000-0000-00000E000000}"/>
    <cellStyle name="一般 2 2 30 2 2 30 2 4 2" xfId="20" xr:uid="{00000000-0005-0000-0000-00000F000000}"/>
    <cellStyle name="一般 2 2 30 2 2 30 2 4 2 2" xfId="21" xr:uid="{00000000-0005-0000-0000-000010000000}"/>
    <cellStyle name="一般 2 2 30 2 2 30 2 4 3" xfId="22" xr:uid="{00000000-0005-0000-0000-000011000000}"/>
    <cellStyle name="一般 2 2 30 2 2 30 2 4 3 2" xfId="23" xr:uid="{00000000-0005-0000-0000-000012000000}"/>
    <cellStyle name="一般 2 2 30 2 2 30 2 4 3 2 2" xfId="24" xr:uid="{00000000-0005-0000-0000-000013000000}"/>
    <cellStyle name="一般 2 2 30 2 2 30 2 4 3 3" xfId="25" xr:uid="{00000000-0005-0000-0000-000014000000}"/>
    <cellStyle name="一般 2 2 30 2 2 30 2 4 3 3 2" xfId="26" xr:uid="{00000000-0005-0000-0000-000015000000}"/>
    <cellStyle name="一般 2 2 30 2 2 30 2 4 3 4" xfId="27" xr:uid="{00000000-0005-0000-0000-000016000000}"/>
    <cellStyle name="一般 2 2 30 2 2 30 2 4 3 4 2" xfId="28" xr:uid="{00000000-0005-0000-0000-000017000000}"/>
    <cellStyle name="一般 2 2 30 2 2 30 2 4 3 5" xfId="29" xr:uid="{00000000-0005-0000-0000-000018000000}"/>
    <cellStyle name="一般 2 2 30 2 2 30 2 4 4" xfId="30" xr:uid="{00000000-0005-0000-0000-000019000000}"/>
    <cellStyle name="一般 2 2 30 2 2 30 2 4 4 2" xfId="31" xr:uid="{00000000-0005-0000-0000-00001A000000}"/>
    <cellStyle name="一般 2 2 30 2 2 30 2 4 5" xfId="32" xr:uid="{00000000-0005-0000-0000-00001B000000}"/>
    <cellStyle name="一般 2 2 30 2 2 30 2 4 5 2" xfId="33" xr:uid="{00000000-0005-0000-0000-00001C000000}"/>
    <cellStyle name="一般 2 2 30 2 2 30 2 4 6" xfId="34" xr:uid="{00000000-0005-0000-0000-00001D000000}"/>
    <cellStyle name="一般 2 2 30 2 2 30 2 5" xfId="35" xr:uid="{00000000-0005-0000-0000-00001E000000}"/>
    <cellStyle name="一般 2 2 30 2 2 30 2 5 2" xfId="36" xr:uid="{00000000-0005-0000-0000-00001F000000}"/>
    <cellStyle name="一般 2 2 30 2 2 30 2 6" xfId="37" xr:uid="{00000000-0005-0000-0000-000020000000}"/>
    <cellStyle name="一般 2 2 30 2 2 30 2 6 2" xfId="38" xr:uid="{00000000-0005-0000-0000-000021000000}"/>
    <cellStyle name="一般 2 2 30 2 2 30 2 7" xfId="39" xr:uid="{00000000-0005-0000-0000-000022000000}"/>
    <cellStyle name="一般 2 2 30 2 2 30 2 7 2" xfId="40" xr:uid="{00000000-0005-0000-0000-000023000000}"/>
    <cellStyle name="一般 2 2 30 2 2 30 2 8" xfId="41" xr:uid="{00000000-0005-0000-0000-000024000000}"/>
    <cellStyle name="一般 2 2 30 2 3 2" xfId="42" xr:uid="{00000000-0005-0000-0000-000025000000}"/>
    <cellStyle name="一般 2 2 30 2 3 2 2" xfId="43" xr:uid="{00000000-0005-0000-0000-000026000000}"/>
    <cellStyle name="一般 2 2 30 2 3 2 3" xfId="44" xr:uid="{00000000-0005-0000-0000-000027000000}"/>
    <cellStyle name="一般 2 2 30 3 30" xfId="45" xr:uid="{00000000-0005-0000-0000-000028000000}"/>
    <cellStyle name="一般 2 2 30 3 30 2" xfId="46" xr:uid="{00000000-0005-0000-0000-000029000000}"/>
    <cellStyle name="一般 2 2 30 3 30 4" xfId="47" xr:uid="{00000000-0005-0000-0000-00002A000000}"/>
    <cellStyle name="一般 2 2 30 3 30 4 2" xfId="48" xr:uid="{00000000-0005-0000-0000-00002B000000}"/>
    <cellStyle name="一般 2 2 30 3 30 4 2 2" xfId="49" xr:uid="{00000000-0005-0000-0000-00002C000000}"/>
    <cellStyle name="一般 2 2 30 3 30 4 3" xfId="50" xr:uid="{00000000-0005-0000-0000-00002D000000}"/>
    <cellStyle name="一般 2 2 30 3 30 4 3 2" xfId="51" xr:uid="{00000000-0005-0000-0000-00002E000000}"/>
    <cellStyle name="一般 2 2 30 3 30 4 4" xfId="52" xr:uid="{00000000-0005-0000-0000-00002F000000}"/>
    <cellStyle name="一般 2 2 30 3 30 4 4 2" xfId="53" xr:uid="{00000000-0005-0000-0000-000030000000}"/>
    <cellStyle name="一般 2 2 30 3 30 4 5" xfId="54" xr:uid="{00000000-0005-0000-0000-000031000000}"/>
    <cellStyle name="一般 2 2 4" xfId="55" xr:uid="{00000000-0005-0000-0000-000032000000}"/>
    <cellStyle name="一般 2 2 4 2" xfId="56" xr:uid="{00000000-0005-0000-0000-000033000000}"/>
    <cellStyle name="一般 2 2 4 2 2" xfId="57" xr:uid="{00000000-0005-0000-0000-000034000000}"/>
    <cellStyle name="一般 2 2 4 3" xfId="58" xr:uid="{00000000-0005-0000-0000-000035000000}"/>
    <cellStyle name="一般 2 2 4 3 2" xfId="59" xr:uid="{00000000-0005-0000-0000-000036000000}"/>
    <cellStyle name="一般 2 2 4 4" xfId="60" xr:uid="{00000000-0005-0000-0000-000037000000}"/>
    <cellStyle name="一般 2 2 4 5" xfId="61" xr:uid="{7B694A0F-CE06-42D7-BBDB-8E3837CD277D}"/>
    <cellStyle name="一般 2 3" xfId="62" xr:uid="{CE6D02E6-340F-4C52-B008-04DA19994BE5}"/>
    <cellStyle name="一般 2 4 2" xfId="63" xr:uid="{00000000-0005-0000-0000-000038000000}"/>
    <cellStyle name="一般 2 8" xfId="64" xr:uid="{BDCF7075-5635-4C5F-A0FD-2A262F440E83}"/>
    <cellStyle name="一般 2 8 23" xfId="65" xr:uid="{CC32046D-358A-49BB-B52F-6A39226DAADC}"/>
    <cellStyle name="一般 3" xfId="66" xr:uid="{00000000-0005-0000-0000-000039000000}"/>
    <cellStyle name="一般 3 3 3 2" xfId="67" xr:uid="{00000000-0005-0000-0000-00003A000000}"/>
    <cellStyle name="一般 3 3 3 2 2" xfId="68" xr:uid="{00000000-0005-0000-0000-00003B000000}"/>
    <cellStyle name="一般 3 3 3 2 2 2" xfId="69" xr:uid="{00000000-0005-0000-0000-00003C000000}"/>
    <cellStyle name="一般 3 3 3 2 3" xfId="70" xr:uid="{00000000-0005-0000-0000-00003D000000}"/>
    <cellStyle name="一般 3 3 3 2 3 2" xfId="71" xr:uid="{00000000-0005-0000-0000-00003E000000}"/>
    <cellStyle name="一般 3 3 3 2 4" xfId="72" xr:uid="{00000000-0005-0000-0000-00003F000000}"/>
    <cellStyle name="一般 3 3 3 2 4 2" xfId="73" xr:uid="{00000000-0005-0000-0000-000040000000}"/>
    <cellStyle name="一般 3 3 3 2 5" xfId="74" xr:uid="{00000000-0005-0000-0000-000041000000}"/>
    <cellStyle name="一般 4" xfId="75" xr:uid="{00000000-0005-0000-0000-000042000000}"/>
    <cellStyle name="一般 5" xfId="76" xr:uid="{00000000-0005-0000-0000-000043000000}"/>
    <cellStyle name="一般 5 2" xfId="77" xr:uid="{00000000-0005-0000-0000-000044000000}"/>
    <cellStyle name="一般 5 2 2" xfId="78" xr:uid="{00000000-0005-0000-0000-000045000000}"/>
    <cellStyle name="一般 5 3" xfId="79" xr:uid="{00000000-0005-0000-0000-000046000000}"/>
    <cellStyle name="一般 5 3 2" xfId="80" xr:uid="{00000000-0005-0000-0000-000047000000}"/>
    <cellStyle name="一般 5 4" xfId="81" xr:uid="{00000000-0005-0000-0000-000048000000}"/>
    <cellStyle name="一般 5 4 2" xfId="82" xr:uid="{00000000-0005-0000-0000-000049000000}"/>
    <cellStyle name="一般 5 5" xfId="83" xr:uid="{00000000-0005-0000-0000-00004A000000}"/>
    <cellStyle name="一般 5 5 2" xfId="84" xr:uid="{00000000-0005-0000-0000-00004B000000}"/>
    <cellStyle name="一般 5 6" xfId="85" xr:uid="{00000000-0005-0000-0000-00004C000000}"/>
    <cellStyle name="一般 6" xfId="86" xr:uid="{00000000-0005-0000-0000-00004D000000}"/>
    <cellStyle name="一般 6 2" xfId="87" xr:uid="{00000000-0005-0000-0000-00004E000000}"/>
    <cellStyle name="一般 7" xfId="88" xr:uid="{00000000-0005-0000-0000-00004F000000}"/>
    <cellStyle name="一般 7 2" xfId="89" xr:uid="{00000000-0005-0000-0000-000050000000}"/>
    <cellStyle name="一般 8" xfId="90" xr:uid="{00000000-0005-0000-0000-000051000000}"/>
    <cellStyle name="一般 8 2" xfId="91" xr:uid="{00000000-0005-0000-0000-000052000000}"/>
    <cellStyle name="一般 9" xfId="92" xr:uid="{00000000-0005-0000-0000-000053000000}"/>
    <cellStyle name="一般 9 2" xfId="93" xr:uid="{00000000-0005-0000-0000-000054000000}"/>
    <cellStyle name="千分位" xfId="94" builtinId="3"/>
    <cellStyle name="千分位 2" xfId="95" xr:uid="{00000000-0005-0000-0000-000056000000}"/>
    <cellStyle name="千分位 2 10" xfId="96" xr:uid="{F16F8959-D051-446D-AADE-C1580C75C5F7}"/>
    <cellStyle name="千分位 2 10 2" xfId="97" xr:uid="{510C8FFB-B8ED-44C7-84AA-975997D7FFFB}"/>
    <cellStyle name="千分位 2 10 2 2" xfId="98" xr:uid="{91B7B640-3F7F-46A2-9F6D-C7D7F9E6CDCE}"/>
    <cellStyle name="千分位 2 10 2 2 2" xfId="99" xr:uid="{891B062C-F08E-4AD8-8AD4-31909BAC7D04}"/>
    <cellStyle name="千分位 2 10 2 2 2 2" xfId="100" xr:uid="{B0E9B175-93E0-4506-923C-9C9E31DDEF41}"/>
    <cellStyle name="千分位 2 10 2 2 2 2 2" xfId="101" xr:uid="{1FFBBE62-26EF-44AD-8A34-8B5F230DA03D}"/>
    <cellStyle name="千分位 2 10 2 2 2 3" xfId="102" xr:uid="{9444DD0C-7E05-468E-AEAC-2F2396A4818C}"/>
    <cellStyle name="千分位 2 10 2 2 3" xfId="103" xr:uid="{6EE93FD9-6D55-4008-BBC9-1387CAF23AC4}"/>
    <cellStyle name="千分位 2 10 2 2 3 2" xfId="104" xr:uid="{982C3510-FA4C-4EA2-BA56-D40024E8E161}"/>
    <cellStyle name="千分位 2 10 2 2 4" xfId="105" xr:uid="{4D8A8C5B-BC2E-416B-83DF-E8B5ECF993A3}"/>
    <cellStyle name="千分位 2 10 2 3" xfId="106" xr:uid="{E3061DCE-3B09-4659-9932-8F2B076433B1}"/>
    <cellStyle name="千分位 2 10 2 3 2" xfId="107" xr:uid="{D5B441CB-5F8F-4DAC-8697-F8E872D67D1A}"/>
    <cellStyle name="千分位 2 10 2 3 2 2" xfId="108" xr:uid="{7162B933-966B-4B08-90D5-2294CDEE688D}"/>
    <cellStyle name="千分位 2 10 2 3 3" xfId="109" xr:uid="{8DDA5F5A-109D-4C7C-BAB0-FA0B6B210B14}"/>
    <cellStyle name="千分位 2 10 2 4" xfId="110" xr:uid="{662661E6-4A96-4FA0-9003-8D44F2C1503B}"/>
    <cellStyle name="千分位 2 10 2 4 2" xfId="111" xr:uid="{F6532E6D-5C82-4AFB-8622-E8B8E3C0EF0F}"/>
    <cellStyle name="千分位 2 10 2 5" xfId="112" xr:uid="{33A5E1A1-0602-485C-AB70-11A8C19ACFFD}"/>
    <cellStyle name="千分位 2 10 3" xfId="113" xr:uid="{3F66933B-BFC2-4B58-B683-754832E9992B}"/>
    <cellStyle name="千分位 2 10 3 2" xfId="114" xr:uid="{2D0590E5-5EF0-46BC-A5DE-3C9B6EC016C0}"/>
    <cellStyle name="千分位 2 10 3 2 2" xfId="115" xr:uid="{2FB3FB66-3929-4CB9-993D-D1AFAF4EFF12}"/>
    <cellStyle name="千分位 2 10 3 2 2 2" xfId="116" xr:uid="{0CA48076-6237-442E-A328-B0D4A5DF5E7E}"/>
    <cellStyle name="千分位 2 10 3 2 3" xfId="117" xr:uid="{C591833D-762A-4684-951F-1F47BF502B63}"/>
    <cellStyle name="千分位 2 10 3 3" xfId="118" xr:uid="{2E630BA9-E5E7-440F-BDB0-5F668A660ABC}"/>
    <cellStyle name="千分位 2 10 3 3 2" xfId="119" xr:uid="{B3ACEFE3-1544-4BBD-9B3E-944085BC7058}"/>
    <cellStyle name="千分位 2 10 3 4" xfId="120" xr:uid="{F10A11BB-65EC-4128-BB5A-BEB8B0C7EC2F}"/>
    <cellStyle name="千分位 2 10 4" xfId="121" xr:uid="{0B7D1CA5-2996-45E1-B3D1-EFDB7D9F4EF4}"/>
    <cellStyle name="千分位 2 10 4 2" xfId="122" xr:uid="{EDABF1F6-CD38-4AD9-A843-FD01B0D1540C}"/>
    <cellStyle name="千分位 2 10 4 2 2" xfId="123" xr:uid="{3EC00895-06E3-4610-BA18-ECFD6A64F2B2}"/>
    <cellStyle name="千分位 2 10 4 3" xfId="124" xr:uid="{39EA2617-8BCC-4C36-9151-426FAFAC6991}"/>
    <cellStyle name="千分位 2 10 5" xfId="125" xr:uid="{7ECD9B14-47F1-4955-BC46-120FEFB1C839}"/>
    <cellStyle name="千分位 2 10 5 2" xfId="126" xr:uid="{F50BDD2B-2260-45B8-AF05-6AB37EF451AA}"/>
    <cellStyle name="千分位 2 10 6" xfId="127" xr:uid="{A1CA0EC4-1BF1-487D-BCD4-A2981D0E3DC1}"/>
    <cellStyle name="千分位 2 2" xfId="128" xr:uid="{00000000-0005-0000-0000-000057000000}"/>
    <cellStyle name="千分位 2 2 2" xfId="129" xr:uid="{00000000-0005-0000-0000-000058000000}"/>
    <cellStyle name="千分位 2 2 2 2" xfId="130" xr:uid="{FB9B9639-6E8A-4C14-B3C2-BD94A0E49872}"/>
    <cellStyle name="千分位 2 2 2 2 2" xfId="131" xr:uid="{661DF30A-C3CE-4BAA-97B5-5A7C4706B16A}"/>
    <cellStyle name="千分位 2 2 2 2 2 2" xfId="132" xr:uid="{483414E8-DB46-4306-A7F4-5C17D0A7C14A}"/>
    <cellStyle name="千分位 2 2 2 2 3" xfId="133" xr:uid="{9CA42FB0-EA5D-4D93-8C01-EA2D894A7B40}"/>
    <cellStyle name="千分位 2 2 2 3" xfId="134" xr:uid="{C04E7857-9263-4CC8-9D9C-C5A320FBC7AF}"/>
    <cellStyle name="千分位 2 2 2 3 2" xfId="135" xr:uid="{B40A2782-A2F9-4645-B090-2241F68E0DC3}"/>
    <cellStyle name="千分位 2 2 2 4" xfId="136" xr:uid="{2F38C4CF-CA62-40DF-8608-67DAE838E344}"/>
    <cellStyle name="千分位 2 2 2 5" xfId="137" xr:uid="{3C7CFFED-0C82-45D6-8DF3-E287BB083E8A}"/>
    <cellStyle name="千分位 2 2 3" xfId="138" xr:uid="{362CCA17-A0F5-4670-ABA1-6041B21D94C7}"/>
    <cellStyle name="千分位 2 2 3 2" xfId="139" xr:uid="{C08ED967-F305-4402-9D58-744AA7BA7973}"/>
    <cellStyle name="千分位 2 2 3 2 2" xfId="140" xr:uid="{7F904925-1635-465B-94D1-778A44A27900}"/>
    <cellStyle name="千分位 2 2 3 3" xfId="141" xr:uid="{A014E15E-DF71-4D9C-BA52-B64B92CC1FA5}"/>
    <cellStyle name="千分位 2 2 4" xfId="142" xr:uid="{1BB75A2A-6C7B-44BE-9D0A-9C0D0C7248FC}"/>
    <cellStyle name="千分位 2 2 4 2" xfId="143" xr:uid="{630E93F6-7CB2-4525-AED4-09590BF788F1}"/>
    <cellStyle name="千分位 2 2 5" xfId="144" xr:uid="{DE2A5E2D-44C3-496C-BFAB-EB654711F9CA}"/>
    <cellStyle name="千分位 2 2 6" xfId="145" xr:uid="{8ED38AD6-A7F2-4DDB-94E5-549DAFBFB108}"/>
    <cellStyle name="千分位 2 3" xfId="146" xr:uid="{00000000-0005-0000-0000-000059000000}"/>
    <cellStyle name="千分位 2 3 2" xfId="147" xr:uid="{00000000-0005-0000-0000-00005A000000}"/>
    <cellStyle name="千分位 2 3 2 2" xfId="148" xr:uid="{8090E5ED-5371-494D-A48D-15C4C910F43A}"/>
    <cellStyle name="千分位 2 3 2 2 2" xfId="149" xr:uid="{9CF94084-D332-40BD-B658-3AD3842BF196}"/>
    <cellStyle name="千分位 2 3 2 2 2 2" xfId="150" xr:uid="{0E2CD161-9B01-4548-8981-44683BCBE51F}"/>
    <cellStyle name="千分位 2 3 2 2 3" xfId="151" xr:uid="{30E7655C-1850-43FB-B1D3-A3DEF1BAD6C6}"/>
    <cellStyle name="千分位 2 3 2 3" xfId="152" xr:uid="{2A8CB286-2BD4-4FDF-9201-98DA97FAC9F3}"/>
    <cellStyle name="千分位 2 3 2 3 2" xfId="153" xr:uid="{A1B81D8C-7E72-4F68-8167-EB7AB1EA54F2}"/>
    <cellStyle name="千分位 2 3 2 4" xfId="154" xr:uid="{5AFFB647-DFA5-4357-AFB0-2D75165AC957}"/>
    <cellStyle name="千分位 2 3 2 5" xfId="155" xr:uid="{C72221E5-B317-4604-92F8-B022EAB270A4}"/>
    <cellStyle name="千分位 2 3 3" xfId="156" xr:uid="{06CE07BA-057E-4C90-9645-05F086E68D4E}"/>
    <cellStyle name="千分位 2 3 3 2" xfId="157" xr:uid="{BB3C7E21-6008-44E2-913B-E83B726023AA}"/>
    <cellStyle name="千分位 2 3 3 2 2" xfId="158" xr:uid="{F2C8AD50-D5C2-4D9C-A2B6-986247A1C354}"/>
    <cellStyle name="千分位 2 3 3 3" xfId="159" xr:uid="{AFBE8115-6FE4-4539-96FD-79E32C933680}"/>
    <cellStyle name="千分位 2 3 4" xfId="160" xr:uid="{81D7B82B-2107-4004-9DB6-9A12063D59DE}"/>
    <cellStyle name="千分位 2 3 4 2" xfId="161" xr:uid="{47139D08-D10E-4E72-B58C-79E8D8EAB694}"/>
    <cellStyle name="千分位 2 3 5" xfId="162" xr:uid="{EDDA62C3-DD59-4574-890A-B58ABE137273}"/>
    <cellStyle name="千分位 2 3 6" xfId="163" xr:uid="{C2749002-8304-4C14-85E9-D4A6638951FF}"/>
    <cellStyle name="千分位 2 4" xfId="164" xr:uid="{00000000-0005-0000-0000-00005B000000}"/>
    <cellStyle name="千分位 2 4 2" xfId="165" xr:uid="{00000000-0005-0000-0000-00005C000000}"/>
    <cellStyle name="千分位 2 4 2 2" xfId="166" xr:uid="{E9702D74-08B4-43E9-BC47-2517E8EBACF1}"/>
    <cellStyle name="千分位 2 4 2 2 2" xfId="167" xr:uid="{D4AA9B05-071A-4E67-A3F0-808ACC31976B}"/>
    <cellStyle name="千分位 2 4 2 3" xfId="168" xr:uid="{50CECB03-B18F-485D-A7C8-E96BB259FF6F}"/>
    <cellStyle name="千分位 2 4 2 4" xfId="169" xr:uid="{348C59C1-FF4B-46C6-AEA7-A8407300C742}"/>
    <cellStyle name="千分位 2 4 3" xfId="170" xr:uid="{392FEC40-5586-49E6-A6BC-283BA2F0E8F3}"/>
    <cellStyle name="千分位 2 4 3 2" xfId="171" xr:uid="{B81A687B-122B-4AA6-B85F-5DB1DEEF8DF6}"/>
    <cellStyle name="千分位 2 4 4" xfId="172" xr:uid="{E16674DB-4D75-43BC-A8E4-66F09029C4E5}"/>
    <cellStyle name="千分位 2 4 5" xfId="173" xr:uid="{A74EFC45-89A0-40D0-82C5-7B5186C8A713}"/>
    <cellStyle name="千分位 2 5" xfId="174" xr:uid="{00000000-0005-0000-0000-00005D000000}"/>
    <cellStyle name="千分位 2 5 2" xfId="175" xr:uid="{00000000-0005-0000-0000-00005E000000}"/>
    <cellStyle name="千分位 2 5 2 2" xfId="176" xr:uid="{0B9E3AA7-3CCB-4D2B-81E3-14C72E0E06F1}"/>
    <cellStyle name="千分位 2 5 2 3" xfId="177" xr:uid="{8E9CCADF-75B5-40C5-9608-AD73874A3451}"/>
    <cellStyle name="千分位 2 5 3" xfId="178" xr:uid="{A47840CA-55F8-4847-9E1E-3EB10DA11F9B}"/>
    <cellStyle name="千分位 2 5 4" xfId="179" xr:uid="{2046A3EB-551C-48E9-9F36-1D5E35C310EE}"/>
    <cellStyle name="千分位 2 6" xfId="180" xr:uid="{00000000-0005-0000-0000-00005F000000}"/>
    <cellStyle name="千分位 2 6 2" xfId="181" xr:uid="{2C48AEA6-38D3-4515-824D-1DA23F171028}"/>
    <cellStyle name="千分位 2 6 3" xfId="182" xr:uid="{A6FBA685-F057-4A63-8FE0-7075F6B84AEE}"/>
    <cellStyle name="千分位 2 7" xfId="183" xr:uid="{D1A7EF9A-B68B-4097-9A7B-DE480BAA9C86}"/>
    <cellStyle name="千分位 2 8" xfId="184" xr:uid="{4F7C4791-D8B3-4CA6-A976-7FD37719DB22}"/>
    <cellStyle name="千分位 2 8 2" xfId="185" xr:uid="{8D3D7031-6125-48DF-A1BF-D921806B2630}"/>
    <cellStyle name="千分位 2 8 2 2" xfId="186" xr:uid="{82A01D8E-4B8D-4D4E-A0E9-C45D0ADB816D}"/>
    <cellStyle name="千分位 2 8 2 2 2" xfId="187" xr:uid="{527F3527-2E92-421F-BF58-063691C293A8}"/>
    <cellStyle name="千分位 2 8 2 2 2 2" xfId="188" xr:uid="{BD36A616-AB9A-4982-B256-5248576F6771}"/>
    <cellStyle name="千分位 2 8 2 2 2 2 2" xfId="189" xr:uid="{C8B3103A-DD09-4278-AF4E-6C8680B762DA}"/>
    <cellStyle name="千分位 2 8 2 2 2 3" xfId="190" xr:uid="{45249F81-2E37-4567-81DB-D9AFB5B37E8C}"/>
    <cellStyle name="千分位 2 8 2 2 3" xfId="191" xr:uid="{231F889E-0EF8-48B4-BF37-5F5F7B91DC0A}"/>
    <cellStyle name="千分位 2 8 2 2 3 2" xfId="192" xr:uid="{71B1FBB9-4A4A-43A7-AA8A-0F5DC7207211}"/>
    <cellStyle name="千分位 2 8 2 2 4" xfId="193" xr:uid="{3E31516D-B99E-4309-A8FB-5BDB055C11B6}"/>
    <cellStyle name="千分位 2 8 2 3" xfId="194" xr:uid="{A35DEA8A-A164-4D00-8E83-BA3206870BC7}"/>
    <cellStyle name="千分位 2 8 2 3 2" xfId="195" xr:uid="{FCE81970-0225-426B-A0F4-7E11EE2035DD}"/>
    <cellStyle name="千分位 2 8 2 3 2 2" xfId="196" xr:uid="{6D2E0CB1-3C62-4BFD-880E-C9BCF96D0412}"/>
    <cellStyle name="千分位 2 8 2 3 3" xfId="197" xr:uid="{A731F9E7-7166-468B-966B-AE3BF27D734F}"/>
    <cellStyle name="千分位 2 8 2 4" xfId="198" xr:uid="{5711F887-8685-4C89-8F53-C0BEFDC2D40D}"/>
    <cellStyle name="千分位 2 8 2 4 2" xfId="199" xr:uid="{006B65CF-529F-4E5B-9A21-3E903198FE0B}"/>
    <cellStyle name="千分位 2 8 2 5" xfId="200" xr:uid="{8D4A43C9-5861-458A-B567-EDD603089FD5}"/>
    <cellStyle name="千分位 2 8 3" xfId="201" xr:uid="{7248D2E2-CA0B-4C2B-BD82-887C23E76738}"/>
    <cellStyle name="千分位 2 8 3 2" xfId="202" xr:uid="{63A52462-C438-4CA1-9A34-78ABDA8AAD61}"/>
    <cellStyle name="千分位 2 8 3 2 2" xfId="203" xr:uid="{5105B1E6-16C7-4336-BEF4-163E3C7999C6}"/>
    <cellStyle name="千分位 2 8 3 2 2 2" xfId="204" xr:uid="{A8376CDE-B36C-4B0F-A6EB-A92DE6D58029}"/>
    <cellStyle name="千分位 2 8 3 2 3" xfId="205" xr:uid="{2A405AE1-9B28-4084-9013-39B9DA2DF80F}"/>
    <cellStyle name="千分位 2 8 3 3" xfId="206" xr:uid="{563A4DA0-B7E4-43C4-888F-820D8698C7B5}"/>
    <cellStyle name="千分位 2 8 3 3 2" xfId="207" xr:uid="{7CBB5366-8CD1-435F-ACB4-712BF3C41883}"/>
    <cellStyle name="千分位 2 8 3 4" xfId="208" xr:uid="{425D605C-293C-476D-B8B7-091EBAA8EA23}"/>
    <cellStyle name="千分位 2 8 4" xfId="209" xr:uid="{096480B4-CC89-4473-85E5-C3B7F2668308}"/>
    <cellStyle name="千分位 2 8 4 2" xfId="210" xr:uid="{333C264D-50F1-411E-8633-067E7B400654}"/>
    <cellStyle name="千分位 2 8 4 2 2" xfId="211" xr:uid="{C8CBEF20-4BB0-4159-B183-53CAD1636DA4}"/>
    <cellStyle name="千分位 2 8 4 3" xfId="212" xr:uid="{74D89DC4-CBC0-4E12-A705-1D5035D703F7}"/>
    <cellStyle name="千分位 2 8 5" xfId="213" xr:uid="{917C2CF3-126A-4A1E-BBFA-0C460D6C163F}"/>
    <cellStyle name="千分位 2 8 5 2" xfId="214" xr:uid="{D1C168B8-46D2-4698-8BB3-46C08A9B9837}"/>
    <cellStyle name="千分位 2 8 6" xfId="215" xr:uid="{BC5157E6-988B-49D6-B73E-AC3DB8F38A8C}"/>
    <cellStyle name="千分位 2 9" xfId="216" xr:uid="{FD188967-B001-4FA3-B860-A4C29E1AA79A}"/>
    <cellStyle name="千分位 3" xfId="217" xr:uid="{00000000-0005-0000-0000-000060000000}"/>
    <cellStyle name="千分位 9" xfId="218" xr:uid="{128C1EE2-07F0-4DEB-BB95-DC34BBF52467}"/>
    <cellStyle name="千分位 9 2" xfId="219" xr:uid="{9508EF36-28D5-4642-A46C-491ABB719FDB}"/>
    <cellStyle name="千分位 9 2 2" xfId="220" xr:uid="{54B705FC-E9C7-4837-BB33-CE56C036D93B}"/>
    <cellStyle name="千分位 9 2 2 2" xfId="221" xr:uid="{0F4B4A59-F2D7-44ED-859F-D3ACAEBAAE43}"/>
    <cellStyle name="千分位 9 2 2 2 2" xfId="222" xr:uid="{73792DCB-F1D1-4529-AD1B-FACD8BA00832}"/>
    <cellStyle name="千分位 9 2 2 2 2 2" xfId="223" xr:uid="{D8E267EA-ED5F-4AE4-8CCB-219AA1736FFF}"/>
    <cellStyle name="千分位 9 2 2 2 3" xfId="224" xr:uid="{1F4876F8-895C-4AB4-93E3-D6D79D11253D}"/>
    <cellStyle name="千分位 9 2 2 3" xfId="225" xr:uid="{C2DF8C3D-103D-4A66-BC81-E7A7B77AB041}"/>
    <cellStyle name="千分位 9 2 2 3 2" xfId="226" xr:uid="{2E143A6B-544C-48FE-8C57-01A41A8E3334}"/>
    <cellStyle name="千分位 9 2 2 4" xfId="227" xr:uid="{11BFFB1A-8C1A-4D93-A2B4-7D7F6EDECD1C}"/>
    <cellStyle name="千分位 9 2 3" xfId="228" xr:uid="{FFBDD06D-AF96-4515-80E6-FD4DBD11C251}"/>
    <cellStyle name="千分位 9 2 3 2" xfId="229" xr:uid="{FB245668-C76C-4F13-973D-3D39F5B149A1}"/>
    <cellStyle name="千分位 9 2 3 2 2" xfId="230" xr:uid="{3AA8B189-E867-46D4-9610-7063D5698BF0}"/>
    <cellStyle name="千分位 9 2 3 3" xfId="231" xr:uid="{D0209E9F-3ABA-4F79-82B9-D8F727F48052}"/>
    <cellStyle name="千分位 9 2 4" xfId="232" xr:uid="{5C3C6297-4C79-42B0-A6B7-36EBC6D0A7B8}"/>
    <cellStyle name="千分位 9 2 4 2" xfId="233" xr:uid="{6CC911EF-0F28-488D-A6A2-4EFDAF6EC452}"/>
    <cellStyle name="千分位 9 2 5" xfId="234" xr:uid="{1DEA8574-24A1-415B-9238-B3C2378BD9AE}"/>
    <cellStyle name="千分位 9 3" xfId="235" xr:uid="{85701B98-8809-4737-AC9D-E6A24AB3D644}"/>
    <cellStyle name="千分位 9 3 2" xfId="236" xr:uid="{7CF8AE92-595F-4D5F-9DA3-678D7D8541B1}"/>
    <cellStyle name="千分位 9 3 2 2" xfId="237" xr:uid="{3EF09015-6B4A-45E8-96C3-5CCFC6EFBE1D}"/>
    <cellStyle name="千分位 9 3 2 2 2" xfId="238" xr:uid="{54E51347-AA15-4B43-B8EB-967624AF6E58}"/>
    <cellStyle name="千分位 9 3 2 3" xfId="239" xr:uid="{4B8DB966-D54B-4AFB-97DF-F9BF2F54940F}"/>
    <cellStyle name="千分位 9 3 3" xfId="240" xr:uid="{287FE3D3-F00A-42F5-B065-B9B0F0ADA623}"/>
    <cellStyle name="千分位 9 3 3 2" xfId="241" xr:uid="{38E34ADF-474D-4AAB-AA5B-A373AB3A83A7}"/>
    <cellStyle name="千分位 9 3 4" xfId="242" xr:uid="{D3BF9C48-A27C-4D6B-B9D6-3C657BDF795F}"/>
    <cellStyle name="千分位 9 4" xfId="243" xr:uid="{BA7E03D0-FFE3-4D03-9A44-7C04E5880F65}"/>
    <cellStyle name="千分位 9 4 2" xfId="244" xr:uid="{91850CC1-023A-4ADB-99E9-2FCF56584930}"/>
    <cellStyle name="千分位 9 4 2 2" xfId="245" xr:uid="{C62D7973-F1AB-4C0D-9947-E669C656ECC1}"/>
    <cellStyle name="千分位 9 4 3" xfId="246" xr:uid="{50960BDD-98CF-4C97-9198-7EA0EE42AF63}"/>
    <cellStyle name="千分位 9 5" xfId="247" xr:uid="{3B52D3F8-F979-4916-B923-378FEECFA034}"/>
    <cellStyle name="千分位 9 5 2" xfId="248" xr:uid="{69B7D580-F116-4B4B-AE8D-A5BA4B8A69F3}"/>
    <cellStyle name="千分位 9 6" xfId="249" xr:uid="{958EF142-EE3A-42A6-A0EE-AFF6677659EC}"/>
    <cellStyle name="百分比" xfId="250" builtinId="5"/>
    <cellStyle name="百分比 2" xfId="251" xr:uid="{00000000-0005-0000-0000-000062000000}"/>
    <cellStyle name="百分比 2 2" xfId="252" xr:uid="{00000000-0005-0000-0000-000063000000}"/>
    <cellStyle name="百分比 2 2 2" xfId="253" xr:uid="{00000000-0005-0000-0000-000064000000}"/>
    <cellStyle name="百分比 2 2 2 2" xfId="254" xr:uid="{3B9EECDC-E106-4FE0-943C-A8AF9A6F83DB}"/>
    <cellStyle name="百分比 2 3" xfId="255" xr:uid="{00000000-0005-0000-0000-000065000000}"/>
    <cellStyle name="百分比 2 5" xfId="256" xr:uid="{68CAF0C3-147E-4F67-B170-63159E79E0E2}"/>
    <cellStyle name="百分比 3" xfId="257" xr:uid="{00000000-0005-0000-0000-000066000000}"/>
    <cellStyle name="百分比 4" xfId="258" xr:uid="{00000000-0005-0000-0000-000067000000}"/>
    <cellStyle name="百分比 5" xfId="259" xr:uid="{00000000-0005-0000-0000-000068000000}"/>
    <cellStyle name="百分比 5 2" xfId="260" xr:uid="{00000000-0005-0000-0000-000069000000}"/>
    <cellStyle name="百分比 6" xfId="261" xr:uid="{00000000-0005-0000-0000-00006A000000}"/>
    <cellStyle name="百分比 6 2" xfId="262" xr:uid="{00000000-0005-0000-0000-00006B000000}"/>
    <cellStyle name="百分比 6 4" xfId="263" xr:uid="{00000000-0005-0000-0000-00006C000000}"/>
    <cellStyle name="百分比 6 4 2" xfId="264" xr:uid="{00000000-0005-0000-0000-00006D000000}"/>
    <cellStyle name="百分比 6 4 2 2" xfId="265" xr:uid="{00000000-0005-0000-0000-00006E000000}"/>
    <cellStyle name="百分比 6 4 3" xfId="266" xr:uid="{00000000-0005-0000-0000-00006F000000}"/>
    <cellStyle name="百分比 6 4 3 2" xfId="267" xr:uid="{00000000-0005-0000-0000-000070000000}"/>
    <cellStyle name="百分比 6 4 4" xfId="268" xr:uid="{00000000-0005-0000-0000-000071000000}"/>
    <cellStyle name="百分比 6 4 4 2" xfId="269" xr:uid="{00000000-0005-0000-0000-000072000000}"/>
    <cellStyle name="百分比 6 4 5" xfId="270" xr:uid="{00000000-0005-0000-0000-000073000000}"/>
    <cellStyle name="百分比 7" xfId="271" xr:uid="{00000000-0005-0000-0000-000074000000}"/>
    <cellStyle name="百分比 7 2" xfId="272" xr:uid="{00000000-0005-0000-0000-000075000000}"/>
    <cellStyle name="百分比 7 3" xfId="273" xr:uid="{29D8A7F6-8DB0-4487-BFD9-B5903F7848A4}"/>
    <cellStyle name="百分比 8" xfId="274" xr:uid="{00000000-0005-0000-0000-000076000000}"/>
    <cellStyle name="百分比 8 2" xfId="275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D13" sqref="D13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14" width="12.5703125" style="161" customWidth="1"/>
    <col min="15" max="16384" width="12.5703125" style="161"/>
  </cols>
  <sheetData>
    <row r="1" spans="1:14" ht="15.75" customHeight="1">
      <c r="A1" s="385" t="s">
        <v>369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161"/>
    </row>
    <row r="2" spans="1:14" s="162" customFormat="1" ht="15.75" customHeight="1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</row>
    <row r="3" spans="1:14" ht="21.6" customHeight="1">
      <c r="A3" s="303" t="s">
        <v>215</v>
      </c>
      <c r="B3" s="304">
        <v>11</v>
      </c>
      <c r="C3" s="305" t="s">
        <v>141</v>
      </c>
      <c r="D3" s="306" t="s">
        <v>421</v>
      </c>
      <c r="E3" s="303" t="s">
        <v>370</v>
      </c>
      <c r="F3" s="386" t="s">
        <v>371</v>
      </c>
      <c r="G3" s="387"/>
      <c r="H3" s="162"/>
      <c r="I3" s="307"/>
      <c r="J3" s="162"/>
      <c r="K3" s="162"/>
      <c r="M3" s="162"/>
      <c r="N3" s="162"/>
    </row>
    <row r="4" spans="1:14" ht="15.75" customHeight="1">
      <c r="A4" s="308" t="s">
        <v>372</v>
      </c>
      <c r="E4" s="309" t="s">
        <v>219</v>
      </c>
      <c r="G4" s="310" t="s">
        <v>20</v>
      </c>
      <c r="L4" s="161"/>
    </row>
    <row r="5" spans="1:14" s="196" customFormat="1" ht="15.75" customHeight="1">
      <c r="A5" s="311" t="s">
        <v>94</v>
      </c>
      <c r="B5" s="311" t="s">
        <v>373</v>
      </c>
      <c r="C5" s="311" t="s">
        <v>374</v>
      </c>
      <c r="D5" s="312" t="s">
        <v>137</v>
      </c>
      <c r="E5" s="312" t="s">
        <v>224</v>
      </c>
      <c r="G5" s="311" t="s">
        <v>94</v>
      </c>
      <c r="H5" s="312" t="s">
        <v>225</v>
      </c>
      <c r="I5" s="312" t="s">
        <v>373</v>
      </c>
      <c r="J5" s="312" t="s">
        <v>374</v>
      </c>
      <c r="K5" s="312" t="s">
        <v>224</v>
      </c>
      <c r="L5" s="313" t="s">
        <v>226</v>
      </c>
    </row>
    <row r="6" spans="1:14" ht="18" customHeight="1">
      <c r="A6" s="191" t="s">
        <v>92</v>
      </c>
      <c r="B6" s="166">
        <v>16910.8</v>
      </c>
      <c r="C6" s="166">
        <v>17347.5</v>
      </c>
      <c r="D6" s="166">
        <f t="shared" ref="D6:D11" si="0">B6-C6</f>
        <v>-436.70000000000073</v>
      </c>
      <c r="E6" s="166">
        <v>59929.5</v>
      </c>
      <c r="G6" s="191" t="s">
        <v>375</v>
      </c>
      <c r="H6" s="314">
        <v>113</v>
      </c>
      <c r="I6" s="314">
        <v>102.3</v>
      </c>
      <c r="J6" s="314">
        <v>102.5</v>
      </c>
      <c r="K6" s="314">
        <v>101.7</v>
      </c>
      <c r="L6" s="315" t="s">
        <v>376</v>
      </c>
    </row>
    <row r="7" spans="1:14" ht="18" customHeight="1">
      <c r="A7" s="191" t="s">
        <v>230</v>
      </c>
      <c r="B7" s="166">
        <v>354039</v>
      </c>
      <c r="C7" s="166">
        <v>365747</v>
      </c>
      <c r="D7" s="166">
        <f t="shared" si="0"/>
        <v>-11708</v>
      </c>
      <c r="E7" s="166">
        <v>1260014</v>
      </c>
      <c r="G7" s="191" t="s">
        <v>377</v>
      </c>
      <c r="H7" s="167">
        <v>0.8</v>
      </c>
      <c r="I7" s="167">
        <f>I6/H6</f>
        <v>0.90530973451327434</v>
      </c>
      <c r="J7" s="167">
        <f>J6/H6</f>
        <v>0.90707964601769908</v>
      </c>
      <c r="K7" s="167">
        <f>K6/H6</f>
        <v>0.9</v>
      </c>
      <c r="L7" s="315" t="s">
        <v>232</v>
      </c>
    </row>
    <row r="8" spans="1:14" ht="18" customHeight="1">
      <c r="A8" s="191" t="s">
        <v>234</v>
      </c>
      <c r="B8" s="166">
        <v>10655</v>
      </c>
      <c r="C8" s="166">
        <v>10927.4</v>
      </c>
      <c r="D8" s="166">
        <f>B8-C8</f>
        <v>-272.39999999999964</v>
      </c>
      <c r="E8" s="166">
        <v>37772.699999999997</v>
      </c>
      <c r="G8" s="191" t="s">
        <v>378</v>
      </c>
      <c r="H8" s="167">
        <v>2.5000000000000001E-3</v>
      </c>
      <c r="I8" s="167">
        <v>3.0000000000000001E-3</v>
      </c>
      <c r="J8" s="167">
        <v>2.5999999999999999E-3</v>
      </c>
      <c r="K8" s="167">
        <v>2.3999999999999998E-3</v>
      </c>
      <c r="L8" s="315" t="s">
        <v>114</v>
      </c>
    </row>
    <row r="9" spans="1:14" ht="18" customHeight="1">
      <c r="A9" s="191" t="s">
        <v>237</v>
      </c>
      <c r="B9" s="167">
        <f>B8/B6</f>
        <v>0.63007072403434494</v>
      </c>
      <c r="C9" s="167">
        <f>C8/C6</f>
        <v>0.62991209107940627</v>
      </c>
      <c r="D9" s="167">
        <f t="shared" si="0"/>
        <v>1.5863295493867557E-4</v>
      </c>
      <c r="E9" s="167">
        <f>E8/E6</f>
        <v>0.63028558556303649</v>
      </c>
      <c r="G9" s="191" t="s">
        <v>379</v>
      </c>
      <c r="H9" s="167">
        <v>2.5000000000000001E-3</v>
      </c>
      <c r="I9" s="167">
        <v>8.9999999999999998E-4</v>
      </c>
      <c r="J9" s="167">
        <v>2.8E-3</v>
      </c>
      <c r="K9" s="167">
        <v>2.2000000000000001E-3</v>
      </c>
      <c r="L9" s="315" t="s">
        <v>130</v>
      </c>
    </row>
    <row r="10" spans="1:14" ht="18" customHeight="1">
      <c r="A10" s="191" t="s">
        <v>240</v>
      </c>
      <c r="B10" s="166"/>
      <c r="C10" s="166"/>
      <c r="D10" s="166">
        <f t="shared" si="0"/>
        <v>0</v>
      </c>
      <c r="E10" s="192"/>
      <c r="G10" s="191" t="s">
        <v>380</v>
      </c>
      <c r="H10" s="167">
        <v>1</v>
      </c>
      <c r="I10" s="167">
        <v>0.42899999999999999</v>
      </c>
      <c r="J10" s="167">
        <v>0.42899999999999999</v>
      </c>
      <c r="K10" s="167">
        <v>0.42899999999999999</v>
      </c>
      <c r="L10" s="315" t="s">
        <v>242</v>
      </c>
    </row>
    <row r="11" spans="1:14" ht="18" customHeight="1">
      <c r="A11" s="191" t="s">
        <v>246</v>
      </c>
      <c r="B11" s="167"/>
      <c r="C11" s="167"/>
      <c r="D11" s="167">
        <f t="shared" si="0"/>
        <v>0</v>
      </c>
      <c r="E11" s="167"/>
      <c r="G11" s="191" t="s">
        <v>381</v>
      </c>
      <c r="H11" s="167">
        <v>1</v>
      </c>
      <c r="I11" s="167">
        <v>0.9</v>
      </c>
      <c r="J11" s="167">
        <v>0.9</v>
      </c>
      <c r="K11" s="167">
        <v>0.89400000000000002</v>
      </c>
      <c r="L11" s="315" t="s">
        <v>248</v>
      </c>
    </row>
    <row r="12" spans="1:14" ht="9.6" customHeight="1">
      <c r="L12" s="161"/>
    </row>
    <row r="13" spans="1:14" ht="15.75" customHeight="1">
      <c r="A13" s="308" t="s">
        <v>220</v>
      </c>
      <c r="G13" s="308" t="s">
        <v>221</v>
      </c>
      <c r="L13" s="161"/>
    </row>
    <row r="14" spans="1:14" s="186" customFormat="1" ht="14.25">
      <c r="A14" s="316"/>
      <c r="B14" s="317" t="s">
        <v>373</v>
      </c>
      <c r="C14" s="316" t="s">
        <v>101</v>
      </c>
      <c r="D14" s="317" t="s">
        <v>374</v>
      </c>
      <c r="E14" s="316" t="s">
        <v>137</v>
      </c>
      <c r="G14" s="316"/>
      <c r="H14" s="317" t="s">
        <v>373</v>
      </c>
      <c r="I14" s="316" t="s">
        <v>101</v>
      </c>
      <c r="J14" s="317" t="s">
        <v>374</v>
      </c>
      <c r="K14" s="316" t="s">
        <v>137</v>
      </c>
    </row>
    <row r="15" spans="1:14" ht="18" customHeight="1">
      <c r="A15" s="191" t="s">
        <v>382</v>
      </c>
      <c r="B15" s="166">
        <v>15522.2</v>
      </c>
      <c r="C15" s="167">
        <f>B15/B6</f>
        <v>0.91788679423800179</v>
      </c>
      <c r="D15" s="167">
        <v>0.91639999999999999</v>
      </c>
      <c r="E15" s="167">
        <f>IFERROR(C15-D15,"")</f>
        <v>1.4867942380017984E-3</v>
      </c>
      <c r="G15" s="191" t="s">
        <v>382</v>
      </c>
      <c r="H15" s="166">
        <v>303669</v>
      </c>
      <c r="I15" s="167">
        <f>IFERROR(H15/$B$7,"")</f>
        <v>0.85772753849152217</v>
      </c>
      <c r="J15" s="167">
        <v>0.85619999999999996</v>
      </c>
      <c r="K15" s="167">
        <f>IFERROR(I15-J15,"")</f>
        <v>1.5275384915222068E-3</v>
      </c>
      <c r="L15" s="161"/>
    </row>
    <row r="16" spans="1:14" ht="18" customHeight="1">
      <c r="A16" s="191" t="s">
        <v>383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383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384</v>
      </c>
      <c r="B17" s="166">
        <v>1388.5</v>
      </c>
      <c r="C17" s="167">
        <f>B17/B6</f>
        <v>8.2107292381200181E-2</v>
      </c>
      <c r="D17" s="167">
        <v>8.3599999999999994E-2</v>
      </c>
      <c r="E17" s="167">
        <f>IFERROR(C17-D17,"")</f>
        <v>-1.4927076187998128E-3</v>
      </c>
      <c r="G17" s="191" t="s">
        <v>384</v>
      </c>
      <c r="H17" s="166">
        <v>50370</v>
      </c>
      <c r="I17" s="167">
        <f>IFERROR(H17/$B$7,"")</f>
        <v>0.14227246150847789</v>
      </c>
      <c r="J17" s="167">
        <v>0.14380000000000001</v>
      </c>
      <c r="K17" s="167">
        <f>IFERROR(I17-J17,"")</f>
        <v>-1.5275384915221235E-3</v>
      </c>
      <c r="L17" s="161"/>
    </row>
    <row r="18" spans="1:17" ht="15.75" customHeight="1">
      <c r="C18" s="318">
        <f>SUM(C15:C17)</f>
        <v>0.99999408661920197</v>
      </c>
      <c r="D18" s="318">
        <f>SUM(D15:D17)</f>
        <v>1</v>
      </c>
      <c r="I18" s="318">
        <f>SUM(I15:I17)</f>
        <v>1</v>
      </c>
      <c r="J18" s="318">
        <f>SUM(J15:J17)</f>
        <v>1</v>
      </c>
      <c r="L18" s="161"/>
    </row>
    <row r="19" spans="1:17" ht="9.6" customHeight="1">
      <c r="A19" s="319"/>
      <c r="L19" s="161"/>
    </row>
    <row r="20" spans="1:17" ht="15.75" customHeight="1">
      <c r="A20" s="308" t="s">
        <v>385</v>
      </c>
      <c r="L20" s="161"/>
    </row>
    <row r="21" spans="1:17" ht="15.75" customHeight="1">
      <c r="A21" s="191" t="s">
        <v>46</v>
      </c>
      <c r="B21" s="320" t="s">
        <v>373</v>
      </c>
      <c r="C21" s="320" t="s">
        <v>374</v>
      </c>
      <c r="D21" s="191" t="s">
        <v>137</v>
      </c>
      <c r="E21" s="191" t="s">
        <v>224</v>
      </c>
      <c r="L21" s="161"/>
    </row>
    <row r="22" spans="1:17" ht="18" customHeight="1">
      <c r="A22" s="191" t="s">
        <v>382</v>
      </c>
      <c r="B22" s="192">
        <v>99.4</v>
      </c>
      <c r="C22" s="192">
        <v>100.8</v>
      </c>
      <c r="D22" s="192">
        <f>B22-C22</f>
        <v>-1.3999999999999915</v>
      </c>
      <c r="E22" s="321">
        <v>100.3</v>
      </c>
      <c r="G22" s="322"/>
      <c r="H22" s="322"/>
      <c r="I22" s="322"/>
      <c r="J22" s="322"/>
      <c r="K22" s="322"/>
      <c r="L22" s="322"/>
      <c r="M22" s="322"/>
      <c r="N22" s="322"/>
      <c r="O22" s="322"/>
      <c r="P22" s="323"/>
      <c r="Q22" s="323"/>
    </row>
    <row r="23" spans="1:17" ht="18" customHeight="1">
      <c r="A23" s="191" t="s">
        <v>383</v>
      </c>
      <c r="B23" s="192"/>
      <c r="C23" s="192"/>
      <c r="D23" s="192">
        <f>B23-C23</f>
        <v>0</v>
      </c>
      <c r="E23" s="321"/>
      <c r="G23" s="324"/>
      <c r="H23" s="324"/>
      <c r="I23" s="325"/>
      <c r="J23" s="326"/>
      <c r="K23" s="327"/>
      <c r="L23" s="328"/>
      <c r="M23" s="329"/>
      <c r="N23" s="328"/>
      <c r="O23" s="328"/>
      <c r="P23" s="328"/>
      <c r="Q23" s="328"/>
    </row>
    <row r="24" spans="1:17" ht="18" customHeight="1">
      <c r="A24" s="191" t="s">
        <v>384</v>
      </c>
      <c r="B24" s="192">
        <v>109</v>
      </c>
      <c r="C24" s="192">
        <v>113.2</v>
      </c>
      <c r="D24" s="192">
        <f>B24-C24</f>
        <v>-4.2000000000000028</v>
      </c>
      <c r="E24" s="321">
        <v>111.7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M22" sqref="M22:M28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25" width="8.85546875" style="79" customWidth="1"/>
    <col min="26" max="16384" width="8.85546875" style="79"/>
  </cols>
  <sheetData>
    <row r="2" spans="2:23" ht="38.1" customHeight="1">
      <c r="B2" s="388" t="s">
        <v>0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</row>
    <row r="3" spans="2:23" s="82" customFormat="1" ht="23.45" customHeight="1">
      <c r="B3" s="392" t="s">
        <v>1</v>
      </c>
      <c r="C3" s="393" t="s">
        <v>2</v>
      </c>
      <c r="D3" s="394" t="s">
        <v>3</v>
      </c>
      <c r="E3" s="394"/>
      <c r="F3" s="391" t="s">
        <v>4</v>
      </c>
      <c r="G3" s="391"/>
      <c r="H3" s="391"/>
      <c r="I3" s="389" t="s">
        <v>5</v>
      </c>
      <c r="J3" s="389"/>
      <c r="K3" s="389"/>
      <c r="L3" s="390" t="s">
        <v>6</v>
      </c>
      <c r="M3" s="390"/>
      <c r="N3" s="390"/>
      <c r="O3" s="396" t="s">
        <v>7</v>
      </c>
      <c r="P3" s="396"/>
      <c r="Q3" s="396"/>
      <c r="R3" s="395" t="s">
        <v>8</v>
      </c>
      <c r="S3" s="395"/>
      <c r="T3" s="395"/>
      <c r="U3" s="396" t="s">
        <v>9</v>
      </c>
      <c r="V3" s="396"/>
      <c r="W3" s="396"/>
    </row>
    <row r="4" spans="2:23" s="82" customFormat="1" ht="23.45" customHeight="1">
      <c r="B4" s="392"/>
      <c r="C4" s="393"/>
      <c r="D4" s="394"/>
      <c r="E4" s="394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346"/>
      <c r="C5" s="405" t="s">
        <v>13</v>
      </c>
      <c r="D5" s="340">
        <v>45962</v>
      </c>
      <c r="E5" s="341" t="s">
        <v>14</v>
      </c>
      <c r="F5" s="87">
        <v>2264329.1</v>
      </c>
      <c r="G5" s="349"/>
      <c r="H5" s="407">
        <f>SUM(F5:F35)</f>
        <v>59929510.950000003</v>
      </c>
      <c r="I5" s="350">
        <v>47648</v>
      </c>
      <c r="J5" s="337"/>
      <c r="K5" s="402">
        <f>SUM(I5:I34)</f>
        <v>1260014</v>
      </c>
      <c r="L5" s="87">
        <v>1430695</v>
      </c>
      <c r="M5" s="349"/>
      <c r="N5" s="401">
        <f>SUM(L5:L34)</f>
        <v>37772746</v>
      </c>
      <c r="O5" s="90">
        <f>L5/F5</f>
        <v>0.6318405747645075</v>
      </c>
      <c r="P5" s="339"/>
      <c r="Q5" s="400">
        <f>N5/H5</f>
        <v>0.63028623796904182</v>
      </c>
      <c r="S5" s="228">
        <f>SUM(R5)</f>
        <v>0</v>
      </c>
      <c r="T5" s="397">
        <f>SUM(R5:R33)</f>
        <v>0</v>
      </c>
      <c r="U5" s="90">
        <f t="shared" ref="U5:U35" si="0">R5/F5</f>
        <v>0</v>
      </c>
      <c r="V5" s="228">
        <f>SUM(U5)</f>
        <v>0</v>
      </c>
      <c r="W5" s="398">
        <f>T5/H5</f>
        <v>0</v>
      </c>
    </row>
    <row r="6" spans="2:23">
      <c r="B6" s="346"/>
      <c r="C6" s="406"/>
      <c r="D6" s="340">
        <v>45963</v>
      </c>
      <c r="E6" s="341" t="s">
        <v>10</v>
      </c>
      <c r="F6" s="87">
        <v>3123033.5</v>
      </c>
      <c r="G6" s="349"/>
      <c r="H6" s="407"/>
      <c r="I6" s="350">
        <v>65527</v>
      </c>
      <c r="J6" s="337"/>
      <c r="K6" s="402"/>
      <c r="L6" s="87">
        <v>1971002</v>
      </c>
      <c r="M6" s="349"/>
      <c r="N6" s="401"/>
      <c r="O6" s="90">
        <f>L6/F6</f>
        <v>0.63111778980276712</v>
      </c>
      <c r="P6" s="339"/>
      <c r="Q6" s="400"/>
      <c r="S6" s="397">
        <f>SUM(R6:R12)</f>
        <v>0</v>
      </c>
      <c r="T6" s="397"/>
      <c r="U6" s="90">
        <f t="shared" si="0"/>
        <v>0</v>
      </c>
      <c r="V6" s="397">
        <f>SUM(U6:U12)</f>
        <v>0</v>
      </c>
      <c r="W6" s="397"/>
    </row>
    <row r="7" spans="2:23">
      <c r="B7" s="346"/>
      <c r="C7" s="406"/>
      <c r="D7" s="340">
        <v>45964</v>
      </c>
      <c r="E7" s="340" t="s">
        <v>15</v>
      </c>
      <c r="F7" s="87">
        <v>2673556.9</v>
      </c>
      <c r="G7" s="349"/>
      <c r="H7" s="407"/>
      <c r="I7" s="350">
        <v>56473</v>
      </c>
      <c r="J7" s="337"/>
      <c r="K7" s="402"/>
      <c r="L7" s="87">
        <v>1685565</v>
      </c>
      <c r="M7" s="349"/>
      <c r="N7" s="401"/>
      <c r="O7" s="90">
        <f t="shared" ref="O7:O34" si="1">L7/F7</f>
        <v>0.63045787430220768</v>
      </c>
      <c r="P7" s="339"/>
      <c r="Q7" s="400"/>
      <c r="S7" s="397"/>
      <c r="T7" s="397"/>
      <c r="U7" s="90">
        <f t="shared" si="0"/>
        <v>0</v>
      </c>
      <c r="V7" s="397"/>
      <c r="W7" s="397"/>
    </row>
    <row r="8" spans="2:23">
      <c r="B8" s="403">
        <v>45973</v>
      </c>
      <c r="C8" s="406"/>
      <c r="D8" s="340">
        <v>45965</v>
      </c>
      <c r="E8" s="341" t="s">
        <v>16</v>
      </c>
      <c r="F8" s="87">
        <v>2527418.29</v>
      </c>
      <c r="G8" s="404">
        <f>SUM(F8:F14)</f>
        <v>17610221.509999998</v>
      </c>
      <c r="H8" s="407"/>
      <c r="I8" s="350">
        <v>53251</v>
      </c>
      <c r="J8" s="402">
        <f>SUM(I8:I14)</f>
        <v>370580</v>
      </c>
      <c r="K8" s="402"/>
      <c r="L8" s="87">
        <v>1594646</v>
      </c>
      <c r="M8" s="404">
        <f>SUM(L8:L14)</f>
        <v>11103030</v>
      </c>
      <c r="N8" s="401"/>
      <c r="O8" s="90">
        <f t="shared" si="1"/>
        <v>0.63093869594494389</v>
      </c>
      <c r="P8" s="400">
        <f>M8/G8</f>
        <v>0.63048781037167101</v>
      </c>
      <c r="Q8" s="400"/>
      <c r="S8" s="397"/>
      <c r="T8" s="397"/>
      <c r="U8" s="90">
        <f t="shared" si="0"/>
        <v>0</v>
      </c>
      <c r="V8" s="397"/>
      <c r="W8" s="397"/>
    </row>
    <row r="9" spans="2:23">
      <c r="B9" s="403"/>
      <c r="C9" s="406"/>
      <c r="D9" s="340">
        <v>45966</v>
      </c>
      <c r="E9" s="341" t="s">
        <v>17</v>
      </c>
      <c r="F9" s="87">
        <v>2528793.23</v>
      </c>
      <c r="G9" s="404"/>
      <c r="H9" s="407"/>
      <c r="I9" s="350">
        <v>53267</v>
      </c>
      <c r="J9" s="402"/>
      <c r="K9" s="402"/>
      <c r="L9" s="87">
        <v>1594646</v>
      </c>
      <c r="M9" s="404"/>
      <c r="N9" s="401"/>
      <c r="O9" s="90">
        <f t="shared" si="1"/>
        <v>0.63059564581324035</v>
      </c>
      <c r="P9" s="400"/>
      <c r="Q9" s="400"/>
      <c r="S9" s="397"/>
      <c r="T9" s="397"/>
      <c r="U9" s="90">
        <f t="shared" si="0"/>
        <v>0</v>
      </c>
      <c r="V9" s="397"/>
      <c r="W9" s="397"/>
    </row>
    <row r="10" spans="2:23">
      <c r="B10" s="403"/>
      <c r="C10" s="406"/>
      <c r="D10" s="340">
        <v>45967</v>
      </c>
      <c r="E10" s="341" t="s">
        <v>18</v>
      </c>
      <c r="F10" s="87">
        <v>2482738.12</v>
      </c>
      <c r="G10" s="404"/>
      <c r="H10" s="407"/>
      <c r="I10" s="350">
        <v>52136</v>
      </c>
      <c r="J10" s="402"/>
      <c r="K10" s="402"/>
      <c r="L10" s="87">
        <v>1565778</v>
      </c>
      <c r="M10" s="404"/>
      <c r="N10" s="401"/>
      <c r="O10" s="90">
        <f t="shared" si="1"/>
        <v>0.63066579088091657</v>
      </c>
      <c r="P10" s="400"/>
      <c r="Q10" s="400"/>
      <c r="S10" s="397"/>
      <c r="T10" s="397"/>
      <c r="U10" s="90">
        <f t="shared" si="0"/>
        <v>0</v>
      </c>
      <c r="V10" s="397"/>
      <c r="W10" s="397"/>
    </row>
    <row r="11" spans="2:23">
      <c r="B11" s="403"/>
      <c r="C11" s="406"/>
      <c r="D11" s="340">
        <v>45968</v>
      </c>
      <c r="E11" s="341" t="s">
        <v>19</v>
      </c>
      <c r="F11" s="87">
        <v>2173366.7399999998</v>
      </c>
      <c r="G11" s="404"/>
      <c r="H11" s="407"/>
      <c r="I11" s="350">
        <v>45764</v>
      </c>
      <c r="J11" s="402"/>
      <c r="K11" s="402"/>
      <c r="L11" s="87">
        <v>1370695</v>
      </c>
      <c r="M11" s="404"/>
      <c r="N11" s="401"/>
      <c r="O11" s="90">
        <f t="shared" si="1"/>
        <v>0.63067818917666885</v>
      </c>
      <c r="P11" s="400"/>
      <c r="Q11" s="400"/>
      <c r="S11" s="397"/>
      <c r="T11" s="397"/>
      <c r="U11" s="90">
        <f t="shared" si="0"/>
        <v>0</v>
      </c>
      <c r="V11" s="397"/>
      <c r="W11" s="397"/>
    </row>
    <row r="12" spans="2:23">
      <c r="B12" s="403"/>
      <c r="C12" s="406"/>
      <c r="D12" s="340">
        <v>45969</v>
      </c>
      <c r="E12" s="341" t="s">
        <v>14</v>
      </c>
      <c r="F12" s="87">
        <v>2234998.08</v>
      </c>
      <c r="G12" s="404"/>
      <c r="H12" s="407"/>
      <c r="I12" s="350">
        <v>47070</v>
      </c>
      <c r="J12" s="402"/>
      <c r="K12" s="402"/>
      <c r="L12" s="87">
        <v>1408695</v>
      </c>
      <c r="M12" s="404"/>
      <c r="N12" s="401"/>
      <c r="O12" s="90">
        <f t="shared" si="1"/>
        <v>0.63028913206046244</v>
      </c>
      <c r="P12" s="400"/>
      <c r="Q12" s="400"/>
      <c r="S12" s="397"/>
      <c r="T12" s="397"/>
      <c r="U12" s="90">
        <f t="shared" si="0"/>
        <v>0</v>
      </c>
      <c r="V12" s="397"/>
      <c r="W12" s="397"/>
    </row>
    <row r="13" spans="2:23">
      <c r="B13" s="403"/>
      <c r="C13" s="406"/>
      <c r="D13" s="340">
        <v>45970</v>
      </c>
      <c r="E13" s="341" t="s">
        <v>10</v>
      </c>
      <c r="F13" s="87">
        <v>2858713.39</v>
      </c>
      <c r="G13" s="404"/>
      <c r="H13" s="407"/>
      <c r="I13" s="350">
        <v>60100</v>
      </c>
      <c r="J13" s="402"/>
      <c r="K13" s="402"/>
      <c r="L13" s="87">
        <v>1801005</v>
      </c>
      <c r="M13" s="404"/>
      <c r="N13" s="401"/>
      <c r="O13" s="90">
        <f t="shared" si="1"/>
        <v>0.63000544451222507</v>
      </c>
      <c r="P13" s="400"/>
      <c r="Q13" s="400"/>
      <c r="S13" s="397">
        <f>SUM(R13:R19)</f>
        <v>0</v>
      </c>
      <c r="T13" s="397"/>
      <c r="U13" s="90">
        <f t="shared" si="0"/>
        <v>0</v>
      </c>
      <c r="V13" s="397">
        <f>SUM(U13:U19)</f>
        <v>0</v>
      </c>
      <c r="W13" s="397"/>
    </row>
    <row r="14" spans="2:23">
      <c r="B14" s="403"/>
      <c r="C14" s="406"/>
      <c r="D14" s="340">
        <v>45971</v>
      </c>
      <c r="E14" s="340" t="s">
        <v>15</v>
      </c>
      <c r="F14" s="87">
        <v>2804193.66</v>
      </c>
      <c r="G14" s="404"/>
      <c r="H14" s="407"/>
      <c r="I14" s="350">
        <v>58992</v>
      </c>
      <c r="J14" s="402"/>
      <c r="K14" s="402"/>
      <c r="L14" s="87">
        <v>1767565</v>
      </c>
      <c r="M14" s="404"/>
      <c r="N14" s="401"/>
      <c r="O14" s="90">
        <f t="shared" si="1"/>
        <v>0.63032914780928506</v>
      </c>
      <c r="P14" s="400"/>
      <c r="Q14" s="400"/>
      <c r="S14" s="397"/>
      <c r="T14" s="397"/>
      <c r="U14" s="90">
        <f t="shared" si="0"/>
        <v>0</v>
      </c>
      <c r="V14" s="397"/>
      <c r="W14" s="397"/>
    </row>
    <row r="15" spans="2:23">
      <c r="B15" s="403">
        <v>45980</v>
      </c>
      <c r="C15" s="406"/>
      <c r="D15" s="340">
        <v>45972</v>
      </c>
      <c r="E15" s="341" t="s">
        <v>16</v>
      </c>
      <c r="F15" s="87">
        <v>2660726.29</v>
      </c>
      <c r="G15" s="404">
        <f>SUM(F15:F21)</f>
        <v>17347543.109999999</v>
      </c>
      <c r="H15" s="407"/>
      <c r="I15" s="350">
        <v>56087</v>
      </c>
      <c r="J15" s="402">
        <f>SUM(I15:I21)</f>
        <v>365747</v>
      </c>
      <c r="K15" s="402"/>
      <c r="L15" s="87">
        <v>1675565</v>
      </c>
      <c r="M15" s="404">
        <f>SUM(L15:L21)</f>
        <v>10927428</v>
      </c>
      <c r="N15" s="401"/>
      <c r="O15" s="351">
        <f t="shared" si="1"/>
        <v>0.62973970915287192</v>
      </c>
      <c r="P15" s="400">
        <f>M15/G15</f>
        <v>0.62991213976006089</v>
      </c>
      <c r="Q15" s="400"/>
      <c r="S15" s="397"/>
      <c r="T15" s="397"/>
      <c r="U15" s="90">
        <f t="shared" si="0"/>
        <v>0</v>
      </c>
      <c r="V15" s="397"/>
      <c r="W15" s="397"/>
    </row>
    <row r="16" spans="2:23">
      <c r="B16" s="403"/>
      <c r="C16" s="406"/>
      <c r="D16" s="340">
        <v>45973</v>
      </c>
      <c r="E16" s="341" t="s">
        <v>17</v>
      </c>
      <c r="F16" s="87">
        <v>2790787.25</v>
      </c>
      <c r="G16" s="404"/>
      <c r="H16" s="407"/>
      <c r="I16" s="350">
        <v>58816</v>
      </c>
      <c r="J16" s="402"/>
      <c r="K16" s="402"/>
      <c r="L16" s="87">
        <v>1757565</v>
      </c>
      <c r="M16" s="404"/>
      <c r="N16" s="401"/>
      <c r="O16" s="351">
        <f t="shared" si="1"/>
        <v>0.62977391056949972</v>
      </c>
      <c r="P16" s="400"/>
      <c r="Q16" s="400"/>
      <c r="S16" s="397"/>
      <c r="T16" s="397"/>
      <c r="U16" s="90">
        <f t="shared" si="0"/>
        <v>0</v>
      </c>
      <c r="V16" s="397"/>
      <c r="W16" s="397"/>
    </row>
    <row r="17" spans="2:23">
      <c r="B17" s="403"/>
      <c r="C17" s="406"/>
      <c r="D17" s="340">
        <v>45974</v>
      </c>
      <c r="E17" s="341" t="s">
        <v>18</v>
      </c>
      <c r="F17" s="87">
        <v>2510222.5499999998</v>
      </c>
      <c r="G17" s="404"/>
      <c r="H17" s="407"/>
      <c r="I17" s="350">
        <v>52853</v>
      </c>
      <c r="J17" s="402"/>
      <c r="K17" s="402"/>
      <c r="L17" s="87">
        <v>1580778</v>
      </c>
      <c r="M17" s="404"/>
      <c r="N17" s="401"/>
      <c r="O17" s="351">
        <f t="shared" si="1"/>
        <v>0.62973619609942555</v>
      </c>
      <c r="P17" s="400"/>
      <c r="Q17" s="400"/>
      <c r="S17" s="397"/>
      <c r="T17" s="397"/>
      <c r="U17" s="90">
        <f t="shared" si="0"/>
        <v>0</v>
      </c>
      <c r="V17" s="397"/>
      <c r="W17" s="397"/>
    </row>
    <row r="18" spans="2:23">
      <c r="B18" s="403"/>
      <c r="C18" s="406"/>
      <c r="D18" s="340">
        <v>45975</v>
      </c>
      <c r="E18" s="341" t="s">
        <v>19</v>
      </c>
      <c r="F18" s="87">
        <v>2068483.01</v>
      </c>
      <c r="G18" s="404"/>
      <c r="H18" s="407"/>
      <c r="I18" s="350">
        <v>43532</v>
      </c>
      <c r="J18" s="402"/>
      <c r="K18" s="402"/>
      <c r="L18" s="87">
        <v>1303695</v>
      </c>
      <c r="M18" s="404"/>
      <c r="N18" s="401"/>
      <c r="O18" s="351">
        <f t="shared" si="1"/>
        <v>0.63026623554427941</v>
      </c>
      <c r="P18" s="400"/>
      <c r="Q18" s="400"/>
      <c r="S18" s="397"/>
      <c r="T18" s="397"/>
      <c r="U18" s="90">
        <f t="shared" si="0"/>
        <v>0</v>
      </c>
      <c r="V18" s="397"/>
      <c r="W18" s="397"/>
    </row>
    <row r="19" spans="2:23">
      <c r="B19" s="403"/>
      <c r="C19" s="406"/>
      <c r="D19" s="340">
        <v>45976</v>
      </c>
      <c r="E19" s="341" t="s">
        <v>14</v>
      </c>
      <c r="F19" s="87">
        <v>2006658.04</v>
      </c>
      <c r="G19" s="404"/>
      <c r="H19" s="407"/>
      <c r="I19" s="350">
        <v>42341</v>
      </c>
      <c r="J19" s="402"/>
      <c r="K19" s="402"/>
      <c r="L19" s="87">
        <v>1263695</v>
      </c>
      <c r="M19" s="404"/>
      <c r="N19" s="401"/>
      <c r="O19" s="351">
        <f t="shared" si="1"/>
        <v>0.62975104617227162</v>
      </c>
      <c r="P19" s="400"/>
      <c r="Q19" s="400"/>
      <c r="S19" s="397"/>
      <c r="T19" s="397"/>
      <c r="U19" s="90">
        <f t="shared" si="0"/>
        <v>0</v>
      </c>
      <c r="V19" s="397"/>
      <c r="W19" s="397"/>
    </row>
    <row r="20" spans="2:23">
      <c r="B20" s="403"/>
      <c r="C20" s="406"/>
      <c r="D20" s="340">
        <v>45977</v>
      </c>
      <c r="E20" s="341" t="s">
        <v>10</v>
      </c>
      <c r="F20" s="87">
        <v>2660160.35</v>
      </c>
      <c r="G20" s="404"/>
      <c r="H20" s="407"/>
      <c r="I20" s="350">
        <v>56127</v>
      </c>
      <c r="J20" s="402"/>
      <c r="K20" s="402"/>
      <c r="L20" s="87">
        <v>1675565</v>
      </c>
      <c r="M20" s="404"/>
      <c r="N20" s="401"/>
      <c r="O20" s="351">
        <f t="shared" si="1"/>
        <v>0.62987368411832767</v>
      </c>
      <c r="P20" s="400"/>
      <c r="Q20" s="400"/>
      <c r="S20" s="397">
        <f>SUM(R20:R26)</f>
        <v>0</v>
      </c>
      <c r="T20" s="397"/>
      <c r="U20" s="90">
        <f t="shared" si="0"/>
        <v>0</v>
      </c>
      <c r="V20" s="397">
        <f>SUM(U20:U26)</f>
        <v>0</v>
      </c>
      <c r="W20" s="397"/>
    </row>
    <row r="21" spans="2:23">
      <c r="B21" s="403"/>
      <c r="C21" s="406"/>
      <c r="D21" s="340">
        <v>45978</v>
      </c>
      <c r="E21" s="340" t="s">
        <v>15</v>
      </c>
      <c r="F21" s="87">
        <v>2650505.6199999996</v>
      </c>
      <c r="G21" s="404"/>
      <c r="H21" s="407"/>
      <c r="I21" s="350">
        <v>55991</v>
      </c>
      <c r="J21" s="402"/>
      <c r="K21" s="402"/>
      <c r="L21" s="87">
        <v>1670565</v>
      </c>
      <c r="M21" s="404"/>
      <c r="N21" s="401"/>
      <c r="O21" s="351">
        <f t="shared" si="1"/>
        <v>0.63028162905762875</v>
      </c>
      <c r="P21" s="400"/>
      <c r="Q21" s="400"/>
      <c r="S21" s="397"/>
      <c r="T21" s="397"/>
      <c r="U21" s="90">
        <f t="shared" si="0"/>
        <v>0</v>
      </c>
      <c r="V21" s="397"/>
      <c r="W21" s="397"/>
    </row>
    <row r="22" spans="2:23">
      <c r="B22" s="403">
        <v>45987</v>
      </c>
      <c r="C22" s="406"/>
      <c r="D22" s="340">
        <v>45979</v>
      </c>
      <c r="E22" s="341" t="s">
        <v>16</v>
      </c>
      <c r="F22" s="87">
        <v>2921128.02</v>
      </c>
      <c r="G22" s="404">
        <f>SUM(F22:F28)</f>
        <v>16910826.829999998</v>
      </c>
      <c r="H22" s="407"/>
      <c r="I22" s="350">
        <v>60555</v>
      </c>
      <c r="J22" s="402">
        <f>SUM(I22:I28)</f>
        <v>354039</v>
      </c>
      <c r="K22" s="402"/>
      <c r="L22" s="87">
        <v>1840005</v>
      </c>
      <c r="M22" s="404">
        <f>SUM(L22:L28)</f>
        <v>10655026</v>
      </c>
      <c r="N22" s="401"/>
      <c r="O22" s="351">
        <f t="shared" si="1"/>
        <v>0.6298953648734642</v>
      </c>
      <c r="P22" s="400">
        <f>M22/G22</f>
        <v>0.63007126186744833</v>
      </c>
      <c r="Q22" s="400"/>
      <c r="S22" s="397"/>
      <c r="T22" s="397"/>
      <c r="U22" s="90">
        <f t="shared" si="0"/>
        <v>0</v>
      </c>
      <c r="V22" s="397"/>
      <c r="W22" s="397"/>
    </row>
    <row r="23" spans="2:23">
      <c r="B23" s="403"/>
      <c r="C23" s="406"/>
      <c r="D23" s="340">
        <v>45980</v>
      </c>
      <c r="E23" s="341" t="s">
        <v>17</v>
      </c>
      <c r="F23" s="87">
        <v>2664581.21</v>
      </c>
      <c r="G23" s="404"/>
      <c r="H23" s="407"/>
      <c r="I23" s="350">
        <v>55596</v>
      </c>
      <c r="J23" s="402"/>
      <c r="K23" s="402"/>
      <c r="L23" s="87">
        <v>1679565</v>
      </c>
      <c r="M23" s="404"/>
      <c r="N23" s="401"/>
      <c r="O23" s="351">
        <f t="shared" si="1"/>
        <v>0.63032982207361588</v>
      </c>
      <c r="P23" s="400"/>
      <c r="Q23" s="400"/>
      <c r="S23" s="397"/>
      <c r="T23" s="397"/>
      <c r="U23" s="90">
        <f t="shared" si="0"/>
        <v>0</v>
      </c>
      <c r="V23" s="397"/>
      <c r="W23" s="397"/>
    </row>
    <row r="24" spans="2:23">
      <c r="B24" s="403"/>
      <c r="C24" s="406"/>
      <c r="D24" s="340">
        <v>45981</v>
      </c>
      <c r="E24" s="341" t="s">
        <v>18</v>
      </c>
      <c r="F24" s="87">
        <v>2302855.0699999998</v>
      </c>
      <c r="G24" s="404"/>
      <c r="H24" s="407"/>
      <c r="I24" s="350">
        <v>48162</v>
      </c>
      <c r="J24" s="402"/>
      <c r="K24" s="402"/>
      <c r="L24" s="87">
        <v>1449855</v>
      </c>
      <c r="M24" s="404"/>
      <c r="N24" s="401"/>
      <c r="O24" s="351">
        <f t="shared" si="1"/>
        <v>0.62959020690781031</v>
      </c>
      <c r="P24" s="400"/>
      <c r="Q24" s="400"/>
      <c r="S24" s="397"/>
      <c r="T24" s="397"/>
      <c r="U24" s="90">
        <f t="shared" si="0"/>
        <v>0</v>
      </c>
      <c r="V24" s="397"/>
      <c r="W24" s="397"/>
    </row>
    <row r="25" spans="2:23">
      <c r="B25" s="403"/>
      <c r="C25" s="406"/>
      <c r="D25" s="340">
        <v>45982</v>
      </c>
      <c r="E25" s="341" t="s">
        <v>19</v>
      </c>
      <c r="F25" s="87">
        <v>1818810.13</v>
      </c>
      <c r="G25" s="404"/>
      <c r="H25" s="407"/>
      <c r="I25" s="350">
        <v>38475</v>
      </c>
      <c r="J25" s="402"/>
      <c r="K25" s="402"/>
      <c r="L25" s="87">
        <v>1146695</v>
      </c>
      <c r="M25" s="404"/>
      <c r="N25" s="401"/>
      <c r="O25" s="351">
        <f t="shared" si="1"/>
        <v>0.63046437947868705</v>
      </c>
      <c r="P25" s="400"/>
      <c r="Q25" s="400"/>
      <c r="S25" s="397"/>
      <c r="T25" s="397"/>
      <c r="U25" s="90">
        <f t="shared" si="0"/>
        <v>0</v>
      </c>
      <c r="V25" s="397"/>
      <c r="W25" s="397"/>
    </row>
    <row r="26" spans="2:23">
      <c r="B26" s="403"/>
      <c r="C26" s="406"/>
      <c r="D26" s="340">
        <v>45983</v>
      </c>
      <c r="E26" s="341" t="s">
        <v>14</v>
      </c>
      <c r="F26" s="87">
        <v>1959163.47</v>
      </c>
      <c r="G26" s="404"/>
      <c r="H26" s="407"/>
      <c r="I26" s="350">
        <v>41274</v>
      </c>
      <c r="J26" s="402"/>
      <c r="K26" s="402"/>
      <c r="L26" s="87">
        <v>1233695</v>
      </c>
      <c r="M26" s="404"/>
      <c r="N26" s="401"/>
      <c r="O26" s="351">
        <f t="shared" si="1"/>
        <v>0.62970498321919</v>
      </c>
      <c r="P26" s="400"/>
      <c r="Q26" s="400"/>
      <c r="S26" s="397"/>
      <c r="T26" s="397"/>
      <c r="U26" s="90">
        <f t="shared" si="0"/>
        <v>0</v>
      </c>
      <c r="V26" s="397"/>
      <c r="W26" s="397"/>
    </row>
    <row r="27" spans="2:23">
      <c r="B27" s="403"/>
      <c r="C27" s="406"/>
      <c r="D27" s="340">
        <v>45984</v>
      </c>
      <c r="E27" s="341" t="s">
        <v>10</v>
      </c>
      <c r="F27" s="87">
        <v>2710208.76</v>
      </c>
      <c r="G27" s="404"/>
      <c r="H27" s="407"/>
      <c r="I27" s="350">
        <v>56648</v>
      </c>
      <c r="J27" s="402"/>
      <c r="K27" s="402"/>
      <c r="L27" s="87">
        <v>1708565</v>
      </c>
      <c r="M27" s="404"/>
      <c r="N27" s="401"/>
      <c r="O27" s="351">
        <f t="shared" si="1"/>
        <v>0.63041822652805546</v>
      </c>
      <c r="P27" s="400"/>
      <c r="Q27" s="400"/>
      <c r="S27" s="397">
        <f>SUM(R27:R33)</f>
        <v>0</v>
      </c>
      <c r="T27" s="397"/>
      <c r="U27" s="90">
        <f t="shared" si="0"/>
        <v>0</v>
      </c>
      <c r="V27" s="397" t="e">
        <f>SUM(U27:U33)</f>
        <v>#DIV/0!</v>
      </c>
      <c r="W27" s="397"/>
    </row>
    <row r="28" spans="2:23">
      <c r="B28" s="403"/>
      <c r="C28" s="406"/>
      <c r="D28" s="340">
        <v>45985</v>
      </c>
      <c r="E28" s="340" t="s">
        <v>15</v>
      </c>
      <c r="F28" s="87">
        <v>2534080.17</v>
      </c>
      <c r="G28" s="404"/>
      <c r="H28" s="407"/>
      <c r="I28" s="350">
        <v>53329</v>
      </c>
      <c r="J28" s="402"/>
      <c r="K28" s="402"/>
      <c r="L28" s="87">
        <v>1596646</v>
      </c>
      <c r="M28" s="404"/>
      <c r="N28" s="401"/>
      <c r="O28" s="351">
        <f t="shared" si="1"/>
        <v>0.63006925309707151</v>
      </c>
      <c r="P28" s="400"/>
      <c r="Q28" s="400"/>
      <c r="S28" s="397"/>
      <c r="T28" s="397"/>
      <c r="U28" s="90">
        <f t="shared" si="0"/>
        <v>0</v>
      </c>
      <c r="V28" s="397"/>
      <c r="W28" s="397"/>
    </row>
    <row r="29" spans="2:23">
      <c r="B29" s="403">
        <v>45994</v>
      </c>
      <c r="C29" s="406"/>
      <c r="D29" s="340">
        <v>45986</v>
      </c>
      <c r="E29" s="341" t="s">
        <v>16</v>
      </c>
      <c r="G29" s="404">
        <f>SUM(F29:F35)</f>
        <v>0</v>
      </c>
      <c r="H29" s="407"/>
      <c r="I29" s="350"/>
      <c r="J29" s="402">
        <f>SUM(I29:I35)</f>
        <v>0</v>
      </c>
      <c r="K29" s="402"/>
      <c r="L29" s="87"/>
      <c r="M29" s="404">
        <f>SUM(L29:L35)</f>
        <v>0</v>
      </c>
      <c r="N29" s="401"/>
      <c r="O29" s="351" t="e">
        <f t="shared" si="1"/>
        <v>#DIV/0!</v>
      </c>
      <c r="P29" s="400" t="e">
        <f>M29/G29</f>
        <v>#DIV/0!</v>
      </c>
      <c r="Q29" s="400"/>
      <c r="S29" s="397"/>
      <c r="T29" s="397"/>
      <c r="U29" s="90" t="e">
        <f t="shared" si="0"/>
        <v>#DIV/0!</v>
      </c>
      <c r="V29" s="397"/>
      <c r="W29" s="397"/>
    </row>
    <row r="30" spans="2:23">
      <c r="B30" s="403"/>
      <c r="C30" s="406"/>
      <c r="D30" s="340">
        <v>45987</v>
      </c>
      <c r="E30" s="341" t="s">
        <v>17</v>
      </c>
      <c r="G30" s="404"/>
      <c r="H30" s="407"/>
      <c r="I30" s="350"/>
      <c r="J30" s="402"/>
      <c r="K30" s="402"/>
      <c r="L30" s="87"/>
      <c r="M30" s="404"/>
      <c r="N30" s="401"/>
      <c r="O30" s="351" t="e">
        <f t="shared" si="1"/>
        <v>#DIV/0!</v>
      </c>
      <c r="P30" s="400"/>
      <c r="Q30" s="400"/>
      <c r="S30" s="397"/>
      <c r="T30" s="397"/>
      <c r="U30" s="90" t="e">
        <f t="shared" si="0"/>
        <v>#DIV/0!</v>
      </c>
      <c r="V30" s="397"/>
      <c r="W30" s="397"/>
    </row>
    <row r="31" spans="2:23">
      <c r="B31" s="403"/>
      <c r="C31" s="406"/>
      <c r="D31" s="340">
        <v>45988</v>
      </c>
      <c r="E31" s="341" t="s">
        <v>18</v>
      </c>
      <c r="G31" s="404"/>
      <c r="H31" s="407"/>
      <c r="I31" s="350"/>
      <c r="J31" s="402"/>
      <c r="K31" s="402"/>
      <c r="L31" s="87"/>
      <c r="M31" s="404"/>
      <c r="N31" s="401"/>
      <c r="O31" s="351" t="e">
        <f t="shared" si="1"/>
        <v>#DIV/0!</v>
      </c>
      <c r="P31" s="400"/>
      <c r="Q31" s="400"/>
      <c r="S31" s="397"/>
      <c r="T31" s="397"/>
      <c r="U31" s="90" t="e">
        <f t="shared" si="0"/>
        <v>#DIV/0!</v>
      </c>
      <c r="V31" s="397"/>
      <c r="W31" s="397"/>
    </row>
    <row r="32" spans="2:23">
      <c r="B32" s="403"/>
      <c r="C32" s="406"/>
      <c r="D32" s="340">
        <v>45989</v>
      </c>
      <c r="E32" s="341" t="s">
        <v>19</v>
      </c>
      <c r="G32" s="404"/>
      <c r="H32" s="407"/>
      <c r="I32" s="350"/>
      <c r="J32" s="402"/>
      <c r="K32" s="402"/>
      <c r="L32" s="87"/>
      <c r="M32" s="404"/>
      <c r="N32" s="401"/>
      <c r="O32" s="351" t="e">
        <f t="shared" si="1"/>
        <v>#DIV/0!</v>
      </c>
      <c r="P32" s="400"/>
      <c r="Q32" s="400"/>
      <c r="S32" s="397"/>
      <c r="T32" s="397"/>
      <c r="U32" s="90" t="e">
        <f t="shared" si="0"/>
        <v>#DIV/0!</v>
      </c>
      <c r="V32" s="397"/>
      <c r="W32" s="397"/>
    </row>
    <row r="33" spans="2:23">
      <c r="B33" s="403"/>
      <c r="C33" s="406"/>
      <c r="D33" s="340">
        <v>45990</v>
      </c>
      <c r="E33" s="341" t="s">
        <v>14</v>
      </c>
      <c r="G33" s="404"/>
      <c r="H33" s="407"/>
      <c r="I33" s="350"/>
      <c r="J33" s="402"/>
      <c r="K33" s="402"/>
      <c r="L33" s="87"/>
      <c r="M33" s="404"/>
      <c r="N33" s="401"/>
      <c r="O33" s="351" t="e">
        <f t="shared" si="1"/>
        <v>#DIV/0!</v>
      </c>
      <c r="P33" s="400"/>
      <c r="Q33" s="400"/>
      <c r="S33" s="397"/>
      <c r="T33" s="397"/>
      <c r="U33" s="90" t="e">
        <f t="shared" si="0"/>
        <v>#DIV/0!</v>
      </c>
      <c r="V33" s="397"/>
      <c r="W33" s="397"/>
    </row>
    <row r="34" spans="2:23">
      <c r="B34" s="403"/>
      <c r="C34" s="406"/>
      <c r="D34" s="340">
        <v>45991</v>
      </c>
      <c r="E34" s="341" t="s">
        <v>10</v>
      </c>
      <c r="G34" s="404"/>
      <c r="H34" s="407"/>
      <c r="I34" s="350"/>
      <c r="J34" s="402"/>
      <c r="K34" s="402"/>
      <c r="L34" s="87"/>
      <c r="M34" s="404"/>
      <c r="N34" s="401"/>
      <c r="O34" s="351" t="e">
        <f t="shared" si="1"/>
        <v>#DIV/0!</v>
      </c>
      <c r="P34" s="400"/>
      <c r="Q34" s="400"/>
      <c r="S34" s="87"/>
      <c r="T34" s="397"/>
      <c r="U34" s="90" t="e">
        <f t="shared" si="0"/>
        <v>#DIV/0!</v>
      </c>
      <c r="V34" s="87"/>
      <c r="W34" s="397"/>
    </row>
    <row r="35" spans="2:23">
      <c r="B35" s="403"/>
      <c r="C35" s="406"/>
      <c r="D35" s="340">
        <v>45992</v>
      </c>
      <c r="E35" s="340" t="s">
        <v>15</v>
      </c>
      <c r="G35" s="404"/>
      <c r="H35" s="407"/>
      <c r="I35" s="350"/>
      <c r="J35" s="402"/>
      <c r="K35" s="350"/>
      <c r="L35" s="87"/>
      <c r="M35" s="404"/>
      <c r="N35" s="401"/>
      <c r="P35" s="400"/>
      <c r="Q35" s="87"/>
      <c r="S35" s="87"/>
      <c r="T35" s="87"/>
      <c r="U35" s="90" t="e">
        <f t="shared" si="0"/>
        <v>#DIV/0!</v>
      </c>
      <c r="V35" s="87"/>
      <c r="W35" s="397"/>
    </row>
    <row r="36" spans="2:23">
      <c r="B36" s="213"/>
      <c r="D36" s="340"/>
      <c r="E36" s="341"/>
      <c r="G36" s="349"/>
      <c r="I36" s="206"/>
      <c r="J36" s="206"/>
      <c r="K36" s="206"/>
      <c r="L36" s="87"/>
      <c r="M36" s="87"/>
      <c r="N36" s="87"/>
      <c r="P36" s="87"/>
      <c r="Q36" s="87"/>
      <c r="S36" s="87"/>
      <c r="T36" s="87"/>
      <c r="V36" s="87"/>
      <c r="W36" s="87"/>
    </row>
    <row r="37" spans="2:23">
      <c r="B37" s="213"/>
      <c r="D37" s="340"/>
      <c r="E37" s="341"/>
      <c r="G37" s="349"/>
      <c r="I37" s="206"/>
      <c r="J37" s="399"/>
      <c r="K37" s="206"/>
      <c r="L37" s="87"/>
      <c r="M37" s="397"/>
      <c r="N37" s="87"/>
      <c r="P37" s="397"/>
      <c r="Q37" s="87"/>
      <c r="S37" s="397">
        <f>SUM(R37:R43)</f>
        <v>0</v>
      </c>
      <c r="T37" s="87"/>
      <c r="V37" s="397">
        <f>SUM(U37:U43)</f>
        <v>0</v>
      </c>
      <c r="W37" s="87"/>
    </row>
    <row r="38" spans="2:23">
      <c r="B38" s="213"/>
      <c r="D38" s="340"/>
      <c r="E38" s="341"/>
      <c r="G38" s="349"/>
      <c r="I38" s="206"/>
      <c r="J38" s="399"/>
      <c r="K38" s="206"/>
      <c r="L38" s="87"/>
      <c r="M38" s="397"/>
      <c r="N38" s="87"/>
      <c r="P38" s="397"/>
      <c r="Q38" s="87"/>
      <c r="S38" s="397"/>
      <c r="T38" s="87"/>
      <c r="V38" s="397"/>
      <c r="W38" s="87"/>
    </row>
    <row r="39" spans="2:23">
      <c r="B39" s="83"/>
      <c r="D39" s="86"/>
      <c r="E39" s="86"/>
      <c r="I39" s="206"/>
      <c r="J39" s="399"/>
      <c r="K39" s="206"/>
      <c r="L39" s="87"/>
      <c r="M39" s="397"/>
      <c r="N39" s="87"/>
      <c r="P39" s="397"/>
      <c r="Q39" s="87"/>
      <c r="S39" s="397"/>
      <c r="T39" s="87"/>
      <c r="V39" s="397"/>
      <c r="W39" s="87"/>
    </row>
    <row r="40" spans="2:23">
      <c r="B40" s="83"/>
      <c r="D40" s="86"/>
      <c r="E40" s="86"/>
      <c r="I40" s="206"/>
      <c r="J40" s="399"/>
      <c r="K40" s="206"/>
      <c r="L40" s="87"/>
      <c r="M40" s="397"/>
      <c r="N40" s="87"/>
      <c r="P40" s="397"/>
      <c r="Q40" s="87"/>
      <c r="S40" s="397"/>
      <c r="T40" s="87"/>
      <c r="V40" s="397"/>
      <c r="W40" s="87"/>
    </row>
    <row r="41" spans="2:23">
      <c r="B41" s="83"/>
      <c r="D41" s="86"/>
      <c r="E41" s="86"/>
      <c r="I41" s="206"/>
      <c r="J41" s="399"/>
      <c r="K41" s="206"/>
      <c r="L41" s="87"/>
      <c r="M41" s="397"/>
      <c r="N41" s="87"/>
      <c r="P41" s="397"/>
      <c r="Q41" s="87"/>
      <c r="S41" s="397"/>
      <c r="T41" s="87"/>
      <c r="V41" s="397"/>
      <c r="W41" s="87"/>
    </row>
    <row r="42" spans="2:23">
      <c r="B42" s="83"/>
      <c r="D42" s="86"/>
      <c r="E42" s="86"/>
      <c r="I42" s="206"/>
      <c r="J42" s="399"/>
      <c r="K42" s="206"/>
      <c r="L42" s="87"/>
      <c r="M42" s="397"/>
      <c r="N42" s="87"/>
      <c r="P42" s="397"/>
      <c r="Q42" s="87"/>
      <c r="S42" s="397"/>
      <c r="T42" s="87"/>
      <c r="V42" s="397"/>
      <c r="W42" s="87"/>
    </row>
    <row r="43" spans="2:23">
      <c r="B43" s="83"/>
      <c r="D43" s="86"/>
      <c r="E43" s="86"/>
      <c r="I43" s="206"/>
      <c r="J43" s="399"/>
      <c r="K43" s="206"/>
      <c r="L43" s="87"/>
      <c r="M43" s="397"/>
      <c r="N43" s="87"/>
      <c r="P43" s="397"/>
      <c r="Q43" s="87"/>
      <c r="S43" s="397"/>
      <c r="T43" s="87"/>
      <c r="V43" s="397"/>
      <c r="W43" s="87"/>
    </row>
  </sheetData>
  <mergeCells count="50">
    <mergeCell ref="H5:H35"/>
    <mergeCell ref="M8:M14"/>
    <mergeCell ref="M15:M21"/>
    <mergeCell ref="M22:M28"/>
    <mergeCell ref="M29:M35"/>
    <mergeCell ref="B8:B14"/>
    <mergeCell ref="B15:B21"/>
    <mergeCell ref="B22:B28"/>
    <mergeCell ref="B29:B35"/>
    <mergeCell ref="G8:G14"/>
    <mergeCell ref="G15:G21"/>
    <mergeCell ref="G22:G28"/>
    <mergeCell ref="G29:G35"/>
    <mergeCell ref="C5:C35"/>
    <mergeCell ref="J37:J43"/>
    <mergeCell ref="M37:M43"/>
    <mergeCell ref="Q5:Q34"/>
    <mergeCell ref="N5:N35"/>
    <mergeCell ref="J8:J14"/>
    <mergeCell ref="J15:J21"/>
    <mergeCell ref="J22:J28"/>
    <mergeCell ref="J29:J35"/>
    <mergeCell ref="K5:K34"/>
    <mergeCell ref="P8:P14"/>
    <mergeCell ref="P15:P21"/>
    <mergeCell ref="P22:P28"/>
    <mergeCell ref="P29:P35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opLeftCell="I1" zoomScale="85" zoomScaleNormal="85" workbookViewId="0">
      <selection activeCell="U22" sqref="U22:U28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25" width="8.85546875" style="73" customWidth="1"/>
    <col min="26" max="16384" width="8.85546875" style="73"/>
  </cols>
  <sheetData>
    <row r="1" spans="2:23">
      <c r="C1" s="79">
        <v>112.8</v>
      </c>
    </row>
    <row r="2" spans="2:23" ht="38.1" customHeight="1">
      <c r="B2" s="388" t="s">
        <v>20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</row>
    <row r="3" spans="2:23" s="71" customFormat="1" ht="23.45" customHeight="1">
      <c r="B3" s="392" t="s">
        <v>1</v>
      </c>
      <c r="C3" s="393" t="s">
        <v>2</v>
      </c>
      <c r="D3" s="394" t="s">
        <v>3</v>
      </c>
      <c r="E3" s="394"/>
      <c r="F3" s="412" t="s">
        <v>21</v>
      </c>
      <c r="G3" s="412"/>
      <c r="H3" s="412"/>
      <c r="I3" s="414" t="s">
        <v>22</v>
      </c>
      <c r="J3" s="414"/>
      <c r="K3" s="414"/>
      <c r="L3" s="413" t="s">
        <v>23</v>
      </c>
      <c r="M3" s="413"/>
      <c r="N3" s="413"/>
      <c r="O3" s="413" t="s">
        <v>24</v>
      </c>
      <c r="P3" s="413"/>
      <c r="Q3" s="413"/>
      <c r="R3" s="413" t="s">
        <v>25</v>
      </c>
      <c r="S3" s="413"/>
      <c r="T3" s="413"/>
      <c r="U3" s="413" t="s">
        <v>26</v>
      </c>
      <c r="V3" s="413"/>
      <c r="W3" s="413"/>
    </row>
    <row r="4" spans="2:23" ht="15.75">
      <c r="B4" s="392"/>
      <c r="C4" s="393"/>
      <c r="D4" s="394"/>
      <c r="E4" s="394"/>
      <c r="F4" s="85" t="s">
        <v>10</v>
      </c>
      <c r="G4" s="96" t="s">
        <v>27</v>
      </c>
      <c r="H4" s="96" t="s">
        <v>28</v>
      </c>
      <c r="I4" s="85" t="s">
        <v>10</v>
      </c>
      <c r="J4" s="95" t="s">
        <v>27</v>
      </c>
      <c r="K4" s="95" t="s">
        <v>28</v>
      </c>
      <c r="L4" s="85" t="s">
        <v>10</v>
      </c>
      <c r="M4" s="95" t="s">
        <v>27</v>
      </c>
      <c r="N4" s="95" t="s">
        <v>28</v>
      </c>
      <c r="O4" s="85" t="s">
        <v>10</v>
      </c>
      <c r="P4" s="95" t="s">
        <v>27</v>
      </c>
      <c r="Q4" s="95" t="s">
        <v>28</v>
      </c>
      <c r="R4" s="85" t="s">
        <v>10</v>
      </c>
      <c r="S4" s="95" t="s">
        <v>27</v>
      </c>
      <c r="T4" s="95" t="s">
        <v>28</v>
      </c>
      <c r="U4" s="85" t="s">
        <v>10</v>
      </c>
      <c r="V4" s="95" t="s">
        <v>27</v>
      </c>
      <c r="W4" s="95" t="s">
        <v>28</v>
      </c>
    </row>
    <row r="5" spans="2:23" ht="14.45" customHeight="1">
      <c r="B5" s="346"/>
      <c r="C5" s="405" t="s">
        <v>13</v>
      </c>
      <c r="D5" s="340">
        <v>45962</v>
      </c>
      <c r="E5" s="341" t="s">
        <v>14</v>
      </c>
      <c r="F5" s="93">
        <v>93.6</v>
      </c>
      <c r="G5" s="348"/>
      <c r="H5" s="410">
        <f>AVERAGE(F5:F34)</f>
        <v>101.69583333333333</v>
      </c>
      <c r="I5" s="90">
        <f>F5/$C$1</f>
        <v>0.82978723404255317</v>
      </c>
      <c r="J5" s="238"/>
      <c r="K5" s="408">
        <f>AVERAGE(I5:I34)</f>
        <v>0.72124704491725766</v>
      </c>
      <c r="L5" s="90">
        <v>6.2932548655869397E-4</v>
      </c>
      <c r="M5" s="238"/>
      <c r="N5" s="400">
        <f>AVERAGE(L5:L34)</f>
        <v>2.446091865689243E-3</v>
      </c>
      <c r="O5" s="90">
        <v>4.2922206342904893E-3</v>
      </c>
      <c r="P5" s="238"/>
      <c r="Q5" s="400">
        <f>AVERAGE(O5:O34)</f>
        <v>2.1817314178465505E-3</v>
      </c>
      <c r="R5" s="181">
        <v>0.42899999999999999</v>
      </c>
      <c r="S5" s="238"/>
      <c r="T5" s="408">
        <f>AVERAGE(R5:R34)</f>
        <v>0.4290000000000001</v>
      </c>
      <c r="U5" s="181">
        <v>0.85</v>
      </c>
      <c r="V5" s="238"/>
      <c r="W5" s="408">
        <f>AVERAGE(U5:U34)</f>
        <v>0.89374999999999982</v>
      </c>
    </row>
    <row r="6" spans="2:23" ht="14.45" customHeight="1">
      <c r="B6" s="346"/>
      <c r="C6" s="406"/>
      <c r="D6" s="340">
        <v>45963</v>
      </c>
      <c r="E6" s="341" t="s">
        <v>10</v>
      </c>
      <c r="F6" s="93">
        <v>102.7</v>
      </c>
      <c r="G6" s="348"/>
      <c r="H6" s="410"/>
      <c r="I6" s="90">
        <f t="shared" ref="I6:I43" si="0">F6/$C$1</f>
        <v>0.91046099290780147</v>
      </c>
      <c r="J6" s="238"/>
      <c r="K6" s="408"/>
      <c r="L6" s="90">
        <v>2.3505992226884407E-3</v>
      </c>
      <c r="M6" s="238"/>
      <c r="N6" s="400"/>
      <c r="O6" s="90">
        <v>3.7162586266887405E-3</v>
      </c>
      <c r="P6" s="238"/>
      <c r="Q6" s="400"/>
      <c r="R6" s="181">
        <v>0.42899999999999999</v>
      </c>
      <c r="S6" s="238"/>
      <c r="T6" s="408"/>
      <c r="U6" s="181">
        <v>0.85</v>
      </c>
      <c r="V6" s="238"/>
      <c r="W6" s="408"/>
    </row>
    <row r="7" spans="2:23" ht="14.45" customHeight="1">
      <c r="B7" s="346"/>
      <c r="C7" s="406"/>
      <c r="D7" s="340">
        <v>45964</v>
      </c>
      <c r="E7" s="340" t="s">
        <v>15</v>
      </c>
      <c r="F7" s="93">
        <v>102.2</v>
      </c>
      <c r="H7" s="410"/>
      <c r="I7" s="90">
        <f t="shared" si="0"/>
        <v>0.90602836879432624</v>
      </c>
      <c r="J7" s="238"/>
      <c r="K7" s="408"/>
      <c r="L7" s="90">
        <v>1.151462299893731E-2</v>
      </c>
      <c r="M7" s="238"/>
      <c r="N7" s="400"/>
      <c r="O7" s="90">
        <v>8.7808117434806654E-3</v>
      </c>
      <c r="P7" s="238"/>
      <c r="Q7" s="400"/>
      <c r="R7" s="181">
        <v>0.42899999999999999</v>
      </c>
      <c r="S7" s="238"/>
      <c r="T7" s="408"/>
      <c r="U7" s="181">
        <v>0.85</v>
      </c>
      <c r="V7" s="238"/>
      <c r="W7" s="408"/>
    </row>
    <row r="8" spans="2:23" ht="14.45" customHeight="1">
      <c r="B8" s="403">
        <v>45973</v>
      </c>
      <c r="C8" s="406"/>
      <c r="D8" s="340">
        <v>45965</v>
      </c>
      <c r="E8" s="341" t="s">
        <v>16</v>
      </c>
      <c r="F8" s="93">
        <v>103</v>
      </c>
      <c r="G8" s="410">
        <f>AVERAGE(F8:F14)</f>
        <v>101.21428571428571</v>
      </c>
      <c r="H8" s="410"/>
      <c r="I8" s="90">
        <f t="shared" si="0"/>
        <v>0.91312056737588654</v>
      </c>
      <c r="J8" s="408">
        <f>AVERAGE(I8:I14)</f>
        <v>0.89728976697061802</v>
      </c>
      <c r="K8" s="408"/>
      <c r="L8" s="90">
        <v>1.8125215039098256E-3</v>
      </c>
      <c r="M8" s="400">
        <f>AVERAGE(L8:L14)</f>
        <v>7.0247024857579326E-4</v>
      </c>
      <c r="N8" s="400"/>
      <c r="O8" s="90">
        <v>4.5955986177499729E-3</v>
      </c>
      <c r="P8" s="400">
        <f>AVERAGE(O8:O14)</f>
        <v>1.4565599147991402E-3</v>
      </c>
      <c r="Q8" s="400"/>
      <c r="R8" s="181">
        <v>0.42899999999999999</v>
      </c>
      <c r="S8" s="408">
        <f>AVERAGE(R8:R14)</f>
        <v>0.42899999999999994</v>
      </c>
      <c r="T8" s="408"/>
      <c r="U8" s="181">
        <v>0.9</v>
      </c>
      <c r="V8" s="408">
        <f>AVERAGE(U8:U14)</f>
        <v>0.90000000000000013</v>
      </c>
      <c r="W8" s="408"/>
    </row>
    <row r="9" spans="2:23" ht="14.45" customHeight="1">
      <c r="B9" s="403"/>
      <c r="C9" s="406"/>
      <c r="D9" s="340">
        <v>45966</v>
      </c>
      <c r="E9" s="341" t="s">
        <v>17</v>
      </c>
      <c r="F9" s="93">
        <v>103.9</v>
      </c>
      <c r="G9" s="410"/>
      <c r="H9" s="410"/>
      <c r="I9" s="90">
        <f t="shared" si="0"/>
        <v>0.92109929078014197</v>
      </c>
      <c r="J9" s="408"/>
      <c r="K9" s="408"/>
      <c r="L9" s="90">
        <v>0</v>
      </c>
      <c r="M9" s="400"/>
      <c r="N9" s="400"/>
      <c r="O9" s="90">
        <v>5.7339603048526034E-5</v>
      </c>
      <c r="P9" s="400"/>
      <c r="Q9" s="400"/>
      <c r="R9" s="181">
        <v>0.42899999999999999</v>
      </c>
      <c r="S9" s="408"/>
      <c r="T9" s="408"/>
      <c r="U9" s="181">
        <v>0.9</v>
      </c>
      <c r="V9" s="408"/>
      <c r="W9" s="408"/>
    </row>
    <row r="10" spans="2:23" ht="14.45" customHeight="1">
      <c r="B10" s="403"/>
      <c r="C10" s="406"/>
      <c r="D10" s="340">
        <v>45967</v>
      </c>
      <c r="E10" s="341" t="s">
        <v>18</v>
      </c>
      <c r="F10" s="93">
        <v>98.9</v>
      </c>
      <c r="G10" s="410"/>
      <c r="H10" s="410"/>
      <c r="I10" s="90">
        <f t="shared" si="0"/>
        <v>0.87677304964539016</v>
      </c>
      <c r="J10" s="408"/>
      <c r="K10" s="408"/>
      <c r="L10" s="90">
        <v>6.8432509506882668E-4</v>
      </c>
      <c r="M10" s="400"/>
      <c r="N10" s="400"/>
      <c r="O10" s="90">
        <v>1.7609589850741084E-3</v>
      </c>
      <c r="P10" s="400"/>
      <c r="Q10" s="400"/>
      <c r="R10" s="181">
        <v>0.42899999999999999</v>
      </c>
      <c r="S10" s="408"/>
      <c r="T10" s="408"/>
      <c r="U10" s="181">
        <v>0.9</v>
      </c>
      <c r="V10" s="408"/>
      <c r="W10" s="408"/>
    </row>
    <row r="11" spans="2:23" ht="14.45" customHeight="1">
      <c r="B11" s="403"/>
      <c r="C11" s="406"/>
      <c r="D11" s="340">
        <v>45968</v>
      </c>
      <c r="E11" s="341" t="s">
        <v>19</v>
      </c>
      <c r="F11" s="93">
        <v>99.3</v>
      </c>
      <c r="G11" s="410"/>
      <c r="H11" s="410"/>
      <c r="I11" s="90">
        <f t="shared" si="0"/>
        <v>0.88031914893617025</v>
      </c>
      <c r="J11" s="408"/>
      <c r="K11" s="408"/>
      <c r="L11" s="90">
        <v>9.3541506943278254E-4</v>
      </c>
      <c r="M11" s="400"/>
      <c r="N11" s="400"/>
      <c r="O11" s="90">
        <v>1.2285087237508753E-3</v>
      </c>
      <c r="P11" s="400"/>
      <c r="Q11" s="400"/>
      <c r="R11" s="181">
        <v>0.42899999999999999</v>
      </c>
      <c r="S11" s="408"/>
      <c r="T11" s="408"/>
      <c r="U11" s="181">
        <v>0.9</v>
      </c>
      <c r="V11" s="408"/>
      <c r="W11" s="408"/>
    </row>
    <row r="12" spans="2:23" ht="14.45" customHeight="1">
      <c r="B12" s="403"/>
      <c r="C12" s="406"/>
      <c r="D12" s="340">
        <v>45969</v>
      </c>
      <c r="E12" s="341" t="s">
        <v>14</v>
      </c>
      <c r="F12" s="93">
        <v>101</v>
      </c>
      <c r="G12" s="410"/>
      <c r="H12" s="410"/>
      <c r="I12" s="90">
        <f t="shared" si="0"/>
        <v>0.89539007092198586</v>
      </c>
      <c r="J12" s="408"/>
      <c r="K12" s="408"/>
      <c r="L12" s="90">
        <v>7.3154425260177401E-4</v>
      </c>
      <c r="M12" s="400"/>
      <c r="N12" s="400"/>
      <c r="O12" s="90">
        <v>1.5360192166250094E-3</v>
      </c>
      <c r="P12" s="400"/>
      <c r="Q12" s="400"/>
      <c r="R12" s="181">
        <v>0.42899999999999999</v>
      </c>
      <c r="S12" s="408"/>
      <c r="T12" s="408"/>
      <c r="U12" s="181">
        <v>0.9</v>
      </c>
      <c r="V12" s="408"/>
      <c r="W12" s="408"/>
    </row>
    <row r="13" spans="2:23" ht="14.45" customHeight="1">
      <c r="B13" s="403"/>
      <c r="C13" s="406"/>
      <c r="D13" s="340">
        <v>45970</v>
      </c>
      <c r="E13" s="341" t="s">
        <v>10</v>
      </c>
      <c r="F13" s="93">
        <v>101.6</v>
      </c>
      <c r="G13" s="410"/>
      <c r="H13" s="410"/>
      <c r="I13" s="90">
        <f t="shared" si="0"/>
        <v>0.900709219858156</v>
      </c>
      <c r="J13" s="408"/>
      <c r="K13" s="408"/>
      <c r="L13" s="90">
        <v>7.5348581901734464E-4</v>
      </c>
      <c r="M13" s="400"/>
      <c r="N13" s="400"/>
      <c r="O13" s="90">
        <v>9.3083833073591188E-4</v>
      </c>
      <c r="P13" s="400"/>
      <c r="Q13" s="400"/>
      <c r="R13" s="181">
        <v>0.42899999999999999</v>
      </c>
      <c r="S13" s="408"/>
      <c r="T13" s="408"/>
      <c r="U13" s="181">
        <v>0.9</v>
      </c>
      <c r="V13" s="408"/>
      <c r="W13" s="408"/>
    </row>
    <row r="14" spans="2:23" ht="14.45" customHeight="1">
      <c r="B14" s="403"/>
      <c r="C14" s="406"/>
      <c r="D14" s="340">
        <v>45971</v>
      </c>
      <c r="E14" s="340" t="s">
        <v>15</v>
      </c>
      <c r="F14" s="93">
        <v>100.8</v>
      </c>
      <c r="G14" s="410"/>
      <c r="H14" s="410"/>
      <c r="I14" s="90">
        <f t="shared" si="0"/>
        <v>0.8936170212765957</v>
      </c>
      <c r="J14" s="408"/>
      <c r="K14" s="408"/>
      <c r="L14" s="90">
        <v>0</v>
      </c>
      <c r="M14" s="400"/>
      <c r="N14" s="400"/>
      <c r="O14" s="90">
        <v>8.6655926609576601E-5</v>
      </c>
      <c r="P14" s="400"/>
      <c r="Q14" s="400"/>
      <c r="R14" s="181">
        <v>0.42899999999999999</v>
      </c>
      <c r="S14" s="408"/>
      <c r="T14" s="408"/>
      <c r="U14" s="181">
        <v>0.9</v>
      </c>
      <c r="V14" s="408"/>
      <c r="W14" s="408"/>
    </row>
    <row r="15" spans="2:23" ht="14.45" customHeight="1">
      <c r="B15" s="403">
        <v>45980</v>
      </c>
      <c r="C15" s="406"/>
      <c r="D15" s="340">
        <v>45972</v>
      </c>
      <c r="E15" s="341" t="s">
        <v>16</v>
      </c>
      <c r="F15" s="93">
        <v>100.2</v>
      </c>
      <c r="G15" s="410">
        <f>AVERAGE(F15:F21)</f>
        <v>102.51428571428571</v>
      </c>
      <c r="H15" s="410"/>
      <c r="I15" s="90">
        <f t="shared" si="0"/>
        <v>0.88829787234042556</v>
      </c>
      <c r="J15" s="408">
        <f>AVERAGE(I15:I21)</f>
        <v>0.90881458966565354</v>
      </c>
      <c r="K15" s="408"/>
      <c r="L15" s="90">
        <v>3.4167362626390256E-3</v>
      </c>
      <c r="M15" s="400">
        <f>AVERAGE(L15:L21)</f>
        <v>2.5746898047031585E-3</v>
      </c>
      <c r="N15" s="400"/>
      <c r="O15" s="90">
        <v>2.6774644302101436E-3</v>
      </c>
      <c r="P15" s="400">
        <f>AVERAGE(O15:O21)</f>
        <v>2.7603964856254015E-3</v>
      </c>
      <c r="Q15" s="400"/>
      <c r="R15" s="181">
        <v>0.42899999999999999</v>
      </c>
      <c r="S15" s="408">
        <f>AVERAGE(R15:R21)</f>
        <v>0.42899999999999994</v>
      </c>
      <c r="T15" s="408"/>
      <c r="U15" s="181">
        <v>0.9</v>
      </c>
      <c r="V15" s="408">
        <f>AVERAGE(U15:U21)</f>
        <v>0.90000000000000013</v>
      </c>
      <c r="W15" s="408"/>
    </row>
    <row r="16" spans="2:23" ht="14.45" customHeight="1">
      <c r="B16" s="403"/>
      <c r="C16" s="406"/>
      <c r="D16" s="340">
        <v>45973</v>
      </c>
      <c r="E16" s="341" t="s">
        <v>17</v>
      </c>
      <c r="F16" s="93">
        <v>104.5</v>
      </c>
      <c r="G16" s="410"/>
      <c r="H16" s="410"/>
      <c r="I16" s="90">
        <f t="shared" si="0"/>
        <v>0.9264184397163121</v>
      </c>
      <c r="J16" s="408"/>
      <c r="K16" s="408"/>
      <c r="L16" s="90">
        <v>9.9004322167517422E-4</v>
      </c>
      <c r="M16" s="400"/>
      <c r="N16" s="400"/>
      <c r="O16" s="90">
        <v>3.3574755653624261E-4</v>
      </c>
      <c r="P16" s="400"/>
      <c r="Q16" s="400"/>
      <c r="R16" s="181">
        <v>0.42899999999999999</v>
      </c>
      <c r="S16" s="408"/>
      <c r="T16" s="408"/>
      <c r="U16" s="181">
        <v>0.9</v>
      </c>
      <c r="V16" s="408"/>
      <c r="W16" s="408"/>
    </row>
    <row r="17" spans="2:23" ht="14.45" customHeight="1">
      <c r="B17" s="403"/>
      <c r="C17" s="406"/>
      <c r="D17" s="340">
        <v>45974</v>
      </c>
      <c r="E17" s="341" t="s">
        <v>18</v>
      </c>
      <c r="F17" s="93">
        <v>102.7</v>
      </c>
      <c r="G17" s="410"/>
      <c r="H17" s="410"/>
      <c r="I17" s="90">
        <f t="shared" si="0"/>
        <v>0.91046099290780147</v>
      </c>
      <c r="J17" s="408"/>
      <c r="K17" s="408"/>
      <c r="L17" s="90">
        <v>3.0650668802254207E-3</v>
      </c>
      <c r="M17" s="400"/>
      <c r="N17" s="400"/>
      <c r="O17" s="90">
        <v>3.527575672523538E-3</v>
      </c>
      <c r="P17" s="400"/>
      <c r="Q17" s="400"/>
      <c r="R17" s="181">
        <v>0.42899999999999999</v>
      </c>
      <c r="S17" s="408"/>
      <c r="T17" s="408"/>
      <c r="U17" s="181">
        <v>0.9</v>
      </c>
      <c r="V17" s="408"/>
      <c r="W17" s="408"/>
    </row>
    <row r="18" spans="2:23" ht="14.45" customHeight="1">
      <c r="B18" s="403"/>
      <c r="C18" s="406"/>
      <c r="D18" s="340">
        <v>45975</v>
      </c>
      <c r="E18" s="341" t="s">
        <v>19</v>
      </c>
      <c r="F18" s="93">
        <v>98.8</v>
      </c>
      <c r="G18" s="410"/>
      <c r="H18" s="410"/>
      <c r="I18" s="90">
        <f t="shared" si="0"/>
        <v>0.87588652482269502</v>
      </c>
      <c r="J18" s="408"/>
      <c r="K18" s="408"/>
      <c r="L18" s="90">
        <v>6.3234747091299535E-3</v>
      </c>
      <c r="M18" s="400"/>
      <c r="N18" s="400"/>
      <c r="O18" s="90">
        <v>9.6234776421973128E-3</v>
      </c>
      <c r="P18" s="400"/>
      <c r="Q18" s="400"/>
      <c r="R18" s="181">
        <v>0.42899999999999999</v>
      </c>
      <c r="S18" s="408"/>
      <c r="T18" s="408"/>
      <c r="U18" s="181">
        <v>0.9</v>
      </c>
      <c r="V18" s="408"/>
      <c r="W18" s="408"/>
    </row>
    <row r="19" spans="2:23" ht="14.45" customHeight="1">
      <c r="B19" s="403"/>
      <c r="C19" s="406"/>
      <c r="D19" s="340">
        <v>45976</v>
      </c>
      <c r="E19" s="341" t="s">
        <v>14</v>
      </c>
      <c r="F19" s="93">
        <v>104.1</v>
      </c>
      <c r="G19" s="410"/>
      <c r="H19" s="410"/>
      <c r="I19" s="90">
        <f t="shared" si="0"/>
        <v>0.9228723404255319</v>
      </c>
      <c r="J19" s="408"/>
      <c r="K19" s="408"/>
      <c r="L19" s="90">
        <v>3.256160177645415E-3</v>
      </c>
      <c r="M19" s="400"/>
      <c r="N19" s="400"/>
      <c r="O19" s="90">
        <v>7.8289373111125595E-4</v>
      </c>
      <c r="P19" s="400"/>
      <c r="Q19" s="400"/>
      <c r="R19" s="181">
        <v>0.42899999999999999</v>
      </c>
      <c r="S19" s="408"/>
      <c r="T19" s="408"/>
      <c r="U19" s="181">
        <v>0.9</v>
      </c>
      <c r="V19" s="408"/>
      <c r="W19" s="408"/>
    </row>
    <row r="20" spans="2:23" ht="14.45" customHeight="1">
      <c r="B20" s="403"/>
      <c r="C20" s="406"/>
      <c r="D20" s="340">
        <v>45977</v>
      </c>
      <c r="E20" s="341" t="s">
        <v>10</v>
      </c>
      <c r="F20" s="93">
        <v>103.5</v>
      </c>
      <c r="G20" s="410"/>
      <c r="H20" s="410"/>
      <c r="I20" s="90">
        <f t="shared" si="0"/>
        <v>0.91755319148936176</v>
      </c>
      <c r="J20" s="408"/>
      <c r="K20" s="408"/>
      <c r="L20" s="90">
        <v>8.7400746349745417E-4</v>
      </c>
      <c r="M20" s="400"/>
      <c r="N20" s="400"/>
      <c r="O20" s="90">
        <v>1.9074038149617559E-3</v>
      </c>
      <c r="P20" s="400"/>
      <c r="Q20" s="400"/>
      <c r="R20" s="181">
        <v>0.42899999999999999</v>
      </c>
      <c r="S20" s="408"/>
      <c r="T20" s="408"/>
      <c r="U20" s="181">
        <v>0.9</v>
      </c>
      <c r="V20" s="408"/>
      <c r="W20" s="408"/>
    </row>
    <row r="21" spans="2:23" ht="14.45" customHeight="1">
      <c r="B21" s="403"/>
      <c r="C21" s="406"/>
      <c r="D21" s="340">
        <v>45978</v>
      </c>
      <c r="E21" s="340" t="s">
        <v>15</v>
      </c>
      <c r="F21" s="93">
        <v>103.8</v>
      </c>
      <c r="G21" s="410"/>
      <c r="H21" s="410"/>
      <c r="I21" s="90">
        <f t="shared" si="0"/>
        <v>0.92021276595744683</v>
      </c>
      <c r="J21" s="408"/>
      <c r="K21" s="408"/>
      <c r="L21" s="90">
        <v>9.733991810966243E-5</v>
      </c>
      <c r="M21" s="400"/>
      <c r="N21" s="400"/>
      <c r="O21" s="90">
        <v>4.6821255183756227E-4</v>
      </c>
      <c r="P21" s="400"/>
      <c r="Q21" s="400"/>
      <c r="R21" s="181">
        <v>0.42899999999999999</v>
      </c>
      <c r="S21" s="408"/>
      <c r="T21" s="408"/>
      <c r="U21" s="181">
        <v>0.9</v>
      </c>
      <c r="V21" s="408"/>
      <c r="W21" s="408"/>
    </row>
    <row r="22" spans="2:23" ht="14.45" customHeight="1">
      <c r="B22" s="403">
        <v>45987</v>
      </c>
      <c r="C22" s="406"/>
      <c r="D22" s="340">
        <v>45979</v>
      </c>
      <c r="E22" s="341" t="s">
        <v>16</v>
      </c>
      <c r="F22" s="93">
        <v>104.4</v>
      </c>
      <c r="G22" s="410">
        <f>AVERAGE(F22:F28)</f>
        <v>102.3</v>
      </c>
      <c r="H22" s="410"/>
      <c r="I22" s="90">
        <f t="shared" si="0"/>
        <v>0.92553191489361708</v>
      </c>
      <c r="J22" s="408">
        <f>AVERAGE(I22:I28)</f>
        <v>0.90691489361702138</v>
      </c>
      <c r="K22" s="408"/>
      <c r="L22" s="90">
        <v>8.6090030384905897E-3</v>
      </c>
      <c r="M22" s="400">
        <f>AVERAGE(L22:L28)</f>
        <v>3.0387909564863905E-3</v>
      </c>
      <c r="N22" s="400"/>
      <c r="O22" s="90">
        <v>2.363812867058117E-3</v>
      </c>
      <c r="P22" s="400">
        <f>AVERAGE(O22:O28)</f>
        <v>8.6479546012650517E-4</v>
      </c>
      <c r="Q22" s="400"/>
      <c r="R22" s="181">
        <v>0.42899999999999999</v>
      </c>
      <c r="S22" s="408">
        <f>AVERAGE(R22:R28)</f>
        <v>0.42899999999999994</v>
      </c>
      <c r="T22" s="408"/>
      <c r="U22" s="181">
        <v>0.9</v>
      </c>
      <c r="V22" s="408">
        <f>AVERAGE(U22:U28)</f>
        <v>0.90000000000000013</v>
      </c>
      <c r="W22" s="408"/>
    </row>
    <row r="23" spans="2:23" ht="14.45" customHeight="1">
      <c r="B23" s="403"/>
      <c r="C23" s="406"/>
      <c r="D23" s="340">
        <v>45980</v>
      </c>
      <c r="E23" s="341" t="s">
        <v>17</v>
      </c>
      <c r="F23" s="93">
        <v>100.6</v>
      </c>
      <c r="G23" s="410"/>
      <c r="H23" s="410"/>
      <c r="I23" s="90">
        <f t="shared" si="0"/>
        <v>0.89184397163120566</v>
      </c>
      <c r="J23" s="408"/>
      <c r="K23" s="408"/>
      <c r="L23" s="90">
        <v>3.7859607964435059E-3</v>
      </c>
      <c r="M23" s="400"/>
      <c r="N23" s="400"/>
      <c r="O23" s="90">
        <v>5.9746724702002983E-4</v>
      </c>
      <c r="P23" s="400"/>
      <c r="Q23" s="400"/>
      <c r="R23" s="181">
        <v>0.42899999999999999</v>
      </c>
      <c r="S23" s="408"/>
      <c r="T23" s="408"/>
      <c r="U23" s="181">
        <v>0.9</v>
      </c>
      <c r="V23" s="408"/>
      <c r="W23" s="408"/>
    </row>
    <row r="24" spans="2:23" ht="14.45" customHeight="1">
      <c r="B24" s="403"/>
      <c r="C24" s="406"/>
      <c r="D24" s="340">
        <v>45981</v>
      </c>
      <c r="E24" s="341" t="s">
        <v>18</v>
      </c>
      <c r="F24" s="93">
        <v>102.8</v>
      </c>
      <c r="G24" s="410"/>
      <c r="H24" s="410"/>
      <c r="I24" s="90">
        <f t="shared" si="0"/>
        <v>0.91134751773049649</v>
      </c>
      <c r="J24" s="408"/>
      <c r="K24" s="408"/>
      <c r="L24" s="90">
        <v>2.8060819302883878E-3</v>
      </c>
      <c r="M24" s="400"/>
      <c r="N24" s="400"/>
      <c r="O24" s="90">
        <v>1.4620980902632316E-3</v>
      </c>
      <c r="P24" s="400"/>
      <c r="Q24" s="400"/>
      <c r="R24" s="181">
        <v>0.42899999999999999</v>
      </c>
      <c r="S24" s="408"/>
      <c r="T24" s="408"/>
      <c r="U24" s="181">
        <v>0.9</v>
      </c>
      <c r="V24" s="408"/>
      <c r="W24" s="408"/>
    </row>
    <row r="25" spans="2:23" ht="14.45" customHeight="1">
      <c r="B25" s="403"/>
      <c r="C25" s="406"/>
      <c r="D25" s="340">
        <v>45982</v>
      </c>
      <c r="E25" s="341" t="s">
        <v>19</v>
      </c>
      <c r="F25" s="93">
        <v>96.9</v>
      </c>
      <c r="G25" s="410"/>
      <c r="H25" s="410"/>
      <c r="I25" s="90">
        <f t="shared" si="0"/>
        <v>0.85904255319148948</v>
      </c>
      <c r="J25" s="408"/>
      <c r="K25" s="408"/>
      <c r="L25" s="90">
        <v>2.5527678361896965E-3</v>
      </c>
      <c r="M25" s="400"/>
      <c r="N25" s="400"/>
      <c r="O25" s="90">
        <v>3.7607004091185707E-4</v>
      </c>
      <c r="P25" s="400"/>
      <c r="Q25" s="400"/>
      <c r="R25" s="181">
        <v>0.42899999999999999</v>
      </c>
      <c r="S25" s="408"/>
      <c r="T25" s="408"/>
      <c r="U25" s="181">
        <v>0.9</v>
      </c>
      <c r="V25" s="408"/>
      <c r="W25" s="408"/>
    </row>
    <row r="26" spans="2:23" ht="14.45" customHeight="1">
      <c r="B26" s="403"/>
      <c r="C26" s="406"/>
      <c r="D26" s="340">
        <v>45983</v>
      </c>
      <c r="E26" s="341" t="s">
        <v>14</v>
      </c>
      <c r="F26" s="93">
        <v>100.5</v>
      </c>
      <c r="G26" s="410"/>
      <c r="H26" s="410"/>
      <c r="I26" s="90">
        <f t="shared" si="0"/>
        <v>0.89095744680851063</v>
      </c>
      <c r="J26" s="408"/>
      <c r="K26" s="408"/>
      <c r="L26" s="90">
        <v>8.5750884279196983E-5</v>
      </c>
      <c r="M26" s="400"/>
      <c r="N26" s="400"/>
      <c r="O26" s="90">
        <v>3.0268020462835603E-4</v>
      </c>
      <c r="P26" s="400"/>
      <c r="Q26" s="400"/>
      <c r="R26" s="181">
        <v>0.42899999999999999</v>
      </c>
      <c r="S26" s="408"/>
      <c r="T26" s="408"/>
      <c r="U26" s="181">
        <v>0.9</v>
      </c>
      <c r="V26" s="408"/>
      <c r="W26" s="408"/>
    </row>
    <row r="27" spans="2:23" ht="14.45" customHeight="1">
      <c r="B27" s="403"/>
      <c r="C27" s="406"/>
      <c r="D27" s="340">
        <v>45984</v>
      </c>
      <c r="E27" s="341" t="s">
        <v>10</v>
      </c>
      <c r="F27" s="93">
        <v>105.1</v>
      </c>
      <c r="G27" s="410"/>
      <c r="H27" s="410"/>
      <c r="I27" s="90">
        <f t="shared" si="0"/>
        <v>0.93173758865248224</v>
      </c>
      <c r="J27" s="408"/>
      <c r="K27" s="408"/>
      <c r="L27" s="90">
        <v>1.2213081327358711E-3</v>
      </c>
      <c r="M27" s="400"/>
      <c r="N27" s="400"/>
      <c r="O27" s="90">
        <v>5.6194933116517564E-4</v>
      </c>
      <c r="P27" s="400"/>
      <c r="Q27" s="400"/>
      <c r="R27" s="181">
        <v>0.42899999999999999</v>
      </c>
      <c r="S27" s="408"/>
      <c r="T27" s="408"/>
      <c r="U27" s="181">
        <v>0.9</v>
      </c>
      <c r="V27" s="408"/>
      <c r="W27" s="408"/>
    </row>
    <row r="28" spans="2:23" ht="14.45" customHeight="1">
      <c r="B28" s="403"/>
      <c r="C28" s="406"/>
      <c r="D28" s="340">
        <v>45985</v>
      </c>
      <c r="E28" s="340" t="s">
        <v>15</v>
      </c>
      <c r="F28" s="93">
        <v>105.8</v>
      </c>
      <c r="G28" s="410"/>
      <c r="H28" s="410"/>
      <c r="I28" s="90">
        <f t="shared" si="0"/>
        <v>0.93794326241134751</v>
      </c>
      <c r="J28" s="408"/>
      <c r="K28" s="408"/>
      <c r="L28" s="90">
        <v>2.2106640769774858E-3</v>
      </c>
      <c r="M28" s="400"/>
      <c r="N28" s="400"/>
      <c r="O28" s="90">
        <v>3.8949043983876804E-4</v>
      </c>
      <c r="P28" s="400"/>
      <c r="Q28" s="400"/>
      <c r="R28" s="181">
        <v>0.42899999999999999</v>
      </c>
      <c r="S28" s="408"/>
      <c r="T28" s="408"/>
      <c r="U28" s="181">
        <v>0.9</v>
      </c>
      <c r="V28" s="408"/>
      <c r="W28" s="408"/>
    </row>
    <row r="29" spans="2:23" ht="14.45" customHeight="1">
      <c r="B29" s="403">
        <v>45994</v>
      </c>
      <c r="C29" s="406"/>
      <c r="D29" s="340">
        <v>45986</v>
      </c>
      <c r="E29" s="341" t="s">
        <v>16</v>
      </c>
      <c r="F29" s="93"/>
      <c r="G29" s="410" t="e">
        <f>AVERAGE(F29:F35)</f>
        <v>#DIV/0!</v>
      </c>
      <c r="H29" s="410"/>
      <c r="I29" s="90">
        <f t="shared" si="0"/>
        <v>0</v>
      </c>
      <c r="J29" s="408">
        <f>AVERAGE(I29:I35)</f>
        <v>0</v>
      </c>
      <c r="K29" s="408"/>
      <c r="L29" s="90"/>
      <c r="M29" s="400" t="e">
        <f>AVERAGE(L29:L35)</f>
        <v>#DIV/0!</v>
      </c>
      <c r="N29" s="400"/>
      <c r="O29" s="90"/>
      <c r="P29" s="400" t="e">
        <f>AVERAGE(O29:O35)</f>
        <v>#DIV/0!</v>
      </c>
      <c r="Q29" s="400"/>
      <c r="R29" s="181"/>
      <c r="S29" s="408" t="e">
        <f>AVERAGE(R29:R35)</f>
        <v>#DIV/0!</v>
      </c>
      <c r="T29" s="408"/>
      <c r="U29" s="181"/>
      <c r="V29" s="408" t="e">
        <f>AVERAGE(U29:U35)</f>
        <v>#DIV/0!</v>
      </c>
      <c r="W29" s="408"/>
    </row>
    <row r="30" spans="2:23" ht="14.45" customHeight="1">
      <c r="B30" s="403"/>
      <c r="C30" s="406"/>
      <c r="D30" s="340">
        <v>45987</v>
      </c>
      <c r="E30" s="341" t="s">
        <v>17</v>
      </c>
      <c r="F30" s="93"/>
      <c r="G30" s="410"/>
      <c r="H30" s="410"/>
      <c r="I30" s="90">
        <f t="shared" si="0"/>
        <v>0</v>
      </c>
      <c r="J30" s="408"/>
      <c r="K30" s="408"/>
      <c r="L30" s="90"/>
      <c r="M30" s="400"/>
      <c r="N30" s="400"/>
      <c r="O30" s="90"/>
      <c r="P30" s="400"/>
      <c r="Q30" s="400"/>
      <c r="R30" s="181"/>
      <c r="S30" s="408"/>
      <c r="T30" s="408"/>
      <c r="U30" s="181"/>
      <c r="V30" s="408"/>
      <c r="W30" s="408"/>
    </row>
    <row r="31" spans="2:23" ht="14.45" customHeight="1">
      <c r="B31" s="403"/>
      <c r="C31" s="406"/>
      <c r="D31" s="340">
        <v>45988</v>
      </c>
      <c r="E31" s="341" t="s">
        <v>18</v>
      </c>
      <c r="F31" s="93"/>
      <c r="G31" s="410"/>
      <c r="H31" s="410"/>
      <c r="I31" s="90">
        <f t="shared" si="0"/>
        <v>0</v>
      </c>
      <c r="J31" s="408"/>
      <c r="K31" s="408"/>
      <c r="L31" s="90"/>
      <c r="M31" s="400"/>
      <c r="N31" s="400"/>
      <c r="O31" s="90"/>
      <c r="P31" s="400"/>
      <c r="Q31" s="400"/>
      <c r="R31" s="181"/>
      <c r="S31" s="408"/>
      <c r="T31" s="408"/>
      <c r="U31" s="181"/>
      <c r="V31" s="408"/>
      <c r="W31" s="408"/>
    </row>
    <row r="32" spans="2:23" ht="14.45" customHeight="1">
      <c r="B32" s="403"/>
      <c r="C32" s="406"/>
      <c r="D32" s="340">
        <v>45989</v>
      </c>
      <c r="E32" s="341" t="s">
        <v>19</v>
      </c>
      <c r="F32" s="93"/>
      <c r="G32" s="410"/>
      <c r="H32" s="410"/>
      <c r="I32" s="90">
        <f t="shared" si="0"/>
        <v>0</v>
      </c>
      <c r="J32" s="408"/>
      <c r="K32" s="408"/>
      <c r="L32" s="90"/>
      <c r="M32" s="400"/>
      <c r="N32" s="400"/>
      <c r="O32" s="90"/>
      <c r="P32" s="400"/>
      <c r="Q32" s="400"/>
      <c r="R32" s="181"/>
      <c r="S32" s="408"/>
      <c r="T32" s="408"/>
      <c r="U32" s="181"/>
      <c r="V32" s="408"/>
      <c r="W32" s="408"/>
    </row>
    <row r="33" spans="2:23" ht="14.45" customHeight="1">
      <c r="B33" s="403"/>
      <c r="C33" s="406"/>
      <c r="D33" s="340">
        <v>45990</v>
      </c>
      <c r="E33" s="341" t="s">
        <v>14</v>
      </c>
      <c r="F33" s="93"/>
      <c r="G33" s="410"/>
      <c r="H33" s="410"/>
      <c r="I33" s="90">
        <f t="shared" si="0"/>
        <v>0</v>
      </c>
      <c r="J33" s="408"/>
      <c r="K33" s="408"/>
      <c r="L33" s="90"/>
      <c r="M33" s="400"/>
      <c r="N33" s="400"/>
      <c r="O33" s="90"/>
      <c r="P33" s="400"/>
      <c r="Q33" s="400"/>
      <c r="R33" s="181"/>
      <c r="S33" s="408"/>
      <c r="T33" s="408"/>
      <c r="U33" s="181"/>
      <c r="V33" s="408"/>
      <c r="W33" s="408"/>
    </row>
    <row r="34" spans="2:23" ht="14.45" customHeight="1">
      <c r="B34" s="403"/>
      <c r="C34" s="406"/>
      <c r="D34" s="340">
        <v>45991</v>
      </c>
      <c r="E34" s="341" t="s">
        <v>10</v>
      </c>
      <c r="F34" s="93"/>
      <c r="G34" s="410"/>
      <c r="H34" s="410"/>
      <c r="I34" s="90">
        <f t="shared" si="0"/>
        <v>0</v>
      </c>
      <c r="J34" s="408"/>
      <c r="K34" s="408"/>
      <c r="L34" s="90"/>
      <c r="M34" s="400"/>
      <c r="N34" s="400"/>
      <c r="O34" s="90"/>
      <c r="P34" s="400"/>
      <c r="Q34" s="400"/>
      <c r="R34" s="181"/>
      <c r="S34" s="408"/>
      <c r="T34" s="408"/>
      <c r="U34" s="181"/>
      <c r="V34" s="408"/>
      <c r="W34" s="408"/>
    </row>
    <row r="35" spans="2:23">
      <c r="B35" s="403"/>
      <c r="C35" s="406"/>
      <c r="D35" s="340">
        <v>45992</v>
      </c>
      <c r="E35" s="340" t="s">
        <v>15</v>
      </c>
      <c r="F35" s="93"/>
      <c r="G35" s="410"/>
      <c r="H35" s="410"/>
      <c r="I35" s="90">
        <f t="shared" si="0"/>
        <v>0</v>
      </c>
      <c r="J35" s="408"/>
      <c r="K35" s="408"/>
      <c r="L35" s="90"/>
      <c r="M35" s="400"/>
      <c r="N35" s="400"/>
      <c r="O35" s="90"/>
      <c r="P35" s="400"/>
      <c r="Q35" s="400"/>
      <c r="R35" s="181"/>
      <c r="S35" s="408"/>
      <c r="T35" s="408"/>
      <c r="U35" s="181"/>
      <c r="V35" s="408"/>
      <c r="W35" s="408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181"/>
      <c r="K36" s="87"/>
      <c r="L36" s="90"/>
      <c r="M36" s="181"/>
      <c r="N36" s="181"/>
      <c r="O36" s="90"/>
      <c r="P36" s="90"/>
      <c r="Q36" s="181"/>
      <c r="R36" s="181"/>
      <c r="S36" s="181"/>
      <c r="T36" s="181"/>
      <c r="U36" s="181"/>
      <c r="V36" s="181"/>
      <c r="W36" s="181"/>
    </row>
    <row r="37" spans="2:23">
      <c r="B37" s="406"/>
      <c r="D37" s="86"/>
      <c r="E37" s="86"/>
      <c r="F37" s="93"/>
      <c r="G37" s="409" t="e">
        <f>AVERAGE(F37:F43)</f>
        <v>#DIV/0!</v>
      </c>
      <c r="H37" s="93"/>
      <c r="I37" s="90">
        <f t="shared" si="0"/>
        <v>0</v>
      </c>
      <c r="J37" s="415">
        <f>AVERAGE(I37:I43)</f>
        <v>0</v>
      </c>
      <c r="K37" s="87"/>
      <c r="L37" s="90"/>
      <c r="M37" s="415" t="e">
        <f>AVERAGE(L37:L43)</f>
        <v>#DIV/0!</v>
      </c>
      <c r="N37" s="181"/>
      <c r="O37" s="90"/>
      <c r="P37" s="416" t="e">
        <f>AVERAGE(O37:O43)</f>
        <v>#DIV/0!</v>
      </c>
      <c r="Q37" s="181"/>
      <c r="R37" s="181"/>
      <c r="S37" s="415" t="e">
        <f>AVERAGE(R37:R43)</f>
        <v>#DIV/0!</v>
      </c>
      <c r="T37" s="181"/>
      <c r="U37" s="181"/>
      <c r="V37" s="415" t="e">
        <f>AVERAGE(U37:U43)</f>
        <v>#DIV/0!</v>
      </c>
      <c r="W37" s="181"/>
    </row>
    <row r="38" spans="2:23">
      <c r="B38" s="406"/>
      <c r="D38" s="86"/>
      <c r="E38" s="86"/>
      <c r="F38" s="93"/>
      <c r="G38" s="409"/>
      <c r="H38" s="93"/>
      <c r="I38" s="90">
        <f t="shared" si="0"/>
        <v>0</v>
      </c>
      <c r="J38" s="415"/>
      <c r="K38" s="87"/>
      <c r="L38" s="90"/>
      <c r="M38" s="415"/>
      <c r="N38" s="181"/>
      <c r="O38" s="90"/>
      <c r="P38" s="416"/>
      <c r="Q38" s="181"/>
      <c r="R38" s="181"/>
      <c r="S38" s="415"/>
      <c r="T38" s="181"/>
      <c r="U38" s="181"/>
      <c r="V38" s="415"/>
      <c r="W38" s="181"/>
    </row>
    <row r="39" spans="2:23">
      <c r="B39" s="406"/>
      <c r="D39" s="86"/>
      <c r="E39" s="86"/>
      <c r="F39" s="93"/>
      <c r="G39" s="409"/>
      <c r="H39" s="93"/>
      <c r="I39" s="90">
        <f t="shared" si="0"/>
        <v>0</v>
      </c>
      <c r="J39" s="415"/>
      <c r="K39" s="87"/>
      <c r="L39" s="90"/>
      <c r="M39" s="415"/>
      <c r="N39" s="181"/>
      <c r="O39" s="90"/>
      <c r="P39" s="416"/>
      <c r="Q39" s="181"/>
      <c r="R39" s="181"/>
      <c r="S39" s="415"/>
      <c r="T39" s="181"/>
      <c r="U39" s="181"/>
      <c r="V39" s="415"/>
      <c r="W39" s="181"/>
    </row>
    <row r="40" spans="2:23">
      <c r="B40" s="406"/>
      <c r="D40" s="86"/>
      <c r="E40" s="86"/>
      <c r="F40" s="93"/>
      <c r="G40" s="409"/>
      <c r="H40" s="93"/>
      <c r="I40" s="90">
        <f t="shared" si="0"/>
        <v>0</v>
      </c>
      <c r="J40" s="415"/>
      <c r="K40" s="87"/>
      <c r="L40" s="90"/>
      <c r="M40" s="415"/>
      <c r="N40" s="181"/>
      <c r="O40" s="90"/>
      <c r="P40" s="416"/>
      <c r="Q40" s="181"/>
      <c r="R40" s="181"/>
      <c r="S40" s="415"/>
      <c r="T40" s="181"/>
      <c r="U40" s="181"/>
      <c r="V40" s="415"/>
      <c r="W40" s="181"/>
    </row>
    <row r="41" spans="2:23">
      <c r="B41" s="406"/>
      <c r="D41" s="86"/>
      <c r="E41" s="86"/>
      <c r="F41" s="93"/>
      <c r="G41" s="409"/>
      <c r="H41" s="93"/>
      <c r="I41" s="90">
        <f t="shared" si="0"/>
        <v>0</v>
      </c>
      <c r="J41" s="415"/>
      <c r="K41" s="87"/>
      <c r="L41" s="90"/>
      <c r="M41" s="415"/>
      <c r="N41" s="181"/>
      <c r="O41" s="90"/>
      <c r="P41" s="416"/>
      <c r="Q41" s="181"/>
      <c r="R41" s="181"/>
      <c r="S41" s="415"/>
      <c r="T41" s="181"/>
      <c r="U41" s="181"/>
      <c r="V41" s="415"/>
      <c r="W41" s="181"/>
    </row>
    <row r="42" spans="2:23">
      <c r="B42" s="406"/>
      <c r="D42" s="86"/>
      <c r="E42" s="86"/>
      <c r="F42" s="93"/>
      <c r="G42" s="409"/>
      <c r="H42" s="93"/>
      <c r="I42" s="90">
        <f t="shared" si="0"/>
        <v>0</v>
      </c>
      <c r="J42" s="415"/>
      <c r="K42" s="87"/>
      <c r="L42" s="90"/>
      <c r="M42" s="415"/>
      <c r="N42" s="181"/>
      <c r="O42" s="90"/>
      <c r="P42" s="416"/>
      <c r="Q42" s="181"/>
      <c r="R42" s="181"/>
      <c r="S42" s="415"/>
      <c r="T42" s="181"/>
      <c r="U42" s="181"/>
      <c r="V42" s="415"/>
      <c r="W42" s="181"/>
    </row>
    <row r="43" spans="2:23">
      <c r="B43" s="406"/>
      <c r="D43" s="86"/>
      <c r="E43" s="86"/>
      <c r="F43" s="93"/>
      <c r="G43" s="409"/>
      <c r="H43" s="93"/>
      <c r="I43" s="90">
        <f t="shared" si="0"/>
        <v>0</v>
      </c>
      <c r="J43" s="415"/>
      <c r="K43" s="87"/>
      <c r="L43" s="90"/>
      <c r="M43" s="415"/>
      <c r="N43" s="181"/>
      <c r="O43" s="90"/>
      <c r="P43" s="416"/>
      <c r="Q43" s="181"/>
      <c r="R43" s="181"/>
      <c r="S43" s="415"/>
      <c r="T43" s="181"/>
      <c r="U43" s="181"/>
      <c r="V43" s="415"/>
      <c r="W43" s="181"/>
    </row>
  </sheetData>
  <mergeCells count="52">
    <mergeCell ref="S8:S14"/>
    <mergeCell ref="S15:S21"/>
    <mergeCell ref="S22:S28"/>
    <mergeCell ref="S29:S35"/>
    <mergeCell ref="J22:J28"/>
    <mergeCell ref="J29:J35"/>
    <mergeCell ref="H5:H35"/>
    <mergeCell ref="P8:P14"/>
    <mergeCell ref="P15:P21"/>
    <mergeCell ref="P22:P28"/>
    <mergeCell ref="P29:P35"/>
    <mergeCell ref="V37:V43"/>
    <mergeCell ref="J37:J43"/>
    <mergeCell ref="M37:M43"/>
    <mergeCell ref="O3:Q3"/>
    <mergeCell ref="P37:P43"/>
    <mergeCell ref="S37:S43"/>
    <mergeCell ref="T5:T35"/>
    <mergeCell ref="N5:N35"/>
    <mergeCell ref="Q5:Q35"/>
    <mergeCell ref="K5:K35"/>
    <mergeCell ref="M8:M14"/>
    <mergeCell ref="M15:M21"/>
    <mergeCell ref="M22:M28"/>
    <mergeCell ref="M29:M35"/>
    <mergeCell ref="J8:J14"/>
    <mergeCell ref="J15:J2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B37:B43"/>
    <mergeCell ref="C5:C35"/>
    <mergeCell ref="G37:G43"/>
    <mergeCell ref="B8:B14"/>
    <mergeCell ref="B15:B21"/>
    <mergeCell ref="B22:B28"/>
    <mergeCell ref="B29:B35"/>
    <mergeCell ref="G8:G14"/>
    <mergeCell ref="G15:G21"/>
    <mergeCell ref="G22:G28"/>
    <mergeCell ref="G29:G35"/>
    <mergeCell ref="W5:W35"/>
    <mergeCell ref="V8:V14"/>
    <mergeCell ref="V15:V21"/>
    <mergeCell ref="V22:V28"/>
    <mergeCell ref="V29:V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24" sqref="M24:M30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" width="8.85546875" style="79" customWidth="1"/>
    <col min="17" max="16384" width="8.85546875" style="79"/>
  </cols>
  <sheetData>
    <row r="2" spans="1:14" ht="38.1" customHeight="1">
      <c r="A2" s="78"/>
      <c r="B2" s="388" t="s">
        <v>29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</row>
    <row r="3" spans="1:14" ht="25.35" customHeight="1">
      <c r="B3" s="422" t="s">
        <v>1</v>
      </c>
      <c r="C3" s="423" t="s">
        <v>30</v>
      </c>
      <c r="D3" s="424" t="s">
        <v>3</v>
      </c>
      <c r="E3" s="424"/>
      <c r="F3" s="425" t="s">
        <v>31</v>
      </c>
      <c r="G3" s="425"/>
      <c r="H3" s="425"/>
      <c r="I3" s="417" t="s">
        <v>32</v>
      </c>
      <c r="J3" s="418"/>
      <c r="K3" s="418"/>
      <c r="L3" s="418"/>
      <c r="M3" s="418"/>
      <c r="N3" s="419"/>
    </row>
    <row r="4" spans="1:14" ht="25.35" customHeight="1">
      <c r="B4" s="422"/>
      <c r="C4" s="423"/>
      <c r="D4" s="424"/>
      <c r="E4" s="424"/>
      <c r="F4" s="425"/>
      <c r="G4" s="425"/>
      <c r="H4" s="425"/>
      <c r="I4" s="421" t="s">
        <v>33</v>
      </c>
      <c r="J4" s="421"/>
      <c r="K4" s="421" t="s">
        <v>34</v>
      </c>
      <c r="L4" s="421"/>
      <c r="M4" s="421" t="s">
        <v>35</v>
      </c>
      <c r="N4" s="421"/>
    </row>
    <row r="5" spans="1:14" ht="25.35" customHeight="1">
      <c r="B5" s="422"/>
      <c r="C5" s="423"/>
      <c r="D5" s="424"/>
      <c r="E5" s="424"/>
      <c r="F5" s="426" t="s">
        <v>10</v>
      </c>
      <c r="G5" s="426" t="s">
        <v>11</v>
      </c>
      <c r="H5" s="426" t="s">
        <v>12</v>
      </c>
      <c r="I5" s="421" t="s">
        <v>36</v>
      </c>
      <c r="J5" s="421"/>
      <c r="K5" s="421" t="s">
        <v>36</v>
      </c>
      <c r="L5" s="421"/>
      <c r="M5" s="421" t="s">
        <v>36</v>
      </c>
      <c r="N5" s="421"/>
    </row>
    <row r="6" spans="1:14" s="82" customFormat="1" ht="23.45" customHeight="1">
      <c r="B6" s="422"/>
      <c r="C6" s="423"/>
      <c r="D6" s="424"/>
      <c r="E6" s="424"/>
      <c r="F6" s="426"/>
      <c r="G6" s="426"/>
      <c r="H6" s="426"/>
      <c r="I6" s="98" t="s">
        <v>37</v>
      </c>
      <c r="J6" s="99" t="s">
        <v>38</v>
      </c>
      <c r="K6" s="98" t="s">
        <v>37</v>
      </c>
      <c r="L6" s="99" t="s">
        <v>38</v>
      </c>
      <c r="M6" s="98" t="s">
        <v>37</v>
      </c>
      <c r="N6" s="99" t="s">
        <v>38</v>
      </c>
    </row>
    <row r="7" spans="1:14" ht="14.25">
      <c r="B7" s="346"/>
      <c r="C7" s="405" t="s">
        <v>13</v>
      </c>
      <c r="D7" s="340">
        <v>45962</v>
      </c>
      <c r="E7" s="341" t="s">
        <v>14</v>
      </c>
      <c r="F7" s="97">
        <f>SUM(I7,K7,M7)</f>
        <v>2264329.08</v>
      </c>
      <c r="G7" s="347"/>
      <c r="H7" s="420">
        <f>SUM(F7:F36)</f>
        <v>59929510.900000006</v>
      </c>
      <c r="I7" s="100">
        <v>2076011.35</v>
      </c>
      <c r="J7" s="101">
        <f t="shared" ref="J7:J36" si="0">I7/F7</f>
        <v>0.91683287925622547</v>
      </c>
      <c r="K7" s="100"/>
      <c r="L7" s="101">
        <f t="shared" ref="L7:L36" si="1">K7/F7</f>
        <v>0</v>
      </c>
      <c r="M7" s="100">
        <v>188317.73</v>
      </c>
      <c r="N7" s="101">
        <f t="shared" ref="N7:N36" si="2">M7/F7</f>
        <v>8.3167120743774581E-2</v>
      </c>
    </row>
    <row r="8" spans="1:14" ht="14.25">
      <c r="B8" s="346"/>
      <c r="C8" s="406"/>
      <c r="D8" s="340">
        <v>45963</v>
      </c>
      <c r="E8" s="341" t="s">
        <v>10</v>
      </c>
      <c r="F8" s="97">
        <f t="shared" ref="F8:F37" si="3">SUM(I8,K8,M8)</f>
        <v>3123033.45</v>
      </c>
      <c r="G8" s="347"/>
      <c r="H8" s="420"/>
      <c r="I8" s="100">
        <v>2875684.5</v>
      </c>
      <c r="J8" s="101">
        <f t="shared" si="0"/>
        <v>0.92079849480958964</v>
      </c>
      <c r="K8" s="100"/>
      <c r="L8" s="101">
        <f t="shared" si="1"/>
        <v>0</v>
      </c>
      <c r="M8" s="100">
        <v>247348.95</v>
      </c>
      <c r="N8" s="101">
        <f t="shared" si="2"/>
        <v>7.9201505190410304E-2</v>
      </c>
    </row>
    <row r="9" spans="1:14" ht="14.25">
      <c r="B9" s="346"/>
      <c r="C9" s="406"/>
      <c r="D9" s="340">
        <v>45964</v>
      </c>
      <c r="E9" s="340" t="s">
        <v>15</v>
      </c>
      <c r="F9" s="97">
        <f t="shared" si="3"/>
        <v>2673556.9200000004</v>
      </c>
      <c r="G9" s="347"/>
      <c r="H9" s="420"/>
      <c r="I9" s="100">
        <v>2430499.4900000002</v>
      </c>
      <c r="J9" s="101">
        <f t="shared" si="0"/>
        <v>0.90908836532270276</v>
      </c>
      <c r="K9" s="100"/>
      <c r="L9" s="101">
        <f t="shared" si="1"/>
        <v>0</v>
      </c>
      <c r="M9" s="100">
        <v>243057.43</v>
      </c>
      <c r="N9" s="101">
        <f t="shared" si="2"/>
        <v>9.0911634677297223E-2</v>
      </c>
    </row>
    <row r="10" spans="1:14" ht="14.25">
      <c r="B10" s="403">
        <v>45973</v>
      </c>
      <c r="C10" s="406"/>
      <c r="D10" s="340">
        <v>45965</v>
      </c>
      <c r="E10" s="341" t="s">
        <v>16</v>
      </c>
      <c r="F10" s="97">
        <f t="shared" si="3"/>
        <v>2527418.29</v>
      </c>
      <c r="G10" s="407">
        <f>SUM(F10:F16)</f>
        <v>17610221.509999998</v>
      </c>
      <c r="H10" s="420"/>
      <c r="I10" s="100">
        <v>2307469.88</v>
      </c>
      <c r="J10" s="101">
        <f t="shared" si="0"/>
        <v>0.91297506595158806</v>
      </c>
      <c r="K10" s="100"/>
      <c r="L10" s="101">
        <f t="shared" si="1"/>
        <v>0</v>
      </c>
      <c r="M10" s="100">
        <v>219948.41</v>
      </c>
      <c r="N10" s="101">
        <f t="shared" si="2"/>
        <v>8.7024934048411912E-2</v>
      </c>
    </row>
    <row r="11" spans="1:14" ht="14.25">
      <c r="B11" s="403"/>
      <c r="C11" s="406"/>
      <c r="D11" s="340">
        <v>45966</v>
      </c>
      <c r="E11" s="341" t="s">
        <v>17</v>
      </c>
      <c r="F11" s="97">
        <f t="shared" si="3"/>
        <v>2528793.23</v>
      </c>
      <c r="G11" s="407"/>
      <c r="H11" s="420"/>
      <c r="I11" s="100">
        <v>2308154.56</v>
      </c>
      <c r="J11" s="101">
        <f t="shared" si="0"/>
        <v>0.91274942237962253</v>
      </c>
      <c r="K11" s="100"/>
      <c r="L11" s="101">
        <f t="shared" si="1"/>
        <v>0</v>
      </c>
      <c r="M11" s="100">
        <v>220638.67</v>
      </c>
      <c r="N11" s="101">
        <f t="shared" si="2"/>
        <v>8.7250577620377454E-2</v>
      </c>
    </row>
    <row r="12" spans="1:14" ht="14.25">
      <c r="B12" s="403"/>
      <c r="C12" s="406"/>
      <c r="D12" s="340">
        <v>45967</v>
      </c>
      <c r="E12" s="341" t="s">
        <v>18</v>
      </c>
      <c r="F12" s="97">
        <f t="shared" si="3"/>
        <v>2482738.12</v>
      </c>
      <c r="G12" s="407"/>
      <c r="H12" s="420"/>
      <c r="I12" s="100">
        <v>2280236.83</v>
      </c>
      <c r="J12" s="101">
        <f t="shared" si="0"/>
        <v>0.91843630692712763</v>
      </c>
      <c r="K12" s="100"/>
      <c r="L12" s="101">
        <f t="shared" si="1"/>
        <v>0</v>
      </c>
      <c r="M12" s="100">
        <v>202501.29</v>
      </c>
      <c r="N12" s="101">
        <f t="shared" si="2"/>
        <v>8.1563693072872298E-2</v>
      </c>
    </row>
    <row r="13" spans="1:14" ht="14.25">
      <c r="B13" s="403"/>
      <c r="C13" s="406"/>
      <c r="D13" s="340">
        <v>45968</v>
      </c>
      <c r="E13" s="341" t="s">
        <v>19</v>
      </c>
      <c r="F13" s="97">
        <f t="shared" si="3"/>
        <v>2173366.7399999998</v>
      </c>
      <c r="G13" s="407"/>
      <c r="H13" s="420"/>
      <c r="I13" s="100">
        <v>1995602.4</v>
      </c>
      <c r="J13" s="101">
        <f t="shared" si="0"/>
        <v>0.91820784926523724</v>
      </c>
      <c r="K13" s="100"/>
      <c r="L13" s="101">
        <f t="shared" si="1"/>
        <v>0</v>
      </c>
      <c r="M13" s="100">
        <v>177764.34</v>
      </c>
      <c r="N13" s="101">
        <f t="shared" si="2"/>
        <v>8.1792150734762786E-2</v>
      </c>
    </row>
    <row r="14" spans="1:14" ht="14.25">
      <c r="B14" s="403"/>
      <c r="C14" s="406"/>
      <c r="D14" s="340">
        <v>45969</v>
      </c>
      <c r="E14" s="341" t="s">
        <v>14</v>
      </c>
      <c r="F14" s="97">
        <f t="shared" si="3"/>
        <v>2234998.08</v>
      </c>
      <c r="G14" s="407"/>
      <c r="H14" s="420"/>
      <c r="I14" s="100">
        <v>2048061.45</v>
      </c>
      <c r="J14" s="101">
        <f t="shared" si="0"/>
        <v>0.91635937781208288</v>
      </c>
      <c r="K14" s="100"/>
      <c r="L14" s="101">
        <f t="shared" si="1"/>
        <v>0</v>
      </c>
      <c r="M14" s="100">
        <v>186936.63</v>
      </c>
      <c r="N14" s="101">
        <f t="shared" si="2"/>
        <v>8.3640622187917041E-2</v>
      </c>
    </row>
    <row r="15" spans="1:14" ht="14.25">
      <c r="B15" s="403"/>
      <c r="C15" s="406"/>
      <c r="D15" s="340">
        <v>45970</v>
      </c>
      <c r="E15" s="341" t="s">
        <v>10</v>
      </c>
      <c r="F15" s="97">
        <f t="shared" si="3"/>
        <v>2858713.39</v>
      </c>
      <c r="G15" s="407"/>
      <c r="H15" s="420"/>
      <c r="I15" s="100">
        <v>2627998.33</v>
      </c>
      <c r="J15" s="101">
        <f t="shared" si="0"/>
        <v>0.91929409194812639</v>
      </c>
      <c r="K15" s="100"/>
      <c r="L15" s="101">
        <f t="shared" si="1"/>
        <v>0</v>
      </c>
      <c r="M15" s="100">
        <v>230715.06</v>
      </c>
      <c r="N15" s="101">
        <f t="shared" si="2"/>
        <v>8.0705908051873637E-2</v>
      </c>
    </row>
    <row r="16" spans="1:14" ht="14.25">
      <c r="B16" s="403"/>
      <c r="C16" s="406"/>
      <c r="D16" s="340">
        <v>45971</v>
      </c>
      <c r="E16" s="340" t="s">
        <v>15</v>
      </c>
      <c r="F16" s="97">
        <f t="shared" si="3"/>
        <v>2804193.66</v>
      </c>
      <c r="G16" s="407"/>
      <c r="H16" s="420"/>
      <c r="I16" s="100">
        <v>2574252.58</v>
      </c>
      <c r="J16" s="101">
        <f t="shared" si="0"/>
        <v>0.91800099854729722</v>
      </c>
      <c r="K16" s="100"/>
      <c r="L16" s="101">
        <f t="shared" si="1"/>
        <v>0</v>
      </c>
      <c r="M16" s="100">
        <v>229941.08</v>
      </c>
      <c r="N16" s="101">
        <f t="shared" si="2"/>
        <v>8.1999001452702794E-2</v>
      </c>
    </row>
    <row r="17" spans="2:14" ht="14.25">
      <c r="B17" s="403">
        <v>45980</v>
      </c>
      <c r="C17" s="406"/>
      <c r="D17" s="340">
        <v>45972</v>
      </c>
      <c r="E17" s="341" t="s">
        <v>16</v>
      </c>
      <c r="F17" s="97">
        <f t="shared" si="3"/>
        <v>2660726.29</v>
      </c>
      <c r="G17" s="407">
        <f>SUM(F17:F23)</f>
        <v>17347543.109999999</v>
      </c>
      <c r="H17" s="420"/>
      <c r="I17" s="100">
        <v>2437313.5499999998</v>
      </c>
      <c r="J17" s="101">
        <f t="shared" si="0"/>
        <v>0.91603317453596467</v>
      </c>
      <c r="K17" s="100"/>
      <c r="L17" s="101">
        <f t="shared" si="1"/>
        <v>0</v>
      </c>
      <c r="M17" s="100">
        <v>223412.74</v>
      </c>
      <c r="N17" s="101">
        <f t="shared" si="2"/>
        <v>8.3966825464035236E-2</v>
      </c>
    </row>
    <row r="18" spans="2:14" ht="14.25">
      <c r="B18" s="403"/>
      <c r="C18" s="406"/>
      <c r="D18" s="340">
        <v>45973</v>
      </c>
      <c r="E18" s="341" t="s">
        <v>17</v>
      </c>
      <c r="F18" s="97">
        <f t="shared" si="3"/>
        <v>2790787.25</v>
      </c>
      <c r="G18" s="407"/>
      <c r="H18" s="420"/>
      <c r="I18" s="100">
        <v>2560267.39</v>
      </c>
      <c r="J18" s="101">
        <f t="shared" si="0"/>
        <v>0.91739970146416572</v>
      </c>
      <c r="K18" s="100"/>
      <c r="L18" s="101">
        <f t="shared" si="1"/>
        <v>0</v>
      </c>
      <c r="M18" s="100">
        <v>230519.86</v>
      </c>
      <c r="N18" s="101">
        <f t="shared" si="2"/>
        <v>8.2600298535834282E-2</v>
      </c>
    </row>
    <row r="19" spans="2:14" ht="14.25">
      <c r="B19" s="403"/>
      <c r="C19" s="406"/>
      <c r="D19" s="340">
        <v>45974</v>
      </c>
      <c r="E19" s="341" t="s">
        <v>18</v>
      </c>
      <c r="F19" s="97">
        <f t="shared" si="3"/>
        <v>2510222.5499999998</v>
      </c>
      <c r="G19" s="407"/>
      <c r="H19" s="420"/>
      <c r="I19" s="100">
        <v>2303427.86</v>
      </c>
      <c r="J19" s="101">
        <f t="shared" si="0"/>
        <v>0.91761898163172828</v>
      </c>
      <c r="K19" s="100"/>
      <c r="L19" s="101">
        <f t="shared" si="1"/>
        <v>0</v>
      </c>
      <c r="M19" s="100">
        <v>206794.69</v>
      </c>
      <c r="N19" s="101">
        <f t="shared" si="2"/>
        <v>8.2381018368271774E-2</v>
      </c>
    </row>
    <row r="20" spans="2:14" ht="14.25">
      <c r="B20" s="403"/>
      <c r="C20" s="406"/>
      <c r="D20" s="340">
        <v>45975</v>
      </c>
      <c r="E20" s="341" t="s">
        <v>19</v>
      </c>
      <c r="F20" s="97">
        <f t="shared" si="3"/>
        <v>2068483.01</v>
      </c>
      <c r="G20" s="407"/>
      <c r="H20" s="420"/>
      <c r="I20" s="100">
        <v>1898103.19</v>
      </c>
      <c r="J20" s="101">
        <f t="shared" si="0"/>
        <v>0.91763054413485368</v>
      </c>
      <c r="K20" s="100"/>
      <c r="L20" s="101">
        <f t="shared" si="1"/>
        <v>0</v>
      </c>
      <c r="M20" s="100">
        <v>170379.82</v>
      </c>
      <c r="N20" s="101">
        <f t="shared" si="2"/>
        <v>8.236945586514631E-2</v>
      </c>
    </row>
    <row r="21" spans="2:14" ht="14.25">
      <c r="B21" s="403"/>
      <c r="C21" s="406"/>
      <c r="D21" s="340">
        <v>45976</v>
      </c>
      <c r="E21" s="341" t="s">
        <v>14</v>
      </c>
      <c r="F21" s="97">
        <f t="shared" si="3"/>
        <v>2006658.04</v>
      </c>
      <c r="G21" s="407"/>
      <c r="H21" s="420"/>
      <c r="I21" s="100">
        <v>1833409.17</v>
      </c>
      <c r="J21" s="101">
        <f t="shared" si="0"/>
        <v>0.91366298265747359</v>
      </c>
      <c r="K21" s="100"/>
      <c r="L21" s="101">
        <f t="shared" si="1"/>
        <v>0</v>
      </c>
      <c r="M21" s="100">
        <v>173248.87</v>
      </c>
      <c r="N21" s="101">
        <f t="shared" si="2"/>
        <v>8.6337017342526384E-2</v>
      </c>
    </row>
    <row r="22" spans="2:14" ht="14.25">
      <c r="B22" s="403"/>
      <c r="C22" s="406"/>
      <c r="D22" s="340">
        <v>45977</v>
      </c>
      <c r="E22" s="341" t="s">
        <v>10</v>
      </c>
      <c r="F22" s="97">
        <f t="shared" si="3"/>
        <v>2660160.35</v>
      </c>
      <c r="G22" s="407"/>
      <c r="H22" s="420"/>
      <c r="I22" s="100">
        <v>2437424.1800000002</v>
      </c>
      <c r="J22" s="101">
        <f t="shared" si="0"/>
        <v>0.91626964517383325</v>
      </c>
      <c r="K22" s="100"/>
      <c r="L22" s="101">
        <f t="shared" si="1"/>
        <v>0</v>
      </c>
      <c r="M22" s="100">
        <v>222736.17</v>
      </c>
      <c r="N22" s="101">
        <f t="shared" si="2"/>
        <v>8.3730354826166781E-2</v>
      </c>
    </row>
    <row r="23" spans="2:14" ht="14.25">
      <c r="B23" s="403"/>
      <c r="C23" s="406"/>
      <c r="D23" s="340">
        <v>45978</v>
      </c>
      <c r="E23" s="340" t="s">
        <v>15</v>
      </c>
      <c r="F23" s="97">
        <f t="shared" si="3"/>
        <v>2650505.6199999996</v>
      </c>
      <c r="G23" s="407"/>
      <c r="H23" s="420"/>
      <c r="I23" s="100">
        <v>2426717.5499999998</v>
      </c>
      <c r="J23" s="101">
        <f t="shared" si="0"/>
        <v>0.91556778136542871</v>
      </c>
      <c r="K23" s="100"/>
      <c r="L23" s="101">
        <f t="shared" si="1"/>
        <v>0</v>
      </c>
      <c r="M23" s="100">
        <v>223788.07</v>
      </c>
      <c r="N23" s="101">
        <f t="shared" si="2"/>
        <v>8.4432218634571329E-2</v>
      </c>
    </row>
    <row r="24" spans="2:14" ht="14.25">
      <c r="B24" s="403">
        <v>45987</v>
      </c>
      <c r="C24" s="406"/>
      <c r="D24" s="340">
        <v>45979</v>
      </c>
      <c r="E24" s="341" t="s">
        <v>16</v>
      </c>
      <c r="F24" s="97">
        <f t="shared" si="3"/>
        <v>2921128.02</v>
      </c>
      <c r="G24" s="407">
        <f>SUM(F24:F30)</f>
        <v>16910826.829999998</v>
      </c>
      <c r="H24" s="420"/>
      <c r="I24" s="100">
        <v>2707161.39</v>
      </c>
      <c r="J24" s="101">
        <f t="shared" si="0"/>
        <v>0.92675205313322762</v>
      </c>
      <c r="K24" s="100"/>
      <c r="L24" s="101">
        <f t="shared" si="1"/>
        <v>0</v>
      </c>
      <c r="M24" s="100">
        <v>213966.63</v>
      </c>
      <c r="N24" s="101">
        <f t="shared" si="2"/>
        <v>7.3247946866772384E-2</v>
      </c>
    </row>
    <row r="25" spans="2:14" ht="14.25">
      <c r="B25" s="403"/>
      <c r="C25" s="406"/>
      <c r="D25" s="340">
        <v>45980</v>
      </c>
      <c r="E25" s="341" t="s">
        <v>17</v>
      </c>
      <c r="F25" s="97">
        <f t="shared" si="3"/>
        <v>2664581.21</v>
      </c>
      <c r="G25" s="407"/>
      <c r="H25" s="420"/>
      <c r="I25" s="100">
        <v>2454829.4300000002</v>
      </c>
      <c r="J25" s="101">
        <f t="shared" si="0"/>
        <v>0.9212815210086992</v>
      </c>
      <c r="K25" s="100"/>
      <c r="L25" s="101">
        <f t="shared" si="1"/>
        <v>0</v>
      </c>
      <c r="M25" s="100">
        <v>209751.78</v>
      </c>
      <c r="N25" s="101">
        <f t="shared" si="2"/>
        <v>7.8718478991300855E-2</v>
      </c>
    </row>
    <row r="26" spans="2:14" ht="14.25">
      <c r="B26" s="403"/>
      <c r="C26" s="406"/>
      <c r="D26" s="340">
        <v>45981</v>
      </c>
      <c r="E26" s="341" t="s">
        <v>18</v>
      </c>
      <c r="F26" s="97">
        <f t="shared" si="3"/>
        <v>2302855.0699999998</v>
      </c>
      <c r="G26" s="407"/>
      <c r="H26" s="420"/>
      <c r="I26" s="100">
        <v>2106897.23</v>
      </c>
      <c r="J26" s="101">
        <f t="shared" si="0"/>
        <v>0.91490656856664454</v>
      </c>
      <c r="K26" s="100"/>
      <c r="L26" s="101">
        <f t="shared" si="1"/>
        <v>0</v>
      </c>
      <c r="M26" s="100">
        <v>195957.84</v>
      </c>
      <c r="N26" s="101">
        <f t="shared" si="2"/>
        <v>8.5093431433355474E-2</v>
      </c>
    </row>
    <row r="27" spans="2:14" ht="14.25">
      <c r="B27" s="403"/>
      <c r="C27" s="406"/>
      <c r="D27" s="340">
        <v>45982</v>
      </c>
      <c r="E27" s="341" t="s">
        <v>19</v>
      </c>
      <c r="F27" s="97">
        <f t="shared" si="3"/>
        <v>1818810.13</v>
      </c>
      <c r="G27" s="407"/>
      <c r="H27" s="420"/>
      <c r="I27" s="100">
        <v>1647129.17</v>
      </c>
      <c r="J27" s="101">
        <f t="shared" si="0"/>
        <v>0.90560809115352792</v>
      </c>
      <c r="K27" s="100"/>
      <c r="L27" s="101">
        <f t="shared" si="1"/>
        <v>0</v>
      </c>
      <c r="M27" s="100">
        <v>171680.96</v>
      </c>
      <c r="N27" s="101">
        <f t="shared" si="2"/>
        <v>9.439190884647207E-2</v>
      </c>
    </row>
    <row r="28" spans="2:14" ht="14.25">
      <c r="B28" s="403"/>
      <c r="C28" s="406"/>
      <c r="D28" s="340">
        <v>45983</v>
      </c>
      <c r="E28" s="341" t="s">
        <v>14</v>
      </c>
      <c r="F28" s="97">
        <f t="shared" si="3"/>
        <v>1959163.47</v>
      </c>
      <c r="G28" s="407"/>
      <c r="H28" s="420"/>
      <c r="I28" s="100">
        <v>1784992.03</v>
      </c>
      <c r="J28" s="101">
        <f t="shared" si="0"/>
        <v>0.91109907740368401</v>
      </c>
      <c r="K28" s="100"/>
      <c r="L28" s="101">
        <f t="shared" si="1"/>
        <v>0</v>
      </c>
      <c r="M28" s="100">
        <v>174171.44</v>
      </c>
      <c r="N28" s="101">
        <f t="shared" si="2"/>
        <v>8.8900922596316073E-2</v>
      </c>
    </row>
    <row r="29" spans="2:14" ht="14.25">
      <c r="B29" s="403"/>
      <c r="C29" s="406"/>
      <c r="D29" s="340">
        <v>45984</v>
      </c>
      <c r="E29" s="341" t="s">
        <v>10</v>
      </c>
      <c r="F29" s="97">
        <f t="shared" si="3"/>
        <v>2710208.76</v>
      </c>
      <c r="G29" s="407"/>
      <c r="H29" s="420"/>
      <c r="I29" s="100">
        <v>2496599.13</v>
      </c>
      <c r="J29" s="101">
        <f t="shared" si="0"/>
        <v>0.92118332980371598</v>
      </c>
      <c r="K29" s="100"/>
      <c r="L29" s="101">
        <f t="shared" si="1"/>
        <v>0</v>
      </c>
      <c r="M29" s="100">
        <v>213609.63</v>
      </c>
      <c r="N29" s="101">
        <f t="shared" si="2"/>
        <v>7.8816670196284078E-2</v>
      </c>
    </row>
    <row r="30" spans="2:14" ht="14.25">
      <c r="B30" s="403"/>
      <c r="C30" s="406"/>
      <c r="D30" s="340">
        <v>45985</v>
      </c>
      <c r="E30" s="340" t="s">
        <v>15</v>
      </c>
      <c r="F30" s="97">
        <f t="shared" si="3"/>
        <v>2534080.17</v>
      </c>
      <c r="G30" s="407"/>
      <c r="H30" s="420"/>
      <c r="I30" s="100">
        <v>2324639.8199999998</v>
      </c>
      <c r="J30" s="101">
        <f t="shared" si="0"/>
        <v>0.9173505430177451</v>
      </c>
      <c r="K30" s="100"/>
      <c r="L30" s="101">
        <f t="shared" si="1"/>
        <v>0</v>
      </c>
      <c r="M30" s="100">
        <v>209440.35</v>
      </c>
      <c r="N30" s="101">
        <f t="shared" si="2"/>
        <v>8.2649456982254829E-2</v>
      </c>
    </row>
    <row r="31" spans="2:14" ht="14.25">
      <c r="B31" s="403">
        <v>45994</v>
      </c>
      <c r="C31" s="406"/>
      <c r="D31" s="340">
        <v>45986</v>
      </c>
      <c r="E31" s="341" t="s">
        <v>16</v>
      </c>
      <c r="F31" s="97">
        <f t="shared" si="3"/>
        <v>0</v>
      </c>
      <c r="G31" s="407">
        <f>SUM(F31:F37)</f>
        <v>0</v>
      </c>
      <c r="H31" s="420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4.25">
      <c r="B32" s="403"/>
      <c r="C32" s="406"/>
      <c r="D32" s="340">
        <v>45987</v>
      </c>
      <c r="E32" s="341" t="s">
        <v>17</v>
      </c>
      <c r="F32" s="97">
        <f t="shared" si="3"/>
        <v>0</v>
      </c>
      <c r="G32" s="407"/>
      <c r="H32" s="420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4.25">
      <c r="B33" s="403"/>
      <c r="C33" s="406"/>
      <c r="D33" s="340">
        <v>45988</v>
      </c>
      <c r="E33" s="341" t="s">
        <v>18</v>
      </c>
      <c r="F33" s="97">
        <f t="shared" si="3"/>
        <v>0</v>
      </c>
      <c r="G33" s="407"/>
      <c r="H33" s="420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4.25">
      <c r="B34" s="403"/>
      <c r="C34" s="406"/>
      <c r="D34" s="340">
        <v>45989</v>
      </c>
      <c r="E34" s="341" t="s">
        <v>19</v>
      </c>
      <c r="F34" s="97">
        <f t="shared" si="3"/>
        <v>0</v>
      </c>
      <c r="G34" s="407"/>
      <c r="H34" s="420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403"/>
      <c r="C35" s="406"/>
      <c r="D35" s="340">
        <v>45990</v>
      </c>
      <c r="E35" s="341" t="s">
        <v>14</v>
      </c>
      <c r="F35" s="97">
        <f t="shared" si="3"/>
        <v>0</v>
      </c>
      <c r="G35" s="407"/>
      <c r="H35" s="420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403"/>
      <c r="C36" s="406"/>
      <c r="D36" s="340">
        <v>45991</v>
      </c>
      <c r="E36" s="341" t="s">
        <v>10</v>
      </c>
      <c r="F36" s="97">
        <f t="shared" si="3"/>
        <v>0</v>
      </c>
      <c r="G36" s="407"/>
      <c r="H36" s="420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403"/>
      <c r="C37" s="406"/>
      <c r="D37" s="340">
        <v>45992</v>
      </c>
      <c r="E37" s="340" t="s">
        <v>15</v>
      </c>
      <c r="F37" s="97">
        <f t="shared" si="3"/>
        <v>0</v>
      </c>
      <c r="G37" s="407"/>
      <c r="H37" s="420"/>
    </row>
    <row r="38" spans="2:14" ht="14.25">
      <c r="B38" s="83"/>
      <c r="C38" s="79"/>
      <c r="D38" s="86"/>
      <c r="E38" s="229"/>
      <c r="F38" s="97"/>
      <c r="G38" s="347"/>
      <c r="H38" s="97"/>
    </row>
    <row r="39" spans="2:14" ht="14.25">
      <c r="B39" s="83"/>
      <c r="C39" s="79"/>
      <c r="D39" s="86"/>
      <c r="E39" s="229"/>
      <c r="F39" s="97"/>
      <c r="G39" s="347"/>
      <c r="H39" s="97"/>
    </row>
    <row r="40" spans="2:14" ht="14.25">
      <c r="B40" s="83"/>
      <c r="C40" s="79"/>
      <c r="D40" s="86"/>
      <c r="E40" s="86"/>
      <c r="F40" s="97"/>
      <c r="G40" s="347"/>
      <c r="H40" s="97"/>
    </row>
    <row r="41" spans="2:14" ht="14.25">
      <c r="B41" s="83"/>
      <c r="C41" s="79"/>
      <c r="D41" s="86"/>
      <c r="E41" s="86"/>
      <c r="F41" s="97"/>
      <c r="G41" s="97"/>
      <c r="H41" s="97"/>
    </row>
    <row r="42" spans="2:14" ht="14.25">
      <c r="B42" s="83"/>
      <c r="C42" s="79"/>
      <c r="D42" s="86"/>
      <c r="E42" s="86"/>
      <c r="F42" s="97"/>
      <c r="G42" s="97"/>
      <c r="H42" s="97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F5:F6"/>
    <mergeCell ref="G5:G6"/>
    <mergeCell ref="B17:B23"/>
    <mergeCell ref="B24:B30"/>
    <mergeCell ref="B31:B37"/>
    <mergeCell ref="G10:G16"/>
    <mergeCell ref="G17:G23"/>
    <mergeCell ref="G24:G30"/>
    <mergeCell ref="G31:G37"/>
    <mergeCell ref="I3:N3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B10:B1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M24" sqref="M24:M30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" width="8.85546875" style="79" customWidth="1"/>
    <col min="17" max="16384" width="8.85546875" style="79"/>
  </cols>
  <sheetData>
    <row r="2" spans="1:14" ht="38.1" customHeight="1">
      <c r="A2" s="78"/>
      <c r="B2" s="207" t="s">
        <v>39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22" t="s">
        <v>1</v>
      </c>
      <c r="C3" s="423" t="s">
        <v>30</v>
      </c>
      <c r="D3" s="424" t="s">
        <v>3</v>
      </c>
      <c r="E3" s="424"/>
      <c r="F3" s="428" t="s">
        <v>40</v>
      </c>
      <c r="G3" s="429"/>
      <c r="H3" s="429"/>
      <c r="I3" s="431" t="s">
        <v>41</v>
      </c>
      <c r="J3" s="432"/>
      <c r="K3" s="432"/>
      <c r="L3" s="432"/>
      <c r="M3" s="432"/>
      <c r="N3" s="433"/>
    </row>
    <row r="4" spans="1:14" ht="25.35" customHeight="1">
      <c r="B4" s="422"/>
      <c r="C4" s="423"/>
      <c r="D4" s="424"/>
      <c r="E4" s="424"/>
      <c r="F4" s="429"/>
      <c r="G4" s="429"/>
      <c r="H4" s="429"/>
      <c r="I4" s="434" t="s">
        <v>33</v>
      </c>
      <c r="J4" s="434"/>
      <c r="K4" s="434" t="s">
        <v>34</v>
      </c>
      <c r="L4" s="434"/>
      <c r="M4" s="434" t="s">
        <v>35</v>
      </c>
      <c r="N4" s="434"/>
    </row>
    <row r="5" spans="1:14" ht="25.35" customHeight="1">
      <c r="B5" s="422"/>
      <c r="C5" s="423"/>
      <c r="D5" s="424"/>
      <c r="E5" s="424"/>
      <c r="F5" s="427" t="s">
        <v>10</v>
      </c>
      <c r="G5" s="427" t="s">
        <v>11</v>
      </c>
      <c r="H5" s="427" t="s">
        <v>12</v>
      </c>
      <c r="I5" s="434" t="s">
        <v>36</v>
      </c>
      <c r="J5" s="434"/>
      <c r="K5" s="434" t="s">
        <v>36</v>
      </c>
      <c r="L5" s="434"/>
      <c r="M5" s="434" t="s">
        <v>36</v>
      </c>
      <c r="N5" s="434"/>
    </row>
    <row r="6" spans="1:14" s="82" customFormat="1" ht="23.45" customHeight="1">
      <c r="B6" s="422"/>
      <c r="C6" s="423"/>
      <c r="D6" s="424"/>
      <c r="E6" s="424"/>
      <c r="F6" s="427"/>
      <c r="G6" s="427"/>
      <c r="H6" s="427"/>
      <c r="I6" s="105" t="s">
        <v>42</v>
      </c>
      <c r="J6" s="99" t="s">
        <v>38</v>
      </c>
      <c r="K6" s="105" t="s">
        <v>42</v>
      </c>
      <c r="L6" s="99" t="s">
        <v>38</v>
      </c>
      <c r="M6" s="105" t="s">
        <v>42</v>
      </c>
      <c r="N6" s="99" t="s">
        <v>38</v>
      </c>
    </row>
    <row r="7" spans="1:14" ht="14.25">
      <c r="B7" s="346"/>
      <c r="C7" s="405" t="s">
        <v>13</v>
      </c>
      <c r="D7" s="340">
        <v>45962</v>
      </c>
      <c r="E7" s="229" t="s">
        <v>14</v>
      </c>
      <c r="F7" s="206">
        <f>SUM(I7,K7,M7)</f>
        <v>47648</v>
      </c>
      <c r="G7" s="337"/>
      <c r="H7" s="430">
        <f>SUM(F7:F36)</f>
        <v>1260014</v>
      </c>
      <c r="I7" s="261">
        <v>40826</v>
      </c>
      <c r="J7" s="101">
        <f t="shared" ref="J7:J36" si="0">I7/F7</f>
        <v>0.8568250503693754</v>
      </c>
      <c r="K7" s="106"/>
      <c r="L7" s="101">
        <f t="shared" ref="L7:L36" si="1">K7/F7</f>
        <v>0</v>
      </c>
      <c r="M7" s="261">
        <v>6822</v>
      </c>
      <c r="N7" s="101">
        <f t="shared" ref="N7:N36" si="2">M7/F7</f>
        <v>0.14317494963062458</v>
      </c>
    </row>
    <row r="8" spans="1:14" ht="14.25">
      <c r="B8" s="346"/>
      <c r="C8" s="406"/>
      <c r="D8" s="340">
        <v>45963</v>
      </c>
      <c r="E8" s="229" t="s">
        <v>10</v>
      </c>
      <c r="F8" s="206">
        <f t="shared" ref="F8:F37" si="3">SUM(I8,K8,M8)</f>
        <v>65527</v>
      </c>
      <c r="G8" s="337"/>
      <c r="H8" s="430"/>
      <c r="I8" s="261">
        <v>56546</v>
      </c>
      <c r="J8" s="101">
        <f t="shared" si="0"/>
        <v>0.86294199337677602</v>
      </c>
      <c r="K8" s="106"/>
      <c r="L8" s="101">
        <f t="shared" si="1"/>
        <v>0</v>
      </c>
      <c r="M8" s="261">
        <v>8981</v>
      </c>
      <c r="N8" s="101">
        <f t="shared" si="2"/>
        <v>0.13705800662322401</v>
      </c>
    </row>
    <row r="9" spans="1:14" ht="14.25">
      <c r="B9" s="346"/>
      <c r="C9" s="406"/>
      <c r="D9" s="340">
        <v>45964</v>
      </c>
      <c r="E9" s="86" t="s">
        <v>15</v>
      </c>
      <c r="F9" s="206">
        <f t="shared" si="3"/>
        <v>56473</v>
      </c>
      <c r="G9" s="337"/>
      <c r="H9" s="430"/>
      <c r="I9" s="261">
        <v>47653</v>
      </c>
      <c r="J9" s="101">
        <f t="shared" si="0"/>
        <v>0.8438191702229384</v>
      </c>
      <c r="K9" s="106"/>
      <c r="L9" s="101">
        <f t="shared" si="1"/>
        <v>0</v>
      </c>
      <c r="M9" s="261">
        <v>8820</v>
      </c>
      <c r="N9" s="101">
        <f t="shared" si="2"/>
        <v>0.1561808297770616</v>
      </c>
    </row>
    <row r="10" spans="1:14" ht="14.25">
      <c r="B10" s="403">
        <v>45973</v>
      </c>
      <c r="C10" s="406"/>
      <c r="D10" s="340">
        <v>45965</v>
      </c>
      <c r="E10" s="229" t="s">
        <v>16</v>
      </c>
      <c r="F10" s="206">
        <f t="shared" si="3"/>
        <v>53251</v>
      </c>
      <c r="G10" s="430">
        <f>SUM(F10:F16)</f>
        <v>370580</v>
      </c>
      <c r="H10" s="430"/>
      <c r="I10" s="261">
        <v>45275</v>
      </c>
      <c r="J10" s="101">
        <f t="shared" si="0"/>
        <v>0.85021877523426792</v>
      </c>
      <c r="K10" s="106"/>
      <c r="L10" s="101">
        <f t="shared" si="1"/>
        <v>0</v>
      </c>
      <c r="M10" s="261">
        <v>7976</v>
      </c>
      <c r="N10" s="101">
        <f t="shared" si="2"/>
        <v>0.14978122476573211</v>
      </c>
    </row>
    <row r="11" spans="1:14" ht="14.25">
      <c r="B11" s="403"/>
      <c r="C11" s="406"/>
      <c r="D11" s="340">
        <v>45966</v>
      </c>
      <c r="E11" s="229" t="s">
        <v>17</v>
      </c>
      <c r="F11" s="206">
        <f t="shared" si="3"/>
        <v>53267</v>
      </c>
      <c r="G11" s="430"/>
      <c r="H11" s="430"/>
      <c r="I11" s="261">
        <v>45273</v>
      </c>
      <c r="J11" s="101">
        <f t="shared" si="0"/>
        <v>0.84992584527005466</v>
      </c>
      <c r="K11" s="106"/>
      <c r="L11" s="101">
        <f t="shared" si="1"/>
        <v>0</v>
      </c>
      <c r="M11" s="261">
        <v>7994</v>
      </c>
      <c r="N11" s="101">
        <f t="shared" si="2"/>
        <v>0.15007415472994537</v>
      </c>
    </row>
    <row r="12" spans="1:14" ht="14.25">
      <c r="B12" s="403"/>
      <c r="C12" s="406"/>
      <c r="D12" s="340">
        <v>45967</v>
      </c>
      <c r="E12" s="229" t="s">
        <v>18</v>
      </c>
      <c r="F12" s="206">
        <f t="shared" si="3"/>
        <v>52136</v>
      </c>
      <c r="G12" s="430"/>
      <c r="H12" s="430"/>
      <c r="I12" s="261">
        <v>44801</v>
      </c>
      <c r="J12" s="101">
        <f t="shared" si="0"/>
        <v>0.85931026545956724</v>
      </c>
      <c r="K12" s="106"/>
      <c r="L12" s="101">
        <f t="shared" si="1"/>
        <v>0</v>
      </c>
      <c r="M12" s="261">
        <v>7335</v>
      </c>
      <c r="N12" s="101">
        <f t="shared" si="2"/>
        <v>0.14068973454043271</v>
      </c>
    </row>
    <row r="13" spans="1:14" ht="14.25">
      <c r="B13" s="403"/>
      <c r="C13" s="406"/>
      <c r="D13" s="340">
        <v>45968</v>
      </c>
      <c r="E13" s="229" t="s">
        <v>19</v>
      </c>
      <c r="F13" s="206">
        <f t="shared" si="3"/>
        <v>45764</v>
      </c>
      <c r="G13" s="430"/>
      <c r="H13" s="430"/>
      <c r="I13" s="261">
        <v>39326</v>
      </c>
      <c r="J13" s="101">
        <f t="shared" si="0"/>
        <v>0.85932173761034869</v>
      </c>
      <c r="K13" s="106"/>
      <c r="L13" s="101">
        <f t="shared" si="1"/>
        <v>0</v>
      </c>
      <c r="M13" s="261">
        <v>6438</v>
      </c>
      <c r="N13" s="101">
        <f t="shared" si="2"/>
        <v>0.14067826238965125</v>
      </c>
    </row>
    <row r="14" spans="1:14" ht="14.25">
      <c r="B14" s="403"/>
      <c r="C14" s="406"/>
      <c r="D14" s="340">
        <v>45969</v>
      </c>
      <c r="E14" s="229" t="s">
        <v>14</v>
      </c>
      <c r="F14" s="206">
        <f t="shared" si="3"/>
        <v>47070</v>
      </c>
      <c r="G14" s="430"/>
      <c r="H14" s="430"/>
      <c r="I14" s="261">
        <v>40304</v>
      </c>
      <c r="J14" s="101">
        <f t="shared" si="0"/>
        <v>0.85625663904822602</v>
      </c>
      <c r="K14" s="106"/>
      <c r="L14" s="101">
        <f t="shared" si="1"/>
        <v>0</v>
      </c>
      <c r="M14" s="261">
        <v>6766</v>
      </c>
      <c r="N14" s="101">
        <f t="shared" si="2"/>
        <v>0.14374336095177395</v>
      </c>
    </row>
    <row r="15" spans="1:14" ht="14.25">
      <c r="B15" s="403"/>
      <c r="C15" s="406"/>
      <c r="D15" s="340">
        <v>45970</v>
      </c>
      <c r="E15" s="229" t="s">
        <v>10</v>
      </c>
      <c r="F15" s="206">
        <f t="shared" si="3"/>
        <v>60100</v>
      </c>
      <c r="G15" s="430"/>
      <c r="H15" s="430"/>
      <c r="I15" s="261">
        <v>51723</v>
      </c>
      <c r="J15" s="101">
        <f t="shared" si="0"/>
        <v>0.86061564059900164</v>
      </c>
      <c r="K15" s="106"/>
      <c r="L15" s="101">
        <f t="shared" si="1"/>
        <v>0</v>
      </c>
      <c r="M15" s="261">
        <v>8377</v>
      </c>
      <c r="N15" s="101">
        <f t="shared" si="2"/>
        <v>0.13938435940099833</v>
      </c>
    </row>
    <row r="16" spans="1:14" ht="14.25">
      <c r="B16" s="403"/>
      <c r="C16" s="406"/>
      <c r="D16" s="340">
        <v>45971</v>
      </c>
      <c r="E16" s="86" t="s">
        <v>15</v>
      </c>
      <c r="F16" s="206">
        <f t="shared" si="3"/>
        <v>58992</v>
      </c>
      <c r="G16" s="430"/>
      <c r="H16" s="430"/>
      <c r="I16" s="261">
        <v>50650</v>
      </c>
      <c r="J16" s="101">
        <f t="shared" si="0"/>
        <v>0.85859099538920536</v>
      </c>
      <c r="K16" s="106"/>
      <c r="L16" s="101">
        <f t="shared" si="1"/>
        <v>0</v>
      </c>
      <c r="M16" s="261">
        <v>8342</v>
      </c>
      <c r="N16" s="101">
        <f t="shared" si="2"/>
        <v>0.1414090046107947</v>
      </c>
    </row>
    <row r="17" spans="2:14" ht="14.25">
      <c r="B17" s="403">
        <v>45980</v>
      </c>
      <c r="C17" s="406"/>
      <c r="D17" s="340">
        <v>45972</v>
      </c>
      <c r="E17" s="229" t="s">
        <v>16</v>
      </c>
      <c r="F17" s="206">
        <f t="shared" si="3"/>
        <v>56087</v>
      </c>
      <c r="G17" s="430">
        <f>SUM(F17:F23)</f>
        <v>365747</v>
      </c>
      <c r="H17" s="430"/>
      <c r="I17" s="261">
        <v>47983</v>
      </c>
      <c r="J17" s="101">
        <f t="shared" si="0"/>
        <v>0.85551018952698488</v>
      </c>
      <c r="K17" s="106"/>
      <c r="L17" s="101">
        <f t="shared" si="1"/>
        <v>0</v>
      </c>
      <c r="M17" s="261">
        <v>8104</v>
      </c>
      <c r="N17" s="101">
        <f t="shared" si="2"/>
        <v>0.14448981047301512</v>
      </c>
    </row>
    <row r="18" spans="2:14" ht="14.25">
      <c r="B18" s="403"/>
      <c r="C18" s="406"/>
      <c r="D18" s="340">
        <v>45973</v>
      </c>
      <c r="E18" s="229" t="s">
        <v>17</v>
      </c>
      <c r="F18" s="206">
        <f t="shared" si="3"/>
        <v>58816</v>
      </c>
      <c r="G18" s="430"/>
      <c r="H18" s="430"/>
      <c r="I18" s="261">
        <v>50457</v>
      </c>
      <c r="J18" s="101">
        <f t="shared" si="0"/>
        <v>0.85787880848748643</v>
      </c>
      <c r="K18" s="106"/>
      <c r="L18" s="101">
        <f t="shared" si="1"/>
        <v>0</v>
      </c>
      <c r="M18" s="261">
        <v>8359</v>
      </c>
      <c r="N18" s="101">
        <f t="shared" si="2"/>
        <v>0.14212119151251359</v>
      </c>
    </row>
    <row r="19" spans="2:14" ht="14.25">
      <c r="B19" s="403"/>
      <c r="C19" s="406"/>
      <c r="D19" s="340">
        <v>45974</v>
      </c>
      <c r="E19" s="229" t="s">
        <v>18</v>
      </c>
      <c r="F19" s="206">
        <f t="shared" si="3"/>
        <v>52853</v>
      </c>
      <c r="G19" s="430"/>
      <c r="H19" s="430"/>
      <c r="I19" s="261">
        <v>45358</v>
      </c>
      <c r="J19" s="101">
        <f t="shared" si="0"/>
        <v>0.85819158798932893</v>
      </c>
      <c r="K19" s="106"/>
      <c r="L19" s="101">
        <f t="shared" si="1"/>
        <v>0</v>
      </c>
      <c r="M19" s="261">
        <v>7495</v>
      </c>
      <c r="N19" s="101">
        <f t="shared" si="2"/>
        <v>0.1418084120106711</v>
      </c>
    </row>
    <row r="20" spans="2:14" ht="14.25">
      <c r="B20" s="403"/>
      <c r="C20" s="406"/>
      <c r="D20" s="340">
        <v>45975</v>
      </c>
      <c r="E20" s="229" t="s">
        <v>19</v>
      </c>
      <c r="F20" s="206">
        <f t="shared" si="3"/>
        <v>43532</v>
      </c>
      <c r="G20" s="430"/>
      <c r="H20" s="430"/>
      <c r="I20" s="261">
        <v>37360</v>
      </c>
      <c r="J20" s="101">
        <f t="shared" si="0"/>
        <v>0.85821924101810165</v>
      </c>
      <c r="K20" s="106"/>
      <c r="L20" s="101">
        <f t="shared" si="1"/>
        <v>0</v>
      </c>
      <c r="M20" s="261">
        <v>6172</v>
      </c>
      <c r="N20" s="101">
        <f t="shared" si="2"/>
        <v>0.14178075898189837</v>
      </c>
    </row>
    <row r="21" spans="2:14" ht="14.25">
      <c r="B21" s="403"/>
      <c r="C21" s="406"/>
      <c r="D21" s="340">
        <v>45976</v>
      </c>
      <c r="E21" s="229" t="s">
        <v>14</v>
      </c>
      <c r="F21" s="206">
        <f t="shared" si="3"/>
        <v>42341</v>
      </c>
      <c r="G21" s="430"/>
      <c r="H21" s="430"/>
      <c r="I21" s="261">
        <v>36066</v>
      </c>
      <c r="J21" s="101">
        <f t="shared" si="0"/>
        <v>0.85179849318627332</v>
      </c>
      <c r="K21" s="106"/>
      <c r="L21" s="101">
        <f t="shared" si="1"/>
        <v>0</v>
      </c>
      <c r="M21" s="261">
        <v>6275</v>
      </c>
      <c r="N21" s="101">
        <f t="shared" si="2"/>
        <v>0.14820150681372665</v>
      </c>
    </row>
    <row r="22" spans="2:14" ht="14.25">
      <c r="B22" s="403"/>
      <c r="C22" s="406"/>
      <c r="D22" s="340">
        <v>45977</v>
      </c>
      <c r="E22" s="229" t="s">
        <v>10</v>
      </c>
      <c r="F22" s="206">
        <f t="shared" si="3"/>
        <v>56127</v>
      </c>
      <c r="G22" s="430"/>
      <c r="H22" s="430"/>
      <c r="I22" s="261">
        <v>48040</v>
      </c>
      <c r="J22" s="101">
        <f t="shared" si="0"/>
        <v>0.85591604753505446</v>
      </c>
      <c r="K22" s="106"/>
      <c r="L22" s="101">
        <f t="shared" si="1"/>
        <v>0</v>
      </c>
      <c r="M22" s="261">
        <v>8087</v>
      </c>
      <c r="N22" s="101">
        <f t="shared" si="2"/>
        <v>0.14408395246494557</v>
      </c>
    </row>
    <row r="23" spans="2:14" ht="14.25">
      <c r="B23" s="403"/>
      <c r="C23" s="406"/>
      <c r="D23" s="340">
        <v>45978</v>
      </c>
      <c r="E23" s="86" t="s">
        <v>15</v>
      </c>
      <c r="F23" s="206">
        <f t="shared" si="3"/>
        <v>55991</v>
      </c>
      <c r="G23" s="430"/>
      <c r="H23" s="430"/>
      <c r="I23" s="261">
        <v>47872</v>
      </c>
      <c r="J23" s="101">
        <f t="shared" si="0"/>
        <v>0.85499455269596902</v>
      </c>
      <c r="K23" s="106"/>
      <c r="L23" s="101">
        <f t="shared" si="1"/>
        <v>0</v>
      </c>
      <c r="M23" s="261">
        <v>8119</v>
      </c>
      <c r="N23" s="101">
        <f t="shared" si="2"/>
        <v>0.145005447304031</v>
      </c>
    </row>
    <row r="24" spans="2:14" ht="14.25">
      <c r="B24" s="403">
        <v>45987</v>
      </c>
      <c r="C24" s="406"/>
      <c r="D24" s="340">
        <v>45979</v>
      </c>
      <c r="E24" s="229" t="s">
        <v>16</v>
      </c>
      <c r="F24" s="206">
        <f t="shared" si="3"/>
        <v>60555</v>
      </c>
      <c r="G24" s="430">
        <f>SUM(F24:F30)</f>
        <v>354039</v>
      </c>
      <c r="H24" s="430"/>
      <c r="I24" s="261">
        <v>52788</v>
      </c>
      <c r="J24" s="101">
        <f t="shared" si="0"/>
        <v>0.87173643794897204</v>
      </c>
      <c r="K24" s="106"/>
      <c r="L24" s="101">
        <f t="shared" si="1"/>
        <v>0</v>
      </c>
      <c r="M24" s="261">
        <v>7767</v>
      </c>
      <c r="N24" s="101">
        <f t="shared" si="2"/>
        <v>0.12826356205102799</v>
      </c>
    </row>
    <row r="25" spans="2:14" ht="14.25">
      <c r="B25" s="403"/>
      <c r="C25" s="406"/>
      <c r="D25" s="340">
        <v>45980</v>
      </c>
      <c r="E25" s="229" t="s">
        <v>17</v>
      </c>
      <c r="F25" s="206">
        <f t="shared" si="3"/>
        <v>55596</v>
      </c>
      <c r="G25" s="430"/>
      <c r="H25" s="430"/>
      <c r="I25" s="261">
        <v>47984</v>
      </c>
      <c r="J25" s="101">
        <f t="shared" si="0"/>
        <v>0.86308367508453843</v>
      </c>
      <c r="K25" s="106"/>
      <c r="L25" s="101">
        <f t="shared" si="1"/>
        <v>0</v>
      </c>
      <c r="M25" s="261">
        <v>7612</v>
      </c>
      <c r="N25" s="101">
        <f t="shared" si="2"/>
        <v>0.13691632491546155</v>
      </c>
    </row>
    <row r="26" spans="2:14" ht="14.25">
      <c r="B26" s="403"/>
      <c r="C26" s="406"/>
      <c r="D26" s="340">
        <v>45981</v>
      </c>
      <c r="E26" s="229" t="s">
        <v>18</v>
      </c>
      <c r="F26" s="206">
        <f t="shared" si="3"/>
        <v>48162</v>
      </c>
      <c r="G26" s="430"/>
      <c r="H26" s="430"/>
      <c r="I26" s="261">
        <v>41060</v>
      </c>
      <c r="J26" s="101">
        <f t="shared" si="0"/>
        <v>0.85253934637265893</v>
      </c>
      <c r="K26" s="106"/>
      <c r="L26" s="101">
        <f t="shared" si="1"/>
        <v>0</v>
      </c>
      <c r="M26" s="261">
        <v>7102</v>
      </c>
      <c r="N26" s="101">
        <f t="shared" si="2"/>
        <v>0.14746065362734107</v>
      </c>
    </row>
    <row r="27" spans="2:14" ht="14.25">
      <c r="B27" s="403"/>
      <c r="C27" s="406"/>
      <c r="D27" s="340">
        <v>45982</v>
      </c>
      <c r="E27" s="229" t="s">
        <v>19</v>
      </c>
      <c r="F27" s="206">
        <f t="shared" si="3"/>
        <v>38475</v>
      </c>
      <c r="G27" s="430"/>
      <c r="H27" s="430"/>
      <c r="I27" s="261">
        <v>32260</v>
      </c>
      <c r="J27" s="101">
        <f t="shared" si="0"/>
        <v>0.83846653671215077</v>
      </c>
      <c r="K27" s="106"/>
      <c r="L27" s="101">
        <f t="shared" si="1"/>
        <v>0</v>
      </c>
      <c r="M27" s="261">
        <v>6215</v>
      </c>
      <c r="N27" s="101">
        <f t="shared" si="2"/>
        <v>0.16153346328784926</v>
      </c>
    </row>
    <row r="28" spans="2:14" ht="14.25">
      <c r="B28" s="403"/>
      <c r="C28" s="406"/>
      <c r="D28" s="340">
        <v>45983</v>
      </c>
      <c r="E28" s="229" t="s">
        <v>14</v>
      </c>
      <c r="F28" s="206">
        <f t="shared" si="3"/>
        <v>41274</v>
      </c>
      <c r="G28" s="430"/>
      <c r="H28" s="430"/>
      <c r="I28" s="261">
        <v>34961</v>
      </c>
      <c r="J28" s="101">
        <f t="shared" si="0"/>
        <v>0.84704656684595625</v>
      </c>
      <c r="K28" s="106"/>
      <c r="L28" s="101">
        <f t="shared" si="1"/>
        <v>0</v>
      </c>
      <c r="M28" s="261">
        <v>6313</v>
      </c>
      <c r="N28" s="101">
        <f t="shared" si="2"/>
        <v>0.15295343315404369</v>
      </c>
    </row>
    <row r="29" spans="2:14" ht="14.25">
      <c r="B29" s="403"/>
      <c r="C29" s="406"/>
      <c r="D29" s="340">
        <v>45984</v>
      </c>
      <c r="E29" s="229" t="s">
        <v>10</v>
      </c>
      <c r="F29" s="206">
        <f t="shared" si="3"/>
        <v>56648</v>
      </c>
      <c r="G29" s="430"/>
      <c r="H29" s="430"/>
      <c r="I29" s="261">
        <v>48889</v>
      </c>
      <c r="J29" s="101">
        <f t="shared" si="0"/>
        <v>0.86303135150402488</v>
      </c>
      <c r="K29" s="106"/>
      <c r="L29" s="101">
        <f t="shared" si="1"/>
        <v>0</v>
      </c>
      <c r="M29" s="261">
        <v>7759</v>
      </c>
      <c r="N29" s="101">
        <f t="shared" si="2"/>
        <v>0.13696864849597515</v>
      </c>
    </row>
    <row r="30" spans="2:14" ht="14.25">
      <c r="B30" s="403"/>
      <c r="C30" s="406"/>
      <c r="D30" s="340">
        <v>45985</v>
      </c>
      <c r="E30" s="86" t="s">
        <v>15</v>
      </c>
      <c r="F30" s="206">
        <f t="shared" si="3"/>
        <v>53329</v>
      </c>
      <c r="G30" s="430"/>
      <c r="H30" s="430"/>
      <c r="I30" s="261">
        <v>45727</v>
      </c>
      <c r="J30" s="101">
        <f t="shared" si="0"/>
        <v>0.85745091788707828</v>
      </c>
      <c r="K30" s="106"/>
      <c r="L30" s="101">
        <f t="shared" si="1"/>
        <v>0</v>
      </c>
      <c r="M30" s="261">
        <v>7602</v>
      </c>
      <c r="N30" s="101">
        <f t="shared" si="2"/>
        <v>0.14254908211292167</v>
      </c>
    </row>
    <row r="31" spans="2:14" ht="14.25">
      <c r="B31" s="403">
        <v>45994</v>
      </c>
      <c r="C31" s="406"/>
      <c r="D31" s="340">
        <v>45986</v>
      </c>
      <c r="E31" s="229" t="s">
        <v>16</v>
      </c>
      <c r="F31" s="206">
        <f t="shared" si="3"/>
        <v>0</v>
      </c>
      <c r="G31" s="430">
        <f>SUM(F31:F37)</f>
        <v>0</v>
      </c>
      <c r="H31" s="430"/>
      <c r="I31" s="261"/>
      <c r="J31" s="101" t="e">
        <f t="shared" si="0"/>
        <v>#DIV/0!</v>
      </c>
      <c r="K31" s="106"/>
      <c r="L31" s="101" t="e">
        <f t="shared" si="1"/>
        <v>#DIV/0!</v>
      </c>
      <c r="M31" s="261"/>
      <c r="N31" s="101" t="e">
        <f t="shared" si="2"/>
        <v>#DIV/0!</v>
      </c>
    </row>
    <row r="32" spans="2:14" ht="14.25">
      <c r="B32" s="403"/>
      <c r="C32" s="406"/>
      <c r="D32" s="340">
        <v>45987</v>
      </c>
      <c r="E32" s="229" t="s">
        <v>17</v>
      </c>
      <c r="F32" s="206">
        <f t="shared" si="3"/>
        <v>0</v>
      </c>
      <c r="G32" s="430"/>
      <c r="H32" s="430"/>
      <c r="I32" s="261"/>
      <c r="J32" s="101" t="e">
        <f t="shared" si="0"/>
        <v>#DIV/0!</v>
      </c>
      <c r="K32" s="106"/>
      <c r="L32" s="101" t="e">
        <f t="shared" si="1"/>
        <v>#DIV/0!</v>
      </c>
      <c r="M32" s="261"/>
      <c r="N32" s="101" t="e">
        <f t="shared" si="2"/>
        <v>#DIV/0!</v>
      </c>
    </row>
    <row r="33" spans="2:14" ht="14.25">
      <c r="B33" s="403"/>
      <c r="C33" s="406"/>
      <c r="D33" s="340">
        <v>45988</v>
      </c>
      <c r="E33" s="229" t="s">
        <v>18</v>
      </c>
      <c r="F33" s="206">
        <f t="shared" si="3"/>
        <v>0</v>
      </c>
      <c r="G33" s="430"/>
      <c r="H33" s="430"/>
      <c r="I33" s="261"/>
      <c r="J33" s="101" t="e">
        <f t="shared" si="0"/>
        <v>#DIV/0!</v>
      </c>
      <c r="K33" s="106"/>
      <c r="L33" s="101" t="e">
        <f t="shared" si="1"/>
        <v>#DIV/0!</v>
      </c>
      <c r="M33" s="261"/>
      <c r="N33" s="101" t="e">
        <f t="shared" si="2"/>
        <v>#DIV/0!</v>
      </c>
    </row>
    <row r="34" spans="2:14" ht="14.25">
      <c r="B34" s="403"/>
      <c r="C34" s="406"/>
      <c r="D34" s="340">
        <v>45989</v>
      </c>
      <c r="E34" s="229" t="s">
        <v>19</v>
      </c>
      <c r="F34" s="206">
        <f t="shared" si="3"/>
        <v>0</v>
      </c>
      <c r="G34" s="430"/>
      <c r="H34" s="430"/>
      <c r="I34" s="261"/>
      <c r="J34" s="101" t="e">
        <f t="shared" si="0"/>
        <v>#DIV/0!</v>
      </c>
      <c r="K34" s="106"/>
      <c r="L34" s="101" t="e">
        <f t="shared" si="1"/>
        <v>#DIV/0!</v>
      </c>
      <c r="M34" s="261"/>
      <c r="N34" s="101" t="e">
        <f t="shared" si="2"/>
        <v>#DIV/0!</v>
      </c>
    </row>
    <row r="35" spans="2:14" ht="14.25">
      <c r="B35" s="403"/>
      <c r="C35" s="406"/>
      <c r="D35" s="340">
        <v>45990</v>
      </c>
      <c r="E35" s="229" t="s">
        <v>14</v>
      </c>
      <c r="F35" s="206">
        <f t="shared" si="3"/>
        <v>0</v>
      </c>
      <c r="G35" s="430"/>
      <c r="H35" s="430"/>
      <c r="I35" s="261"/>
      <c r="J35" s="101" t="e">
        <f t="shared" si="0"/>
        <v>#DIV/0!</v>
      </c>
      <c r="K35" s="106"/>
      <c r="L35" s="101" t="e">
        <f t="shared" si="1"/>
        <v>#DIV/0!</v>
      </c>
      <c r="M35" s="261"/>
      <c r="N35" s="101" t="e">
        <f t="shared" si="2"/>
        <v>#DIV/0!</v>
      </c>
    </row>
    <row r="36" spans="2:14" ht="14.25">
      <c r="B36" s="403"/>
      <c r="C36" s="406"/>
      <c r="D36" s="340">
        <v>45991</v>
      </c>
      <c r="E36" s="229" t="s">
        <v>10</v>
      </c>
      <c r="F36" s="206">
        <f t="shared" si="3"/>
        <v>0</v>
      </c>
      <c r="G36" s="430"/>
      <c r="H36" s="430"/>
      <c r="I36" s="261"/>
      <c r="J36" s="101" t="e">
        <f t="shared" si="0"/>
        <v>#DIV/0!</v>
      </c>
      <c r="K36" s="106"/>
      <c r="L36" s="101" t="e">
        <f t="shared" si="1"/>
        <v>#DIV/0!</v>
      </c>
      <c r="M36" s="261"/>
      <c r="N36" s="101" t="e">
        <f t="shared" si="2"/>
        <v>#DIV/0!</v>
      </c>
    </row>
    <row r="37" spans="2:14" ht="14.25">
      <c r="B37" s="403"/>
      <c r="C37" s="406"/>
      <c r="D37" s="340">
        <v>45992</v>
      </c>
      <c r="E37" s="86" t="s">
        <v>15</v>
      </c>
      <c r="F37" s="206">
        <f t="shared" si="3"/>
        <v>0</v>
      </c>
      <c r="G37" s="430"/>
      <c r="H37" s="430"/>
      <c r="I37" s="236"/>
      <c r="J37" s="237"/>
      <c r="K37" s="236"/>
      <c r="L37" s="237"/>
      <c r="M37" s="236"/>
      <c r="N37" s="237"/>
    </row>
    <row r="38" spans="2:14" ht="14.25">
      <c r="B38" s="83"/>
      <c r="C38" s="79"/>
      <c r="D38" s="86"/>
      <c r="E38" s="229"/>
      <c r="F38" s="206"/>
      <c r="G38" s="337"/>
      <c r="H38" s="206"/>
    </row>
    <row r="39" spans="2:14" ht="14.25">
      <c r="B39" s="83"/>
      <c r="C39" s="79"/>
      <c r="D39" s="86"/>
      <c r="E39" s="229"/>
      <c r="F39" s="206"/>
      <c r="G39" s="337"/>
      <c r="H39" s="206"/>
    </row>
    <row r="40" spans="2:14" ht="14.25">
      <c r="B40" s="83"/>
      <c r="C40" s="79"/>
      <c r="D40" s="86"/>
      <c r="E40" s="86"/>
      <c r="F40" s="206"/>
      <c r="G40" s="337"/>
      <c r="H40" s="206"/>
    </row>
    <row r="41" spans="2:14" ht="14.25">
      <c r="B41" s="83"/>
      <c r="C41" s="79"/>
      <c r="D41" s="86"/>
      <c r="E41" s="229"/>
      <c r="F41" s="206"/>
      <c r="G41" s="337"/>
      <c r="H41" s="206"/>
    </row>
    <row r="42" spans="2:14" ht="14.25">
      <c r="B42" s="83"/>
      <c r="C42" s="79"/>
      <c r="D42" s="86"/>
      <c r="E42" s="86"/>
      <c r="F42" s="206"/>
      <c r="G42" s="337"/>
      <c r="H42" s="206"/>
    </row>
    <row r="43" spans="2:14" ht="14.25">
      <c r="B43" s="83"/>
      <c r="C43" s="79"/>
      <c r="D43" s="86"/>
      <c r="E43" s="229"/>
      <c r="F43" s="206"/>
      <c r="G43" s="206"/>
      <c r="H43" s="206"/>
    </row>
    <row r="44" spans="2:14" ht="14.25">
      <c r="B44" s="83"/>
      <c r="C44" s="79"/>
      <c r="D44" s="86"/>
      <c r="E44" s="229"/>
      <c r="F44" s="206"/>
      <c r="G44" s="206"/>
      <c r="H44" s="206"/>
    </row>
    <row r="45" spans="2:14" ht="14.25">
      <c r="B45" s="83"/>
      <c r="C45" s="79"/>
      <c r="D45" s="86"/>
      <c r="E45" s="229"/>
      <c r="F45" s="206"/>
      <c r="G45" s="206"/>
      <c r="H45" s="206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4">
    <mergeCell ref="I3:N3"/>
    <mergeCell ref="K4:L4"/>
    <mergeCell ref="K5:L5"/>
    <mergeCell ref="H7:H37"/>
    <mergeCell ref="F5:F6"/>
    <mergeCell ref="G31:G37"/>
    <mergeCell ref="M5:N5"/>
    <mergeCell ref="I5:J5"/>
    <mergeCell ref="I4:J4"/>
    <mergeCell ref="M4:N4"/>
    <mergeCell ref="C7:C37"/>
    <mergeCell ref="C3:C6"/>
    <mergeCell ref="G5:G6"/>
    <mergeCell ref="H5:H6"/>
    <mergeCell ref="F3:H4"/>
    <mergeCell ref="D3:E6"/>
    <mergeCell ref="G10:G16"/>
    <mergeCell ref="G17:G23"/>
    <mergeCell ref="G24:G30"/>
    <mergeCell ref="B3:B6"/>
    <mergeCell ref="B10:B16"/>
    <mergeCell ref="B17:B23"/>
    <mergeCell ref="B24:B30"/>
    <mergeCell ref="B31:B37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51" zoomScaleNormal="100" workbookViewId="0">
      <pane xSplit="4" topLeftCell="AJ1" activePane="topRight" state="frozen"/>
      <selection pane="topRight" activeCell="C1" sqref="C1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52" width="8.85546875" style="212" customWidth="1"/>
    <col min="53" max="16384" width="8.85546875" style="212"/>
  </cols>
  <sheetData>
    <row r="1" spans="1:50" ht="24">
      <c r="A1" s="208"/>
      <c r="B1" s="209" t="s">
        <v>43</v>
      </c>
      <c r="C1" s="210">
        <f>AVERAGE(L7,L30,L53,L73,L96,L119)</f>
        <v>100.31891103654674</v>
      </c>
    </row>
    <row r="2" spans="1:50" ht="15.75">
      <c r="A2" s="213"/>
      <c r="B2" s="452" t="s">
        <v>44</v>
      </c>
      <c r="C2" s="453"/>
      <c r="D2" s="453"/>
      <c r="E2" s="453"/>
      <c r="F2" s="453"/>
      <c r="G2" s="453"/>
      <c r="H2" s="453"/>
      <c r="I2" s="214"/>
      <c r="J2" s="214"/>
      <c r="K2" s="214"/>
      <c r="L2" s="214"/>
      <c r="M2" s="215"/>
      <c r="N2" s="449" t="s">
        <v>45</v>
      </c>
      <c r="O2" s="449" t="s">
        <v>3</v>
      </c>
      <c r="P2" s="444"/>
      <c r="Q2" s="436"/>
      <c r="R2" s="436"/>
      <c r="S2" s="436"/>
      <c r="T2" s="436"/>
      <c r="U2" s="444"/>
      <c r="V2" s="436"/>
      <c r="W2" s="436"/>
      <c r="X2" s="436"/>
      <c r="Y2" s="436"/>
      <c r="Z2" s="444"/>
      <c r="AA2" s="436"/>
      <c r="AB2" s="436"/>
      <c r="AC2" s="436"/>
      <c r="AD2" s="436"/>
      <c r="AE2" s="444"/>
      <c r="AF2" s="436"/>
      <c r="AG2" s="436"/>
      <c r="AH2" s="436"/>
      <c r="AI2" s="436"/>
      <c r="AJ2" s="444">
        <v>45962</v>
      </c>
      <c r="AK2" s="436"/>
      <c r="AL2" s="436"/>
      <c r="AM2" s="436"/>
      <c r="AN2" s="436"/>
      <c r="AO2" s="444">
        <v>45963</v>
      </c>
      <c r="AP2" s="436"/>
      <c r="AQ2" s="436"/>
      <c r="AR2" s="436"/>
      <c r="AS2" s="436"/>
      <c r="AT2" s="444">
        <v>45964</v>
      </c>
      <c r="AU2" s="436"/>
      <c r="AV2" s="436"/>
      <c r="AW2" s="436"/>
      <c r="AX2" s="436"/>
    </row>
    <row r="3" spans="1:50" ht="15.75">
      <c r="A3" s="213"/>
      <c r="B3" s="454"/>
      <c r="C3" s="454"/>
      <c r="D3" s="454"/>
      <c r="E3" s="454"/>
      <c r="F3" s="454"/>
      <c r="G3" s="454"/>
      <c r="H3" s="454"/>
      <c r="I3" s="216"/>
      <c r="J3" s="216"/>
      <c r="K3" s="216"/>
      <c r="L3" s="216"/>
      <c r="M3" s="217"/>
      <c r="N3" s="451"/>
      <c r="O3" s="451"/>
      <c r="P3" s="444" t="s">
        <v>16</v>
      </c>
      <c r="Q3" s="436"/>
      <c r="R3" s="436"/>
      <c r="S3" s="436"/>
      <c r="T3" s="436"/>
      <c r="U3" s="444" t="s">
        <v>17</v>
      </c>
      <c r="V3" s="436"/>
      <c r="W3" s="436"/>
      <c r="X3" s="436"/>
      <c r="Y3" s="436"/>
      <c r="Z3" s="444" t="s">
        <v>18</v>
      </c>
      <c r="AA3" s="436"/>
      <c r="AB3" s="436"/>
      <c r="AC3" s="436"/>
      <c r="AD3" s="436"/>
      <c r="AE3" s="444" t="s">
        <v>19</v>
      </c>
      <c r="AF3" s="436"/>
      <c r="AG3" s="436"/>
      <c r="AH3" s="436"/>
      <c r="AI3" s="436"/>
      <c r="AJ3" s="444" t="s">
        <v>14</v>
      </c>
      <c r="AK3" s="436"/>
      <c r="AL3" s="436"/>
      <c r="AM3" s="436"/>
      <c r="AN3" s="436"/>
      <c r="AO3" s="444" t="s">
        <v>10</v>
      </c>
      <c r="AP3" s="436"/>
      <c r="AQ3" s="436"/>
      <c r="AR3" s="436"/>
      <c r="AS3" s="436"/>
      <c r="AT3" s="444" t="s">
        <v>15</v>
      </c>
      <c r="AU3" s="436"/>
      <c r="AV3" s="436"/>
      <c r="AW3" s="436"/>
      <c r="AX3" s="436"/>
    </row>
    <row r="4" spans="1:50" ht="14.25">
      <c r="A4" s="213"/>
      <c r="B4" s="440" t="s">
        <v>46</v>
      </c>
      <c r="C4" s="445" t="s">
        <v>47</v>
      </c>
      <c r="D4" s="440"/>
      <c r="E4" s="440" t="s">
        <v>48</v>
      </c>
      <c r="F4" s="440"/>
      <c r="G4" s="440"/>
      <c r="H4" s="446" t="s">
        <v>49</v>
      </c>
      <c r="I4" s="440" t="s">
        <v>50</v>
      </c>
      <c r="J4" s="440"/>
      <c r="K4" s="440"/>
      <c r="L4" s="446" t="s">
        <v>49</v>
      </c>
      <c r="M4" s="449" t="s">
        <v>51</v>
      </c>
      <c r="N4" s="440"/>
      <c r="O4" s="440" t="s">
        <v>52</v>
      </c>
      <c r="P4" s="441" t="s">
        <v>53</v>
      </c>
      <c r="Q4" s="442"/>
      <c r="R4" s="442"/>
      <c r="S4" s="443"/>
      <c r="T4" s="440" t="s">
        <v>49</v>
      </c>
      <c r="U4" s="441" t="s">
        <v>53</v>
      </c>
      <c r="V4" s="442"/>
      <c r="W4" s="442"/>
      <c r="X4" s="443"/>
      <c r="Y4" s="440" t="s">
        <v>49</v>
      </c>
      <c r="Z4" s="441" t="s">
        <v>53</v>
      </c>
      <c r="AA4" s="442"/>
      <c r="AB4" s="442"/>
      <c r="AC4" s="443"/>
      <c r="AD4" s="440" t="s">
        <v>49</v>
      </c>
      <c r="AE4" s="441" t="s">
        <v>53</v>
      </c>
      <c r="AF4" s="442"/>
      <c r="AG4" s="442"/>
      <c r="AH4" s="443"/>
      <c r="AI4" s="440" t="s">
        <v>49</v>
      </c>
      <c r="AJ4" s="441" t="s">
        <v>53</v>
      </c>
      <c r="AK4" s="442"/>
      <c r="AL4" s="442"/>
      <c r="AM4" s="443"/>
      <c r="AN4" s="440" t="s">
        <v>49</v>
      </c>
      <c r="AO4" s="441" t="s">
        <v>53</v>
      </c>
      <c r="AP4" s="442"/>
      <c r="AQ4" s="442"/>
      <c r="AR4" s="443"/>
      <c r="AS4" s="440" t="s">
        <v>49</v>
      </c>
      <c r="AT4" s="441" t="s">
        <v>53</v>
      </c>
      <c r="AU4" s="442"/>
      <c r="AV4" s="442"/>
      <c r="AW4" s="443"/>
      <c r="AX4" s="440" t="s">
        <v>49</v>
      </c>
    </row>
    <row r="5" spans="1:50" ht="14.25">
      <c r="A5" s="213"/>
      <c r="B5" s="440"/>
      <c r="C5" s="440"/>
      <c r="D5" s="440"/>
      <c r="E5" s="440" t="s">
        <v>54</v>
      </c>
      <c r="F5" s="440"/>
      <c r="G5" s="440"/>
      <c r="H5" s="447"/>
      <c r="I5" s="440" t="s">
        <v>54</v>
      </c>
      <c r="J5" s="440"/>
      <c r="K5" s="440"/>
      <c r="L5" s="447"/>
      <c r="M5" s="450"/>
      <c r="N5" s="440"/>
      <c r="O5" s="440"/>
      <c r="P5" s="441" t="s">
        <v>55</v>
      </c>
      <c r="Q5" s="442"/>
      <c r="R5" s="442"/>
      <c r="S5" s="443"/>
      <c r="T5" s="440"/>
      <c r="U5" s="441" t="s">
        <v>55</v>
      </c>
      <c r="V5" s="442"/>
      <c r="W5" s="442"/>
      <c r="X5" s="443"/>
      <c r="Y5" s="440"/>
      <c r="Z5" s="441" t="s">
        <v>55</v>
      </c>
      <c r="AA5" s="442"/>
      <c r="AB5" s="442"/>
      <c r="AC5" s="443"/>
      <c r="AD5" s="440"/>
      <c r="AE5" s="441" t="s">
        <v>55</v>
      </c>
      <c r="AF5" s="442"/>
      <c r="AG5" s="442"/>
      <c r="AH5" s="443"/>
      <c r="AI5" s="440"/>
      <c r="AJ5" s="441" t="s">
        <v>55</v>
      </c>
      <c r="AK5" s="442"/>
      <c r="AL5" s="442"/>
      <c r="AM5" s="443"/>
      <c r="AN5" s="440"/>
      <c r="AO5" s="441" t="s">
        <v>55</v>
      </c>
      <c r="AP5" s="442"/>
      <c r="AQ5" s="442"/>
      <c r="AR5" s="443"/>
      <c r="AS5" s="440"/>
      <c r="AT5" s="441" t="s">
        <v>55</v>
      </c>
      <c r="AU5" s="442"/>
      <c r="AV5" s="442"/>
      <c r="AW5" s="443"/>
      <c r="AX5" s="440"/>
    </row>
    <row r="6" spans="1:50" ht="14.25">
      <c r="A6" s="218"/>
      <c r="B6" s="440"/>
      <c r="C6" s="440"/>
      <c r="D6" s="440"/>
      <c r="E6" s="219" t="s">
        <v>56</v>
      </c>
      <c r="F6" s="219" t="s">
        <v>57</v>
      </c>
      <c r="G6" s="219" t="s">
        <v>58</v>
      </c>
      <c r="H6" s="448"/>
      <c r="I6" s="219" t="s">
        <v>56</v>
      </c>
      <c r="J6" s="219" t="s">
        <v>57</v>
      </c>
      <c r="K6" s="219" t="s">
        <v>58</v>
      </c>
      <c r="L6" s="448"/>
      <c r="M6" s="451"/>
      <c r="N6" s="440"/>
      <c r="O6" s="440"/>
      <c r="P6" s="219" t="s">
        <v>56</v>
      </c>
      <c r="Q6" s="219" t="s">
        <v>57</v>
      </c>
      <c r="R6" s="219" t="s">
        <v>58</v>
      </c>
      <c r="S6" s="219" t="s">
        <v>51</v>
      </c>
      <c r="T6" s="440"/>
      <c r="U6" s="219" t="s">
        <v>56</v>
      </c>
      <c r="V6" s="219" t="s">
        <v>57</v>
      </c>
      <c r="W6" s="219" t="s">
        <v>58</v>
      </c>
      <c r="X6" s="219" t="s">
        <v>51</v>
      </c>
      <c r="Y6" s="440"/>
      <c r="Z6" s="219" t="s">
        <v>56</v>
      </c>
      <c r="AA6" s="219" t="s">
        <v>57</v>
      </c>
      <c r="AB6" s="219" t="s">
        <v>58</v>
      </c>
      <c r="AC6" s="219" t="s">
        <v>51</v>
      </c>
      <c r="AD6" s="440"/>
      <c r="AE6" s="219" t="s">
        <v>56</v>
      </c>
      <c r="AF6" s="219" t="s">
        <v>57</v>
      </c>
      <c r="AG6" s="219" t="s">
        <v>58</v>
      </c>
      <c r="AH6" s="219" t="s">
        <v>51</v>
      </c>
      <c r="AI6" s="440"/>
      <c r="AJ6" s="219" t="s">
        <v>56</v>
      </c>
      <c r="AK6" s="219" t="s">
        <v>57</v>
      </c>
      <c r="AL6" s="219" t="s">
        <v>58</v>
      </c>
      <c r="AM6" s="219" t="s">
        <v>51</v>
      </c>
      <c r="AN6" s="440"/>
      <c r="AO6" s="219" t="s">
        <v>56</v>
      </c>
      <c r="AP6" s="219" t="s">
        <v>57</v>
      </c>
      <c r="AQ6" s="219" t="s">
        <v>58</v>
      </c>
      <c r="AR6" s="219" t="s">
        <v>51</v>
      </c>
      <c r="AS6" s="440"/>
      <c r="AT6" s="219" t="s">
        <v>56</v>
      </c>
      <c r="AU6" s="219" t="s">
        <v>57</v>
      </c>
      <c r="AV6" s="219" t="s">
        <v>58</v>
      </c>
      <c r="AW6" s="219" t="s">
        <v>51</v>
      </c>
      <c r="AX6" s="440"/>
    </row>
    <row r="7" spans="1:50" ht="14.25">
      <c r="A7" s="213"/>
      <c r="B7" s="436" t="s">
        <v>316</v>
      </c>
      <c r="C7" s="220">
        <v>1</v>
      </c>
      <c r="D7" s="224" t="s">
        <v>75</v>
      </c>
      <c r="E7" s="221">
        <f>VLOOKUP(D7,'11產線配置圖'!$A$2:$C$25,2,0)</f>
        <v>12</v>
      </c>
      <c r="F7" s="221">
        <f>VLOOKUP(D7,'11產線配置圖'!$A$2:$C$25,3,0)</f>
        <v>2000</v>
      </c>
      <c r="G7" s="222">
        <f>F7/E7</f>
        <v>166.66666666666666</v>
      </c>
      <c r="H7" s="437">
        <f>AVERAGE(G7:G24)</f>
        <v>112.6054621100577</v>
      </c>
      <c r="I7" s="221">
        <f>AVERAGE(AJ7,AO7,AT7)</f>
        <v>12</v>
      </c>
      <c r="J7" s="221">
        <f>AVERAGE(AK7,AP7,AU7)</f>
        <v>1672</v>
      </c>
      <c r="K7" s="222">
        <f>AVERAGE(AL7,AQ7,AV7)</f>
        <v>139.33333333333334</v>
      </c>
      <c r="L7" s="437">
        <f>IFERROR(AVERAGE(K7:K24),"-")</f>
        <v>100.97297065906137</v>
      </c>
      <c r="M7" s="223">
        <f>RANK(K7, K$7:$K$24)</f>
        <v>2</v>
      </c>
      <c r="N7" s="440"/>
      <c r="O7" s="440"/>
      <c r="P7" s="221"/>
      <c r="Q7" s="221"/>
      <c r="R7" s="222" t="e">
        <f>Q7/P7</f>
        <v>#DIV/0!</v>
      </c>
      <c r="S7" s="220" t="e">
        <f>RANK(R7, R$7:R$24)</f>
        <v>#DIV/0!</v>
      </c>
      <c r="T7" s="435" t="e">
        <f>AVERAGE(R7:R24)</f>
        <v>#DIV/0!</v>
      </c>
      <c r="U7" s="221"/>
      <c r="V7" s="221"/>
      <c r="W7" s="222" t="e">
        <f>V7/U7</f>
        <v>#DIV/0!</v>
      </c>
      <c r="X7" s="220" t="e">
        <f>RANK(W7, W$7:W$24)</f>
        <v>#DIV/0!</v>
      </c>
      <c r="Y7" s="435" t="e">
        <f>AVERAGE(W7:W24)</f>
        <v>#DIV/0!</v>
      </c>
      <c r="Z7" s="220"/>
      <c r="AA7" s="221"/>
      <c r="AB7" s="222" t="e">
        <f>AA7/Z7</f>
        <v>#DIV/0!</v>
      </c>
      <c r="AC7" s="220" t="e">
        <f>RANK(AB7, AB$7:AB$24)</f>
        <v>#DIV/0!</v>
      </c>
      <c r="AD7" s="435" t="e">
        <f>AVERAGE(AB7:AB24)</f>
        <v>#DIV/0!</v>
      </c>
      <c r="AE7" s="221"/>
      <c r="AF7" s="221"/>
      <c r="AG7" s="222" t="e">
        <f>AF7/AE7</f>
        <v>#DIV/0!</v>
      </c>
      <c r="AH7" s="220" t="e">
        <f>RANK(AG7, AG$7:AG$24)</f>
        <v>#DIV/0!</v>
      </c>
      <c r="AI7" s="435" t="e">
        <f>AVERAGE(AG7:AG24)</f>
        <v>#DIV/0!</v>
      </c>
      <c r="AJ7" s="221">
        <v>12</v>
      </c>
      <c r="AK7" s="221">
        <v>1529</v>
      </c>
      <c r="AL7" s="222">
        <f>AK7/AJ7</f>
        <v>127.41666666666667</v>
      </c>
      <c r="AM7" s="220">
        <f>RANK(AL7, AL$7:AL$24)</f>
        <v>3</v>
      </c>
      <c r="AN7" s="435">
        <f>AVERAGE(AL7:AL24)</f>
        <v>97.046672098326511</v>
      </c>
      <c r="AO7" s="221">
        <v>12</v>
      </c>
      <c r="AP7" s="221">
        <v>1865</v>
      </c>
      <c r="AQ7" s="222">
        <f>AP7/AO7</f>
        <v>155.41666666666666</v>
      </c>
      <c r="AR7" s="220">
        <f>RANK(AQ7, AQ$7:AQ$24)</f>
        <v>1</v>
      </c>
      <c r="AS7" s="435">
        <f>AVERAGE(AQ7:AQ24)</f>
        <v>103.34742243051066</v>
      </c>
      <c r="AT7" s="220">
        <v>12</v>
      </c>
      <c r="AU7" s="220">
        <v>1622</v>
      </c>
      <c r="AV7" s="222">
        <f>AU7/AT7</f>
        <v>135.16666666666666</v>
      </c>
      <c r="AW7" s="220">
        <f>RANK(AV7, AV$7:AV$24)</f>
        <v>2</v>
      </c>
      <c r="AX7" s="435">
        <f>AVERAGE(AV7:AV24)</f>
        <v>104.62707358001475</v>
      </c>
    </row>
    <row r="8" spans="1:50" ht="15" customHeight="1">
      <c r="A8" s="213"/>
      <c r="B8" s="436"/>
      <c r="C8" s="220">
        <v>2</v>
      </c>
      <c r="D8" s="220" t="s">
        <v>76</v>
      </c>
      <c r="E8" s="221">
        <f>VLOOKUP(D8,'11產線配置圖'!$A$2:$C$25,2,0)</f>
        <v>13</v>
      </c>
      <c r="F8" s="221">
        <f>VLOOKUP(D8,'11產線配置圖'!$A$2:$C$25,3,0)</f>
        <v>2000</v>
      </c>
      <c r="G8" s="222">
        <f t="shared" ref="G8:G18" si="0">F8/E8</f>
        <v>153.84615384615384</v>
      </c>
      <c r="H8" s="438"/>
      <c r="I8" s="221">
        <f t="shared" ref="I8:I18" si="1">AVERAGE(AJ8,AO8,AT8)</f>
        <v>13</v>
      </c>
      <c r="J8" s="221">
        <f t="shared" ref="J8:J18" si="2">AVERAGE(AK8,AP8,AU8)</f>
        <v>1764.6666666666667</v>
      </c>
      <c r="K8" s="222">
        <f t="shared" ref="K8:K18" si="3">AVERAGE(AL8,AQ8,AV8)</f>
        <v>135.74358974358975</v>
      </c>
      <c r="L8" s="438"/>
      <c r="M8" s="223">
        <f>RANK(K8, K$7:$K$24)</f>
        <v>3</v>
      </c>
      <c r="N8" s="440"/>
      <c r="O8" s="440"/>
      <c r="P8" s="221"/>
      <c r="Q8" s="221"/>
      <c r="R8" s="222" t="e">
        <f t="shared" ref="R8:R24" si="4">Q8/P8</f>
        <v>#DIV/0!</v>
      </c>
      <c r="S8" s="220" t="e">
        <f t="shared" ref="S8:S24" si="5">RANK(R8, R$7:R$24)</f>
        <v>#DIV/0!</v>
      </c>
      <c r="T8" s="435"/>
      <c r="U8" s="221"/>
      <c r="V8" s="221"/>
      <c r="W8" s="222" t="e">
        <f t="shared" ref="W8:W20" si="6">V8/U8</f>
        <v>#DIV/0!</v>
      </c>
      <c r="X8" s="220" t="e">
        <f t="shared" ref="X8:X20" si="7">RANK(W8, W$7:W$24)</f>
        <v>#DIV/0!</v>
      </c>
      <c r="Y8" s="435"/>
      <c r="Z8" s="220"/>
      <c r="AA8" s="221"/>
      <c r="AB8" s="222" t="e">
        <f t="shared" ref="AB8:AB20" si="8">AA8/Z8</f>
        <v>#DIV/0!</v>
      </c>
      <c r="AC8" s="220" t="e">
        <f t="shared" ref="AC8:AC20" si="9">RANK(AB8, AB$7:AB$24)</f>
        <v>#DIV/0!</v>
      </c>
      <c r="AD8" s="435"/>
      <c r="AE8" s="221"/>
      <c r="AF8" s="221"/>
      <c r="AG8" s="222" t="e">
        <f t="shared" ref="AG8:AG20" si="10">AF8/AE8</f>
        <v>#DIV/0!</v>
      </c>
      <c r="AH8" s="220" t="e">
        <f t="shared" ref="AH8:AH20" si="11">RANK(AG8, AG$7:AG$24)</f>
        <v>#DIV/0!</v>
      </c>
      <c r="AI8" s="435"/>
      <c r="AJ8" s="221">
        <v>13</v>
      </c>
      <c r="AK8" s="221">
        <v>1835</v>
      </c>
      <c r="AL8" s="222">
        <f t="shared" ref="AL8:AL16" si="12">AK8/AJ8</f>
        <v>141.15384615384616</v>
      </c>
      <c r="AM8" s="220">
        <f t="shared" ref="AM8:AM18" si="13">RANK(AL8, AL$7:AL$24)</f>
        <v>2</v>
      </c>
      <c r="AN8" s="435"/>
      <c r="AO8" s="221">
        <v>13</v>
      </c>
      <c r="AP8" s="221">
        <v>1808</v>
      </c>
      <c r="AQ8" s="222">
        <f t="shared" ref="AQ8:AQ16" si="14">AP8/AO8</f>
        <v>139.07692307692307</v>
      </c>
      <c r="AR8" s="220">
        <f t="shared" ref="AR8:AR18" si="15">RANK(AQ8, AQ$7:AQ$24)</f>
        <v>3</v>
      </c>
      <c r="AS8" s="435"/>
      <c r="AT8" s="220">
        <v>13</v>
      </c>
      <c r="AU8" s="220">
        <v>1651</v>
      </c>
      <c r="AV8" s="222">
        <f t="shared" ref="AV8:AV17" si="16">AU8/AT8</f>
        <v>127</v>
      </c>
      <c r="AW8" s="220">
        <f t="shared" ref="AW8:AW17" si="17">RANK(AV8, AV$7:AV$24)</f>
        <v>4</v>
      </c>
      <c r="AX8" s="435"/>
    </row>
    <row r="9" spans="1:50" ht="14.25">
      <c r="A9" s="213"/>
      <c r="B9" s="436"/>
      <c r="C9" s="220">
        <v>3</v>
      </c>
      <c r="D9" s="220" t="s">
        <v>78</v>
      </c>
      <c r="E9" s="221">
        <f>VLOOKUP(D9,'11產線配置圖'!$A$2:$C$25,2,0)</f>
        <v>15</v>
      </c>
      <c r="F9" s="221">
        <f>VLOOKUP(D9,'11產線配置圖'!$A$2:$C$25,3,0)</f>
        <v>2000</v>
      </c>
      <c r="G9" s="222">
        <f t="shared" si="0"/>
        <v>133.33333333333334</v>
      </c>
      <c r="H9" s="438"/>
      <c r="I9" s="221">
        <f t="shared" si="1"/>
        <v>15</v>
      </c>
      <c r="J9" s="221">
        <f t="shared" si="2"/>
        <v>1889</v>
      </c>
      <c r="K9" s="222">
        <f t="shared" si="3"/>
        <v>125.93333333333334</v>
      </c>
      <c r="L9" s="438"/>
      <c r="M9" s="223">
        <f>RANK(K9, K$7:$K$24)</f>
        <v>5</v>
      </c>
      <c r="N9" s="440"/>
      <c r="O9" s="440"/>
      <c r="P9" s="221"/>
      <c r="Q9" s="221"/>
      <c r="R9" s="222" t="e">
        <f t="shared" si="4"/>
        <v>#DIV/0!</v>
      </c>
      <c r="S9" s="220" t="e">
        <f t="shared" si="5"/>
        <v>#DIV/0!</v>
      </c>
      <c r="T9" s="435"/>
      <c r="U9" s="221"/>
      <c r="V9" s="221"/>
      <c r="W9" s="222" t="e">
        <f t="shared" si="6"/>
        <v>#DIV/0!</v>
      </c>
      <c r="X9" s="220" t="e">
        <f t="shared" si="7"/>
        <v>#DIV/0!</v>
      </c>
      <c r="Y9" s="435"/>
      <c r="Z9" s="220"/>
      <c r="AA9" s="221"/>
      <c r="AB9" s="222" t="e">
        <f t="shared" si="8"/>
        <v>#DIV/0!</v>
      </c>
      <c r="AC9" s="220" t="e">
        <f t="shared" si="9"/>
        <v>#DIV/0!</v>
      </c>
      <c r="AD9" s="435"/>
      <c r="AE9" s="221"/>
      <c r="AF9" s="221"/>
      <c r="AG9" s="222" t="e">
        <f t="shared" si="10"/>
        <v>#DIV/0!</v>
      </c>
      <c r="AH9" s="220" t="e">
        <f t="shared" si="11"/>
        <v>#DIV/0!</v>
      </c>
      <c r="AI9" s="435"/>
      <c r="AJ9" s="221">
        <v>15</v>
      </c>
      <c r="AK9" s="221">
        <v>1871</v>
      </c>
      <c r="AL9" s="222">
        <f t="shared" si="12"/>
        <v>124.73333333333333</v>
      </c>
      <c r="AM9" s="220">
        <f t="shared" si="13"/>
        <v>4</v>
      </c>
      <c r="AN9" s="435"/>
      <c r="AO9" s="221">
        <v>15</v>
      </c>
      <c r="AP9" s="221">
        <v>1910</v>
      </c>
      <c r="AQ9" s="222">
        <f t="shared" si="14"/>
        <v>127.33333333333333</v>
      </c>
      <c r="AR9" s="220">
        <f t="shared" si="15"/>
        <v>4</v>
      </c>
      <c r="AS9" s="435"/>
      <c r="AT9" s="220">
        <v>15</v>
      </c>
      <c r="AU9" s="220">
        <v>1886</v>
      </c>
      <c r="AV9" s="222">
        <f t="shared" si="16"/>
        <v>125.73333333333333</v>
      </c>
      <c r="AW9" s="220">
        <f t="shared" si="17"/>
        <v>5</v>
      </c>
      <c r="AX9" s="435"/>
    </row>
    <row r="10" spans="1:50" ht="14.25">
      <c r="A10" s="213"/>
      <c r="B10" s="436"/>
      <c r="C10" s="220">
        <v>4</v>
      </c>
      <c r="D10" s="220" t="s">
        <v>182</v>
      </c>
      <c r="E10" s="221">
        <f>VLOOKUP(D10,'11產線配置圖'!$A$2:$C$25,2,0)</f>
        <v>18</v>
      </c>
      <c r="F10" s="221">
        <f>VLOOKUP(D10,'11產線配置圖'!$A$2:$C$25,3,0)</f>
        <v>1565</v>
      </c>
      <c r="G10" s="222">
        <f t="shared" si="0"/>
        <v>86.944444444444443</v>
      </c>
      <c r="H10" s="438"/>
      <c r="I10" s="221">
        <f t="shared" si="1"/>
        <v>18</v>
      </c>
      <c r="J10" s="221">
        <f t="shared" si="2"/>
        <v>1548.3333333333333</v>
      </c>
      <c r="K10" s="222">
        <f t="shared" si="3"/>
        <v>86.018518518518519</v>
      </c>
      <c r="L10" s="438"/>
      <c r="M10" s="223">
        <f>RANK(K10, K$7:$K$24)</f>
        <v>6</v>
      </c>
      <c r="N10" s="440"/>
      <c r="O10" s="440"/>
      <c r="P10" s="221"/>
      <c r="Q10" s="221"/>
      <c r="R10" s="222" t="e">
        <f t="shared" si="4"/>
        <v>#DIV/0!</v>
      </c>
      <c r="S10" s="220" t="e">
        <f t="shared" si="5"/>
        <v>#DIV/0!</v>
      </c>
      <c r="T10" s="435"/>
      <c r="U10" s="221"/>
      <c r="V10" s="221"/>
      <c r="W10" s="222" t="e">
        <f t="shared" si="6"/>
        <v>#DIV/0!</v>
      </c>
      <c r="X10" s="220" t="e">
        <f t="shared" si="7"/>
        <v>#DIV/0!</v>
      </c>
      <c r="Y10" s="435"/>
      <c r="Z10" s="220"/>
      <c r="AA10" s="221"/>
      <c r="AB10" s="222" t="e">
        <f t="shared" si="8"/>
        <v>#DIV/0!</v>
      </c>
      <c r="AC10" s="220" t="e">
        <f t="shared" si="9"/>
        <v>#DIV/0!</v>
      </c>
      <c r="AD10" s="435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35"/>
      <c r="AJ10" s="221">
        <v>18</v>
      </c>
      <c r="AK10" s="221">
        <v>1536</v>
      </c>
      <c r="AL10" s="222">
        <f t="shared" si="12"/>
        <v>85.333333333333329</v>
      </c>
      <c r="AM10" s="220">
        <f t="shared" si="13"/>
        <v>6</v>
      </c>
      <c r="AN10" s="435"/>
      <c r="AO10" s="221">
        <v>18</v>
      </c>
      <c r="AP10" s="221">
        <v>1551</v>
      </c>
      <c r="AQ10" s="222">
        <f t="shared" si="14"/>
        <v>86.166666666666671</v>
      </c>
      <c r="AR10" s="220">
        <f t="shared" si="15"/>
        <v>6</v>
      </c>
      <c r="AS10" s="435"/>
      <c r="AT10" s="220">
        <v>18</v>
      </c>
      <c r="AU10" s="220">
        <v>1558</v>
      </c>
      <c r="AV10" s="222">
        <f t="shared" si="16"/>
        <v>86.555555555555557</v>
      </c>
      <c r="AW10" s="220">
        <f t="shared" si="17"/>
        <v>7</v>
      </c>
      <c r="AX10" s="435"/>
    </row>
    <row r="11" spans="1:50" ht="14.25">
      <c r="A11" s="213"/>
      <c r="B11" s="436"/>
      <c r="C11" s="220">
        <v>5</v>
      </c>
      <c r="D11" s="220" t="s">
        <v>74</v>
      </c>
      <c r="E11" s="221">
        <f>VLOOKUP(D11,'11產線配置圖'!$A$2:$C$25,2,0)</f>
        <v>13</v>
      </c>
      <c r="F11" s="221">
        <f>VLOOKUP(D11,'11產線配置圖'!$A$2:$C$25,3,0)</f>
        <v>2000</v>
      </c>
      <c r="G11" s="222">
        <f t="shared" si="0"/>
        <v>153.84615384615384</v>
      </c>
      <c r="H11" s="438"/>
      <c r="I11" s="221">
        <f t="shared" si="1"/>
        <v>13</v>
      </c>
      <c r="J11" s="221">
        <f t="shared" si="2"/>
        <v>1915</v>
      </c>
      <c r="K11" s="222">
        <f t="shared" si="3"/>
        <v>147.30769230769232</v>
      </c>
      <c r="L11" s="438"/>
      <c r="M11" s="223">
        <f>RANK(K11, K$7:$K$24)</f>
        <v>1</v>
      </c>
      <c r="N11" s="440"/>
      <c r="O11" s="440"/>
      <c r="P11" s="221"/>
      <c r="Q11" s="221"/>
      <c r="R11" s="222" t="e">
        <f t="shared" si="4"/>
        <v>#DIV/0!</v>
      </c>
      <c r="S11" s="220" t="e">
        <f t="shared" si="5"/>
        <v>#DIV/0!</v>
      </c>
      <c r="T11" s="435"/>
      <c r="U11" s="221"/>
      <c r="V11" s="221"/>
      <c r="W11" s="222" t="e">
        <f t="shared" si="6"/>
        <v>#DIV/0!</v>
      </c>
      <c r="X11" s="220" t="e">
        <f t="shared" si="7"/>
        <v>#DIV/0!</v>
      </c>
      <c r="Y11" s="435"/>
      <c r="Z11" s="220"/>
      <c r="AA11" s="221"/>
      <c r="AB11" s="222" t="e">
        <f t="shared" si="8"/>
        <v>#DIV/0!</v>
      </c>
      <c r="AC11" s="220" t="e">
        <f t="shared" si="9"/>
        <v>#DIV/0!</v>
      </c>
      <c r="AD11" s="435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35"/>
      <c r="AJ11" s="221">
        <v>13</v>
      </c>
      <c r="AK11" s="221">
        <v>1890</v>
      </c>
      <c r="AL11" s="222">
        <f t="shared" si="12"/>
        <v>145.38461538461539</v>
      </c>
      <c r="AM11" s="220">
        <f t="shared" si="13"/>
        <v>1</v>
      </c>
      <c r="AN11" s="435"/>
      <c r="AO11" s="221">
        <v>13</v>
      </c>
      <c r="AP11" s="221">
        <v>1954</v>
      </c>
      <c r="AQ11" s="222">
        <f t="shared" si="14"/>
        <v>150.30769230769232</v>
      </c>
      <c r="AR11" s="220">
        <f t="shared" si="15"/>
        <v>2</v>
      </c>
      <c r="AS11" s="435"/>
      <c r="AT11" s="220">
        <v>13</v>
      </c>
      <c r="AU11" s="220">
        <v>1901</v>
      </c>
      <c r="AV11" s="222">
        <f t="shared" si="16"/>
        <v>146.23076923076923</v>
      </c>
      <c r="AW11" s="220">
        <f t="shared" si="17"/>
        <v>1</v>
      </c>
      <c r="AX11" s="435"/>
    </row>
    <row r="12" spans="1:50" ht="14.25">
      <c r="A12" s="213"/>
      <c r="B12" s="436"/>
      <c r="C12" s="220">
        <v>6</v>
      </c>
      <c r="D12" s="220" t="s">
        <v>77</v>
      </c>
      <c r="E12" s="221">
        <f>VLOOKUP(D12,'11產線配置圖'!$A$2:$C$25,2,0)</f>
        <v>14</v>
      </c>
      <c r="F12" s="221">
        <f>VLOOKUP(D12,'11產線配置圖'!$A$2:$C$25,3,0)</f>
        <v>1895</v>
      </c>
      <c r="G12" s="222">
        <f t="shared" si="0"/>
        <v>135.35714285714286</v>
      </c>
      <c r="H12" s="438"/>
      <c r="I12" s="221">
        <f t="shared" si="1"/>
        <v>14</v>
      </c>
      <c r="J12" s="221">
        <f t="shared" si="2"/>
        <v>1764.3333333333333</v>
      </c>
      <c r="K12" s="222">
        <f t="shared" si="3"/>
        <v>126.02380952380952</v>
      </c>
      <c r="L12" s="438"/>
      <c r="M12" s="223">
        <f>RANK(K12, K$7:$K$24)</f>
        <v>4</v>
      </c>
      <c r="N12" s="440"/>
      <c r="O12" s="440"/>
      <c r="P12" s="221"/>
      <c r="Q12" s="221"/>
      <c r="R12" s="222" t="e">
        <f t="shared" si="4"/>
        <v>#DIV/0!</v>
      </c>
      <c r="S12" s="220" t="e">
        <f t="shared" si="5"/>
        <v>#DIV/0!</v>
      </c>
      <c r="T12" s="435"/>
      <c r="U12" s="221"/>
      <c r="V12" s="221"/>
      <c r="W12" s="222" t="e">
        <f t="shared" si="6"/>
        <v>#DIV/0!</v>
      </c>
      <c r="X12" s="220" t="e">
        <f t="shared" si="7"/>
        <v>#DIV/0!</v>
      </c>
      <c r="Y12" s="435"/>
      <c r="Z12" s="220"/>
      <c r="AA12" s="221"/>
      <c r="AB12" s="222" t="e">
        <f t="shared" si="8"/>
        <v>#DIV/0!</v>
      </c>
      <c r="AC12" s="220" t="e">
        <f t="shared" si="9"/>
        <v>#DIV/0!</v>
      </c>
      <c r="AD12" s="435"/>
      <c r="AE12" s="221"/>
      <c r="AF12" s="221"/>
      <c r="AG12" s="338" t="e">
        <f t="shared" si="10"/>
        <v>#DIV/0!</v>
      </c>
      <c r="AH12" s="220" t="e">
        <f t="shared" si="11"/>
        <v>#DIV/0!</v>
      </c>
      <c r="AI12" s="435"/>
      <c r="AJ12" s="221">
        <v>14</v>
      </c>
      <c r="AK12" s="221">
        <v>1643</v>
      </c>
      <c r="AL12" s="222">
        <f t="shared" si="12"/>
        <v>117.35714285714286</v>
      </c>
      <c r="AM12" s="220">
        <f t="shared" si="13"/>
        <v>5</v>
      </c>
      <c r="AN12" s="435"/>
      <c r="AO12" s="221">
        <v>14</v>
      </c>
      <c r="AP12" s="221">
        <v>1779</v>
      </c>
      <c r="AQ12" s="222">
        <f t="shared" si="14"/>
        <v>127.07142857142857</v>
      </c>
      <c r="AR12" s="220">
        <f t="shared" si="15"/>
        <v>5</v>
      </c>
      <c r="AS12" s="435"/>
      <c r="AT12" s="220">
        <v>14</v>
      </c>
      <c r="AU12" s="220">
        <v>1871</v>
      </c>
      <c r="AV12" s="222">
        <f t="shared" si="16"/>
        <v>133.64285714285714</v>
      </c>
      <c r="AW12" s="220">
        <f t="shared" si="17"/>
        <v>3</v>
      </c>
      <c r="AX12" s="435"/>
    </row>
    <row r="13" spans="1:50" ht="14.25">
      <c r="A13" s="213"/>
      <c r="B13" s="436"/>
      <c r="C13" s="220">
        <v>7</v>
      </c>
      <c r="D13" s="220" t="s">
        <v>81</v>
      </c>
      <c r="E13" s="221">
        <f>VLOOKUP(D13,'11產線配置圖'!$A$2:$C$25,2,0)</f>
        <v>17</v>
      </c>
      <c r="F13" s="221">
        <f>VLOOKUP(D13,'11產線配置圖'!$A$2:$C$25,3,0)</f>
        <v>1385</v>
      </c>
      <c r="G13" s="222">
        <f t="shared" si="0"/>
        <v>81.470588235294116</v>
      </c>
      <c r="H13" s="438"/>
      <c r="I13" s="221">
        <f t="shared" si="1"/>
        <v>15</v>
      </c>
      <c r="J13" s="221">
        <f t="shared" si="2"/>
        <v>1015.6666666666666</v>
      </c>
      <c r="K13" s="222">
        <f t="shared" si="3"/>
        <v>67.889880952380949</v>
      </c>
      <c r="L13" s="438"/>
      <c r="M13" s="223">
        <f>RANK(K13, K$7:$K$24)</f>
        <v>12</v>
      </c>
      <c r="N13" s="440"/>
      <c r="O13" s="440"/>
      <c r="P13" s="221"/>
      <c r="Q13" s="221"/>
      <c r="R13" s="222" t="e">
        <f t="shared" si="4"/>
        <v>#DIV/0!</v>
      </c>
      <c r="S13" s="220" t="e">
        <f t="shared" si="5"/>
        <v>#DIV/0!</v>
      </c>
      <c r="T13" s="435"/>
      <c r="U13" s="221"/>
      <c r="V13" s="221"/>
      <c r="W13" s="222" t="e">
        <f t="shared" si="6"/>
        <v>#DIV/0!</v>
      </c>
      <c r="X13" s="220" t="e">
        <f t="shared" si="7"/>
        <v>#DIV/0!</v>
      </c>
      <c r="Y13" s="435"/>
      <c r="Z13" s="220"/>
      <c r="AA13" s="221"/>
      <c r="AB13" s="222" t="e">
        <f t="shared" si="8"/>
        <v>#DIV/0!</v>
      </c>
      <c r="AC13" s="220" t="e">
        <f t="shared" si="9"/>
        <v>#DIV/0!</v>
      </c>
      <c r="AD13" s="435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35"/>
      <c r="AJ13" s="221">
        <v>16</v>
      </c>
      <c r="AK13" s="221">
        <v>925</v>
      </c>
      <c r="AL13" s="222">
        <f t="shared" si="12"/>
        <v>57.8125</v>
      </c>
      <c r="AM13" s="220">
        <f t="shared" si="13"/>
        <v>12</v>
      </c>
      <c r="AN13" s="435"/>
      <c r="AO13" s="221">
        <v>14</v>
      </c>
      <c r="AP13" s="221">
        <v>922</v>
      </c>
      <c r="AQ13" s="222">
        <f t="shared" si="14"/>
        <v>65.857142857142861</v>
      </c>
      <c r="AR13" s="220">
        <f t="shared" si="15"/>
        <v>12</v>
      </c>
      <c r="AS13" s="435"/>
      <c r="AT13" s="220">
        <v>15</v>
      </c>
      <c r="AU13" s="220">
        <v>1200</v>
      </c>
      <c r="AV13" s="222">
        <f t="shared" si="16"/>
        <v>80</v>
      </c>
      <c r="AW13" s="220">
        <f t="shared" si="17"/>
        <v>9</v>
      </c>
      <c r="AX13" s="435"/>
    </row>
    <row r="14" spans="1:50" ht="14.25">
      <c r="A14" s="213"/>
      <c r="B14" s="436"/>
      <c r="C14" s="220">
        <v>8</v>
      </c>
      <c r="D14" s="220" t="s">
        <v>83</v>
      </c>
      <c r="E14" s="221">
        <f>VLOOKUP(D14,'11產線配置圖'!$A$2:$C$25,2,0)</f>
        <v>18</v>
      </c>
      <c r="F14" s="221">
        <f>VLOOKUP(D14,'11產線配置圖'!$A$2:$C$25,3,0)</f>
        <v>1385</v>
      </c>
      <c r="G14" s="222">
        <f t="shared" si="0"/>
        <v>76.944444444444443</v>
      </c>
      <c r="H14" s="438"/>
      <c r="I14" s="221">
        <f t="shared" si="1"/>
        <v>16.666666666666668</v>
      </c>
      <c r="J14" s="221">
        <f t="shared" si="2"/>
        <v>1138</v>
      </c>
      <c r="K14" s="222">
        <f t="shared" si="3"/>
        <v>68.415032679738559</v>
      </c>
      <c r="L14" s="438"/>
      <c r="M14" s="223">
        <f>RANK(K14, K$7:$K$24)</f>
        <v>11</v>
      </c>
      <c r="N14" s="440"/>
      <c r="O14" s="440"/>
      <c r="P14" s="221"/>
      <c r="Q14" s="221"/>
      <c r="R14" s="222" t="e">
        <f t="shared" si="4"/>
        <v>#DIV/0!</v>
      </c>
      <c r="S14" s="220" t="e">
        <f t="shared" si="5"/>
        <v>#DIV/0!</v>
      </c>
      <c r="T14" s="435"/>
      <c r="U14" s="221"/>
      <c r="V14" s="221"/>
      <c r="W14" s="222" t="e">
        <f t="shared" si="6"/>
        <v>#DIV/0!</v>
      </c>
      <c r="X14" s="220" t="e">
        <f t="shared" si="7"/>
        <v>#DIV/0!</v>
      </c>
      <c r="Y14" s="435"/>
      <c r="Z14" s="220"/>
      <c r="AA14" s="221"/>
      <c r="AB14" s="222" t="e">
        <f t="shared" si="8"/>
        <v>#DIV/0!</v>
      </c>
      <c r="AC14" s="220" t="e">
        <f t="shared" si="9"/>
        <v>#DIV/0!</v>
      </c>
      <c r="AD14" s="435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35"/>
      <c r="AJ14" s="221">
        <v>17</v>
      </c>
      <c r="AK14" s="221">
        <v>1078</v>
      </c>
      <c r="AL14" s="222">
        <f t="shared" si="12"/>
        <v>63.411764705882355</v>
      </c>
      <c r="AM14" s="220">
        <f t="shared" si="13"/>
        <v>11</v>
      </c>
      <c r="AN14" s="435"/>
      <c r="AO14" s="221">
        <v>18</v>
      </c>
      <c r="AP14" s="221">
        <v>1251</v>
      </c>
      <c r="AQ14" s="222">
        <f t="shared" si="14"/>
        <v>69.5</v>
      </c>
      <c r="AR14" s="220">
        <f t="shared" si="15"/>
        <v>11</v>
      </c>
      <c r="AS14" s="435"/>
      <c r="AT14" s="220">
        <v>15</v>
      </c>
      <c r="AU14" s="220">
        <v>1085</v>
      </c>
      <c r="AV14" s="222">
        <f t="shared" si="16"/>
        <v>72.333333333333329</v>
      </c>
      <c r="AW14" s="220">
        <f t="shared" si="17"/>
        <v>11</v>
      </c>
      <c r="AX14" s="435"/>
    </row>
    <row r="15" spans="1:50" ht="14.25">
      <c r="A15" s="213"/>
      <c r="B15" s="436"/>
      <c r="C15" s="220">
        <v>9</v>
      </c>
      <c r="D15" s="220" t="s">
        <v>87</v>
      </c>
      <c r="E15" s="221">
        <f>VLOOKUP(D15,'11產線配置圖'!$A$2:$C$25,2,0)</f>
        <v>17</v>
      </c>
      <c r="F15" s="221">
        <f>VLOOKUP(D15,'11產線配置圖'!$A$2:$C$25,3,0)</f>
        <v>1565</v>
      </c>
      <c r="G15" s="222">
        <f t="shared" si="0"/>
        <v>92.058823529411768</v>
      </c>
      <c r="H15" s="438"/>
      <c r="I15" s="221">
        <f t="shared" si="1"/>
        <v>16.333333333333332</v>
      </c>
      <c r="J15" s="221">
        <f t="shared" si="2"/>
        <v>1273.3333333333333</v>
      </c>
      <c r="K15" s="222">
        <f t="shared" si="3"/>
        <v>78.162091503267973</v>
      </c>
      <c r="L15" s="438"/>
      <c r="M15" s="223">
        <f>RANK(K15, K$7:$K$24)</f>
        <v>9</v>
      </c>
      <c r="N15" s="440"/>
      <c r="O15" s="440"/>
      <c r="P15" s="221"/>
      <c r="Q15" s="221"/>
      <c r="R15" s="222" t="e">
        <f t="shared" si="4"/>
        <v>#DIV/0!</v>
      </c>
      <c r="S15" s="220" t="e">
        <f t="shared" si="5"/>
        <v>#DIV/0!</v>
      </c>
      <c r="T15" s="435"/>
      <c r="U15" s="221"/>
      <c r="V15" s="221"/>
      <c r="W15" s="222" t="e">
        <f t="shared" si="6"/>
        <v>#DIV/0!</v>
      </c>
      <c r="X15" s="220" t="e">
        <f t="shared" si="7"/>
        <v>#DIV/0!</v>
      </c>
      <c r="Y15" s="435"/>
      <c r="Z15" s="220"/>
      <c r="AA15" s="221"/>
      <c r="AB15" s="222" t="e">
        <f t="shared" si="8"/>
        <v>#DIV/0!</v>
      </c>
      <c r="AC15" s="220" t="e">
        <f t="shared" si="9"/>
        <v>#DIV/0!</v>
      </c>
      <c r="AD15" s="435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35"/>
      <c r="AJ15" s="221">
        <v>17</v>
      </c>
      <c r="AK15" s="221">
        <v>1275</v>
      </c>
      <c r="AL15" s="222">
        <f t="shared" si="12"/>
        <v>75</v>
      </c>
      <c r="AM15" s="220">
        <f t="shared" si="13"/>
        <v>9</v>
      </c>
      <c r="AN15" s="435"/>
      <c r="AO15" s="221">
        <v>17</v>
      </c>
      <c r="AP15" s="221">
        <v>1298</v>
      </c>
      <c r="AQ15" s="222">
        <f t="shared" si="14"/>
        <v>76.352941176470594</v>
      </c>
      <c r="AR15" s="220">
        <f t="shared" si="15"/>
        <v>10</v>
      </c>
      <c r="AS15" s="435"/>
      <c r="AT15" s="220">
        <v>15</v>
      </c>
      <c r="AU15" s="220">
        <v>1247</v>
      </c>
      <c r="AV15" s="222">
        <f t="shared" si="16"/>
        <v>83.13333333333334</v>
      </c>
      <c r="AW15" s="220">
        <f t="shared" si="17"/>
        <v>8</v>
      </c>
      <c r="AX15" s="435"/>
    </row>
    <row r="16" spans="1:50" ht="14.25">
      <c r="A16" s="213"/>
      <c r="B16" s="436"/>
      <c r="C16" s="220">
        <v>10</v>
      </c>
      <c r="D16" s="220" t="s">
        <v>359</v>
      </c>
      <c r="E16" s="221">
        <f>VLOOKUP(D16,'11產線配置圖'!$A$2:$C$25,2,0)</f>
        <v>17</v>
      </c>
      <c r="F16" s="221">
        <f>VLOOKUP(D16,'11產線配置圖'!$A$2:$C$25,3,0)</f>
        <v>1500</v>
      </c>
      <c r="G16" s="222">
        <f t="shared" si="0"/>
        <v>88.235294117647058</v>
      </c>
      <c r="H16" s="438"/>
      <c r="I16" s="221">
        <f t="shared" si="1"/>
        <v>17</v>
      </c>
      <c r="J16" s="221">
        <f t="shared" si="2"/>
        <v>1424.6666666666667</v>
      </c>
      <c r="K16" s="222">
        <f t="shared" si="3"/>
        <v>83.803921568627459</v>
      </c>
      <c r="L16" s="438"/>
      <c r="M16" s="223">
        <f>RANK(K16, K$7:$K$24)</f>
        <v>7</v>
      </c>
      <c r="N16" s="440"/>
      <c r="O16" s="440"/>
      <c r="P16" s="221"/>
      <c r="Q16" s="221"/>
      <c r="R16" s="222" t="e">
        <f t="shared" si="4"/>
        <v>#DIV/0!</v>
      </c>
      <c r="S16" s="220" t="e">
        <f t="shared" si="5"/>
        <v>#DIV/0!</v>
      </c>
      <c r="T16" s="435"/>
      <c r="U16" s="221"/>
      <c r="V16" s="221"/>
      <c r="W16" s="222" t="e">
        <f t="shared" si="6"/>
        <v>#DIV/0!</v>
      </c>
      <c r="X16" s="220" t="e">
        <f t="shared" si="7"/>
        <v>#DIV/0!</v>
      </c>
      <c r="Y16" s="435"/>
      <c r="Z16" s="220"/>
      <c r="AA16" s="221"/>
      <c r="AB16" s="222" t="e">
        <f t="shared" si="8"/>
        <v>#DIV/0!</v>
      </c>
      <c r="AC16" s="220" t="e">
        <f t="shared" si="9"/>
        <v>#DIV/0!</v>
      </c>
      <c r="AD16" s="435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35"/>
      <c r="AJ16" s="221">
        <v>17</v>
      </c>
      <c r="AK16" s="221">
        <v>1357</v>
      </c>
      <c r="AL16" s="222">
        <f t="shared" si="12"/>
        <v>79.82352941176471</v>
      </c>
      <c r="AM16" s="220">
        <f t="shared" si="13"/>
        <v>7</v>
      </c>
      <c r="AN16" s="435"/>
      <c r="AO16" s="221">
        <v>17</v>
      </c>
      <c r="AP16" s="221">
        <v>1434</v>
      </c>
      <c r="AQ16" s="222">
        <f t="shared" si="14"/>
        <v>84.352941176470594</v>
      </c>
      <c r="AR16" s="220">
        <f t="shared" si="15"/>
        <v>7</v>
      </c>
      <c r="AS16" s="435"/>
      <c r="AT16" s="220">
        <v>17</v>
      </c>
      <c r="AU16" s="220">
        <v>1483</v>
      </c>
      <c r="AV16" s="222">
        <f t="shared" si="16"/>
        <v>87.235294117647058</v>
      </c>
      <c r="AW16" s="220">
        <f t="shared" si="17"/>
        <v>6</v>
      </c>
      <c r="AX16" s="435"/>
    </row>
    <row r="17" spans="2:50">
      <c r="B17" s="436"/>
      <c r="C17" s="220">
        <v>11</v>
      </c>
      <c r="D17" s="220" t="s">
        <v>85</v>
      </c>
      <c r="E17" s="221">
        <f>VLOOKUP(D17,'11產線配置圖'!$A$2:$C$25,2,0)</f>
        <v>15</v>
      </c>
      <c r="F17" s="221">
        <f>VLOOKUP(D17,'11產線配置圖'!$A$2:$C$25,3,0)</f>
        <v>1440</v>
      </c>
      <c r="G17" s="222">
        <f t="shared" si="0"/>
        <v>96</v>
      </c>
      <c r="H17" s="438"/>
      <c r="I17" s="221">
        <f t="shared" si="1"/>
        <v>15</v>
      </c>
      <c r="J17" s="221">
        <f t="shared" si="2"/>
        <v>1104.6666666666667</v>
      </c>
      <c r="K17" s="222">
        <f t="shared" si="3"/>
        <v>73.644444444444446</v>
      </c>
      <c r="L17" s="438"/>
      <c r="M17" s="223">
        <f>RANK(K17, K$7:$K$24)</f>
        <v>10</v>
      </c>
      <c r="N17" s="440"/>
      <c r="O17" s="440"/>
      <c r="P17" s="220"/>
      <c r="Q17" s="220"/>
      <c r="R17" s="222" t="e">
        <f>Q17/P17</f>
        <v>#DIV/0!</v>
      </c>
      <c r="S17" s="220" t="e">
        <f t="shared" si="5"/>
        <v>#DIV/0!</v>
      </c>
      <c r="T17" s="435"/>
      <c r="U17" s="220"/>
      <c r="V17" s="220"/>
      <c r="W17" s="220" t="e">
        <f>V17/U17</f>
        <v>#DIV/0!</v>
      </c>
      <c r="X17" s="220" t="e">
        <f t="shared" si="7"/>
        <v>#DIV/0!</v>
      </c>
      <c r="Y17" s="435"/>
      <c r="Z17" s="220"/>
      <c r="AA17" s="220"/>
      <c r="AB17" s="222" t="e">
        <f>AA17/Z17</f>
        <v>#DIV/0!</v>
      </c>
      <c r="AC17" s="220" t="e">
        <f t="shared" si="9"/>
        <v>#DIV/0!</v>
      </c>
      <c r="AD17" s="435"/>
      <c r="AE17" s="220"/>
      <c r="AF17" s="220"/>
      <c r="AG17" s="222" t="e">
        <f t="shared" si="10"/>
        <v>#DIV/0!</v>
      </c>
      <c r="AH17" s="220" t="e">
        <f t="shared" si="11"/>
        <v>#DIV/0!</v>
      </c>
      <c r="AI17" s="435"/>
      <c r="AJ17" s="220">
        <v>15</v>
      </c>
      <c r="AK17" s="220">
        <v>1034</v>
      </c>
      <c r="AL17" s="222">
        <f>AK17/AJ17</f>
        <v>68.933333333333337</v>
      </c>
      <c r="AM17" s="220">
        <f t="shared" si="13"/>
        <v>10</v>
      </c>
      <c r="AN17" s="435"/>
      <c r="AO17" s="220">
        <v>15</v>
      </c>
      <c r="AP17" s="220">
        <v>1172</v>
      </c>
      <c r="AQ17" s="222">
        <f>AP17/AO17</f>
        <v>78.13333333333334</v>
      </c>
      <c r="AR17" s="220">
        <f t="shared" si="15"/>
        <v>9</v>
      </c>
      <c r="AS17" s="435"/>
      <c r="AT17" s="220">
        <v>15</v>
      </c>
      <c r="AU17" s="220">
        <v>1108</v>
      </c>
      <c r="AV17" s="222">
        <f t="shared" si="16"/>
        <v>73.86666666666666</v>
      </c>
      <c r="AW17" s="220">
        <f t="shared" si="17"/>
        <v>10</v>
      </c>
      <c r="AX17" s="435"/>
    </row>
    <row r="18" spans="2:50">
      <c r="B18" s="436"/>
      <c r="C18" s="220">
        <v>12</v>
      </c>
      <c r="D18" s="220" t="s">
        <v>89</v>
      </c>
      <c r="E18" s="221">
        <f>VLOOKUP(D18,'11產線配置圖'!$A$2:$C$25,2,0)</f>
        <v>16</v>
      </c>
      <c r="F18" s="221">
        <f>VLOOKUP(D18,'11產線配置圖'!$A$2:$C$25,3,0)</f>
        <v>1385</v>
      </c>
      <c r="G18" s="222">
        <f t="shared" si="0"/>
        <v>86.5625</v>
      </c>
      <c r="H18" s="438"/>
      <c r="I18" s="221">
        <f t="shared" si="1"/>
        <v>15</v>
      </c>
      <c r="J18" s="221">
        <f t="shared" si="2"/>
        <v>1191</v>
      </c>
      <c r="K18" s="222">
        <f t="shared" si="3"/>
        <v>79.400000000000006</v>
      </c>
      <c r="L18" s="438"/>
      <c r="M18" s="223">
        <f>RANK(K18, K$7:$K$24)</f>
        <v>8</v>
      </c>
      <c r="N18" s="440"/>
      <c r="O18" s="440"/>
      <c r="P18" s="220"/>
      <c r="Q18" s="220"/>
      <c r="R18" s="222" t="e">
        <f t="shared" si="4"/>
        <v>#DIV/0!</v>
      </c>
      <c r="S18" s="220" t="e">
        <f t="shared" si="5"/>
        <v>#DIV/0!</v>
      </c>
      <c r="T18" s="435"/>
      <c r="U18" s="220"/>
      <c r="V18" s="220"/>
      <c r="W18" s="220" t="e">
        <f t="shared" si="6"/>
        <v>#DIV/0!</v>
      </c>
      <c r="X18" s="220" t="e">
        <f t="shared" si="7"/>
        <v>#DIV/0!</v>
      </c>
      <c r="Y18" s="435"/>
      <c r="Z18" s="220"/>
      <c r="AA18" s="220"/>
      <c r="AB18" s="222" t="e">
        <f>AA18/Z18</f>
        <v>#DIV/0!</v>
      </c>
      <c r="AC18" s="220" t="e">
        <f t="shared" si="9"/>
        <v>#DIV/0!</v>
      </c>
      <c r="AD18" s="435"/>
      <c r="AE18" s="220"/>
      <c r="AF18" s="220"/>
      <c r="AG18" s="222" t="e">
        <f t="shared" si="10"/>
        <v>#DIV/0!</v>
      </c>
      <c r="AH18" s="220" t="e">
        <f t="shared" si="11"/>
        <v>#DIV/0!</v>
      </c>
      <c r="AI18" s="435"/>
      <c r="AJ18" s="220">
        <v>15</v>
      </c>
      <c r="AK18" s="220">
        <v>1173</v>
      </c>
      <c r="AL18" s="222">
        <f>AK18/AJ18</f>
        <v>78.2</v>
      </c>
      <c r="AM18" s="220">
        <f t="shared" si="13"/>
        <v>8</v>
      </c>
      <c r="AN18" s="435"/>
      <c r="AO18" s="220">
        <v>15</v>
      </c>
      <c r="AP18" s="220">
        <v>1209</v>
      </c>
      <c r="AQ18" s="222">
        <f>AP18/AO18</f>
        <v>80.599999999999994</v>
      </c>
      <c r="AR18" s="220">
        <f t="shared" si="15"/>
        <v>8</v>
      </c>
      <c r="AS18" s="435"/>
      <c r="AT18" s="220"/>
      <c r="AU18" s="220"/>
      <c r="AV18" s="222"/>
      <c r="AW18" s="220"/>
      <c r="AX18" s="435"/>
    </row>
    <row r="19" spans="2:50">
      <c r="B19" s="436"/>
      <c r="C19" s="220">
        <v>13</v>
      </c>
      <c r="D19" s="220"/>
      <c r="E19" s="221"/>
      <c r="F19" s="221"/>
      <c r="G19" s="222"/>
      <c r="H19" s="438"/>
      <c r="I19" s="221"/>
      <c r="J19" s="221"/>
      <c r="K19" s="222"/>
      <c r="L19" s="438"/>
      <c r="M19" s="223"/>
      <c r="N19" s="440"/>
      <c r="O19" s="440"/>
      <c r="P19" s="220"/>
      <c r="Q19" s="220"/>
      <c r="R19" s="222" t="e">
        <f t="shared" si="4"/>
        <v>#DIV/0!</v>
      </c>
      <c r="S19" s="220" t="e">
        <f t="shared" si="5"/>
        <v>#DIV/0!</v>
      </c>
      <c r="T19" s="435"/>
      <c r="U19" s="220"/>
      <c r="V19" s="220"/>
      <c r="W19" s="222" t="e">
        <f t="shared" si="6"/>
        <v>#DIV/0!</v>
      </c>
      <c r="X19" s="220" t="e">
        <f t="shared" si="7"/>
        <v>#DIV/0!</v>
      </c>
      <c r="Y19" s="435"/>
      <c r="Z19" s="220"/>
      <c r="AA19" s="220"/>
      <c r="AB19" s="222" t="e">
        <f>AA19/Z19</f>
        <v>#DIV/0!</v>
      </c>
      <c r="AC19" s="220" t="e">
        <f t="shared" si="9"/>
        <v>#DIV/0!</v>
      </c>
      <c r="AD19" s="435"/>
      <c r="AE19" s="220"/>
      <c r="AF19" s="220"/>
      <c r="AG19" s="222" t="e">
        <f t="shared" si="10"/>
        <v>#DIV/0!</v>
      </c>
      <c r="AH19" s="220" t="e">
        <f t="shared" si="11"/>
        <v>#DIV/0!</v>
      </c>
      <c r="AI19" s="435"/>
      <c r="AJ19" s="220"/>
      <c r="AK19" s="220"/>
      <c r="AL19" s="222"/>
      <c r="AM19" s="220"/>
      <c r="AN19" s="435"/>
      <c r="AO19" s="220"/>
      <c r="AP19" s="220"/>
      <c r="AQ19" s="222"/>
      <c r="AR19" s="220"/>
      <c r="AS19" s="435"/>
      <c r="AT19" s="220"/>
      <c r="AU19" s="220"/>
      <c r="AV19" s="222"/>
      <c r="AW19" s="220"/>
      <c r="AX19" s="435"/>
    </row>
    <row r="20" spans="2:50">
      <c r="B20" s="436"/>
      <c r="C20" s="220">
        <v>14</v>
      </c>
      <c r="D20" s="220"/>
      <c r="E20" s="221"/>
      <c r="F20" s="221"/>
      <c r="G20" s="222"/>
      <c r="H20" s="438"/>
      <c r="I20" s="221"/>
      <c r="J20" s="221"/>
      <c r="K20" s="222"/>
      <c r="L20" s="438"/>
      <c r="M20" s="223"/>
      <c r="N20" s="440"/>
      <c r="O20" s="440"/>
      <c r="P20" s="220"/>
      <c r="Q20" s="220"/>
      <c r="R20" s="222" t="e">
        <f t="shared" si="4"/>
        <v>#DIV/0!</v>
      </c>
      <c r="S20" s="220" t="e">
        <f t="shared" si="5"/>
        <v>#DIV/0!</v>
      </c>
      <c r="T20" s="435"/>
      <c r="U20" s="220"/>
      <c r="V20" s="220"/>
      <c r="W20" s="222" t="e">
        <f t="shared" si="6"/>
        <v>#DIV/0!</v>
      </c>
      <c r="X20" s="220" t="e">
        <f t="shared" si="7"/>
        <v>#DIV/0!</v>
      </c>
      <c r="Y20" s="435"/>
      <c r="Z20" s="220"/>
      <c r="AA20" s="220"/>
      <c r="AB20" s="222" t="e">
        <f t="shared" si="8"/>
        <v>#DIV/0!</v>
      </c>
      <c r="AC20" s="220" t="e">
        <f t="shared" si="9"/>
        <v>#DIV/0!</v>
      </c>
      <c r="AD20" s="435"/>
      <c r="AE20" s="220"/>
      <c r="AF20" s="220"/>
      <c r="AG20" s="222" t="e">
        <f t="shared" si="10"/>
        <v>#DIV/0!</v>
      </c>
      <c r="AH20" s="220" t="e">
        <f t="shared" si="11"/>
        <v>#DIV/0!</v>
      </c>
      <c r="AI20" s="435"/>
      <c r="AJ20" s="220"/>
      <c r="AK20" s="220"/>
      <c r="AL20" s="222"/>
      <c r="AM20" s="220"/>
      <c r="AN20" s="435"/>
      <c r="AO20" s="220"/>
      <c r="AP20" s="220"/>
      <c r="AQ20" s="220"/>
      <c r="AR20" s="220"/>
      <c r="AS20" s="435"/>
      <c r="AT20" s="220"/>
      <c r="AU20" s="220"/>
      <c r="AV20" s="222"/>
      <c r="AW20" s="220"/>
      <c r="AX20" s="435"/>
    </row>
    <row r="21" spans="2:50">
      <c r="B21" s="436"/>
      <c r="C21" s="220">
        <v>15</v>
      </c>
      <c r="D21" s="220"/>
      <c r="E21" s="221"/>
      <c r="F21" s="221"/>
      <c r="G21" s="222"/>
      <c r="H21" s="438"/>
      <c r="I21" s="220"/>
      <c r="J21" s="220"/>
      <c r="K21" s="222"/>
      <c r="L21" s="438"/>
      <c r="M21" s="221"/>
      <c r="N21" s="440"/>
      <c r="O21" s="440"/>
      <c r="P21" s="220"/>
      <c r="Q21" s="220"/>
      <c r="R21" s="222" t="e">
        <f t="shared" si="4"/>
        <v>#DIV/0!</v>
      </c>
      <c r="S21" s="220" t="e">
        <f t="shared" si="5"/>
        <v>#DIV/0!</v>
      </c>
      <c r="T21" s="435"/>
      <c r="U21" s="220"/>
      <c r="V21" s="220"/>
      <c r="W21" s="220"/>
      <c r="X21" s="220"/>
      <c r="Y21" s="435"/>
      <c r="Z21" s="220"/>
      <c r="AA21" s="220"/>
      <c r="AB21" s="222"/>
      <c r="AC21" s="220"/>
      <c r="AD21" s="435"/>
      <c r="AE21" s="220"/>
      <c r="AF21" s="220"/>
      <c r="AG21" s="222"/>
      <c r="AH21" s="220"/>
      <c r="AI21" s="435"/>
      <c r="AJ21" s="220"/>
      <c r="AK21" s="220"/>
      <c r="AL21" s="220"/>
      <c r="AM21" s="220"/>
      <c r="AN21" s="435"/>
      <c r="AO21" s="220"/>
      <c r="AP21" s="220"/>
      <c r="AQ21" s="220"/>
      <c r="AR21" s="220"/>
      <c r="AS21" s="435"/>
      <c r="AT21" s="220"/>
      <c r="AU21" s="220"/>
      <c r="AV21" s="222"/>
      <c r="AW21" s="220"/>
      <c r="AX21" s="435"/>
    </row>
    <row r="22" spans="2:50">
      <c r="B22" s="436"/>
      <c r="C22" s="220">
        <v>16</v>
      </c>
      <c r="D22" s="220"/>
      <c r="E22" s="221"/>
      <c r="F22" s="221"/>
      <c r="G22" s="222"/>
      <c r="H22" s="438"/>
      <c r="I22" s="220"/>
      <c r="J22" s="220"/>
      <c r="K22" s="220"/>
      <c r="L22" s="438"/>
      <c r="M22" s="221"/>
      <c r="N22" s="440"/>
      <c r="O22" s="440"/>
      <c r="P22" s="220"/>
      <c r="Q22" s="220"/>
      <c r="R22" s="222" t="e">
        <f>Q22/P22</f>
        <v>#DIV/0!</v>
      </c>
      <c r="S22" s="220" t="e">
        <f>RANK(R22, R$7:R$24)</f>
        <v>#DIV/0!</v>
      </c>
      <c r="T22" s="435"/>
      <c r="U22" s="220"/>
      <c r="V22" s="220"/>
      <c r="W22" s="220"/>
      <c r="X22" s="220"/>
      <c r="Y22" s="435"/>
      <c r="Z22" s="220"/>
      <c r="AA22" s="220"/>
      <c r="AB22" s="220"/>
      <c r="AC22" s="220"/>
      <c r="AD22" s="435"/>
      <c r="AE22" s="220"/>
      <c r="AF22" s="220"/>
      <c r="AG22" s="222"/>
      <c r="AH22" s="220"/>
      <c r="AI22" s="435"/>
      <c r="AJ22" s="220"/>
      <c r="AK22" s="220"/>
      <c r="AL22" s="220"/>
      <c r="AM22" s="220"/>
      <c r="AN22" s="435"/>
      <c r="AO22" s="220"/>
      <c r="AP22" s="220"/>
      <c r="AQ22" s="220"/>
      <c r="AR22" s="220"/>
      <c r="AS22" s="435"/>
      <c r="AT22" s="220"/>
      <c r="AU22" s="220"/>
      <c r="AV22" s="220"/>
      <c r="AW22" s="220"/>
      <c r="AX22" s="435"/>
    </row>
    <row r="23" spans="2:50">
      <c r="B23" s="436"/>
      <c r="C23" s="220">
        <v>17</v>
      </c>
      <c r="D23" s="220"/>
      <c r="E23" s="221"/>
      <c r="F23" s="221"/>
      <c r="G23" s="222"/>
      <c r="H23" s="438"/>
      <c r="I23" s="220"/>
      <c r="J23" s="220"/>
      <c r="K23" s="220"/>
      <c r="L23" s="438"/>
      <c r="M23" s="221"/>
      <c r="N23" s="440"/>
      <c r="O23" s="440"/>
      <c r="P23" s="220"/>
      <c r="Q23" s="220"/>
      <c r="R23" s="222" t="e">
        <f>Q23/P23</f>
        <v>#DIV/0!</v>
      </c>
      <c r="S23" s="220" t="e">
        <f>RANK(R23, R$7:R$24)</f>
        <v>#DIV/0!</v>
      </c>
      <c r="T23" s="435"/>
      <c r="U23" s="220"/>
      <c r="V23" s="220"/>
      <c r="W23" s="220"/>
      <c r="X23" s="220"/>
      <c r="Y23" s="435"/>
      <c r="Z23" s="220"/>
      <c r="AA23" s="220"/>
      <c r="AB23" s="220"/>
      <c r="AC23" s="220"/>
      <c r="AD23" s="435"/>
      <c r="AE23" s="220"/>
      <c r="AF23" s="220"/>
      <c r="AG23" s="222"/>
      <c r="AH23" s="220"/>
      <c r="AI23" s="435"/>
      <c r="AJ23" s="220"/>
      <c r="AK23" s="220"/>
      <c r="AL23" s="220"/>
      <c r="AM23" s="220"/>
      <c r="AN23" s="435"/>
      <c r="AO23" s="220"/>
      <c r="AP23" s="220"/>
      <c r="AQ23" s="220"/>
      <c r="AR23" s="220"/>
      <c r="AS23" s="435"/>
      <c r="AT23" s="220"/>
      <c r="AU23" s="220"/>
      <c r="AV23" s="220"/>
      <c r="AW23" s="220"/>
      <c r="AX23" s="435"/>
    </row>
    <row r="24" spans="2:50">
      <c r="B24" s="436"/>
      <c r="C24" s="220">
        <v>18</v>
      </c>
      <c r="D24" s="220"/>
      <c r="E24" s="221"/>
      <c r="F24" s="221"/>
      <c r="G24" s="222"/>
      <c r="H24" s="439"/>
      <c r="I24" s="220"/>
      <c r="J24" s="220"/>
      <c r="K24" s="220"/>
      <c r="L24" s="439"/>
      <c r="M24" s="221"/>
      <c r="N24" s="440"/>
      <c r="O24" s="440"/>
      <c r="P24" s="220"/>
      <c r="Q24" s="220"/>
      <c r="R24" s="222" t="e">
        <f t="shared" si="4"/>
        <v>#DIV/0!</v>
      </c>
      <c r="S24" s="220" t="e">
        <f t="shared" si="5"/>
        <v>#DIV/0!</v>
      </c>
      <c r="T24" s="435"/>
      <c r="U24" s="220"/>
      <c r="V24" s="220"/>
      <c r="W24" s="220"/>
      <c r="X24" s="220"/>
      <c r="Y24" s="435"/>
      <c r="Z24" s="220"/>
      <c r="AA24" s="220"/>
      <c r="AB24" s="220"/>
      <c r="AC24" s="220"/>
      <c r="AD24" s="435"/>
      <c r="AE24" s="220"/>
      <c r="AF24" s="220"/>
      <c r="AG24" s="222"/>
      <c r="AH24" s="220"/>
      <c r="AI24" s="435"/>
      <c r="AJ24" s="220"/>
      <c r="AK24" s="220"/>
      <c r="AL24" s="220"/>
      <c r="AM24" s="220"/>
      <c r="AN24" s="435"/>
      <c r="AO24" s="220"/>
      <c r="AP24" s="220"/>
      <c r="AQ24" s="220"/>
      <c r="AR24" s="220"/>
      <c r="AS24" s="435"/>
      <c r="AT24" s="220"/>
      <c r="AU24" s="220"/>
      <c r="AV24" s="220"/>
      <c r="AW24" s="220"/>
      <c r="AX24" s="435"/>
    </row>
    <row r="25" spans="2:50" ht="15.75">
      <c r="B25" s="455" t="s">
        <v>44</v>
      </c>
      <c r="C25" s="456"/>
      <c r="D25" s="456"/>
      <c r="E25" s="456"/>
      <c r="F25" s="456"/>
      <c r="G25" s="456"/>
      <c r="H25" s="456"/>
      <c r="I25" s="214"/>
      <c r="J25" s="214"/>
      <c r="K25" s="214"/>
      <c r="L25" s="214"/>
      <c r="M25" s="215"/>
      <c r="N25" s="449" t="s">
        <v>45</v>
      </c>
      <c r="O25" s="449" t="s">
        <v>3</v>
      </c>
      <c r="P25" s="444">
        <v>45965</v>
      </c>
      <c r="Q25" s="436"/>
      <c r="R25" s="436"/>
      <c r="S25" s="436"/>
      <c r="T25" s="436"/>
      <c r="U25" s="444">
        <v>45966</v>
      </c>
      <c r="V25" s="436"/>
      <c r="W25" s="436"/>
      <c r="X25" s="436"/>
      <c r="Y25" s="436"/>
      <c r="Z25" s="444">
        <v>45967</v>
      </c>
      <c r="AA25" s="436"/>
      <c r="AB25" s="436"/>
      <c r="AC25" s="436"/>
      <c r="AD25" s="436"/>
      <c r="AE25" s="444">
        <v>45968</v>
      </c>
      <c r="AF25" s="436"/>
      <c r="AG25" s="436"/>
      <c r="AH25" s="436"/>
      <c r="AI25" s="436"/>
      <c r="AJ25" s="444">
        <v>45969</v>
      </c>
      <c r="AK25" s="436"/>
      <c r="AL25" s="436"/>
      <c r="AM25" s="436"/>
      <c r="AN25" s="436"/>
      <c r="AO25" s="444">
        <v>45970</v>
      </c>
      <c r="AP25" s="436"/>
      <c r="AQ25" s="436"/>
      <c r="AR25" s="436"/>
      <c r="AS25" s="436"/>
      <c r="AT25" s="444">
        <v>45971</v>
      </c>
      <c r="AU25" s="436"/>
      <c r="AV25" s="436"/>
      <c r="AW25" s="436"/>
      <c r="AX25" s="436"/>
    </row>
    <row r="26" spans="2:50" ht="15.75">
      <c r="B26" s="454"/>
      <c r="C26" s="454"/>
      <c r="D26" s="454"/>
      <c r="E26" s="454"/>
      <c r="F26" s="454"/>
      <c r="G26" s="454"/>
      <c r="H26" s="454"/>
      <c r="I26" s="216"/>
      <c r="J26" s="216"/>
      <c r="K26" s="216"/>
      <c r="L26" s="216"/>
      <c r="M26" s="217"/>
      <c r="N26" s="451"/>
      <c r="O26" s="451"/>
      <c r="P26" s="444" t="s">
        <v>16</v>
      </c>
      <c r="Q26" s="436"/>
      <c r="R26" s="436"/>
      <c r="S26" s="436"/>
      <c r="T26" s="436"/>
      <c r="U26" s="444" t="s">
        <v>17</v>
      </c>
      <c r="V26" s="436"/>
      <c r="W26" s="436"/>
      <c r="X26" s="436"/>
      <c r="Y26" s="436"/>
      <c r="Z26" s="444" t="s">
        <v>18</v>
      </c>
      <c r="AA26" s="436"/>
      <c r="AB26" s="436"/>
      <c r="AC26" s="436"/>
      <c r="AD26" s="436"/>
      <c r="AE26" s="444" t="s">
        <v>19</v>
      </c>
      <c r="AF26" s="436"/>
      <c r="AG26" s="436"/>
      <c r="AH26" s="436"/>
      <c r="AI26" s="436"/>
      <c r="AJ26" s="444" t="s">
        <v>14</v>
      </c>
      <c r="AK26" s="436"/>
      <c r="AL26" s="436"/>
      <c r="AM26" s="436"/>
      <c r="AN26" s="436"/>
      <c r="AO26" s="444" t="s">
        <v>10</v>
      </c>
      <c r="AP26" s="436"/>
      <c r="AQ26" s="436"/>
      <c r="AR26" s="436"/>
      <c r="AS26" s="436"/>
      <c r="AT26" s="444" t="s">
        <v>15</v>
      </c>
      <c r="AU26" s="436"/>
      <c r="AV26" s="436"/>
      <c r="AW26" s="436"/>
      <c r="AX26" s="436"/>
    </row>
    <row r="27" spans="2:50">
      <c r="B27" s="440" t="s">
        <v>46</v>
      </c>
      <c r="C27" s="445" t="s">
        <v>47</v>
      </c>
      <c r="D27" s="440"/>
      <c r="E27" s="440" t="s">
        <v>48</v>
      </c>
      <c r="F27" s="440"/>
      <c r="G27" s="440"/>
      <c r="H27" s="446" t="s">
        <v>49</v>
      </c>
      <c r="I27" s="440" t="s">
        <v>50</v>
      </c>
      <c r="J27" s="440"/>
      <c r="K27" s="440"/>
      <c r="L27" s="446" t="s">
        <v>49</v>
      </c>
      <c r="M27" s="449" t="s">
        <v>51</v>
      </c>
      <c r="N27" s="440"/>
      <c r="O27" s="440" t="s">
        <v>52</v>
      </c>
      <c r="P27" s="441" t="s">
        <v>53</v>
      </c>
      <c r="Q27" s="442"/>
      <c r="R27" s="442"/>
      <c r="S27" s="443"/>
      <c r="T27" s="440" t="s">
        <v>49</v>
      </c>
      <c r="U27" s="441" t="s">
        <v>53</v>
      </c>
      <c r="V27" s="442"/>
      <c r="W27" s="442"/>
      <c r="X27" s="443"/>
      <c r="Y27" s="440" t="s">
        <v>49</v>
      </c>
      <c r="Z27" s="441" t="s">
        <v>53</v>
      </c>
      <c r="AA27" s="442"/>
      <c r="AB27" s="442"/>
      <c r="AC27" s="443"/>
      <c r="AD27" s="440" t="s">
        <v>49</v>
      </c>
      <c r="AE27" s="441" t="s">
        <v>53</v>
      </c>
      <c r="AF27" s="442"/>
      <c r="AG27" s="442"/>
      <c r="AH27" s="443"/>
      <c r="AI27" s="440" t="s">
        <v>49</v>
      </c>
      <c r="AJ27" s="441" t="s">
        <v>53</v>
      </c>
      <c r="AK27" s="442"/>
      <c r="AL27" s="442"/>
      <c r="AM27" s="443"/>
      <c r="AN27" s="440" t="s">
        <v>49</v>
      </c>
      <c r="AO27" s="441" t="s">
        <v>53</v>
      </c>
      <c r="AP27" s="442"/>
      <c r="AQ27" s="442"/>
      <c r="AR27" s="443"/>
      <c r="AS27" s="440" t="s">
        <v>49</v>
      </c>
      <c r="AT27" s="441" t="s">
        <v>53</v>
      </c>
      <c r="AU27" s="442"/>
      <c r="AV27" s="442"/>
      <c r="AW27" s="443"/>
      <c r="AX27" s="440" t="s">
        <v>49</v>
      </c>
    </row>
    <row r="28" spans="2:50">
      <c r="B28" s="440"/>
      <c r="C28" s="440"/>
      <c r="D28" s="440"/>
      <c r="E28" s="440" t="s">
        <v>54</v>
      </c>
      <c r="F28" s="440"/>
      <c r="G28" s="440"/>
      <c r="H28" s="447"/>
      <c r="I28" s="440" t="s">
        <v>54</v>
      </c>
      <c r="J28" s="440"/>
      <c r="K28" s="440"/>
      <c r="L28" s="447"/>
      <c r="M28" s="450"/>
      <c r="N28" s="440"/>
      <c r="O28" s="440"/>
      <c r="P28" s="441" t="s">
        <v>55</v>
      </c>
      <c r="Q28" s="442"/>
      <c r="R28" s="442"/>
      <c r="S28" s="443"/>
      <c r="T28" s="440"/>
      <c r="U28" s="441" t="s">
        <v>55</v>
      </c>
      <c r="V28" s="442"/>
      <c r="W28" s="442"/>
      <c r="X28" s="443"/>
      <c r="Y28" s="440"/>
      <c r="Z28" s="441" t="s">
        <v>55</v>
      </c>
      <c r="AA28" s="442"/>
      <c r="AB28" s="442"/>
      <c r="AC28" s="443"/>
      <c r="AD28" s="440"/>
      <c r="AE28" s="441" t="s">
        <v>55</v>
      </c>
      <c r="AF28" s="442"/>
      <c r="AG28" s="442"/>
      <c r="AH28" s="443"/>
      <c r="AI28" s="440"/>
      <c r="AJ28" s="441" t="s">
        <v>55</v>
      </c>
      <c r="AK28" s="442"/>
      <c r="AL28" s="442"/>
      <c r="AM28" s="443"/>
      <c r="AN28" s="440"/>
      <c r="AO28" s="441" t="s">
        <v>55</v>
      </c>
      <c r="AP28" s="442"/>
      <c r="AQ28" s="442"/>
      <c r="AR28" s="443"/>
      <c r="AS28" s="440"/>
      <c r="AT28" s="441" t="s">
        <v>55</v>
      </c>
      <c r="AU28" s="442"/>
      <c r="AV28" s="442"/>
      <c r="AW28" s="443"/>
      <c r="AX28" s="440"/>
    </row>
    <row r="29" spans="2:50">
      <c r="B29" s="440"/>
      <c r="C29" s="440"/>
      <c r="D29" s="440"/>
      <c r="E29" s="219" t="s">
        <v>56</v>
      </c>
      <c r="F29" s="219" t="s">
        <v>57</v>
      </c>
      <c r="G29" s="219" t="s">
        <v>58</v>
      </c>
      <c r="H29" s="448"/>
      <c r="I29" s="219" t="s">
        <v>56</v>
      </c>
      <c r="J29" s="219" t="s">
        <v>57</v>
      </c>
      <c r="K29" s="219" t="s">
        <v>58</v>
      </c>
      <c r="L29" s="448"/>
      <c r="M29" s="451"/>
      <c r="N29" s="440"/>
      <c r="O29" s="440"/>
      <c r="P29" s="219" t="s">
        <v>56</v>
      </c>
      <c r="Q29" s="219" t="s">
        <v>57</v>
      </c>
      <c r="R29" s="219" t="s">
        <v>58</v>
      </c>
      <c r="S29" s="219" t="s">
        <v>51</v>
      </c>
      <c r="T29" s="440"/>
      <c r="U29" s="219" t="s">
        <v>56</v>
      </c>
      <c r="V29" s="219" t="s">
        <v>57</v>
      </c>
      <c r="W29" s="219" t="s">
        <v>58</v>
      </c>
      <c r="X29" s="219" t="s">
        <v>51</v>
      </c>
      <c r="Y29" s="440"/>
      <c r="Z29" s="219" t="s">
        <v>56</v>
      </c>
      <c r="AA29" s="219" t="s">
        <v>57</v>
      </c>
      <c r="AB29" s="219" t="s">
        <v>58</v>
      </c>
      <c r="AC29" s="219" t="s">
        <v>51</v>
      </c>
      <c r="AD29" s="440"/>
      <c r="AE29" s="219" t="s">
        <v>56</v>
      </c>
      <c r="AF29" s="219" t="s">
        <v>57</v>
      </c>
      <c r="AG29" s="219" t="s">
        <v>58</v>
      </c>
      <c r="AH29" s="219" t="s">
        <v>51</v>
      </c>
      <c r="AI29" s="440"/>
      <c r="AJ29" s="219" t="s">
        <v>56</v>
      </c>
      <c r="AK29" s="219" t="s">
        <v>57</v>
      </c>
      <c r="AL29" s="219" t="s">
        <v>58</v>
      </c>
      <c r="AM29" s="219" t="s">
        <v>51</v>
      </c>
      <c r="AN29" s="440"/>
      <c r="AO29" s="219" t="s">
        <v>56</v>
      </c>
      <c r="AP29" s="219" t="s">
        <v>57</v>
      </c>
      <c r="AQ29" s="219" t="s">
        <v>58</v>
      </c>
      <c r="AR29" s="219" t="s">
        <v>51</v>
      </c>
      <c r="AS29" s="440"/>
      <c r="AT29" s="219" t="s">
        <v>56</v>
      </c>
      <c r="AU29" s="219" t="s">
        <v>57</v>
      </c>
      <c r="AV29" s="219" t="s">
        <v>58</v>
      </c>
      <c r="AW29" s="219" t="s">
        <v>51</v>
      </c>
      <c r="AX29" s="440"/>
    </row>
    <row r="30" spans="2:50" ht="13.5">
      <c r="B30" s="436" t="s">
        <v>316</v>
      </c>
      <c r="C30" s="220">
        <v>1</v>
      </c>
      <c r="D30" s="224" t="s">
        <v>75</v>
      </c>
      <c r="E30" s="221">
        <f>VLOOKUP(D30,'11產線配置圖'!$A$2:$C$25,2,0)</f>
        <v>12</v>
      </c>
      <c r="F30" s="221">
        <f>VLOOKUP(D30,'11產線配置圖'!$A$2:$C$25,3,0)</f>
        <v>2000</v>
      </c>
      <c r="G30" s="222">
        <f>F30/E30</f>
        <v>166.66666666666666</v>
      </c>
      <c r="H30" s="437">
        <f>AVERAGE(G30:G47)</f>
        <v>112.6054621100577</v>
      </c>
      <c r="I30" s="221">
        <f>AVERAGE(P30,U30,Z30,AE30,AJ30,AO30,AT30)</f>
        <v>12.428571428571429</v>
      </c>
      <c r="J30" s="221">
        <f>AVERAGE(Q30,V30,AA30,AF30,AK30,AP30,AU30)</f>
        <v>1859</v>
      </c>
      <c r="K30" s="222">
        <f>AVERAGE(R30,W30,AB30,AG30,AL30,AQ30,AV30)</f>
        <v>149.66666666666669</v>
      </c>
      <c r="L30" s="437">
        <f>IFERROR(AVERAGE(K30:K47),"-")</f>
        <v>100.1352524134935</v>
      </c>
      <c r="M30" s="223">
        <f>RANK(K30, K$30:$K$47)</f>
        <v>1</v>
      </c>
      <c r="N30" s="440"/>
      <c r="O30" s="440"/>
      <c r="P30" s="221">
        <v>12</v>
      </c>
      <c r="Q30" s="221">
        <v>1917</v>
      </c>
      <c r="R30" s="222">
        <f>Q30/P30</f>
        <v>159.75</v>
      </c>
      <c r="S30" s="220">
        <f>RANK(R30,$R$30:$R$47)</f>
        <v>1</v>
      </c>
      <c r="T30" s="435">
        <f>AVERAGE(R30:R47)</f>
        <v>103.83545694537372</v>
      </c>
      <c r="U30" s="221">
        <v>12</v>
      </c>
      <c r="V30" s="221">
        <v>1889</v>
      </c>
      <c r="W30" s="222">
        <f>V30/U30</f>
        <v>157.41666666666666</v>
      </c>
      <c r="X30" s="220">
        <f>RANK(W30, $W$30:$W$47)</f>
        <v>1</v>
      </c>
      <c r="Y30" s="435">
        <f>AVERAGE(W30:W47)</f>
        <v>104.07621234616202</v>
      </c>
      <c r="Z30" s="221">
        <v>13</v>
      </c>
      <c r="AA30" s="221">
        <v>1842</v>
      </c>
      <c r="AB30" s="222">
        <f>AA30/Z30</f>
        <v>141.69230769230768</v>
      </c>
      <c r="AC30" s="220">
        <f>RANK(AB30, $AB$30:$AB$47)</f>
        <v>1</v>
      </c>
      <c r="AD30" s="435">
        <f>AVERAGE(AB30:AB47)</f>
        <v>97.652557944005309</v>
      </c>
      <c r="AE30" s="221">
        <v>12</v>
      </c>
      <c r="AF30" s="221">
        <v>1766</v>
      </c>
      <c r="AG30" s="222">
        <f>AF30/AE30</f>
        <v>147.16666666666666</v>
      </c>
      <c r="AH30" s="220">
        <f>RANK(AG30, $AG$30:$AG$47)</f>
        <v>1</v>
      </c>
      <c r="AI30" s="435">
        <f>AVERAGE(AG30:AG47)</f>
        <v>98.493757631257651</v>
      </c>
      <c r="AJ30" s="221">
        <v>12</v>
      </c>
      <c r="AK30" s="221">
        <v>1708</v>
      </c>
      <c r="AL30" s="222">
        <f>AK30/AJ30</f>
        <v>142.33333333333334</v>
      </c>
      <c r="AM30" s="220">
        <f>RANK(AL30, $AL$30:$AL$47)</f>
        <v>1</v>
      </c>
      <c r="AN30" s="435">
        <f>AVERAGE(AL30:AL47)</f>
        <v>100.1922375382902</v>
      </c>
      <c r="AO30" s="221">
        <v>13</v>
      </c>
      <c r="AP30" s="221">
        <v>1967</v>
      </c>
      <c r="AQ30" s="222">
        <f>AP30/AO30</f>
        <v>151.30769230769232</v>
      </c>
      <c r="AR30" s="220">
        <f>RANK(AQ30,$AQ$30:$AQ$47)</f>
        <v>1</v>
      </c>
      <c r="AS30" s="435">
        <f>AVERAGE(AQ30:AQ47)</f>
        <v>98.659491276267588</v>
      </c>
      <c r="AT30" s="221">
        <v>13</v>
      </c>
      <c r="AU30" s="221">
        <v>1924</v>
      </c>
      <c r="AV30" s="222">
        <f>AU30/AT30</f>
        <v>148</v>
      </c>
      <c r="AW30" s="220">
        <f>RANK(AV30, $AV$30:$AV$47)</f>
        <v>1</v>
      </c>
      <c r="AX30" s="435">
        <f>AVERAGE(AV30:AV47)</f>
        <v>98.037053213098091</v>
      </c>
    </row>
    <row r="31" spans="2:50">
      <c r="B31" s="436"/>
      <c r="C31" s="220">
        <v>2</v>
      </c>
      <c r="D31" s="220" t="s">
        <v>76</v>
      </c>
      <c r="E31" s="221">
        <f>VLOOKUP(D31,'11產線配置圖'!$A$2:$C$25,2,0)</f>
        <v>13</v>
      </c>
      <c r="F31" s="221">
        <f>VLOOKUP(D31,'11產線配置圖'!$A$2:$C$25,3,0)</f>
        <v>2000</v>
      </c>
      <c r="G31" s="222">
        <f t="shared" ref="G31:G41" si="18">F31/E31</f>
        <v>153.84615384615384</v>
      </c>
      <c r="H31" s="438"/>
      <c r="I31" s="221">
        <f t="shared" ref="I31:K41" si="19">AVERAGE(P31,U31,Z31,AE31,AJ31,AO31,AT31)</f>
        <v>14</v>
      </c>
      <c r="J31" s="221">
        <f t="shared" si="19"/>
        <v>1897.1428571428571</v>
      </c>
      <c r="K31" s="222">
        <f t="shared" si="19"/>
        <v>135.87849293563579</v>
      </c>
      <c r="L31" s="438"/>
      <c r="M31" s="223">
        <f>RANK(K31, K$30:$K$47)</f>
        <v>3</v>
      </c>
      <c r="N31" s="440"/>
      <c r="O31" s="440"/>
      <c r="P31" s="221">
        <v>13</v>
      </c>
      <c r="Q31" s="221">
        <v>1902</v>
      </c>
      <c r="R31" s="222">
        <f t="shared" ref="R31:R39" si="20">Q31/P31</f>
        <v>146.30769230769232</v>
      </c>
      <c r="S31" s="220">
        <f t="shared" ref="S31:S41" si="21">RANK(R31,$R$30:$R$47)</f>
        <v>3</v>
      </c>
      <c r="T31" s="435"/>
      <c r="U31" s="221">
        <v>13</v>
      </c>
      <c r="V31" s="221">
        <v>1942</v>
      </c>
      <c r="W31" s="222">
        <f t="shared" ref="W31:W39" si="22">V31/U31</f>
        <v>149.38461538461539</v>
      </c>
      <c r="X31" s="220">
        <f t="shared" ref="X31:X41" si="23">RANK(W31, $W$30:$W$47)</f>
        <v>2</v>
      </c>
      <c r="Y31" s="435"/>
      <c r="Z31" s="221">
        <v>14</v>
      </c>
      <c r="AA31" s="221">
        <v>1900</v>
      </c>
      <c r="AB31" s="222">
        <f t="shared" ref="AB31:AB39" si="24">AA31/Z31</f>
        <v>135.71428571428572</v>
      </c>
      <c r="AC31" s="220">
        <f t="shared" ref="AC31:AC41" si="25">RANK(AB31, $AB$30:$AB$47)</f>
        <v>2</v>
      </c>
      <c r="AD31" s="435"/>
      <c r="AE31" s="221">
        <v>14</v>
      </c>
      <c r="AF31" s="221">
        <v>1784</v>
      </c>
      <c r="AG31" s="222">
        <f t="shared" ref="AG31:AG39" si="26">AF31/AE31</f>
        <v>127.42857142857143</v>
      </c>
      <c r="AH31" s="220">
        <f t="shared" ref="AH31:AH41" si="27">RANK(AG31, $AG$30:$AG$47)</f>
        <v>4</v>
      </c>
      <c r="AI31" s="435"/>
      <c r="AJ31" s="221">
        <v>14</v>
      </c>
      <c r="AK31" s="221">
        <v>1858</v>
      </c>
      <c r="AL31" s="222">
        <f t="shared" ref="AL31:AL39" si="28">AK31/AJ31</f>
        <v>132.71428571428572</v>
      </c>
      <c r="AM31" s="220">
        <f t="shared" ref="AM31:AM41" si="29">RANK(AL31, $AL$30:$AL$47)</f>
        <v>3</v>
      </c>
      <c r="AN31" s="435"/>
      <c r="AO31" s="221">
        <v>15</v>
      </c>
      <c r="AP31" s="221">
        <v>1946</v>
      </c>
      <c r="AQ31" s="222">
        <f>AP31/AO31</f>
        <v>129.73333333333332</v>
      </c>
      <c r="AR31" s="220">
        <f>RANK(AQ31,$AQ$30:$AQ$47)</f>
        <v>3</v>
      </c>
      <c r="AS31" s="435"/>
      <c r="AT31" s="221">
        <v>15</v>
      </c>
      <c r="AU31" s="221">
        <v>1948</v>
      </c>
      <c r="AV31" s="222">
        <f t="shared" ref="AV31:AV41" si="30">AU31/AT31</f>
        <v>129.86666666666667</v>
      </c>
      <c r="AW31" s="220">
        <f t="shared" ref="AW31:AW41" si="31">RANK(AV31, $AV$30:$AV$47)</f>
        <v>3</v>
      </c>
      <c r="AX31" s="435"/>
    </row>
    <row r="32" spans="2:50">
      <c r="B32" s="436"/>
      <c r="C32" s="220">
        <v>3</v>
      </c>
      <c r="D32" s="220" t="s">
        <v>78</v>
      </c>
      <c r="E32" s="221">
        <f>VLOOKUP(D32,'11產線配置圖'!$A$2:$C$25,2,0)</f>
        <v>15</v>
      </c>
      <c r="F32" s="221">
        <f>VLOOKUP(D32,'11產線配置圖'!$A$2:$C$25,3,0)</f>
        <v>2000</v>
      </c>
      <c r="G32" s="222">
        <f t="shared" si="18"/>
        <v>133.33333333333334</v>
      </c>
      <c r="H32" s="438"/>
      <c r="I32" s="221">
        <f t="shared" si="19"/>
        <v>13.714285714285714</v>
      </c>
      <c r="J32" s="221">
        <f t="shared" si="19"/>
        <v>1868.2857142857142</v>
      </c>
      <c r="K32" s="222">
        <f>AVERAGE(R32,W32,AB32,AG32,AL32,AQ32,AV32)</f>
        <v>136.37048665620094</v>
      </c>
      <c r="L32" s="438"/>
      <c r="M32" s="223">
        <f>RANK(K32, K$30:$K$47)</f>
        <v>2</v>
      </c>
      <c r="N32" s="440"/>
      <c r="O32" s="440"/>
      <c r="P32" s="221">
        <v>13</v>
      </c>
      <c r="Q32" s="221">
        <v>1918</v>
      </c>
      <c r="R32" s="222">
        <f t="shared" si="20"/>
        <v>147.53846153846155</v>
      </c>
      <c r="S32" s="220">
        <f t="shared" si="21"/>
        <v>2</v>
      </c>
      <c r="T32" s="435"/>
      <c r="U32" s="221">
        <v>13</v>
      </c>
      <c r="V32" s="221">
        <v>1804</v>
      </c>
      <c r="W32" s="222">
        <f t="shared" si="22"/>
        <v>138.76923076923077</v>
      </c>
      <c r="X32" s="220">
        <f t="shared" si="23"/>
        <v>4</v>
      </c>
      <c r="Y32" s="435"/>
      <c r="Z32" s="221">
        <v>14</v>
      </c>
      <c r="AA32" s="221">
        <v>1802</v>
      </c>
      <c r="AB32" s="222">
        <f t="shared" si="24"/>
        <v>128.71428571428572</v>
      </c>
      <c r="AC32" s="220">
        <f t="shared" si="25"/>
        <v>3</v>
      </c>
      <c r="AD32" s="435"/>
      <c r="AE32" s="221">
        <v>14</v>
      </c>
      <c r="AF32" s="221">
        <v>1959</v>
      </c>
      <c r="AG32" s="222">
        <f t="shared" si="26"/>
        <v>139.92857142857142</v>
      </c>
      <c r="AH32" s="220">
        <f t="shared" si="27"/>
        <v>2</v>
      </c>
      <c r="AI32" s="435"/>
      <c r="AJ32" s="221">
        <v>14</v>
      </c>
      <c r="AK32" s="221">
        <v>1980</v>
      </c>
      <c r="AL32" s="222">
        <f>AK32/AJ32</f>
        <v>141.42857142857142</v>
      </c>
      <c r="AM32" s="220">
        <f>RANK(AL32, $AL$30:$AL$47)</f>
        <v>2</v>
      </c>
      <c r="AN32" s="435"/>
      <c r="AO32" s="221">
        <v>14</v>
      </c>
      <c r="AP32" s="221">
        <v>1837</v>
      </c>
      <c r="AQ32" s="222">
        <f t="shared" ref="AQ32:AQ41" si="32">AP32/AO32</f>
        <v>131.21428571428572</v>
      </c>
      <c r="AR32" s="220">
        <f t="shared" ref="AR32:AR41" si="33">RANK(AQ32,$AQ$30:$AQ$47)</f>
        <v>2</v>
      </c>
      <c r="AS32" s="435"/>
      <c r="AT32" s="221">
        <v>14</v>
      </c>
      <c r="AU32" s="221">
        <v>1778</v>
      </c>
      <c r="AV32" s="222">
        <f t="shared" si="30"/>
        <v>127</v>
      </c>
      <c r="AW32" s="220">
        <f t="shared" si="31"/>
        <v>4</v>
      </c>
      <c r="AX32" s="435"/>
    </row>
    <row r="33" spans="2:50">
      <c r="B33" s="436"/>
      <c r="C33" s="220">
        <v>4</v>
      </c>
      <c r="D33" s="220" t="s">
        <v>182</v>
      </c>
      <c r="E33" s="221">
        <f>VLOOKUP(D33,'11產線配置圖'!$A$2:$C$25,2,0)</f>
        <v>18</v>
      </c>
      <c r="F33" s="221">
        <f>VLOOKUP(D33,'11產線配置圖'!$A$2:$C$25,3,0)</f>
        <v>1565</v>
      </c>
      <c r="G33" s="222">
        <f t="shared" si="18"/>
        <v>86.944444444444443</v>
      </c>
      <c r="H33" s="438"/>
      <c r="I33" s="221">
        <f t="shared" si="19"/>
        <v>18</v>
      </c>
      <c r="J33" s="221">
        <f t="shared" si="19"/>
        <v>1520.7142857142858</v>
      </c>
      <c r="K33" s="222">
        <f t="shared" si="19"/>
        <v>84.484126984126988</v>
      </c>
      <c r="L33" s="438"/>
      <c r="M33" s="223">
        <f>RANK(K33, K$30:$K$47)</f>
        <v>7</v>
      </c>
      <c r="N33" s="440"/>
      <c r="O33" s="440"/>
      <c r="P33" s="221">
        <v>18</v>
      </c>
      <c r="Q33" s="221">
        <v>1537</v>
      </c>
      <c r="R33" s="222">
        <f t="shared" si="20"/>
        <v>85.388888888888886</v>
      </c>
      <c r="S33" s="220">
        <f t="shared" si="21"/>
        <v>6</v>
      </c>
      <c r="T33" s="435"/>
      <c r="U33" s="221">
        <v>18</v>
      </c>
      <c r="V33" s="221">
        <v>1460</v>
      </c>
      <c r="W33" s="222">
        <f t="shared" si="22"/>
        <v>81.111111111111114</v>
      </c>
      <c r="X33" s="220">
        <f t="shared" si="23"/>
        <v>9</v>
      </c>
      <c r="Y33" s="435"/>
      <c r="Z33" s="221">
        <v>18</v>
      </c>
      <c r="AA33" s="221">
        <v>1600</v>
      </c>
      <c r="AB33" s="222">
        <f t="shared" si="24"/>
        <v>88.888888888888886</v>
      </c>
      <c r="AC33" s="220">
        <f t="shared" si="25"/>
        <v>6</v>
      </c>
      <c r="AD33" s="435"/>
      <c r="AE33" s="221">
        <v>18</v>
      </c>
      <c r="AF33" s="221">
        <v>1467</v>
      </c>
      <c r="AG33" s="222">
        <f t="shared" si="26"/>
        <v>81.5</v>
      </c>
      <c r="AH33" s="220">
        <f t="shared" si="27"/>
        <v>9</v>
      </c>
      <c r="AI33" s="435"/>
      <c r="AJ33" s="221">
        <v>18</v>
      </c>
      <c r="AK33" s="221">
        <v>1473</v>
      </c>
      <c r="AL33" s="222">
        <f t="shared" si="28"/>
        <v>81.833333333333329</v>
      </c>
      <c r="AM33" s="220">
        <f t="shared" si="29"/>
        <v>8</v>
      </c>
      <c r="AN33" s="435"/>
      <c r="AO33" s="221">
        <v>18</v>
      </c>
      <c r="AP33" s="221">
        <v>1581</v>
      </c>
      <c r="AQ33" s="222">
        <f t="shared" si="32"/>
        <v>87.833333333333329</v>
      </c>
      <c r="AR33" s="220">
        <f t="shared" si="33"/>
        <v>7</v>
      </c>
      <c r="AS33" s="435"/>
      <c r="AT33" s="221">
        <v>18</v>
      </c>
      <c r="AU33" s="221">
        <v>1527</v>
      </c>
      <c r="AV33" s="222">
        <f t="shared" si="30"/>
        <v>84.833333333333329</v>
      </c>
      <c r="AW33" s="220">
        <f t="shared" si="31"/>
        <v>7</v>
      </c>
      <c r="AX33" s="435"/>
    </row>
    <row r="34" spans="2:50">
      <c r="B34" s="436"/>
      <c r="C34" s="220">
        <v>5</v>
      </c>
      <c r="D34" s="220" t="s">
        <v>74</v>
      </c>
      <c r="E34" s="221">
        <f>VLOOKUP(D34,'11產線配置圖'!$A$2:$C$25,2,0)</f>
        <v>13</v>
      </c>
      <c r="F34" s="221">
        <f>VLOOKUP(D34,'11產線配置圖'!$A$2:$C$25,3,0)</f>
        <v>2000</v>
      </c>
      <c r="G34" s="222">
        <f t="shared" si="18"/>
        <v>153.84615384615384</v>
      </c>
      <c r="H34" s="438"/>
      <c r="I34" s="221">
        <f t="shared" si="19"/>
        <v>13.714285714285714</v>
      </c>
      <c r="J34" s="221">
        <f t="shared" si="19"/>
        <v>1829.5714285714287</v>
      </c>
      <c r="K34" s="222">
        <f t="shared" si="19"/>
        <v>133.57456828885401</v>
      </c>
      <c r="L34" s="438"/>
      <c r="M34" s="223">
        <f>RANK(K34, K$30:$K$47)</f>
        <v>4</v>
      </c>
      <c r="N34" s="440"/>
      <c r="O34" s="440"/>
      <c r="P34" s="221">
        <v>13</v>
      </c>
      <c r="Q34" s="221">
        <v>1799</v>
      </c>
      <c r="R34" s="222">
        <f t="shared" si="20"/>
        <v>138.38461538461539</v>
      </c>
      <c r="S34" s="220">
        <f t="shared" si="21"/>
        <v>4</v>
      </c>
      <c r="T34" s="435"/>
      <c r="U34" s="221">
        <v>13</v>
      </c>
      <c r="V34" s="221">
        <v>1884</v>
      </c>
      <c r="W34" s="222">
        <f t="shared" si="22"/>
        <v>144.92307692307693</v>
      </c>
      <c r="X34" s="220">
        <f t="shared" si="23"/>
        <v>3</v>
      </c>
      <c r="Y34" s="435"/>
      <c r="Z34" s="221">
        <v>14</v>
      </c>
      <c r="AA34" s="221">
        <v>1787</v>
      </c>
      <c r="AB34" s="222">
        <f t="shared" si="24"/>
        <v>127.64285714285714</v>
      </c>
      <c r="AC34" s="220">
        <f t="shared" si="25"/>
        <v>4</v>
      </c>
      <c r="AD34" s="435"/>
      <c r="AE34" s="221">
        <v>14</v>
      </c>
      <c r="AF34" s="221">
        <v>1939</v>
      </c>
      <c r="AG34" s="222">
        <f t="shared" si="26"/>
        <v>138.5</v>
      </c>
      <c r="AH34" s="220">
        <f t="shared" si="27"/>
        <v>3</v>
      </c>
      <c r="AI34" s="435"/>
      <c r="AJ34" s="221">
        <v>14</v>
      </c>
      <c r="AK34" s="221">
        <v>1813</v>
      </c>
      <c r="AL34" s="222">
        <f t="shared" si="28"/>
        <v>129.5</v>
      </c>
      <c r="AM34" s="220">
        <f t="shared" si="29"/>
        <v>4</v>
      </c>
      <c r="AN34" s="435"/>
      <c r="AO34" s="221">
        <v>14</v>
      </c>
      <c r="AP34" s="221">
        <v>1746</v>
      </c>
      <c r="AQ34" s="222">
        <f t="shared" si="32"/>
        <v>124.71428571428571</v>
      </c>
      <c r="AR34" s="220">
        <f t="shared" si="33"/>
        <v>4</v>
      </c>
      <c r="AS34" s="435"/>
      <c r="AT34" s="221">
        <v>14</v>
      </c>
      <c r="AU34" s="221">
        <v>1839</v>
      </c>
      <c r="AV34" s="222">
        <f t="shared" si="30"/>
        <v>131.35714285714286</v>
      </c>
      <c r="AW34" s="220">
        <f t="shared" si="31"/>
        <v>2</v>
      </c>
      <c r="AX34" s="435"/>
    </row>
    <row r="35" spans="2:50">
      <c r="B35" s="436"/>
      <c r="C35" s="220">
        <v>6</v>
      </c>
      <c r="D35" s="220" t="s">
        <v>77</v>
      </c>
      <c r="E35" s="221">
        <f>VLOOKUP(D35,'11產線配置圖'!$A$2:$C$25,2,0)</f>
        <v>14</v>
      </c>
      <c r="F35" s="221">
        <f>VLOOKUP(D35,'11產線配置圖'!$A$2:$C$25,3,0)</f>
        <v>1895</v>
      </c>
      <c r="G35" s="222">
        <f t="shared" si="18"/>
        <v>135.35714285714286</v>
      </c>
      <c r="H35" s="438"/>
      <c r="I35" s="221">
        <f t="shared" si="19"/>
        <v>17.714285714285715</v>
      </c>
      <c r="J35" s="221">
        <f t="shared" si="19"/>
        <v>1780.4285714285713</v>
      </c>
      <c r="K35" s="222">
        <f t="shared" si="19"/>
        <v>100.55042016806722</v>
      </c>
      <c r="L35" s="438"/>
      <c r="M35" s="223">
        <f>RANK(K35, K$30:$K$47)</f>
        <v>5</v>
      </c>
      <c r="N35" s="440"/>
      <c r="O35" s="440"/>
      <c r="P35" s="221">
        <v>17</v>
      </c>
      <c r="Q35" s="221">
        <v>1805</v>
      </c>
      <c r="R35" s="222">
        <f>Q35/P35</f>
        <v>106.17647058823529</v>
      </c>
      <c r="S35" s="220">
        <f t="shared" si="21"/>
        <v>5</v>
      </c>
      <c r="T35" s="435"/>
      <c r="U35" s="221">
        <v>17</v>
      </c>
      <c r="V35" s="221">
        <v>1703</v>
      </c>
      <c r="W35" s="222">
        <f t="shared" si="22"/>
        <v>100.17647058823529</v>
      </c>
      <c r="X35" s="220">
        <f t="shared" si="23"/>
        <v>5</v>
      </c>
      <c r="Y35" s="435"/>
      <c r="Z35" s="221">
        <v>18</v>
      </c>
      <c r="AA35" s="221">
        <v>1791</v>
      </c>
      <c r="AB35" s="222">
        <f t="shared" si="24"/>
        <v>99.5</v>
      </c>
      <c r="AC35" s="220">
        <f t="shared" si="25"/>
        <v>5</v>
      </c>
      <c r="AD35" s="435"/>
      <c r="AE35" s="221">
        <v>18</v>
      </c>
      <c r="AF35" s="221">
        <v>1698</v>
      </c>
      <c r="AG35" s="222">
        <f t="shared" si="26"/>
        <v>94.333333333333329</v>
      </c>
      <c r="AH35" s="220">
        <f t="shared" si="27"/>
        <v>6</v>
      </c>
      <c r="AI35" s="435"/>
      <c r="AJ35" s="221">
        <v>18</v>
      </c>
      <c r="AK35" s="221">
        <v>1733</v>
      </c>
      <c r="AL35" s="222">
        <f t="shared" si="28"/>
        <v>96.277777777777771</v>
      </c>
      <c r="AM35" s="220">
        <f t="shared" si="29"/>
        <v>5</v>
      </c>
      <c r="AN35" s="435"/>
      <c r="AO35" s="221">
        <v>18</v>
      </c>
      <c r="AP35" s="221">
        <v>1884</v>
      </c>
      <c r="AQ35" s="222">
        <f t="shared" si="32"/>
        <v>104.66666666666667</v>
      </c>
      <c r="AR35" s="220">
        <f t="shared" si="33"/>
        <v>5</v>
      </c>
      <c r="AS35" s="435"/>
      <c r="AT35" s="221">
        <v>18</v>
      </c>
      <c r="AU35" s="221">
        <v>1849</v>
      </c>
      <c r="AV35" s="222">
        <f t="shared" si="30"/>
        <v>102.72222222222223</v>
      </c>
      <c r="AW35" s="220">
        <f t="shared" si="31"/>
        <v>5</v>
      </c>
      <c r="AX35" s="435"/>
    </row>
    <row r="36" spans="2:50">
      <c r="B36" s="436"/>
      <c r="C36" s="220">
        <v>7</v>
      </c>
      <c r="D36" s="220" t="s">
        <v>81</v>
      </c>
      <c r="E36" s="221">
        <f>VLOOKUP(D36,'11產線配置圖'!$A$2:$C$25,2,0)</f>
        <v>17</v>
      </c>
      <c r="F36" s="221">
        <f>VLOOKUP(D36,'11產線配置圖'!$A$2:$C$25,3,0)</f>
        <v>1385</v>
      </c>
      <c r="G36" s="222">
        <f t="shared" si="18"/>
        <v>81.470588235294116</v>
      </c>
      <c r="H36" s="438"/>
      <c r="I36" s="221">
        <f t="shared" si="19"/>
        <v>15.857142857142858</v>
      </c>
      <c r="J36" s="221">
        <f t="shared" si="19"/>
        <v>1078.7142857142858</v>
      </c>
      <c r="K36" s="222">
        <f t="shared" si="19"/>
        <v>68.012735094037609</v>
      </c>
      <c r="L36" s="438"/>
      <c r="M36" s="223">
        <f>RANK(K36, K$30:$K$47)</f>
        <v>12</v>
      </c>
      <c r="N36" s="440"/>
      <c r="O36" s="440"/>
      <c r="P36" s="221">
        <v>16</v>
      </c>
      <c r="Q36" s="221">
        <v>1024</v>
      </c>
      <c r="R36" s="222">
        <f t="shared" si="20"/>
        <v>64</v>
      </c>
      <c r="S36" s="220">
        <f t="shared" si="21"/>
        <v>12</v>
      </c>
      <c r="T36" s="435"/>
      <c r="U36" s="221">
        <v>16</v>
      </c>
      <c r="V36" s="221">
        <v>1158</v>
      </c>
      <c r="W36" s="222">
        <f t="shared" si="22"/>
        <v>72.375</v>
      </c>
      <c r="X36" s="220">
        <f t="shared" si="23"/>
        <v>10</v>
      </c>
      <c r="Y36" s="435"/>
      <c r="Z36" s="221">
        <v>16</v>
      </c>
      <c r="AA36" s="221">
        <v>1148</v>
      </c>
      <c r="AB36" s="222">
        <f t="shared" si="24"/>
        <v>71.75</v>
      </c>
      <c r="AC36" s="220">
        <f t="shared" si="25"/>
        <v>11</v>
      </c>
      <c r="AD36" s="435"/>
      <c r="AE36" s="221">
        <v>15</v>
      </c>
      <c r="AF36" s="221">
        <v>814</v>
      </c>
      <c r="AG36" s="222">
        <f t="shared" si="26"/>
        <v>54.266666666666666</v>
      </c>
      <c r="AH36" s="220">
        <f t="shared" si="27"/>
        <v>12</v>
      </c>
      <c r="AI36" s="435"/>
      <c r="AJ36" s="221">
        <v>14</v>
      </c>
      <c r="AK36" s="221">
        <v>1054</v>
      </c>
      <c r="AL36" s="222">
        <f t="shared" si="28"/>
        <v>75.285714285714292</v>
      </c>
      <c r="AM36" s="220">
        <f t="shared" si="29"/>
        <v>12</v>
      </c>
      <c r="AN36" s="435"/>
      <c r="AO36" s="221">
        <v>17</v>
      </c>
      <c r="AP36" s="221">
        <v>1020</v>
      </c>
      <c r="AQ36" s="222">
        <f t="shared" si="32"/>
        <v>60</v>
      </c>
      <c r="AR36" s="220">
        <f t="shared" si="33"/>
        <v>12</v>
      </c>
      <c r="AS36" s="435"/>
      <c r="AT36" s="221">
        <v>17</v>
      </c>
      <c r="AU36" s="221">
        <v>1333</v>
      </c>
      <c r="AV36" s="222">
        <f t="shared" si="30"/>
        <v>78.411764705882348</v>
      </c>
      <c r="AW36" s="220">
        <f t="shared" si="31"/>
        <v>9</v>
      </c>
      <c r="AX36" s="435"/>
    </row>
    <row r="37" spans="2:50">
      <c r="B37" s="436"/>
      <c r="C37" s="220">
        <v>8</v>
      </c>
      <c r="D37" s="220" t="s">
        <v>83</v>
      </c>
      <c r="E37" s="221">
        <f>VLOOKUP(D37,'11產線配置圖'!$A$2:$C$25,2,0)</f>
        <v>18</v>
      </c>
      <c r="F37" s="221">
        <f>VLOOKUP(D37,'11產線配置圖'!$A$2:$C$25,3,0)</f>
        <v>1385</v>
      </c>
      <c r="G37" s="222">
        <f t="shared" si="18"/>
        <v>76.944444444444443</v>
      </c>
      <c r="H37" s="438"/>
      <c r="I37" s="221">
        <f t="shared" si="19"/>
        <v>15.428571428571429</v>
      </c>
      <c r="J37" s="221">
        <f t="shared" si="19"/>
        <v>1099.2857142857142</v>
      </c>
      <c r="K37" s="222">
        <f t="shared" si="19"/>
        <v>71.377721088435379</v>
      </c>
      <c r="L37" s="438"/>
      <c r="M37" s="223">
        <f>RANK(K37, K$30:$K$47)</f>
        <v>11</v>
      </c>
      <c r="N37" s="440"/>
      <c r="O37" s="440"/>
      <c r="P37" s="221">
        <v>16</v>
      </c>
      <c r="Q37" s="221">
        <v>1263</v>
      </c>
      <c r="R37" s="222">
        <f t="shared" si="20"/>
        <v>78.9375</v>
      </c>
      <c r="S37" s="220">
        <f t="shared" si="21"/>
        <v>10</v>
      </c>
      <c r="T37" s="435"/>
      <c r="U37" s="221">
        <v>15</v>
      </c>
      <c r="V37" s="221">
        <v>1049</v>
      </c>
      <c r="W37" s="222">
        <f t="shared" si="22"/>
        <v>69.933333333333337</v>
      </c>
      <c r="X37" s="220">
        <f t="shared" si="23"/>
        <v>12</v>
      </c>
      <c r="Y37" s="435"/>
      <c r="Z37" s="221">
        <v>15</v>
      </c>
      <c r="AA37" s="221">
        <v>1137</v>
      </c>
      <c r="AB37" s="222">
        <f t="shared" si="24"/>
        <v>75.8</v>
      </c>
      <c r="AC37" s="220">
        <f t="shared" si="25"/>
        <v>9</v>
      </c>
      <c r="AD37" s="435"/>
      <c r="AE37" s="221">
        <v>16</v>
      </c>
      <c r="AF37" s="221">
        <v>1004</v>
      </c>
      <c r="AG37" s="222">
        <f t="shared" si="26"/>
        <v>62.75</v>
      </c>
      <c r="AH37" s="220">
        <f t="shared" si="27"/>
        <v>11</v>
      </c>
      <c r="AI37" s="435"/>
      <c r="AJ37" s="221">
        <v>14</v>
      </c>
      <c r="AK37" s="221">
        <v>1075</v>
      </c>
      <c r="AL37" s="222">
        <f>AK37/AJ37</f>
        <v>76.785714285714292</v>
      </c>
      <c r="AM37" s="220">
        <f>RANK(AL37, $AL$30:$AL$47)</f>
        <v>10</v>
      </c>
      <c r="AN37" s="435"/>
      <c r="AO37" s="221">
        <v>16</v>
      </c>
      <c r="AP37" s="221">
        <v>1128</v>
      </c>
      <c r="AQ37" s="222">
        <f t="shared" si="32"/>
        <v>70.5</v>
      </c>
      <c r="AR37" s="220">
        <f t="shared" si="33"/>
        <v>11</v>
      </c>
      <c r="AS37" s="435"/>
      <c r="AT37" s="221">
        <v>16</v>
      </c>
      <c r="AU37" s="221">
        <v>1039</v>
      </c>
      <c r="AV37" s="222">
        <f t="shared" si="30"/>
        <v>64.9375</v>
      </c>
      <c r="AW37" s="220">
        <f t="shared" si="31"/>
        <v>12</v>
      </c>
      <c r="AX37" s="435"/>
    </row>
    <row r="38" spans="2:50">
      <c r="B38" s="436"/>
      <c r="C38" s="220">
        <v>9</v>
      </c>
      <c r="D38" s="220" t="s">
        <v>87</v>
      </c>
      <c r="E38" s="221">
        <f>VLOOKUP(D38,'11產線配置圖'!$A$2:$C$25,2,0)</f>
        <v>17</v>
      </c>
      <c r="F38" s="221">
        <f>VLOOKUP(D38,'11產線配置圖'!$A$2:$C$25,3,0)</f>
        <v>1565</v>
      </c>
      <c r="G38" s="222">
        <f t="shared" si="18"/>
        <v>92.058823529411768</v>
      </c>
      <c r="H38" s="438"/>
      <c r="I38" s="221">
        <f t="shared" si="19"/>
        <v>15.285714285714286</v>
      </c>
      <c r="J38" s="221">
        <f t="shared" si="19"/>
        <v>1242.2857142857142</v>
      </c>
      <c r="K38" s="222">
        <f t="shared" si="19"/>
        <v>81.573384353741503</v>
      </c>
      <c r="L38" s="438"/>
      <c r="M38" s="223">
        <f>RANK(K38, K$30:$K$47)</f>
        <v>8</v>
      </c>
      <c r="N38" s="440"/>
      <c r="O38" s="440"/>
      <c r="P38" s="221">
        <v>16</v>
      </c>
      <c r="Q38" s="221">
        <v>1272</v>
      </c>
      <c r="R38" s="222">
        <f t="shared" si="20"/>
        <v>79.5</v>
      </c>
      <c r="S38" s="220">
        <f t="shared" si="21"/>
        <v>9</v>
      </c>
      <c r="T38" s="435"/>
      <c r="U38" s="221">
        <v>14</v>
      </c>
      <c r="V38" s="221">
        <v>1270</v>
      </c>
      <c r="W38" s="222">
        <f t="shared" si="22"/>
        <v>90.714285714285708</v>
      </c>
      <c r="X38" s="220">
        <f t="shared" si="23"/>
        <v>6</v>
      </c>
      <c r="Y38" s="435"/>
      <c r="Z38" s="221">
        <v>16</v>
      </c>
      <c r="AA38" s="221">
        <v>1304</v>
      </c>
      <c r="AB38" s="222">
        <f t="shared" si="24"/>
        <v>81.5</v>
      </c>
      <c r="AC38" s="220">
        <f t="shared" si="25"/>
        <v>8</v>
      </c>
      <c r="AD38" s="435"/>
      <c r="AE38" s="221">
        <v>15</v>
      </c>
      <c r="AF38" s="221">
        <v>1289</v>
      </c>
      <c r="AG38" s="222">
        <f t="shared" si="26"/>
        <v>85.933333333333337</v>
      </c>
      <c r="AH38" s="220">
        <f t="shared" si="27"/>
        <v>7</v>
      </c>
      <c r="AI38" s="435"/>
      <c r="AJ38" s="221">
        <v>14</v>
      </c>
      <c r="AK38" s="221">
        <v>1210</v>
      </c>
      <c r="AL38" s="222">
        <f t="shared" si="28"/>
        <v>86.428571428571431</v>
      </c>
      <c r="AM38" s="220">
        <f t="shared" si="29"/>
        <v>6</v>
      </c>
      <c r="AN38" s="435"/>
      <c r="AO38" s="221">
        <v>16</v>
      </c>
      <c r="AP38" s="221">
        <v>1258</v>
      </c>
      <c r="AQ38" s="222">
        <f t="shared" si="32"/>
        <v>78.625</v>
      </c>
      <c r="AR38" s="220">
        <f t="shared" si="33"/>
        <v>9</v>
      </c>
      <c r="AS38" s="435"/>
      <c r="AT38" s="221">
        <v>16</v>
      </c>
      <c r="AU38" s="221">
        <v>1093</v>
      </c>
      <c r="AV38" s="222">
        <f t="shared" si="30"/>
        <v>68.3125</v>
      </c>
      <c r="AW38" s="220">
        <f t="shared" si="31"/>
        <v>11</v>
      </c>
      <c r="AX38" s="435"/>
    </row>
    <row r="39" spans="2:50">
      <c r="B39" s="436"/>
      <c r="C39" s="220">
        <v>10</v>
      </c>
      <c r="D39" s="220" t="s">
        <v>359</v>
      </c>
      <c r="E39" s="221">
        <f>VLOOKUP(D39,'11產線配置圖'!$A$2:$C$25,2,0)</f>
        <v>17</v>
      </c>
      <c r="F39" s="221">
        <f>VLOOKUP(D39,'11產線配置圖'!$A$2:$C$25,3,0)</f>
        <v>1500</v>
      </c>
      <c r="G39" s="222">
        <f t="shared" si="18"/>
        <v>88.235294117647058</v>
      </c>
      <c r="H39" s="438"/>
      <c r="I39" s="221">
        <f t="shared" si="19"/>
        <v>19</v>
      </c>
      <c r="J39" s="221">
        <f t="shared" si="19"/>
        <v>1521.8571428571429</v>
      </c>
      <c r="K39" s="222">
        <f t="shared" si="19"/>
        <v>80.09774436090224</v>
      </c>
      <c r="L39" s="438"/>
      <c r="M39" s="223">
        <f>RANK(K39, K$30:$K$47)</f>
        <v>9</v>
      </c>
      <c r="N39" s="440"/>
      <c r="O39" s="440"/>
      <c r="P39" s="221">
        <v>19</v>
      </c>
      <c r="Q39" s="221">
        <v>1554</v>
      </c>
      <c r="R39" s="222">
        <f t="shared" si="20"/>
        <v>81.78947368421052</v>
      </c>
      <c r="S39" s="220">
        <f t="shared" si="21"/>
        <v>7</v>
      </c>
      <c r="T39" s="435"/>
      <c r="U39" s="221">
        <v>19</v>
      </c>
      <c r="V39" s="221">
        <v>1560</v>
      </c>
      <c r="W39" s="222">
        <f t="shared" si="22"/>
        <v>82.10526315789474</v>
      </c>
      <c r="X39" s="220">
        <f t="shared" si="23"/>
        <v>8</v>
      </c>
      <c r="Y39" s="435"/>
      <c r="Z39" s="221">
        <v>19</v>
      </c>
      <c r="AA39" s="221">
        <v>1366</v>
      </c>
      <c r="AB39" s="222">
        <f t="shared" si="24"/>
        <v>71.89473684210526</v>
      </c>
      <c r="AC39" s="220">
        <f t="shared" si="25"/>
        <v>10</v>
      </c>
      <c r="AD39" s="435"/>
      <c r="AE39" s="221">
        <v>19</v>
      </c>
      <c r="AF39" s="221">
        <v>1558</v>
      </c>
      <c r="AG39" s="222">
        <f t="shared" si="26"/>
        <v>82</v>
      </c>
      <c r="AH39" s="220">
        <f t="shared" si="27"/>
        <v>8</v>
      </c>
      <c r="AI39" s="435"/>
      <c r="AJ39" s="221">
        <v>19</v>
      </c>
      <c r="AK39" s="221">
        <v>1541</v>
      </c>
      <c r="AL39" s="222">
        <f t="shared" si="28"/>
        <v>81.10526315789474</v>
      </c>
      <c r="AM39" s="220">
        <f t="shared" si="29"/>
        <v>9</v>
      </c>
      <c r="AN39" s="435"/>
      <c r="AO39" s="221">
        <v>19</v>
      </c>
      <c r="AP39" s="221">
        <v>1559</v>
      </c>
      <c r="AQ39" s="222">
        <f t="shared" si="32"/>
        <v>82.05263157894737</v>
      </c>
      <c r="AR39" s="220">
        <f t="shared" si="33"/>
        <v>8</v>
      </c>
      <c r="AS39" s="435"/>
      <c r="AT39" s="221">
        <v>19</v>
      </c>
      <c r="AU39" s="221">
        <v>1515</v>
      </c>
      <c r="AV39" s="222">
        <f t="shared" si="30"/>
        <v>79.736842105263165</v>
      </c>
      <c r="AW39" s="220">
        <f t="shared" si="31"/>
        <v>8</v>
      </c>
      <c r="AX39" s="435"/>
    </row>
    <row r="40" spans="2:50">
      <c r="B40" s="436"/>
      <c r="C40" s="220">
        <v>11</v>
      </c>
      <c r="D40" s="220" t="s">
        <v>85</v>
      </c>
      <c r="E40" s="221">
        <f>VLOOKUP(D40,'11產線配置圖'!$A$2:$C$25,2,0)</f>
        <v>15</v>
      </c>
      <c r="F40" s="221">
        <f>VLOOKUP(D40,'11產線配置圖'!$A$2:$C$25,3,0)</f>
        <v>1440</v>
      </c>
      <c r="G40" s="222">
        <f t="shared" si="18"/>
        <v>96</v>
      </c>
      <c r="H40" s="438"/>
      <c r="I40" s="221">
        <f t="shared" si="19"/>
        <v>14.857142857142858</v>
      </c>
      <c r="J40" s="221">
        <f t="shared" si="19"/>
        <v>1068.5714285714287</v>
      </c>
      <c r="K40" s="222">
        <f t="shared" si="19"/>
        <v>71.923129251700672</v>
      </c>
      <c r="L40" s="438"/>
      <c r="M40" s="223">
        <f>RANK(K40, K$30:$K$47)</f>
        <v>10</v>
      </c>
      <c r="N40" s="440"/>
      <c r="O40" s="440"/>
      <c r="P40" s="220">
        <v>15</v>
      </c>
      <c r="Q40" s="220">
        <v>1162</v>
      </c>
      <c r="R40" s="222">
        <f>Q40/P40</f>
        <v>77.466666666666669</v>
      </c>
      <c r="S40" s="220">
        <f t="shared" si="21"/>
        <v>11</v>
      </c>
      <c r="T40" s="435"/>
      <c r="U40" s="220">
        <v>14</v>
      </c>
      <c r="V40" s="220">
        <v>1007</v>
      </c>
      <c r="W40" s="222">
        <f>V40/U40</f>
        <v>71.928571428571431</v>
      </c>
      <c r="X40" s="220">
        <f t="shared" si="23"/>
        <v>11</v>
      </c>
      <c r="Y40" s="435"/>
      <c r="Z40" s="220">
        <v>15</v>
      </c>
      <c r="AA40" s="220">
        <v>925</v>
      </c>
      <c r="AB40" s="222">
        <f>AA40/Z40</f>
        <v>61.666666666666664</v>
      </c>
      <c r="AC40" s="220">
        <f t="shared" si="25"/>
        <v>12</v>
      </c>
      <c r="AD40" s="435"/>
      <c r="AE40" s="220">
        <v>15</v>
      </c>
      <c r="AF40" s="220">
        <v>1061</v>
      </c>
      <c r="AG40" s="222">
        <f>AF40/AE40</f>
        <v>70.733333333333334</v>
      </c>
      <c r="AH40" s="220">
        <f t="shared" si="27"/>
        <v>10</v>
      </c>
      <c r="AI40" s="435"/>
      <c r="AJ40" s="220">
        <v>15</v>
      </c>
      <c r="AK40" s="220">
        <v>1131</v>
      </c>
      <c r="AL40" s="222">
        <f>AK40/AJ40</f>
        <v>75.400000000000006</v>
      </c>
      <c r="AM40" s="220">
        <f t="shared" si="29"/>
        <v>11</v>
      </c>
      <c r="AN40" s="435"/>
      <c r="AO40" s="220">
        <v>15</v>
      </c>
      <c r="AP40" s="220">
        <v>1114</v>
      </c>
      <c r="AQ40" s="222">
        <f t="shared" si="32"/>
        <v>74.266666666666666</v>
      </c>
      <c r="AR40" s="220">
        <f t="shared" si="33"/>
        <v>10</v>
      </c>
      <c r="AS40" s="435"/>
      <c r="AT40" s="220">
        <v>15</v>
      </c>
      <c r="AU40" s="220">
        <v>1080</v>
      </c>
      <c r="AV40" s="222">
        <f t="shared" si="30"/>
        <v>72</v>
      </c>
      <c r="AW40" s="220">
        <f t="shared" si="31"/>
        <v>10</v>
      </c>
      <c r="AX40" s="435"/>
    </row>
    <row r="41" spans="2:50">
      <c r="B41" s="436"/>
      <c r="C41" s="220">
        <v>12</v>
      </c>
      <c r="D41" s="220" t="s">
        <v>89</v>
      </c>
      <c r="E41" s="221">
        <f>VLOOKUP(D41,'11產線配置圖'!$A$2:$C$25,2,0)</f>
        <v>16</v>
      </c>
      <c r="F41" s="221">
        <f>VLOOKUP(D41,'11產線配置圖'!$A$2:$C$25,3,0)</f>
        <v>1385</v>
      </c>
      <c r="G41" s="222">
        <f t="shared" si="18"/>
        <v>86.5625</v>
      </c>
      <c r="H41" s="438"/>
      <c r="I41" s="221">
        <f t="shared" si="19"/>
        <v>14.142857142857142</v>
      </c>
      <c r="J41" s="221">
        <f t="shared" si="19"/>
        <v>1244.7142857142858</v>
      </c>
      <c r="K41" s="222">
        <f t="shared" si="19"/>
        <v>88.113553113553124</v>
      </c>
      <c r="L41" s="438"/>
      <c r="M41" s="223">
        <f>RANK(K41, K$30:$K$47)</f>
        <v>6</v>
      </c>
      <c r="N41" s="440"/>
      <c r="O41" s="440"/>
      <c r="P41" s="220">
        <v>14</v>
      </c>
      <c r="Q41" s="220">
        <v>1131</v>
      </c>
      <c r="R41" s="222">
        <f>Q41/P41</f>
        <v>80.785714285714292</v>
      </c>
      <c r="S41" s="220">
        <f t="shared" si="21"/>
        <v>8</v>
      </c>
      <c r="T41" s="435"/>
      <c r="U41" s="220">
        <v>13</v>
      </c>
      <c r="V41" s="220">
        <v>1171</v>
      </c>
      <c r="W41" s="222">
        <f>V41/U41</f>
        <v>90.07692307692308</v>
      </c>
      <c r="X41" s="220">
        <f t="shared" si="23"/>
        <v>7</v>
      </c>
      <c r="Y41" s="435"/>
      <c r="Z41" s="220">
        <v>15</v>
      </c>
      <c r="AA41" s="220">
        <v>1306</v>
      </c>
      <c r="AB41" s="222">
        <f>AA41/Z41</f>
        <v>87.066666666666663</v>
      </c>
      <c r="AC41" s="220">
        <f t="shared" si="25"/>
        <v>7</v>
      </c>
      <c r="AD41" s="435"/>
      <c r="AE41" s="220">
        <v>13</v>
      </c>
      <c r="AF41" s="220">
        <v>1266</v>
      </c>
      <c r="AG41" s="222">
        <f>AF41/AE41</f>
        <v>97.384615384615387</v>
      </c>
      <c r="AH41" s="220">
        <f t="shared" si="27"/>
        <v>5</v>
      </c>
      <c r="AI41" s="435"/>
      <c r="AJ41" s="220">
        <v>14</v>
      </c>
      <c r="AK41" s="220">
        <v>1165</v>
      </c>
      <c r="AL41" s="222">
        <f>AK41/AJ41</f>
        <v>83.214285714285708</v>
      </c>
      <c r="AM41" s="220">
        <f t="shared" si="29"/>
        <v>7</v>
      </c>
      <c r="AN41" s="435"/>
      <c r="AO41" s="220">
        <v>15</v>
      </c>
      <c r="AP41" s="220">
        <v>1335</v>
      </c>
      <c r="AQ41" s="222">
        <f t="shared" si="32"/>
        <v>89</v>
      </c>
      <c r="AR41" s="220">
        <f t="shared" si="33"/>
        <v>6</v>
      </c>
      <c r="AS41" s="435"/>
      <c r="AT41" s="220">
        <v>15</v>
      </c>
      <c r="AU41" s="220">
        <v>1339</v>
      </c>
      <c r="AV41" s="222">
        <f t="shared" si="30"/>
        <v>89.266666666666666</v>
      </c>
      <c r="AW41" s="220">
        <f t="shared" si="31"/>
        <v>6</v>
      </c>
      <c r="AX41" s="435"/>
    </row>
    <row r="42" spans="2:50">
      <c r="B42" s="436"/>
      <c r="C42" s="220">
        <v>13</v>
      </c>
      <c r="D42" s="220"/>
      <c r="E42" s="221"/>
      <c r="F42" s="221"/>
      <c r="G42" s="222"/>
      <c r="H42" s="438"/>
      <c r="I42" s="221"/>
      <c r="J42" s="221"/>
      <c r="K42" s="222"/>
      <c r="L42" s="438"/>
      <c r="M42" s="223"/>
      <c r="N42" s="440"/>
      <c r="O42" s="440"/>
      <c r="P42" s="220"/>
      <c r="Q42" s="220"/>
      <c r="R42" s="222"/>
      <c r="S42" s="220"/>
      <c r="T42" s="435"/>
      <c r="U42" s="220"/>
      <c r="V42" s="220"/>
      <c r="W42" s="222"/>
      <c r="X42" s="220"/>
      <c r="Y42" s="435"/>
      <c r="Z42" s="220"/>
      <c r="AA42" s="220"/>
      <c r="AB42" s="222"/>
      <c r="AC42" s="220"/>
      <c r="AD42" s="435"/>
      <c r="AE42" s="220"/>
      <c r="AF42" s="220"/>
      <c r="AG42" s="222"/>
      <c r="AH42" s="220"/>
      <c r="AI42" s="435"/>
      <c r="AJ42" s="220"/>
      <c r="AK42" s="220"/>
      <c r="AL42" s="222"/>
      <c r="AM42" s="220"/>
      <c r="AN42" s="435"/>
      <c r="AO42" s="220"/>
      <c r="AP42" s="220"/>
      <c r="AQ42" s="222"/>
      <c r="AR42" s="220"/>
      <c r="AS42" s="435"/>
      <c r="AT42" s="220"/>
      <c r="AU42" s="220"/>
      <c r="AV42" s="222"/>
      <c r="AW42" s="220"/>
      <c r="AX42" s="435"/>
    </row>
    <row r="43" spans="2:50">
      <c r="B43" s="436"/>
      <c r="C43" s="220">
        <v>14</v>
      </c>
      <c r="D43" s="220"/>
      <c r="E43" s="221"/>
      <c r="F43" s="221"/>
      <c r="G43" s="222"/>
      <c r="H43" s="438"/>
      <c r="I43" s="221"/>
      <c r="J43" s="221"/>
      <c r="K43" s="222"/>
      <c r="L43" s="438"/>
      <c r="M43" s="223"/>
      <c r="N43" s="440"/>
      <c r="O43" s="440"/>
      <c r="P43" s="220"/>
      <c r="Q43" s="220"/>
      <c r="R43" s="222"/>
      <c r="S43" s="220"/>
      <c r="T43" s="435"/>
      <c r="U43" s="220"/>
      <c r="V43" s="220"/>
      <c r="W43" s="222"/>
      <c r="X43" s="220"/>
      <c r="Y43" s="435"/>
      <c r="Z43" s="220"/>
      <c r="AA43" s="220"/>
      <c r="AB43" s="222"/>
      <c r="AC43" s="220"/>
      <c r="AD43" s="435"/>
      <c r="AE43" s="220"/>
      <c r="AF43" s="220"/>
      <c r="AG43" s="222"/>
      <c r="AH43" s="220"/>
      <c r="AI43" s="435"/>
      <c r="AJ43" s="220"/>
      <c r="AK43" s="220"/>
      <c r="AL43" s="222"/>
      <c r="AM43" s="220"/>
      <c r="AN43" s="435"/>
      <c r="AO43" s="220"/>
      <c r="AP43" s="220"/>
      <c r="AQ43" s="222"/>
      <c r="AR43" s="220"/>
      <c r="AS43" s="435"/>
      <c r="AT43" s="220"/>
      <c r="AU43" s="220"/>
      <c r="AV43" s="222"/>
      <c r="AW43" s="220"/>
      <c r="AX43" s="435"/>
    </row>
    <row r="44" spans="2:50">
      <c r="B44" s="436"/>
      <c r="C44" s="220">
        <v>15</v>
      </c>
      <c r="D44" s="220"/>
      <c r="E44" s="221"/>
      <c r="F44" s="221"/>
      <c r="G44" s="222"/>
      <c r="H44" s="438"/>
      <c r="I44" s="220"/>
      <c r="J44" s="221"/>
      <c r="K44" s="222"/>
      <c r="L44" s="438"/>
      <c r="M44" s="221"/>
      <c r="N44" s="440"/>
      <c r="O44" s="440"/>
      <c r="P44" s="220"/>
      <c r="Q44" s="220"/>
      <c r="R44" s="222"/>
      <c r="S44" s="220"/>
      <c r="T44" s="435"/>
      <c r="U44" s="220"/>
      <c r="V44" s="220"/>
      <c r="W44" s="222"/>
      <c r="X44" s="220"/>
      <c r="Y44" s="435"/>
      <c r="Z44" s="220"/>
      <c r="AA44" s="220"/>
      <c r="AB44" s="222"/>
      <c r="AC44" s="220"/>
      <c r="AD44" s="435"/>
      <c r="AE44" s="220"/>
      <c r="AF44" s="220"/>
      <c r="AG44" s="222"/>
      <c r="AH44" s="220"/>
      <c r="AI44" s="435"/>
      <c r="AJ44" s="220"/>
      <c r="AK44" s="220"/>
      <c r="AL44" s="222"/>
      <c r="AM44" s="220"/>
      <c r="AN44" s="435"/>
      <c r="AO44" s="220"/>
      <c r="AP44" s="220"/>
      <c r="AQ44" s="222"/>
      <c r="AR44" s="220"/>
      <c r="AS44" s="435"/>
      <c r="AT44" s="220"/>
      <c r="AU44" s="220"/>
      <c r="AV44" s="222"/>
      <c r="AW44" s="220"/>
      <c r="AX44" s="435"/>
    </row>
    <row r="45" spans="2:50">
      <c r="B45" s="436"/>
      <c r="C45" s="220">
        <v>16</v>
      </c>
      <c r="D45" s="220"/>
      <c r="E45" s="221"/>
      <c r="F45" s="221"/>
      <c r="G45" s="222"/>
      <c r="H45" s="438"/>
      <c r="I45" s="220"/>
      <c r="J45" s="220"/>
      <c r="K45" s="220"/>
      <c r="L45" s="438"/>
      <c r="M45" s="221"/>
      <c r="N45" s="440"/>
      <c r="O45" s="440"/>
      <c r="P45" s="220"/>
      <c r="Q45" s="220"/>
      <c r="R45" s="220"/>
      <c r="S45" s="220"/>
      <c r="T45" s="435"/>
      <c r="U45" s="220"/>
      <c r="V45" s="220"/>
      <c r="W45" s="222"/>
      <c r="X45" s="220"/>
      <c r="Y45" s="435"/>
      <c r="Z45" s="220"/>
      <c r="AA45" s="220"/>
      <c r="AB45" s="220"/>
      <c r="AC45" s="220"/>
      <c r="AD45" s="435"/>
      <c r="AE45" s="220"/>
      <c r="AF45" s="220"/>
      <c r="AG45" s="220"/>
      <c r="AH45" s="220"/>
      <c r="AI45" s="435"/>
      <c r="AJ45" s="220"/>
      <c r="AK45" s="220"/>
      <c r="AL45" s="220"/>
      <c r="AM45" s="220"/>
      <c r="AN45" s="435"/>
      <c r="AO45" s="220"/>
      <c r="AP45" s="220"/>
      <c r="AQ45" s="222"/>
      <c r="AR45" s="220"/>
      <c r="AS45" s="435"/>
      <c r="AT45" s="220"/>
      <c r="AU45" s="220"/>
      <c r="AV45" s="222"/>
      <c r="AW45" s="220"/>
      <c r="AX45" s="435"/>
    </row>
    <row r="46" spans="2:50">
      <c r="B46" s="436"/>
      <c r="C46" s="220">
        <v>17</v>
      </c>
      <c r="D46" s="220"/>
      <c r="E46" s="221"/>
      <c r="F46" s="221"/>
      <c r="G46" s="222"/>
      <c r="H46" s="438"/>
      <c r="I46" s="220"/>
      <c r="J46" s="220"/>
      <c r="K46" s="220"/>
      <c r="L46" s="438"/>
      <c r="M46" s="221"/>
      <c r="N46" s="440"/>
      <c r="O46" s="440"/>
      <c r="P46" s="220"/>
      <c r="Q46" s="220"/>
      <c r="R46" s="220"/>
      <c r="S46" s="220"/>
      <c r="T46" s="435"/>
      <c r="U46" s="220"/>
      <c r="V46" s="220"/>
      <c r="W46" s="222"/>
      <c r="X46" s="220"/>
      <c r="Y46" s="435"/>
      <c r="Z46" s="220"/>
      <c r="AA46" s="220"/>
      <c r="AB46" s="220"/>
      <c r="AC46" s="220"/>
      <c r="AD46" s="435"/>
      <c r="AE46" s="220"/>
      <c r="AF46" s="220"/>
      <c r="AG46" s="220"/>
      <c r="AH46" s="220"/>
      <c r="AI46" s="435"/>
      <c r="AJ46" s="220"/>
      <c r="AK46" s="220"/>
      <c r="AL46" s="220"/>
      <c r="AM46" s="220"/>
      <c r="AN46" s="435"/>
      <c r="AO46" s="220"/>
      <c r="AP46" s="220"/>
      <c r="AQ46" s="220"/>
      <c r="AR46" s="220"/>
      <c r="AS46" s="435"/>
      <c r="AT46" s="220"/>
      <c r="AU46" s="220"/>
      <c r="AV46" s="222"/>
      <c r="AW46" s="220"/>
      <c r="AX46" s="435"/>
    </row>
    <row r="47" spans="2:50">
      <c r="B47" s="436"/>
      <c r="C47" s="220">
        <v>18</v>
      </c>
      <c r="D47" s="220"/>
      <c r="E47" s="221"/>
      <c r="F47" s="221"/>
      <c r="G47" s="222"/>
      <c r="H47" s="439"/>
      <c r="I47" s="220"/>
      <c r="J47" s="220"/>
      <c r="K47" s="220"/>
      <c r="L47" s="439"/>
      <c r="M47" s="221"/>
      <c r="N47" s="440"/>
      <c r="O47" s="440"/>
      <c r="P47" s="220"/>
      <c r="Q47" s="220"/>
      <c r="R47" s="220"/>
      <c r="S47" s="220"/>
      <c r="T47" s="435"/>
      <c r="U47" s="220"/>
      <c r="V47" s="220"/>
      <c r="W47" s="222"/>
      <c r="X47" s="220"/>
      <c r="Y47" s="435"/>
      <c r="Z47" s="220"/>
      <c r="AA47" s="220"/>
      <c r="AB47" s="220"/>
      <c r="AC47" s="220"/>
      <c r="AD47" s="435"/>
      <c r="AE47" s="220"/>
      <c r="AF47" s="220"/>
      <c r="AG47" s="220"/>
      <c r="AH47" s="220"/>
      <c r="AI47" s="435"/>
      <c r="AJ47" s="220"/>
      <c r="AK47" s="220"/>
      <c r="AL47" s="220"/>
      <c r="AM47" s="220"/>
      <c r="AN47" s="435"/>
      <c r="AO47" s="220"/>
      <c r="AP47" s="220"/>
      <c r="AQ47" s="220"/>
      <c r="AR47" s="220"/>
      <c r="AS47" s="435"/>
      <c r="AT47" s="220"/>
      <c r="AU47" s="220"/>
      <c r="AV47" s="222"/>
      <c r="AW47" s="220"/>
      <c r="AX47" s="435"/>
    </row>
    <row r="48" spans="2:50" ht="15.75">
      <c r="B48" s="455" t="s">
        <v>44</v>
      </c>
      <c r="C48" s="456"/>
      <c r="D48" s="456"/>
      <c r="E48" s="456"/>
      <c r="F48" s="456"/>
      <c r="G48" s="456"/>
      <c r="H48" s="456"/>
      <c r="I48" s="225"/>
      <c r="J48" s="214"/>
      <c r="K48" s="225"/>
      <c r="L48" s="225"/>
      <c r="M48" s="215"/>
      <c r="N48" s="449" t="s">
        <v>45</v>
      </c>
      <c r="O48" s="449" t="s">
        <v>3</v>
      </c>
      <c r="P48" s="444">
        <v>45972</v>
      </c>
      <c r="Q48" s="436"/>
      <c r="R48" s="436"/>
      <c r="S48" s="436"/>
      <c r="T48" s="436"/>
      <c r="U48" s="444">
        <v>45973</v>
      </c>
      <c r="V48" s="436"/>
      <c r="W48" s="436"/>
      <c r="X48" s="436"/>
      <c r="Y48" s="436"/>
      <c r="Z48" s="444">
        <v>45974</v>
      </c>
      <c r="AA48" s="436"/>
      <c r="AB48" s="436"/>
      <c r="AC48" s="436"/>
      <c r="AD48" s="436"/>
      <c r="AE48" s="444">
        <v>45975</v>
      </c>
      <c r="AF48" s="436"/>
      <c r="AG48" s="436"/>
      <c r="AH48" s="436"/>
      <c r="AI48" s="436"/>
      <c r="AJ48" s="444">
        <v>45976</v>
      </c>
      <c r="AK48" s="436"/>
      <c r="AL48" s="436"/>
      <c r="AM48" s="436"/>
      <c r="AN48" s="436"/>
      <c r="AO48" s="444">
        <v>45977</v>
      </c>
      <c r="AP48" s="436"/>
      <c r="AQ48" s="436"/>
      <c r="AR48" s="436"/>
      <c r="AS48" s="436"/>
      <c r="AT48" s="444">
        <v>45978</v>
      </c>
      <c r="AU48" s="436"/>
      <c r="AV48" s="436"/>
      <c r="AW48" s="436"/>
      <c r="AX48" s="436"/>
    </row>
    <row r="49" spans="2:50" ht="15.75">
      <c r="B49" s="454"/>
      <c r="C49" s="454"/>
      <c r="D49" s="454"/>
      <c r="E49" s="454"/>
      <c r="F49" s="454"/>
      <c r="G49" s="454"/>
      <c r="H49" s="454"/>
      <c r="I49" s="216"/>
      <c r="J49" s="216"/>
      <c r="K49" s="216"/>
      <c r="L49" s="216"/>
      <c r="M49" s="217"/>
      <c r="N49" s="451"/>
      <c r="O49" s="451"/>
      <c r="P49" s="444" t="s">
        <v>16</v>
      </c>
      <c r="Q49" s="436"/>
      <c r="R49" s="436"/>
      <c r="S49" s="436"/>
      <c r="T49" s="436"/>
      <c r="U49" s="444" t="s">
        <v>17</v>
      </c>
      <c r="V49" s="436"/>
      <c r="W49" s="436"/>
      <c r="X49" s="436"/>
      <c r="Y49" s="436"/>
      <c r="Z49" s="444" t="s">
        <v>18</v>
      </c>
      <c r="AA49" s="436"/>
      <c r="AB49" s="436"/>
      <c r="AC49" s="436"/>
      <c r="AD49" s="436"/>
      <c r="AE49" s="444" t="s">
        <v>19</v>
      </c>
      <c r="AF49" s="436"/>
      <c r="AG49" s="436"/>
      <c r="AH49" s="436"/>
      <c r="AI49" s="436"/>
      <c r="AJ49" s="444" t="s">
        <v>14</v>
      </c>
      <c r="AK49" s="436"/>
      <c r="AL49" s="436"/>
      <c r="AM49" s="436"/>
      <c r="AN49" s="436"/>
      <c r="AO49" s="444" t="s">
        <v>10</v>
      </c>
      <c r="AP49" s="436"/>
      <c r="AQ49" s="436"/>
      <c r="AR49" s="436"/>
      <c r="AS49" s="436"/>
      <c r="AT49" s="444" t="s">
        <v>15</v>
      </c>
      <c r="AU49" s="436"/>
      <c r="AV49" s="436"/>
      <c r="AW49" s="436"/>
      <c r="AX49" s="436"/>
    </row>
    <row r="50" spans="2:50">
      <c r="B50" s="440" t="s">
        <v>46</v>
      </c>
      <c r="C50" s="440" t="s">
        <v>47</v>
      </c>
      <c r="D50" s="440"/>
      <c r="E50" s="440" t="s">
        <v>48</v>
      </c>
      <c r="F50" s="440"/>
      <c r="G50" s="440"/>
      <c r="H50" s="446" t="s">
        <v>49</v>
      </c>
      <c r="I50" s="440" t="s">
        <v>50</v>
      </c>
      <c r="J50" s="440"/>
      <c r="K50" s="440"/>
      <c r="L50" s="446" t="s">
        <v>49</v>
      </c>
      <c r="M50" s="449" t="s">
        <v>51</v>
      </c>
      <c r="N50" s="440"/>
      <c r="O50" s="440" t="s">
        <v>52</v>
      </c>
      <c r="P50" s="441" t="s">
        <v>53</v>
      </c>
      <c r="Q50" s="442"/>
      <c r="R50" s="442"/>
      <c r="S50" s="443"/>
      <c r="T50" s="440" t="s">
        <v>49</v>
      </c>
      <c r="U50" s="441" t="s">
        <v>53</v>
      </c>
      <c r="V50" s="442"/>
      <c r="W50" s="442"/>
      <c r="X50" s="443"/>
      <c r="Y50" s="440" t="s">
        <v>49</v>
      </c>
      <c r="Z50" s="441" t="s">
        <v>53</v>
      </c>
      <c r="AA50" s="442"/>
      <c r="AB50" s="442"/>
      <c r="AC50" s="443"/>
      <c r="AD50" s="440" t="s">
        <v>49</v>
      </c>
      <c r="AE50" s="441" t="s">
        <v>53</v>
      </c>
      <c r="AF50" s="442"/>
      <c r="AG50" s="442"/>
      <c r="AH50" s="443"/>
      <c r="AI50" s="440" t="s">
        <v>49</v>
      </c>
      <c r="AJ50" s="441" t="s">
        <v>53</v>
      </c>
      <c r="AK50" s="442"/>
      <c r="AL50" s="442"/>
      <c r="AM50" s="443"/>
      <c r="AN50" s="440" t="s">
        <v>49</v>
      </c>
      <c r="AO50" s="441" t="s">
        <v>53</v>
      </c>
      <c r="AP50" s="442"/>
      <c r="AQ50" s="442"/>
      <c r="AR50" s="443"/>
      <c r="AS50" s="440" t="s">
        <v>49</v>
      </c>
      <c r="AT50" s="441" t="s">
        <v>53</v>
      </c>
      <c r="AU50" s="442"/>
      <c r="AV50" s="442"/>
      <c r="AW50" s="443"/>
      <c r="AX50" s="440" t="s">
        <v>49</v>
      </c>
    </row>
    <row r="51" spans="2:50">
      <c r="B51" s="440"/>
      <c r="C51" s="440"/>
      <c r="D51" s="440"/>
      <c r="E51" s="440" t="s">
        <v>54</v>
      </c>
      <c r="F51" s="440"/>
      <c r="G51" s="440"/>
      <c r="H51" s="447"/>
      <c r="I51" s="440" t="s">
        <v>54</v>
      </c>
      <c r="J51" s="440"/>
      <c r="K51" s="440"/>
      <c r="L51" s="447"/>
      <c r="M51" s="450"/>
      <c r="N51" s="440"/>
      <c r="O51" s="440"/>
      <c r="P51" s="441" t="s">
        <v>55</v>
      </c>
      <c r="Q51" s="442"/>
      <c r="R51" s="442"/>
      <c r="S51" s="443"/>
      <c r="T51" s="440"/>
      <c r="U51" s="441" t="s">
        <v>55</v>
      </c>
      <c r="V51" s="442"/>
      <c r="W51" s="442"/>
      <c r="X51" s="443"/>
      <c r="Y51" s="440"/>
      <c r="Z51" s="441" t="s">
        <v>55</v>
      </c>
      <c r="AA51" s="442"/>
      <c r="AB51" s="442"/>
      <c r="AC51" s="443"/>
      <c r="AD51" s="440"/>
      <c r="AE51" s="441" t="s">
        <v>55</v>
      </c>
      <c r="AF51" s="442"/>
      <c r="AG51" s="442"/>
      <c r="AH51" s="443"/>
      <c r="AI51" s="440"/>
      <c r="AJ51" s="441" t="s">
        <v>55</v>
      </c>
      <c r="AK51" s="442"/>
      <c r="AL51" s="442"/>
      <c r="AM51" s="443"/>
      <c r="AN51" s="440"/>
      <c r="AO51" s="441" t="s">
        <v>55</v>
      </c>
      <c r="AP51" s="442"/>
      <c r="AQ51" s="442"/>
      <c r="AR51" s="443"/>
      <c r="AS51" s="440"/>
      <c r="AT51" s="441" t="s">
        <v>55</v>
      </c>
      <c r="AU51" s="442"/>
      <c r="AV51" s="442"/>
      <c r="AW51" s="443"/>
      <c r="AX51" s="440"/>
    </row>
    <row r="52" spans="2:50">
      <c r="B52" s="440"/>
      <c r="C52" s="440"/>
      <c r="D52" s="440"/>
      <c r="E52" s="219" t="s">
        <v>56</v>
      </c>
      <c r="F52" s="219" t="s">
        <v>57</v>
      </c>
      <c r="G52" s="219" t="s">
        <v>58</v>
      </c>
      <c r="H52" s="448"/>
      <c r="I52" s="219" t="s">
        <v>56</v>
      </c>
      <c r="J52" s="219" t="s">
        <v>57</v>
      </c>
      <c r="K52" s="219" t="s">
        <v>58</v>
      </c>
      <c r="L52" s="448"/>
      <c r="M52" s="451"/>
      <c r="N52" s="440"/>
      <c r="O52" s="440"/>
      <c r="P52" s="219" t="s">
        <v>56</v>
      </c>
      <c r="Q52" s="219" t="s">
        <v>57</v>
      </c>
      <c r="R52" s="219" t="s">
        <v>58</v>
      </c>
      <c r="S52" s="219" t="s">
        <v>51</v>
      </c>
      <c r="T52" s="440"/>
      <c r="U52" s="219" t="s">
        <v>56</v>
      </c>
      <c r="V52" s="219" t="s">
        <v>57</v>
      </c>
      <c r="W52" s="219" t="s">
        <v>58</v>
      </c>
      <c r="X52" s="219" t="s">
        <v>51</v>
      </c>
      <c r="Y52" s="440"/>
      <c r="Z52" s="219" t="s">
        <v>56</v>
      </c>
      <c r="AA52" s="219" t="s">
        <v>57</v>
      </c>
      <c r="AB52" s="219" t="s">
        <v>58</v>
      </c>
      <c r="AC52" s="219" t="s">
        <v>51</v>
      </c>
      <c r="AD52" s="440"/>
      <c r="AE52" s="219" t="s">
        <v>56</v>
      </c>
      <c r="AF52" s="219" t="s">
        <v>57</v>
      </c>
      <c r="AG52" s="219" t="s">
        <v>58</v>
      </c>
      <c r="AH52" s="219" t="s">
        <v>51</v>
      </c>
      <c r="AI52" s="440"/>
      <c r="AJ52" s="219" t="s">
        <v>56</v>
      </c>
      <c r="AK52" s="219" t="s">
        <v>57</v>
      </c>
      <c r="AL52" s="219" t="s">
        <v>58</v>
      </c>
      <c r="AM52" s="219" t="s">
        <v>51</v>
      </c>
      <c r="AN52" s="440"/>
      <c r="AO52" s="219" t="s">
        <v>56</v>
      </c>
      <c r="AP52" s="219" t="s">
        <v>57</v>
      </c>
      <c r="AQ52" s="219" t="s">
        <v>58</v>
      </c>
      <c r="AR52" s="219" t="s">
        <v>51</v>
      </c>
      <c r="AS52" s="440"/>
      <c r="AT52" s="219" t="s">
        <v>56</v>
      </c>
      <c r="AU52" s="219" t="s">
        <v>57</v>
      </c>
      <c r="AV52" s="219" t="s">
        <v>58</v>
      </c>
      <c r="AW52" s="219" t="s">
        <v>51</v>
      </c>
      <c r="AX52" s="440"/>
    </row>
    <row r="53" spans="2:50" ht="13.5">
      <c r="B53" s="436" t="s">
        <v>316</v>
      </c>
      <c r="C53" s="220">
        <v>1</v>
      </c>
      <c r="D53" s="224" t="s">
        <v>75</v>
      </c>
      <c r="E53" s="221">
        <f>VLOOKUP(D53,'11產線配置圖'!$A$2:$C$25,2,0)</f>
        <v>12</v>
      </c>
      <c r="F53" s="221">
        <f>VLOOKUP(D53,'11產線配置圖'!$A$2:$C$25,3,0)</f>
        <v>2000</v>
      </c>
      <c r="G53" s="222">
        <f>F53/E53</f>
        <v>166.66666666666666</v>
      </c>
      <c r="H53" s="437">
        <f>AVERAGE(G53:G67)</f>
        <v>112.6054621100577</v>
      </c>
      <c r="I53" s="221">
        <f>AVERAGE(P53,U53,Z53,AE53,AJ53,AO53,AT53)</f>
        <v>13</v>
      </c>
      <c r="J53" s="221">
        <f>AVERAGE(Q53,V53,AA53,AF53,AK53,AP53,AU53)</f>
        <v>1887.7142857142858</v>
      </c>
      <c r="K53" s="222">
        <f>AVERAGE(R53,W53,AB53,AG53,AL53,AQ53,AV53)</f>
        <v>145.20879120879118</v>
      </c>
      <c r="L53" s="437">
        <f>IFERROR(AVERAGE(K53:K67),"-")</f>
        <v>100.8125188272565</v>
      </c>
      <c r="M53" s="221">
        <f>RANK(K53, K$53:$K$67)</f>
        <v>1</v>
      </c>
      <c r="N53" s="440"/>
      <c r="O53" s="440"/>
      <c r="P53" s="221">
        <v>13</v>
      </c>
      <c r="Q53" s="221">
        <v>1978</v>
      </c>
      <c r="R53" s="222">
        <f>Q53/P53</f>
        <v>152.15384615384616</v>
      </c>
      <c r="S53" s="220">
        <f>RANK(R53, $R$53:$R$67)</f>
        <v>1</v>
      </c>
      <c r="T53" s="435">
        <f>AVERAGE(R53:R67)</f>
        <v>98.845786506235427</v>
      </c>
      <c r="U53" s="221">
        <v>13</v>
      </c>
      <c r="V53" s="221">
        <v>1920</v>
      </c>
      <c r="W53" s="222">
        <f>V53/U53</f>
        <v>147.69230769230768</v>
      </c>
      <c r="X53" s="220">
        <f>RANK(W53,$W$53:$W$67)</f>
        <v>1</v>
      </c>
      <c r="Y53" s="435">
        <f>AVERAGE(W53:W67)</f>
        <v>101.24376282508054</v>
      </c>
      <c r="Z53" s="221">
        <v>13</v>
      </c>
      <c r="AA53" s="221">
        <v>1924</v>
      </c>
      <c r="AB53" s="222">
        <f>AA53/Z53</f>
        <v>148</v>
      </c>
      <c r="AC53" s="220">
        <f>RANK(AB53, $AB$53:$AB$67)</f>
        <v>1</v>
      </c>
      <c r="AD53" s="435">
        <f>AVERAGE(AB53:AB67)</f>
        <v>104.21033302209774</v>
      </c>
      <c r="AE53" s="221">
        <v>13</v>
      </c>
      <c r="AF53" s="221">
        <v>1735</v>
      </c>
      <c r="AG53" s="222">
        <f>AF53/AE53</f>
        <v>133.46153846153845</v>
      </c>
      <c r="AH53" s="220">
        <f>RANK(AG53, $AG$53:$AG$67)</f>
        <v>1</v>
      </c>
      <c r="AI53" s="435">
        <f>AVERAGE(AG53:AG67)</f>
        <v>95.790609064138451</v>
      </c>
      <c r="AJ53" s="221">
        <v>13</v>
      </c>
      <c r="AK53" s="221">
        <v>1838</v>
      </c>
      <c r="AL53" s="222">
        <f>AK53/AJ53</f>
        <v>141.38461538461539</v>
      </c>
      <c r="AM53" s="220">
        <f>RANK(AL53,$AL$53:$AL$67)</f>
        <v>2</v>
      </c>
      <c r="AN53" s="435">
        <f>AVERAGE(AL53:AL67)</f>
        <v>101.29545610979433</v>
      </c>
      <c r="AO53" s="221">
        <v>13</v>
      </c>
      <c r="AP53" s="221">
        <v>1931</v>
      </c>
      <c r="AQ53" s="222">
        <f>AP53/AO53</f>
        <v>148.53846153846155</v>
      </c>
      <c r="AR53" s="220">
        <f>RANK(AQ53,$AQ$53:$AQ$67)</f>
        <v>1</v>
      </c>
      <c r="AS53" s="435">
        <f>AVERAGE(AQ53:AQ67)</f>
        <v>101.26803939524528</v>
      </c>
      <c r="AT53" s="221">
        <v>13</v>
      </c>
      <c r="AU53" s="221">
        <v>1888</v>
      </c>
      <c r="AV53" s="222">
        <f>AU53/AT53</f>
        <v>145.23076923076923</v>
      </c>
      <c r="AW53" s="220">
        <f>RANK(AV53,$AV$53:$AV$67)</f>
        <v>1</v>
      </c>
      <c r="AX53" s="435">
        <f>AVERAGE(AV53:AV67)</f>
        <v>103.03364486820369</v>
      </c>
    </row>
    <row r="54" spans="2:50">
      <c r="B54" s="436"/>
      <c r="C54" s="220">
        <v>2</v>
      </c>
      <c r="D54" s="220" t="s">
        <v>76</v>
      </c>
      <c r="E54" s="221">
        <f>VLOOKUP(D54,'11產線配置圖'!$A$2:$C$25,2,0)</f>
        <v>13</v>
      </c>
      <c r="F54" s="221">
        <f>VLOOKUP(D54,'11產線配置圖'!$A$2:$C$25,3,0)</f>
        <v>2000</v>
      </c>
      <c r="G54" s="222">
        <f t="shared" ref="G54:G62" si="34">F54/E54</f>
        <v>153.84615384615384</v>
      </c>
      <c r="H54" s="438"/>
      <c r="I54" s="221">
        <f t="shared" ref="I54:K62" si="35">AVERAGE(P54,U54,Z54,AE54,AJ54,AO54,AT54)</f>
        <v>14</v>
      </c>
      <c r="J54" s="221">
        <f t="shared" si="35"/>
        <v>1912.8571428571429</v>
      </c>
      <c r="K54" s="222">
        <f t="shared" si="35"/>
        <v>136.63265306122449</v>
      </c>
      <c r="L54" s="438"/>
      <c r="M54" s="221">
        <f>RANK(K54, K$53:$K$67)</f>
        <v>2</v>
      </c>
      <c r="N54" s="440"/>
      <c r="O54" s="440"/>
      <c r="P54" s="221">
        <v>14</v>
      </c>
      <c r="Q54" s="221">
        <v>1896</v>
      </c>
      <c r="R54" s="222">
        <f t="shared" ref="R54:R62" si="36">Q54/P54</f>
        <v>135.42857142857142</v>
      </c>
      <c r="S54" s="220">
        <f t="shared" ref="S54:S62" si="37">RANK(R54, $R$53:$R$67)</f>
        <v>2</v>
      </c>
      <c r="T54" s="435"/>
      <c r="U54" s="221">
        <v>14</v>
      </c>
      <c r="V54" s="221">
        <v>1944</v>
      </c>
      <c r="W54" s="222">
        <f t="shared" ref="W54:W62" si="38">V54/U54</f>
        <v>138.85714285714286</v>
      </c>
      <c r="X54" s="220">
        <f t="shared" ref="X54:X62" si="39">RANK(W54,$W$53:$W$67)</f>
        <v>2</v>
      </c>
      <c r="Y54" s="435"/>
      <c r="Z54" s="221">
        <v>14</v>
      </c>
      <c r="AA54" s="221">
        <v>1934</v>
      </c>
      <c r="AB54" s="222">
        <f t="shared" ref="AB54:AB62" si="40">AA54/Z54</f>
        <v>138.14285714285714</v>
      </c>
      <c r="AC54" s="220">
        <f t="shared" ref="AC54:AC62" si="41">RANK(AB54, $AB$53:$AB$67)</f>
        <v>3</v>
      </c>
      <c r="AD54" s="435"/>
      <c r="AE54" s="221">
        <v>14</v>
      </c>
      <c r="AF54" s="221">
        <v>1733</v>
      </c>
      <c r="AG54" s="222">
        <f t="shared" ref="AG54:AG62" si="42">AF54/AE54</f>
        <v>123.78571428571429</v>
      </c>
      <c r="AH54" s="220">
        <f t="shared" ref="AH54:AH62" si="43">RANK(AG54, $AG$53:$AG$67)</f>
        <v>3</v>
      </c>
      <c r="AI54" s="435"/>
      <c r="AJ54" s="221">
        <v>14</v>
      </c>
      <c r="AK54" s="221">
        <v>1995</v>
      </c>
      <c r="AL54" s="222">
        <f t="shared" ref="AL54:AL62" si="44">AK54/AJ54</f>
        <v>142.5</v>
      </c>
      <c r="AM54" s="220">
        <f t="shared" ref="AM54:AM62" si="45">RANK(AL54,$AL$53:$AL$67)</f>
        <v>1</v>
      </c>
      <c r="AN54" s="435"/>
      <c r="AO54" s="221">
        <v>14</v>
      </c>
      <c r="AP54" s="221">
        <v>1941</v>
      </c>
      <c r="AQ54" s="222">
        <f t="shared" ref="AQ54:AQ62" si="46">AP54/AO54</f>
        <v>138.64285714285714</v>
      </c>
      <c r="AR54" s="220">
        <f t="shared" ref="AR54:AR62" si="47">RANK(AQ54,$AQ$53:$AQ$67)</f>
        <v>2</v>
      </c>
      <c r="AS54" s="435"/>
      <c r="AT54" s="221">
        <v>14</v>
      </c>
      <c r="AU54" s="221">
        <v>1947</v>
      </c>
      <c r="AV54" s="222">
        <f t="shared" ref="AV54:AV62" si="48">AU54/AT54</f>
        <v>139.07142857142858</v>
      </c>
      <c r="AW54" s="220">
        <f t="shared" ref="AW54:AW62" si="49">RANK(AV54,$AV$53:$AV$67)</f>
        <v>2</v>
      </c>
      <c r="AX54" s="435"/>
    </row>
    <row r="55" spans="2:50">
      <c r="B55" s="436"/>
      <c r="C55" s="220">
        <v>3</v>
      </c>
      <c r="D55" s="220" t="s">
        <v>78</v>
      </c>
      <c r="E55" s="221">
        <f>VLOOKUP(D55,'11產線配置圖'!$A$2:$C$25,2,0)</f>
        <v>15</v>
      </c>
      <c r="F55" s="221">
        <f>VLOOKUP(D55,'11產線配置圖'!$A$2:$C$25,3,0)</f>
        <v>2000</v>
      </c>
      <c r="G55" s="222">
        <f t="shared" si="34"/>
        <v>133.33333333333334</v>
      </c>
      <c r="H55" s="438"/>
      <c r="I55" s="221">
        <f t="shared" si="35"/>
        <v>14</v>
      </c>
      <c r="J55" s="221">
        <f t="shared" si="35"/>
        <v>1869.1428571428571</v>
      </c>
      <c r="K55" s="222">
        <f t="shared" si="35"/>
        <v>133.51020408163268</v>
      </c>
      <c r="L55" s="438"/>
      <c r="M55" s="221">
        <f>RANK(K55, K$53:$K$67)</f>
        <v>3</v>
      </c>
      <c r="N55" s="440"/>
      <c r="O55" s="440"/>
      <c r="P55" s="221">
        <v>14</v>
      </c>
      <c r="Q55" s="221">
        <v>1808</v>
      </c>
      <c r="R55" s="222">
        <f>Q55/P55</f>
        <v>129.14285714285714</v>
      </c>
      <c r="S55" s="220">
        <f>RANK(R55, $R$53:$R$67)</f>
        <v>4</v>
      </c>
      <c r="T55" s="435"/>
      <c r="U55" s="221">
        <v>14</v>
      </c>
      <c r="V55" s="221">
        <v>1861</v>
      </c>
      <c r="W55" s="222">
        <f t="shared" si="38"/>
        <v>132.92857142857142</v>
      </c>
      <c r="X55" s="220">
        <f t="shared" si="39"/>
        <v>4</v>
      </c>
      <c r="Y55" s="435"/>
      <c r="Z55" s="221">
        <v>14</v>
      </c>
      <c r="AA55" s="221">
        <v>1989</v>
      </c>
      <c r="AB55" s="222">
        <f t="shared" si="40"/>
        <v>142.07142857142858</v>
      </c>
      <c r="AC55" s="220">
        <f t="shared" si="41"/>
        <v>2</v>
      </c>
      <c r="AD55" s="435"/>
      <c r="AE55" s="221">
        <v>14</v>
      </c>
      <c r="AF55" s="221">
        <v>1665</v>
      </c>
      <c r="AG55" s="222">
        <f t="shared" si="42"/>
        <v>118.92857142857143</v>
      </c>
      <c r="AH55" s="220">
        <f t="shared" si="43"/>
        <v>4</v>
      </c>
      <c r="AI55" s="435"/>
      <c r="AJ55" s="221">
        <v>14</v>
      </c>
      <c r="AK55" s="221">
        <v>1950</v>
      </c>
      <c r="AL55" s="222">
        <f t="shared" si="44"/>
        <v>139.28571428571428</v>
      </c>
      <c r="AM55" s="220">
        <f t="shared" si="45"/>
        <v>3</v>
      </c>
      <c r="AN55" s="435"/>
      <c r="AO55" s="221">
        <v>14</v>
      </c>
      <c r="AP55" s="221">
        <v>1935</v>
      </c>
      <c r="AQ55" s="222">
        <f t="shared" si="46"/>
        <v>138.21428571428572</v>
      </c>
      <c r="AR55" s="220">
        <f t="shared" si="47"/>
        <v>3</v>
      </c>
      <c r="AS55" s="435"/>
      <c r="AT55" s="221">
        <v>14</v>
      </c>
      <c r="AU55" s="221">
        <v>1876</v>
      </c>
      <c r="AV55" s="222">
        <f t="shared" si="48"/>
        <v>134</v>
      </c>
      <c r="AW55" s="220">
        <f t="shared" si="49"/>
        <v>3</v>
      </c>
      <c r="AX55" s="435"/>
    </row>
    <row r="56" spans="2:50">
      <c r="B56" s="436"/>
      <c r="C56" s="220">
        <v>4</v>
      </c>
      <c r="D56" s="220" t="s">
        <v>182</v>
      </c>
      <c r="E56" s="221">
        <f>VLOOKUP(D56,'11產線配置圖'!$A$2:$C$25,2,0)</f>
        <v>18</v>
      </c>
      <c r="F56" s="221">
        <f>VLOOKUP(D56,'11產線配置圖'!$A$2:$C$25,3,0)</f>
        <v>1565</v>
      </c>
      <c r="G56" s="222">
        <f t="shared" si="34"/>
        <v>86.944444444444443</v>
      </c>
      <c r="H56" s="438"/>
      <c r="I56" s="221">
        <f t="shared" si="35"/>
        <v>17.714285714285715</v>
      </c>
      <c r="J56" s="221">
        <f t="shared" si="35"/>
        <v>1563.5714285714287</v>
      </c>
      <c r="K56" s="222">
        <f t="shared" si="35"/>
        <v>88.228291316526608</v>
      </c>
      <c r="L56" s="438"/>
      <c r="M56" s="221">
        <f>RANK(K56, K$53:$K$67)</f>
        <v>6</v>
      </c>
      <c r="N56" s="440"/>
      <c r="O56" s="440"/>
      <c r="P56" s="221">
        <v>18</v>
      </c>
      <c r="Q56" s="221">
        <v>1486</v>
      </c>
      <c r="R56" s="222">
        <f t="shared" si="36"/>
        <v>82.555555555555557</v>
      </c>
      <c r="S56" s="220">
        <f t="shared" si="37"/>
        <v>7</v>
      </c>
      <c r="T56" s="435"/>
      <c r="U56" s="221">
        <v>18</v>
      </c>
      <c r="V56" s="221">
        <v>1533</v>
      </c>
      <c r="W56" s="222">
        <f t="shared" si="38"/>
        <v>85.166666666666671</v>
      </c>
      <c r="X56" s="220">
        <f t="shared" si="39"/>
        <v>8</v>
      </c>
      <c r="Y56" s="435"/>
      <c r="Z56" s="221">
        <v>18</v>
      </c>
      <c r="AA56" s="221">
        <v>1856</v>
      </c>
      <c r="AB56" s="222">
        <f t="shared" si="40"/>
        <v>103.11111111111111</v>
      </c>
      <c r="AC56" s="220">
        <f t="shared" si="41"/>
        <v>6</v>
      </c>
      <c r="AD56" s="435"/>
      <c r="AE56" s="221">
        <v>17</v>
      </c>
      <c r="AF56" s="221">
        <v>1463</v>
      </c>
      <c r="AG56" s="222">
        <f t="shared" si="42"/>
        <v>86.058823529411768</v>
      </c>
      <c r="AH56" s="220">
        <f t="shared" si="43"/>
        <v>7</v>
      </c>
      <c r="AI56" s="435"/>
      <c r="AJ56" s="221">
        <v>17</v>
      </c>
      <c r="AK56" s="221">
        <v>1457</v>
      </c>
      <c r="AL56" s="222">
        <f t="shared" si="44"/>
        <v>85.705882352941174</v>
      </c>
      <c r="AM56" s="220">
        <f t="shared" si="45"/>
        <v>8</v>
      </c>
      <c r="AN56" s="435"/>
      <c r="AO56" s="221">
        <v>18</v>
      </c>
      <c r="AP56" s="221">
        <v>1581</v>
      </c>
      <c r="AQ56" s="222">
        <f t="shared" si="46"/>
        <v>87.833333333333329</v>
      </c>
      <c r="AR56" s="220">
        <f t="shared" si="47"/>
        <v>7</v>
      </c>
      <c r="AS56" s="435"/>
      <c r="AT56" s="221">
        <v>18</v>
      </c>
      <c r="AU56" s="221">
        <v>1569</v>
      </c>
      <c r="AV56" s="222">
        <f t="shared" si="48"/>
        <v>87.166666666666671</v>
      </c>
      <c r="AW56" s="220">
        <f t="shared" si="49"/>
        <v>9</v>
      </c>
      <c r="AX56" s="435"/>
    </row>
    <row r="57" spans="2:50">
      <c r="B57" s="436"/>
      <c r="C57" s="220">
        <v>5</v>
      </c>
      <c r="D57" s="220" t="s">
        <v>74</v>
      </c>
      <c r="E57" s="221">
        <f>VLOOKUP(D57,'11產線配置圖'!$A$2:$C$25,2,0)</f>
        <v>13</v>
      </c>
      <c r="F57" s="221">
        <f>VLOOKUP(D57,'11產線配置圖'!$A$2:$C$25,3,0)</f>
        <v>2000</v>
      </c>
      <c r="G57" s="222">
        <f t="shared" si="34"/>
        <v>153.84615384615384</v>
      </c>
      <c r="H57" s="438"/>
      <c r="I57" s="221">
        <f t="shared" si="35"/>
        <v>14</v>
      </c>
      <c r="J57" s="221">
        <f t="shared" si="35"/>
        <v>1816.5714285714287</v>
      </c>
      <c r="K57" s="222">
        <f t="shared" si="35"/>
        <v>129.7551020408163</v>
      </c>
      <c r="L57" s="438"/>
      <c r="M57" s="221">
        <f>RANK(K57, K$53:$K$67)</f>
        <v>4</v>
      </c>
      <c r="N57" s="440"/>
      <c r="O57" s="440"/>
      <c r="P57" s="221">
        <v>14</v>
      </c>
      <c r="Q57" s="221">
        <v>1856</v>
      </c>
      <c r="R57" s="222">
        <f t="shared" si="36"/>
        <v>132.57142857142858</v>
      </c>
      <c r="S57" s="220">
        <f t="shared" si="37"/>
        <v>3</v>
      </c>
      <c r="T57" s="435"/>
      <c r="U57" s="221">
        <v>14</v>
      </c>
      <c r="V57" s="221">
        <v>1869</v>
      </c>
      <c r="W57" s="222">
        <f t="shared" si="38"/>
        <v>133.5</v>
      </c>
      <c r="X57" s="220">
        <f t="shared" si="39"/>
        <v>3</v>
      </c>
      <c r="Y57" s="435"/>
      <c r="Z57" s="221">
        <v>14</v>
      </c>
      <c r="AA57" s="221">
        <v>1824</v>
      </c>
      <c r="AB57" s="222">
        <f t="shared" si="40"/>
        <v>130.28571428571428</v>
      </c>
      <c r="AC57" s="220">
        <f t="shared" si="41"/>
        <v>4</v>
      </c>
      <c r="AD57" s="435"/>
      <c r="AE57" s="221">
        <v>14</v>
      </c>
      <c r="AF57" s="221">
        <v>1777</v>
      </c>
      <c r="AG57" s="222">
        <f t="shared" si="42"/>
        <v>126.92857142857143</v>
      </c>
      <c r="AH57" s="220">
        <f t="shared" si="43"/>
        <v>2</v>
      </c>
      <c r="AI57" s="435"/>
      <c r="AJ57" s="221">
        <v>14</v>
      </c>
      <c r="AK57" s="221">
        <v>1697</v>
      </c>
      <c r="AL57" s="222">
        <f t="shared" si="44"/>
        <v>121.21428571428571</v>
      </c>
      <c r="AM57" s="220">
        <f t="shared" si="45"/>
        <v>4</v>
      </c>
      <c r="AN57" s="435"/>
      <c r="AO57" s="221">
        <v>14</v>
      </c>
      <c r="AP57" s="221">
        <v>1912</v>
      </c>
      <c r="AQ57" s="222">
        <f t="shared" si="46"/>
        <v>136.57142857142858</v>
      </c>
      <c r="AR57" s="220">
        <f t="shared" si="47"/>
        <v>4</v>
      </c>
      <c r="AS57" s="435"/>
      <c r="AT57" s="221">
        <v>14</v>
      </c>
      <c r="AU57" s="221">
        <v>1781</v>
      </c>
      <c r="AV57" s="222">
        <f t="shared" si="48"/>
        <v>127.21428571428571</v>
      </c>
      <c r="AW57" s="220">
        <f t="shared" si="49"/>
        <v>4</v>
      </c>
      <c r="AX57" s="435"/>
    </row>
    <row r="58" spans="2:50">
      <c r="B58" s="436"/>
      <c r="C58" s="220">
        <v>6</v>
      </c>
      <c r="D58" s="220" t="s">
        <v>77</v>
      </c>
      <c r="E58" s="221">
        <f>VLOOKUP(D58,'11產線配置圖'!$A$2:$C$25,2,0)</f>
        <v>14</v>
      </c>
      <c r="F58" s="221">
        <f>VLOOKUP(D58,'11產線配置圖'!$A$2:$C$25,3,0)</f>
        <v>1895</v>
      </c>
      <c r="G58" s="222">
        <f t="shared" si="34"/>
        <v>135.35714285714286</v>
      </c>
      <c r="H58" s="438"/>
      <c r="I58" s="221">
        <f t="shared" si="35"/>
        <v>18</v>
      </c>
      <c r="J58" s="221">
        <f t="shared" si="35"/>
        <v>1782.7142857142858</v>
      </c>
      <c r="K58" s="222">
        <f t="shared" si="35"/>
        <v>99.039682539682545</v>
      </c>
      <c r="L58" s="438"/>
      <c r="M58" s="221">
        <f>RANK(K58, K$53:$K$67)</f>
        <v>5</v>
      </c>
      <c r="N58" s="440"/>
      <c r="O58" s="440"/>
      <c r="P58" s="221">
        <v>18</v>
      </c>
      <c r="Q58" s="221">
        <v>1865</v>
      </c>
      <c r="R58" s="222">
        <f t="shared" si="36"/>
        <v>103.61111111111111</v>
      </c>
      <c r="S58" s="220">
        <f t="shared" si="37"/>
        <v>5</v>
      </c>
      <c r="T58" s="435"/>
      <c r="U58" s="221">
        <v>18</v>
      </c>
      <c r="V58" s="221">
        <v>1705</v>
      </c>
      <c r="W58" s="222">
        <f t="shared" si="38"/>
        <v>94.722222222222229</v>
      </c>
      <c r="X58" s="220">
        <f t="shared" si="39"/>
        <v>5</v>
      </c>
      <c r="Y58" s="435"/>
      <c r="Z58" s="221">
        <v>18</v>
      </c>
      <c r="AA58" s="221">
        <v>1869</v>
      </c>
      <c r="AB58" s="222">
        <f t="shared" si="40"/>
        <v>103.83333333333333</v>
      </c>
      <c r="AC58" s="220">
        <f t="shared" si="41"/>
        <v>5</v>
      </c>
      <c r="AD58" s="435"/>
      <c r="AE58" s="221">
        <v>18</v>
      </c>
      <c r="AF58" s="221">
        <v>1707</v>
      </c>
      <c r="AG58" s="222">
        <f t="shared" si="42"/>
        <v>94.833333333333329</v>
      </c>
      <c r="AH58" s="220">
        <f t="shared" si="43"/>
        <v>5</v>
      </c>
      <c r="AI58" s="435"/>
      <c r="AJ58" s="221">
        <v>18</v>
      </c>
      <c r="AK58" s="221">
        <v>1841</v>
      </c>
      <c r="AL58" s="222">
        <f t="shared" si="44"/>
        <v>102.27777777777777</v>
      </c>
      <c r="AM58" s="220">
        <f t="shared" si="45"/>
        <v>5</v>
      </c>
      <c r="AN58" s="435"/>
      <c r="AO58" s="221">
        <v>18</v>
      </c>
      <c r="AP58" s="221">
        <v>1728</v>
      </c>
      <c r="AQ58" s="222">
        <f t="shared" si="46"/>
        <v>96</v>
      </c>
      <c r="AR58" s="220">
        <f t="shared" si="47"/>
        <v>5</v>
      </c>
      <c r="AS58" s="435"/>
      <c r="AT58" s="221">
        <v>18</v>
      </c>
      <c r="AU58" s="221">
        <v>1764</v>
      </c>
      <c r="AV58" s="222">
        <f t="shared" si="48"/>
        <v>98</v>
      </c>
      <c r="AW58" s="220">
        <f t="shared" si="49"/>
        <v>5</v>
      </c>
      <c r="AX58" s="435"/>
    </row>
    <row r="59" spans="2:50">
      <c r="B59" s="436"/>
      <c r="C59" s="220">
        <v>7</v>
      </c>
      <c r="D59" s="220" t="s">
        <v>81</v>
      </c>
      <c r="E59" s="221">
        <f>VLOOKUP(D59,'11產線配置圖'!$A$2:$C$25,2,0)</f>
        <v>17</v>
      </c>
      <c r="F59" s="221">
        <f>VLOOKUP(D59,'11產線配置圖'!$A$2:$C$25,3,0)</f>
        <v>1385</v>
      </c>
      <c r="G59" s="222">
        <f t="shared" si="34"/>
        <v>81.470588235294116</v>
      </c>
      <c r="H59" s="438"/>
      <c r="I59" s="221">
        <f>AVERAGE(P59,U59,Z59,AE59,AJ59,AO59,AT59)</f>
        <v>17</v>
      </c>
      <c r="J59" s="221">
        <f>AVERAGE(Q59,V59,AA59,AF59,AK59,AP59,AU59)</f>
        <v>1343</v>
      </c>
      <c r="K59" s="222">
        <f>AVERAGE(R59,W59,AB59,AG59,AL59,AQ59,AV59)</f>
        <v>78.993872549019599</v>
      </c>
      <c r="L59" s="438"/>
      <c r="M59" s="221">
        <f>RANK(K59, K$53:$K$67)</f>
        <v>10</v>
      </c>
      <c r="N59" s="440"/>
      <c r="O59" s="440"/>
      <c r="P59" s="221">
        <v>17</v>
      </c>
      <c r="Q59" s="221">
        <v>1282</v>
      </c>
      <c r="R59" s="222">
        <f>Q59/P59</f>
        <v>75.411764705882348</v>
      </c>
      <c r="S59" s="220">
        <f>RANK(R59, $R$53:$R$67)</f>
        <v>10</v>
      </c>
      <c r="T59" s="435"/>
      <c r="U59" s="221">
        <v>17</v>
      </c>
      <c r="V59" s="221">
        <v>1462</v>
      </c>
      <c r="W59" s="222">
        <f>V59/U59</f>
        <v>86</v>
      </c>
      <c r="X59" s="220">
        <f>RANK(W59,$W$53:$W$67)</f>
        <v>7</v>
      </c>
      <c r="Y59" s="435"/>
      <c r="Z59" s="221">
        <v>17</v>
      </c>
      <c r="AA59" s="221">
        <v>1430</v>
      </c>
      <c r="AB59" s="222">
        <f t="shared" si="40"/>
        <v>84.117647058823536</v>
      </c>
      <c r="AC59" s="220">
        <f t="shared" si="41"/>
        <v>8</v>
      </c>
      <c r="AD59" s="435"/>
      <c r="AE59" s="221">
        <v>17</v>
      </c>
      <c r="AF59" s="221">
        <v>1363</v>
      </c>
      <c r="AG59" s="222">
        <f>AF59/AE59</f>
        <v>80.17647058823529</v>
      </c>
      <c r="AH59" s="220">
        <f>RANK(AG59, $AG$53:$AG$67)</f>
        <v>9</v>
      </c>
      <c r="AI59" s="435"/>
      <c r="AJ59" s="221">
        <v>16</v>
      </c>
      <c r="AK59" s="221">
        <v>1287</v>
      </c>
      <c r="AL59" s="222">
        <f>AK59/AJ59</f>
        <v>80.4375</v>
      </c>
      <c r="AM59" s="220">
        <f>RANK(AL59,$AL$53:$AL$67)</f>
        <v>11</v>
      </c>
      <c r="AN59" s="435"/>
      <c r="AO59" s="221">
        <v>17</v>
      </c>
      <c r="AP59" s="221">
        <v>1116</v>
      </c>
      <c r="AQ59" s="222">
        <f t="shared" si="46"/>
        <v>65.647058823529406</v>
      </c>
      <c r="AR59" s="220">
        <f t="shared" si="47"/>
        <v>12</v>
      </c>
      <c r="AS59" s="435"/>
      <c r="AT59" s="221">
        <v>18</v>
      </c>
      <c r="AU59" s="221">
        <v>1461</v>
      </c>
      <c r="AV59" s="222">
        <f t="shared" si="48"/>
        <v>81.166666666666671</v>
      </c>
      <c r="AW59" s="220">
        <f t="shared" si="49"/>
        <v>10</v>
      </c>
      <c r="AX59" s="435"/>
    </row>
    <row r="60" spans="2:50">
      <c r="B60" s="436"/>
      <c r="C60" s="220">
        <v>8</v>
      </c>
      <c r="D60" s="220" t="s">
        <v>83</v>
      </c>
      <c r="E60" s="221">
        <f>VLOOKUP(D60,'11產線配置圖'!$A$2:$C$25,2,0)</f>
        <v>18</v>
      </c>
      <c r="F60" s="221">
        <f>VLOOKUP(D60,'11產線配置圖'!$A$2:$C$25,3,0)</f>
        <v>1385</v>
      </c>
      <c r="G60" s="222">
        <f t="shared" si="34"/>
        <v>76.944444444444443</v>
      </c>
      <c r="H60" s="438"/>
      <c r="I60" s="221">
        <f t="shared" si="35"/>
        <v>15.857142857142858</v>
      </c>
      <c r="J60" s="221">
        <f t="shared" si="35"/>
        <v>1089.2857142857142</v>
      </c>
      <c r="K60" s="222">
        <f t="shared" si="35"/>
        <v>68.610844337735088</v>
      </c>
      <c r="L60" s="438"/>
      <c r="M60" s="221">
        <f>RANK(K60, K$53:$K$67)</f>
        <v>12</v>
      </c>
      <c r="N60" s="440"/>
      <c r="O60" s="440"/>
      <c r="P60" s="221">
        <v>17</v>
      </c>
      <c r="Q60" s="221">
        <v>1083</v>
      </c>
      <c r="R60" s="222">
        <f t="shared" si="36"/>
        <v>63.705882352941174</v>
      </c>
      <c r="S60" s="220">
        <f t="shared" si="37"/>
        <v>12</v>
      </c>
      <c r="T60" s="435"/>
      <c r="U60" s="221">
        <v>17</v>
      </c>
      <c r="V60" s="221">
        <v>1218</v>
      </c>
      <c r="W60" s="222">
        <f t="shared" si="38"/>
        <v>71.647058823529406</v>
      </c>
      <c r="X60" s="220">
        <f t="shared" si="39"/>
        <v>12</v>
      </c>
      <c r="Y60" s="435"/>
      <c r="Z60" s="221">
        <v>15</v>
      </c>
      <c r="AA60" s="221">
        <v>1082</v>
      </c>
      <c r="AB60" s="222">
        <f t="shared" si="40"/>
        <v>72.13333333333334</v>
      </c>
      <c r="AC60" s="220">
        <f t="shared" si="41"/>
        <v>12</v>
      </c>
      <c r="AD60" s="435"/>
      <c r="AE60" s="221">
        <v>15</v>
      </c>
      <c r="AF60" s="221">
        <v>1043</v>
      </c>
      <c r="AG60" s="222">
        <f t="shared" si="42"/>
        <v>69.533333333333331</v>
      </c>
      <c r="AH60" s="220">
        <f t="shared" si="43"/>
        <v>12</v>
      </c>
      <c r="AI60" s="435"/>
      <c r="AJ60" s="221">
        <v>14</v>
      </c>
      <c r="AK60" s="221">
        <v>879</v>
      </c>
      <c r="AL60" s="222">
        <f t="shared" si="44"/>
        <v>62.785714285714285</v>
      </c>
      <c r="AM60" s="220">
        <f t="shared" si="45"/>
        <v>12</v>
      </c>
      <c r="AN60" s="435"/>
      <c r="AO60" s="221">
        <v>16</v>
      </c>
      <c r="AP60" s="221">
        <v>1088</v>
      </c>
      <c r="AQ60" s="222">
        <f t="shared" si="46"/>
        <v>68</v>
      </c>
      <c r="AR60" s="220">
        <f t="shared" si="47"/>
        <v>11</v>
      </c>
      <c r="AS60" s="435"/>
      <c r="AT60" s="221">
        <v>17</v>
      </c>
      <c r="AU60" s="221">
        <v>1232</v>
      </c>
      <c r="AV60" s="222">
        <f t="shared" si="48"/>
        <v>72.470588235294116</v>
      </c>
      <c r="AW60" s="220">
        <f t="shared" si="49"/>
        <v>12</v>
      </c>
      <c r="AX60" s="435"/>
    </row>
    <row r="61" spans="2:50">
      <c r="B61" s="436"/>
      <c r="C61" s="220">
        <v>9</v>
      </c>
      <c r="D61" s="220" t="s">
        <v>87</v>
      </c>
      <c r="E61" s="221">
        <f>VLOOKUP(D61,'11產線配置圖'!$A$2:$C$25,2,0)</f>
        <v>17</v>
      </c>
      <c r="F61" s="221">
        <f>VLOOKUP(D61,'11產線配置圖'!$A$2:$C$25,3,0)</f>
        <v>1565</v>
      </c>
      <c r="G61" s="222">
        <f t="shared" si="34"/>
        <v>92.058823529411768</v>
      </c>
      <c r="H61" s="438"/>
      <c r="I61" s="221">
        <f t="shared" si="35"/>
        <v>14.571428571428571</v>
      </c>
      <c r="J61" s="221">
        <f t="shared" si="35"/>
        <v>1214.2857142857142</v>
      </c>
      <c r="K61" s="222">
        <f t="shared" si="35"/>
        <v>83.475006541077974</v>
      </c>
      <c r="L61" s="438"/>
      <c r="M61" s="221">
        <f>RANK(K61, K$53:$K$67)</f>
        <v>8</v>
      </c>
      <c r="N61" s="440"/>
      <c r="O61" s="440"/>
      <c r="P61" s="221">
        <v>16</v>
      </c>
      <c r="Q61" s="221">
        <v>1264</v>
      </c>
      <c r="R61" s="222">
        <f t="shared" si="36"/>
        <v>79</v>
      </c>
      <c r="S61" s="220">
        <f t="shared" si="37"/>
        <v>9</v>
      </c>
      <c r="T61" s="435"/>
      <c r="U61" s="221">
        <v>16</v>
      </c>
      <c r="V61" s="221">
        <v>1215</v>
      </c>
      <c r="W61" s="222">
        <f t="shared" si="38"/>
        <v>75.9375</v>
      </c>
      <c r="X61" s="220">
        <f t="shared" si="39"/>
        <v>11</v>
      </c>
      <c r="Y61" s="435"/>
      <c r="Z61" s="221">
        <v>14</v>
      </c>
      <c r="AA61" s="221">
        <v>1266</v>
      </c>
      <c r="AB61" s="222">
        <f t="shared" si="40"/>
        <v>90.428571428571431</v>
      </c>
      <c r="AC61" s="220">
        <f t="shared" si="41"/>
        <v>7</v>
      </c>
      <c r="AD61" s="435"/>
      <c r="AE61" s="221">
        <v>14</v>
      </c>
      <c r="AF61" s="221">
        <v>1123</v>
      </c>
      <c r="AG61" s="222">
        <f t="shared" si="42"/>
        <v>80.214285714285708</v>
      </c>
      <c r="AH61" s="220">
        <f t="shared" si="43"/>
        <v>8</v>
      </c>
      <c r="AI61" s="435"/>
      <c r="AJ61" s="221">
        <v>13</v>
      </c>
      <c r="AK61" s="221">
        <v>1088</v>
      </c>
      <c r="AL61" s="222">
        <f t="shared" si="44"/>
        <v>83.692307692307693</v>
      </c>
      <c r="AM61" s="220">
        <f t="shared" si="45"/>
        <v>9</v>
      </c>
      <c r="AN61" s="435"/>
      <c r="AO61" s="221">
        <v>14</v>
      </c>
      <c r="AP61" s="221">
        <v>1145</v>
      </c>
      <c r="AQ61" s="222">
        <f t="shared" si="46"/>
        <v>81.785714285714292</v>
      </c>
      <c r="AR61" s="220">
        <f t="shared" si="47"/>
        <v>9</v>
      </c>
      <c r="AS61" s="435"/>
      <c r="AT61" s="221">
        <v>15</v>
      </c>
      <c r="AU61" s="221">
        <v>1399</v>
      </c>
      <c r="AV61" s="222">
        <f t="shared" si="48"/>
        <v>93.266666666666666</v>
      </c>
      <c r="AW61" s="220">
        <f t="shared" si="49"/>
        <v>6</v>
      </c>
      <c r="AX61" s="435"/>
    </row>
    <row r="62" spans="2:50">
      <c r="B62" s="436"/>
      <c r="C62" s="220">
        <v>10</v>
      </c>
      <c r="D62" s="220" t="s">
        <v>359</v>
      </c>
      <c r="E62" s="221">
        <f>VLOOKUP(D62,'11產線配置圖'!$A$2:$C$25,2,0)</f>
        <v>17</v>
      </c>
      <c r="F62" s="221">
        <f>VLOOKUP(D62,'11產線配置圖'!$A$2:$C$25,3,0)</f>
        <v>1500</v>
      </c>
      <c r="G62" s="222">
        <f t="shared" si="34"/>
        <v>88.235294117647058</v>
      </c>
      <c r="H62" s="438"/>
      <c r="I62" s="221">
        <f t="shared" si="35"/>
        <v>16.857142857142858</v>
      </c>
      <c r="J62" s="221">
        <f t="shared" si="35"/>
        <v>1390.4285714285713</v>
      </c>
      <c r="K62" s="222">
        <f t="shared" si="35"/>
        <v>82.539943609022558</v>
      </c>
      <c r="L62" s="438"/>
      <c r="M62" s="221">
        <f>RANK(K62, K$53:$K$67)</f>
        <v>9</v>
      </c>
      <c r="N62" s="440"/>
      <c r="O62" s="440"/>
      <c r="P62" s="221">
        <v>19</v>
      </c>
      <c r="Q62" s="221">
        <v>1565</v>
      </c>
      <c r="R62" s="222">
        <f t="shared" si="36"/>
        <v>82.368421052631575</v>
      </c>
      <c r="S62" s="220">
        <f t="shared" si="37"/>
        <v>8</v>
      </c>
      <c r="T62" s="435"/>
      <c r="U62" s="221">
        <v>19</v>
      </c>
      <c r="V62" s="221">
        <v>1529</v>
      </c>
      <c r="W62" s="222">
        <f t="shared" si="38"/>
        <v>80.473684210526315</v>
      </c>
      <c r="X62" s="220">
        <f t="shared" si="39"/>
        <v>10</v>
      </c>
      <c r="Y62" s="435"/>
      <c r="Z62" s="221">
        <v>16</v>
      </c>
      <c r="AA62" s="221">
        <v>1312</v>
      </c>
      <c r="AB62" s="222">
        <f t="shared" si="40"/>
        <v>82</v>
      </c>
      <c r="AC62" s="220">
        <f t="shared" si="41"/>
        <v>9</v>
      </c>
      <c r="AD62" s="435"/>
      <c r="AE62" s="221">
        <v>16</v>
      </c>
      <c r="AF62" s="221">
        <v>1160</v>
      </c>
      <c r="AG62" s="222">
        <f t="shared" si="42"/>
        <v>72.5</v>
      </c>
      <c r="AH62" s="220">
        <f t="shared" si="43"/>
        <v>11</v>
      </c>
      <c r="AI62" s="435"/>
      <c r="AJ62" s="221">
        <v>16</v>
      </c>
      <c r="AK62" s="221">
        <v>1303</v>
      </c>
      <c r="AL62" s="222">
        <f t="shared" si="44"/>
        <v>81.4375</v>
      </c>
      <c r="AM62" s="220">
        <f t="shared" si="45"/>
        <v>10</v>
      </c>
      <c r="AN62" s="435"/>
      <c r="AO62" s="221">
        <v>16</v>
      </c>
      <c r="AP62" s="221">
        <v>1428</v>
      </c>
      <c r="AQ62" s="222">
        <f t="shared" si="46"/>
        <v>89.25</v>
      </c>
      <c r="AR62" s="220">
        <f t="shared" si="47"/>
        <v>6</v>
      </c>
      <c r="AS62" s="435"/>
      <c r="AT62" s="221">
        <v>16</v>
      </c>
      <c r="AU62" s="221">
        <v>1436</v>
      </c>
      <c r="AV62" s="222">
        <f t="shared" si="48"/>
        <v>89.75</v>
      </c>
      <c r="AW62" s="220">
        <f t="shared" si="49"/>
        <v>7</v>
      </c>
      <c r="AX62" s="435"/>
    </row>
    <row r="63" spans="2:50">
      <c r="B63" s="436"/>
      <c r="C63" s="220">
        <v>11</v>
      </c>
      <c r="D63" s="220" t="s">
        <v>85</v>
      </c>
      <c r="E63" s="221">
        <f>VLOOKUP(D63,'11產線配置圖'!$A$2:$C$25,2,0)</f>
        <v>15</v>
      </c>
      <c r="F63" s="221">
        <f>VLOOKUP(D63,'11產線配置圖'!$A$2:$C$25,3,0)</f>
        <v>1440</v>
      </c>
      <c r="G63" s="222">
        <f t="shared" ref="G63:G64" si="50">F63/E63</f>
        <v>96</v>
      </c>
      <c r="H63" s="438"/>
      <c r="I63" s="221">
        <f t="shared" ref="I63:I64" si="51">AVERAGE(P63,U63,Z63,AE63,AJ63,AO63,AT63)</f>
        <v>14.714285714285714</v>
      </c>
      <c r="J63" s="221">
        <f t="shared" ref="J63:J64" si="52">AVERAGE(Q63,V63,AA63,AF63,AK63,AP63,AU63)</f>
        <v>1144.4285714285713</v>
      </c>
      <c r="K63" s="222">
        <f t="shared" ref="K63:K64" si="53">AVERAGE(R63,W63,AB63,AG63,AL63,AQ63,AV63)</f>
        <v>77.962637362637352</v>
      </c>
      <c r="L63" s="438"/>
      <c r="M63" s="221">
        <f>RANK(K63, K$53:$K$67)</f>
        <v>11</v>
      </c>
      <c r="N63" s="440"/>
      <c r="O63" s="440"/>
      <c r="P63" s="220">
        <v>15</v>
      </c>
      <c r="Q63" s="220">
        <v>1009</v>
      </c>
      <c r="R63" s="222">
        <f t="shared" ref="R63:R64" si="54">Q63/P63</f>
        <v>67.266666666666666</v>
      </c>
      <c r="S63" s="220">
        <f t="shared" ref="S63:S64" si="55">RANK(R63, $R$53:$R$67)</f>
        <v>11</v>
      </c>
      <c r="T63" s="435"/>
      <c r="U63" s="220">
        <v>15</v>
      </c>
      <c r="V63" s="220">
        <v>1216</v>
      </c>
      <c r="W63" s="222">
        <f t="shared" ref="W63:W64" si="56">V63/U63</f>
        <v>81.066666666666663</v>
      </c>
      <c r="X63" s="220">
        <f t="shared" ref="X63:X64" si="57">RANK(W63,$W$53:$W$67)</f>
        <v>9</v>
      </c>
      <c r="Y63" s="435"/>
      <c r="Z63" s="220">
        <v>15</v>
      </c>
      <c r="AA63" s="220">
        <v>1128</v>
      </c>
      <c r="AB63" s="222">
        <f t="shared" ref="AB63:AB64" si="58">AA63/Z63</f>
        <v>75.2</v>
      </c>
      <c r="AC63" s="220">
        <f t="shared" ref="AC63:AC64" si="59">RANK(AB63, $AB$53:$AB$67)</f>
        <v>11</v>
      </c>
      <c r="AD63" s="435"/>
      <c r="AE63" s="220">
        <v>15</v>
      </c>
      <c r="AF63" s="220">
        <v>1143</v>
      </c>
      <c r="AG63" s="222">
        <f t="shared" ref="AG63:AG64" si="60">AF63/AE63</f>
        <v>76.2</v>
      </c>
      <c r="AH63" s="220">
        <f t="shared" ref="AH63:AH64" si="61">RANK(AG63, $AG$53:$AG$67)</f>
        <v>10</v>
      </c>
      <c r="AI63" s="435"/>
      <c r="AJ63" s="220">
        <v>13</v>
      </c>
      <c r="AK63" s="220">
        <v>1138</v>
      </c>
      <c r="AL63" s="222">
        <f t="shared" ref="AL63:AL64" si="62">AK63/AJ63</f>
        <v>87.538461538461533</v>
      </c>
      <c r="AM63" s="220">
        <f t="shared" ref="AM63:AM64" si="63">RANK(AL63,$AL$53:$AL$67)</f>
        <v>6</v>
      </c>
      <c r="AN63" s="435"/>
      <c r="AO63" s="220">
        <v>15</v>
      </c>
      <c r="AP63" s="220">
        <v>1179</v>
      </c>
      <c r="AQ63" s="222">
        <f t="shared" ref="AQ63:AQ64" si="64">AP63/AO63</f>
        <v>78.599999999999994</v>
      </c>
      <c r="AR63" s="220">
        <f t="shared" ref="AR63:AR64" si="65">RANK(AQ63,$AQ$53:$AQ$67)</f>
        <v>10</v>
      </c>
      <c r="AS63" s="435"/>
      <c r="AT63" s="220">
        <v>15</v>
      </c>
      <c r="AU63" s="220">
        <v>1198</v>
      </c>
      <c r="AV63" s="222">
        <f t="shared" ref="AV63:AV64" si="66">AU63/AT63</f>
        <v>79.86666666666666</v>
      </c>
      <c r="AW63" s="220">
        <f t="shared" ref="AW63:AW64" si="67">RANK(AV63,$AV$53:$AV$67)</f>
        <v>11</v>
      </c>
      <c r="AX63" s="435"/>
    </row>
    <row r="64" spans="2:50">
      <c r="B64" s="436"/>
      <c r="C64" s="220">
        <v>12</v>
      </c>
      <c r="D64" s="220" t="s">
        <v>89</v>
      </c>
      <c r="E64" s="221">
        <f>VLOOKUP(D64,'11產線配置圖'!$A$2:$C$25,2,0)</f>
        <v>16</v>
      </c>
      <c r="F64" s="221">
        <f>VLOOKUP(D64,'11產線配置圖'!$A$2:$C$25,3,0)</f>
        <v>1385</v>
      </c>
      <c r="G64" s="222">
        <f t="shared" si="50"/>
        <v>86.5625</v>
      </c>
      <c r="H64" s="438"/>
      <c r="I64" s="221">
        <f t="shared" si="51"/>
        <v>14.857142857142858</v>
      </c>
      <c r="J64" s="221">
        <f t="shared" si="52"/>
        <v>1274.4285714285713</v>
      </c>
      <c r="K64" s="222">
        <f t="shared" si="53"/>
        <v>85.793197278911563</v>
      </c>
      <c r="L64" s="438"/>
      <c r="M64" s="221">
        <f>RANK(K64, K$53:$K$67)</f>
        <v>7</v>
      </c>
      <c r="N64" s="440"/>
      <c r="O64" s="440"/>
      <c r="P64" s="220">
        <v>15</v>
      </c>
      <c r="Q64" s="220">
        <v>1244</v>
      </c>
      <c r="R64" s="222">
        <f t="shared" si="54"/>
        <v>82.933333333333337</v>
      </c>
      <c r="S64" s="220">
        <f t="shared" si="55"/>
        <v>6</v>
      </c>
      <c r="T64" s="435"/>
      <c r="U64" s="220">
        <v>15</v>
      </c>
      <c r="V64" s="221">
        <v>1304</v>
      </c>
      <c r="W64" s="222">
        <f t="shared" si="56"/>
        <v>86.933333333333337</v>
      </c>
      <c r="X64" s="220">
        <f t="shared" si="57"/>
        <v>6</v>
      </c>
      <c r="Y64" s="435"/>
      <c r="Z64" s="220">
        <v>15</v>
      </c>
      <c r="AA64" s="221">
        <v>1218</v>
      </c>
      <c r="AB64" s="222">
        <f t="shared" si="58"/>
        <v>81.2</v>
      </c>
      <c r="AC64" s="220">
        <f t="shared" si="59"/>
        <v>10</v>
      </c>
      <c r="AD64" s="435"/>
      <c r="AE64" s="220">
        <v>15</v>
      </c>
      <c r="AF64" s="220">
        <v>1303</v>
      </c>
      <c r="AG64" s="222">
        <f t="shared" si="60"/>
        <v>86.86666666666666</v>
      </c>
      <c r="AH64" s="220">
        <f t="shared" si="61"/>
        <v>6</v>
      </c>
      <c r="AI64" s="435"/>
      <c r="AJ64" s="220">
        <v>14</v>
      </c>
      <c r="AK64" s="220">
        <v>1222</v>
      </c>
      <c r="AL64" s="222">
        <f t="shared" si="62"/>
        <v>87.285714285714292</v>
      </c>
      <c r="AM64" s="220">
        <f t="shared" si="63"/>
        <v>7</v>
      </c>
      <c r="AN64" s="435"/>
      <c r="AO64" s="220">
        <v>15</v>
      </c>
      <c r="AP64" s="220">
        <v>1292</v>
      </c>
      <c r="AQ64" s="222">
        <f t="shared" si="64"/>
        <v>86.13333333333334</v>
      </c>
      <c r="AR64" s="220">
        <f t="shared" si="65"/>
        <v>8</v>
      </c>
      <c r="AS64" s="435"/>
      <c r="AT64" s="220">
        <v>15</v>
      </c>
      <c r="AU64" s="220">
        <v>1338</v>
      </c>
      <c r="AV64" s="222">
        <f t="shared" si="66"/>
        <v>89.2</v>
      </c>
      <c r="AW64" s="220">
        <f t="shared" si="67"/>
        <v>8</v>
      </c>
      <c r="AX64" s="435"/>
    </row>
    <row r="65" spans="2:50">
      <c r="B65" s="436"/>
      <c r="C65" s="220">
        <v>13</v>
      </c>
      <c r="D65" s="220"/>
      <c r="E65" s="221"/>
      <c r="F65" s="221"/>
      <c r="G65" s="222"/>
      <c r="H65" s="438"/>
      <c r="I65" s="221"/>
      <c r="J65" s="221"/>
      <c r="K65" s="222"/>
      <c r="L65" s="438"/>
      <c r="M65" s="221"/>
      <c r="N65" s="440"/>
      <c r="O65" s="440"/>
      <c r="P65" s="220"/>
      <c r="Q65" s="220"/>
      <c r="R65" s="222"/>
      <c r="S65" s="220"/>
      <c r="T65" s="435"/>
      <c r="U65" s="220"/>
      <c r="V65" s="221"/>
      <c r="W65" s="222"/>
      <c r="X65" s="220"/>
      <c r="Y65" s="435"/>
      <c r="Z65" s="220"/>
      <c r="AA65" s="220"/>
      <c r="AB65" s="222"/>
      <c r="AC65" s="220"/>
      <c r="AD65" s="435"/>
      <c r="AE65" s="220"/>
      <c r="AF65" s="220"/>
      <c r="AG65" s="222"/>
      <c r="AH65" s="220"/>
      <c r="AI65" s="435"/>
      <c r="AJ65" s="220"/>
      <c r="AK65" s="220"/>
      <c r="AL65" s="222"/>
      <c r="AM65" s="220"/>
      <c r="AN65" s="435"/>
      <c r="AO65" s="220"/>
      <c r="AP65" s="220"/>
      <c r="AQ65" s="222"/>
      <c r="AR65" s="220"/>
      <c r="AS65" s="435"/>
      <c r="AT65" s="220"/>
      <c r="AU65" s="220"/>
      <c r="AV65" s="222"/>
      <c r="AW65" s="220"/>
      <c r="AX65" s="435"/>
    </row>
    <row r="66" spans="2:50" ht="13.5">
      <c r="B66" s="436"/>
      <c r="C66" s="220">
        <v>14</v>
      </c>
      <c r="D66" s="224"/>
      <c r="E66" s="221"/>
      <c r="F66" s="221"/>
      <c r="G66" s="222"/>
      <c r="H66" s="438"/>
      <c r="I66" s="221"/>
      <c r="J66" s="221"/>
      <c r="K66" s="222"/>
      <c r="L66" s="438"/>
      <c r="M66" s="221"/>
      <c r="N66" s="440"/>
      <c r="O66" s="440"/>
      <c r="P66" s="220"/>
      <c r="Q66" s="220"/>
      <c r="R66" s="222"/>
      <c r="S66" s="220"/>
      <c r="T66" s="435"/>
      <c r="U66" s="220"/>
      <c r="V66" s="220"/>
      <c r="W66" s="222"/>
      <c r="X66" s="220"/>
      <c r="Y66" s="435"/>
      <c r="Z66" s="220"/>
      <c r="AA66" s="220"/>
      <c r="AB66" s="222"/>
      <c r="AC66" s="220"/>
      <c r="AD66" s="435"/>
      <c r="AE66" s="220"/>
      <c r="AF66" s="220"/>
      <c r="AG66" s="222"/>
      <c r="AH66" s="220"/>
      <c r="AI66" s="435"/>
      <c r="AJ66" s="220"/>
      <c r="AK66" s="220"/>
      <c r="AL66" s="222"/>
      <c r="AM66" s="220"/>
      <c r="AN66" s="435"/>
      <c r="AO66" s="220"/>
      <c r="AP66" s="220"/>
      <c r="AQ66" s="222"/>
      <c r="AR66" s="220"/>
      <c r="AS66" s="435"/>
      <c r="AT66" s="220"/>
      <c r="AU66" s="220"/>
      <c r="AV66" s="222"/>
      <c r="AW66" s="220"/>
      <c r="AX66" s="435"/>
    </row>
    <row r="67" spans="2:50">
      <c r="B67" s="436"/>
      <c r="C67" s="220">
        <v>15</v>
      </c>
      <c r="D67" s="220"/>
      <c r="E67" s="220"/>
      <c r="F67" s="220"/>
      <c r="G67" s="222"/>
      <c r="H67" s="439"/>
      <c r="I67" s="220"/>
      <c r="J67" s="221"/>
      <c r="K67" s="222"/>
      <c r="L67" s="439"/>
      <c r="M67" s="221"/>
      <c r="N67" s="440"/>
      <c r="O67" s="440"/>
      <c r="P67" s="220"/>
      <c r="Q67" s="220"/>
      <c r="R67" s="222"/>
      <c r="S67" s="220"/>
      <c r="T67" s="435"/>
      <c r="U67" s="220"/>
      <c r="V67" s="220"/>
      <c r="W67" s="222"/>
      <c r="X67" s="220"/>
      <c r="Y67" s="435"/>
      <c r="Z67" s="220"/>
      <c r="AA67" s="220"/>
      <c r="AB67" s="222"/>
      <c r="AC67" s="220"/>
      <c r="AD67" s="435"/>
      <c r="AE67" s="220"/>
      <c r="AF67" s="220"/>
      <c r="AG67" s="222"/>
      <c r="AH67" s="220"/>
      <c r="AI67" s="435"/>
      <c r="AJ67" s="220"/>
      <c r="AK67" s="220"/>
      <c r="AL67" s="222"/>
      <c r="AM67" s="220"/>
      <c r="AN67" s="435"/>
      <c r="AO67" s="220"/>
      <c r="AP67" s="220"/>
      <c r="AQ67" s="222"/>
      <c r="AR67" s="220"/>
      <c r="AS67" s="435"/>
      <c r="AT67" s="220"/>
      <c r="AU67" s="220"/>
      <c r="AV67" s="222"/>
      <c r="AW67" s="220"/>
      <c r="AX67" s="435"/>
    </row>
    <row r="68" spans="2:50" ht="15.75">
      <c r="B68" s="457" t="s">
        <v>44</v>
      </c>
      <c r="C68" s="453"/>
      <c r="D68" s="453"/>
      <c r="E68" s="453"/>
      <c r="F68" s="453"/>
      <c r="G68" s="453"/>
      <c r="H68" s="453"/>
      <c r="I68" s="225"/>
      <c r="J68" s="225"/>
      <c r="K68" s="225"/>
      <c r="L68" s="225"/>
      <c r="M68" s="226"/>
      <c r="N68" s="449" t="s">
        <v>45</v>
      </c>
      <c r="O68" s="449" t="s">
        <v>3</v>
      </c>
      <c r="P68" s="444">
        <v>45979</v>
      </c>
      <c r="Q68" s="436"/>
      <c r="R68" s="436"/>
      <c r="S68" s="436"/>
      <c r="T68" s="436"/>
      <c r="U68" s="444">
        <v>45980</v>
      </c>
      <c r="V68" s="436"/>
      <c r="W68" s="436"/>
      <c r="X68" s="436"/>
      <c r="Y68" s="436"/>
      <c r="Z68" s="444">
        <v>45981</v>
      </c>
      <c r="AA68" s="436"/>
      <c r="AB68" s="436"/>
      <c r="AC68" s="436"/>
      <c r="AD68" s="436"/>
      <c r="AE68" s="444">
        <v>45982</v>
      </c>
      <c r="AF68" s="436"/>
      <c r="AG68" s="436"/>
      <c r="AH68" s="436"/>
      <c r="AI68" s="436"/>
      <c r="AJ68" s="444">
        <v>45983</v>
      </c>
      <c r="AK68" s="436"/>
      <c r="AL68" s="436"/>
      <c r="AM68" s="436"/>
      <c r="AN68" s="436"/>
      <c r="AO68" s="444">
        <v>45984</v>
      </c>
      <c r="AP68" s="436"/>
      <c r="AQ68" s="436"/>
      <c r="AR68" s="436"/>
      <c r="AS68" s="436"/>
      <c r="AT68" s="444">
        <v>45985</v>
      </c>
      <c r="AU68" s="436"/>
      <c r="AV68" s="436"/>
      <c r="AW68" s="436"/>
      <c r="AX68" s="436"/>
    </row>
    <row r="69" spans="2:50" ht="15.75">
      <c r="B69" s="454"/>
      <c r="C69" s="454"/>
      <c r="D69" s="454"/>
      <c r="E69" s="454"/>
      <c r="F69" s="454"/>
      <c r="G69" s="454"/>
      <c r="H69" s="454"/>
      <c r="I69" s="216"/>
      <c r="J69" s="216"/>
      <c r="K69" s="216"/>
      <c r="L69" s="216"/>
      <c r="M69" s="217"/>
      <c r="N69" s="451"/>
      <c r="O69" s="451"/>
      <c r="P69" s="444" t="s">
        <v>16</v>
      </c>
      <c r="Q69" s="436"/>
      <c r="R69" s="436"/>
      <c r="S69" s="436"/>
      <c r="T69" s="436"/>
      <c r="U69" s="444" t="s">
        <v>17</v>
      </c>
      <c r="V69" s="436"/>
      <c r="W69" s="436"/>
      <c r="X69" s="436"/>
      <c r="Y69" s="436"/>
      <c r="Z69" s="444" t="s">
        <v>18</v>
      </c>
      <c r="AA69" s="436"/>
      <c r="AB69" s="436"/>
      <c r="AC69" s="436"/>
      <c r="AD69" s="436"/>
      <c r="AE69" s="444" t="s">
        <v>19</v>
      </c>
      <c r="AF69" s="436"/>
      <c r="AG69" s="436"/>
      <c r="AH69" s="436"/>
      <c r="AI69" s="436"/>
      <c r="AJ69" s="444" t="s">
        <v>14</v>
      </c>
      <c r="AK69" s="436"/>
      <c r="AL69" s="436"/>
      <c r="AM69" s="436"/>
      <c r="AN69" s="436"/>
      <c r="AO69" s="444" t="s">
        <v>10</v>
      </c>
      <c r="AP69" s="436"/>
      <c r="AQ69" s="436"/>
      <c r="AR69" s="436"/>
      <c r="AS69" s="436"/>
      <c r="AT69" s="444" t="s">
        <v>15</v>
      </c>
      <c r="AU69" s="436"/>
      <c r="AV69" s="436"/>
      <c r="AW69" s="436"/>
      <c r="AX69" s="436"/>
    </row>
    <row r="70" spans="2:50">
      <c r="B70" s="440" t="s">
        <v>46</v>
      </c>
      <c r="C70" s="445" t="s">
        <v>47</v>
      </c>
      <c r="D70" s="440"/>
      <c r="E70" s="440" t="s">
        <v>48</v>
      </c>
      <c r="F70" s="440"/>
      <c r="G70" s="440"/>
      <c r="H70" s="446" t="s">
        <v>49</v>
      </c>
      <c r="I70" s="440" t="s">
        <v>50</v>
      </c>
      <c r="J70" s="440"/>
      <c r="K70" s="440"/>
      <c r="L70" s="446" t="s">
        <v>49</v>
      </c>
      <c r="M70" s="464" t="s">
        <v>51</v>
      </c>
      <c r="N70" s="449"/>
      <c r="O70" s="449" t="s">
        <v>52</v>
      </c>
      <c r="P70" s="441" t="s">
        <v>53</v>
      </c>
      <c r="Q70" s="442"/>
      <c r="R70" s="442"/>
      <c r="S70" s="443"/>
      <c r="T70" s="440" t="s">
        <v>49</v>
      </c>
      <c r="U70" s="441" t="s">
        <v>53</v>
      </c>
      <c r="V70" s="442"/>
      <c r="W70" s="442"/>
      <c r="X70" s="443"/>
      <c r="Y70" s="440" t="s">
        <v>49</v>
      </c>
      <c r="Z70" s="441" t="s">
        <v>53</v>
      </c>
      <c r="AA70" s="442"/>
      <c r="AB70" s="442"/>
      <c r="AC70" s="443"/>
      <c r="AD70" s="440" t="s">
        <v>49</v>
      </c>
      <c r="AE70" s="441" t="s">
        <v>53</v>
      </c>
      <c r="AF70" s="442"/>
      <c r="AG70" s="442"/>
      <c r="AH70" s="443"/>
      <c r="AI70" s="440" t="s">
        <v>49</v>
      </c>
      <c r="AJ70" s="441" t="s">
        <v>53</v>
      </c>
      <c r="AK70" s="442"/>
      <c r="AL70" s="442"/>
      <c r="AM70" s="443"/>
      <c r="AN70" s="440" t="s">
        <v>49</v>
      </c>
      <c r="AO70" s="441" t="s">
        <v>53</v>
      </c>
      <c r="AP70" s="442"/>
      <c r="AQ70" s="442"/>
      <c r="AR70" s="443"/>
      <c r="AS70" s="440" t="s">
        <v>49</v>
      </c>
      <c r="AT70" s="441" t="s">
        <v>53</v>
      </c>
      <c r="AU70" s="442"/>
      <c r="AV70" s="442"/>
      <c r="AW70" s="443"/>
      <c r="AX70" s="440" t="s">
        <v>49</v>
      </c>
    </row>
    <row r="71" spans="2:50">
      <c r="B71" s="440"/>
      <c r="C71" s="440"/>
      <c r="D71" s="440"/>
      <c r="E71" s="440" t="s">
        <v>54</v>
      </c>
      <c r="F71" s="440"/>
      <c r="G71" s="440"/>
      <c r="H71" s="447"/>
      <c r="I71" s="440" t="s">
        <v>54</v>
      </c>
      <c r="J71" s="440"/>
      <c r="K71" s="440"/>
      <c r="L71" s="447"/>
      <c r="M71" s="450"/>
      <c r="N71" s="450"/>
      <c r="O71" s="450"/>
      <c r="P71" s="441" t="s">
        <v>55</v>
      </c>
      <c r="Q71" s="442"/>
      <c r="R71" s="442"/>
      <c r="S71" s="443"/>
      <c r="T71" s="440"/>
      <c r="U71" s="441" t="s">
        <v>55</v>
      </c>
      <c r="V71" s="442"/>
      <c r="W71" s="442"/>
      <c r="X71" s="443"/>
      <c r="Y71" s="440"/>
      <c r="Z71" s="441" t="s">
        <v>55</v>
      </c>
      <c r="AA71" s="442"/>
      <c r="AB71" s="442"/>
      <c r="AC71" s="443"/>
      <c r="AD71" s="440"/>
      <c r="AE71" s="441" t="s">
        <v>55</v>
      </c>
      <c r="AF71" s="442"/>
      <c r="AG71" s="442"/>
      <c r="AH71" s="443"/>
      <c r="AI71" s="440"/>
      <c r="AJ71" s="441" t="s">
        <v>55</v>
      </c>
      <c r="AK71" s="442"/>
      <c r="AL71" s="442"/>
      <c r="AM71" s="443"/>
      <c r="AN71" s="440"/>
      <c r="AO71" s="441" t="s">
        <v>55</v>
      </c>
      <c r="AP71" s="442"/>
      <c r="AQ71" s="442"/>
      <c r="AR71" s="443"/>
      <c r="AS71" s="440"/>
      <c r="AT71" s="441" t="s">
        <v>55</v>
      </c>
      <c r="AU71" s="442"/>
      <c r="AV71" s="442"/>
      <c r="AW71" s="443"/>
      <c r="AX71" s="440"/>
    </row>
    <row r="72" spans="2:50">
      <c r="B72" s="440"/>
      <c r="C72" s="440"/>
      <c r="D72" s="440"/>
      <c r="E72" s="219" t="s">
        <v>56</v>
      </c>
      <c r="F72" s="219" t="s">
        <v>57</v>
      </c>
      <c r="G72" s="219" t="s">
        <v>58</v>
      </c>
      <c r="H72" s="448"/>
      <c r="I72" s="219" t="s">
        <v>56</v>
      </c>
      <c r="J72" s="219" t="s">
        <v>57</v>
      </c>
      <c r="K72" s="219" t="s">
        <v>58</v>
      </c>
      <c r="L72" s="448"/>
      <c r="M72" s="451"/>
      <c r="N72" s="450"/>
      <c r="O72" s="450"/>
      <c r="P72" s="219" t="s">
        <v>56</v>
      </c>
      <c r="Q72" s="219" t="s">
        <v>57</v>
      </c>
      <c r="R72" s="219" t="s">
        <v>58</v>
      </c>
      <c r="S72" s="219" t="s">
        <v>51</v>
      </c>
      <c r="T72" s="440"/>
      <c r="U72" s="219" t="s">
        <v>56</v>
      </c>
      <c r="V72" s="219" t="s">
        <v>57</v>
      </c>
      <c r="W72" s="219" t="s">
        <v>58</v>
      </c>
      <c r="X72" s="219" t="s">
        <v>51</v>
      </c>
      <c r="Y72" s="440"/>
      <c r="Z72" s="219" t="s">
        <v>56</v>
      </c>
      <c r="AA72" s="219" t="s">
        <v>57</v>
      </c>
      <c r="AB72" s="219" t="s">
        <v>58</v>
      </c>
      <c r="AC72" s="219" t="s">
        <v>51</v>
      </c>
      <c r="AD72" s="440"/>
      <c r="AE72" s="219" t="s">
        <v>56</v>
      </c>
      <c r="AF72" s="219" t="s">
        <v>57</v>
      </c>
      <c r="AG72" s="219" t="s">
        <v>58</v>
      </c>
      <c r="AH72" s="219" t="s">
        <v>51</v>
      </c>
      <c r="AI72" s="440"/>
      <c r="AJ72" s="219" t="s">
        <v>56</v>
      </c>
      <c r="AK72" s="219" t="s">
        <v>57</v>
      </c>
      <c r="AL72" s="219" t="s">
        <v>58</v>
      </c>
      <c r="AM72" s="219" t="s">
        <v>51</v>
      </c>
      <c r="AN72" s="440"/>
      <c r="AO72" s="219" t="s">
        <v>56</v>
      </c>
      <c r="AP72" s="219" t="s">
        <v>57</v>
      </c>
      <c r="AQ72" s="219" t="s">
        <v>58</v>
      </c>
      <c r="AR72" s="219" t="s">
        <v>51</v>
      </c>
      <c r="AS72" s="440"/>
      <c r="AT72" s="219" t="s">
        <v>56</v>
      </c>
      <c r="AU72" s="219" t="s">
        <v>57</v>
      </c>
      <c r="AV72" s="219" t="s">
        <v>58</v>
      </c>
      <c r="AW72" s="219" t="s">
        <v>51</v>
      </c>
      <c r="AX72" s="440"/>
    </row>
    <row r="73" spans="2:50" ht="13.5">
      <c r="B73" s="461" t="s">
        <v>316</v>
      </c>
      <c r="C73" s="220">
        <v>1</v>
      </c>
      <c r="D73" s="224" t="s">
        <v>75</v>
      </c>
      <c r="E73" s="221">
        <f>VLOOKUP(D73,'11產線配置圖'!$A$2:$C$25,2,0)</f>
        <v>12</v>
      </c>
      <c r="F73" s="221">
        <f>VLOOKUP(D73,'11產線配置圖'!$A$2:$C$25,3,0)</f>
        <v>2000</v>
      </c>
      <c r="G73" s="222">
        <f>F73/E73</f>
        <v>166.66666666666666</v>
      </c>
      <c r="H73" s="458">
        <f>AVERAGE(G73:G87)</f>
        <v>112.33324707595069</v>
      </c>
      <c r="I73" s="221">
        <f>AVERAGE(P73,U73,Z73,AE73,AJ73,AO73,AT73)</f>
        <v>12.428571428571429</v>
      </c>
      <c r="J73" s="221">
        <f>AVERAGE(Q73,V73,AA73,AF73,AK73,AP73,AU73)</f>
        <v>1861.8571428571429</v>
      </c>
      <c r="K73" s="222">
        <f>AVERAGE(R73,W73,AB73,AG73,AL73,AQ73,AV73)</f>
        <v>150.11904761904765</v>
      </c>
      <c r="L73" s="458">
        <f>IFERROR(AVERAGE(K73:K90),"-")</f>
        <v>99.354902246375559</v>
      </c>
      <c r="M73" s="221">
        <f>RANK(K73, $K$73:$K$90)</f>
        <v>1</v>
      </c>
      <c r="N73" s="450"/>
      <c r="O73" s="450"/>
      <c r="P73" s="221">
        <v>13</v>
      </c>
      <c r="Q73" s="221">
        <v>1874</v>
      </c>
      <c r="R73" s="158">
        <f>Q73/P73</f>
        <v>144.15384615384616</v>
      </c>
      <c r="S73" s="110">
        <f>RANK(R73, $R$73:$R$90)</f>
        <v>1</v>
      </c>
      <c r="T73" s="458">
        <f>AVERAGE(R73:R90)</f>
        <v>101.22199924919619</v>
      </c>
      <c r="U73" s="221">
        <v>13</v>
      </c>
      <c r="V73" s="221">
        <v>1869</v>
      </c>
      <c r="W73" s="222">
        <f>V73/U73</f>
        <v>143.76923076923077</v>
      </c>
      <c r="X73" s="220">
        <f>RANK(W73, $W$73:$W$90)</f>
        <v>1</v>
      </c>
      <c r="Y73" s="458">
        <f>AVERAGE(W73:W90)</f>
        <v>98.758444194661166</v>
      </c>
      <c r="Z73" s="221">
        <v>13</v>
      </c>
      <c r="AA73" s="221">
        <v>1756</v>
      </c>
      <c r="AB73" s="222">
        <f>AA73/Z73</f>
        <v>135.07692307692307</v>
      </c>
      <c r="AC73" s="220">
        <f>RANK(AB73, $AB$73:$AB$90)</f>
        <v>1</v>
      </c>
      <c r="AD73" s="458">
        <f>AVERAGE(AB73:AB90)</f>
        <v>98.249587704904442</v>
      </c>
      <c r="AE73" s="221">
        <v>12</v>
      </c>
      <c r="AF73" s="221">
        <v>1957</v>
      </c>
      <c r="AG73" s="222">
        <f>AF73/AE73</f>
        <v>163.08333333333334</v>
      </c>
      <c r="AH73" s="220">
        <f>RANK(AG73, $AG$73:$AG$90)</f>
        <v>1</v>
      </c>
      <c r="AI73" s="458">
        <f>AVERAGE(AG73:AG90)</f>
        <v>96.808944731738833</v>
      </c>
      <c r="AJ73" s="221">
        <v>12</v>
      </c>
      <c r="AK73" s="221">
        <v>1867</v>
      </c>
      <c r="AL73" s="222">
        <f>AK73/AJ73</f>
        <v>155.58333333333334</v>
      </c>
      <c r="AM73" s="220">
        <f>RANK(AL73, $AL$73:$AL$90)</f>
        <v>1</v>
      </c>
      <c r="AN73" s="458">
        <f>AVERAGE(AL73:AL90)</f>
        <v>97.304586627550421</v>
      </c>
      <c r="AO73" s="221">
        <v>12</v>
      </c>
      <c r="AP73" s="221">
        <v>1790</v>
      </c>
      <c r="AQ73" s="222">
        <f>AP73/AO73</f>
        <v>149.16666666666666</v>
      </c>
      <c r="AR73" s="220">
        <f>RANK(AQ73, $AQ$73:$AQ$90)</f>
        <v>1</v>
      </c>
      <c r="AS73" s="458">
        <f>AVERAGE(AQ73:AQ90)</f>
        <v>101.70473034381406</v>
      </c>
      <c r="AT73" s="221">
        <v>12</v>
      </c>
      <c r="AU73" s="221">
        <v>1920</v>
      </c>
      <c r="AV73" s="222">
        <f>AU73/AT73</f>
        <v>160</v>
      </c>
      <c r="AW73" s="220">
        <f>RANK(AV73, $AV$73:$AV$90)</f>
        <v>1</v>
      </c>
      <c r="AX73" s="458">
        <f>AVERAGE(AV73:AV90)</f>
        <v>101.43602287276374</v>
      </c>
    </row>
    <row r="74" spans="2:50">
      <c r="B74" s="462"/>
      <c r="C74" s="220">
        <v>2</v>
      </c>
      <c r="D74" s="220" t="s">
        <v>76</v>
      </c>
      <c r="E74" s="221">
        <f>VLOOKUP(D74,'11產線配置圖'!$A$2:$C$25,2,0)</f>
        <v>13</v>
      </c>
      <c r="F74" s="221">
        <f>VLOOKUP(D74,'11產線配置圖'!$A$2:$C$25,3,0)</f>
        <v>2000</v>
      </c>
      <c r="G74" s="222">
        <f t="shared" ref="G74:G85" si="68">F74/E74</f>
        <v>153.84615384615384</v>
      </c>
      <c r="H74" s="459"/>
      <c r="I74" s="221">
        <f t="shared" ref="I74:K82" si="69">AVERAGE(P74,U74,Z74,AE74,AJ74,AO74,AT74)</f>
        <v>13.714285714285714</v>
      </c>
      <c r="J74" s="221">
        <f t="shared" si="69"/>
        <v>1898.7142857142858</v>
      </c>
      <c r="K74" s="222">
        <f t="shared" si="69"/>
        <v>138.48430141287284</v>
      </c>
      <c r="L74" s="459"/>
      <c r="M74" s="221">
        <f t="shared" ref="M74:M85" si="70">RANK(K74, $K$73:$K$90)</f>
        <v>2</v>
      </c>
      <c r="N74" s="450"/>
      <c r="O74" s="450"/>
      <c r="P74" s="221">
        <v>14</v>
      </c>
      <c r="Q74" s="221">
        <v>1929</v>
      </c>
      <c r="R74" s="158">
        <f t="shared" ref="R74:R82" si="71">Q74/P74</f>
        <v>137.78571428571428</v>
      </c>
      <c r="S74" s="110">
        <f t="shared" ref="S74:S82" si="72">RANK(R74, $R$73:$R$90)</f>
        <v>2</v>
      </c>
      <c r="T74" s="459"/>
      <c r="U74" s="221">
        <v>14</v>
      </c>
      <c r="V74" s="221">
        <v>1979</v>
      </c>
      <c r="W74" s="222">
        <f t="shared" ref="W74:W82" si="73">V74/U74</f>
        <v>141.35714285714286</v>
      </c>
      <c r="X74" s="220">
        <f t="shared" ref="X74:X82" si="74">RANK(W74, $W$73:$W$90)</f>
        <v>2</v>
      </c>
      <c r="Y74" s="459"/>
      <c r="Z74" s="221">
        <v>14</v>
      </c>
      <c r="AA74" s="221">
        <v>1785</v>
      </c>
      <c r="AB74" s="222">
        <f t="shared" ref="AB74:AB82" si="75">AA74/Z74</f>
        <v>127.5</v>
      </c>
      <c r="AC74" s="220">
        <f t="shared" ref="AC74:AC82" si="76">RANK(AB74, $AB$73:$AB$90)</f>
        <v>3</v>
      </c>
      <c r="AD74" s="459"/>
      <c r="AE74" s="221">
        <v>14</v>
      </c>
      <c r="AF74" s="221">
        <v>1984</v>
      </c>
      <c r="AG74" s="222">
        <f t="shared" ref="AG74:AG82" si="77">AF74/AE74</f>
        <v>141.71428571428572</v>
      </c>
      <c r="AH74" s="220">
        <f t="shared" ref="AH74:AH82" si="78">RANK(AG74, $AG$73:$AG$90)</f>
        <v>2</v>
      </c>
      <c r="AI74" s="459"/>
      <c r="AJ74" s="221">
        <v>14</v>
      </c>
      <c r="AK74" s="221">
        <v>1968</v>
      </c>
      <c r="AL74" s="222">
        <f t="shared" ref="AL74:AL82" si="79">AK74/AJ74</f>
        <v>140.57142857142858</v>
      </c>
      <c r="AM74" s="220">
        <f t="shared" ref="AM74:AM82" si="80">RANK(AL74, $AL$73:$AL$90)</f>
        <v>2</v>
      </c>
      <c r="AN74" s="459"/>
      <c r="AO74" s="221">
        <v>13</v>
      </c>
      <c r="AP74" s="221">
        <v>1755</v>
      </c>
      <c r="AQ74" s="222">
        <f t="shared" ref="AQ74:AQ82" si="81">AP74/AO74</f>
        <v>135</v>
      </c>
      <c r="AR74" s="220">
        <f t="shared" ref="AR74:AR82" si="82">RANK(AQ74, $AQ$73:$AQ$90)</f>
        <v>3</v>
      </c>
      <c r="AS74" s="459"/>
      <c r="AT74" s="221">
        <v>13</v>
      </c>
      <c r="AU74" s="221">
        <v>1891</v>
      </c>
      <c r="AV74" s="222">
        <f t="shared" ref="AV74:AV82" si="83">AU74/AT74</f>
        <v>145.46153846153845</v>
      </c>
      <c r="AW74" s="220">
        <f t="shared" ref="AW74:AW82" si="84">RANK(AV74, $AV$73:$AV$90)</f>
        <v>2</v>
      </c>
      <c r="AX74" s="459"/>
    </row>
    <row r="75" spans="2:50">
      <c r="B75" s="462"/>
      <c r="C75" s="220">
        <v>3</v>
      </c>
      <c r="D75" s="220" t="s">
        <v>78</v>
      </c>
      <c r="E75" s="221">
        <f>VLOOKUP(D75,'11產線配置圖'!$A$2:$C$25,2,0)</f>
        <v>15</v>
      </c>
      <c r="F75" s="221">
        <f>VLOOKUP(D75,'11產線配置圖'!$A$2:$C$25,3,0)</f>
        <v>2000</v>
      </c>
      <c r="G75" s="222">
        <f t="shared" si="68"/>
        <v>133.33333333333334</v>
      </c>
      <c r="H75" s="459"/>
      <c r="I75" s="221">
        <f t="shared" si="69"/>
        <v>13.714285714285714</v>
      </c>
      <c r="J75" s="221">
        <f t="shared" si="69"/>
        <v>1733.7142857142858</v>
      </c>
      <c r="K75" s="222">
        <f t="shared" si="69"/>
        <v>126.72448979591836</v>
      </c>
      <c r="L75" s="459"/>
      <c r="M75" s="221">
        <f t="shared" si="70"/>
        <v>3</v>
      </c>
      <c r="N75" s="450"/>
      <c r="O75" s="450"/>
      <c r="P75" s="221">
        <v>14</v>
      </c>
      <c r="Q75" s="221">
        <v>1691</v>
      </c>
      <c r="R75" s="158">
        <f t="shared" si="71"/>
        <v>120.78571428571429</v>
      </c>
      <c r="S75" s="110">
        <f t="shared" si="72"/>
        <v>3</v>
      </c>
      <c r="T75" s="459"/>
      <c r="U75" s="221">
        <v>14</v>
      </c>
      <c r="V75" s="221">
        <v>1726</v>
      </c>
      <c r="W75" s="222">
        <f t="shared" si="73"/>
        <v>123.28571428571429</v>
      </c>
      <c r="X75" s="220">
        <f t="shared" si="74"/>
        <v>3</v>
      </c>
      <c r="Y75" s="459"/>
      <c r="Z75" s="221">
        <v>14</v>
      </c>
      <c r="AA75" s="221">
        <v>1875</v>
      </c>
      <c r="AB75" s="222">
        <f t="shared" si="75"/>
        <v>133.92857142857142</v>
      </c>
      <c r="AC75" s="220">
        <f t="shared" si="76"/>
        <v>2</v>
      </c>
      <c r="AD75" s="459"/>
      <c r="AE75" s="221">
        <v>14</v>
      </c>
      <c r="AF75" s="221">
        <v>1380</v>
      </c>
      <c r="AG75" s="222">
        <f t="shared" si="77"/>
        <v>98.571428571428569</v>
      </c>
      <c r="AH75" s="220">
        <f t="shared" si="78"/>
        <v>5</v>
      </c>
      <c r="AI75" s="459"/>
      <c r="AJ75" s="221">
        <v>14</v>
      </c>
      <c r="AK75" s="221">
        <v>1785</v>
      </c>
      <c r="AL75" s="222">
        <f t="shared" si="79"/>
        <v>127.5</v>
      </c>
      <c r="AM75" s="220">
        <f t="shared" si="80"/>
        <v>3</v>
      </c>
      <c r="AN75" s="459"/>
      <c r="AO75" s="221">
        <v>13</v>
      </c>
      <c r="AP75" s="221">
        <v>1812</v>
      </c>
      <c r="AQ75" s="222">
        <f t="shared" si="81"/>
        <v>139.38461538461539</v>
      </c>
      <c r="AR75" s="220">
        <f t="shared" si="82"/>
        <v>2</v>
      </c>
      <c r="AS75" s="459"/>
      <c r="AT75" s="221">
        <v>13</v>
      </c>
      <c r="AU75" s="221">
        <v>1867</v>
      </c>
      <c r="AV75" s="222">
        <f t="shared" si="83"/>
        <v>143.61538461538461</v>
      </c>
      <c r="AW75" s="220">
        <f t="shared" si="84"/>
        <v>3</v>
      </c>
      <c r="AX75" s="459"/>
    </row>
    <row r="76" spans="2:50">
      <c r="B76" s="462"/>
      <c r="C76" s="220">
        <v>4</v>
      </c>
      <c r="D76" s="220" t="s">
        <v>182</v>
      </c>
      <c r="E76" s="221">
        <f>VLOOKUP(D76,'11產線配置圖'!$A$2:$C$25,2,0)</f>
        <v>18</v>
      </c>
      <c r="F76" s="221">
        <f>VLOOKUP(D76,'11產線配置圖'!$A$2:$C$25,3,0)</f>
        <v>1565</v>
      </c>
      <c r="G76" s="222">
        <f t="shared" si="68"/>
        <v>86.944444444444443</v>
      </c>
      <c r="H76" s="459"/>
      <c r="I76" s="221">
        <f t="shared" si="69"/>
        <v>17</v>
      </c>
      <c r="J76" s="221">
        <f t="shared" si="69"/>
        <v>1427</v>
      </c>
      <c r="K76" s="222">
        <f t="shared" si="69"/>
        <v>83.846386800334159</v>
      </c>
      <c r="L76" s="459"/>
      <c r="M76" s="221">
        <f t="shared" si="70"/>
        <v>9</v>
      </c>
      <c r="N76" s="450"/>
      <c r="O76" s="450"/>
      <c r="P76" s="221">
        <v>18</v>
      </c>
      <c r="Q76" s="221">
        <v>1548</v>
      </c>
      <c r="R76" s="158">
        <f t="shared" si="71"/>
        <v>86</v>
      </c>
      <c r="S76" s="110">
        <f t="shared" si="72"/>
        <v>10</v>
      </c>
      <c r="T76" s="459"/>
      <c r="U76" s="221">
        <v>18</v>
      </c>
      <c r="V76" s="221">
        <v>1528</v>
      </c>
      <c r="W76" s="222">
        <f t="shared" si="73"/>
        <v>84.888888888888886</v>
      </c>
      <c r="X76" s="220">
        <f t="shared" si="74"/>
        <v>8</v>
      </c>
      <c r="Y76" s="459"/>
      <c r="Z76" s="221">
        <v>15</v>
      </c>
      <c r="AA76" s="221">
        <v>1333</v>
      </c>
      <c r="AB76" s="222">
        <f t="shared" si="75"/>
        <v>88.86666666666666</v>
      </c>
      <c r="AC76" s="220">
        <f t="shared" si="76"/>
        <v>8</v>
      </c>
      <c r="AD76" s="459"/>
      <c r="AE76" s="221">
        <v>16</v>
      </c>
      <c r="AF76" s="221">
        <v>1326</v>
      </c>
      <c r="AG76" s="222">
        <f t="shared" si="77"/>
        <v>82.875</v>
      </c>
      <c r="AH76" s="220">
        <f t="shared" si="78"/>
        <v>9</v>
      </c>
      <c r="AI76" s="459"/>
      <c r="AJ76" s="221">
        <v>15</v>
      </c>
      <c r="AK76" s="221">
        <v>1132</v>
      </c>
      <c r="AL76" s="222">
        <f t="shared" si="79"/>
        <v>75.466666666666669</v>
      </c>
      <c r="AM76" s="220">
        <f t="shared" si="80"/>
        <v>10</v>
      </c>
      <c r="AN76" s="459"/>
      <c r="AO76" s="221">
        <v>18</v>
      </c>
      <c r="AP76" s="221">
        <v>1543</v>
      </c>
      <c r="AQ76" s="222">
        <f t="shared" si="81"/>
        <v>85.722222222222229</v>
      </c>
      <c r="AR76" s="220">
        <f t="shared" si="82"/>
        <v>10</v>
      </c>
      <c r="AS76" s="459"/>
      <c r="AT76" s="221">
        <v>19</v>
      </c>
      <c r="AU76" s="221">
        <v>1579</v>
      </c>
      <c r="AV76" s="222">
        <f t="shared" si="83"/>
        <v>83.10526315789474</v>
      </c>
      <c r="AW76" s="220">
        <f t="shared" si="84"/>
        <v>10</v>
      </c>
      <c r="AX76" s="459"/>
    </row>
    <row r="77" spans="2:50">
      <c r="B77" s="462"/>
      <c r="C77" s="220">
        <v>5</v>
      </c>
      <c r="D77" s="220" t="s">
        <v>74</v>
      </c>
      <c r="E77" s="221">
        <f>VLOOKUP(D77,'11產線配置圖'!$A$2:$C$25,2,0)</f>
        <v>13</v>
      </c>
      <c r="F77" s="221">
        <f>VLOOKUP(D77,'11產線配置圖'!$A$2:$C$25,3,0)</f>
        <v>2000</v>
      </c>
      <c r="G77" s="222">
        <f t="shared" si="68"/>
        <v>153.84615384615384</v>
      </c>
      <c r="H77" s="459"/>
      <c r="I77" s="221">
        <f t="shared" si="69"/>
        <v>15</v>
      </c>
      <c r="J77" s="221">
        <f t="shared" si="69"/>
        <v>1378.5714285714287</v>
      </c>
      <c r="K77" s="222">
        <f t="shared" si="69"/>
        <v>91.895833333333343</v>
      </c>
      <c r="L77" s="459"/>
      <c r="M77" s="221">
        <f t="shared" si="70"/>
        <v>6</v>
      </c>
      <c r="N77" s="450"/>
      <c r="O77" s="450"/>
      <c r="P77" s="221">
        <v>15</v>
      </c>
      <c r="Q77" s="221">
        <v>1462</v>
      </c>
      <c r="R77" s="158">
        <f t="shared" si="71"/>
        <v>97.466666666666669</v>
      </c>
      <c r="S77" s="110">
        <f t="shared" si="72"/>
        <v>6</v>
      </c>
      <c r="T77" s="459"/>
      <c r="U77" s="221">
        <v>15</v>
      </c>
      <c r="V77" s="221">
        <v>1419</v>
      </c>
      <c r="W77" s="222">
        <f t="shared" si="73"/>
        <v>94.6</v>
      </c>
      <c r="X77" s="220">
        <f t="shared" si="74"/>
        <v>6</v>
      </c>
      <c r="Y77" s="459"/>
      <c r="Z77" s="221">
        <v>14</v>
      </c>
      <c r="AA77" s="221">
        <v>1302</v>
      </c>
      <c r="AB77" s="222">
        <f t="shared" si="75"/>
        <v>93</v>
      </c>
      <c r="AC77" s="220">
        <f t="shared" si="76"/>
        <v>6</v>
      </c>
      <c r="AD77" s="459"/>
      <c r="AE77" s="221">
        <v>16</v>
      </c>
      <c r="AF77" s="221">
        <v>1503</v>
      </c>
      <c r="AG77" s="222">
        <f t="shared" si="77"/>
        <v>93.9375</v>
      </c>
      <c r="AH77" s="220">
        <f t="shared" si="78"/>
        <v>6</v>
      </c>
      <c r="AI77" s="459"/>
      <c r="AJ77" s="221">
        <v>15</v>
      </c>
      <c r="AK77" s="221">
        <v>1266</v>
      </c>
      <c r="AL77" s="222">
        <f t="shared" si="79"/>
        <v>84.4</v>
      </c>
      <c r="AM77" s="220">
        <f t="shared" si="80"/>
        <v>8</v>
      </c>
      <c r="AN77" s="459"/>
      <c r="AO77" s="221">
        <v>15</v>
      </c>
      <c r="AP77" s="221">
        <v>1290</v>
      </c>
      <c r="AQ77" s="222">
        <f t="shared" si="81"/>
        <v>86</v>
      </c>
      <c r="AR77" s="220">
        <f t="shared" si="82"/>
        <v>8</v>
      </c>
      <c r="AS77" s="459"/>
      <c r="AT77" s="221">
        <v>15</v>
      </c>
      <c r="AU77" s="221">
        <v>1408</v>
      </c>
      <c r="AV77" s="222">
        <f t="shared" si="83"/>
        <v>93.86666666666666</v>
      </c>
      <c r="AW77" s="220">
        <f t="shared" si="84"/>
        <v>6</v>
      </c>
      <c r="AX77" s="459"/>
    </row>
    <row r="78" spans="2:50" ht="13.5" customHeight="1">
      <c r="B78" s="462"/>
      <c r="C78" s="220">
        <v>6</v>
      </c>
      <c r="D78" s="220" t="s">
        <v>77</v>
      </c>
      <c r="E78" s="221">
        <f>VLOOKUP(D78,'11產線配置圖'!$A$2:$C$25,2,0)</f>
        <v>14</v>
      </c>
      <c r="F78" s="221">
        <f>VLOOKUP(D78,'11產線配置圖'!$A$2:$C$25,3,0)</f>
        <v>1895</v>
      </c>
      <c r="G78" s="222">
        <f t="shared" si="68"/>
        <v>135.35714285714286</v>
      </c>
      <c r="H78" s="459"/>
      <c r="I78" s="221">
        <f t="shared" si="69"/>
        <v>16.714285714285715</v>
      </c>
      <c r="J78" s="221">
        <f t="shared" si="69"/>
        <v>1780.8571428571429</v>
      </c>
      <c r="K78" s="222">
        <f t="shared" si="69"/>
        <v>106.3955182072829</v>
      </c>
      <c r="L78" s="459"/>
      <c r="M78" s="221">
        <f t="shared" si="70"/>
        <v>5</v>
      </c>
      <c r="N78" s="450"/>
      <c r="O78" s="450"/>
      <c r="P78" s="221">
        <v>17</v>
      </c>
      <c r="Q78" s="221">
        <v>1812</v>
      </c>
      <c r="R78" s="158">
        <f t="shared" si="71"/>
        <v>106.58823529411765</v>
      </c>
      <c r="S78" s="110">
        <f t="shared" si="72"/>
        <v>5</v>
      </c>
      <c r="T78" s="459"/>
      <c r="U78" s="221">
        <v>17</v>
      </c>
      <c r="V78" s="221">
        <v>1893</v>
      </c>
      <c r="W78" s="222">
        <f t="shared" si="73"/>
        <v>111.35294117647059</v>
      </c>
      <c r="X78" s="220">
        <f t="shared" si="74"/>
        <v>4</v>
      </c>
      <c r="Y78" s="459"/>
      <c r="Z78" s="221">
        <v>17</v>
      </c>
      <c r="AA78" s="221">
        <v>1826</v>
      </c>
      <c r="AB78" s="222">
        <f t="shared" si="75"/>
        <v>107.41176470588235</v>
      </c>
      <c r="AC78" s="220">
        <f t="shared" si="76"/>
        <v>5</v>
      </c>
      <c r="AD78" s="459"/>
      <c r="AE78" s="221">
        <v>17</v>
      </c>
      <c r="AF78" s="221">
        <v>1773</v>
      </c>
      <c r="AG78" s="222">
        <f t="shared" si="77"/>
        <v>104.29411764705883</v>
      </c>
      <c r="AH78" s="220">
        <f t="shared" si="78"/>
        <v>4</v>
      </c>
      <c r="AI78" s="459"/>
      <c r="AJ78" s="221">
        <v>17</v>
      </c>
      <c r="AK78" s="221">
        <v>1808</v>
      </c>
      <c r="AL78" s="222">
        <f t="shared" si="79"/>
        <v>106.35294117647059</v>
      </c>
      <c r="AM78" s="220">
        <f t="shared" si="80"/>
        <v>5</v>
      </c>
      <c r="AN78" s="459"/>
      <c r="AO78" s="221">
        <v>17</v>
      </c>
      <c r="AP78" s="221">
        <v>1891</v>
      </c>
      <c r="AQ78" s="222">
        <f t="shared" si="81"/>
        <v>111.23529411764706</v>
      </c>
      <c r="AR78" s="220">
        <f t="shared" si="82"/>
        <v>5</v>
      </c>
      <c r="AS78" s="459"/>
      <c r="AT78" s="221">
        <v>15</v>
      </c>
      <c r="AU78" s="221">
        <v>1463</v>
      </c>
      <c r="AV78" s="222">
        <f t="shared" si="83"/>
        <v>97.533333333333331</v>
      </c>
      <c r="AW78" s="220">
        <f t="shared" si="84"/>
        <v>5</v>
      </c>
      <c r="AX78" s="459"/>
    </row>
    <row r="79" spans="2:50">
      <c r="B79" s="462"/>
      <c r="C79" s="220">
        <v>7</v>
      </c>
      <c r="D79" s="220" t="s">
        <v>81</v>
      </c>
      <c r="E79" s="221">
        <f>VLOOKUP(D79,'11產線配置圖'!$A$2:$C$25,2,0)</f>
        <v>17</v>
      </c>
      <c r="F79" s="221">
        <f>VLOOKUP(D79,'11產線配置圖'!$A$2:$C$25,3,0)</f>
        <v>1385</v>
      </c>
      <c r="G79" s="222">
        <f t="shared" si="68"/>
        <v>81.470588235294116</v>
      </c>
      <c r="H79" s="459"/>
      <c r="I79" s="221">
        <f>AVERAGE(P79,U79,Z79,AE79,AJ79,AO79,AT79)</f>
        <v>15</v>
      </c>
      <c r="J79" s="221">
        <f>AVERAGE(Q79,V79,AA79,AF79,AK79,AP79,AU79)</f>
        <v>1326.4285714285713</v>
      </c>
      <c r="K79" s="222">
        <f>AVERAGE(R79,W79,AB79,AG79,AL79,AQ79,AV79)</f>
        <v>88.313620063409999</v>
      </c>
      <c r="L79" s="459"/>
      <c r="M79" s="221">
        <f t="shared" si="70"/>
        <v>8</v>
      </c>
      <c r="N79" s="450"/>
      <c r="O79" s="450"/>
      <c r="P79" s="221">
        <v>17</v>
      </c>
      <c r="Q79" s="221">
        <v>1638</v>
      </c>
      <c r="R79" s="158">
        <f>Q79/P79</f>
        <v>96.352941176470594</v>
      </c>
      <c r="S79" s="110">
        <f>RANK(R79, $R$73:$R$90)</f>
        <v>7</v>
      </c>
      <c r="T79" s="459"/>
      <c r="U79" s="221">
        <v>16</v>
      </c>
      <c r="V79" s="221">
        <v>1358</v>
      </c>
      <c r="W79" s="222">
        <f t="shared" si="73"/>
        <v>84.875</v>
      </c>
      <c r="X79" s="220">
        <f t="shared" si="74"/>
        <v>9</v>
      </c>
      <c r="Y79" s="459"/>
      <c r="Z79" s="221">
        <v>15</v>
      </c>
      <c r="AA79" s="221">
        <v>1374</v>
      </c>
      <c r="AB79" s="222">
        <f t="shared" si="75"/>
        <v>91.6</v>
      </c>
      <c r="AC79" s="220">
        <f t="shared" si="76"/>
        <v>7</v>
      </c>
      <c r="AD79" s="459"/>
      <c r="AE79" s="221">
        <v>14</v>
      </c>
      <c r="AF79" s="221">
        <v>1083</v>
      </c>
      <c r="AG79" s="222">
        <f t="shared" si="77"/>
        <v>77.357142857142861</v>
      </c>
      <c r="AH79" s="220">
        <f t="shared" si="78"/>
        <v>11</v>
      </c>
      <c r="AI79" s="459"/>
      <c r="AJ79" s="221">
        <v>13</v>
      </c>
      <c r="AK79" s="221">
        <v>1223</v>
      </c>
      <c r="AL79" s="222">
        <f t="shared" si="79"/>
        <v>94.07692307692308</v>
      </c>
      <c r="AM79" s="220">
        <f t="shared" si="80"/>
        <v>6</v>
      </c>
      <c r="AN79" s="459"/>
      <c r="AO79" s="221">
        <v>15</v>
      </c>
      <c r="AP79" s="221">
        <v>1280</v>
      </c>
      <c r="AQ79" s="222">
        <f t="shared" si="81"/>
        <v>85.333333333333329</v>
      </c>
      <c r="AR79" s="220">
        <f t="shared" si="82"/>
        <v>11</v>
      </c>
      <c r="AS79" s="459"/>
      <c r="AT79" s="221">
        <v>15</v>
      </c>
      <c r="AU79" s="221">
        <v>1329</v>
      </c>
      <c r="AV79" s="222">
        <f t="shared" si="83"/>
        <v>88.6</v>
      </c>
      <c r="AW79" s="220">
        <f t="shared" si="84"/>
        <v>8</v>
      </c>
      <c r="AX79" s="459"/>
    </row>
    <row r="80" spans="2:50">
      <c r="B80" s="462"/>
      <c r="C80" s="220">
        <v>8</v>
      </c>
      <c r="D80" s="220" t="s">
        <v>83</v>
      </c>
      <c r="E80" s="221">
        <f>VLOOKUP(D80,'11產線配置圖'!$A$2:$C$25,2,0)</f>
        <v>18</v>
      </c>
      <c r="F80" s="221">
        <f>VLOOKUP(D80,'11產線配置圖'!$A$2:$C$25,3,0)</f>
        <v>1385</v>
      </c>
      <c r="G80" s="222">
        <f t="shared" si="68"/>
        <v>76.944444444444443</v>
      </c>
      <c r="H80" s="459"/>
      <c r="I80" s="221">
        <f t="shared" si="69"/>
        <v>16</v>
      </c>
      <c r="J80" s="221">
        <f t="shared" si="69"/>
        <v>1119.5714285714287</v>
      </c>
      <c r="K80" s="222">
        <f t="shared" si="69"/>
        <v>69.835177404295052</v>
      </c>
      <c r="L80" s="459"/>
      <c r="M80" s="221">
        <f t="shared" si="70"/>
        <v>13</v>
      </c>
      <c r="N80" s="450"/>
      <c r="O80" s="450"/>
      <c r="P80" s="221">
        <v>18</v>
      </c>
      <c r="Q80" s="221">
        <v>1279</v>
      </c>
      <c r="R80" s="158">
        <f t="shared" si="71"/>
        <v>71.055555555555557</v>
      </c>
      <c r="S80" s="110">
        <f t="shared" si="72"/>
        <v>13</v>
      </c>
      <c r="T80" s="459"/>
      <c r="U80" s="221">
        <v>17</v>
      </c>
      <c r="V80" s="221">
        <v>1239</v>
      </c>
      <c r="W80" s="222">
        <f t="shared" si="73"/>
        <v>72.882352941176464</v>
      </c>
      <c r="X80" s="220">
        <f t="shared" si="74"/>
        <v>12</v>
      </c>
      <c r="Y80" s="459"/>
      <c r="Z80" s="221">
        <v>16</v>
      </c>
      <c r="AA80" s="221">
        <v>1178</v>
      </c>
      <c r="AB80" s="222">
        <f t="shared" si="75"/>
        <v>73.625</v>
      </c>
      <c r="AC80" s="220">
        <f t="shared" si="76"/>
        <v>12</v>
      </c>
      <c r="AD80" s="459"/>
      <c r="AE80" s="221">
        <v>15</v>
      </c>
      <c r="AF80" s="221">
        <v>975</v>
      </c>
      <c r="AG80" s="222">
        <f t="shared" si="77"/>
        <v>65</v>
      </c>
      <c r="AH80" s="220">
        <f t="shared" si="78"/>
        <v>13</v>
      </c>
      <c r="AI80" s="459"/>
      <c r="AJ80" s="221">
        <v>15</v>
      </c>
      <c r="AK80" s="221">
        <v>972</v>
      </c>
      <c r="AL80" s="222">
        <f t="shared" si="79"/>
        <v>64.8</v>
      </c>
      <c r="AM80" s="220">
        <f t="shared" si="80"/>
        <v>13</v>
      </c>
      <c r="AN80" s="459"/>
      <c r="AO80" s="221">
        <v>16</v>
      </c>
      <c r="AP80" s="221">
        <v>1148</v>
      </c>
      <c r="AQ80" s="222">
        <f t="shared" si="81"/>
        <v>71.75</v>
      </c>
      <c r="AR80" s="220">
        <f t="shared" si="82"/>
        <v>13</v>
      </c>
      <c r="AS80" s="459"/>
      <c r="AT80" s="221">
        <v>15</v>
      </c>
      <c r="AU80" s="221">
        <v>1046</v>
      </c>
      <c r="AV80" s="222">
        <f t="shared" si="83"/>
        <v>69.733333333333334</v>
      </c>
      <c r="AW80" s="220">
        <f t="shared" si="84"/>
        <v>13</v>
      </c>
      <c r="AX80" s="459"/>
    </row>
    <row r="81" spans="2:50">
      <c r="B81" s="462"/>
      <c r="C81" s="220">
        <v>9</v>
      </c>
      <c r="D81" s="220" t="s">
        <v>87</v>
      </c>
      <c r="E81" s="221">
        <f>VLOOKUP(D81,'11產線配置圖'!$A$2:$C$25,2,0)</f>
        <v>17</v>
      </c>
      <c r="F81" s="221">
        <f>VLOOKUP(D81,'11產線配置圖'!$A$2:$C$25,3,0)</f>
        <v>1565</v>
      </c>
      <c r="G81" s="222">
        <f t="shared" si="68"/>
        <v>92.058823529411768</v>
      </c>
      <c r="H81" s="459"/>
      <c r="I81" s="221">
        <f t="shared" si="69"/>
        <v>16.142857142857142</v>
      </c>
      <c r="J81" s="221">
        <f t="shared" si="69"/>
        <v>1308.5714285714287</v>
      </c>
      <c r="K81" s="222">
        <f t="shared" si="69"/>
        <v>81.221113445378151</v>
      </c>
      <c r="L81" s="459"/>
      <c r="M81" s="221">
        <f t="shared" si="70"/>
        <v>10</v>
      </c>
      <c r="N81" s="450"/>
      <c r="O81" s="450"/>
      <c r="P81" s="221">
        <v>17</v>
      </c>
      <c r="Q81" s="221">
        <v>1325</v>
      </c>
      <c r="R81" s="158">
        <f t="shared" si="71"/>
        <v>77.941176470588232</v>
      </c>
      <c r="S81" s="110">
        <f t="shared" si="72"/>
        <v>12</v>
      </c>
      <c r="T81" s="459"/>
      <c r="U81" s="221">
        <v>17</v>
      </c>
      <c r="V81" s="221">
        <v>1161</v>
      </c>
      <c r="W81" s="222">
        <f t="shared" si="73"/>
        <v>68.294117647058826</v>
      </c>
      <c r="X81" s="220">
        <f t="shared" si="74"/>
        <v>13</v>
      </c>
      <c r="Y81" s="459"/>
      <c r="Z81" s="221">
        <v>16</v>
      </c>
      <c r="AA81" s="221">
        <v>1274</v>
      </c>
      <c r="AB81" s="222">
        <f t="shared" si="75"/>
        <v>79.625</v>
      </c>
      <c r="AC81" s="220">
        <f t="shared" si="76"/>
        <v>11</v>
      </c>
      <c r="AD81" s="459"/>
      <c r="AE81" s="221">
        <v>15</v>
      </c>
      <c r="AF81" s="221">
        <v>1245</v>
      </c>
      <c r="AG81" s="222">
        <f t="shared" si="77"/>
        <v>83</v>
      </c>
      <c r="AH81" s="220">
        <f t="shared" si="78"/>
        <v>8</v>
      </c>
      <c r="AI81" s="459"/>
      <c r="AJ81" s="221">
        <v>16</v>
      </c>
      <c r="AK81" s="221">
        <v>1328</v>
      </c>
      <c r="AL81" s="222">
        <f t="shared" si="79"/>
        <v>83</v>
      </c>
      <c r="AM81" s="220">
        <f t="shared" si="80"/>
        <v>9</v>
      </c>
      <c r="AN81" s="459"/>
      <c r="AO81" s="221">
        <v>16</v>
      </c>
      <c r="AP81" s="221">
        <v>1373</v>
      </c>
      <c r="AQ81" s="222">
        <f t="shared" si="81"/>
        <v>85.8125</v>
      </c>
      <c r="AR81" s="220">
        <f t="shared" si="82"/>
        <v>9</v>
      </c>
      <c r="AS81" s="459"/>
      <c r="AT81" s="221">
        <v>16</v>
      </c>
      <c r="AU81" s="221">
        <v>1454</v>
      </c>
      <c r="AV81" s="222">
        <f t="shared" si="83"/>
        <v>90.875</v>
      </c>
      <c r="AW81" s="220">
        <f t="shared" si="84"/>
        <v>7</v>
      </c>
      <c r="AX81" s="459"/>
    </row>
    <row r="82" spans="2:50">
      <c r="B82" s="462"/>
      <c r="C82" s="220">
        <v>10</v>
      </c>
      <c r="D82" s="220" t="s">
        <v>359</v>
      </c>
      <c r="E82" s="221">
        <f>VLOOKUP(D82,'11產線配置圖'!$A$2:$C$25,2,0)</f>
        <v>17</v>
      </c>
      <c r="F82" s="221">
        <f>VLOOKUP(D82,'11產線配置圖'!$A$2:$C$25,3,0)</f>
        <v>1500</v>
      </c>
      <c r="G82" s="222">
        <f t="shared" si="68"/>
        <v>88.235294117647058</v>
      </c>
      <c r="H82" s="459"/>
      <c r="I82" s="221">
        <f t="shared" si="69"/>
        <v>17.285714285714285</v>
      </c>
      <c r="J82" s="221">
        <f t="shared" si="69"/>
        <v>1352.7142857142858</v>
      </c>
      <c r="K82" s="222">
        <f t="shared" si="69"/>
        <v>78.258343161826133</v>
      </c>
      <c r="L82" s="459"/>
      <c r="M82" s="221">
        <f t="shared" si="70"/>
        <v>11</v>
      </c>
      <c r="N82" s="450"/>
      <c r="O82" s="450"/>
      <c r="P82" s="221">
        <v>19</v>
      </c>
      <c r="Q82" s="221">
        <v>1554</v>
      </c>
      <c r="R82" s="158">
        <f t="shared" si="71"/>
        <v>81.78947368421052</v>
      </c>
      <c r="S82" s="110">
        <f t="shared" si="72"/>
        <v>11</v>
      </c>
      <c r="T82" s="459"/>
      <c r="U82" s="221">
        <v>19</v>
      </c>
      <c r="V82" s="221">
        <v>1414</v>
      </c>
      <c r="W82" s="222">
        <f t="shared" si="73"/>
        <v>74.421052631578945</v>
      </c>
      <c r="X82" s="220">
        <f t="shared" si="74"/>
        <v>11</v>
      </c>
      <c r="Y82" s="459"/>
      <c r="Z82" s="221">
        <v>15</v>
      </c>
      <c r="AA82" s="221">
        <v>1228</v>
      </c>
      <c r="AB82" s="222">
        <f t="shared" si="75"/>
        <v>81.86666666666666</v>
      </c>
      <c r="AC82" s="220">
        <f t="shared" si="76"/>
        <v>10</v>
      </c>
      <c r="AD82" s="459"/>
      <c r="AE82" s="221">
        <v>17</v>
      </c>
      <c r="AF82" s="221">
        <v>1319</v>
      </c>
      <c r="AG82" s="222">
        <f t="shared" si="77"/>
        <v>77.588235294117652</v>
      </c>
      <c r="AH82" s="220">
        <f t="shared" si="78"/>
        <v>10</v>
      </c>
      <c r="AI82" s="459"/>
      <c r="AJ82" s="221">
        <v>16</v>
      </c>
      <c r="AK82" s="221">
        <v>1142</v>
      </c>
      <c r="AL82" s="222">
        <f t="shared" si="79"/>
        <v>71.375</v>
      </c>
      <c r="AM82" s="220">
        <f t="shared" si="80"/>
        <v>11</v>
      </c>
      <c r="AN82" s="459"/>
      <c r="AO82" s="221">
        <v>17</v>
      </c>
      <c r="AP82" s="221">
        <v>1391</v>
      </c>
      <c r="AQ82" s="222">
        <f t="shared" si="81"/>
        <v>81.82352941176471</v>
      </c>
      <c r="AR82" s="220">
        <f t="shared" si="82"/>
        <v>12</v>
      </c>
      <c r="AS82" s="459"/>
      <c r="AT82" s="221">
        <v>18</v>
      </c>
      <c r="AU82" s="221">
        <v>1421</v>
      </c>
      <c r="AV82" s="222">
        <f t="shared" si="83"/>
        <v>78.944444444444443</v>
      </c>
      <c r="AW82" s="220">
        <f t="shared" si="84"/>
        <v>11</v>
      </c>
      <c r="AX82" s="459"/>
    </row>
    <row r="83" spans="2:50">
      <c r="B83" s="462"/>
      <c r="C83" s="220">
        <v>11</v>
      </c>
      <c r="D83" s="220" t="s">
        <v>85</v>
      </c>
      <c r="E83" s="221">
        <f>VLOOKUP(D83,'11產線配置圖'!$A$2:$C$25,2,0)</f>
        <v>15</v>
      </c>
      <c r="F83" s="221">
        <f>VLOOKUP(D83,'11產線配置圖'!$A$2:$C$25,3,0)</f>
        <v>1440</v>
      </c>
      <c r="G83" s="222">
        <f t="shared" si="68"/>
        <v>96</v>
      </c>
      <c r="H83" s="459"/>
      <c r="I83" s="221">
        <f t="shared" ref="I83:I85" si="85">AVERAGE(P83,U83,Z83,AE83,AJ83,AO83,AT83)</f>
        <v>14.714285714285714</v>
      </c>
      <c r="J83" s="221">
        <f t="shared" ref="J83:J85" si="86">AVERAGE(Q83,V83,AA83,AF83,AK83,AP83,AU83)</f>
        <v>1144.1428571428571</v>
      </c>
      <c r="K83" s="222">
        <f t="shared" ref="K83:K85" si="87">AVERAGE(R83,W83,AB83,AG83,AL83,AQ83,AV83)</f>
        <v>77.611564625850335</v>
      </c>
      <c r="L83" s="459"/>
      <c r="M83" s="221">
        <f t="shared" si="70"/>
        <v>12</v>
      </c>
      <c r="N83" s="450"/>
      <c r="O83" s="450"/>
      <c r="P83" s="220">
        <v>15</v>
      </c>
      <c r="Q83" s="220">
        <v>1327</v>
      </c>
      <c r="R83" s="158">
        <f t="shared" ref="R83:R85" si="88">Q83/P83</f>
        <v>88.466666666666669</v>
      </c>
      <c r="S83" s="110">
        <f t="shared" ref="S83:S85" si="89">RANK(R83, $R$73:$R$90)</f>
        <v>9</v>
      </c>
      <c r="T83" s="459"/>
      <c r="U83" s="220">
        <v>15</v>
      </c>
      <c r="V83" s="220">
        <v>1249</v>
      </c>
      <c r="W83" s="222">
        <f t="shared" ref="W83:W85" si="90">V83/U83</f>
        <v>83.266666666666666</v>
      </c>
      <c r="X83" s="220">
        <f t="shared" ref="X83:X85" si="91">RANK(W83, $W$73:$W$90)</f>
        <v>10</v>
      </c>
      <c r="Y83" s="459"/>
      <c r="Z83" s="220">
        <v>14</v>
      </c>
      <c r="AA83" s="220">
        <v>949</v>
      </c>
      <c r="AB83" s="222">
        <f t="shared" ref="AB83:AB85" si="92">AA83/Z83</f>
        <v>67.785714285714292</v>
      </c>
      <c r="AC83" s="220">
        <f t="shared" ref="AC83:AC85" si="93">RANK(AB83, $AB$73:$AB$90)</f>
        <v>13</v>
      </c>
      <c r="AD83" s="459"/>
      <c r="AE83" s="220">
        <v>14</v>
      </c>
      <c r="AF83" s="220">
        <v>1014</v>
      </c>
      <c r="AG83" s="222">
        <f t="shared" ref="AG83:AG85" si="94">AF83/AE83</f>
        <v>72.428571428571431</v>
      </c>
      <c r="AH83" s="220">
        <f t="shared" ref="AH83:AH85" si="95">RANK(AG83, $AG$73:$AG$90)</f>
        <v>12</v>
      </c>
      <c r="AI83" s="459"/>
      <c r="AJ83" s="220">
        <v>15</v>
      </c>
      <c r="AK83" s="220">
        <v>1033</v>
      </c>
      <c r="AL83" s="222">
        <f t="shared" ref="AL83:AL85" si="96">AK83/AJ83</f>
        <v>68.86666666666666</v>
      </c>
      <c r="AM83" s="220">
        <f t="shared" ref="AM83:AM85" si="97">RANK(AL83, $AL$73:$AL$90)</f>
        <v>12</v>
      </c>
      <c r="AN83" s="459"/>
      <c r="AO83" s="220">
        <v>15</v>
      </c>
      <c r="AP83" s="220">
        <v>1296</v>
      </c>
      <c r="AQ83" s="222">
        <f t="shared" ref="AQ83:AQ85" si="98">AP83/AO83</f>
        <v>86.4</v>
      </c>
      <c r="AR83" s="220">
        <f t="shared" ref="AR83:AR85" si="99">RANK(AQ83, $AQ$73:$AQ$90)</f>
        <v>7</v>
      </c>
      <c r="AS83" s="459"/>
      <c r="AT83" s="220">
        <v>15</v>
      </c>
      <c r="AU83" s="220">
        <v>1141</v>
      </c>
      <c r="AV83" s="222">
        <f t="shared" ref="AV83:AV85" si="100">AU83/AT83</f>
        <v>76.066666666666663</v>
      </c>
      <c r="AW83" s="220">
        <f t="shared" ref="AW83:AW85" si="101">RANK(AV83, $AV$73:$AV$90)</f>
        <v>12</v>
      </c>
      <c r="AX83" s="459"/>
    </row>
    <row r="84" spans="2:50">
      <c r="B84" s="462"/>
      <c r="C84" s="220">
        <v>12</v>
      </c>
      <c r="D84" s="220" t="s">
        <v>89</v>
      </c>
      <c r="E84" s="221">
        <f>VLOOKUP(D84,'11產線配置圖'!$A$2:$C$25,2,0)</f>
        <v>16</v>
      </c>
      <c r="F84" s="221">
        <f>VLOOKUP(D84,'11產線配置圖'!$A$2:$C$25,3,0)</f>
        <v>1385</v>
      </c>
      <c r="G84" s="222">
        <f t="shared" si="68"/>
        <v>86.5625</v>
      </c>
      <c r="H84" s="459"/>
      <c r="I84" s="221">
        <f t="shared" si="85"/>
        <v>15.428571428571429</v>
      </c>
      <c r="J84" s="221">
        <f t="shared" si="86"/>
        <v>1378.1428571428571</v>
      </c>
      <c r="K84" s="222">
        <f t="shared" si="87"/>
        <v>89.270238095238099</v>
      </c>
      <c r="L84" s="459"/>
      <c r="M84" s="221">
        <f t="shared" si="70"/>
        <v>7</v>
      </c>
      <c r="N84" s="450"/>
      <c r="O84" s="450"/>
      <c r="P84" s="220">
        <v>18</v>
      </c>
      <c r="Q84" s="220">
        <v>1665</v>
      </c>
      <c r="R84" s="158">
        <f t="shared" si="88"/>
        <v>92.5</v>
      </c>
      <c r="S84" s="110">
        <f t="shared" si="89"/>
        <v>8</v>
      </c>
      <c r="T84" s="459"/>
      <c r="U84" s="220">
        <v>15</v>
      </c>
      <c r="V84" s="220">
        <v>1379</v>
      </c>
      <c r="W84" s="222">
        <f t="shared" si="90"/>
        <v>91.933333333333337</v>
      </c>
      <c r="X84" s="220">
        <f t="shared" si="91"/>
        <v>7</v>
      </c>
      <c r="Y84" s="459"/>
      <c r="Z84" s="220">
        <v>16</v>
      </c>
      <c r="AA84" s="220">
        <v>1322</v>
      </c>
      <c r="AB84" s="222">
        <f t="shared" si="92"/>
        <v>82.625</v>
      </c>
      <c r="AC84" s="220">
        <f t="shared" si="93"/>
        <v>9</v>
      </c>
      <c r="AD84" s="459"/>
      <c r="AE84" s="220">
        <v>15</v>
      </c>
      <c r="AF84" s="220">
        <v>1355</v>
      </c>
      <c r="AG84" s="222">
        <f t="shared" si="94"/>
        <v>90.333333333333329</v>
      </c>
      <c r="AH84" s="220">
        <f t="shared" si="95"/>
        <v>7</v>
      </c>
      <c r="AI84" s="459"/>
      <c r="AJ84" s="220">
        <v>14</v>
      </c>
      <c r="AK84" s="220">
        <v>1211</v>
      </c>
      <c r="AL84" s="222">
        <f t="shared" si="96"/>
        <v>86.5</v>
      </c>
      <c r="AM84" s="220">
        <f t="shared" si="97"/>
        <v>7</v>
      </c>
      <c r="AN84" s="459"/>
      <c r="AO84" s="220">
        <v>15</v>
      </c>
      <c r="AP84" s="220">
        <v>1391</v>
      </c>
      <c r="AQ84" s="222">
        <f t="shared" si="98"/>
        <v>92.733333333333334</v>
      </c>
      <c r="AR84" s="220">
        <f t="shared" si="99"/>
        <v>6</v>
      </c>
      <c r="AS84" s="459"/>
      <c r="AT84" s="220">
        <v>15</v>
      </c>
      <c r="AU84" s="220">
        <v>1324</v>
      </c>
      <c r="AV84" s="222">
        <f t="shared" si="100"/>
        <v>88.266666666666666</v>
      </c>
      <c r="AW84" s="220">
        <f t="shared" si="101"/>
        <v>9</v>
      </c>
      <c r="AX84" s="459"/>
    </row>
    <row r="85" spans="2:50">
      <c r="B85" s="462"/>
      <c r="C85" s="220">
        <v>13</v>
      </c>
      <c r="D85" s="220" t="s">
        <v>176</v>
      </c>
      <c r="E85" s="221">
        <f>VLOOKUP(D85,'11產線配置圖'!$A$2:$C$25,2,0)</f>
        <v>15</v>
      </c>
      <c r="F85" s="221">
        <f>VLOOKUP(D85,'11產線配置圖'!$A$2:$C$25,3,0)</f>
        <v>1636</v>
      </c>
      <c r="G85" s="222">
        <f t="shared" si="68"/>
        <v>109.06666666666666</v>
      </c>
      <c r="H85" s="459"/>
      <c r="I85" s="221">
        <f t="shared" si="85"/>
        <v>15.142857142857142</v>
      </c>
      <c r="J85" s="221">
        <f t="shared" si="86"/>
        <v>1661</v>
      </c>
      <c r="K85" s="222">
        <f t="shared" si="87"/>
        <v>109.63809523809523</v>
      </c>
      <c r="L85" s="459"/>
      <c r="M85" s="221">
        <f t="shared" si="70"/>
        <v>4</v>
      </c>
      <c r="N85" s="450"/>
      <c r="O85" s="450"/>
      <c r="P85" s="220">
        <v>16</v>
      </c>
      <c r="Q85" s="220">
        <v>1840</v>
      </c>
      <c r="R85" s="158">
        <f t="shared" si="88"/>
        <v>115</v>
      </c>
      <c r="S85" s="110">
        <f t="shared" si="89"/>
        <v>4</v>
      </c>
      <c r="T85" s="459"/>
      <c r="U85" s="220">
        <v>15</v>
      </c>
      <c r="V85" s="220">
        <v>1634</v>
      </c>
      <c r="W85" s="222">
        <f t="shared" si="90"/>
        <v>108.93333333333334</v>
      </c>
      <c r="X85" s="220">
        <f t="shared" si="91"/>
        <v>5</v>
      </c>
      <c r="Y85" s="459"/>
      <c r="Z85" s="220">
        <v>15</v>
      </c>
      <c r="AA85" s="220">
        <v>1715</v>
      </c>
      <c r="AB85" s="222">
        <f t="shared" si="92"/>
        <v>114.33333333333333</v>
      </c>
      <c r="AC85" s="220">
        <f t="shared" si="93"/>
        <v>4</v>
      </c>
      <c r="AD85" s="459"/>
      <c r="AE85" s="220">
        <v>15</v>
      </c>
      <c r="AF85" s="220">
        <v>1625</v>
      </c>
      <c r="AG85" s="222">
        <f t="shared" si="94"/>
        <v>108.33333333333333</v>
      </c>
      <c r="AH85" s="220">
        <f t="shared" si="95"/>
        <v>3</v>
      </c>
      <c r="AI85" s="459"/>
      <c r="AJ85" s="220">
        <v>15</v>
      </c>
      <c r="AK85" s="220">
        <v>1597</v>
      </c>
      <c r="AL85" s="222">
        <f t="shared" si="96"/>
        <v>106.46666666666667</v>
      </c>
      <c r="AM85" s="220">
        <f t="shared" si="97"/>
        <v>4</v>
      </c>
      <c r="AN85" s="459"/>
      <c r="AO85" s="220">
        <v>15</v>
      </c>
      <c r="AP85" s="220">
        <v>1677</v>
      </c>
      <c r="AQ85" s="222">
        <f t="shared" si="98"/>
        <v>111.8</v>
      </c>
      <c r="AR85" s="220">
        <f t="shared" si="99"/>
        <v>4</v>
      </c>
      <c r="AS85" s="459"/>
      <c r="AT85" s="220">
        <v>15</v>
      </c>
      <c r="AU85" s="220">
        <v>1539</v>
      </c>
      <c r="AV85" s="222">
        <f t="shared" si="100"/>
        <v>102.6</v>
      </c>
      <c r="AW85" s="220">
        <f t="shared" si="101"/>
        <v>4</v>
      </c>
      <c r="AX85" s="459"/>
    </row>
    <row r="86" spans="2:50" ht="13.5">
      <c r="B86" s="462"/>
      <c r="C86" s="220">
        <v>14</v>
      </c>
      <c r="D86" s="224"/>
      <c r="E86" s="221"/>
      <c r="F86" s="221"/>
      <c r="G86" s="222"/>
      <c r="H86" s="459"/>
      <c r="I86" s="221"/>
      <c r="J86" s="221"/>
      <c r="K86" s="222"/>
      <c r="L86" s="459"/>
      <c r="M86" s="221"/>
      <c r="N86" s="450"/>
      <c r="O86" s="450"/>
      <c r="P86" s="220"/>
      <c r="Q86" s="220"/>
      <c r="R86" s="158"/>
      <c r="S86" s="110"/>
      <c r="T86" s="459"/>
      <c r="U86" s="220"/>
      <c r="V86" s="220"/>
      <c r="W86" s="222"/>
      <c r="X86" s="220"/>
      <c r="Y86" s="459"/>
      <c r="Z86" s="220"/>
      <c r="AA86" s="220"/>
      <c r="AB86" s="222"/>
      <c r="AC86" s="220"/>
      <c r="AD86" s="459"/>
      <c r="AE86" s="220"/>
      <c r="AF86" s="220"/>
      <c r="AG86" s="222"/>
      <c r="AH86" s="220"/>
      <c r="AI86" s="459"/>
      <c r="AJ86" s="220"/>
      <c r="AK86" s="220"/>
      <c r="AL86" s="222"/>
      <c r="AM86" s="220"/>
      <c r="AN86" s="459"/>
      <c r="AO86" s="220"/>
      <c r="AP86" s="220"/>
      <c r="AQ86" s="222"/>
      <c r="AR86" s="220"/>
      <c r="AS86" s="459"/>
      <c r="AT86" s="220"/>
      <c r="AU86" s="220"/>
      <c r="AV86" s="222"/>
      <c r="AW86" s="220"/>
      <c r="AX86" s="459"/>
    </row>
    <row r="87" spans="2:50">
      <c r="B87" s="462"/>
      <c r="C87" s="220">
        <v>15</v>
      </c>
      <c r="D87" s="220"/>
      <c r="E87" s="221"/>
      <c r="F87" s="221"/>
      <c r="G87" s="222"/>
      <c r="H87" s="459"/>
      <c r="I87" s="221"/>
      <c r="J87" s="221"/>
      <c r="K87" s="222"/>
      <c r="L87" s="459"/>
      <c r="M87" s="221"/>
      <c r="N87" s="450"/>
      <c r="O87" s="450"/>
      <c r="P87" s="220"/>
      <c r="Q87" s="220"/>
      <c r="R87" s="158"/>
      <c r="S87" s="110"/>
      <c r="T87" s="459"/>
      <c r="U87" s="220"/>
      <c r="V87" s="220"/>
      <c r="W87" s="222"/>
      <c r="X87" s="220"/>
      <c r="Y87" s="459"/>
      <c r="Z87" s="220"/>
      <c r="AA87" s="220"/>
      <c r="AB87" s="222"/>
      <c r="AC87" s="220"/>
      <c r="AD87" s="459"/>
      <c r="AE87" s="220"/>
      <c r="AF87" s="220"/>
      <c r="AG87" s="222"/>
      <c r="AH87" s="220"/>
      <c r="AI87" s="459"/>
      <c r="AJ87" s="220"/>
      <c r="AK87" s="220"/>
      <c r="AL87" s="222"/>
      <c r="AM87" s="220"/>
      <c r="AN87" s="459"/>
      <c r="AO87" s="220"/>
      <c r="AP87" s="220"/>
      <c r="AQ87" s="222"/>
      <c r="AR87" s="220"/>
      <c r="AS87" s="459"/>
      <c r="AT87" s="220"/>
      <c r="AU87" s="220"/>
      <c r="AV87" s="222"/>
      <c r="AW87" s="220"/>
      <c r="AX87" s="459"/>
    </row>
    <row r="88" spans="2:50">
      <c r="B88" s="462"/>
      <c r="C88" s="220">
        <v>16</v>
      </c>
      <c r="D88" s="220"/>
      <c r="E88" s="221"/>
      <c r="F88" s="221"/>
      <c r="G88" s="222"/>
      <c r="H88" s="459"/>
      <c r="I88" s="221"/>
      <c r="J88" s="221"/>
      <c r="K88" s="222"/>
      <c r="L88" s="459"/>
      <c r="M88" s="221"/>
      <c r="N88" s="450"/>
      <c r="O88" s="450"/>
      <c r="P88" s="220"/>
      <c r="Q88" s="220"/>
      <c r="R88" s="158"/>
      <c r="S88" s="110"/>
      <c r="T88" s="459"/>
      <c r="U88" s="220"/>
      <c r="V88" s="220"/>
      <c r="W88" s="222"/>
      <c r="X88" s="220"/>
      <c r="Y88" s="459"/>
      <c r="Z88" s="220"/>
      <c r="AA88" s="220"/>
      <c r="AB88" s="222"/>
      <c r="AC88" s="220"/>
      <c r="AD88" s="459"/>
      <c r="AE88" s="220"/>
      <c r="AF88" s="220"/>
      <c r="AG88" s="222"/>
      <c r="AH88" s="220"/>
      <c r="AI88" s="459"/>
      <c r="AJ88" s="220"/>
      <c r="AK88" s="220"/>
      <c r="AL88" s="222"/>
      <c r="AM88" s="220"/>
      <c r="AN88" s="459"/>
      <c r="AO88" s="220"/>
      <c r="AP88" s="220"/>
      <c r="AQ88" s="222"/>
      <c r="AR88" s="220"/>
      <c r="AS88" s="459"/>
      <c r="AT88" s="220"/>
      <c r="AU88" s="220"/>
      <c r="AV88" s="222"/>
      <c r="AW88" s="220"/>
      <c r="AX88" s="459"/>
    </row>
    <row r="89" spans="2:50">
      <c r="B89" s="462"/>
      <c r="C89" s="220">
        <v>17</v>
      </c>
      <c r="D89" s="220"/>
      <c r="E89" s="221"/>
      <c r="F89" s="221"/>
      <c r="G89" s="222"/>
      <c r="H89" s="459"/>
      <c r="I89" s="221"/>
      <c r="J89" s="221"/>
      <c r="K89" s="222"/>
      <c r="L89" s="459"/>
      <c r="M89" s="221"/>
      <c r="N89" s="450"/>
      <c r="O89" s="450"/>
      <c r="P89" s="220"/>
      <c r="Q89" s="220"/>
      <c r="R89" s="158"/>
      <c r="S89" s="110"/>
      <c r="T89" s="459"/>
      <c r="U89" s="220"/>
      <c r="V89" s="220"/>
      <c r="W89" s="222"/>
      <c r="X89" s="220"/>
      <c r="Y89" s="459"/>
      <c r="Z89" s="220"/>
      <c r="AA89" s="220"/>
      <c r="AB89" s="222"/>
      <c r="AC89" s="220"/>
      <c r="AD89" s="459"/>
      <c r="AE89" s="220"/>
      <c r="AF89" s="220"/>
      <c r="AG89" s="222"/>
      <c r="AH89" s="220"/>
      <c r="AI89" s="459"/>
      <c r="AJ89" s="220"/>
      <c r="AK89" s="220"/>
      <c r="AL89" s="222"/>
      <c r="AM89" s="220"/>
      <c r="AN89" s="459"/>
      <c r="AO89" s="220"/>
      <c r="AP89" s="220"/>
      <c r="AQ89" s="222"/>
      <c r="AR89" s="220"/>
      <c r="AS89" s="459"/>
      <c r="AT89" s="220"/>
      <c r="AU89" s="220"/>
      <c r="AV89" s="222"/>
      <c r="AW89" s="220"/>
      <c r="AX89" s="459"/>
    </row>
    <row r="90" spans="2:50">
      <c r="B90" s="463"/>
      <c r="C90" s="220">
        <v>18</v>
      </c>
      <c r="D90" s="220"/>
      <c r="E90" s="221"/>
      <c r="F90" s="221"/>
      <c r="G90" s="222"/>
      <c r="H90" s="459"/>
      <c r="I90" s="220"/>
      <c r="J90" s="220"/>
      <c r="K90" s="220"/>
      <c r="L90" s="460"/>
      <c r="M90" s="221"/>
      <c r="N90" s="451"/>
      <c r="O90" s="451"/>
      <c r="P90" s="220"/>
      <c r="Q90" s="220"/>
      <c r="R90" s="158"/>
      <c r="S90" s="110"/>
      <c r="T90" s="460"/>
      <c r="U90" s="220"/>
      <c r="V90" s="220"/>
      <c r="W90" s="222"/>
      <c r="X90" s="220"/>
      <c r="Y90" s="460"/>
      <c r="Z90" s="220"/>
      <c r="AA90" s="220"/>
      <c r="AB90" s="222"/>
      <c r="AC90" s="220"/>
      <c r="AD90" s="460"/>
      <c r="AE90" s="220"/>
      <c r="AF90" s="220"/>
      <c r="AG90" s="222"/>
      <c r="AH90" s="220"/>
      <c r="AI90" s="460"/>
      <c r="AJ90" s="220"/>
      <c r="AK90" s="220"/>
      <c r="AL90" s="222"/>
      <c r="AM90" s="220"/>
      <c r="AN90" s="460"/>
      <c r="AO90" s="220"/>
      <c r="AP90" s="220"/>
      <c r="AQ90" s="222"/>
      <c r="AR90" s="220"/>
      <c r="AS90" s="460"/>
      <c r="AT90" s="220"/>
      <c r="AU90" s="220"/>
      <c r="AV90" s="222"/>
      <c r="AW90" s="220"/>
      <c r="AX90" s="460"/>
    </row>
    <row r="91" spans="2:50" ht="15.75">
      <c r="B91" s="457" t="s">
        <v>44</v>
      </c>
      <c r="C91" s="453"/>
      <c r="D91" s="453"/>
      <c r="E91" s="453"/>
      <c r="F91" s="453"/>
      <c r="G91" s="453"/>
      <c r="H91" s="453"/>
      <c r="I91" s="225"/>
      <c r="J91" s="225"/>
      <c r="K91" s="225"/>
      <c r="L91" s="225"/>
      <c r="M91" s="226"/>
      <c r="N91" s="449" t="s">
        <v>45</v>
      </c>
      <c r="O91" s="449" t="s">
        <v>3</v>
      </c>
      <c r="P91" s="444">
        <v>45986</v>
      </c>
      <c r="Q91" s="436"/>
      <c r="R91" s="436"/>
      <c r="S91" s="436"/>
      <c r="T91" s="436"/>
      <c r="U91" s="444">
        <v>45987</v>
      </c>
      <c r="V91" s="436"/>
      <c r="W91" s="436"/>
      <c r="X91" s="436"/>
      <c r="Y91" s="436"/>
      <c r="Z91" s="444">
        <v>45988</v>
      </c>
      <c r="AA91" s="436"/>
      <c r="AB91" s="436"/>
      <c r="AC91" s="436"/>
      <c r="AD91" s="436"/>
      <c r="AE91" s="444">
        <v>45989</v>
      </c>
      <c r="AF91" s="436"/>
      <c r="AG91" s="436"/>
      <c r="AH91" s="436"/>
      <c r="AI91" s="436"/>
      <c r="AJ91" s="444">
        <v>45990</v>
      </c>
      <c r="AK91" s="436"/>
      <c r="AL91" s="436"/>
      <c r="AM91" s="436"/>
      <c r="AN91" s="436"/>
      <c r="AO91" s="444">
        <v>45991</v>
      </c>
      <c r="AP91" s="436"/>
      <c r="AQ91" s="436"/>
      <c r="AR91" s="436"/>
      <c r="AS91" s="436"/>
      <c r="AT91" s="444">
        <v>45992</v>
      </c>
      <c r="AU91" s="436"/>
      <c r="AV91" s="436"/>
      <c r="AW91" s="436"/>
      <c r="AX91" s="436"/>
    </row>
    <row r="92" spans="2:50" ht="15.75">
      <c r="B92" s="454"/>
      <c r="C92" s="454"/>
      <c r="D92" s="454"/>
      <c r="E92" s="454"/>
      <c r="F92" s="454"/>
      <c r="G92" s="454"/>
      <c r="H92" s="454"/>
      <c r="I92" s="216"/>
      <c r="J92" s="216"/>
      <c r="K92" s="216"/>
      <c r="L92" s="216"/>
      <c r="M92" s="217"/>
      <c r="N92" s="451"/>
      <c r="O92" s="451"/>
      <c r="P92" s="444" t="s">
        <v>16</v>
      </c>
      <c r="Q92" s="436"/>
      <c r="R92" s="436"/>
      <c r="S92" s="436"/>
      <c r="T92" s="436"/>
      <c r="U92" s="444" t="s">
        <v>17</v>
      </c>
      <c r="V92" s="436"/>
      <c r="W92" s="436"/>
      <c r="X92" s="436"/>
      <c r="Y92" s="436"/>
      <c r="Z92" s="444" t="s">
        <v>18</v>
      </c>
      <c r="AA92" s="436"/>
      <c r="AB92" s="436"/>
      <c r="AC92" s="436"/>
      <c r="AD92" s="436"/>
      <c r="AE92" s="444" t="s">
        <v>19</v>
      </c>
      <c r="AF92" s="436"/>
      <c r="AG92" s="436"/>
      <c r="AH92" s="436"/>
      <c r="AI92" s="436"/>
      <c r="AJ92" s="444" t="s">
        <v>14</v>
      </c>
      <c r="AK92" s="436"/>
      <c r="AL92" s="436"/>
      <c r="AM92" s="436"/>
      <c r="AN92" s="436"/>
      <c r="AO92" s="444" t="s">
        <v>10</v>
      </c>
      <c r="AP92" s="436"/>
      <c r="AQ92" s="436"/>
      <c r="AR92" s="436"/>
      <c r="AS92" s="436"/>
      <c r="AT92" s="444" t="s">
        <v>15</v>
      </c>
      <c r="AU92" s="436"/>
      <c r="AV92" s="436"/>
      <c r="AW92" s="436"/>
      <c r="AX92" s="436"/>
    </row>
    <row r="93" spans="2:50">
      <c r="B93" s="440" t="s">
        <v>46</v>
      </c>
      <c r="C93" s="440" t="s">
        <v>47</v>
      </c>
      <c r="D93" s="440"/>
      <c r="E93" s="440" t="s">
        <v>48</v>
      </c>
      <c r="F93" s="440"/>
      <c r="G93" s="440"/>
      <c r="H93" s="446" t="s">
        <v>49</v>
      </c>
      <c r="I93" s="440" t="s">
        <v>50</v>
      </c>
      <c r="J93" s="440"/>
      <c r="K93" s="440"/>
      <c r="L93" s="446" t="s">
        <v>49</v>
      </c>
      <c r="M93" s="449" t="s">
        <v>51</v>
      </c>
      <c r="N93" s="449"/>
      <c r="O93" s="449" t="s">
        <v>52</v>
      </c>
      <c r="P93" s="441" t="s">
        <v>53</v>
      </c>
      <c r="Q93" s="442"/>
      <c r="R93" s="442"/>
      <c r="S93" s="443"/>
      <c r="T93" s="440" t="s">
        <v>49</v>
      </c>
      <c r="U93" s="441" t="s">
        <v>53</v>
      </c>
      <c r="V93" s="442"/>
      <c r="W93" s="442"/>
      <c r="X93" s="443"/>
      <c r="Y93" s="440" t="s">
        <v>49</v>
      </c>
      <c r="Z93" s="441" t="s">
        <v>53</v>
      </c>
      <c r="AA93" s="442"/>
      <c r="AB93" s="442"/>
      <c r="AC93" s="443"/>
      <c r="AD93" s="440" t="s">
        <v>49</v>
      </c>
      <c r="AE93" s="441" t="s">
        <v>53</v>
      </c>
      <c r="AF93" s="442"/>
      <c r="AG93" s="442"/>
      <c r="AH93" s="443"/>
      <c r="AI93" s="440" t="s">
        <v>49</v>
      </c>
      <c r="AJ93" s="441" t="s">
        <v>53</v>
      </c>
      <c r="AK93" s="442"/>
      <c r="AL93" s="442"/>
      <c r="AM93" s="443"/>
      <c r="AN93" s="440" t="s">
        <v>49</v>
      </c>
      <c r="AO93" s="441" t="s">
        <v>53</v>
      </c>
      <c r="AP93" s="442"/>
      <c r="AQ93" s="442"/>
      <c r="AR93" s="443"/>
      <c r="AS93" s="440" t="s">
        <v>49</v>
      </c>
      <c r="AT93" s="441" t="s">
        <v>53</v>
      </c>
      <c r="AU93" s="442"/>
      <c r="AV93" s="442"/>
      <c r="AW93" s="443"/>
      <c r="AX93" s="440" t="s">
        <v>49</v>
      </c>
    </row>
    <row r="94" spans="2:50">
      <c r="B94" s="440"/>
      <c r="C94" s="440"/>
      <c r="D94" s="440"/>
      <c r="E94" s="440" t="s">
        <v>54</v>
      </c>
      <c r="F94" s="440"/>
      <c r="G94" s="440"/>
      <c r="H94" s="447"/>
      <c r="I94" s="440" t="s">
        <v>54</v>
      </c>
      <c r="J94" s="440"/>
      <c r="K94" s="440"/>
      <c r="L94" s="447"/>
      <c r="M94" s="450"/>
      <c r="N94" s="450"/>
      <c r="O94" s="450"/>
      <c r="P94" s="441" t="s">
        <v>55</v>
      </c>
      <c r="Q94" s="442"/>
      <c r="R94" s="442"/>
      <c r="S94" s="443"/>
      <c r="T94" s="440"/>
      <c r="U94" s="441" t="s">
        <v>55</v>
      </c>
      <c r="V94" s="442"/>
      <c r="W94" s="442"/>
      <c r="X94" s="443"/>
      <c r="Y94" s="440"/>
      <c r="Z94" s="441" t="s">
        <v>55</v>
      </c>
      <c r="AA94" s="442"/>
      <c r="AB94" s="442"/>
      <c r="AC94" s="443"/>
      <c r="AD94" s="440"/>
      <c r="AE94" s="441" t="s">
        <v>55</v>
      </c>
      <c r="AF94" s="442"/>
      <c r="AG94" s="442"/>
      <c r="AH94" s="443"/>
      <c r="AI94" s="440"/>
      <c r="AJ94" s="441" t="s">
        <v>55</v>
      </c>
      <c r="AK94" s="442"/>
      <c r="AL94" s="442"/>
      <c r="AM94" s="443"/>
      <c r="AN94" s="440"/>
      <c r="AO94" s="441" t="s">
        <v>55</v>
      </c>
      <c r="AP94" s="442"/>
      <c r="AQ94" s="442"/>
      <c r="AR94" s="443"/>
      <c r="AS94" s="440"/>
      <c r="AT94" s="441" t="s">
        <v>55</v>
      </c>
      <c r="AU94" s="442"/>
      <c r="AV94" s="442"/>
      <c r="AW94" s="443"/>
      <c r="AX94" s="440"/>
    </row>
    <row r="95" spans="2:50">
      <c r="B95" s="440"/>
      <c r="C95" s="440"/>
      <c r="D95" s="440"/>
      <c r="E95" s="219" t="s">
        <v>56</v>
      </c>
      <c r="F95" s="219" t="s">
        <v>57</v>
      </c>
      <c r="G95" s="219" t="s">
        <v>58</v>
      </c>
      <c r="H95" s="448"/>
      <c r="I95" s="219" t="s">
        <v>56</v>
      </c>
      <c r="J95" s="219" t="s">
        <v>57</v>
      </c>
      <c r="K95" s="219" t="s">
        <v>58</v>
      </c>
      <c r="L95" s="448"/>
      <c r="M95" s="451"/>
      <c r="N95" s="450"/>
      <c r="O95" s="450"/>
      <c r="P95" s="219" t="s">
        <v>56</v>
      </c>
      <c r="Q95" s="219" t="s">
        <v>57</v>
      </c>
      <c r="R95" s="219" t="s">
        <v>58</v>
      </c>
      <c r="S95" s="219" t="s">
        <v>51</v>
      </c>
      <c r="T95" s="440"/>
      <c r="U95" s="219" t="s">
        <v>56</v>
      </c>
      <c r="V95" s="219" t="s">
        <v>57</v>
      </c>
      <c r="W95" s="219" t="s">
        <v>58</v>
      </c>
      <c r="X95" s="219" t="s">
        <v>51</v>
      </c>
      <c r="Y95" s="440"/>
      <c r="Z95" s="219" t="s">
        <v>56</v>
      </c>
      <c r="AA95" s="219" t="s">
        <v>57</v>
      </c>
      <c r="AB95" s="219" t="s">
        <v>58</v>
      </c>
      <c r="AC95" s="219" t="s">
        <v>51</v>
      </c>
      <c r="AD95" s="440"/>
      <c r="AE95" s="219" t="s">
        <v>56</v>
      </c>
      <c r="AF95" s="219" t="s">
        <v>57</v>
      </c>
      <c r="AG95" s="219" t="s">
        <v>58</v>
      </c>
      <c r="AH95" s="219" t="s">
        <v>51</v>
      </c>
      <c r="AI95" s="440"/>
      <c r="AJ95" s="219" t="s">
        <v>56</v>
      </c>
      <c r="AK95" s="219" t="s">
        <v>57</v>
      </c>
      <c r="AL95" s="219" t="s">
        <v>58</v>
      </c>
      <c r="AM95" s="219" t="s">
        <v>51</v>
      </c>
      <c r="AN95" s="440"/>
      <c r="AO95" s="219" t="s">
        <v>56</v>
      </c>
      <c r="AP95" s="219" t="s">
        <v>57</v>
      </c>
      <c r="AQ95" s="219" t="s">
        <v>58</v>
      </c>
      <c r="AR95" s="219" t="s">
        <v>51</v>
      </c>
      <c r="AS95" s="440"/>
      <c r="AT95" s="219" t="s">
        <v>56</v>
      </c>
      <c r="AU95" s="219" t="s">
        <v>57</v>
      </c>
      <c r="AV95" s="219" t="s">
        <v>58</v>
      </c>
      <c r="AW95" s="219" t="s">
        <v>51</v>
      </c>
      <c r="AX95" s="440"/>
    </row>
    <row r="96" spans="2:50" ht="13.5">
      <c r="B96" s="465" t="s">
        <v>316</v>
      </c>
      <c r="C96" s="220">
        <v>1</v>
      </c>
      <c r="D96" s="224" t="s">
        <v>75</v>
      </c>
      <c r="E96" s="221">
        <f>VLOOKUP(D96,'11產線配置圖'!$A$2:$C$25,2,0)</f>
        <v>12</v>
      </c>
      <c r="F96" s="221">
        <f>VLOOKUP(D96,'11產線配置圖'!$A$2:$C$25,3,0)</f>
        <v>2000</v>
      </c>
      <c r="G96" s="222">
        <f>F96/E96</f>
        <v>166.66666666666666</v>
      </c>
      <c r="H96" s="458" t="e">
        <f>AVERAGE(G96:G110)</f>
        <v>#N/A</v>
      </c>
      <c r="I96" s="221" t="e">
        <f>AVERAGE(P96,U96,Z96,AE96,AJ96,AO96,AT96)</f>
        <v>#DIV/0!</v>
      </c>
      <c r="J96" s="221" t="e">
        <f>AVERAGE(Q96,V96,AA96,AF96,AK96,AP96,AU96)</f>
        <v>#DIV/0!</v>
      </c>
      <c r="K96" s="222" t="e">
        <f>AVERAGE(R96,W96,AB96,AG96,AL96,AQ96,AV96)</f>
        <v>#DIV/0!</v>
      </c>
      <c r="L96" s="458" t="str">
        <f>IFERROR(AVERAGE(K96:K113),"-")</f>
        <v>-</v>
      </c>
      <c r="M96" s="221" t="e">
        <f>RANK(K96, K$96:$K$113)</f>
        <v>#DIV/0!</v>
      </c>
      <c r="N96" s="450"/>
      <c r="O96" s="450"/>
      <c r="P96" s="221"/>
      <c r="Q96" s="221"/>
      <c r="R96" s="222" t="e">
        <f>Q96/P96</f>
        <v>#DIV/0!</v>
      </c>
      <c r="S96" s="220" t="e">
        <f>RANK(R96,$R$96:$R$113)</f>
        <v>#DIV/0!</v>
      </c>
      <c r="T96" s="458" t="e">
        <f>AVERAGE(R96:R113)</f>
        <v>#DIV/0!</v>
      </c>
      <c r="U96" s="221"/>
      <c r="V96" s="221"/>
      <c r="W96" s="222" t="e">
        <f>V96/U96</f>
        <v>#DIV/0!</v>
      </c>
      <c r="X96" s="220" t="e">
        <f>RANK(W96,$W$96:$W$113)</f>
        <v>#DIV/0!</v>
      </c>
      <c r="Y96" s="458" t="e">
        <f>AVERAGE(W96:W113)</f>
        <v>#DIV/0!</v>
      </c>
      <c r="Z96" s="221"/>
      <c r="AA96" s="221"/>
      <c r="AB96" s="222" t="e">
        <f>AA96/Z96</f>
        <v>#DIV/0!</v>
      </c>
      <c r="AC96" s="220" t="e">
        <f>RANK(AB96, $AB$96:$AB$113)</f>
        <v>#DIV/0!</v>
      </c>
      <c r="AD96" s="458" t="e">
        <f>AVERAGE(AB96:AB113)</f>
        <v>#DIV/0!</v>
      </c>
      <c r="AE96" s="221"/>
      <c r="AF96" s="221"/>
      <c r="AG96" s="222" t="e">
        <f>AF96/AE96</f>
        <v>#DIV/0!</v>
      </c>
      <c r="AH96" s="220" t="e">
        <f>RANK(AG96,$AG$96:$AG$113)</f>
        <v>#DIV/0!</v>
      </c>
      <c r="AI96" s="458" t="e">
        <f>AVERAGE(AG96:AG113)</f>
        <v>#DIV/0!</v>
      </c>
      <c r="AJ96" s="221"/>
      <c r="AK96" s="221"/>
      <c r="AL96" s="222" t="e">
        <f>AK96/AJ96</f>
        <v>#DIV/0!</v>
      </c>
      <c r="AM96" s="220" t="e">
        <f>RANK(AL96,$AL$96:$AL$113)</f>
        <v>#DIV/0!</v>
      </c>
      <c r="AN96" s="458" t="e">
        <f>AVERAGE(AL96:AL113)</f>
        <v>#DIV/0!</v>
      </c>
      <c r="AO96" s="220"/>
      <c r="AP96" s="220"/>
      <c r="AQ96" s="222" t="e">
        <f>AP96/AO96</f>
        <v>#DIV/0!</v>
      </c>
      <c r="AR96" s="220" t="e">
        <f>RANK(AQ96,$AQ$96:$AQ$113)</f>
        <v>#DIV/0!</v>
      </c>
      <c r="AS96" s="458" t="e">
        <f>AVERAGE(AQ96:AQ113)</f>
        <v>#DIV/0!</v>
      </c>
      <c r="AT96" s="220"/>
      <c r="AU96" s="220"/>
      <c r="AV96" s="222" t="e">
        <f>AU96/AT96</f>
        <v>#DIV/0!</v>
      </c>
      <c r="AW96" s="220" t="e">
        <f>RANK(AV96,$AV$96:$AV$113)</f>
        <v>#DIV/0!</v>
      </c>
      <c r="AX96" s="458" t="e">
        <f>AVERAGE(AV96:AV113)</f>
        <v>#DIV/0!</v>
      </c>
    </row>
    <row r="97" spans="1:50">
      <c r="B97" s="466"/>
      <c r="C97" s="220">
        <v>2</v>
      </c>
      <c r="D97" s="220" t="s">
        <v>76</v>
      </c>
      <c r="E97" s="221">
        <f>VLOOKUP(D97,'11產線配置圖'!$A$2:$C$25,2,0)</f>
        <v>13</v>
      </c>
      <c r="F97" s="221">
        <f>VLOOKUP(D97,'11產線配置圖'!$A$2:$C$25,3,0)</f>
        <v>2000</v>
      </c>
      <c r="G97" s="222">
        <f t="shared" ref="G97:G105" si="102">F97/E97</f>
        <v>153.84615384615384</v>
      </c>
      <c r="H97" s="459"/>
      <c r="I97" s="221" t="e">
        <f t="shared" ref="I97:I111" si="103">AVERAGE(P97,U97,Z97,AE97,AJ97,AO97,AT97)</f>
        <v>#DIV/0!</v>
      </c>
      <c r="J97" s="221" t="e">
        <f t="shared" ref="J97:J111" si="104">AVERAGE(Q97,V97,AA97,AF97,AK97,AP97,AU97)</f>
        <v>#DIV/0!</v>
      </c>
      <c r="K97" s="222" t="e">
        <f t="shared" ref="K97:K112" si="105">AVERAGE(R97,W97,AB97,AG97,AL97,AQ97,AV97)</f>
        <v>#DIV/0!</v>
      </c>
      <c r="L97" s="459"/>
      <c r="M97" s="221" t="e">
        <f>RANK(K97, K$96:$K$113)</f>
        <v>#DIV/0!</v>
      </c>
      <c r="N97" s="450"/>
      <c r="O97" s="450"/>
      <c r="P97" s="221"/>
      <c r="Q97" s="221"/>
      <c r="R97" s="222" t="e">
        <f t="shared" ref="R97:R106" si="106">Q97/P97</f>
        <v>#DIV/0!</v>
      </c>
      <c r="S97" s="220" t="e">
        <f t="shared" ref="S97:S106" si="107">RANK(R97,$R$96:$R$113)</f>
        <v>#DIV/0!</v>
      </c>
      <c r="T97" s="459"/>
      <c r="U97" s="221"/>
      <c r="V97" s="221"/>
      <c r="W97" s="222" t="e">
        <f t="shared" ref="W97:W106" si="108">V97/U97</f>
        <v>#DIV/0!</v>
      </c>
      <c r="X97" s="220" t="e">
        <f t="shared" ref="X97:X106" si="109">RANK(W97,$W$96:$W$113)</f>
        <v>#DIV/0!</v>
      </c>
      <c r="Y97" s="459"/>
      <c r="Z97" s="221"/>
      <c r="AA97" s="221"/>
      <c r="AB97" s="222" t="e">
        <f t="shared" ref="AB97:AB111" si="110">AA97/Z97</f>
        <v>#DIV/0!</v>
      </c>
      <c r="AC97" s="220" t="e">
        <f t="shared" ref="AC97:AC111" si="111">RANK(AB97, $AB$96:$AB$113)</f>
        <v>#DIV/0!</v>
      </c>
      <c r="AD97" s="459"/>
      <c r="AE97" s="221"/>
      <c r="AF97" s="221"/>
      <c r="AG97" s="222" t="e">
        <f t="shared" ref="AG97:AG111" si="112">AF97/AE97</f>
        <v>#DIV/0!</v>
      </c>
      <c r="AH97" s="220" t="e">
        <f t="shared" ref="AH97:AH111" si="113">RANK(AG97,$AG$96:$AG$113)</f>
        <v>#DIV/0!</v>
      </c>
      <c r="AI97" s="459"/>
      <c r="AJ97" s="221"/>
      <c r="AK97" s="221"/>
      <c r="AL97" s="222" t="e">
        <f t="shared" ref="AL97:AL111" si="114">AK97/AJ97</f>
        <v>#DIV/0!</v>
      </c>
      <c r="AM97" s="220" t="e">
        <f t="shared" ref="AM97:AM111" si="115">RANK(AL97,$AL$96:$AL$113)</f>
        <v>#DIV/0!</v>
      </c>
      <c r="AN97" s="459"/>
      <c r="AO97" s="220"/>
      <c r="AP97" s="220"/>
      <c r="AQ97" s="222" t="e">
        <f t="shared" ref="AQ97:AQ105" si="116">AP97/AO97</f>
        <v>#DIV/0!</v>
      </c>
      <c r="AR97" s="220" t="e">
        <f t="shared" ref="AR97:AR112" si="117">RANK(AQ97,$AQ$96:$AQ$113)</f>
        <v>#DIV/0!</v>
      </c>
      <c r="AS97" s="459"/>
      <c r="AT97" s="220"/>
      <c r="AU97" s="220"/>
      <c r="AV97" s="222" t="e">
        <f t="shared" ref="AV97:AV104" si="118">AU97/AT97</f>
        <v>#DIV/0!</v>
      </c>
      <c r="AW97" s="220" t="e">
        <f t="shared" ref="AW97:AW112" si="119">RANK(AV97,$AV$96:$AV$113)</f>
        <v>#DIV/0!</v>
      </c>
      <c r="AX97" s="459"/>
    </row>
    <row r="98" spans="1:50">
      <c r="B98" s="466"/>
      <c r="C98" s="220">
        <v>3</v>
      </c>
      <c r="D98" s="220" t="s">
        <v>78</v>
      </c>
      <c r="E98" s="221">
        <f>VLOOKUP(D98,'11產線配置圖'!$A$2:$C$25,2,0)</f>
        <v>15</v>
      </c>
      <c r="F98" s="221">
        <f>VLOOKUP(D98,'11產線配置圖'!$A$2:$C$25,3,0)</f>
        <v>2000</v>
      </c>
      <c r="G98" s="222">
        <f t="shared" si="102"/>
        <v>133.33333333333334</v>
      </c>
      <c r="H98" s="459"/>
      <c r="I98" s="221" t="e">
        <f t="shared" si="103"/>
        <v>#DIV/0!</v>
      </c>
      <c r="J98" s="221" t="e">
        <f t="shared" si="104"/>
        <v>#DIV/0!</v>
      </c>
      <c r="K98" s="222" t="e">
        <f t="shared" si="105"/>
        <v>#DIV/0!</v>
      </c>
      <c r="L98" s="459"/>
      <c r="M98" s="221" t="e">
        <f>RANK(K98, K$96:$K$113)</f>
        <v>#DIV/0!</v>
      </c>
      <c r="N98" s="450"/>
      <c r="O98" s="450"/>
      <c r="P98" s="221"/>
      <c r="Q98" s="221"/>
      <c r="R98" s="222" t="e">
        <f t="shared" si="106"/>
        <v>#DIV/0!</v>
      </c>
      <c r="S98" s="220" t="e">
        <f t="shared" si="107"/>
        <v>#DIV/0!</v>
      </c>
      <c r="T98" s="459"/>
      <c r="U98" s="221"/>
      <c r="V98" s="221"/>
      <c r="W98" s="222" t="e">
        <f t="shared" si="108"/>
        <v>#DIV/0!</v>
      </c>
      <c r="X98" s="220" t="e">
        <f t="shared" si="109"/>
        <v>#DIV/0!</v>
      </c>
      <c r="Y98" s="459"/>
      <c r="Z98" s="221"/>
      <c r="AA98" s="221"/>
      <c r="AB98" s="222" t="e">
        <f>AA98/Z98</f>
        <v>#DIV/0!</v>
      </c>
      <c r="AC98" s="220" t="e">
        <f t="shared" si="111"/>
        <v>#DIV/0!</v>
      </c>
      <c r="AD98" s="459"/>
      <c r="AE98" s="221"/>
      <c r="AF98" s="221"/>
      <c r="AG98" s="222" t="e">
        <f t="shared" si="112"/>
        <v>#DIV/0!</v>
      </c>
      <c r="AH98" s="220" t="e">
        <f t="shared" si="113"/>
        <v>#DIV/0!</v>
      </c>
      <c r="AI98" s="459"/>
      <c r="AJ98" s="221"/>
      <c r="AK98" s="221"/>
      <c r="AL98" s="222" t="e">
        <f t="shared" si="114"/>
        <v>#DIV/0!</v>
      </c>
      <c r="AM98" s="220" t="e">
        <f t="shared" si="115"/>
        <v>#DIV/0!</v>
      </c>
      <c r="AN98" s="459"/>
      <c r="AO98" s="220"/>
      <c r="AP98" s="220"/>
      <c r="AQ98" s="222" t="e">
        <f t="shared" si="116"/>
        <v>#DIV/0!</v>
      </c>
      <c r="AR98" s="220" t="e">
        <f t="shared" si="117"/>
        <v>#DIV/0!</v>
      </c>
      <c r="AS98" s="459"/>
      <c r="AT98" s="220"/>
      <c r="AU98" s="220"/>
      <c r="AV98" s="222" t="e">
        <f t="shared" si="118"/>
        <v>#DIV/0!</v>
      </c>
      <c r="AW98" s="220" t="e">
        <f t="shared" si="119"/>
        <v>#DIV/0!</v>
      </c>
      <c r="AX98" s="459"/>
    </row>
    <row r="99" spans="1:50">
      <c r="A99" s="212">
        <v>18</v>
      </c>
      <c r="B99" s="466"/>
      <c r="C99" s="220">
        <v>4</v>
      </c>
      <c r="D99" s="220" t="s">
        <v>182</v>
      </c>
      <c r="E99" s="221">
        <f>VLOOKUP(D99,'11產線配置圖'!$A$2:$C$25,2,0)</f>
        <v>18</v>
      </c>
      <c r="F99" s="221">
        <f>VLOOKUP(D99,'11產線配置圖'!$A$2:$C$25,3,0)</f>
        <v>1565</v>
      </c>
      <c r="G99" s="222">
        <f t="shared" si="102"/>
        <v>86.944444444444443</v>
      </c>
      <c r="H99" s="459"/>
      <c r="I99" s="221" t="e">
        <f t="shared" si="103"/>
        <v>#DIV/0!</v>
      </c>
      <c r="J99" s="221" t="e">
        <f t="shared" si="104"/>
        <v>#DIV/0!</v>
      </c>
      <c r="K99" s="222" t="e">
        <f t="shared" si="105"/>
        <v>#DIV/0!</v>
      </c>
      <c r="L99" s="459"/>
      <c r="M99" s="221" t="e">
        <f>RANK(K99, K$96:$K$113)</f>
        <v>#DIV/0!</v>
      </c>
      <c r="N99" s="450"/>
      <c r="O99" s="450"/>
      <c r="P99" s="221"/>
      <c r="Q99" s="221"/>
      <c r="R99" s="222" t="e">
        <f t="shared" si="106"/>
        <v>#DIV/0!</v>
      </c>
      <c r="S99" s="220" t="e">
        <f t="shared" si="107"/>
        <v>#DIV/0!</v>
      </c>
      <c r="T99" s="459"/>
      <c r="U99" s="221"/>
      <c r="V99" s="221"/>
      <c r="W99" s="222" t="e">
        <f t="shared" si="108"/>
        <v>#DIV/0!</v>
      </c>
      <c r="X99" s="220" t="e">
        <f t="shared" si="109"/>
        <v>#DIV/0!</v>
      </c>
      <c r="Y99" s="459"/>
      <c r="Z99" s="221"/>
      <c r="AA99" s="221"/>
      <c r="AB99" s="222" t="e">
        <f t="shared" si="110"/>
        <v>#DIV/0!</v>
      </c>
      <c r="AC99" s="220" t="e">
        <f t="shared" si="111"/>
        <v>#DIV/0!</v>
      </c>
      <c r="AD99" s="459"/>
      <c r="AE99" s="221"/>
      <c r="AF99" s="221"/>
      <c r="AG99" s="222" t="e">
        <f t="shared" si="112"/>
        <v>#DIV/0!</v>
      </c>
      <c r="AH99" s="220" t="e">
        <f t="shared" si="113"/>
        <v>#DIV/0!</v>
      </c>
      <c r="AI99" s="459"/>
      <c r="AJ99" s="221"/>
      <c r="AK99" s="221"/>
      <c r="AL99" s="222" t="e">
        <f t="shared" si="114"/>
        <v>#DIV/0!</v>
      </c>
      <c r="AM99" s="220" t="e">
        <f t="shared" si="115"/>
        <v>#DIV/0!</v>
      </c>
      <c r="AN99" s="459"/>
      <c r="AO99" s="220"/>
      <c r="AP99" s="220"/>
      <c r="AQ99" s="222" t="e">
        <f t="shared" si="116"/>
        <v>#DIV/0!</v>
      </c>
      <c r="AR99" s="220" t="e">
        <f t="shared" si="117"/>
        <v>#DIV/0!</v>
      </c>
      <c r="AS99" s="459"/>
      <c r="AT99" s="220"/>
      <c r="AU99" s="220"/>
      <c r="AV99" s="222" t="e">
        <f t="shared" si="118"/>
        <v>#DIV/0!</v>
      </c>
      <c r="AW99" s="220" t="e">
        <f t="shared" si="119"/>
        <v>#DIV/0!</v>
      </c>
      <c r="AX99" s="459"/>
    </row>
    <row r="100" spans="1:50">
      <c r="B100" s="466"/>
      <c r="C100" s="220">
        <v>5</v>
      </c>
      <c r="D100" s="220" t="s">
        <v>74</v>
      </c>
      <c r="E100" s="221">
        <f>VLOOKUP(D100,'11產線配置圖'!$A$2:$C$25,2,0)</f>
        <v>13</v>
      </c>
      <c r="F100" s="221">
        <f>VLOOKUP(D100,'11產線配置圖'!$A$2:$C$25,3,0)</f>
        <v>2000</v>
      </c>
      <c r="G100" s="222">
        <f t="shared" si="102"/>
        <v>153.84615384615384</v>
      </c>
      <c r="H100" s="459"/>
      <c r="I100" s="221" t="e">
        <f t="shared" si="103"/>
        <v>#DIV/0!</v>
      </c>
      <c r="J100" s="221" t="e">
        <f t="shared" si="104"/>
        <v>#DIV/0!</v>
      </c>
      <c r="K100" s="222" t="e">
        <f t="shared" si="105"/>
        <v>#DIV/0!</v>
      </c>
      <c r="L100" s="459"/>
      <c r="M100" s="221" t="e">
        <f>RANK(K100, K$96:$K$113)</f>
        <v>#DIV/0!</v>
      </c>
      <c r="N100" s="450"/>
      <c r="O100" s="450"/>
      <c r="P100" s="221"/>
      <c r="Q100" s="221"/>
      <c r="R100" s="222" t="e">
        <f t="shared" si="106"/>
        <v>#DIV/0!</v>
      </c>
      <c r="S100" s="220" t="e">
        <f t="shared" si="107"/>
        <v>#DIV/0!</v>
      </c>
      <c r="T100" s="459"/>
      <c r="U100" s="221"/>
      <c r="V100" s="221"/>
      <c r="W100" s="222" t="e">
        <f t="shared" si="108"/>
        <v>#DIV/0!</v>
      </c>
      <c r="X100" s="220" t="e">
        <f t="shared" si="109"/>
        <v>#DIV/0!</v>
      </c>
      <c r="Y100" s="459"/>
      <c r="Z100" s="221"/>
      <c r="AA100" s="221"/>
      <c r="AB100" s="222" t="e">
        <f t="shared" si="110"/>
        <v>#DIV/0!</v>
      </c>
      <c r="AC100" s="220" t="e">
        <f t="shared" si="111"/>
        <v>#DIV/0!</v>
      </c>
      <c r="AD100" s="459"/>
      <c r="AE100" s="221"/>
      <c r="AF100" s="221"/>
      <c r="AG100" s="222" t="e">
        <f t="shared" si="112"/>
        <v>#DIV/0!</v>
      </c>
      <c r="AH100" s="220" t="e">
        <f t="shared" si="113"/>
        <v>#DIV/0!</v>
      </c>
      <c r="AI100" s="459"/>
      <c r="AJ100" s="221"/>
      <c r="AK100" s="221"/>
      <c r="AL100" s="222" t="e">
        <f t="shared" si="114"/>
        <v>#DIV/0!</v>
      </c>
      <c r="AM100" s="220" t="e">
        <f t="shared" si="115"/>
        <v>#DIV/0!</v>
      </c>
      <c r="AN100" s="459"/>
      <c r="AO100" s="220"/>
      <c r="AP100" s="220"/>
      <c r="AQ100" s="222" t="e">
        <f t="shared" si="116"/>
        <v>#DIV/0!</v>
      </c>
      <c r="AR100" s="220" t="e">
        <f t="shared" si="117"/>
        <v>#DIV/0!</v>
      </c>
      <c r="AS100" s="459"/>
      <c r="AT100" s="220"/>
      <c r="AU100" s="220"/>
      <c r="AV100" s="222" t="e">
        <f t="shared" si="118"/>
        <v>#DIV/0!</v>
      </c>
      <c r="AW100" s="220" t="e">
        <f t="shared" si="119"/>
        <v>#DIV/0!</v>
      </c>
      <c r="AX100" s="459"/>
    </row>
    <row r="101" spans="1:50">
      <c r="B101" s="466"/>
      <c r="C101" s="220">
        <v>6</v>
      </c>
      <c r="D101" s="220" t="s">
        <v>77</v>
      </c>
      <c r="E101" s="221">
        <f>VLOOKUP(D101,'11產線配置圖'!$A$2:$C$25,2,0)</f>
        <v>14</v>
      </c>
      <c r="F101" s="221">
        <f>VLOOKUP(D101,'11產線配置圖'!$A$2:$C$25,3,0)</f>
        <v>1895</v>
      </c>
      <c r="G101" s="222">
        <f t="shared" si="102"/>
        <v>135.35714285714286</v>
      </c>
      <c r="H101" s="459"/>
      <c r="I101" s="221" t="e">
        <f t="shared" si="103"/>
        <v>#DIV/0!</v>
      </c>
      <c r="J101" s="221" t="e">
        <f t="shared" si="104"/>
        <v>#DIV/0!</v>
      </c>
      <c r="K101" s="222" t="e">
        <f t="shared" si="105"/>
        <v>#DIV/0!</v>
      </c>
      <c r="L101" s="459"/>
      <c r="M101" s="221" t="e">
        <f>RANK(K101, K$96:$K$113)</f>
        <v>#DIV/0!</v>
      </c>
      <c r="N101" s="450"/>
      <c r="O101" s="450"/>
      <c r="P101" s="221"/>
      <c r="Q101" s="221"/>
      <c r="R101" s="222" t="e">
        <f t="shared" si="106"/>
        <v>#DIV/0!</v>
      </c>
      <c r="S101" s="220" t="e">
        <f t="shared" si="107"/>
        <v>#DIV/0!</v>
      </c>
      <c r="T101" s="459"/>
      <c r="U101" s="221"/>
      <c r="V101" s="221"/>
      <c r="W101" s="222" t="e">
        <f t="shared" si="108"/>
        <v>#DIV/0!</v>
      </c>
      <c r="X101" s="220" t="e">
        <f t="shared" si="109"/>
        <v>#DIV/0!</v>
      </c>
      <c r="Y101" s="459"/>
      <c r="Z101" s="221"/>
      <c r="AA101" s="221"/>
      <c r="AB101" s="222" t="e">
        <f t="shared" si="110"/>
        <v>#DIV/0!</v>
      </c>
      <c r="AC101" s="220" t="e">
        <f t="shared" si="111"/>
        <v>#DIV/0!</v>
      </c>
      <c r="AD101" s="459"/>
      <c r="AE101" s="221"/>
      <c r="AF101" s="221"/>
      <c r="AG101" s="222" t="e">
        <f t="shared" si="112"/>
        <v>#DIV/0!</v>
      </c>
      <c r="AH101" s="220" t="e">
        <f t="shared" si="113"/>
        <v>#DIV/0!</v>
      </c>
      <c r="AI101" s="459"/>
      <c r="AJ101" s="221"/>
      <c r="AK101" s="221"/>
      <c r="AL101" s="222" t="e">
        <f t="shared" si="114"/>
        <v>#DIV/0!</v>
      </c>
      <c r="AM101" s="220" t="e">
        <f t="shared" si="115"/>
        <v>#DIV/0!</v>
      </c>
      <c r="AN101" s="459"/>
      <c r="AO101" s="220"/>
      <c r="AP101" s="220"/>
      <c r="AQ101" s="222" t="e">
        <f t="shared" si="116"/>
        <v>#DIV/0!</v>
      </c>
      <c r="AR101" s="220" t="e">
        <f t="shared" si="117"/>
        <v>#DIV/0!</v>
      </c>
      <c r="AS101" s="459"/>
      <c r="AT101" s="220"/>
      <c r="AU101" s="220"/>
      <c r="AV101" s="222" t="e">
        <f t="shared" si="118"/>
        <v>#DIV/0!</v>
      </c>
      <c r="AW101" s="220" t="e">
        <f t="shared" si="119"/>
        <v>#DIV/0!</v>
      </c>
      <c r="AX101" s="459"/>
    </row>
    <row r="102" spans="1:50">
      <c r="B102" s="466"/>
      <c r="C102" s="220">
        <v>7</v>
      </c>
      <c r="D102" s="220" t="s">
        <v>81</v>
      </c>
      <c r="E102" s="221">
        <f>VLOOKUP(D102,'11產線配置圖'!$A$2:$C$25,2,0)</f>
        <v>17</v>
      </c>
      <c r="F102" s="221">
        <f>VLOOKUP(D102,'11產線配置圖'!$A$2:$C$25,3,0)</f>
        <v>1385</v>
      </c>
      <c r="G102" s="222">
        <f t="shared" si="102"/>
        <v>81.470588235294116</v>
      </c>
      <c r="H102" s="459"/>
      <c r="I102" s="221" t="e">
        <f t="shared" si="103"/>
        <v>#DIV/0!</v>
      </c>
      <c r="J102" s="221" t="e">
        <f t="shared" si="104"/>
        <v>#DIV/0!</v>
      </c>
      <c r="K102" s="222"/>
      <c r="L102" s="459"/>
      <c r="M102" s="221"/>
      <c r="N102" s="450"/>
      <c r="O102" s="450"/>
      <c r="P102" s="221"/>
      <c r="Q102" s="221"/>
      <c r="R102" s="222" t="e">
        <f t="shared" si="106"/>
        <v>#DIV/0!</v>
      </c>
      <c r="S102" s="220" t="e">
        <f t="shared" si="107"/>
        <v>#DIV/0!</v>
      </c>
      <c r="T102" s="459"/>
      <c r="U102" s="221"/>
      <c r="V102" s="221"/>
      <c r="W102" s="222" t="e">
        <f t="shared" si="108"/>
        <v>#DIV/0!</v>
      </c>
      <c r="X102" s="220" t="e">
        <f t="shared" si="109"/>
        <v>#DIV/0!</v>
      </c>
      <c r="Y102" s="459"/>
      <c r="Z102" s="221"/>
      <c r="AA102" s="221"/>
      <c r="AB102" s="222"/>
      <c r="AC102" s="220"/>
      <c r="AD102" s="459"/>
      <c r="AE102" s="221"/>
      <c r="AF102" s="221"/>
      <c r="AG102" s="222"/>
      <c r="AH102" s="220"/>
      <c r="AI102" s="459"/>
      <c r="AJ102" s="221"/>
      <c r="AK102" s="221"/>
      <c r="AL102" s="222"/>
      <c r="AM102" s="220"/>
      <c r="AN102" s="459"/>
      <c r="AO102" s="220"/>
      <c r="AP102" s="220"/>
      <c r="AQ102" s="222"/>
      <c r="AR102" s="220"/>
      <c r="AS102" s="459"/>
      <c r="AT102" s="220"/>
      <c r="AU102" s="220"/>
      <c r="AV102" s="222"/>
      <c r="AW102" s="220"/>
      <c r="AX102" s="459"/>
    </row>
    <row r="103" spans="1:50">
      <c r="B103" s="466"/>
      <c r="C103" s="220">
        <v>8</v>
      </c>
      <c r="D103" s="220" t="s">
        <v>83</v>
      </c>
      <c r="E103" s="221">
        <f>VLOOKUP(D103,'11產線配置圖'!$A$2:$C$25,2,0)</f>
        <v>18</v>
      </c>
      <c r="F103" s="221">
        <f>VLOOKUP(D103,'11產線配置圖'!$A$2:$C$25,3,0)</f>
        <v>1385</v>
      </c>
      <c r="G103" s="222">
        <f t="shared" si="102"/>
        <v>76.944444444444443</v>
      </c>
      <c r="H103" s="459"/>
      <c r="I103" s="221" t="e">
        <f t="shared" si="103"/>
        <v>#DIV/0!</v>
      </c>
      <c r="J103" s="221" t="e">
        <f t="shared" si="104"/>
        <v>#DIV/0!</v>
      </c>
      <c r="K103" s="222" t="e">
        <f t="shared" si="105"/>
        <v>#DIV/0!</v>
      </c>
      <c r="L103" s="459"/>
      <c r="M103" s="221" t="e">
        <f>RANK(K103, K$96:$K$113)</f>
        <v>#DIV/0!</v>
      </c>
      <c r="N103" s="450"/>
      <c r="O103" s="450"/>
      <c r="P103" s="221"/>
      <c r="Q103" s="221"/>
      <c r="R103" s="222" t="e">
        <f t="shared" si="106"/>
        <v>#DIV/0!</v>
      </c>
      <c r="S103" s="220" t="e">
        <f t="shared" si="107"/>
        <v>#DIV/0!</v>
      </c>
      <c r="T103" s="459"/>
      <c r="U103" s="221"/>
      <c r="V103" s="221"/>
      <c r="W103" s="222" t="e">
        <f t="shared" si="108"/>
        <v>#DIV/0!</v>
      </c>
      <c r="X103" s="220" t="e">
        <f t="shared" si="109"/>
        <v>#DIV/0!</v>
      </c>
      <c r="Y103" s="459"/>
      <c r="Z103" s="221"/>
      <c r="AA103" s="221"/>
      <c r="AB103" s="222" t="e">
        <f t="shared" si="110"/>
        <v>#DIV/0!</v>
      </c>
      <c r="AC103" s="220" t="e">
        <f t="shared" si="111"/>
        <v>#DIV/0!</v>
      </c>
      <c r="AD103" s="459"/>
      <c r="AE103" s="221"/>
      <c r="AF103" s="221"/>
      <c r="AG103" s="222" t="e">
        <f t="shared" si="112"/>
        <v>#DIV/0!</v>
      </c>
      <c r="AH103" s="220" t="e">
        <f t="shared" si="113"/>
        <v>#DIV/0!</v>
      </c>
      <c r="AI103" s="459"/>
      <c r="AJ103" s="221"/>
      <c r="AK103" s="221"/>
      <c r="AL103" s="222" t="e">
        <f t="shared" si="114"/>
        <v>#DIV/0!</v>
      </c>
      <c r="AM103" s="220" t="e">
        <f t="shared" si="115"/>
        <v>#DIV/0!</v>
      </c>
      <c r="AN103" s="459"/>
      <c r="AO103" s="220"/>
      <c r="AP103" s="220"/>
      <c r="AQ103" s="222" t="e">
        <f t="shared" si="116"/>
        <v>#DIV/0!</v>
      </c>
      <c r="AR103" s="220" t="e">
        <f t="shared" si="117"/>
        <v>#DIV/0!</v>
      </c>
      <c r="AS103" s="459"/>
      <c r="AT103" s="220"/>
      <c r="AU103" s="220"/>
      <c r="AV103" s="222" t="e">
        <f t="shared" si="118"/>
        <v>#DIV/0!</v>
      </c>
      <c r="AW103" s="220" t="e">
        <f t="shared" si="119"/>
        <v>#DIV/0!</v>
      </c>
      <c r="AX103" s="459"/>
    </row>
    <row r="104" spans="1:50">
      <c r="B104" s="466"/>
      <c r="C104" s="220">
        <v>9</v>
      </c>
      <c r="D104" s="220" t="s">
        <v>87</v>
      </c>
      <c r="E104" s="221">
        <f>VLOOKUP(D104,'11產線配置圖'!$A$2:$C$25,2,0)</f>
        <v>17</v>
      </c>
      <c r="F104" s="221">
        <f>VLOOKUP(D104,'11產線配置圖'!$A$2:$C$25,3,0)</f>
        <v>1565</v>
      </c>
      <c r="G104" s="222">
        <f t="shared" si="102"/>
        <v>92.058823529411768</v>
      </c>
      <c r="H104" s="459"/>
      <c r="I104" s="221" t="e">
        <f t="shared" si="103"/>
        <v>#DIV/0!</v>
      </c>
      <c r="J104" s="221" t="e">
        <f t="shared" si="104"/>
        <v>#DIV/0!</v>
      </c>
      <c r="K104" s="222" t="e">
        <f t="shared" si="105"/>
        <v>#DIV/0!</v>
      </c>
      <c r="L104" s="459"/>
      <c r="M104" s="221" t="e">
        <f>RANK(K104, K$96:$K$113)</f>
        <v>#DIV/0!</v>
      </c>
      <c r="N104" s="450"/>
      <c r="O104" s="450"/>
      <c r="P104" s="221"/>
      <c r="Q104" s="221"/>
      <c r="R104" s="222" t="e">
        <f t="shared" si="106"/>
        <v>#DIV/0!</v>
      </c>
      <c r="S104" s="220" t="e">
        <f t="shared" si="107"/>
        <v>#DIV/0!</v>
      </c>
      <c r="T104" s="459"/>
      <c r="U104" s="221"/>
      <c r="V104" s="221"/>
      <c r="W104" s="222" t="e">
        <f t="shared" si="108"/>
        <v>#DIV/0!</v>
      </c>
      <c r="X104" s="220" t="e">
        <f t="shared" si="109"/>
        <v>#DIV/0!</v>
      </c>
      <c r="Y104" s="459"/>
      <c r="Z104" s="221"/>
      <c r="AA104" s="221"/>
      <c r="AB104" s="222" t="e">
        <f t="shared" si="110"/>
        <v>#DIV/0!</v>
      </c>
      <c r="AC104" s="220" t="e">
        <f t="shared" si="111"/>
        <v>#DIV/0!</v>
      </c>
      <c r="AD104" s="459"/>
      <c r="AE104" s="221"/>
      <c r="AF104" s="221"/>
      <c r="AG104" s="222" t="e">
        <f t="shared" si="112"/>
        <v>#DIV/0!</v>
      </c>
      <c r="AH104" s="220" t="e">
        <f t="shared" si="113"/>
        <v>#DIV/0!</v>
      </c>
      <c r="AI104" s="459"/>
      <c r="AJ104" s="221"/>
      <c r="AK104" s="221"/>
      <c r="AL104" s="222" t="e">
        <f t="shared" si="114"/>
        <v>#DIV/0!</v>
      </c>
      <c r="AM104" s="220" t="e">
        <f t="shared" si="115"/>
        <v>#DIV/0!</v>
      </c>
      <c r="AN104" s="459"/>
      <c r="AO104" s="220"/>
      <c r="AP104" s="220"/>
      <c r="AQ104" s="222" t="e">
        <f t="shared" si="116"/>
        <v>#DIV/0!</v>
      </c>
      <c r="AR104" s="220" t="e">
        <f t="shared" si="117"/>
        <v>#DIV/0!</v>
      </c>
      <c r="AS104" s="459"/>
      <c r="AT104" s="220"/>
      <c r="AU104" s="220"/>
      <c r="AV104" s="222" t="e">
        <f t="shared" si="118"/>
        <v>#DIV/0!</v>
      </c>
      <c r="AW104" s="220" t="e">
        <f t="shared" si="119"/>
        <v>#DIV/0!</v>
      </c>
      <c r="AX104" s="459"/>
    </row>
    <row r="105" spans="1:50">
      <c r="B105" s="466"/>
      <c r="C105" s="220">
        <v>10</v>
      </c>
      <c r="D105" s="220" t="s">
        <v>359</v>
      </c>
      <c r="E105" s="221">
        <f>VLOOKUP(D105,'11產線配置圖'!$A$2:$C$25,2,0)</f>
        <v>17</v>
      </c>
      <c r="F105" s="221">
        <f>VLOOKUP(D105,'11產線配置圖'!$A$2:$C$25,3,0)</f>
        <v>1500</v>
      </c>
      <c r="G105" s="222">
        <f t="shared" si="102"/>
        <v>88.235294117647058</v>
      </c>
      <c r="H105" s="459"/>
      <c r="I105" s="221" t="e">
        <f t="shared" si="103"/>
        <v>#DIV/0!</v>
      </c>
      <c r="J105" s="221" t="e">
        <f t="shared" si="104"/>
        <v>#DIV/0!</v>
      </c>
      <c r="K105" s="222" t="e">
        <f t="shared" si="105"/>
        <v>#DIV/0!</v>
      </c>
      <c r="L105" s="459"/>
      <c r="M105" s="221" t="e">
        <f>RANK(K105, K$96:$K$113)</f>
        <v>#DIV/0!</v>
      </c>
      <c r="N105" s="450"/>
      <c r="O105" s="450"/>
      <c r="P105" s="221"/>
      <c r="Q105" s="221"/>
      <c r="R105" s="222" t="e">
        <f t="shared" si="106"/>
        <v>#DIV/0!</v>
      </c>
      <c r="S105" s="220" t="e">
        <f t="shared" si="107"/>
        <v>#DIV/0!</v>
      </c>
      <c r="T105" s="459"/>
      <c r="U105" s="221"/>
      <c r="V105" s="221"/>
      <c r="W105" s="222" t="e">
        <f t="shared" si="108"/>
        <v>#DIV/0!</v>
      </c>
      <c r="X105" s="220" t="e">
        <f t="shared" si="109"/>
        <v>#DIV/0!</v>
      </c>
      <c r="Y105" s="459"/>
      <c r="Z105" s="221"/>
      <c r="AA105" s="221"/>
      <c r="AB105" s="222" t="e">
        <f t="shared" si="110"/>
        <v>#DIV/0!</v>
      </c>
      <c r="AC105" s="220" t="e">
        <f t="shared" si="111"/>
        <v>#DIV/0!</v>
      </c>
      <c r="AD105" s="459"/>
      <c r="AE105" s="221"/>
      <c r="AF105" s="221"/>
      <c r="AG105" s="222" t="e">
        <f t="shared" si="112"/>
        <v>#DIV/0!</v>
      </c>
      <c r="AH105" s="220" t="e">
        <f t="shared" si="113"/>
        <v>#DIV/0!</v>
      </c>
      <c r="AI105" s="459"/>
      <c r="AJ105" s="221"/>
      <c r="AK105" s="221"/>
      <c r="AL105" s="222" t="e">
        <f t="shared" si="114"/>
        <v>#DIV/0!</v>
      </c>
      <c r="AM105" s="220" t="e">
        <f t="shared" si="115"/>
        <v>#DIV/0!</v>
      </c>
      <c r="AN105" s="459"/>
      <c r="AO105" s="220"/>
      <c r="AP105" s="220"/>
      <c r="AQ105" s="222" t="e">
        <f t="shared" si="116"/>
        <v>#DIV/0!</v>
      </c>
      <c r="AR105" s="220" t="e">
        <f t="shared" si="117"/>
        <v>#DIV/0!</v>
      </c>
      <c r="AS105" s="459"/>
      <c r="AT105" s="220"/>
      <c r="AU105" s="220"/>
      <c r="AV105" s="222"/>
      <c r="AW105" s="220"/>
      <c r="AX105" s="459"/>
    </row>
    <row r="106" spans="1:50">
      <c r="B106" s="466"/>
      <c r="C106" s="220">
        <v>11</v>
      </c>
      <c r="D106" s="220" t="s">
        <v>85</v>
      </c>
      <c r="E106" s="221">
        <f>VLOOKUP(D106,'11產線配置圖'!$A$2:$C$25,2,0)</f>
        <v>15</v>
      </c>
      <c r="F106" s="221">
        <f>VLOOKUP(D106,'11產線配置圖'!$A$2:$C$25,3,0)</f>
        <v>1440</v>
      </c>
      <c r="G106" s="222">
        <f t="shared" ref="G106:G107" si="120">F106/E106</f>
        <v>96</v>
      </c>
      <c r="H106" s="459"/>
      <c r="I106" s="221" t="e">
        <f t="shared" si="103"/>
        <v>#DIV/0!</v>
      </c>
      <c r="J106" s="221" t="e">
        <f t="shared" si="104"/>
        <v>#DIV/0!</v>
      </c>
      <c r="K106" s="222" t="e">
        <f t="shared" si="105"/>
        <v>#DIV/0!</v>
      </c>
      <c r="L106" s="459"/>
      <c r="M106" s="221" t="e">
        <f>RANK(K106, K$96:$K$113)</f>
        <v>#DIV/0!</v>
      </c>
      <c r="N106" s="450"/>
      <c r="O106" s="450"/>
      <c r="P106" s="220"/>
      <c r="Q106" s="220"/>
      <c r="R106" s="222" t="e">
        <f t="shared" si="106"/>
        <v>#DIV/0!</v>
      </c>
      <c r="S106" s="220" t="e">
        <f t="shared" si="107"/>
        <v>#DIV/0!</v>
      </c>
      <c r="T106" s="459"/>
      <c r="U106" s="220"/>
      <c r="V106" s="220"/>
      <c r="W106" s="222" t="e">
        <f t="shared" si="108"/>
        <v>#DIV/0!</v>
      </c>
      <c r="X106" s="220" t="e">
        <f t="shared" si="109"/>
        <v>#DIV/0!</v>
      </c>
      <c r="Y106" s="459"/>
      <c r="Z106" s="220"/>
      <c r="AA106" s="220"/>
      <c r="AB106" s="222" t="e">
        <f t="shared" si="110"/>
        <v>#DIV/0!</v>
      </c>
      <c r="AC106" s="220" t="e">
        <f t="shared" si="111"/>
        <v>#DIV/0!</v>
      </c>
      <c r="AD106" s="459"/>
      <c r="AE106" s="220"/>
      <c r="AF106" s="220"/>
      <c r="AG106" s="222" t="e">
        <f t="shared" si="112"/>
        <v>#DIV/0!</v>
      </c>
      <c r="AH106" s="220" t="e">
        <f t="shared" si="113"/>
        <v>#DIV/0!</v>
      </c>
      <c r="AI106" s="459"/>
      <c r="AJ106" s="220"/>
      <c r="AK106" s="220"/>
      <c r="AL106" s="222" t="e">
        <f t="shared" si="114"/>
        <v>#DIV/0!</v>
      </c>
      <c r="AM106" s="220" t="e">
        <f t="shared" si="115"/>
        <v>#DIV/0!</v>
      </c>
      <c r="AN106" s="459"/>
      <c r="AO106" s="220"/>
      <c r="AP106" s="220"/>
      <c r="AQ106" s="222" t="e">
        <f>AP106/AO106</f>
        <v>#DIV/0!</v>
      </c>
      <c r="AR106" s="220" t="e">
        <f t="shared" si="117"/>
        <v>#DIV/0!</v>
      </c>
      <c r="AS106" s="459"/>
      <c r="AT106" s="220"/>
      <c r="AU106" s="220"/>
      <c r="AV106" s="222" t="e">
        <f>AU106/AT106</f>
        <v>#DIV/0!</v>
      </c>
      <c r="AW106" s="220" t="e">
        <f t="shared" si="119"/>
        <v>#DIV/0!</v>
      </c>
      <c r="AX106" s="459"/>
    </row>
    <row r="107" spans="1:50">
      <c r="B107" s="466"/>
      <c r="C107" s="220">
        <v>12</v>
      </c>
      <c r="D107" s="220" t="s">
        <v>89</v>
      </c>
      <c r="E107" s="221">
        <f>VLOOKUP(D107,'11產線配置圖'!$A$2:$C$25,2,0)</f>
        <v>16</v>
      </c>
      <c r="F107" s="221">
        <f>VLOOKUP(D107,'11產線配置圖'!$A$2:$C$25,3,0)</f>
        <v>1385</v>
      </c>
      <c r="G107" s="222">
        <f t="shared" si="120"/>
        <v>86.5625</v>
      </c>
      <c r="H107" s="459"/>
      <c r="I107" s="221" t="e">
        <f>AVERAGE(P107,U107,Z107,AE107,AJ107,AO107,AT107)</f>
        <v>#DIV/0!</v>
      </c>
      <c r="J107" s="221" t="e">
        <f>AVERAGE(Q107,V107,AA107,AF107,AK107,AP107,AU107)</f>
        <v>#DIV/0!</v>
      </c>
      <c r="K107" s="222" t="e">
        <f t="shared" si="105"/>
        <v>#DIV/0!</v>
      </c>
      <c r="L107" s="459"/>
      <c r="M107" s="221" t="e">
        <f>RANK(K107, K$96:$K$113)</f>
        <v>#DIV/0!</v>
      </c>
      <c r="N107" s="450"/>
      <c r="O107" s="450"/>
      <c r="P107" s="220"/>
      <c r="Q107" s="220"/>
      <c r="R107" s="222" t="e">
        <f>Q107/P107</f>
        <v>#DIV/0!</v>
      </c>
      <c r="S107" s="220" t="e">
        <f>RANK(R107,$R$96:$R$113)</f>
        <v>#DIV/0!</v>
      </c>
      <c r="T107" s="459"/>
      <c r="U107" s="220"/>
      <c r="V107" s="220"/>
      <c r="W107" s="222" t="e">
        <f>V107/U107</f>
        <v>#DIV/0!</v>
      </c>
      <c r="X107" s="220" t="e">
        <f>RANK(W107,$W$96:$W$113)</f>
        <v>#DIV/0!</v>
      </c>
      <c r="Y107" s="459"/>
      <c r="Z107" s="220"/>
      <c r="AA107" s="220"/>
      <c r="AB107" s="222" t="e">
        <f>AA107/Z107</f>
        <v>#DIV/0!</v>
      </c>
      <c r="AC107" s="220" t="e">
        <f>RANK(AB107, $AB$96:$AB$113)</f>
        <v>#DIV/0!</v>
      </c>
      <c r="AD107" s="459"/>
      <c r="AE107" s="220"/>
      <c r="AF107" s="220"/>
      <c r="AG107" s="222" t="e">
        <f>AF107/AE107</f>
        <v>#DIV/0!</v>
      </c>
      <c r="AH107" s="220" t="e">
        <f>RANK(AG107,$AG$96:$AG$113)</f>
        <v>#DIV/0!</v>
      </c>
      <c r="AI107" s="459"/>
      <c r="AJ107" s="220"/>
      <c r="AK107" s="220"/>
      <c r="AL107" s="222" t="e">
        <f>AK107/AJ107</f>
        <v>#DIV/0!</v>
      </c>
      <c r="AM107" s="220" t="e">
        <f>RANK(AL107,$AL$96:$AL$113)</f>
        <v>#DIV/0!</v>
      </c>
      <c r="AN107" s="459"/>
      <c r="AO107" s="220"/>
      <c r="AP107" s="220"/>
      <c r="AQ107" s="222" t="e">
        <f t="shared" ref="AQ107:AQ112" si="121">AP107/AO107</f>
        <v>#DIV/0!</v>
      </c>
      <c r="AR107" s="220" t="e">
        <f t="shared" si="117"/>
        <v>#DIV/0!</v>
      </c>
      <c r="AS107" s="459"/>
      <c r="AT107" s="220"/>
      <c r="AU107" s="220"/>
      <c r="AV107" s="222" t="e">
        <f t="shared" ref="AV107:AV112" si="122">AU107/AT107</f>
        <v>#DIV/0!</v>
      </c>
      <c r="AW107" s="220" t="e">
        <f t="shared" si="119"/>
        <v>#DIV/0!</v>
      </c>
      <c r="AX107" s="459"/>
    </row>
    <row r="108" spans="1:50">
      <c r="B108" s="466"/>
      <c r="C108" s="220">
        <v>13</v>
      </c>
      <c r="D108" s="220"/>
      <c r="E108" s="221" t="e">
        <f>VLOOKUP(D108,'11產線配置圖'!$A$2:$C$25,2,0)</f>
        <v>#N/A</v>
      </c>
      <c r="F108" s="221" t="e">
        <f>VLOOKUP(D108,'11產線配置圖'!$A$2:$C$25,3,0)</f>
        <v>#N/A</v>
      </c>
      <c r="G108" s="222" t="e">
        <f>F108/E108</f>
        <v>#N/A</v>
      </c>
      <c r="H108" s="459"/>
      <c r="I108" s="221" t="e">
        <f t="shared" si="103"/>
        <v>#DIV/0!</v>
      </c>
      <c r="J108" s="221" t="e">
        <f t="shared" si="104"/>
        <v>#DIV/0!</v>
      </c>
      <c r="K108" s="222" t="e">
        <f t="shared" si="105"/>
        <v>#DIV/0!</v>
      </c>
      <c r="L108" s="459"/>
      <c r="M108" s="221" t="e">
        <f>RANK(K108, K$96:$K$113)</f>
        <v>#DIV/0!</v>
      </c>
      <c r="N108" s="450"/>
      <c r="O108" s="450"/>
      <c r="P108" s="220"/>
      <c r="Q108" s="220"/>
      <c r="R108" s="222"/>
      <c r="S108" s="220"/>
      <c r="T108" s="459"/>
      <c r="U108" s="220"/>
      <c r="V108" s="220"/>
      <c r="W108" s="222"/>
      <c r="X108" s="220"/>
      <c r="Y108" s="459"/>
      <c r="Z108" s="220"/>
      <c r="AA108" s="220"/>
      <c r="AB108" s="222" t="e">
        <f t="shared" si="110"/>
        <v>#DIV/0!</v>
      </c>
      <c r="AC108" s="220" t="e">
        <f t="shared" si="111"/>
        <v>#DIV/0!</v>
      </c>
      <c r="AD108" s="459"/>
      <c r="AE108" s="220"/>
      <c r="AF108" s="220"/>
      <c r="AG108" s="222" t="e">
        <f t="shared" si="112"/>
        <v>#DIV/0!</v>
      </c>
      <c r="AH108" s="220" t="e">
        <f t="shared" si="113"/>
        <v>#DIV/0!</v>
      </c>
      <c r="AI108" s="459"/>
      <c r="AJ108" s="220"/>
      <c r="AK108" s="220"/>
      <c r="AL108" s="222" t="e">
        <f t="shared" si="114"/>
        <v>#DIV/0!</v>
      </c>
      <c r="AM108" s="220" t="e">
        <f t="shared" si="115"/>
        <v>#DIV/0!</v>
      </c>
      <c r="AN108" s="459"/>
      <c r="AO108" s="220"/>
      <c r="AP108" s="220"/>
      <c r="AQ108" s="222" t="e">
        <f t="shared" si="121"/>
        <v>#DIV/0!</v>
      </c>
      <c r="AR108" s="220" t="e">
        <f t="shared" si="117"/>
        <v>#DIV/0!</v>
      </c>
      <c r="AS108" s="459"/>
      <c r="AT108" s="220"/>
      <c r="AU108" s="220"/>
      <c r="AV108" s="222" t="e">
        <f t="shared" si="122"/>
        <v>#DIV/0!</v>
      </c>
      <c r="AW108" s="220" t="e">
        <f t="shared" si="119"/>
        <v>#DIV/0!</v>
      </c>
      <c r="AX108" s="459"/>
    </row>
    <row r="109" spans="1:50">
      <c r="B109" s="466"/>
      <c r="C109" s="220">
        <v>14</v>
      </c>
      <c r="D109" s="220"/>
      <c r="E109" s="221"/>
      <c r="F109" s="221"/>
      <c r="G109" s="222"/>
      <c r="H109" s="459"/>
      <c r="I109" s="221" t="e">
        <f t="shared" si="103"/>
        <v>#DIV/0!</v>
      </c>
      <c r="J109" s="221" t="e">
        <f t="shared" si="104"/>
        <v>#DIV/0!</v>
      </c>
      <c r="K109" s="222" t="e">
        <f t="shared" si="105"/>
        <v>#DIV/0!</v>
      </c>
      <c r="L109" s="459"/>
      <c r="M109" s="221" t="e">
        <f>RANK(K109, K$96:$K$113)</f>
        <v>#DIV/0!</v>
      </c>
      <c r="N109" s="450"/>
      <c r="O109" s="450"/>
      <c r="P109" s="220"/>
      <c r="Q109" s="220"/>
      <c r="R109" s="222"/>
      <c r="S109" s="220"/>
      <c r="T109" s="459"/>
      <c r="U109" s="220"/>
      <c r="V109" s="220"/>
      <c r="W109" s="222"/>
      <c r="X109" s="220"/>
      <c r="Y109" s="459"/>
      <c r="Z109" s="220"/>
      <c r="AA109" s="220"/>
      <c r="AB109" s="222" t="e">
        <f t="shared" si="110"/>
        <v>#DIV/0!</v>
      </c>
      <c r="AC109" s="220" t="e">
        <f t="shared" si="111"/>
        <v>#DIV/0!</v>
      </c>
      <c r="AD109" s="459"/>
      <c r="AE109" s="220"/>
      <c r="AF109" s="220"/>
      <c r="AG109" s="222" t="e">
        <f t="shared" si="112"/>
        <v>#DIV/0!</v>
      </c>
      <c r="AH109" s="220" t="e">
        <f t="shared" si="113"/>
        <v>#DIV/0!</v>
      </c>
      <c r="AI109" s="459"/>
      <c r="AJ109" s="220"/>
      <c r="AK109" s="220"/>
      <c r="AL109" s="222" t="e">
        <f t="shared" si="114"/>
        <v>#DIV/0!</v>
      </c>
      <c r="AM109" s="220" t="e">
        <f t="shared" si="115"/>
        <v>#DIV/0!</v>
      </c>
      <c r="AN109" s="459"/>
      <c r="AO109" s="220"/>
      <c r="AP109" s="220"/>
      <c r="AQ109" s="222" t="e">
        <f t="shared" si="121"/>
        <v>#DIV/0!</v>
      </c>
      <c r="AR109" s="220" t="e">
        <f t="shared" si="117"/>
        <v>#DIV/0!</v>
      </c>
      <c r="AS109" s="459"/>
      <c r="AT109" s="220"/>
      <c r="AU109" s="220"/>
      <c r="AV109" s="222" t="e">
        <f t="shared" si="122"/>
        <v>#DIV/0!</v>
      </c>
      <c r="AW109" s="220" t="e">
        <f t="shared" si="119"/>
        <v>#DIV/0!</v>
      </c>
      <c r="AX109" s="459"/>
    </row>
    <row r="110" spans="1:50">
      <c r="B110" s="466"/>
      <c r="C110" s="220">
        <v>15</v>
      </c>
      <c r="D110" s="220"/>
      <c r="E110" s="221"/>
      <c r="F110" s="221"/>
      <c r="G110" s="222"/>
      <c r="H110" s="459"/>
      <c r="I110" s="221" t="e">
        <f t="shared" si="103"/>
        <v>#DIV/0!</v>
      </c>
      <c r="J110" s="221" t="e">
        <f t="shared" si="104"/>
        <v>#DIV/0!</v>
      </c>
      <c r="K110" s="222" t="e">
        <f t="shared" si="105"/>
        <v>#DIV/0!</v>
      </c>
      <c r="L110" s="459"/>
      <c r="M110" s="221" t="e">
        <f>RANK(K110, K$96:$K$113)</f>
        <v>#DIV/0!</v>
      </c>
      <c r="N110" s="450"/>
      <c r="O110" s="450"/>
      <c r="P110" s="220"/>
      <c r="Q110" s="220"/>
      <c r="R110" s="222"/>
      <c r="S110" s="220"/>
      <c r="T110" s="459"/>
      <c r="U110" s="220"/>
      <c r="V110" s="220"/>
      <c r="W110" s="222"/>
      <c r="X110" s="220"/>
      <c r="Y110" s="459"/>
      <c r="Z110" s="220"/>
      <c r="AA110" s="220"/>
      <c r="AB110" s="222" t="e">
        <f t="shared" si="110"/>
        <v>#DIV/0!</v>
      </c>
      <c r="AC110" s="220" t="e">
        <f t="shared" si="111"/>
        <v>#DIV/0!</v>
      </c>
      <c r="AD110" s="459"/>
      <c r="AE110" s="220"/>
      <c r="AF110" s="220"/>
      <c r="AG110" s="222" t="e">
        <f t="shared" si="112"/>
        <v>#DIV/0!</v>
      </c>
      <c r="AH110" s="220" t="e">
        <f t="shared" si="113"/>
        <v>#DIV/0!</v>
      </c>
      <c r="AI110" s="459"/>
      <c r="AJ110" s="220"/>
      <c r="AK110" s="220"/>
      <c r="AL110" s="222" t="e">
        <f t="shared" si="114"/>
        <v>#DIV/0!</v>
      </c>
      <c r="AM110" s="220" t="e">
        <f t="shared" si="115"/>
        <v>#DIV/0!</v>
      </c>
      <c r="AN110" s="459"/>
      <c r="AO110" s="220"/>
      <c r="AP110" s="220"/>
      <c r="AQ110" s="222" t="e">
        <f t="shared" si="121"/>
        <v>#DIV/0!</v>
      </c>
      <c r="AR110" s="220" t="e">
        <f t="shared" si="117"/>
        <v>#DIV/0!</v>
      </c>
      <c r="AS110" s="459"/>
      <c r="AT110" s="220"/>
      <c r="AU110" s="220"/>
      <c r="AV110" s="222" t="e">
        <f t="shared" si="122"/>
        <v>#DIV/0!</v>
      </c>
      <c r="AW110" s="220" t="e">
        <f t="shared" si="119"/>
        <v>#DIV/0!</v>
      </c>
      <c r="AX110" s="459"/>
    </row>
    <row r="111" spans="1:50">
      <c r="B111" s="466"/>
      <c r="C111" s="220">
        <v>16</v>
      </c>
      <c r="D111" s="220"/>
      <c r="E111" s="221"/>
      <c r="F111" s="221"/>
      <c r="G111" s="222"/>
      <c r="H111" s="459"/>
      <c r="I111" s="221" t="e">
        <f t="shared" si="103"/>
        <v>#DIV/0!</v>
      </c>
      <c r="J111" s="221" t="e">
        <f t="shared" si="104"/>
        <v>#DIV/0!</v>
      </c>
      <c r="K111" s="222" t="e">
        <f t="shared" si="105"/>
        <v>#DIV/0!</v>
      </c>
      <c r="L111" s="459"/>
      <c r="M111" s="221" t="e">
        <f>RANK(K111, K$96:$K$113)</f>
        <v>#DIV/0!</v>
      </c>
      <c r="N111" s="450"/>
      <c r="O111" s="450"/>
      <c r="P111" s="220"/>
      <c r="Q111" s="220"/>
      <c r="R111" s="222"/>
      <c r="S111" s="220"/>
      <c r="T111" s="459"/>
      <c r="U111" s="220"/>
      <c r="V111" s="220"/>
      <c r="W111" s="222"/>
      <c r="X111" s="220"/>
      <c r="Y111" s="459"/>
      <c r="Z111" s="220"/>
      <c r="AA111" s="220"/>
      <c r="AB111" s="222" t="e">
        <f t="shared" si="110"/>
        <v>#DIV/0!</v>
      </c>
      <c r="AC111" s="220" t="e">
        <f t="shared" si="111"/>
        <v>#DIV/0!</v>
      </c>
      <c r="AD111" s="459"/>
      <c r="AE111" s="220"/>
      <c r="AF111" s="220"/>
      <c r="AG111" s="222" t="e">
        <f t="shared" si="112"/>
        <v>#DIV/0!</v>
      </c>
      <c r="AH111" s="220" t="e">
        <f t="shared" si="113"/>
        <v>#DIV/0!</v>
      </c>
      <c r="AI111" s="459"/>
      <c r="AJ111" s="220"/>
      <c r="AK111" s="220"/>
      <c r="AL111" s="222" t="e">
        <f t="shared" si="114"/>
        <v>#DIV/0!</v>
      </c>
      <c r="AM111" s="220" t="e">
        <f t="shared" si="115"/>
        <v>#DIV/0!</v>
      </c>
      <c r="AN111" s="459"/>
      <c r="AO111" s="220"/>
      <c r="AP111" s="220"/>
      <c r="AQ111" s="222" t="e">
        <f t="shared" si="121"/>
        <v>#DIV/0!</v>
      </c>
      <c r="AR111" s="220" t="e">
        <f t="shared" si="117"/>
        <v>#DIV/0!</v>
      </c>
      <c r="AS111" s="459"/>
      <c r="AT111" s="220"/>
      <c r="AU111" s="220"/>
      <c r="AV111" s="222" t="e">
        <f t="shared" si="122"/>
        <v>#DIV/0!</v>
      </c>
      <c r="AW111" s="220" t="e">
        <f t="shared" si="119"/>
        <v>#DIV/0!</v>
      </c>
      <c r="AX111" s="459"/>
    </row>
    <row r="112" spans="1:50">
      <c r="B112" s="466"/>
      <c r="C112" s="220">
        <v>17</v>
      </c>
      <c r="D112" s="220"/>
      <c r="E112" s="221"/>
      <c r="F112" s="221"/>
      <c r="G112" s="222"/>
      <c r="H112" s="459"/>
      <c r="I112" s="221">
        <f>AVERAGE(P112,U112,Z112,AE112,AJ112,AO112,AT112)</f>
        <v>16</v>
      </c>
      <c r="J112" s="221">
        <f>AVERAGE(Q112,V112,AA112,AF112,AK112,AP112,AU112)</f>
        <v>1100</v>
      </c>
      <c r="K112" s="222" t="e">
        <f t="shared" si="105"/>
        <v>#DIV/0!</v>
      </c>
      <c r="L112" s="459"/>
      <c r="M112" s="221" t="e">
        <f>RANK(K112, K$96:$K$113)</f>
        <v>#DIV/0!</v>
      </c>
      <c r="N112" s="450"/>
      <c r="O112" s="450"/>
      <c r="P112" s="220"/>
      <c r="Q112" s="220"/>
      <c r="R112" s="222"/>
      <c r="S112" s="220"/>
      <c r="T112" s="459"/>
      <c r="U112" s="220"/>
      <c r="V112" s="220"/>
      <c r="W112" s="222"/>
      <c r="X112" s="220"/>
      <c r="Y112" s="459"/>
      <c r="Z112" s="220"/>
      <c r="AA112" s="220"/>
      <c r="AB112" s="222" t="e">
        <f>AA112/Z112</f>
        <v>#DIV/0!</v>
      </c>
      <c r="AC112" s="220" t="e">
        <f>RANK(AB112, $AB$96:$AB$113)</f>
        <v>#DIV/0!</v>
      </c>
      <c r="AD112" s="459"/>
      <c r="AE112" s="220"/>
      <c r="AF112" s="220"/>
      <c r="AG112" s="222" t="e">
        <f>AF112/AE112</f>
        <v>#DIV/0!</v>
      </c>
      <c r="AH112" s="220" t="e">
        <f>RANK(AG112,$AG$96:$AG$113)</f>
        <v>#DIV/0!</v>
      </c>
      <c r="AI112" s="459"/>
      <c r="AJ112" s="220"/>
      <c r="AK112" s="220"/>
      <c r="AL112" s="222" t="e">
        <f>AK112/AJ112</f>
        <v>#DIV/0!</v>
      </c>
      <c r="AM112" s="220" t="e">
        <f>RANK(AL112,$AL$96:$AL$113)</f>
        <v>#DIV/0!</v>
      </c>
      <c r="AN112" s="459"/>
      <c r="AO112" s="220"/>
      <c r="AP112" s="220"/>
      <c r="AQ112" s="222" t="e">
        <f t="shared" si="121"/>
        <v>#DIV/0!</v>
      </c>
      <c r="AR112" s="220" t="e">
        <f t="shared" si="117"/>
        <v>#DIV/0!</v>
      </c>
      <c r="AS112" s="459"/>
      <c r="AT112" s="220">
        <v>16</v>
      </c>
      <c r="AU112" s="220">
        <v>1100</v>
      </c>
      <c r="AV112" s="222">
        <f t="shared" si="122"/>
        <v>68.75</v>
      </c>
      <c r="AW112" s="220" t="e">
        <f t="shared" si="119"/>
        <v>#DIV/0!</v>
      </c>
      <c r="AX112" s="459"/>
    </row>
    <row r="113" spans="2:50">
      <c r="B113" s="466"/>
      <c r="C113" s="220">
        <v>18</v>
      </c>
      <c r="D113" s="220"/>
      <c r="E113" s="220"/>
      <c r="F113" s="220"/>
      <c r="G113" s="220"/>
      <c r="H113" s="459"/>
      <c r="I113" s="220"/>
      <c r="J113" s="220"/>
      <c r="K113" s="220"/>
      <c r="L113" s="460"/>
      <c r="M113" s="221"/>
      <c r="N113" s="451"/>
      <c r="O113" s="451"/>
      <c r="P113" s="220"/>
      <c r="Q113" s="220"/>
      <c r="R113" s="220"/>
      <c r="S113" s="220"/>
      <c r="T113" s="460"/>
      <c r="U113" s="220"/>
      <c r="V113" s="220"/>
      <c r="W113" s="222"/>
      <c r="X113" s="220"/>
      <c r="Y113" s="460"/>
      <c r="Z113" s="220"/>
      <c r="AA113" s="220"/>
      <c r="AB113" s="222"/>
      <c r="AC113" s="220"/>
      <c r="AD113" s="460"/>
      <c r="AE113" s="220"/>
      <c r="AF113" s="220"/>
      <c r="AG113" s="222"/>
      <c r="AH113" s="220"/>
      <c r="AI113" s="460"/>
      <c r="AJ113" s="220"/>
      <c r="AK113" s="220"/>
      <c r="AL113" s="222"/>
      <c r="AM113" s="220"/>
      <c r="AN113" s="460"/>
      <c r="AO113" s="220"/>
      <c r="AP113" s="220"/>
      <c r="AQ113" s="222"/>
      <c r="AR113" s="220"/>
      <c r="AS113" s="460"/>
      <c r="AT113" s="220"/>
      <c r="AU113" s="220"/>
      <c r="AV113" s="222"/>
      <c r="AW113" s="220"/>
      <c r="AX113" s="460"/>
    </row>
    <row r="114" spans="2:50" ht="15.75">
      <c r="B114" s="452" t="s">
        <v>44</v>
      </c>
      <c r="C114" s="453"/>
      <c r="D114" s="453"/>
      <c r="E114" s="453"/>
      <c r="F114" s="453"/>
      <c r="G114" s="453"/>
      <c r="H114" s="453"/>
      <c r="I114" s="214"/>
      <c r="J114" s="214"/>
      <c r="K114" s="214"/>
      <c r="L114" s="214"/>
      <c r="M114" s="215"/>
      <c r="N114" s="449" t="s">
        <v>45</v>
      </c>
      <c r="O114" s="449" t="s">
        <v>3</v>
      </c>
      <c r="P114" s="444"/>
      <c r="Q114" s="436"/>
      <c r="R114" s="436"/>
      <c r="S114" s="436"/>
      <c r="T114" s="436"/>
      <c r="U114" s="444"/>
      <c r="V114" s="436"/>
      <c r="W114" s="436"/>
      <c r="X114" s="436"/>
      <c r="Y114" s="436"/>
      <c r="Z114" s="444"/>
      <c r="AA114" s="436"/>
      <c r="AB114" s="436"/>
      <c r="AC114" s="436"/>
      <c r="AD114" s="436"/>
      <c r="AE114" s="444"/>
      <c r="AF114" s="436"/>
      <c r="AG114" s="436"/>
      <c r="AH114" s="436"/>
      <c r="AI114" s="436"/>
      <c r="AJ114" s="444"/>
      <c r="AK114" s="436"/>
      <c r="AL114" s="436"/>
      <c r="AM114" s="436"/>
      <c r="AN114" s="436"/>
      <c r="AO114" s="444"/>
      <c r="AP114" s="436"/>
      <c r="AQ114" s="436"/>
      <c r="AR114" s="436"/>
      <c r="AS114" s="436"/>
      <c r="AT114" s="444"/>
      <c r="AU114" s="436"/>
      <c r="AV114" s="436"/>
      <c r="AW114" s="436"/>
      <c r="AX114" s="436"/>
    </row>
    <row r="115" spans="2:50" ht="15.75">
      <c r="B115" s="454"/>
      <c r="C115" s="454"/>
      <c r="D115" s="454"/>
      <c r="E115" s="454"/>
      <c r="F115" s="454"/>
      <c r="G115" s="454"/>
      <c r="H115" s="454"/>
      <c r="I115" s="216"/>
      <c r="J115" s="216"/>
      <c r="K115" s="216"/>
      <c r="L115" s="216"/>
      <c r="M115" s="217"/>
      <c r="N115" s="451"/>
      <c r="O115" s="451"/>
      <c r="P115" s="444" t="s">
        <v>16</v>
      </c>
      <c r="Q115" s="436"/>
      <c r="R115" s="436"/>
      <c r="S115" s="436"/>
      <c r="T115" s="436"/>
      <c r="U115" s="444" t="s">
        <v>17</v>
      </c>
      <c r="V115" s="436"/>
      <c r="W115" s="436"/>
      <c r="X115" s="436"/>
      <c r="Y115" s="436"/>
      <c r="Z115" s="444" t="s">
        <v>18</v>
      </c>
      <c r="AA115" s="436"/>
      <c r="AB115" s="436"/>
      <c r="AC115" s="436"/>
      <c r="AD115" s="436"/>
      <c r="AE115" s="444" t="s">
        <v>19</v>
      </c>
      <c r="AF115" s="436"/>
      <c r="AG115" s="436"/>
      <c r="AH115" s="436"/>
      <c r="AI115" s="436"/>
      <c r="AJ115" s="444" t="s">
        <v>14</v>
      </c>
      <c r="AK115" s="436"/>
      <c r="AL115" s="436"/>
      <c r="AM115" s="436"/>
      <c r="AN115" s="436"/>
      <c r="AO115" s="444" t="s">
        <v>10</v>
      </c>
      <c r="AP115" s="436"/>
      <c r="AQ115" s="436"/>
      <c r="AR115" s="436"/>
      <c r="AS115" s="436"/>
      <c r="AT115" s="444" t="s">
        <v>15</v>
      </c>
      <c r="AU115" s="436"/>
      <c r="AV115" s="436"/>
      <c r="AW115" s="436"/>
      <c r="AX115" s="436"/>
    </row>
    <row r="116" spans="2:50">
      <c r="B116" s="440" t="s">
        <v>46</v>
      </c>
      <c r="C116" s="445" t="s">
        <v>47</v>
      </c>
      <c r="D116" s="440"/>
      <c r="E116" s="440" t="s">
        <v>48</v>
      </c>
      <c r="F116" s="440"/>
      <c r="G116" s="440"/>
      <c r="H116" s="446" t="s">
        <v>49</v>
      </c>
      <c r="I116" s="440" t="s">
        <v>50</v>
      </c>
      <c r="J116" s="440"/>
      <c r="K116" s="440"/>
      <c r="L116" s="446" t="s">
        <v>49</v>
      </c>
      <c r="M116" s="449" t="s">
        <v>51</v>
      </c>
      <c r="N116" s="440"/>
      <c r="O116" s="440" t="s">
        <v>52</v>
      </c>
      <c r="P116" s="441" t="s">
        <v>53</v>
      </c>
      <c r="Q116" s="442"/>
      <c r="R116" s="442"/>
      <c r="S116" s="443"/>
      <c r="T116" s="440" t="s">
        <v>49</v>
      </c>
      <c r="U116" s="441" t="s">
        <v>53</v>
      </c>
      <c r="V116" s="442"/>
      <c r="W116" s="442"/>
      <c r="X116" s="443"/>
      <c r="Y116" s="440" t="s">
        <v>49</v>
      </c>
      <c r="Z116" s="441" t="s">
        <v>53</v>
      </c>
      <c r="AA116" s="442"/>
      <c r="AB116" s="442"/>
      <c r="AC116" s="443"/>
      <c r="AD116" s="440" t="s">
        <v>49</v>
      </c>
      <c r="AE116" s="441" t="s">
        <v>53</v>
      </c>
      <c r="AF116" s="442"/>
      <c r="AG116" s="442"/>
      <c r="AH116" s="443"/>
      <c r="AI116" s="440" t="s">
        <v>49</v>
      </c>
      <c r="AJ116" s="441" t="s">
        <v>53</v>
      </c>
      <c r="AK116" s="442"/>
      <c r="AL116" s="442"/>
      <c r="AM116" s="443"/>
      <c r="AN116" s="440" t="s">
        <v>49</v>
      </c>
      <c r="AO116" s="441" t="s">
        <v>53</v>
      </c>
      <c r="AP116" s="442"/>
      <c r="AQ116" s="442"/>
      <c r="AR116" s="443"/>
      <c r="AS116" s="440" t="s">
        <v>49</v>
      </c>
      <c r="AT116" s="441" t="s">
        <v>53</v>
      </c>
      <c r="AU116" s="442"/>
      <c r="AV116" s="442"/>
      <c r="AW116" s="443"/>
      <c r="AX116" s="440" t="s">
        <v>49</v>
      </c>
    </row>
    <row r="117" spans="2:50">
      <c r="B117" s="440"/>
      <c r="C117" s="440"/>
      <c r="D117" s="440"/>
      <c r="E117" s="440" t="s">
        <v>54</v>
      </c>
      <c r="F117" s="440"/>
      <c r="G117" s="440"/>
      <c r="H117" s="447"/>
      <c r="I117" s="440" t="s">
        <v>54</v>
      </c>
      <c r="J117" s="440"/>
      <c r="K117" s="440"/>
      <c r="L117" s="447"/>
      <c r="M117" s="450"/>
      <c r="N117" s="440"/>
      <c r="O117" s="440"/>
      <c r="P117" s="441" t="s">
        <v>55</v>
      </c>
      <c r="Q117" s="442"/>
      <c r="R117" s="442"/>
      <c r="S117" s="443"/>
      <c r="T117" s="440"/>
      <c r="U117" s="441" t="s">
        <v>55</v>
      </c>
      <c r="V117" s="442"/>
      <c r="W117" s="442"/>
      <c r="X117" s="443"/>
      <c r="Y117" s="440"/>
      <c r="Z117" s="441" t="s">
        <v>55</v>
      </c>
      <c r="AA117" s="442"/>
      <c r="AB117" s="442"/>
      <c r="AC117" s="443"/>
      <c r="AD117" s="440"/>
      <c r="AE117" s="441" t="s">
        <v>55</v>
      </c>
      <c r="AF117" s="442"/>
      <c r="AG117" s="442"/>
      <c r="AH117" s="443"/>
      <c r="AI117" s="440"/>
      <c r="AJ117" s="441" t="s">
        <v>55</v>
      </c>
      <c r="AK117" s="442"/>
      <c r="AL117" s="442"/>
      <c r="AM117" s="443"/>
      <c r="AN117" s="440"/>
      <c r="AO117" s="441" t="s">
        <v>55</v>
      </c>
      <c r="AP117" s="442"/>
      <c r="AQ117" s="442"/>
      <c r="AR117" s="443"/>
      <c r="AS117" s="440"/>
      <c r="AT117" s="441" t="s">
        <v>55</v>
      </c>
      <c r="AU117" s="442"/>
      <c r="AV117" s="442"/>
      <c r="AW117" s="443"/>
      <c r="AX117" s="440"/>
    </row>
    <row r="118" spans="2:50">
      <c r="B118" s="440"/>
      <c r="C118" s="440"/>
      <c r="D118" s="440"/>
      <c r="E118" s="219" t="s">
        <v>56</v>
      </c>
      <c r="F118" s="219" t="s">
        <v>57</v>
      </c>
      <c r="G118" s="219" t="s">
        <v>58</v>
      </c>
      <c r="H118" s="448"/>
      <c r="I118" s="219" t="s">
        <v>56</v>
      </c>
      <c r="J118" s="219" t="s">
        <v>57</v>
      </c>
      <c r="K118" s="219" t="s">
        <v>58</v>
      </c>
      <c r="L118" s="448"/>
      <c r="M118" s="451"/>
      <c r="N118" s="440"/>
      <c r="O118" s="440"/>
      <c r="P118" s="219" t="s">
        <v>56</v>
      </c>
      <c r="Q118" s="219" t="s">
        <v>57</v>
      </c>
      <c r="R118" s="219" t="s">
        <v>58</v>
      </c>
      <c r="S118" s="219" t="s">
        <v>51</v>
      </c>
      <c r="T118" s="440"/>
      <c r="U118" s="219" t="s">
        <v>56</v>
      </c>
      <c r="V118" s="219" t="s">
        <v>57</v>
      </c>
      <c r="W118" s="219" t="s">
        <v>58</v>
      </c>
      <c r="X118" s="219" t="s">
        <v>51</v>
      </c>
      <c r="Y118" s="440"/>
      <c r="Z118" s="219" t="s">
        <v>56</v>
      </c>
      <c r="AA118" s="219" t="s">
        <v>57</v>
      </c>
      <c r="AB118" s="219" t="s">
        <v>58</v>
      </c>
      <c r="AC118" s="219" t="s">
        <v>51</v>
      </c>
      <c r="AD118" s="440"/>
      <c r="AE118" s="219" t="s">
        <v>56</v>
      </c>
      <c r="AF118" s="219" t="s">
        <v>57</v>
      </c>
      <c r="AG118" s="219" t="s">
        <v>58</v>
      </c>
      <c r="AH118" s="219" t="s">
        <v>51</v>
      </c>
      <c r="AI118" s="440"/>
      <c r="AJ118" s="219" t="s">
        <v>56</v>
      </c>
      <c r="AK118" s="219" t="s">
        <v>57</v>
      </c>
      <c r="AL118" s="219" t="s">
        <v>58</v>
      </c>
      <c r="AM118" s="219" t="s">
        <v>51</v>
      </c>
      <c r="AN118" s="440"/>
      <c r="AO118" s="219" t="s">
        <v>56</v>
      </c>
      <c r="AP118" s="219" t="s">
        <v>57</v>
      </c>
      <c r="AQ118" s="219" t="s">
        <v>58</v>
      </c>
      <c r="AR118" s="219" t="s">
        <v>51</v>
      </c>
      <c r="AS118" s="440"/>
      <c r="AT118" s="219" t="s">
        <v>56</v>
      </c>
      <c r="AU118" s="219" t="s">
        <v>57</v>
      </c>
      <c r="AV118" s="219" t="s">
        <v>58</v>
      </c>
      <c r="AW118" s="219" t="s">
        <v>51</v>
      </c>
      <c r="AX118" s="440"/>
    </row>
    <row r="119" spans="2:50" ht="13.5">
      <c r="B119" s="436" t="s">
        <v>316</v>
      </c>
      <c r="C119" s="220">
        <v>1</v>
      </c>
      <c r="D119" s="224" t="s">
        <v>75</v>
      </c>
      <c r="E119" s="221">
        <f>VLOOKUP(D119,'11產線配置圖'!$A$2:$C$25,2,0)</f>
        <v>12</v>
      </c>
      <c r="F119" s="221">
        <f>VLOOKUP(D119,'11產線配置圖'!$A$2:$C$25,3,0)</f>
        <v>2000</v>
      </c>
      <c r="G119" s="222">
        <f>F119/E119</f>
        <v>166.66666666666666</v>
      </c>
      <c r="H119" s="437" t="e">
        <f>AVERAGE(G119:G136)</f>
        <v>#N/A</v>
      </c>
      <c r="I119" s="221" t="e">
        <f>AVERAGE(P119,U119,Z119,AE119,AJ119,AO119,AT119)</f>
        <v>#DIV/0!</v>
      </c>
      <c r="J119" s="221" t="e">
        <f>AVERAGE(Q119,V119,AA119,AF119,AK119,AP119,AU119)</f>
        <v>#DIV/0!</v>
      </c>
      <c r="K119" s="222" t="e">
        <f>AVERAGE(R119)</f>
        <v>#DIV/0!</v>
      </c>
      <c r="L119" s="437" t="str">
        <f>IFERROR(AVERAGE(K119:K136),"-")</f>
        <v>-</v>
      </c>
      <c r="M119" s="223" t="e">
        <f>RANK(K119,$K$119:$K$136)</f>
        <v>#DIV/0!</v>
      </c>
      <c r="N119" s="440"/>
      <c r="O119" s="440"/>
      <c r="P119" s="221"/>
      <c r="Q119" s="221"/>
      <c r="R119" s="222" t="e">
        <f>Q119/P119</f>
        <v>#DIV/0!</v>
      </c>
      <c r="S119" s="220" t="e">
        <f>RANK(R119,$R$119:$R$136)</f>
        <v>#DIV/0!</v>
      </c>
      <c r="T119" s="435" t="e">
        <f>AVERAGE(R119:R136)</f>
        <v>#DIV/0!</v>
      </c>
      <c r="U119" s="221"/>
      <c r="V119" s="221"/>
      <c r="W119" s="222" t="e">
        <f>V119/U119</f>
        <v>#DIV/0!</v>
      </c>
      <c r="X119" s="220" t="e">
        <f>RANK(W119, W$7:W$24)</f>
        <v>#DIV/0!</v>
      </c>
      <c r="Y119" s="435" t="e">
        <f>AVERAGE(W119:W136)</f>
        <v>#DIV/0!</v>
      </c>
      <c r="Z119" s="220"/>
      <c r="AA119" s="221"/>
      <c r="AB119" s="222" t="e">
        <f>AA119/Z119</f>
        <v>#DIV/0!</v>
      </c>
      <c r="AC119" s="220" t="e">
        <f>RANK(AB119, AB$7:AB$24)</f>
        <v>#DIV/0!</v>
      </c>
      <c r="AD119" s="435" t="e">
        <f>AVERAGE(AB119:AB136)</f>
        <v>#DIV/0!</v>
      </c>
      <c r="AE119" s="221"/>
      <c r="AF119" s="221"/>
      <c r="AG119" s="222" t="e">
        <f>AF119/AE119</f>
        <v>#DIV/0!</v>
      </c>
      <c r="AH119" s="220" t="e">
        <f>RANK(AG119, AG$7:AG$24)</f>
        <v>#DIV/0!</v>
      </c>
      <c r="AI119" s="435" t="e">
        <f>AVERAGE(AG119:AG136)</f>
        <v>#DIV/0!</v>
      </c>
      <c r="AJ119" s="221"/>
      <c r="AK119" s="221"/>
      <c r="AL119" s="222" t="e">
        <f>AK119/AJ119</f>
        <v>#DIV/0!</v>
      </c>
      <c r="AM119" s="220" t="e">
        <f>RANK(AL119, AL$7:AL$24)</f>
        <v>#DIV/0!</v>
      </c>
      <c r="AN119" s="435" t="e">
        <f>AVERAGE(AL119:AL136)</f>
        <v>#DIV/0!</v>
      </c>
      <c r="AO119" s="221"/>
      <c r="AP119" s="221"/>
      <c r="AQ119" s="222" t="e">
        <f>AP119/AO119</f>
        <v>#DIV/0!</v>
      </c>
      <c r="AR119" s="220" t="e">
        <f>RANK(AQ119, AQ$7:AQ$24)</f>
        <v>#DIV/0!</v>
      </c>
      <c r="AS119" s="435" t="e">
        <f>AVERAGE(AQ119:AQ136)</f>
        <v>#DIV/0!</v>
      </c>
      <c r="AT119" s="221"/>
      <c r="AU119" s="222"/>
      <c r="AV119" s="222" t="e">
        <f>AU119/AT119</f>
        <v>#DIV/0!</v>
      </c>
      <c r="AW119" s="220" t="e">
        <f>RANK(AV119, AV$7:AV$24)</f>
        <v>#DIV/0!</v>
      </c>
      <c r="AX119" s="435" t="e">
        <f>AVERAGE(AV119:AV136)</f>
        <v>#DIV/0!</v>
      </c>
    </row>
    <row r="120" spans="2:50">
      <c r="B120" s="436"/>
      <c r="C120" s="220">
        <v>2</v>
      </c>
      <c r="D120" s="220" t="s">
        <v>76</v>
      </c>
      <c r="E120" s="221">
        <f>VLOOKUP(D120,'11產線配置圖'!$A$2:$C$25,2,0)</f>
        <v>13</v>
      </c>
      <c r="F120" s="221">
        <f>VLOOKUP(D120,'11產線配置圖'!$A$2:$C$25,3,0)</f>
        <v>2000</v>
      </c>
      <c r="G120" s="222">
        <f t="shared" ref="G120:G132" si="123">F120/E120</f>
        <v>153.84615384615384</v>
      </c>
      <c r="H120" s="438"/>
      <c r="I120" s="221" t="e">
        <f t="shared" ref="I120:I135" si="124">AVERAGE(P120,U120,Z120,AE120,AJ120,AO120,AT120)</f>
        <v>#DIV/0!</v>
      </c>
      <c r="J120" s="221" t="e">
        <f t="shared" ref="J120:J135" si="125">AVERAGE(Q120,V120,AA120,AF120,AK120,AP120,AU120)</f>
        <v>#DIV/0!</v>
      </c>
      <c r="K120" s="222" t="e">
        <f t="shared" ref="K120:K135" si="126">AVERAGE(R120)</f>
        <v>#DIV/0!</v>
      </c>
      <c r="L120" s="438"/>
      <c r="M120" s="223" t="e">
        <f t="shared" ref="M120:M135" si="127">RANK(K120,$K$119:$K$136)</f>
        <v>#DIV/0!</v>
      </c>
      <c r="N120" s="440"/>
      <c r="O120" s="440"/>
      <c r="P120" s="221"/>
      <c r="Q120" s="221"/>
      <c r="R120" s="222" t="e">
        <f t="shared" ref="R120:R127" si="128">Q120/P120</f>
        <v>#DIV/0!</v>
      </c>
      <c r="S120" s="220" t="e">
        <f t="shared" ref="S120:S135" si="129">RANK(R120,$R$119:$R$136)</f>
        <v>#DIV/0!</v>
      </c>
      <c r="T120" s="435"/>
      <c r="U120" s="221"/>
      <c r="V120" s="221"/>
      <c r="W120" s="222" t="e">
        <f t="shared" ref="W120:W128" si="130">V120/U120</f>
        <v>#DIV/0!</v>
      </c>
      <c r="X120" s="220" t="e">
        <f t="shared" ref="X120:X136" si="131">RANK(W120, W$7:W$24)</f>
        <v>#DIV/0!</v>
      </c>
      <c r="Y120" s="435"/>
      <c r="Z120" s="220"/>
      <c r="AA120" s="221"/>
      <c r="AB120" s="222" t="e">
        <f t="shared" ref="AB120:AB128" si="132">AA120/Z120</f>
        <v>#DIV/0!</v>
      </c>
      <c r="AC120" s="220" t="e">
        <f t="shared" ref="AC120:AC136" si="133">RANK(AB120, AB$7:AB$24)</f>
        <v>#DIV/0!</v>
      </c>
      <c r="AD120" s="435"/>
      <c r="AE120" s="221"/>
      <c r="AF120" s="221"/>
      <c r="AG120" s="222" t="e">
        <f t="shared" ref="AG120:AG128" si="134">AF120/AE120</f>
        <v>#DIV/0!</v>
      </c>
      <c r="AH120" s="220" t="e">
        <f t="shared" ref="AH120:AH132" si="135">RANK(AG120, AG$7:AG$24)</f>
        <v>#DIV/0!</v>
      </c>
      <c r="AI120" s="435"/>
      <c r="AJ120" s="221"/>
      <c r="AK120" s="221"/>
      <c r="AL120" s="222" t="e">
        <f t="shared" ref="AL120:AL128" si="136">AK120/AJ120</f>
        <v>#DIV/0!</v>
      </c>
      <c r="AM120" s="220" t="e">
        <f t="shared" ref="AM120:AM132" si="137">RANK(AL120, AL$7:AL$24)</f>
        <v>#DIV/0!</v>
      </c>
      <c r="AN120" s="435"/>
      <c r="AO120" s="221"/>
      <c r="AP120" s="221"/>
      <c r="AQ120" s="222" t="e">
        <f t="shared" ref="AQ120:AQ128" si="138">AP120/AO120</f>
        <v>#DIV/0!</v>
      </c>
      <c r="AR120" s="220" t="e">
        <f t="shared" ref="AR120:AR136" si="139">RANK(AQ120, AQ$7:AQ$24)</f>
        <v>#DIV/0!</v>
      </c>
      <c r="AS120" s="435"/>
      <c r="AT120" s="221"/>
      <c r="AU120" s="222"/>
      <c r="AV120" s="222" t="e">
        <f t="shared" ref="AV120:AV132" si="140">AU120/AT120</f>
        <v>#DIV/0!</v>
      </c>
      <c r="AW120" s="220" t="e">
        <f t="shared" ref="AW120:AW129" si="141">RANK(AV120, AV$7:AV$24)</f>
        <v>#DIV/0!</v>
      </c>
      <c r="AX120" s="435"/>
    </row>
    <row r="121" spans="2:50">
      <c r="B121" s="436"/>
      <c r="C121" s="220">
        <v>3</v>
      </c>
      <c r="D121" s="220" t="s">
        <v>363</v>
      </c>
      <c r="E121" s="221" t="e">
        <f>VLOOKUP(D121,'11產線配置圖'!$A$2:$C$25,2,0)</f>
        <v>#N/A</v>
      </c>
      <c r="F121" s="221" t="e">
        <f>VLOOKUP(D121,'11產線配置圖'!$A$2:$C$25,3,0)</f>
        <v>#N/A</v>
      </c>
      <c r="G121" s="222" t="e">
        <f t="shared" si="123"/>
        <v>#N/A</v>
      </c>
      <c r="H121" s="438"/>
      <c r="I121" s="221" t="e">
        <f t="shared" si="124"/>
        <v>#DIV/0!</v>
      </c>
      <c r="J121" s="221" t="e">
        <f t="shared" si="125"/>
        <v>#DIV/0!</v>
      </c>
      <c r="K121" s="222" t="e">
        <f t="shared" si="126"/>
        <v>#DIV/0!</v>
      </c>
      <c r="L121" s="438"/>
      <c r="M121" s="223" t="e">
        <f t="shared" si="127"/>
        <v>#DIV/0!</v>
      </c>
      <c r="N121" s="440"/>
      <c r="O121" s="440"/>
      <c r="P121" s="221"/>
      <c r="Q121" s="221"/>
      <c r="R121" s="222" t="e">
        <f t="shared" si="128"/>
        <v>#DIV/0!</v>
      </c>
      <c r="S121" s="220" t="e">
        <f t="shared" si="129"/>
        <v>#DIV/0!</v>
      </c>
      <c r="T121" s="435"/>
      <c r="U121" s="221"/>
      <c r="V121" s="221"/>
      <c r="W121" s="222" t="e">
        <f t="shared" si="130"/>
        <v>#DIV/0!</v>
      </c>
      <c r="X121" s="220" t="e">
        <f t="shared" si="131"/>
        <v>#DIV/0!</v>
      </c>
      <c r="Y121" s="435"/>
      <c r="Z121" s="220"/>
      <c r="AA121" s="221"/>
      <c r="AB121" s="222" t="e">
        <f t="shared" si="132"/>
        <v>#DIV/0!</v>
      </c>
      <c r="AC121" s="220" t="e">
        <f t="shared" si="133"/>
        <v>#DIV/0!</v>
      </c>
      <c r="AD121" s="435"/>
      <c r="AE121" s="221"/>
      <c r="AF121" s="221"/>
      <c r="AG121" s="222" t="e">
        <f t="shared" si="134"/>
        <v>#DIV/0!</v>
      </c>
      <c r="AH121" s="220" t="e">
        <f t="shared" si="135"/>
        <v>#DIV/0!</v>
      </c>
      <c r="AI121" s="435"/>
      <c r="AJ121" s="221"/>
      <c r="AK121" s="221"/>
      <c r="AL121" s="222" t="e">
        <f t="shared" si="136"/>
        <v>#DIV/0!</v>
      </c>
      <c r="AM121" s="220" t="e">
        <f t="shared" si="137"/>
        <v>#DIV/0!</v>
      </c>
      <c r="AN121" s="435"/>
      <c r="AO121" s="221"/>
      <c r="AP121" s="221"/>
      <c r="AQ121" s="222" t="e">
        <f t="shared" si="138"/>
        <v>#DIV/0!</v>
      </c>
      <c r="AR121" s="220" t="e">
        <f t="shared" si="139"/>
        <v>#DIV/0!</v>
      </c>
      <c r="AS121" s="435"/>
      <c r="AT121" s="221"/>
      <c r="AU121" s="222"/>
      <c r="AV121" s="222" t="e">
        <f t="shared" si="140"/>
        <v>#DIV/0!</v>
      </c>
      <c r="AW121" s="220" t="e">
        <f t="shared" si="141"/>
        <v>#DIV/0!</v>
      </c>
      <c r="AX121" s="435"/>
    </row>
    <row r="122" spans="2:50">
      <c r="B122" s="436"/>
      <c r="C122" s="220">
        <v>4</v>
      </c>
      <c r="D122" s="220" t="s">
        <v>182</v>
      </c>
      <c r="E122" s="221">
        <f>VLOOKUP(D122,'11產線配置圖'!$A$2:$C$25,2,0)</f>
        <v>18</v>
      </c>
      <c r="F122" s="221">
        <f>VLOOKUP(D122,'11產線配置圖'!$A$2:$C$25,3,0)</f>
        <v>1565</v>
      </c>
      <c r="G122" s="222">
        <f t="shared" si="123"/>
        <v>86.944444444444443</v>
      </c>
      <c r="H122" s="438"/>
      <c r="I122" s="221" t="e">
        <f t="shared" si="124"/>
        <v>#DIV/0!</v>
      </c>
      <c r="J122" s="221" t="e">
        <f t="shared" si="125"/>
        <v>#DIV/0!</v>
      </c>
      <c r="K122" s="222" t="e">
        <f t="shared" si="126"/>
        <v>#DIV/0!</v>
      </c>
      <c r="L122" s="438"/>
      <c r="M122" s="223" t="e">
        <f t="shared" si="127"/>
        <v>#DIV/0!</v>
      </c>
      <c r="N122" s="440"/>
      <c r="O122" s="440"/>
      <c r="P122" s="221"/>
      <c r="Q122" s="221"/>
      <c r="R122" s="222" t="e">
        <f t="shared" si="128"/>
        <v>#DIV/0!</v>
      </c>
      <c r="S122" s="220" t="e">
        <f t="shared" si="129"/>
        <v>#DIV/0!</v>
      </c>
      <c r="T122" s="435"/>
      <c r="U122" s="221"/>
      <c r="V122" s="221"/>
      <c r="W122" s="222" t="e">
        <f t="shared" si="130"/>
        <v>#DIV/0!</v>
      </c>
      <c r="X122" s="220" t="e">
        <f t="shared" si="131"/>
        <v>#DIV/0!</v>
      </c>
      <c r="Y122" s="435"/>
      <c r="Z122" s="220"/>
      <c r="AA122" s="221"/>
      <c r="AB122" s="222" t="e">
        <f t="shared" si="132"/>
        <v>#DIV/0!</v>
      </c>
      <c r="AC122" s="220" t="e">
        <f t="shared" si="133"/>
        <v>#DIV/0!</v>
      </c>
      <c r="AD122" s="435"/>
      <c r="AE122" s="221"/>
      <c r="AF122" s="221"/>
      <c r="AG122" s="222" t="e">
        <f t="shared" si="134"/>
        <v>#DIV/0!</v>
      </c>
      <c r="AH122" s="220" t="e">
        <f t="shared" si="135"/>
        <v>#DIV/0!</v>
      </c>
      <c r="AI122" s="435"/>
      <c r="AJ122" s="221"/>
      <c r="AK122" s="221"/>
      <c r="AL122" s="222" t="e">
        <f t="shared" si="136"/>
        <v>#DIV/0!</v>
      </c>
      <c r="AM122" s="220" t="e">
        <f t="shared" si="137"/>
        <v>#DIV/0!</v>
      </c>
      <c r="AN122" s="435"/>
      <c r="AO122" s="221"/>
      <c r="AP122" s="221"/>
      <c r="AQ122" s="222" t="e">
        <f t="shared" si="138"/>
        <v>#DIV/0!</v>
      </c>
      <c r="AR122" s="220" t="e">
        <f t="shared" si="139"/>
        <v>#DIV/0!</v>
      </c>
      <c r="AS122" s="435"/>
      <c r="AT122" s="221"/>
      <c r="AU122" s="222"/>
      <c r="AV122" s="222" t="e">
        <f t="shared" si="140"/>
        <v>#DIV/0!</v>
      </c>
      <c r="AW122" s="220" t="e">
        <f t="shared" si="141"/>
        <v>#DIV/0!</v>
      </c>
      <c r="AX122" s="435"/>
    </row>
    <row r="123" spans="2:50">
      <c r="B123" s="436"/>
      <c r="C123" s="220">
        <v>5</v>
      </c>
      <c r="D123" s="220" t="s">
        <v>74</v>
      </c>
      <c r="E123" s="221">
        <f>VLOOKUP(D123,'11產線配置圖'!$A$2:$C$25,2,0)</f>
        <v>13</v>
      </c>
      <c r="F123" s="221">
        <f>VLOOKUP(D123,'11產線配置圖'!$A$2:$C$25,3,0)</f>
        <v>2000</v>
      </c>
      <c r="G123" s="222">
        <f t="shared" si="123"/>
        <v>153.84615384615384</v>
      </c>
      <c r="H123" s="438"/>
      <c r="I123" s="221" t="e">
        <f t="shared" si="124"/>
        <v>#DIV/0!</v>
      </c>
      <c r="J123" s="221" t="e">
        <f t="shared" si="125"/>
        <v>#DIV/0!</v>
      </c>
      <c r="K123" s="222" t="e">
        <f t="shared" si="126"/>
        <v>#DIV/0!</v>
      </c>
      <c r="L123" s="438"/>
      <c r="M123" s="223" t="e">
        <f t="shared" si="127"/>
        <v>#DIV/0!</v>
      </c>
      <c r="N123" s="440"/>
      <c r="O123" s="440"/>
      <c r="P123" s="221"/>
      <c r="Q123" s="221"/>
      <c r="R123" s="222" t="e">
        <f t="shared" si="128"/>
        <v>#DIV/0!</v>
      </c>
      <c r="S123" s="220" t="e">
        <f t="shared" si="129"/>
        <v>#DIV/0!</v>
      </c>
      <c r="T123" s="435"/>
      <c r="U123" s="221"/>
      <c r="V123" s="221"/>
      <c r="W123" s="222" t="e">
        <f t="shared" si="130"/>
        <v>#DIV/0!</v>
      </c>
      <c r="X123" s="220" t="e">
        <f t="shared" si="131"/>
        <v>#DIV/0!</v>
      </c>
      <c r="Y123" s="435"/>
      <c r="Z123" s="220"/>
      <c r="AA123" s="221"/>
      <c r="AB123" s="222" t="e">
        <f t="shared" si="132"/>
        <v>#DIV/0!</v>
      </c>
      <c r="AC123" s="220" t="e">
        <f t="shared" si="133"/>
        <v>#DIV/0!</v>
      </c>
      <c r="AD123" s="435"/>
      <c r="AE123" s="221"/>
      <c r="AF123" s="221"/>
      <c r="AG123" s="222" t="e">
        <f t="shared" si="134"/>
        <v>#DIV/0!</v>
      </c>
      <c r="AH123" s="220" t="e">
        <f t="shared" si="135"/>
        <v>#DIV/0!</v>
      </c>
      <c r="AI123" s="435"/>
      <c r="AJ123" s="221"/>
      <c r="AK123" s="221"/>
      <c r="AL123" s="222" t="e">
        <f t="shared" si="136"/>
        <v>#DIV/0!</v>
      </c>
      <c r="AM123" s="220" t="e">
        <f t="shared" si="137"/>
        <v>#DIV/0!</v>
      </c>
      <c r="AN123" s="435"/>
      <c r="AO123" s="221"/>
      <c r="AP123" s="221"/>
      <c r="AQ123" s="222" t="e">
        <f t="shared" si="138"/>
        <v>#DIV/0!</v>
      </c>
      <c r="AR123" s="220" t="e">
        <f t="shared" si="139"/>
        <v>#DIV/0!</v>
      </c>
      <c r="AS123" s="435"/>
      <c r="AT123" s="221"/>
      <c r="AU123" s="222"/>
      <c r="AV123" s="222" t="e">
        <f t="shared" si="140"/>
        <v>#DIV/0!</v>
      </c>
      <c r="AW123" s="220" t="e">
        <f t="shared" si="141"/>
        <v>#DIV/0!</v>
      </c>
      <c r="AX123" s="435"/>
    </row>
    <row r="124" spans="2:50">
      <c r="B124" s="436"/>
      <c r="C124" s="220">
        <v>6</v>
      </c>
      <c r="D124" s="220" t="s">
        <v>77</v>
      </c>
      <c r="E124" s="221">
        <f>VLOOKUP(D124,'11產線配置圖'!$A$2:$C$25,2,0)</f>
        <v>14</v>
      </c>
      <c r="F124" s="221">
        <f>VLOOKUP(D124,'11產線配置圖'!$A$2:$C$25,3,0)</f>
        <v>1895</v>
      </c>
      <c r="G124" s="222">
        <f t="shared" si="123"/>
        <v>135.35714285714286</v>
      </c>
      <c r="H124" s="438"/>
      <c r="I124" s="221" t="e">
        <f t="shared" si="124"/>
        <v>#DIV/0!</v>
      </c>
      <c r="J124" s="221" t="e">
        <f t="shared" si="125"/>
        <v>#DIV/0!</v>
      </c>
      <c r="K124" s="222" t="e">
        <f t="shared" si="126"/>
        <v>#DIV/0!</v>
      </c>
      <c r="L124" s="438"/>
      <c r="M124" s="223" t="e">
        <f t="shared" si="127"/>
        <v>#DIV/0!</v>
      </c>
      <c r="N124" s="440"/>
      <c r="O124" s="440"/>
      <c r="P124" s="221"/>
      <c r="Q124" s="221"/>
      <c r="R124" s="222" t="e">
        <f t="shared" si="128"/>
        <v>#DIV/0!</v>
      </c>
      <c r="S124" s="220" t="e">
        <f t="shared" si="129"/>
        <v>#DIV/0!</v>
      </c>
      <c r="T124" s="435"/>
      <c r="U124" s="221"/>
      <c r="V124" s="221"/>
      <c r="W124" s="222" t="e">
        <f t="shared" si="130"/>
        <v>#DIV/0!</v>
      </c>
      <c r="X124" s="220" t="e">
        <f t="shared" si="131"/>
        <v>#DIV/0!</v>
      </c>
      <c r="Y124" s="435"/>
      <c r="Z124" s="220"/>
      <c r="AA124" s="221"/>
      <c r="AB124" s="222" t="e">
        <f t="shared" si="132"/>
        <v>#DIV/0!</v>
      </c>
      <c r="AC124" s="220" t="e">
        <f t="shared" si="133"/>
        <v>#DIV/0!</v>
      </c>
      <c r="AD124" s="435"/>
      <c r="AE124" s="221"/>
      <c r="AF124" s="221"/>
      <c r="AG124" s="222" t="e">
        <f t="shared" si="134"/>
        <v>#DIV/0!</v>
      </c>
      <c r="AH124" s="220" t="e">
        <f t="shared" si="135"/>
        <v>#DIV/0!</v>
      </c>
      <c r="AI124" s="435"/>
      <c r="AJ124" s="221"/>
      <c r="AK124" s="221"/>
      <c r="AL124" s="222" t="e">
        <f t="shared" si="136"/>
        <v>#DIV/0!</v>
      </c>
      <c r="AM124" s="220" t="e">
        <f t="shared" si="137"/>
        <v>#DIV/0!</v>
      </c>
      <c r="AN124" s="435"/>
      <c r="AO124" s="221"/>
      <c r="AP124" s="221"/>
      <c r="AQ124" s="222" t="e">
        <f t="shared" si="138"/>
        <v>#DIV/0!</v>
      </c>
      <c r="AR124" s="220" t="e">
        <f t="shared" si="139"/>
        <v>#DIV/0!</v>
      </c>
      <c r="AS124" s="435"/>
      <c r="AT124" s="221"/>
      <c r="AU124" s="222"/>
      <c r="AV124" s="222" t="e">
        <f t="shared" si="140"/>
        <v>#DIV/0!</v>
      </c>
      <c r="AW124" s="220" t="e">
        <f t="shared" si="141"/>
        <v>#DIV/0!</v>
      </c>
      <c r="AX124" s="435"/>
    </row>
    <row r="125" spans="2:50">
      <c r="B125" s="436"/>
      <c r="C125" s="220">
        <v>7</v>
      </c>
      <c r="D125" s="220" t="s">
        <v>364</v>
      </c>
      <c r="E125" s="221" t="e">
        <f>VLOOKUP(D125,'11產線配置圖'!$A$2:$C$25,2,0)</f>
        <v>#N/A</v>
      </c>
      <c r="F125" s="221" t="e">
        <f>VLOOKUP(D125,'11產線配置圖'!$A$2:$C$25,3,0)</f>
        <v>#N/A</v>
      </c>
      <c r="G125" s="222" t="e">
        <f t="shared" si="123"/>
        <v>#N/A</v>
      </c>
      <c r="H125" s="438"/>
      <c r="I125" s="221"/>
      <c r="J125" s="221"/>
      <c r="K125" s="222"/>
      <c r="L125" s="438"/>
      <c r="M125" s="223"/>
      <c r="N125" s="440"/>
      <c r="O125" s="440"/>
      <c r="P125" s="221"/>
      <c r="Q125" s="221"/>
      <c r="R125" s="222"/>
      <c r="S125" s="220"/>
      <c r="T125" s="435"/>
      <c r="U125" s="221"/>
      <c r="V125" s="221"/>
      <c r="W125" s="222" t="e">
        <f t="shared" si="130"/>
        <v>#DIV/0!</v>
      </c>
      <c r="X125" s="220" t="e">
        <f t="shared" si="131"/>
        <v>#DIV/0!</v>
      </c>
      <c r="Y125" s="435"/>
      <c r="Z125" s="220"/>
      <c r="AA125" s="221"/>
      <c r="AB125" s="222" t="e">
        <f t="shared" si="132"/>
        <v>#DIV/0!</v>
      </c>
      <c r="AC125" s="220" t="e">
        <f t="shared" si="133"/>
        <v>#DIV/0!</v>
      </c>
      <c r="AD125" s="435"/>
      <c r="AE125" s="221"/>
      <c r="AF125" s="221"/>
      <c r="AG125" s="222" t="e">
        <f t="shared" si="134"/>
        <v>#DIV/0!</v>
      </c>
      <c r="AH125" s="220" t="e">
        <f t="shared" si="135"/>
        <v>#DIV/0!</v>
      </c>
      <c r="AI125" s="435"/>
      <c r="AJ125" s="221"/>
      <c r="AK125" s="221"/>
      <c r="AL125" s="222" t="e">
        <f t="shared" si="136"/>
        <v>#DIV/0!</v>
      </c>
      <c r="AM125" s="220" t="e">
        <f t="shared" si="137"/>
        <v>#DIV/0!</v>
      </c>
      <c r="AN125" s="435"/>
      <c r="AO125" s="221"/>
      <c r="AP125" s="221"/>
      <c r="AQ125" s="222" t="e">
        <f t="shared" si="138"/>
        <v>#DIV/0!</v>
      </c>
      <c r="AR125" s="220" t="e">
        <f t="shared" si="139"/>
        <v>#DIV/0!</v>
      </c>
      <c r="AS125" s="435"/>
      <c r="AT125" s="221"/>
      <c r="AU125" s="222"/>
      <c r="AV125" s="222" t="e">
        <f t="shared" si="140"/>
        <v>#DIV/0!</v>
      </c>
      <c r="AW125" s="220" t="e">
        <f t="shared" si="141"/>
        <v>#DIV/0!</v>
      </c>
      <c r="AX125" s="435"/>
    </row>
    <row r="126" spans="2:50">
      <c r="B126" s="436"/>
      <c r="C126" s="220">
        <v>8</v>
      </c>
      <c r="D126" s="220" t="s">
        <v>365</v>
      </c>
      <c r="E126" s="221" t="e">
        <f>VLOOKUP(D126,'11產線配置圖'!$A$2:$C$25,2,0)</f>
        <v>#N/A</v>
      </c>
      <c r="F126" s="221" t="e">
        <f>VLOOKUP(D126,'11產線配置圖'!$A$2:$C$25,3,0)</f>
        <v>#N/A</v>
      </c>
      <c r="G126" s="222" t="e">
        <f t="shared" si="123"/>
        <v>#N/A</v>
      </c>
      <c r="H126" s="438"/>
      <c r="I126" s="221" t="e">
        <f t="shared" si="124"/>
        <v>#DIV/0!</v>
      </c>
      <c r="J126" s="221" t="e">
        <f t="shared" si="125"/>
        <v>#DIV/0!</v>
      </c>
      <c r="K126" s="222" t="e">
        <f t="shared" si="126"/>
        <v>#DIV/0!</v>
      </c>
      <c r="L126" s="438"/>
      <c r="M126" s="223" t="e">
        <f t="shared" si="127"/>
        <v>#DIV/0!</v>
      </c>
      <c r="N126" s="440"/>
      <c r="O126" s="440"/>
      <c r="P126" s="221"/>
      <c r="Q126" s="221"/>
      <c r="R126" s="222" t="e">
        <f t="shared" si="128"/>
        <v>#DIV/0!</v>
      </c>
      <c r="S126" s="220" t="e">
        <f t="shared" si="129"/>
        <v>#DIV/0!</v>
      </c>
      <c r="T126" s="435"/>
      <c r="U126" s="221"/>
      <c r="V126" s="221"/>
      <c r="W126" s="222" t="e">
        <f t="shared" si="130"/>
        <v>#DIV/0!</v>
      </c>
      <c r="X126" s="220" t="e">
        <f t="shared" si="131"/>
        <v>#DIV/0!</v>
      </c>
      <c r="Y126" s="435"/>
      <c r="Z126" s="220"/>
      <c r="AA126" s="221"/>
      <c r="AB126" s="222" t="e">
        <f t="shared" si="132"/>
        <v>#DIV/0!</v>
      </c>
      <c r="AC126" s="220" t="e">
        <f t="shared" si="133"/>
        <v>#DIV/0!</v>
      </c>
      <c r="AD126" s="435"/>
      <c r="AE126" s="221"/>
      <c r="AF126" s="221"/>
      <c r="AG126" s="222" t="e">
        <f t="shared" si="134"/>
        <v>#DIV/0!</v>
      </c>
      <c r="AH126" s="220" t="e">
        <f t="shared" si="135"/>
        <v>#DIV/0!</v>
      </c>
      <c r="AI126" s="435"/>
      <c r="AJ126" s="221"/>
      <c r="AK126" s="221"/>
      <c r="AL126" s="222" t="e">
        <f t="shared" si="136"/>
        <v>#DIV/0!</v>
      </c>
      <c r="AM126" s="220" t="e">
        <f t="shared" si="137"/>
        <v>#DIV/0!</v>
      </c>
      <c r="AN126" s="435"/>
      <c r="AO126" s="221"/>
      <c r="AP126" s="221"/>
      <c r="AQ126" s="222" t="e">
        <f t="shared" si="138"/>
        <v>#DIV/0!</v>
      </c>
      <c r="AR126" s="220" t="e">
        <f t="shared" si="139"/>
        <v>#DIV/0!</v>
      </c>
      <c r="AS126" s="435"/>
      <c r="AT126" s="221"/>
      <c r="AU126" s="222"/>
      <c r="AV126" s="222" t="e">
        <f t="shared" si="140"/>
        <v>#DIV/0!</v>
      </c>
      <c r="AW126" s="220" t="e">
        <f t="shared" si="141"/>
        <v>#DIV/0!</v>
      </c>
      <c r="AX126" s="435"/>
    </row>
    <row r="127" spans="2:50">
      <c r="B127" s="436"/>
      <c r="C127" s="220">
        <v>9</v>
      </c>
      <c r="D127" s="220" t="s">
        <v>83</v>
      </c>
      <c r="E127" s="221">
        <f>VLOOKUP(D127,'11產線配置圖'!$A$2:$C$25,2,0)</f>
        <v>18</v>
      </c>
      <c r="F127" s="221">
        <f>VLOOKUP(D127,'11產線配置圖'!$A$2:$C$25,3,0)</f>
        <v>1385</v>
      </c>
      <c r="G127" s="222">
        <f t="shared" si="123"/>
        <v>76.944444444444443</v>
      </c>
      <c r="H127" s="438"/>
      <c r="I127" s="221" t="e">
        <f t="shared" si="124"/>
        <v>#DIV/0!</v>
      </c>
      <c r="J127" s="221" t="e">
        <f t="shared" si="125"/>
        <v>#DIV/0!</v>
      </c>
      <c r="K127" s="222" t="e">
        <f t="shared" si="126"/>
        <v>#DIV/0!</v>
      </c>
      <c r="L127" s="438"/>
      <c r="M127" s="223" t="e">
        <f t="shared" si="127"/>
        <v>#DIV/0!</v>
      </c>
      <c r="N127" s="440"/>
      <c r="O127" s="440"/>
      <c r="P127" s="221"/>
      <c r="Q127" s="221"/>
      <c r="R127" s="222" t="e">
        <f t="shared" si="128"/>
        <v>#DIV/0!</v>
      </c>
      <c r="S127" s="220" t="e">
        <f t="shared" si="129"/>
        <v>#DIV/0!</v>
      </c>
      <c r="T127" s="435"/>
      <c r="U127" s="221"/>
      <c r="V127" s="221"/>
      <c r="W127" s="222" t="e">
        <f t="shared" si="130"/>
        <v>#DIV/0!</v>
      </c>
      <c r="X127" s="220" t="e">
        <f t="shared" si="131"/>
        <v>#DIV/0!</v>
      </c>
      <c r="Y127" s="435"/>
      <c r="Z127" s="220"/>
      <c r="AA127" s="221"/>
      <c r="AB127" s="222" t="e">
        <f t="shared" si="132"/>
        <v>#DIV/0!</v>
      </c>
      <c r="AC127" s="220" t="e">
        <f t="shared" si="133"/>
        <v>#DIV/0!</v>
      </c>
      <c r="AD127" s="435"/>
      <c r="AE127" s="221"/>
      <c r="AF127" s="221"/>
      <c r="AG127" s="222" t="e">
        <f t="shared" si="134"/>
        <v>#DIV/0!</v>
      </c>
      <c r="AH127" s="220" t="e">
        <f t="shared" si="135"/>
        <v>#DIV/0!</v>
      </c>
      <c r="AI127" s="435"/>
      <c r="AJ127" s="221"/>
      <c r="AK127" s="221"/>
      <c r="AL127" s="222" t="e">
        <f t="shared" si="136"/>
        <v>#DIV/0!</v>
      </c>
      <c r="AM127" s="220" t="e">
        <f t="shared" si="137"/>
        <v>#DIV/0!</v>
      </c>
      <c r="AN127" s="435"/>
      <c r="AO127" s="221"/>
      <c r="AP127" s="221"/>
      <c r="AQ127" s="222" t="e">
        <f t="shared" si="138"/>
        <v>#DIV/0!</v>
      </c>
      <c r="AR127" s="220" t="e">
        <f t="shared" si="139"/>
        <v>#DIV/0!</v>
      </c>
      <c r="AS127" s="435"/>
      <c r="AT127" s="221"/>
      <c r="AU127" s="222"/>
      <c r="AV127" s="222" t="e">
        <f t="shared" si="140"/>
        <v>#DIV/0!</v>
      </c>
      <c r="AW127" s="220" t="e">
        <f t="shared" si="141"/>
        <v>#DIV/0!</v>
      </c>
      <c r="AX127" s="435"/>
    </row>
    <row r="128" spans="2:50">
      <c r="B128" s="436"/>
      <c r="C128" s="220">
        <v>10</v>
      </c>
      <c r="D128" s="220" t="s">
        <v>87</v>
      </c>
      <c r="E128" s="221">
        <f>VLOOKUP(D128,'11產線配置圖'!$A$2:$C$25,2,0)</f>
        <v>17</v>
      </c>
      <c r="F128" s="221">
        <f>VLOOKUP(D128,'11產線配置圖'!$A$2:$C$25,3,0)</f>
        <v>1565</v>
      </c>
      <c r="G128" s="222">
        <f t="shared" si="123"/>
        <v>92.058823529411768</v>
      </c>
      <c r="H128" s="438"/>
      <c r="I128" s="221"/>
      <c r="J128" s="221"/>
      <c r="K128" s="222"/>
      <c r="L128" s="438"/>
      <c r="M128" s="223"/>
      <c r="N128" s="440"/>
      <c r="O128" s="440"/>
      <c r="P128" s="221"/>
      <c r="Q128" s="221"/>
      <c r="R128" s="222"/>
      <c r="S128" s="220"/>
      <c r="T128" s="435"/>
      <c r="U128" s="221"/>
      <c r="V128" s="221"/>
      <c r="W128" s="222" t="e">
        <f t="shared" si="130"/>
        <v>#DIV/0!</v>
      </c>
      <c r="X128" s="220" t="e">
        <f t="shared" si="131"/>
        <v>#DIV/0!</v>
      </c>
      <c r="Y128" s="435"/>
      <c r="Z128" s="220"/>
      <c r="AA128" s="221"/>
      <c r="AB128" s="222" t="e">
        <f t="shared" si="132"/>
        <v>#DIV/0!</v>
      </c>
      <c r="AC128" s="220" t="e">
        <f t="shared" si="133"/>
        <v>#DIV/0!</v>
      </c>
      <c r="AD128" s="435"/>
      <c r="AE128" s="221"/>
      <c r="AF128" s="221"/>
      <c r="AG128" s="222" t="e">
        <f t="shared" si="134"/>
        <v>#DIV/0!</v>
      </c>
      <c r="AH128" s="220" t="e">
        <f t="shared" si="135"/>
        <v>#DIV/0!</v>
      </c>
      <c r="AI128" s="435"/>
      <c r="AJ128" s="221"/>
      <c r="AK128" s="221"/>
      <c r="AL128" s="222" t="e">
        <f t="shared" si="136"/>
        <v>#DIV/0!</v>
      </c>
      <c r="AM128" s="220" t="e">
        <f t="shared" si="137"/>
        <v>#DIV/0!</v>
      </c>
      <c r="AN128" s="435"/>
      <c r="AO128" s="221"/>
      <c r="AP128" s="221"/>
      <c r="AQ128" s="222" t="e">
        <f t="shared" si="138"/>
        <v>#DIV/0!</v>
      </c>
      <c r="AR128" s="220" t="e">
        <f t="shared" si="139"/>
        <v>#DIV/0!</v>
      </c>
      <c r="AS128" s="435"/>
      <c r="AT128" s="221"/>
      <c r="AU128" s="222"/>
      <c r="AV128" s="222" t="e">
        <f t="shared" si="140"/>
        <v>#DIV/0!</v>
      </c>
      <c r="AW128" s="220" t="e">
        <f t="shared" si="141"/>
        <v>#DIV/0!</v>
      </c>
      <c r="AX128" s="435"/>
    </row>
    <row r="129" spans="2:50">
      <c r="B129" s="436"/>
      <c r="C129" s="220">
        <v>11</v>
      </c>
      <c r="D129" s="220" t="s">
        <v>366</v>
      </c>
      <c r="E129" s="221" t="e">
        <f>VLOOKUP(D129,'11產線配置圖'!$A$2:$C$25,2,0)</f>
        <v>#N/A</v>
      </c>
      <c r="F129" s="221" t="e">
        <f>VLOOKUP(D129,'11產線配置圖'!$A$2:$C$25,3,0)</f>
        <v>#N/A</v>
      </c>
      <c r="G129" s="222" t="e">
        <f t="shared" si="123"/>
        <v>#N/A</v>
      </c>
      <c r="H129" s="438"/>
      <c r="I129" s="221" t="e">
        <f t="shared" si="124"/>
        <v>#DIV/0!</v>
      </c>
      <c r="J129" s="221" t="e">
        <f t="shared" si="125"/>
        <v>#DIV/0!</v>
      </c>
      <c r="K129" s="222" t="e">
        <f t="shared" si="126"/>
        <v>#DIV/0!</v>
      </c>
      <c r="L129" s="438"/>
      <c r="M129" s="223" t="e">
        <f t="shared" si="127"/>
        <v>#DIV/0!</v>
      </c>
      <c r="N129" s="440"/>
      <c r="O129" s="440"/>
      <c r="P129" s="220"/>
      <c r="Q129" s="220"/>
      <c r="R129" s="222" t="e">
        <f>Q129/P129</f>
        <v>#DIV/0!</v>
      </c>
      <c r="S129" s="220" t="e">
        <f t="shared" si="129"/>
        <v>#DIV/0!</v>
      </c>
      <c r="T129" s="435"/>
      <c r="U129" s="220"/>
      <c r="V129" s="220"/>
      <c r="W129" s="220" t="e">
        <f>V129/U129</f>
        <v>#DIV/0!</v>
      </c>
      <c r="X129" s="220" t="e">
        <f t="shared" si="131"/>
        <v>#DIV/0!</v>
      </c>
      <c r="Y129" s="435"/>
      <c r="Z129" s="220"/>
      <c r="AA129" s="220"/>
      <c r="AB129" s="220" t="e">
        <f>AA129/Z129</f>
        <v>#DIV/0!</v>
      </c>
      <c r="AC129" s="220" t="e">
        <f t="shared" si="133"/>
        <v>#DIV/0!</v>
      </c>
      <c r="AD129" s="435"/>
      <c r="AE129" s="220"/>
      <c r="AF129" s="220"/>
      <c r="AG129" s="222" t="e">
        <f>AF129/AE129</f>
        <v>#DIV/0!</v>
      </c>
      <c r="AH129" s="220" t="e">
        <f t="shared" si="135"/>
        <v>#DIV/0!</v>
      </c>
      <c r="AI129" s="435"/>
      <c r="AJ129" s="220"/>
      <c r="AK129" s="220"/>
      <c r="AL129" s="222" t="e">
        <f>AK129/AJ129</f>
        <v>#DIV/0!</v>
      </c>
      <c r="AM129" s="220" t="e">
        <f t="shared" si="137"/>
        <v>#DIV/0!</v>
      </c>
      <c r="AN129" s="435"/>
      <c r="AO129" s="220"/>
      <c r="AP129" s="220"/>
      <c r="AQ129" s="222" t="e">
        <f>AP129/AO129</f>
        <v>#DIV/0!</v>
      </c>
      <c r="AR129" s="220" t="e">
        <f t="shared" si="139"/>
        <v>#DIV/0!</v>
      </c>
      <c r="AS129" s="435"/>
      <c r="AT129" s="220"/>
      <c r="AU129" s="222"/>
      <c r="AV129" s="222" t="e">
        <f t="shared" si="140"/>
        <v>#DIV/0!</v>
      </c>
      <c r="AW129" s="220" t="e">
        <f t="shared" si="141"/>
        <v>#DIV/0!</v>
      </c>
      <c r="AX129" s="435"/>
    </row>
    <row r="130" spans="2:50">
      <c r="B130" s="436"/>
      <c r="C130" s="220">
        <v>12</v>
      </c>
      <c r="D130" s="220" t="s">
        <v>367</v>
      </c>
      <c r="E130" s="221" t="e">
        <f>VLOOKUP(D130,'11產線配置圖'!$A$2:$C$25,2,0)</f>
        <v>#N/A</v>
      </c>
      <c r="F130" s="221" t="e">
        <f>VLOOKUP(D130,'11產線配置圖'!$A$2:$C$25,3,0)</f>
        <v>#N/A</v>
      </c>
      <c r="G130" s="222" t="e">
        <f t="shared" si="123"/>
        <v>#N/A</v>
      </c>
      <c r="H130" s="438"/>
      <c r="I130" s="220" t="e">
        <f t="shared" si="124"/>
        <v>#DIV/0!</v>
      </c>
      <c r="J130" s="221" t="e">
        <f t="shared" si="125"/>
        <v>#DIV/0!</v>
      </c>
      <c r="K130" s="222" t="e">
        <f t="shared" si="126"/>
        <v>#DIV/0!</v>
      </c>
      <c r="L130" s="438"/>
      <c r="M130" s="223" t="e">
        <f t="shared" si="127"/>
        <v>#DIV/0!</v>
      </c>
      <c r="N130" s="440"/>
      <c r="O130" s="440"/>
      <c r="P130" s="220"/>
      <c r="Q130" s="220"/>
      <c r="R130" s="222" t="e">
        <f t="shared" ref="R130:R135" si="142">Q130/P130</f>
        <v>#DIV/0!</v>
      </c>
      <c r="S130" s="220" t="e">
        <f t="shared" si="129"/>
        <v>#DIV/0!</v>
      </c>
      <c r="T130" s="435"/>
      <c r="U130" s="220"/>
      <c r="V130" s="220"/>
      <c r="W130" s="220" t="e">
        <f t="shared" ref="W130:W136" si="143">V130/U130</f>
        <v>#DIV/0!</v>
      </c>
      <c r="X130" s="220" t="e">
        <f t="shared" si="131"/>
        <v>#DIV/0!</v>
      </c>
      <c r="Y130" s="435"/>
      <c r="Z130" s="220"/>
      <c r="AA130" s="220"/>
      <c r="AB130" s="220" t="e">
        <f t="shared" ref="AB130:AB136" si="144">AA130/Z130</f>
        <v>#DIV/0!</v>
      </c>
      <c r="AC130" s="220" t="e">
        <f t="shared" si="133"/>
        <v>#DIV/0!</v>
      </c>
      <c r="AD130" s="435"/>
      <c r="AE130" s="220"/>
      <c r="AF130" s="220"/>
      <c r="AG130" s="222" t="e">
        <f>AF130/AE130</f>
        <v>#DIV/0!</v>
      </c>
      <c r="AH130" s="220" t="e">
        <f t="shared" si="135"/>
        <v>#DIV/0!</v>
      </c>
      <c r="AI130" s="435"/>
      <c r="AJ130" s="220"/>
      <c r="AK130" s="220"/>
      <c r="AL130" s="222" t="e">
        <f>AK130/AJ130</f>
        <v>#DIV/0!</v>
      </c>
      <c r="AM130" s="220" t="e">
        <f t="shared" si="137"/>
        <v>#DIV/0!</v>
      </c>
      <c r="AN130" s="435"/>
      <c r="AO130" s="220"/>
      <c r="AP130" s="220"/>
      <c r="AQ130" s="222" t="e">
        <f>AP130/AO130</f>
        <v>#DIV/0!</v>
      </c>
      <c r="AR130" s="220" t="e">
        <f t="shared" si="139"/>
        <v>#DIV/0!</v>
      </c>
      <c r="AS130" s="435"/>
      <c r="AT130" s="220"/>
      <c r="AU130" s="220"/>
      <c r="AV130" s="222" t="e">
        <f t="shared" si="140"/>
        <v>#DIV/0!</v>
      </c>
      <c r="AW130" s="220" t="e">
        <f>RANK(AV130, AV$7:AV$24)</f>
        <v>#DIV/0!</v>
      </c>
      <c r="AX130" s="435"/>
    </row>
    <row r="131" spans="2:50">
      <c r="B131" s="436"/>
      <c r="C131" s="220">
        <v>13</v>
      </c>
      <c r="D131" s="220" t="s">
        <v>359</v>
      </c>
      <c r="E131" s="221">
        <f>VLOOKUP(D131,'11產線配置圖'!$A$2:$C$25,2,0)</f>
        <v>17</v>
      </c>
      <c r="F131" s="221">
        <f>VLOOKUP(D131,'11產線配置圖'!$A$2:$C$25,3,0)</f>
        <v>1500</v>
      </c>
      <c r="G131" s="222">
        <f t="shared" si="123"/>
        <v>88.235294117647058</v>
      </c>
      <c r="H131" s="438"/>
      <c r="I131" s="220" t="e">
        <f t="shared" si="124"/>
        <v>#DIV/0!</v>
      </c>
      <c r="J131" s="221" t="e">
        <f t="shared" si="125"/>
        <v>#DIV/0!</v>
      </c>
      <c r="K131" s="222" t="e">
        <f t="shared" si="126"/>
        <v>#DIV/0!</v>
      </c>
      <c r="L131" s="438"/>
      <c r="M131" s="223" t="e">
        <f t="shared" si="127"/>
        <v>#DIV/0!</v>
      </c>
      <c r="N131" s="440"/>
      <c r="O131" s="440"/>
      <c r="P131" s="220"/>
      <c r="Q131" s="220"/>
      <c r="R131" s="222" t="e">
        <f t="shared" si="142"/>
        <v>#DIV/0!</v>
      </c>
      <c r="S131" s="220" t="e">
        <f t="shared" si="129"/>
        <v>#DIV/0!</v>
      </c>
      <c r="T131" s="435"/>
      <c r="U131" s="220"/>
      <c r="V131" s="220"/>
      <c r="W131" s="220" t="e">
        <f t="shared" si="143"/>
        <v>#DIV/0!</v>
      </c>
      <c r="X131" s="220" t="e">
        <f t="shared" si="131"/>
        <v>#DIV/0!</v>
      </c>
      <c r="Y131" s="435"/>
      <c r="Z131" s="220"/>
      <c r="AA131" s="220"/>
      <c r="AB131" s="220" t="e">
        <f t="shared" si="144"/>
        <v>#DIV/0!</v>
      </c>
      <c r="AC131" s="220" t="e">
        <f t="shared" si="133"/>
        <v>#DIV/0!</v>
      </c>
      <c r="AD131" s="435"/>
      <c r="AE131" s="220"/>
      <c r="AF131" s="220"/>
      <c r="AG131" s="222" t="e">
        <f>AF131/AE131</f>
        <v>#DIV/0!</v>
      </c>
      <c r="AH131" s="220" t="e">
        <f t="shared" si="135"/>
        <v>#DIV/0!</v>
      </c>
      <c r="AI131" s="435"/>
      <c r="AJ131" s="220"/>
      <c r="AK131" s="220"/>
      <c r="AL131" s="222" t="e">
        <f>AK131/AJ131</f>
        <v>#DIV/0!</v>
      </c>
      <c r="AM131" s="220" t="e">
        <f t="shared" si="137"/>
        <v>#DIV/0!</v>
      </c>
      <c r="AN131" s="435"/>
      <c r="AO131" s="220"/>
      <c r="AP131" s="220"/>
      <c r="AQ131" s="222" t="e">
        <f>AP131/AO131</f>
        <v>#DIV/0!</v>
      </c>
      <c r="AR131" s="220" t="e">
        <f t="shared" si="139"/>
        <v>#DIV/0!</v>
      </c>
      <c r="AS131" s="435"/>
      <c r="AT131" s="220"/>
      <c r="AU131" s="220"/>
      <c r="AV131" s="222" t="e">
        <f t="shared" si="140"/>
        <v>#DIV/0!</v>
      </c>
      <c r="AW131" s="220" t="e">
        <f>RANK(AV131, AV$7:AV$24)</f>
        <v>#DIV/0!</v>
      </c>
      <c r="AX131" s="435"/>
    </row>
    <row r="132" spans="2:50">
      <c r="B132" s="436"/>
      <c r="C132" s="220">
        <v>14</v>
      </c>
      <c r="D132" s="220" t="s">
        <v>368</v>
      </c>
      <c r="E132" s="221" t="e">
        <f>VLOOKUP(D132,'11產線配置圖'!$A$2:$C$25,2,0)</f>
        <v>#N/A</v>
      </c>
      <c r="F132" s="221" t="e">
        <f>VLOOKUP(D132,'11產線配置圖'!$A$2:$C$25,3,0)</f>
        <v>#N/A</v>
      </c>
      <c r="G132" s="222" t="e">
        <f t="shared" si="123"/>
        <v>#N/A</v>
      </c>
      <c r="H132" s="438"/>
      <c r="I132" s="220"/>
      <c r="J132" s="221"/>
      <c r="K132" s="222"/>
      <c r="L132" s="438"/>
      <c r="M132" s="223"/>
      <c r="N132" s="440"/>
      <c r="O132" s="440"/>
      <c r="P132" s="220"/>
      <c r="Q132" s="220"/>
      <c r="R132" s="222"/>
      <c r="S132" s="220"/>
      <c r="T132" s="435"/>
      <c r="U132" s="220"/>
      <c r="V132" s="220"/>
      <c r="W132" s="220" t="e">
        <f t="shared" si="143"/>
        <v>#DIV/0!</v>
      </c>
      <c r="X132" s="220" t="e">
        <f t="shared" si="131"/>
        <v>#DIV/0!</v>
      </c>
      <c r="Y132" s="435"/>
      <c r="Z132" s="220"/>
      <c r="AA132" s="220"/>
      <c r="AB132" s="220" t="e">
        <f t="shared" si="144"/>
        <v>#DIV/0!</v>
      </c>
      <c r="AC132" s="220" t="e">
        <f t="shared" si="133"/>
        <v>#DIV/0!</v>
      </c>
      <c r="AD132" s="435"/>
      <c r="AE132" s="220"/>
      <c r="AF132" s="220"/>
      <c r="AG132" s="222" t="e">
        <f>AF132/AE132</f>
        <v>#DIV/0!</v>
      </c>
      <c r="AH132" s="220" t="e">
        <f t="shared" si="135"/>
        <v>#DIV/0!</v>
      </c>
      <c r="AI132" s="435"/>
      <c r="AJ132" s="220"/>
      <c r="AK132" s="220"/>
      <c r="AL132" s="222" t="e">
        <f>AK132/AJ132</f>
        <v>#DIV/0!</v>
      </c>
      <c r="AM132" s="220" t="e">
        <f t="shared" si="137"/>
        <v>#DIV/0!</v>
      </c>
      <c r="AN132" s="435"/>
      <c r="AO132" s="220"/>
      <c r="AP132" s="220"/>
      <c r="AQ132" s="220" t="e">
        <f>AP132/AO132</f>
        <v>#DIV/0!</v>
      </c>
      <c r="AR132" s="220" t="e">
        <f t="shared" si="139"/>
        <v>#DIV/0!</v>
      </c>
      <c r="AS132" s="435"/>
      <c r="AT132" s="220"/>
      <c r="AU132" s="220"/>
      <c r="AV132" s="222" t="e">
        <f t="shared" si="140"/>
        <v>#DIV/0!</v>
      </c>
      <c r="AW132" s="220" t="e">
        <f>RANK(AV132, AV$7:AV$24)</f>
        <v>#DIV/0!</v>
      </c>
      <c r="AX132" s="435"/>
    </row>
    <row r="133" spans="2:50">
      <c r="B133" s="436"/>
      <c r="C133" s="220">
        <v>15</v>
      </c>
      <c r="D133" s="220"/>
      <c r="E133" s="221"/>
      <c r="F133" s="221"/>
      <c r="G133" s="222"/>
      <c r="H133" s="438"/>
      <c r="I133" s="220" t="e">
        <f t="shared" si="124"/>
        <v>#DIV/0!</v>
      </c>
      <c r="J133" s="220" t="e">
        <f t="shared" si="125"/>
        <v>#DIV/0!</v>
      </c>
      <c r="K133" s="222" t="e">
        <f t="shared" si="126"/>
        <v>#DIV/0!</v>
      </c>
      <c r="L133" s="438"/>
      <c r="M133" s="223" t="e">
        <f t="shared" si="127"/>
        <v>#DIV/0!</v>
      </c>
      <c r="N133" s="440"/>
      <c r="O133" s="440"/>
      <c r="P133" s="220"/>
      <c r="Q133" s="220"/>
      <c r="R133" s="222" t="e">
        <f t="shared" si="142"/>
        <v>#DIV/0!</v>
      </c>
      <c r="S133" s="220" t="e">
        <f t="shared" si="129"/>
        <v>#DIV/0!</v>
      </c>
      <c r="T133" s="435"/>
      <c r="U133" s="220"/>
      <c r="V133" s="220"/>
      <c r="W133" s="220" t="e">
        <f t="shared" si="143"/>
        <v>#DIV/0!</v>
      </c>
      <c r="X133" s="220" t="e">
        <f t="shared" si="131"/>
        <v>#DIV/0!</v>
      </c>
      <c r="Y133" s="435"/>
      <c r="Z133" s="220"/>
      <c r="AA133" s="220"/>
      <c r="AB133" s="220" t="e">
        <f t="shared" si="144"/>
        <v>#DIV/0!</v>
      </c>
      <c r="AC133" s="220" t="e">
        <f t="shared" si="133"/>
        <v>#DIV/0!</v>
      </c>
      <c r="AD133" s="435"/>
      <c r="AE133" s="220"/>
      <c r="AF133" s="220"/>
      <c r="AG133" s="222"/>
      <c r="AH133" s="220"/>
      <c r="AI133" s="435"/>
      <c r="AJ133" s="220"/>
      <c r="AK133" s="220"/>
      <c r="AL133" s="220"/>
      <c r="AM133" s="220"/>
      <c r="AN133" s="435"/>
      <c r="AO133" s="220"/>
      <c r="AP133" s="220"/>
      <c r="AQ133" s="220"/>
      <c r="AR133" s="220" t="e">
        <f t="shared" si="139"/>
        <v>#N/A</v>
      </c>
      <c r="AS133" s="435"/>
      <c r="AT133" s="220"/>
      <c r="AU133" s="220"/>
      <c r="AV133" s="222" t="e">
        <f>AU133/AT133</f>
        <v>#DIV/0!</v>
      </c>
      <c r="AW133" s="220" t="e">
        <f>RANK(AV133, AV$7:AV$24)</f>
        <v>#DIV/0!</v>
      </c>
      <c r="AX133" s="435"/>
    </row>
    <row r="134" spans="2:50">
      <c r="B134" s="436"/>
      <c r="C134" s="220">
        <v>16</v>
      </c>
      <c r="D134" s="220"/>
      <c r="E134" s="221"/>
      <c r="F134" s="221"/>
      <c r="G134" s="222"/>
      <c r="H134" s="438"/>
      <c r="I134" s="220" t="e">
        <f t="shared" si="124"/>
        <v>#DIV/0!</v>
      </c>
      <c r="J134" s="220" t="e">
        <f t="shared" si="125"/>
        <v>#DIV/0!</v>
      </c>
      <c r="K134" s="222" t="e">
        <f t="shared" si="126"/>
        <v>#DIV/0!</v>
      </c>
      <c r="L134" s="438"/>
      <c r="M134" s="223" t="e">
        <f t="shared" si="127"/>
        <v>#DIV/0!</v>
      </c>
      <c r="N134" s="440"/>
      <c r="O134" s="440"/>
      <c r="P134" s="220"/>
      <c r="Q134" s="220"/>
      <c r="R134" s="222" t="e">
        <f t="shared" si="142"/>
        <v>#DIV/0!</v>
      </c>
      <c r="S134" s="220" t="e">
        <f t="shared" si="129"/>
        <v>#DIV/0!</v>
      </c>
      <c r="T134" s="435"/>
      <c r="U134" s="220"/>
      <c r="V134" s="220"/>
      <c r="W134" s="220" t="e">
        <f t="shared" si="143"/>
        <v>#DIV/0!</v>
      </c>
      <c r="X134" s="220" t="e">
        <f t="shared" si="131"/>
        <v>#DIV/0!</v>
      </c>
      <c r="Y134" s="435"/>
      <c r="Z134" s="220"/>
      <c r="AA134" s="220"/>
      <c r="AB134" s="220" t="e">
        <f t="shared" si="144"/>
        <v>#DIV/0!</v>
      </c>
      <c r="AC134" s="220" t="e">
        <f t="shared" si="133"/>
        <v>#DIV/0!</v>
      </c>
      <c r="AD134" s="435"/>
      <c r="AE134" s="220"/>
      <c r="AF134" s="220"/>
      <c r="AG134" s="222"/>
      <c r="AH134" s="220"/>
      <c r="AI134" s="435"/>
      <c r="AJ134" s="220"/>
      <c r="AK134" s="220"/>
      <c r="AL134" s="220"/>
      <c r="AM134" s="220"/>
      <c r="AN134" s="435"/>
      <c r="AO134" s="220"/>
      <c r="AP134" s="220"/>
      <c r="AQ134" s="220"/>
      <c r="AR134" s="220" t="e">
        <f t="shared" si="139"/>
        <v>#N/A</v>
      </c>
      <c r="AS134" s="435"/>
      <c r="AT134" s="220"/>
      <c r="AU134" s="220"/>
      <c r="AV134" s="220"/>
      <c r="AW134" s="220"/>
      <c r="AX134" s="435"/>
    </row>
    <row r="135" spans="2:50">
      <c r="B135" s="436"/>
      <c r="C135" s="220">
        <v>17</v>
      </c>
      <c r="D135" s="220"/>
      <c r="E135" s="221"/>
      <c r="F135" s="221"/>
      <c r="G135" s="222"/>
      <c r="H135" s="438"/>
      <c r="I135" s="220" t="e">
        <f t="shared" si="124"/>
        <v>#DIV/0!</v>
      </c>
      <c r="J135" s="220" t="e">
        <f t="shared" si="125"/>
        <v>#DIV/0!</v>
      </c>
      <c r="K135" s="222" t="e">
        <f t="shared" si="126"/>
        <v>#DIV/0!</v>
      </c>
      <c r="L135" s="438"/>
      <c r="M135" s="223" t="e">
        <f t="shared" si="127"/>
        <v>#DIV/0!</v>
      </c>
      <c r="N135" s="440"/>
      <c r="O135" s="440"/>
      <c r="P135" s="220"/>
      <c r="Q135" s="220"/>
      <c r="R135" s="222" t="e">
        <f t="shared" si="142"/>
        <v>#DIV/0!</v>
      </c>
      <c r="S135" s="220" t="e">
        <f t="shared" si="129"/>
        <v>#DIV/0!</v>
      </c>
      <c r="T135" s="435"/>
      <c r="U135" s="220"/>
      <c r="V135" s="220"/>
      <c r="W135" s="220" t="e">
        <f t="shared" si="143"/>
        <v>#DIV/0!</v>
      </c>
      <c r="X135" s="220" t="e">
        <f t="shared" si="131"/>
        <v>#DIV/0!</v>
      </c>
      <c r="Y135" s="435"/>
      <c r="Z135" s="220"/>
      <c r="AA135" s="220"/>
      <c r="AB135" s="220" t="e">
        <f t="shared" si="144"/>
        <v>#DIV/0!</v>
      </c>
      <c r="AC135" s="220" t="e">
        <f t="shared" si="133"/>
        <v>#DIV/0!</v>
      </c>
      <c r="AD135" s="435"/>
      <c r="AE135" s="220"/>
      <c r="AF135" s="220"/>
      <c r="AG135" s="222"/>
      <c r="AH135" s="220"/>
      <c r="AI135" s="435"/>
      <c r="AJ135" s="220"/>
      <c r="AK135" s="220"/>
      <c r="AL135" s="220"/>
      <c r="AM135" s="220"/>
      <c r="AN135" s="435"/>
      <c r="AO135" s="220"/>
      <c r="AP135" s="220"/>
      <c r="AQ135" s="220"/>
      <c r="AR135" s="220" t="e">
        <f t="shared" si="139"/>
        <v>#N/A</v>
      </c>
      <c r="AS135" s="435"/>
      <c r="AT135" s="220"/>
      <c r="AU135" s="220"/>
      <c r="AV135" s="220"/>
      <c r="AW135" s="220"/>
      <c r="AX135" s="435"/>
    </row>
    <row r="136" spans="2:50">
      <c r="B136" s="436"/>
      <c r="C136" s="220">
        <v>18</v>
      </c>
      <c r="D136" s="220"/>
      <c r="E136" s="221"/>
      <c r="F136" s="221"/>
      <c r="G136" s="222"/>
      <c r="H136" s="439"/>
      <c r="I136" s="220"/>
      <c r="J136" s="220"/>
      <c r="K136" s="222"/>
      <c r="L136" s="439"/>
      <c r="M136" s="223"/>
      <c r="N136" s="440"/>
      <c r="O136" s="440"/>
      <c r="P136" s="220"/>
      <c r="Q136" s="220"/>
      <c r="R136" s="222"/>
      <c r="S136" s="220"/>
      <c r="T136" s="435"/>
      <c r="U136" s="220"/>
      <c r="V136" s="220"/>
      <c r="W136" s="220" t="e">
        <f t="shared" si="143"/>
        <v>#DIV/0!</v>
      </c>
      <c r="X136" s="220" t="e">
        <f t="shared" si="131"/>
        <v>#DIV/0!</v>
      </c>
      <c r="Y136" s="435"/>
      <c r="Z136" s="220"/>
      <c r="AA136" s="220"/>
      <c r="AB136" s="220" t="e">
        <f t="shared" si="144"/>
        <v>#DIV/0!</v>
      </c>
      <c r="AC136" s="220" t="e">
        <f t="shared" si="133"/>
        <v>#DIV/0!</v>
      </c>
      <c r="AD136" s="435"/>
      <c r="AE136" s="220"/>
      <c r="AF136" s="220"/>
      <c r="AG136" s="222"/>
      <c r="AH136" s="220"/>
      <c r="AI136" s="435"/>
      <c r="AJ136" s="220"/>
      <c r="AK136" s="220"/>
      <c r="AL136" s="220"/>
      <c r="AM136" s="220"/>
      <c r="AN136" s="435"/>
      <c r="AO136" s="220"/>
      <c r="AP136" s="220"/>
      <c r="AQ136" s="220"/>
      <c r="AR136" s="220" t="e">
        <f t="shared" si="139"/>
        <v>#N/A</v>
      </c>
      <c r="AS136" s="435"/>
      <c r="AT136" s="220"/>
      <c r="AU136" s="220"/>
      <c r="AV136" s="220"/>
      <c r="AW136" s="220"/>
      <c r="AX136" s="435"/>
    </row>
  </sheetData>
  <mergeCells count="354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AE93:AH93"/>
    <mergeCell ref="AI93:AI95"/>
    <mergeCell ref="AE94:AH94"/>
    <mergeCell ref="Z94:AC94"/>
    <mergeCell ref="Y93:Y95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AN93:AN95"/>
    <mergeCell ref="E94:G94"/>
    <mergeCell ref="I94:K94"/>
    <mergeCell ref="P94:S94"/>
    <mergeCell ref="U94:X94"/>
    <mergeCell ref="AJ93:AM93"/>
    <mergeCell ref="M93:M95"/>
    <mergeCell ref="H93:H95"/>
    <mergeCell ref="I93:K93"/>
    <mergeCell ref="L93:L95"/>
    <mergeCell ref="AD93:AD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N93:N113"/>
    <mergeCell ref="O93:O113"/>
    <mergeCell ref="T96:T113"/>
    <mergeCell ref="Y96:Y113"/>
    <mergeCell ref="AD96:AD113"/>
    <mergeCell ref="E93:G93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J70:AM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AE71:AH71"/>
    <mergeCell ref="AJ71:AM71"/>
    <mergeCell ref="M70:M72"/>
    <mergeCell ref="P70:S70"/>
    <mergeCell ref="Y70:Y72"/>
    <mergeCell ref="Z70:AC70"/>
    <mergeCell ref="AD70:AD72"/>
    <mergeCell ref="AE70:AH70"/>
    <mergeCell ref="AI70:AI72"/>
    <mergeCell ref="O70:O9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71:AR71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B30:B47"/>
    <mergeCell ref="H30:H47"/>
    <mergeCell ref="L30:L47"/>
    <mergeCell ref="T30:T47"/>
    <mergeCell ref="Y30:Y47"/>
    <mergeCell ref="B27:B29"/>
    <mergeCell ref="C27:D29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AO28:AR28"/>
    <mergeCell ref="AT28:AW28"/>
    <mergeCell ref="AO27:AR27"/>
    <mergeCell ref="AS27:AS29"/>
    <mergeCell ref="AT27:AW27"/>
    <mergeCell ref="U27:X27"/>
    <mergeCell ref="E27:G27"/>
    <mergeCell ref="H27:H29"/>
    <mergeCell ref="I27:K27"/>
    <mergeCell ref="L27:L29"/>
    <mergeCell ref="M27:M29"/>
    <mergeCell ref="N27:N47"/>
    <mergeCell ref="O27:O47"/>
    <mergeCell ref="P27:S27"/>
    <mergeCell ref="T27:T29"/>
    <mergeCell ref="AD30:AD47"/>
    <mergeCell ref="AI30:AI47"/>
    <mergeCell ref="AN30:AN47"/>
    <mergeCell ref="AN27:AN29"/>
    <mergeCell ref="AS30:AS47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14:H115"/>
    <mergeCell ref="N114:N115"/>
    <mergeCell ref="O114:O115"/>
    <mergeCell ref="P114:T114"/>
    <mergeCell ref="U114:Y114"/>
    <mergeCell ref="P115:T115"/>
    <mergeCell ref="U115:Y115"/>
    <mergeCell ref="Z114:AD114"/>
    <mergeCell ref="AE114:AI114"/>
    <mergeCell ref="AJ114:AN114"/>
    <mergeCell ref="AO114:AS114"/>
    <mergeCell ref="AT114:AX114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AO116:AR116"/>
    <mergeCell ref="T116:T118"/>
    <mergeCell ref="U116:X116"/>
    <mergeCell ref="Y116:Y118"/>
    <mergeCell ref="Z116:AC116"/>
    <mergeCell ref="AD116:AD118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E116:AH116"/>
    <mergeCell ref="AI116:AI118"/>
    <mergeCell ref="AJ116:AM116"/>
    <mergeCell ref="AN116:AN118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'11產線配置圖'!$A$2:$A$24</xm:f>
          </x14:formula1>
          <xm:sqref>D96:D113 D19:D24 D42:D47 D65:D67 D119:D136 D73:D82 D85:D90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C25" zoomScaleNormal="100" workbookViewId="0">
      <selection activeCell="J60" sqref="J6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2" width="8.85546875" style="108" customWidth="1"/>
    <col min="53" max="16384" width="8.85546875" style="108"/>
  </cols>
  <sheetData>
    <row r="1" spans="1:50" ht="24">
      <c r="A1" s="78"/>
      <c r="B1" s="182" t="s">
        <v>43</v>
      </c>
      <c r="C1" s="107" t="e">
        <f>AVERAGE(L7,L27,L47,L67,L87)</f>
        <v>#DIV/0!</v>
      </c>
    </row>
    <row r="2" spans="1:50" ht="15.75">
      <c r="A2" s="83"/>
      <c r="B2" s="469" t="s">
        <v>44</v>
      </c>
      <c r="C2" s="470"/>
      <c r="D2" s="470"/>
      <c r="E2" s="470"/>
      <c r="F2" s="470"/>
      <c r="G2" s="470"/>
      <c r="H2" s="470"/>
      <c r="I2" s="159"/>
      <c r="J2" s="159"/>
      <c r="K2" s="159"/>
      <c r="L2" s="159"/>
      <c r="M2" s="155"/>
      <c r="N2" s="472" t="s">
        <v>45</v>
      </c>
      <c r="O2" s="472" t="s">
        <v>3</v>
      </c>
      <c r="P2" s="467"/>
      <c r="Q2" s="468"/>
      <c r="R2" s="468"/>
      <c r="S2" s="468"/>
      <c r="T2" s="468"/>
      <c r="U2" s="467"/>
      <c r="V2" s="468"/>
      <c r="W2" s="468"/>
      <c r="X2" s="468"/>
      <c r="Y2" s="468"/>
      <c r="Z2" s="467"/>
      <c r="AA2" s="468"/>
      <c r="AB2" s="468"/>
      <c r="AC2" s="468"/>
      <c r="AD2" s="468"/>
      <c r="AE2" s="467">
        <v>45870</v>
      </c>
      <c r="AF2" s="468"/>
      <c r="AG2" s="468"/>
      <c r="AH2" s="468"/>
      <c r="AI2" s="468"/>
      <c r="AJ2" s="467">
        <v>45871</v>
      </c>
      <c r="AK2" s="468"/>
      <c r="AL2" s="468"/>
      <c r="AM2" s="468"/>
      <c r="AN2" s="468"/>
      <c r="AO2" s="467">
        <v>45872</v>
      </c>
      <c r="AP2" s="468"/>
      <c r="AQ2" s="468"/>
      <c r="AR2" s="468"/>
      <c r="AS2" s="468"/>
      <c r="AT2" s="467">
        <v>45873</v>
      </c>
      <c r="AU2" s="468"/>
      <c r="AV2" s="468"/>
      <c r="AW2" s="468"/>
      <c r="AX2" s="468"/>
    </row>
    <row r="3" spans="1:50" ht="15.75">
      <c r="A3" s="83"/>
      <c r="B3" s="471"/>
      <c r="C3" s="471"/>
      <c r="D3" s="471"/>
      <c r="E3" s="471"/>
      <c r="F3" s="471"/>
      <c r="G3" s="471"/>
      <c r="H3" s="471"/>
      <c r="I3" s="156"/>
      <c r="J3" s="156"/>
      <c r="K3" s="156"/>
      <c r="L3" s="156"/>
      <c r="M3" s="157"/>
      <c r="N3" s="473"/>
      <c r="O3" s="473"/>
      <c r="P3" s="467" t="s">
        <v>16</v>
      </c>
      <c r="Q3" s="468"/>
      <c r="R3" s="468"/>
      <c r="S3" s="468"/>
      <c r="T3" s="468"/>
      <c r="U3" s="467" t="s">
        <v>17</v>
      </c>
      <c r="V3" s="468"/>
      <c r="W3" s="468"/>
      <c r="X3" s="468"/>
      <c r="Y3" s="468"/>
      <c r="Z3" s="467" t="s">
        <v>18</v>
      </c>
      <c r="AA3" s="468"/>
      <c r="AB3" s="468"/>
      <c r="AC3" s="468"/>
      <c r="AD3" s="468"/>
      <c r="AE3" s="467" t="s">
        <v>19</v>
      </c>
      <c r="AF3" s="468"/>
      <c r="AG3" s="468"/>
      <c r="AH3" s="468"/>
      <c r="AI3" s="468"/>
      <c r="AJ3" s="467" t="s">
        <v>14</v>
      </c>
      <c r="AK3" s="468"/>
      <c r="AL3" s="468"/>
      <c r="AM3" s="468"/>
      <c r="AN3" s="468"/>
      <c r="AO3" s="467" t="s">
        <v>10</v>
      </c>
      <c r="AP3" s="468"/>
      <c r="AQ3" s="468"/>
      <c r="AR3" s="468"/>
      <c r="AS3" s="468"/>
      <c r="AT3" s="467" t="s">
        <v>15</v>
      </c>
      <c r="AU3" s="468"/>
      <c r="AV3" s="468"/>
      <c r="AW3" s="468"/>
      <c r="AX3" s="468"/>
    </row>
    <row r="4" spans="1:50" ht="14.25">
      <c r="A4" s="83"/>
      <c r="B4" s="477" t="s">
        <v>46</v>
      </c>
      <c r="C4" s="477" t="s">
        <v>47</v>
      </c>
      <c r="D4" s="477"/>
      <c r="E4" s="477" t="s">
        <v>48</v>
      </c>
      <c r="F4" s="477"/>
      <c r="G4" s="477"/>
      <c r="H4" s="483" t="s">
        <v>49</v>
      </c>
      <c r="I4" s="477" t="s">
        <v>50</v>
      </c>
      <c r="J4" s="477"/>
      <c r="K4" s="477"/>
      <c r="L4" s="483" t="s">
        <v>49</v>
      </c>
      <c r="M4" s="472" t="s">
        <v>51</v>
      </c>
      <c r="N4" s="477"/>
      <c r="O4" s="477" t="s">
        <v>52</v>
      </c>
      <c r="P4" s="474" t="s">
        <v>53</v>
      </c>
      <c r="Q4" s="475"/>
      <c r="R4" s="475"/>
      <c r="S4" s="476"/>
      <c r="T4" s="477" t="s">
        <v>49</v>
      </c>
      <c r="U4" s="474" t="s">
        <v>53</v>
      </c>
      <c r="V4" s="475"/>
      <c r="W4" s="475"/>
      <c r="X4" s="476"/>
      <c r="Y4" s="477" t="s">
        <v>49</v>
      </c>
      <c r="Z4" s="474" t="s">
        <v>53</v>
      </c>
      <c r="AA4" s="475"/>
      <c r="AB4" s="475"/>
      <c r="AC4" s="476"/>
      <c r="AD4" s="477" t="s">
        <v>49</v>
      </c>
      <c r="AE4" s="474" t="s">
        <v>53</v>
      </c>
      <c r="AF4" s="475"/>
      <c r="AG4" s="475"/>
      <c r="AH4" s="476"/>
      <c r="AI4" s="477" t="s">
        <v>49</v>
      </c>
      <c r="AJ4" s="474" t="s">
        <v>53</v>
      </c>
      <c r="AK4" s="475"/>
      <c r="AL4" s="475"/>
      <c r="AM4" s="476"/>
      <c r="AN4" s="477" t="s">
        <v>49</v>
      </c>
      <c r="AO4" s="474" t="s">
        <v>53</v>
      </c>
      <c r="AP4" s="475"/>
      <c r="AQ4" s="475"/>
      <c r="AR4" s="476"/>
      <c r="AS4" s="477" t="s">
        <v>49</v>
      </c>
      <c r="AT4" s="474" t="s">
        <v>53</v>
      </c>
      <c r="AU4" s="475"/>
      <c r="AV4" s="475"/>
      <c r="AW4" s="476"/>
      <c r="AX4" s="477" t="s">
        <v>49</v>
      </c>
    </row>
    <row r="5" spans="1:50" ht="14.25">
      <c r="A5" s="83"/>
      <c r="B5" s="477"/>
      <c r="C5" s="477"/>
      <c r="D5" s="477"/>
      <c r="E5" s="477" t="s">
        <v>54</v>
      </c>
      <c r="F5" s="477"/>
      <c r="G5" s="477"/>
      <c r="H5" s="484"/>
      <c r="I5" s="477" t="s">
        <v>54</v>
      </c>
      <c r="J5" s="477"/>
      <c r="K5" s="477"/>
      <c r="L5" s="484"/>
      <c r="M5" s="486"/>
      <c r="N5" s="477"/>
      <c r="O5" s="477"/>
      <c r="P5" s="474" t="s">
        <v>55</v>
      </c>
      <c r="Q5" s="475"/>
      <c r="R5" s="475"/>
      <c r="S5" s="476"/>
      <c r="T5" s="477"/>
      <c r="U5" s="474" t="s">
        <v>55</v>
      </c>
      <c r="V5" s="475"/>
      <c r="W5" s="475"/>
      <c r="X5" s="476"/>
      <c r="Y5" s="477"/>
      <c r="Z5" s="474" t="s">
        <v>55</v>
      </c>
      <c r="AA5" s="475"/>
      <c r="AB5" s="475"/>
      <c r="AC5" s="476"/>
      <c r="AD5" s="477"/>
      <c r="AE5" s="474" t="s">
        <v>55</v>
      </c>
      <c r="AF5" s="475"/>
      <c r="AG5" s="475"/>
      <c r="AH5" s="476"/>
      <c r="AI5" s="477"/>
      <c r="AJ5" s="474" t="s">
        <v>55</v>
      </c>
      <c r="AK5" s="475"/>
      <c r="AL5" s="475"/>
      <c r="AM5" s="476"/>
      <c r="AN5" s="477"/>
      <c r="AO5" s="474" t="s">
        <v>55</v>
      </c>
      <c r="AP5" s="475"/>
      <c r="AQ5" s="475"/>
      <c r="AR5" s="476"/>
      <c r="AS5" s="477"/>
      <c r="AT5" s="474" t="s">
        <v>55</v>
      </c>
      <c r="AU5" s="475"/>
      <c r="AV5" s="475"/>
      <c r="AW5" s="476"/>
      <c r="AX5" s="477"/>
    </row>
    <row r="6" spans="1:50" ht="14.25">
      <c r="A6" s="81"/>
      <c r="B6" s="477"/>
      <c r="C6" s="477"/>
      <c r="D6" s="477"/>
      <c r="E6" s="109" t="s">
        <v>56</v>
      </c>
      <c r="F6" s="109" t="s">
        <v>57</v>
      </c>
      <c r="G6" s="109" t="s">
        <v>58</v>
      </c>
      <c r="H6" s="485"/>
      <c r="I6" s="109" t="s">
        <v>56</v>
      </c>
      <c r="J6" s="109" t="s">
        <v>57</v>
      </c>
      <c r="K6" s="109" t="s">
        <v>58</v>
      </c>
      <c r="L6" s="485"/>
      <c r="M6" s="473"/>
      <c r="N6" s="477"/>
      <c r="O6" s="477"/>
      <c r="P6" s="109" t="s">
        <v>56</v>
      </c>
      <c r="Q6" s="109" t="s">
        <v>57</v>
      </c>
      <c r="R6" s="109" t="s">
        <v>58</v>
      </c>
      <c r="S6" s="109" t="s">
        <v>51</v>
      </c>
      <c r="T6" s="477"/>
      <c r="U6" s="109" t="s">
        <v>56</v>
      </c>
      <c r="V6" s="109" t="s">
        <v>57</v>
      </c>
      <c r="W6" s="109" t="s">
        <v>58</v>
      </c>
      <c r="X6" s="109" t="s">
        <v>51</v>
      </c>
      <c r="Y6" s="477"/>
      <c r="Z6" s="109" t="s">
        <v>56</v>
      </c>
      <c r="AA6" s="109" t="s">
        <v>57</v>
      </c>
      <c r="AB6" s="109" t="s">
        <v>58</v>
      </c>
      <c r="AC6" s="109" t="s">
        <v>51</v>
      </c>
      <c r="AD6" s="477"/>
      <c r="AE6" s="109" t="s">
        <v>56</v>
      </c>
      <c r="AF6" s="109" t="s">
        <v>57</v>
      </c>
      <c r="AG6" s="109" t="s">
        <v>58</v>
      </c>
      <c r="AH6" s="109" t="s">
        <v>51</v>
      </c>
      <c r="AI6" s="477"/>
      <c r="AJ6" s="109" t="s">
        <v>56</v>
      </c>
      <c r="AK6" s="109" t="s">
        <v>57</v>
      </c>
      <c r="AL6" s="109" t="s">
        <v>58</v>
      </c>
      <c r="AM6" s="109" t="s">
        <v>51</v>
      </c>
      <c r="AN6" s="477"/>
      <c r="AO6" s="109" t="s">
        <v>56</v>
      </c>
      <c r="AP6" s="109" t="s">
        <v>57</v>
      </c>
      <c r="AQ6" s="109" t="s">
        <v>58</v>
      </c>
      <c r="AR6" s="109" t="s">
        <v>51</v>
      </c>
      <c r="AS6" s="477"/>
      <c r="AT6" s="109" t="s">
        <v>56</v>
      </c>
      <c r="AU6" s="109" t="s">
        <v>57</v>
      </c>
      <c r="AV6" s="109" t="s">
        <v>58</v>
      </c>
      <c r="AW6" s="109" t="s">
        <v>51</v>
      </c>
      <c r="AX6" s="477"/>
    </row>
    <row r="7" spans="1:50" ht="14.25">
      <c r="A7" s="83"/>
      <c r="B7" s="478" t="s">
        <v>59</v>
      </c>
      <c r="C7" s="110">
        <v>1</v>
      </c>
      <c r="D7" s="110"/>
      <c r="E7" s="160"/>
      <c r="F7" s="110"/>
      <c r="G7" s="158"/>
      <c r="H7" s="479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79" t="e">
        <f>AVERAGE(K7:K21)</f>
        <v>#DIV/0!</v>
      </c>
      <c r="M7" s="173" t="e">
        <f>RANK(K7, K$7:$K$21)</f>
        <v>#DIV/0!</v>
      </c>
      <c r="N7" s="477"/>
      <c r="O7" s="477"/>
      <c r="P7" s="160"/>
      <c r="Q7" s="160"/>
      <c r="R7" s="158"/>
      <c r="S7" s="110" t="e">
        <f>RANK(R7, R$7:R$21)</f>
        <v>#N/A</v>
      </c>
      <c r="T7" s="482" t="e">
        <f>AVERAGE(R7:R21)</f>
        <v>#DIV/0!</v>
      </c>
      <c r="U7" s="160"/>
      <c r="V7" s="160"/>
      <c r="W7" s="158"/>
      <c r="X7" s="110" t="e">
        <f>RANK(W7, W$7:W$21)</f>
        <v>#N/A</v>
      </c>
      <c r="Y7" s="482" t="e">
        <f>AVERAGE(W7:W21)</f>
        <v>#DIV/0!</v>
      </c>
      <c r="Z7" s="110"/>
      <c r="AA7" s="160"/>
      <c r="AB7" s="158"/>
      <c r="AC7" s="110" t="e">
        <f>RANK(AB7, AB$7:AB$21)</f>
        <v>#N/A</v>
      </c>
      <c r="AD7" s="482" t="e">
        <f>AVERAGE(AB7:AB21)</f>
        <v>#DIV/0!</v>
      </c>
      <c r="AE7" s="160"/>
      <c r="AF7" s="160"/>
      <c r="AG7" s="158"/>
      <c r="AH7" s="110" t="e">
        <f>RANK(AG7, AG$7:AG$21)</f>
        <v>#N/A</v>
      </c>
      <c r="AI7" s="482" t="e">
        <f>AVERAGE(AG7:AG21)</f>
        <v>#DIV/0!</v>
      </c>
      <c r="AJ7" s="110"/>
      <c r="AK7" s="160"/>
      <c r="AL7" s="158"/>
      <c r="AM7" s="110" t="e">
        <f>RANK(AL7, AL$7:AL$21)</f>
        <v>#N/A</v>
      </c>
      <c r="AN7" s="482" t="e">
        <f>AVERAGE(AL7:AL21)</f>
        <v>#DIV/0!</v>
      </c>
      <c r="AO7" s="110"/>
      <c r="AP7" s="160"/>
      <c r="AQ7" s="158"/>
      <c r="AR7" s="110" t="e">
        <f>RANK(AQ7, AQ$7:AQ$21)</f>
        <v>#N/A</v>
      </c>
      <c r="AS7" s="482" t="e">
        <f>AVERAGE(AQ7:AQ21)</f>
        <v>#DIV/0!</v>
      </c>
      <c r="AT7" s="110"/>
      <c r="AU7" s="160"/>
      <c r="AV7" s="158"/>
      <c r="AW7" s="110" t="e">
        <f>RANK(AV7, AV$7:AV$21)</f>
        <v>#N/A</v>
      </c>
      <c r="AX7" s="482" t="e">
        <f>AVERAGE(AV7:AV21)</f>
        <v>#DIV/0!</v>
      </c>
    </row>
    <row r="8" spans="1:50" ht="15" customHeight="1">
      <c r="A8" s="83"/>
      <c r="B8" s="468"/>
      <c r="C8" s="110">
        <v>2</v>
      </c>
      <c r="D8" s="110"/>
      <c r="E8" s="160"/>
      <c r="F8" s="110"/>
      <c r="G8" s="158"/>
      <c r="H8" s="480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0"/>
      <c r="M8" s="173" t="e">
        <f>RANK(K8, K$7:$K$21)</f>
        <v>#DIV/0!</v>
      </c>
      <c r="N8" s="477"/>
      <c r="O8" s="477"/>
      <c r="P8" s="160"/>
      <c r="Q8" s="160"/>
      <c r="R8" s="158"/>
      <c r="S8" s="110" t="e">
        <f t="shared" ref="S8:S21" si="1">RANK(R8, R$7:R$21)</f>
        <v>#N/A</v>
      </c>
      <c r="T8" s="482"/>
      <c r="U8" s="160"/>
      <c r="V8" s="160"/>
      <c r="W8" s="158"/>
      <c r="X8" s="110" t="e">
        <f t="shared" ref="X8:X21" si="2">RANK(W8, W$7:W$21)</f>
        <v>#N/A</v>
      </c>
      <c r="Y8" s="482"/>
      <c r="Z8" s="110"/>
      <c r="AA8" s="160"/>
      <c r="AB8" s="158"/>
      <c r="AC8" s="110" t="e">
        <f t="shared" ref="AC8:AC21" si="3">RANK(AB8, AB$7:AB$21)</f>
        <v>#N/A</v>
      </c>
      <c r="AD8" s="482"/>
      <c r="AE8" s="160"/>
      <c r="AF8" s="160"/>
      <c r="AG8" s="158"/>
      <c r="AH8" s="110" t="e">
        <f t="shared" ref="AH8:AH21" si="4">RANK(AG8, AG$7:AG$21)</f>
        <v>#N/A</v>
      </c>
      <c r="AI8" s="482"/>
      <c r="AJ8" s="110"/>
      <c r="AK8" s="160"/>
      <c r="AL8" s="158"/>
      <c r="AM8" s="110" t="e">
        <f t="shared" ref="AM8:AM21" si="5">RANK(AL8, AL$7:AL$21)</f>
        <v>#N/A</v>
      </c>
      <c r="AN8" s="482"/>
      <c r="AO8" s="110"/>
      <c r="AP8" s="160"/>
      <c r="AQ8" s="158"/>
      <c r="AR8" s="110" t="e">
        <f t="shared" ref="AR8:AR21" si="6">RANK(AQ8, AQ$7:AQ$21)</f>
        <v>#N/A</v>
      </c>
      <c r="AS8" s="482"/>
      <c r="AT8" s="110"/>
      <c r="AU8" s="160"/>
      <c r="AV8" s="158"/>
      <c r="AW8" s="110" t="e">
        <f t="shared" ref="AW8:AW21" si="7">RANK(AV8, AV$7:AV$21)</f>
        <v>#N/A</v>
      </c>
      <c r="AX8" s="482"/>
    </row>
    <row r="9" spans="1:50" ht="14.25">
      <c r="A9" s="83"/>
      <c r="B9" s="468"/>
      <c r="C9" s="110">
        <v>3</v>
      </c>
      <c r="D9" s="110"/>
      <c r="E9" s="160"/>
      <c r="F9" s="110"/>
      <c r="G9" s="158"/>
      <c r="H9" s="480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0"/>
      <c r="M9" s="173" t="e">
        <f>RANK(K9, K$7:$K$21)</f>
        <v>#DIV/0!</v>
      </c>
      <c r="N9" s="477"/>
      <c r="O9" s="477"/>
      <c r="P9" s="160"/>
      <c r="Q9" s="160"/>
      <c r="R9" s="158"/>
      <c r="S9" s="110" t="e">
        <f t="shared" si="1"/>
        <v>#N/A</v>
      </c>
      <c r="T9" s="482"/>
      <c r="U9" s="160"/>
      <c r="V9" s="160"/>
      <c r="W9" s="158"/>
      <c r="X9" s="110" t="e">
        <f t="shared" si="2"/>
        <v>#N/A</v>
      </c>
      <c r="Y9" s="482"/>
      <c r="Z9" s="110"/>
      <c r="AA9" s="160"/>
      <c r="AB9" s="158"/>
      <c r="AC9" s="110" t="e">
        <f t="shared" si="3"/>
        <v>#N/A</v>
      </c>
      <c r="AD9" s="482"/>
      <c r="AE9" s="160"/>
      <c r="AF9" s="160"/>
      <c r="AG9" s="158"/>
      <c r="AH9" s="110" t="e">
        <f t="shared" si="4"/>
        <v>#N/A</v>
      </c>
      <c r="AI9" s="482"/>
      <c r="AJ9" s="110"/>
      <c r="AK9" s="160"/>
      <c r="AL9" s="158"/>
      <c r="AM9" s="110" t="e">
        <f t="shared" si="5"/>
        <v>#N/A</v>
      </c>
      <c r="AN9" s="482"/>
      <c r="AO9" s="110"/>
      <c r="AP9" s="160"/>
      <c r="AQ9" s="158"/>
      <c r="AR9" s="110" t="e">
        <f t="shared" si="6"/>
        <v>#N/A</v>
      </c>
      <c r="AS9" s="482"/>
      <c r="AT9" s="110"/>
      <c r="AU9" s="160"/>
      <c r="AV9" s="158"/>
      <c r="AW9" s="110" t="e">
        <f t="shared" si="7"/>
        <v>#N/A</v>
      </c>
      <c r="AX9" s="482"/>
    </row>
    <row r="10" spans="1:50" ht="14.25">
      <c r="A10" s="83"/>
      <c r="B10" s="468"/>
      <c r="C10" s="110">
        <v>4</v>
      </c>
      <c r="D10" s="110"/>
      <c r="E10" s="160"/>
      <c r="F10" s="110"/>
      <c r="G10" s="158"/>
      <c r="H10" s="480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0"/>
      <c r="M10" s="173" t="e">
        <f>RANK(K10, K$7:$K$21)</f>
        <v>#DIV/0!</v>
      </c>
      <c r="N10" s="477"/>
      <c r="O10" s="477"/>
      <c r="P10" s="160"/>
      <c r="Q10" s="160"/>
      <c r="R10" s="158"/>
      <c r="S10" s="110" t="e">
        <f t="shared" si="1"/>
        <v>#N/A</v>
      </c>
      <c r="T10" s="482"/>
      <c r="U10" s="160"/>
      <c r="V10" s="160"/>
      <c r="W10" s="158"/>
      <c r="X10" s="110" t="e">
        <f t="shared" si="2"/>
        <v>#N/A</v>
      </c>
      <c r="Y10" s="482"/>
      <c r="Z10" s="110"/>
      <c r="AA10" s="160"/>
      <c r="AB10" s="158"/>
      <c r="AC10" s="110" t="e">
        <f t="shared" si="3"/>
        <v>#N/A</v>
      </c>
      <c r="AD10" s="482"/>
      <c r="AE10" s="160"/>
      <c r="AF10" s="160"/>
      <c r="AG10" s="158"/>
      <c r="AH10" s="110" t="e">
        <f t="shared" si="4"/>
        <v>#N/A</v>
      </c>
      <c r="AI10" s="482"/>
      <c r="AJ10" s="110"/>
      <c r="AK10" s="160"/>
      <c r="AL10" s="158"/>
      <c r="AM10" s="110" t="e">
        <f t="shared" si="5"/>
        <v>#N/A</v>
      </c>
      <c r="AN10" s="482"/>
      <c r="AO10" s="110"/>
      <c r="AP10" s="160"/>
      <c r="AQ10" s="158"/>
      <c r="AR10" s="110" t="e">
        <f t="shared" si="6"/>
        <v>#N/A</v>
      </c>
      <c r="AS10" s="482"/>
      <c r="AT10" s="110"/>
      <c r="AU10" s="160"/>
      <c r="AV10" s="158"/>
      <c r="AW10" s="110" t="e">
        <f t="shared" si="7"/>
        <v>#N/A</v>
      </c>
      <c r="AX10" s="482"/>
    </row>
    <row r="11" spans="1:50" ht="14.25">
      <c r="A11" s="83"/>
      <c r="B11" s="468"/>
      <c r="C11" s="110">
        <v>5</v>
      </c>
      <c r="D11" s="110"/>
      <c r="E11" s="160"/>
      <c r="F11" s="110"/>
      <c r="G11" s="158"/>
      <c r="H11" s="480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0"/>
      <c r="M11" s="173" t="e">
        <f>RANK(K11, K$7:$K$21)</f>
        <v>#DIV/0!</v>
      </c>
      <c r="N11" s="477"/>
      <c r="O11" s="477"/>
      <c r="P11" s="160"/>
      <c r="Q11" s="160"/>
      <c r="R11" s="158"/>
      <c r="S11" s="110" t="e">
        <f t="shared" si="1"/>
        <v>#N/A</v>
      </c>
      <c r="T11" s="482"/>
      <c r="U11" s="160"/>
      <c r="V11" s="160"/>
      <c r="W11" s="158"/>
      <c r="X11" s="110" t="e">
        <f t="shared" si="2"/>
        <v>#N/A</v>
      </c>
      <c r="Y11" s="482"/>
      <c r="Z11" s="110"/>
      <c r="AA11" s="160"/>
      <c r="AB11" s="158"/>
      <c r="AC11" s="110" t="e">
        <f t="shared" si="3"/>
        <v>#N/A</v>
      </c>
      <c r="AD11" s="482"/>
      <c r="AE11" s="160"/>
      <c r="AF11" s="160"/>
      <c r="AG11" s="158"/>
      <c r="AH11" s="110" t="e">
        <f t="shared" si="4"/>
        <v>#N/A</v>
      </c>
      <c r="AI11" s="482"/>
      <c r="AJ11" s="110"/>
      <c r="AK11" s="160"/>
      <c r="AL11" s="158"/>
      <c r="AM11" s="110" t="e">
        <f t="shared" si="5"/>
        <v>#N/A</v>
      </c>
      <c r="AN11" s="482"/>
      <c r="AO11" s="110"/>
      <c r="AP11" s="160"/>
      <c r="AQ11" s="158"/>
      <c r="AR11" s="110" t="e">
        <f t="shared" si="6"/>
        <v>#N/A</v>
      </c>
      <c r="AS11" s="482"/>
      <c r="AT11" s="110"/>
      <c r="AU11" s="160"/>
      <c r="AV11" s="158"/>
      <c r="AW11" s="110" t="e">
        <f t="shared" si="7"/>
        <v>#N/A</v>
      </c>
      <c r="AX11" s="482"/>
    </row>
    <row r="12" spans="1:50" ht="14.25">
      <c r="A12" s="83"/>
      <c r="B12" s="468"/>
      <c r="C12" s="110">
        <v>6</v>
      </c>
      <c r="D12" s="110"/>
      <c r="E12" s="160"/>
      <c r="F12" s="110"/>
      <c r="G12" s="158"/>
      <c r="H12" s="480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0"/>
      <c r="M12" s="173" t="e">
        <f>RANK(K12, K$7:$K$21)</f>
        <v>#DIV/0!</v>
      </c>
      <c r="N12" s="477"/>
      <c r="O12" s="477"/>
      <c r="P12" s="160"/>
      <c r="Q12" s="160"/>
      <c r="R12" s="158"/>
      <c r="S12" s="110" t="e">
        <f t="shared" si="1"/>
        <v>#N/A</v>
      </c>
      <c r="T12" s="482"/>
      <c r="U12" s="160"/>
      <c r="V12" s="160"/>
      <c r="W12" s="158"/>
      <c r="X12" s="110" t="e">
        <f t="shared" si="2"/>
        <v>#N/A</v>
      </c>
      <c r="Y12" s="482"/>
      <c r="Z12" s="110"/>
      <c r="AA12" s="160"/>
      <c r="AB12" s="158"/>
      <c r="AC12" s="110" t="e">
        <f t="shared" si="3"/>
        <v>#N/A</v>
      </c>
      <c r="AD12" s="482"/>
      <c r="AE12" s="160"/>
      <c r="AF12" s="160"/>
      <c r="AG12" s="158"/>
      <c r="AH12" s="110" t="e">
        <f t="shared" si="4"/>
        <v>#N/A</v>
      </c>
      <c r="AI12" s="482"/>
      <c r="AJ12" s="110"/>
      <c r="AK12" s="160"/>
      <c r="AL12" s="158"/>
      <c r="AM12" s="110" t="e">
        <f t="shared" si="5"/>
        <v>#N/A</v>
      </c>
      <c r="AN12" s="482"/>
      <c r="AO12" s="110"/>
      <c r="AP12" s="160"/>
      <c r="AQ12" s="158"/>
      <c r="AR12" s="110" t="e">
        <f t="shared" si="6"/>
        <v>#N/A</v>
      </c>
      <c r="AS12" s="482"/>
      <c r="AT12" s="110"/>
      <c r="AU12" s="160"/>
      <c r="AV12" s="158"/>
      <c r="AW12" s="110" t="e">
        <f t="shared" si="7"/>
        <v>#N/A</v>
      </c>
      <c r="AX12" s="482"/>
    </row>
    <row r="13" spans="1:50" ht="14.25">
      <c r="A13" s="83"/>
      <c r="B13" s="468"/>
      <c r="C13" s="110">
        <v>7</v>
      </c>
      <c r="D13" s="110"/>
      <c r="E13" s="160"/>
      <c r="F13" s="110"/>
      <c r="G13" s="158"/>
      <c r="H13" s="480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0"/>
      <c r="M13" s="173" t="e">
        <f>RANK(K13, K$7:$K$21)</f>
        <v>#DIV/0!</v>
      </c>
      <c r="N13" s="477"/>
      <c r="O13" s="477"/>
      <c r="P13" s="160"/>
      <c r="Q13" s="160"/>
      <c r="R13" s="158"/>
      <c r="S13" s="110" t="e">
        <f t="shared" si="1"/>
        <v>#N/A</v>
      </c>
      <c r="T13" s="482"/>
      <c r="U13" s="160"/>
      <c r="V13" s="160"/>
      <c r="W13" s="158"/>
      <c r="X13" s="110" t="e">
        <f t="shared" si="2"/>
        <v>#N/A</v>
      </c>
      <c r="Y13" s="482"/>
      <c r="Z13" s="110"/>
      <c r="AA13" s="160"/>
      <c r="AB13" s="158"/>
      <c r="AC13" s="110" t="e">
        <f t="shared" si="3"/>
        <v>#N/A</v>
      </c>
      <c r="AD13" s="482"/>
      <c r="AE13" s="160"/>
      <c r="AF13" s="160"/>
      <c r="AG13" s="158"/>
      <c r="AH13" s="110" t="e">
        <f t="shared" si="4"/>
        <v>#N/A</v>
      </c>
      <c r="AI13" s="482"/>
      <c r="AJ13" s="110"/>
      <c r="AK13" s="160"/>
      <c r="AL13" s="158"/>
      <c r="AM13" s="110" t="e">
        <f t="shared" si="5"/>
        <v>#N/A</v>
      </c>
      <c r="AN13" s="482"/>
      <c r="AO13" s="110"/>
      <c r="AP13" s="160"/>
      <c r="AQ13" s="158"/>
      <c r="AR13" s="110" t="e">
        <f t="shared" si="6"/>
        <v>#N/A</v>
      </c>
      <c r="AS13" s="482"/>
      <c r="AT13" s="110"/>
      <c r="AU13" s="160"/>
      <c r="AV13" s="158"/>
      <c r="AW13" s="110" t="e">
        <f t="shared" si="7"/>
        <v>#N/A</v>
      </c>
      <c r="AX13" s="482"/>
    </row>
    <row r="14" spans="1:50" ht="14.25">
      <c r="A14" s="83"/>
      <c r="B14" s="468"/>
      <c r="C14" s="110">
        <v>8</v>
      </c>
      <c r="D14" s="110"/>
      <c r="E14" s="160"/>
      <c r="F14" s="110"/>
      <c r="G14" s="158"/>
      <c r="H14" s="480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0"/>
      <c r="M14" s="173" t="e">
        <f>RANK(K14, K$7:$K$21)</f>
        <v>#DIV/0!</v>
      </c>
      <c r="N14" s="477"/>
      <c r="O14" s="477"/>
      <c r="P14" s="160"/>
      <c r="Q14" s="160"/>
      <c r="R14" s="158"/>
      <c r="S14" s="110" t="e">
        <f t="shared" si="1"/>
        <v>#N/A</v>
      </c>
      <c r="T14" s="482"/>
      <c r="U14" s="160"/>
      <c r="V14" s="160"/>
      <c r="W14" s="158"/>
      <c r="X14" s="110" t="e">
        <f t="shared" si="2"/>
        <v>#N/A</v>
      </c>
      <c r="Y14" s="482"/>
      <c r="Z14" s="110"/>
      <c r="AA14" s="160"/>
      <c r="AB14" s="158"/>
      <c r="AC14" s="110" t="e">
        <f t="shared" si="3"/>
        <v>#N/A</v>
      </c>
      <c r="AD14" s="482"/>
      <c r="AE14" s="160"/>
      <c r="AF14" s="160"/>
      <c r="AG14" s="158"/>
      <c r="AH14" s="110" t="e">
        <f t="shared" si="4"/>
        <v>#N/A</v>
      </c>
      <c r="AI14" s="482"/>
      <c r="AJ14" s="110"/>
      <c r="AK14" s="160"/>
      <c r="AL14" s="158"/>
      <c r="AM14" s="110" t="e">
        <f t="shared" si="5"/>
        <v>#N/A</v>
      </c>
      <c r="AN14" s="482"/>
      <c r="AO14" s="110"/>
      <c r="AP14" s="160"/>
      <c r="AQ14" s="158"/>
      <c r="AR14" s="110" t="e">
        <f t="shared" si="6"/>
        <v>#N/A</v>
      </c>
      <c r="AS14" s="482"/>
      <c r="AT14" s="110"/>
      <c r="AU14" s="160"/>
      <c r="AV14" s="158"/>
      <c r="AW14" s="110" t="e">
        <f t="shared" si="7"/>
        <v>#N/A</v>
      </c>
      <c r="AX14" s="482"/>
    </row>
    <row r="15" spans="1:50" ht="14.25">
      <c r="A15" s="83"/>
      <c r="B15" s="468"/>
      <c r="C15" s="110">
        <v>9</v>
      </c>
      <c r="D15" s="110"/>
      <c r="E15" s="160"/>
      <c r="F15" s="110"/>
      <c r="G15" s="158"/>
      <c r="H15" s="480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0"/>
      <c r="M15" s="173" t="e">
        <f>RANK(K15, K$7:$K$21)</f>
        <v>#DIV/0!</v>
      </c>
      <c r="N15" s="477"/>
      <c r="O15" s="477"/>
      <c r="P15" s="160"/>
      <c r="Q15" s="160"/>
      <c r="R15" s="158"/>
      <c r="S15" s="110" t="e">
        <f t="shared" si="1"/>
        <v>#N/A</v>
      </c>
      <c r="T15" s="482"/>
      <c r="U15" s="160"/>
      <c r="V15" s="160"/>
      <c r="W15" s="158"/>
      <c r="X15" s="110" t="e">
        <f t="shared" si="2"/>
        <v>#N/A</v>
      </c>
      <c r="Y15" s="482"/>
      <c r="Z15" s="110"/>
      <c r="AA15" s="160"/>
      <c r="AB15" s="158"/>
      <c r="AC15" s="110" t="e">
        <f t="shared" si="3"/>
        <v>#N/A</v>
      </c>
      <c r="AD15" s="482"/>
      <c r="AE15" s="160"/>
      <c r="AF15" s="160"/>
      <c r="AG15" s="158"/>
      <c r="AH15" s="110" t="e">
        <f t="shared" si="4"/>
        <v>#N/A</v>
      </c>
      <c r="AI15" s="482"/>
      <c r="AJ15" s="110"/>
      <c r="AK15" s="160"/>
      <c r="AL15" s="158"/>
      <c r="AM15" s="110" t="e">
        <f t="shared" si="5"/>
        <v>#N/A</v>
      </c>
      <c r="AN15" s="482"/>
      <c r="AO15" s="110"/>
      <c r="AP15" s="160"/>
      <c r="AQ15" s="158"/>
      <c r="AR15" s="110" t="e">
        <f t="shared" si="6"/>
        <v>#N/A</v>
      </c>
      <c r="AS15" s="482"/>
      <c r="AT15" s="110"/>
      <c r="AU15" s="160"/>
      <c r="AV15" s="158"/>
      <c r="AW15" s="110" t="e">
        <f t="shared" si="7"/>
        <v>#N/A</v>
      </c>
      <c r="AX15" s="482"/>
    </row>
    <row r="16" spans="1:50" ht="14.25">
      <c r="A16" s="83"/>
      <c r="B16" s="468"/>
      <c r="C16" s="110">
        <v>10</v>
      </c>
      <c r="D16" s="110"/>
      <c r="E16" s="160"/>
      <c r="F16" s="110"/>
      <c r="G16" s="158"/>
      <c r="H16" s="480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0"/>
      <c r="M16" s="173" t="e">
        <f>RANK(K16, K$7:$K$21)</f>
        <v>#DIV/0!</v>
      </c>
      <c r="N16" s="477"/>
      <c r="O16" s="477"/>
      <c r="P16" s="160"/>
      <c r="Q16" s="160"/>
      <c r="R16" s="158"/>
      <c r="S16" s="110" t="e">
        <f t="shared" si="1"/>
        <v>#N/A</v>
      </c>
      <c r="T16" s="482"/>
      <c r="U16" s="160"/>
      <c r="V16" s="160"/>
      <c r="W16" s="158"/>
      <c r="X16" s="110" t="e">
        <f t="shared" si="2"/>
        <v>#N/A</v>
      </c>
      <c r="Y16" s="482"/>
      <c r="Z16" s="110"/>
      <c r="AA16" s="160"/>
      <c r="AB16" s="158"/>
      <c r="AC16" s="110" t="e">
        <f t="shared" si="3"/>
        <v>#N/A</v>
      </c>
      <c r="AD16" s="482"/>
      <c r="AE16" s="160"/>
      <c r="AF16" s="160"/>
      <c r="AG16" s="158"/>
      <c r="AH16" s="110" t="e">
        <f t="shared" si="4"/>
        <v>#N/A</v>
      </c>
      <c r="AI16" s="482"/>
      <c r="AJ16" s="110"/>
      <c r="AK16" s="160"/>
      <c r="AL16" s="158"/>
      <c r="AM16" s="110" t="e">
        <f t="shared" si="5"/>
        <v>#N/A</v>
      </c>
      <c r="AN16" s="482"/>
      <c r="AO16" s="110"/>
      <c r="AP16" s="160"/>
      <c r="AQ16" s="158"/>
      <c r="AR16" s="110" t="e">
        <f t="shared" si="6"/>
        <v>#N/A</v>
      </c>
      <c r="AS16" s="482"/>
      <c r="AT16" s="110"/>
      <c r="AU16" s="160"/>
      <c r="AV16" s="158"/>
      <c r="AW16" s="110" t="e">
        <f t="shared" si="7"/>
        <v>#N/A</v>
      </c>
      <c r="AX16" s="482"/>
    </row>
    <row r="17" spans="2:50">
      <c r="B17" s="468"/>
      <c r="C17" s="110">
        <v>11</v>
      </c>
      <c r="D17" s="110"/>
      <c r="E17" s="110"/>
      <c r="F17" s="110"/>
      <c r="G17" s="110"/>
      <c r="H17" s="480"/>
      <c r="I17" s="110"/>
      <c r="J17" s="110"/>
      <c r="K17" s="110"/>
      <c r="L17" s="480"/>
      <c r="M17" s="173" t="e">
        <f>RANK(K17, K$7:$K$21)</f>
        <v>#DIV/0!</v>
      </c>
      <c r="N17" s="477"/>
      <c r="O17" s="477"/>
      <c r="P17" s="110"/>
      <c r="Q17" s="110"/>
      <c r="R17" s="110"/>
      <c r="S17" s="110" t="e">
        <f t="shared" si="1"/>
        <v>#N/A</v>
      </c>
      <c r="T17" s="482"/>
      <c r="U17" s="110"/>
      <c r="V17" s="110"/>
      <c r="W17" s="110"/>
      <c r="X17" s="110" t="e">
        <f t="shared" si="2"/>
        <v>#N/A</v>
      </c>
      <c r="Y17" s="482"/>
      <c r="Z17" s="110"/>
      <c r="AA17" s="110"/>
      <c r="AB17" s="110"/>
      <c r="AC17" s="110" t="e">
        <f t="shared" si="3"/>
        <v>#N/A</v>
      </c>
      <c r="AD17" s="482"/>
      <c r="AE17" s="110"/>
      <c r="AF17" s="110"/>
      <c r="AG17" s="110"/>
      <c r="AH17" s="110" t="e">
        <f t="shared" si="4"/>
        <v>#N/A</v>
      </c>
      <c r="AI17" s="482"/>
      <c r="AJ17" s="110"/>
      <c r="AK17" s="110"/>
      <c r="AL17" s="110"/>
      <c r="AM17" s="110" t="e">
        <f t="shared" si="5"/>
        <v>#N/A</v>
      </c>
      <c r="AN17" s="482"/>
      <c r="AO17" s="110"/>
      <c r="AP17" s="110"/>
      <c r="AQ17" s="110"/>
      <c r="AR17" s="110" t="e">
        <f t="shared" si="6"/>
        <v>#N/A</v>
      </c>
      <c r="AS17" s="482"/>
      <c r="AT17" s="110"/>
      <c r="AU17" s="110"/>
      <c r="AV17" s="110"/>
      <c r="AW17" s="110" t="e">
        <f t="shared" si="7"/>
        <v>#N/A</v>
      </c>
      <c r="AX17" s="482"/>
    </row>
    <row r="18" spans="2:50">
      <c r="B18" s="468"/>
      <c r="C18" s="110">
        <v>12</v>
      </c>
      <c r="D18" s="110"/>
      <c r="E18" s="110"/>
      <c r="F18" s="110"/>
      <c r="G18" s="110"/>
      <c r="H18" s="480"/>
      <c r="I18" s="110"/>
      <c r="J18" s="110"/>
      <c r="K18" s="110"/>
      <c r="L18" s="480"/>
      <c r="M18" s="173" t="e">
        <f>RANK(K18, K$7:$K$21)</f>
        <v>#DIV/0!</v>
      </c>
      <c r="N18" s="477"/>
      <c r="O18" s="477"/>
      <c r="P18" s="110"/>
      <c r="Q18" s="110"/>
      <c r="R18" s="110"/>
      <c r="S18" s="110" t="e">
        <f t="shared" si="1"/>
        <v>#N/A</v>
      </c>
      <c r="T18" s="482"/>
      <c r="U18" s="110"/>
      <c r="V18" s="110"/>
      <c r="W18" s="110"/>
      <c r="X18" s="110" t="e">
        <f t="shared" si="2"/>
        <v>#N/A</v>
      </c>
      <c r="Y18" s="482"/>
      <c r="Z18" s="110"/>
      <c r="AA18" s="110"/>
      <c r="AB18" s="110"/>
      <c r="AC18" s="110" t="e">
        <f t="shared" si="3"/>
        <v>#N/A</v>
      </c>
      <c r="AD18" s="482"/>
      <c r="AE18" s="110"/>
      <c r="AF18" s="110"/>
      <c r="AG18" s="110"/>
      <c r="AH18" s="110" t="e">
        <f t="shared" si="4"/>
        <v>#N/A</v>
      </c>
      <c r="AI18" s="482"/>
      <c r="AJ18" s="110"/>
      <c r="AK18" s="110"/>
      <c r="AL18" s="110"/>
      <c r="AM18" s="110" t="e">
        <f t="shared" si="5"/>
        <v>#N/A</v>
      </c>
      <c r="AN18" s="482"/>
      <c r="AO18" s="110"/>
      <c r="AP18" s="110"/>
      <c r="AQ18" s="110"/>
      <c r="AR18" s="110" t="e">
        <f t="shared" si="6"/>
        <v>#N/A</v>
      </c>
      <c r="AS18" s="482"/>
      <c r="AT18" s="110"/>
      <c r="AU18" s="110"/>
      <c r="AV18" s="110"/>
      <c r="AW18" s="110" t="e">
        <f t="shared" si="7"/>
        <v>#N/A</v>
      </c>
      <c r="AX18" s="482"/>
    </row>
    <row r="19" spans="2:50">
      <c r="B19" s="468"/>
      <c r="C19" s="110">
        <v>13</v>
      </c>
      <c r="D19" s="110"/>
      <c r="E19" s="110"/>
      <c r="F19" s="110"/>
      <c r="G19" s="110"/>
      <c r="H19" s="480"/>
      <c r="I19" s="110"/>
      <c r="J19" s="110"/>
      <c r="K19" s="110"/>
      <c r="L19" s="480"/>
      <c r="M19" s="173" t="e">
        <f>RANK(K19, K$7:$K$21)</f>
        <v>#DIV/0!</v>
      </c>
      <c r="N19" s="477"/>
      <c r="O19" s="477"/>
      <c r="P19" s="110"/>
      <c r="Q19" s="110"/>
      <c r="R19" s="110"/>
      <c r="S19" s="110" t="e">
        <f t="shared" si="1"/>
        <v>#N/A</v>
      </c>
      <c r="T19" s="482"/>
      <c r="U19" s="110"/>
      <c r="V19" s="110"/>
      <c r="W19" s="110"/>
      <c r="X19" s="110" t="e">
        <f t="shared" si="2"/>
        <v>#N/A</v>
      </c>
      <c r="Y19" s="482"/>
      <c r="Z19" s="110"/>
      <c r="AA19" s="110"/>
      <c r="AB19" s="110"/>
      <c r="AC19" s="110" t="e">
        <f t="shared" si="3"/>
        <v>#N/A</v>
      </c>
      <c r="AD19" s="482"/>
      <c r="AE19" s="110"/>
      <c r="AF19" s="110"/>
      <c r="AG19" s="110"/>
      <c r="AH19" s="110" t="e">
        <f t="shared" si="4"/>
        <v>#N/A</v>
      </c>
      <c r="AI19" s="482"/>
      <c r="AJ19" s="110"/>
      <c r="AK19" s="110"/>
      <c r="AL19" s="110"/>
      <c r="AM19" s="110" t="e">
        <f t="shared" si="5"/>
        <v>#N/A</v>
      </c>
      <c r="AN19" s="482"/>
      <c r="AO19" s="110"/>
      <c r="AP19" s="110"/>
      <c r="AQ19" s="110"/>
      <c r="AR19" s="110" t="e">
        <f t="shared" si="6"/>
        <v>#N/A</v>
      </c>
      <c r="AS19" s="482"/>
      <c r="AT19" s="110"/>
      <c r="AU19" s="110"/>
      <c r="AV19" s="110"/>
      <c r="AW19" s="110" t="e">
        <f t="shared" si="7"/>
        <v>#N/A</v>
      </c>
      <c r="AX19" s="482"/>
    </row>
    <row r="20" spans="2:50">
      <c r="B20" s="468"/>
      <c r="C20" s="110">
        <v>14</v>
      </c>
      <c r="D20" s="110"/>
      <c r="E20" s="110"/>
      <c r="F20" s="110"/>
      <c r="G20" s="110"/>
      <c r="H20" s="480"/>
      <c r="I20" s="110"/>
      <c r="J20" s="110"/>
      <c r="K20" s="110"/>
      <c r="L20" s="480"/>
      <c r="M20" s="173" t="e">
        <f>RANK(K20, K$7:$K$21)</f>
        <v>#DIV/0!</v>
      </c>
      <c r="N20" s="477"/>
      <c r="O20" s="477"/>
      <c r="P20" s="110"/>
      <c r="Q20" s="110"/>
      <c r="R20" s="110"/>
      <c r="S20" s="110" t="e">
        <f t="shared" si="1"/>
        <v>#N/A</v>
      </c>
      <c r="T20" s="482"/>
      <c r="U20" s="110"/>
      <c r="V20" s="110"/>
      <c r="W20" s="110"/>
      <c r="X20" s="110" t="e">
        <f t="shared" si="2"/>
        <v>#N/A</v>
      </c>
      <c r="Y20" s="482"/>
      <c r="Z20" s="110"/>
      <c r="AA20" s="110"/>
      <c r="AB20" s="110"/>
      <c r="AC20" s="110" t="e">
        <f t="shared" si="3"/>
        <v>#N/A</v>
      </c>
      <c r="AD20" s="482"/>
      <c r="AE20" s="110"/>
      <c r="AF20" s="110"/>
      <c r="AG20" s="110"/>
      <c r="AH20" s="110" t="e">
        <f t="shared" si="4"/>
        <v>#N/A</v>
      </c>
      <c r="AI20" s="482"/>
      <c r="AJ20" s="110"/>
      <c r="AK20" s="110"/>
      <c r="AL20" s="110"/>
      <c r="AM20" s="110" t="e">
        <f t="shared" si="5"/>
        <v>#N/A</v>
      </c>
      <c r="AN20" s="482"/>
      <c r="AO20" s="110"/>
      <c r="AP20" s="110"/>
      <c r="AQ20" s="110"/>
      <c r="AR20" s="110" t="e">
        <f t="shared" si="6"/>
        <v>#N/A</v>
      </c>
      <c r="AS20" s="482"/>
      <c r="AT20" s="110"/>
      <c r="AU20" s="110"/>
      <c r="AV20" s="110"/>
      <c r="AW20" s="110" t="e">
        <f t="shared" si="7"/>
        <v>#N/A</v>
      </c>
      <c r="AX20" s="482"/>
    </row>
    <row r="21" spans="2:50">
      <c r="B21" s="468"/>
      <c r="C21" s="110">
        <v>15</v>
      </c>
      <c r="D21" s="110"/>
      <c r="E21" s="110"/>
      <c r="F21" s="110"/>
      <c r="G21" s="110"/>
      <c r="H21" s="481"/>
      <c r="I21" s="110"/>
      <c r="J21" s="110"/>
      <c r="K21" s="110"/>
      <c r="L21" s="481"/>
      <c r="M21" s="160" t="e">
        <f>RANK(K21, K$7:$K$21)</f>
        <v>#DIV/0!</v>
      </c>
      <c r="N21" s="477"/>
      <c r="O21" s="477"/>
      <c r="P21" s="110"/>
      <c r="Q21" s="110"/>
      <c r="R21" s="110"/>
      <c r="S21" s="110" t="e">
        <f t="shared" si="1"/>
        <v>#N/A</v>
      </c>
      <c r="T21" s="482"/>
      <c r="U21" s="110"/>
      <c r="V21" s="110"/>
      <c r="W21" s="110"/>
      <c r="X21" s="110" t="e">
        <f t="shared" si="2"/>
        <v>#N/A</v>
      </c>
      <c r="Y21" s="482"/>
      <c r="Z21" s="110"/>
      <c r="AA21" s="110"/>
      <c r="AB21" s="110"/>
      <c r="AC21" s="110" t="e">
        <f t="shared" si="3"/>
        <v>#N/A</v>
      </c>
      <c r="AD21" s="482"/>
      <c r="AE21" s="110"/>
      <c r="AF21" s="110"/>
      <c r="AG21" s="110"/>
      <c r="AH21" s="110" t="e">
        <f t="shared" si="4"/>
        <v>#N/A</v>
      </c>
      <c r="AI21" s="482"/>
      <c r="AJ21" s="110"/>
      <c r="AK21" s="110"/>
      <c r="AL21" s="110"/>
      <c r="AM21" s="110" t="e">
        <f t="shared" si="5"/>
        <v>#N/A</v>
      </c>
      <c r="AN21" s="482"/>
      <c r="AO21" s="110"/>
      <c r="AP21" s="110"/>
      <c r="AQ21" s="110"/>
      <c r="AR21" s="110" t="e">
        <f t="shared" si="6"/>
        <v>#N/A</v>
      </c>
      <c r="AS21" s="482"/>
      <c r="AT21" s="110"/>
      <c r="AU21" s="110"/>
      <c r="AV21" s="110"/>
      <c r="AW21" s="110" t="e">
        <f t="shared" si="7"/>
        <v>#N/A</v>
      </c>
      <c r="AX21" s="482"/>
    </row>
    <row r="22" spans="2:50" ht="15.75">
      <c r="B22" s="487" t="s">
        <v>44</v>
      </c>
      <c r="C22" s="488"/>
      <c r="D22" s="488"/>
      <c r="E22" s="488"/>
      <c r="F22" s="488"/>
      <c r="G22" s="488"/>
      <c r="H22" s="488"/>
      <c r="I22" s="159"/>
      <c r="J22" s="159"/>
      <c r="K22" s="159"/>
      <c r="L22" s="159"/>
      <c r="M22" s="155"/>
      <c r="N22" s="472" t="s">
        <v>45</v>
      </c>
      <c r="O22" s="472" t="s">
        <v>3</v>
      </c>
      <c r="P22" s="467">
        <v>45874</v>
      </c>
      <c r="Q22" s="468"/>
      <c r="R22" s="468"/>
      <c r="S22" s="468"/>
      <c r="T22" s="468"/>
      <c r="U22" s="467">
        <v>45875</v>
      </c>
      <c r="V22" s="468"/>
      <c r="W22" s="468"/>
      <c r="X22" s="468"/>
      <c r="Y22" s="468"/>
      <c r="Z22" s="467">
        <v>45876</v>
      </c>
      <c r="AA22" s="468"/>
      <c r="AB22" s="468"/>
      <c r="AC22" s="468"/>
      <c r="AD22" s="468"/>
      <c r="AE22" s="467">
        <v>45877</v>
      </c>
      <c r="AF22" s="468"/>
      <c r="AG22" s="468"/>
      <c r="AH22" s="468"/>
      <c r="AI22" s="468"/>
      <c r="AJ22" s="467">
        <v>45878</v>
      </c>
      <c r="AK22" s="468"/>
      <c r="AL22" s="468"/>
      <c r="AM22" s="468"/>
      <c r="AN22" s="468"/>
      <c r="AO22" s="467">
        <v>45879</v>
      </c>
      <c r="AP22" s="468"/>
      <c r="AQ22" s="468"/>
      <c r="AR22" s="468"/>
      <c r="AS22" s="468"/>
      <c r="AT22" s="467">
        <v>45880</v>
      </c>
      <c r="AU22" s="468"/>
      <c r="AV22" s="468"/>
      <c r="AW22" s="468"/>
      <c r="AX22" s="468"/>
    </row>
    <row r="23" spans="2:50" ht="15.75">
      <c r="B23" s="471"/>
      <c r="C23" s="471"/>
      <c r="D23" s="471"/>
      <c r="E23" s="471"/>
      <c r="F23" s="471"/>
      <c r="G23" s="471"/>
      <c r="H23" s="471"/>
      <c r="I23" s="156"/>
      <c r="J23" s="156"/>
      <c r="K23" s="156"/>
      <c r="L23" s="156"/>
      <c r="M23" s="157"/>
      <c r="N23" s="473"/>
      <c r="O23" s="473"/>
      <c r="P23" s="467" t="s">
        <v>16</v>
      </c>
      <c r="Q23" s="468"/>
      <c r="R23" s="468"/>
      <c r="S23" s="468"/>
      <c r="T23" s="468"/>
      <c r="U23" s="467" t="s">
        <v>17</v>
      </c>
      <c r="V23" s="468"/>
      <c r="W23" s="468"/>
      <c r="X23" s="468"/>
      <c r="Y23" s="468"/>
      <c r="Z23" s="467" t="s">
        <v>18</v>
      </c>
      <c r="AA23" s="468"/>
      <c r="AB23" s="468"/>
      <c r="AC23" s="468"/>
      <c r="AD23" s="468"/>
      <c r="AE23" s="467" t="s">
        <v>19</v>
      </c>
      <c r="AF23" s="468"/>
      <c r="AG23" s="468"/>
      <c r="AH23" s="468"/>
      <c r="AI23" s="468"/>
      <c r="AJ23" s="467" t="s">
        <v>14</v>
      </c>
      <c r="AK23" s="468"/>
      <c r="AL23" s="468"/>
      <c r="AM23" s="468"/>
      <c r="AN23" s="468"/>
      <c r="AO23" s="467" t="s">
        <v>10</v>
      </c>
      <c r="AP23" s="468"/>
      <c r="AQ23" s="468"/>
      <c r="AR23" s="468"/>
      <c r="AS23" s="468"/>
      <c r="AT23" s="467" t="s">
        <v>15</v>
      </c>
      <c r="AU23" s="468"/>
      <c r="AV23" s="468"/>
      <c r="AW23" s="468"/>
      <c r="AX23" s="468"/>
    </row>
    <row r="24" spans="2:50">
      <c r="B24" s="477" t="s">
        <v>46</v>
      </c>
      <c r="C24" s="477" t="s">
        <v>47</v>
      </c>
      <c r="D24" s="477"/>
      <c r="E24" s="477" t="s">
        <v>48</v>
      </c>
      <c r="F24" s="477"/>
      <c r="G24" s="477"/>
      <c r="H24" s="483" t="s">
        <v>49</v>
      </c>
      <c r="I24" s="477" t="s">
        <v>50</v>
      </c>
      <c r="J24" s="477"/>
      <c r="K24" s="477"/>
      <c r="L24" s="483" t="s">
        <v>49</v>
      </c>
      <c r="M24" s="472" t="s">
        <v>51</v>
      </c>
      <c r="N24" s="477"/>
      <c r="O24" s="477" t="s">
        <v>52</v>
      </c>
      <c r="P24" s="474" t="s">
        <v>53</v>
      </c>
      <c r="Q24" s="475"/>
      <c r="R24" s="475"/>
      <c r="S24" s="476"/>
      <c r="T24" s="477" t="s">
        <v>49</v>
      </c>
      <c r="U24" s="474" t="s">
        <v>53</v>
      </c>
      <c r="V24" s="475"/>
      <c r="W24" s="475"/>
      <c r="X24" s="476"/>
      <c r="Y24" s="477" t="s">
        <v>49</v>
      </c>
      <c r="Z24" s="474" t="s">
        <v>53</v>
      </c>
      <c r="AA24" s="475"/>
      <c r="AB24" s="475"/>
      <c r="AC24" s="476"/>
      <c r="AD24" s="477" t="s">
        <v>49</v>
      </c>
      <c r="AE24" s="474" t="s">
        <v>53</v>
      </c>
      <c r="AF24" s="475"/>
      <c r="AG24" s="475"/>
      <c r="AH24" s="476"/>
      <c r="AI24" s="477" t="s">
        <v>49</v>
      </c>
      <c r="AJ24" s="474" t="s">
        <v>53</v>
      </c>
      <c r="AK24" s="475"/>
      <c r="AL24" s="475"/>
      <c r="AM24" s="476"/>
      <c r="AN24" s="477" t="s">
        <v>49</v>
      </c>
      <c r="AO24" s="474" t="s">
        <v>53</v>
      </c>
      <c r="AP24" s="475"/>
      <c r="AQ24" s="475"/>
      <c r="AR24" s="476"/>
      <c r="AS24" s="477" t="s">
        <v>49</v>
      </c>
      <c r="AT24" s="474" t="s">
        <v>53</v>
      </c>
      <c r="AU24" s="475"/>
      <c r="AV24" s="475"/>
      <c r="AW24" s="476"/>
      <c r="AX24" s="477" t="s">
        <v>49</v>
      </c>
    </row>
    <row r="25" spans="2:50">
      <c r="B25" s="477"/>
      <c r="C25" s="477"/>
      <c r="D25" s="477"/>
      <c r="E25" s="477" t="s">
        <v>54</v>
      </c>
      <c r="F25" s="477"/>
      <c r="G25" s="477"/>
      <c r="H25" s="484"/>
      <c r="I25" s="477" t="s">
        <v>54</v>
      </c>
      <c r="J25" s="477"/>
      <c r="K25" s="477"/>
      <c r="L25" s="484"/>
      <c r="M25" s="486"/>
      <c r="N25" s="477"/>
      <c r="O25" s="477"/>
      <c r="P25" s="474" t="s">
        <v>55</v>
      </c>
      <c r="Q25" s="475"/>
      <c r="R25" s="475"/>
      <c r="S25" s="476"/>
      <c r="T25" s="477"/>
      <c r="U25" s="474" t="s">
        <v>55</v>
      </c>
      <c r="V25" s="475"/>
      <c r="W25" s="475"/>
      <c r="X25" s="476"/>
      <c r="Y25" s="477"/>
      <c r="Z25" s="474" t="s">
        <v>55</v>
      </c>
      <c r="AA25" s="475"/>
      <c r="AB25" s="475"/>
      <c r="AC25" s="476"/>
      <c r="AD25" s="477"/>
      <c r="AE25" s="474" t="s">
        <v>55</v>
      </c>
      <c r="AF25" s="475"/>
      <c r="AG25" s="475"/>
      <c r="AH25" s="476"/>
      <c r="AI25" s="477"/>
      <c r="AJ25" s="474" t="s">
        <v>55</v>
      </c>
      <c r="AK25" s="475"/>
      <c r="AL25" s="475"/>
      <c r="AM25" s="476"/>
      <c r="AN25" s="477"/>
      <c r="AO25" s="474" t="s">
        <v>55</v>
      </c>
      <c r="AP25" s="475"/>
      <c r="AQ25" s="475"/>
      <c r="AR25" s="476"/>
      <c r="AS25" s="477"/>
      <c r="AT25" s="474" t="s">
        <v>55</v>
      </c>
      <c r="AU25" s="475"/>
      <c r="AV25" s="475"/>
      <c r="AW25" s="476"/>
      <c r="AX25" s="477"/>
    </row>
    <row r="26" spans="2:50">
      <c r="B26" s="477"/>
      <c r="C26" s="477"/>
      <c r="D26" s="477"/>
      <c r="E26" s="109" t="s">
        <v>56</v>
      </c>
      <c r="F26" s="109" t="s">
        <v>57</v>
      </c>
      <c r="G26" s="109" t="s">
        <v>58</v>
      </c>
      <c r="H26" s="485"/>
      <c r="I26" s="109" t="s">
        <v>56</v>
      </c>
      <c r="J26" s="109" t="s">
        <v>57</v>
      </c>
      <c r="K26" s="109" t="s">
        <v>58</v>
      </c>
      <c r="L26" s="485"/>
      <c r="M26" s="473"/>
      <c r="N26" s="477"/>
      <c r="O26" s="477"/>
      <c r="P26" s="109" t="s">
        <v>56</v>
      </c>
      <c r="Q26" s="109" t="s">
        <v>57</v>
      </c>
      <c r="R26" s="109" t="s">
        <v>58</v>
      </c>
      <c r="S26" s="109" t="s">
        <v>51</v>
      </c>
      <c r="T26" s="477"/>
      <c r="U26" s="109" t="s">
        <v>56</v>
      </c>
      <c r="V26" s="109" t="s">
        <v>57</v>
      </c>
      <c r="W26" s="109" t="s">
        <v>58</v>
      </c>
      <c r="X26" s="109" t="s">
        <v>51</v>
      </c>
      <c r="Y26" s="477"/>
      <c r="Z26" s="109" t="s">
        <v>56</v>
      </c>
      <c r="AA26" s="109" t="s">
        <v>57</v>
      </c>
      <c r="AB26" s="109" t="s">
        <v>58</v>
      </c>
      <c r="AC26" s="109" t="s">
        <v>51</v>
      </c>
      <c r="AD26" s="477"/>
      <c r="AE26" s="109" t="s">
        <v>56</v>
      </c>
      <c r="AF26" s="109" t="s">
        <v>57</v>
      </c>
      <c r="AG26" s="109" t="s">
        <v>58</v>
      </c>
      <c r="AH26" s="109" t="s">
        <v>51</v>
      </c>
      <c r="AI26" s="477"/>
      <c r="AJ26" s="109" t="s">
        <v>56</v>
      </c>
      <c r="AK26" s="109" t="s">
        <v>57</v>
      </c>
      <c r="AL26" s="109" t="s">
        <v>58</v>
      </c>
      <c r="AM26" s="109" t="s">
        <v>51</v>
      </c>
      <c r="AN26" s="477"/>
      <c r="AO26" s="109" t="s">
        <v>56</v>
      </c>
      <c r="AP26" s="109" t="s">
        <v>57</v>
      </c>
      <c r="AQ26" s="109" t="s">
        <v>58</v>
      </c>
      <c r="AR26" s="109" t="s">
        <v>51</v>
      </c>
      <c r="AS26" s="477"/>
      <c r="AT26" s="109" t="s">
        <v>56</v>
      </c>
      <c r="AU26" s="109" t="s">
        <v>57</v>
      </c>
      <c r="AV26" s="109" t="s">
        <v>58</v>
      </c>
      <c r="AW26" s="109" t="s">
        <v>51</v>
      </c>
      <c r="AX26" s="477"/>
    </row>
    <row r="27" spans="2:50">
      <c r="B27" s="477" t="s">
        <v>60</v>
      </c>
      <c r="C27" s="110">
        <v>1</v>
      </c>
      <c r="D27" s="110"/>
      <c r="E27" s="110"/>
      <c r="F27" s="110"/>
      <c r="G27" s="110"/>
      <c r="H27" s="489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79" t="e">
        <f>AVERAGE(K27:K41)</f>
        <v>#DIV/0!</v>
      </c>
      <c r="M27" s="173" t="e">
        <f>RANK(K27, K$27:$K$41)</f>
        <v>#DIV/0!</v>
      </c>
      <c r="N27" s="477"/>
      <c r="O27" s="477"/>
      <c r="P27" s="110"/>
      <c r="Q27" s="110"/>
      <c r="R27" s="110"/>
      <c r="S27" s="110"/>
      <c r="T27" s="468" t="e">
        <f>AVERAGE(R27:R41)</f>
        <v>#DIV/0!</v>
      </c>
      <c r="U27" s="110"/>
      <c r="V27" s="110"/>
      <c r="W27" s="110"/>
      <c r="X27" s="110"/>
      <c r="Y27" s="468" t="e">
        <f>AVERAGE(W27:W41)</f>
        <v>#DIV/0!</v>
      </c>
      <c r="Z27" s="110"/>
      <c r="AA27" s="110"/>
      <c r="AB27" s="110"/>
      <c r="AC27" s="110"/>
      <c r="AD27" s="468" t="e">
        <f>AVERAGE(AB27:AB41)</f>
        <v>#DIV/0!</v>
      </c>
      <c r="AE27" s="110"/>
      <c r="AF27" s="110"/>
      <c r="AG27" s="110"/>
      <c r="AH27" s="110"/>
      <c r="AI27" s="468" t="e">
        <f>AVERAGE(AG27:AG41)</f>
        <v>#DIV/0!</v>
      </c>
      <c r="AJ27" s="110"/>
      <c r="AK27" s="110"/>
      <c r="AL27" s="110"/>
      <c r="AM27" s="110"/>
      <c r="AN27" s="468" t="e">
        <f>AVERAGE(AL27:AL41)</f>
        <v>#DIV/0!</v>
      </c>
      <c r="AO27" s="110"/>
      <c r="AP27" s="110"/>
      <c r="AQ27" s="110"/>
      <c r="AR27" s="110"/>
      <c r="AS27" s="468" t="e">
        <f>AVERAGE(AQ27:AQ41)</f>
        <v>#DIV/0!</v>
      </c>
      <c r="AT27" s="110"/>
      <c r="AU27" s="110"/>
      <c r="AV27" s="110"/>
      <c r="AW27" s="110"/>
      <c r="AX27" s="468" t="e">
        <f>AVERAGE(AV27:AV41)</f>
        <v>#DIV/0!</v>
      </c>
    </row>
    <row r="28" spans="2:50">
      <c r="B28" s="468"/>
      <c r="C28" s="110">
        <v>2</v>
      </c>
      <c r="D28" s="110"/>
      <c r="E28" s="110"/>
      <c r="F28" s="110"/>
      <c r="G28" s="110"/>
      <c r="H28" s="490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0"/>
      <c r="M28" s="173" t="e">
        <f>RANK(K28, K$27:$K$41)</f>
        <v>#DIV/0!</v>
      </c>
      <c r="N28" s="477"/>
      <c r="O28" s="477"/>
      <c r="P28" s="110"/>
      <c r="Q28" s="110"/>
      <c r="R28" s="110"/>
      <c r="S28" s="110"/>
      <c r="T28" s="468"/>
      <c r="U28" s="110"/>
      <c r="V28" s="110"/>
      <c r="W28" s="110"/>
      <c r="X28" s="110"/>
      <c r="Y28" s="468"/>
      <c r="Z28" s="110"/>
      <c r="AA28" s="110"/>
      <c r="AB28" s="110"/>
      <c r="AC28" s="110"/>
      <c r="AD28" s="468"/>
      <c r="AE28" s="110"/>
      <c r="AF28" s="110"/>
      <c r="AG28" s="110"/>
      <c r="AH28" s="110"/>
      <c r="AI28" s="468"/>
      <c r="AJ28" s="110"/>
      <c r="AK28" s="110"/>
      <c r="AL28" s="110"/>
      <c r="AM28" s="110"/>
      <c r="AN28" s="468"/>
      <c r="AO28" s="110"/>
      <c r="AP28" s="110"/>
      <c r="AQ28" s="110"/>
      <c r="AR28" s="110"/>
      <c r="AS28" s="468"/>
      <c r="AT28" s="110"/>
      <c r="AU28" s="110"/>
      <c r="AV28" s="110"/>
      <c r="AW28" s="110"/>
      <c r="AX28" s="468"/>
    </row>
    <row r="29" spans="2:50">
      <c r="B29" s="468"/>
      <c r="C29" s="110">
        <v>3</v>
      </c>
      <c r="D29" s="110"/>
      <c r="E29" s="110"/>
      <c r="F29" s="110"/>
      <c r="G29" s="110"/>
      <c r="H29" s="490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0"/>
      <c r="M29" s="173" t="e">
        <f>RANK(K29, K$27:$K$41)</f>
        <v>#DIV/0!</v>
      </c>
      <c r="N29" s="477"/>
      <c r="O29" s="477"/>
      <c r="P29" s="110"/>
      <c r="Q29" s="110"/>
      <c r="R29" s="110"/>
      <c r="S29" s="110"/>
      <c r="T29" s="468"/>
      <c r="U29" s="110"/>
      <c r="V29" s="110"/>
      <c r="W29" s="110"/>
      <c r="X29" s="110"/>
      <c r="Y29" s="468"/>
      <c r="Z29" s="110"/>
      <c r="AA29" s="110"/>
      <c r="AB29" s="110"/>
      <c r="AC29" s="110"/>
      <c r="AD29" s="468"/>
      <c r="AE29" s="110"/>
      <c r="AF29" s="110"/>
      <c r="AG29" s="110"/>
      <c r="AH29" s="110"/>
      <c r="AI29" s="468"/>
      <c r="AJ29" s="110"/>
      <c r="AK29" s="110"/>
      <c r="AL29" s="110"/>
      <c r="AM29" s="110"/>
      <c r="AN29" s="468"/>
      <c r="AO29" s="110"/>
      <c r="AP29" s="110"/>
      <c r="AQ29" s="110"/>
      <c r="AR29" s="110"/>
      <c r="AS29" s="468"/>
      <c r="AT29" s="110"/>
      <c r="AU29" s="110"/>
      <c r="AV29" s="110"/>
      <c r="AW29" s="110"/>
      <c r="AX29" s="468"/>
    </row>
    <row r="30" spans="2:50">
      <c r="B30" s="468"/>
      <c r="C30" s="110">
        <v>4</v>
      </c>
      <c r="D30" s="110"/>
      <c r="E30" s="110"/>
      <c r="F30" s="110"/>
      <c r="G30" s="110"/>
      <c r="H30" s="490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0"/>
      <c r="M30" s="173" t="e">
        <f>RANK(K30, K$27:$K$41)</f>
        <v>#DIV/0!</v>
      </c>
      <c r="N30" s="477"/>
      <c r="O30" s="477"/>
      <c r="P30" s="110"/>
      <c r="Q30" s="110"/>
      <c r="R30" s="110"/>
      <c r="S30" s="110"/>
      <c r="T30" s="468"/>
      <c r="U30" s="110"/>
      <c r="V30" s="110"/>
      <c r="W30" s="110"/>
      <c r="X30" s="110"/>
      <c r="Y30" s="468"/>
      <c r="Z30" s="110"/>
      <c r="AA30" s="110"/>
      <c r="AB30" s="110"/>
      <c r="AC30" s="110"/>
      <c r="AD30" s="468"/>
      <c r="AE30" s="110"/>
      <c r="AF30" s="110"/>
      <c r="AG30" s="110"/>
      <c r="AH30" s="110"/>
      <c r="AI30" s="468"/>
      <c r="AJ30" s="110"/>
      <c r="AK30" s="110"/>
      <c r="AL30" s="110"/>
      <c r="AM30" s="110"/>
      <c r="AN30" s="468"/>
      <c r="AO30" s="110"/>
      <c r="AP30" s="110"/>
      <c r="AQ30" s="110"/>
      <c r="AR30" s="110"/>
      <c r="AS30" s="468"/>
      <c r="AT30" s="110"/>
      <c r="AU30" s="110"/>
      <c r="AV30" s="110"/>
      <c r="AW30" s="110"/>
      <c r="AX30" s="468"/>
    </row>
    <row r="31" spans="2:50">
      <c r="B31" s="468"/>
      <c r="C31" s="110">
        <v>5</v>
      </c>
      <c r="D31" s="110"/>
      <c r="E31" s="110"/>
      <c r="F31" s="110"/>
      <c r="G31" s="110"/>
      <c r="H31" s="490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0"/>
      <c r="M31" s="173" t="e">
        <f>RANK(K31, K$27:$K$41)</f>
        <v>#DIV/0!</v>
      </c>
      <c r="N31" s="477"/>
      <c r="O31" s="477"/>
      <c r="P31" s="110"/>
      <c r="Q31" s="110"/>
      <c r="R31" s="110"/>
      <c r="S31" s="110"/>
      <c r="T31" s="468"/>
      <c r="U31" s="110"/>
      <c r="V31" s="110"/>
      <c r="W31" s="110"/>
      <c r="X31" s="110"/>
      <c r="Y31" s="468"/>
      <c r="Z31" s="110"/>
      <c r="AA31" s="110"/>
      <c r="AB31" s="110"/>
      <c r="AC31" s="110"/>
      <c r="AD31" s="468"/>
      <c r="AE31" s="110"/>
      <c r="AF31" s="110"/>
      <c r="AG31" s="110"/>
      <c r="AH31" s="110"/>
      <c r="AI31" s="468"/>
      <c r="AJ31" s="110"/>
      <c r="AK31" s="110"/>
      <c r="AL31" s="110"/>
      <c r="AM31" s="110"/>
      <c r="AN31" s="468"/>
      <c r="AO31" s="110"/>
      <c r="AP31" s="110"/>
      <c r="AQ31" s="110"/>
      <c r="AR31" s="110"/>
      <c r="AS31" s="468"/>
      <c r="AT31" s="110"/>
      <c r="AU31" s="110"/>
      <c r="AV31" s="110"/>
      <c r="AW31" s="110"/>
      <c r="AX31" s="468"/>
    </row>
    <row r="32" spans="2:50">
      <c r="B32" s="468"/>
      <c r="C32" s="110">
        <v>6</v>
      </c>
      <c r="D32" s="110"/>
      <c r="E32" s="110"/>
      <c r="F32" s="110"/>
      <c r="G32" s="110"/>
      <c r="H32" s="490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0"/>
      <c r="M32" s="173" t="e">
        <f>RANK(K32, K$27:$K$41)</f>
        <v>#DIV/0!</v>
      </c>
      <c r="N32" s="477"/>
      <c r="O32" s="477"/>
      <c r="P32" s="110"/>
      <c r="Q32" s="110"/>
      <c r="R32" s="110"/>
      <c r="S32" s="110"/>
      <c r="T32" s="468"/>
      <c r="U32" s="110"/>
      <c r="V32" s="110"/>
      <c r="W32" s="110"/>
      <c r="X32" s="110"/>
      <c r="Y32" s="468"/>
      <c r="Z32" s="110"/>
      <c r="AA32" s="110"/>
      <c r="AB32" s="110"/>
      <c r="AC32" s="110"/>
      <c r="AD32" s="468"/>
      <c r="AE32" s="110"/>
      <c r="AF32" s="110"/>
      <c r="AG32" s="110"/>
      <c r="AH32" s="110"/>
      <c r="AI32" s="468"/>
      <c r="AJ32" s="110"/>
      <c r="AK32" s="110"/>
      <c r="AL32" s="110"/>
      <c r="AM32" s="110"/>
      <c r="AN32" s="468"/>
      <c r="AO32" s="110"/>
      <c r="AP32" s="110"/>
      <c r="AQ32" s="110"/>
      <c r="AR32" s="110"/>
      <c r="AS32" s="468"/>
      <c r="AT32" s="110"/>
      <c r="AU32" s="110"/>
      <c r="AV32" s="110"/>
      <c r="AW32" s="110"/>
      <c r="AX32" s="468"/>
    </row>
    <row r="33" spans="2:50">
      <c r="B33" s="468"/>
      <c r="C33" s="110">
        <v>7</v>
      </c>
      <c r="D33" s="110"/>
      <c r="E33" s="110"/>
      <c r="F33" s="110"/>
      <c r="G33" s="110"/>
      <c r="H33" s="490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0"/>
      <c r="M33" s="173" t="e">
        <f>RANK(K33, K$27:$K$41)</f>
        <v>#DIV/0!</v>
      </c>
      <c r="N33" s="477"/>
      <c r="O33" s="477"/>
      <c r="P33" s="110"/>
      <c r="Q33" s="110"/>
      <c r="R33" s="110"/>
      <c r="S33" s="110"/>
      <c r="T33" s="468"/>
      <c r="U33" s="110"/>
      <c r="V33" s="110"/>
      <c r="W33" s="110"/>
      <c r="X33" s="110"/>
      <c r="Y33" s="468"/>
      <c r="Z33" s="110"/>
      <c r="AA33" s="110"/>
      <c r="AB33" s="110"/>
      <c r="AC33" s="110"/>
      <c r="AD33" s="468"/>
      <c r="AE33" s="110"/>
      <c r="AF33" s="110"/>
      <c r="AG33" s="110"/>
      <c r="AH33" s="110"/>
      <c r="AI33" s="468"/>
      <c r="AJ33" s="110"/>
      <c r="AK33" s="110"/>
      <c r="AL33" s="110"/>
      <c r="AM33" s="110"/>
      <c r="AN33" s="468"/>
      <c r="AO33" s="110"/>
      <c r="AP33" s="110"/>
      <c r="AQ33" s="110"/>
      <c r="AR33" s="110"/>
      <c r="AS33" s="468"/>
      <c r="AT33" s="110"/>
      <c r="AU33" s="110"/>
      <c r="AV33" s="110"/>
      <c r="AW33" s="110"/>
      <c r="AX33" s="468"/>
    </row>
    <row r="34" spans="2:50">
      <c r="B34" s="468"/>
      <c r="C34" s="110">
        <v>8</v>
      </c>
      <c r="D34" s="110"/>
      <c r="E34" s="110"/>
      <c r="F34" s="110"/>
      <c r="G34" s="110"/>
      <c r="H34" s="490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0"/>
      <c r="M34" s="173" t="e">
        <f>RANK(K34, K$27:$K$41)</f>
        <v>#DIV/0!</v>
      </c>
      <c r="N34" s="477"/>
      <c r="O34" s="477"/>
      <c r="P34" s="110"/>
      <c r="Q34" s="110"/>
      <c r="R34" s="110"/>
      <c r="S34" s="110"/>
      <c r="T34" s="468"/>
      <c r="U34" s="110"/>
      <c r="V34" s="110"/>
      <c r="W34" s="110"/>
      <c r="X34" s="110"/>
      <c r="Y34" s="468"/>
      <c r="Z34" s="110"/>
      <c r="AA34" s="110"/>
      <c r="AB34" s="110"/>
      <c r="AC34" s="110"/>
      <c r="AD34" s="468"/>
      <c r="AE34" s="110"/>
      <c r="AF34" s="110"/>
      <c r="AG34" s="110"/>
      <c r="AH34" s="110"/>
      <c r="AI34" s="468"/>
      <c r="AJ34" s="110"/>
      <c r="AK34" s="110"/>
      <c r="AL34" s="110"/>
      <c r="AM34" s="110"/>
      <c r="AN34" s="468"/>
      <c r="AO34" s="110"/>
      <c r="AP34" s="110"/>
      <c r="AQ34" s="110"/>
      <c r="AR34" s="110"/>
      <c r="AS34" s="468"/>
      <c r="AT34" s="110"/>
      <c r="AU34" s="110"/>
      <c r="AV34" s="110"/>
      <c r="AW34" s="110"/>
      <c r="AX34" s="468"/>
    </row>
    <row r="35" spans="2:50">
      <c r="B35" s="468"/>
      <c r="C35" s="110">
        <v>9</v>
      </c>
      <c r="D35" s="110"/>
      <c r="E35" s="110"/>
      <c r="F35" s="110"/>
      <c r="G35" s="110"/>
      <c r="H35" s="490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0"/>
      <c r="M35" s="173" t="e">
        <f>RANK(K35, K$27:$K$41)</f>
        <v>#DIV/0!</v>
      </c>
      <c r="N35" s="477"/>
      <c r="O35" s="477"/>
      <c r="P35" s="110"/>
      <c r="Q35" s="110"/>
      <c r="R35" s="110"/>
      <c r="S35" s="110"/>
      <c r="T35" s="468"/>
      <c r="U35" s="110"/>
      <c r="V35" s="110"/>
      <c r="W35" s="110"/>
      <c r="X35" s="110"/>
      <c r="Y35" s="468"/>
      <c r="Z35" s="110"/>
      <c r="AA35" s="110"/>
      <c r="AB35" s="110"/>
      <c r="AC35" s="110"/>
      <c r="AD35" s="468"/>
      <c r="AE35" s="110"/>
      <c r="AF35" s="110"/>
      <c r="AG35" s="110"/>
      <c r="AH35" s="110"/>
      <c r="AI35" s="468"/>
      <c r="AJ35" s="110"/>
      <c r="AK35" s="110"/>
      <c r="AL35" s="110"/>
      <c r="AM35" s="110"/>
      <c r="AN35" s="468"/>
      <c r="AO35" s="110"/>
      <c r="AP35" s="110"/>
      <c r="AQ35" s="110"/>
      <c r="AR35" s="110"/>
      <c r="AS35" s="468"/>
      <c r="AT35" s="110"/>
      <c r="AU35" s="110"/>
      <c r="AV35" s="110"/>
      <c r="AW35" s="110"/>
      <c r="AX35" s="468"/>
    </row>
    <row r="36" spans="2:50">
      <c r="B36" s="468"/>
      <c r="C36" s="110">
        <v>10</v>
      </c>
      <c r="D36" s="110"/>
      <c r="E36" s="110"/>
      <c r="F36" s="110"/>
      <c r="G36" s="110"/>
      <c r="H36" s="490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0"/>
      <c r="M36" s="173" t="e">
        <f>RANK(K36, K$27:$K$41)</f>
        <v>#DIV/0!</v>
      </c>
      <c r="N36" s="477"/>
      <c r="O36" s="477"/>
      <c r="P36" s="110"/>
      <c r="Q36" s="110"/>
      <c r="R36" s="110"/>
      <c r="S36" s="110"/>
      <c r="T36" s="468"/>
      <c r="U36" s="110"/>
      <c r="V36" s="110"/>
      <c r="W36" s="110"/>
      <c r="X36" s="110"/>
      <c r="Y36" s="468"/>
      <c r="Z36" s="110"/>
      <c r="AA36" s="110"/>
      <c r="AB36" s="110"/>
      <c r="AC36" s="110"/>
      <c r="AD36" s="468"/>
      <c r="AE36" s="110"/>
      <c r="AF36" s="110"/>
      <c r="AG36" s="110"/>
      <c r="AH36" s="110"/>
      <c r="AI36" s="468"/>
      <c r="AJ36" s="110"/>
      <c r="AK36" s="110"/>
      <c r="AL36" s="110"/>
      <c r="AM36" s="110"/>
      <c r="AN36" s="468"/>
      <c r="AO36" s="110"/>
      <c r="AP36" s="110"/>
      <c r="AQ36" s="110"/>
      <c r="AR36" s="110"/>
      <c r="AS36" s="468"/>
      <c r="AT36" s="110"/>
      <c r="AU36" s="110"/>
      <c r="AV36" s="110"/>
      <c r="AW36" s="110"/>
      <c r="AX36" s="468"/>
    </row>
    <row r="37" spans="2:50">
      <c r="B37" s="468"/>
      <c r="C37" s="110">
        <v>11</v>
      </c>
      <c r="D37" s="110"/>
      <c r="E37" s="110"/>
      <c r="F37" s="110"/>
      <c r="G37" s="110"/>
      <c r="H37" s="490"/>
      <c r="I37" s="110"/>
      <c r="J37" s="110"/>
      <c r="K37" s="110"/>
      <c r="L37" s="480"/>
      <c r="M37" s="173" t="e">
        <f>RANK(K37, K$27:$K$41)</f>
        <v>#DIV/0!</v>
      </c>
      <c r="N37" s="477"/>
      <c r="O37" s="477"/>
      <c r="P37" s="110"/>
      <c r="Q37" s="110"/>
      <c r="R37" s="110"/>
      <c r="S37" s="110"/>
      <c r="T37" s="468"/>
      <c r="U37" s="110"/>
      <c r="V37" s="110"/>
      <c r="W37" s="110"/>
      <c r="X37" s="110"/>
      <c r="Y37" s="468"/>
      <c r="Z37" s="110"/>
      <c r="AA37" s="110"/>
      <c r="AB37" s="110"/>
      <c r="AC37" s="110"/>
      <c r="AD37" s="468"/>
      <c r="AE37" s="110"/>
      <c r="AF37" s="110"/>
      <c r="AG37" s="110"/>
      <c r="AH37" s="110"/>
      <c r="AI37" s="468"/>
      <c r="AJ37" s="110"/>
      <c r="AK37" s="110"/>
      <c r="AL37" s="110"/>
      <c r="AM37" s="110"/>
      <c r="AN37" s="468"/>
      <c r="AO37" s="110"/>
      <c r="AP37" s="110"/>
      <c r="AQ37" s="110"/>
      <c r="AR37" s="110"/>
      <c r="AS37" s="468"/>
      <c r="AT37" s="110"/>
      <c r="AU37" s="110"/>
      <c r="AV37" s="110"/>
      <c r="AW37" s="110"/>
      <c r="AX37" s="468"/>
    </row>
    <row r="38" spans="2:50">
      <c r="B38" s="468"/>
      <c r="C38" s="110">
        <v>12</v>
      </c>
      <c r="D38" s="110"/>
      <c r="E38" s="110"/>
      <c r="F38" s="110"/>
      <c r="G38" s="110"/>
      <c r="H38" s="490"/>
      <c r="I38" s="110"/>
      <c r="J38" s="110"/>
      <c r="K38" s="110"/>
      <c r="L38" s="480"/>
      <c r="M38" s="173" t="e">
        <f>RANK(K38, K$27:$K$41)</f>
        <v>#DIV/0!</v>
      </c>
      <c r="N38" s="477"/>
      <c r="O38" s="477"/>
      <c r="P38" s="110"/>
      <c r="Q38" s="110"/>
      <c r="R38" s="110"/>
      <c r="S38" s="110"/>
      <c r="T38" s="468"/>
      <c r="U38" s="110"/>
      <c r="V38" s="110"/>
      <c r="W38" s="110"/>
      <c r="X38" s="110"/>
      <c r="Y38" s="468"/>
      <c r="Z38" s="110"/>
      <c r="AA38" s="110"/>
      <c r="AB38" s="110"/>
      <c r="AC38" s="110"/>
      <c r="AD38" s="468"/>
      <c r="AE38" s="110"/>
      <c r="AF38" s="110"/>
      <c r="AG38" s="110"/>
      <c r="AH38" s="110"/>
      <c r="AI38" s="468"/>
      <c r="AJ38" s="110"/>
      <c r="AK38" s="110"/>
      <c r="AL38" s="110"/>
      <c r="AM38" s="110"/>
      <c r="AN38" s="468"/>
      <c r="AO38" s="110"/>
      <c r="AP38" s="110"/>
      <c r="AQ38" s="110"/>
      <c r="AR38" s="110"/>
      <c r="AS38" s="468"/>
      <c r="AT38" s="110"/>
      <c r="AU38" s="110"/>
      <c r="AV38" s="110"/>
      <c r="AW38" s="110"/>
      <c r="AX38" s="468"/>
    </row>
    <row r="39" spans="2:50">
      <c r="B39" s="468"/>
      <c r="C39" s="110">
        <v>13</v>
      </c>
      <c r="D39" s="110"/>
      <c r="E39" s="110"/>
      <c r="F39" s="110"/>
      <c r="G39" s="110"/>
      <c r="H39" s="490"/>
      <c r="I39" s="110"/>
      <c r="J39" s="110"/>
      <c r="K39" s="110"/>
      <c r="L39" s="480"/>
      <c r="M39" s="173" t="e">
        <f>RANK(K39, K$27:$K$41)</f>
        <v>#DIV/0!</v>
      </c>
      <c r="N39" s="477"/>
      <c r="O39" s="477"/>
      <c r="P39" s="110"/>
      <c r="Q39" s="110"/>
      <c r="R39" s="110"/>
      <c r="S39" s="110"/>
      <c r="T39" s="468"/>
      <c r="U39" s="110"/>
      <c r="V39" s="110"/>
      <c r="W39" s="110"/>
      <c r="X39" s="110"/>
      <c r="Y39" s="468"/>
      <c r="Z39" s="110"/>
      <c r="AA39" s="110"/>
      <c r="AB39" s="110"/>
      <c r="AC39" s="110"/>
      <c r="AD39" s="468"/>
      <c r="AE39" s="110"/>
      <c r="AF39" s="110"/>
      <c r="AG39" s="110"/>
      <c r="AH39" s="110"/>
      <c r="AI39" s="468"/>
      <c r="AJ39" s="110"/>
      <c r="AK39" s="110"/>
      <c r="AL39" s="110"/>
      <c r="AM39" s="110"/>
      <c r="AN39" s="468"/>
      <c r="AO39" s="110"/>
      <c r="AP39" s="110"/>
      <c r="AQ39" s="110"/>
      <c r="AR39" s="110"/>
      <c r="AS39" s="468"/>
      <c r="AT39" s="110"/>
      <c r="AU39" s="110"/>
      <c r="AV39" s="110"/>
      <c r="AW39" s="110"/>
      <c r="AX39" s="468"/>
    </row>
    <row r="40" spans="2:50">
      <c r="B40" s="468"/>
      <c r="C40" s="110">
        <v>14</v>
      </c>
      <c r="D40" s="110"/>
      <c r="E40" s="110"/>
      <c r="F40" s="110"/>
      <c r="G40" s="110"/>
      <c r="H40" s="490"/>
      <c r="I40" s="110"/>
      <c r="J40" s="110"/>
      <c r="K40" s="110"/>
      <c r="L40" s="480"/>
      <c r="M40" s="173" t="e">
        <f>RANK(K40, K$27:$K$41)</f>
        <v>#DIV/0!</v>
      </c>
      <c r="N40" s="477"/>
      <c r="O40" s="477"/>
      <c r="P40" s="110"/>
      <c r="Q40" s="110"/>
      <c r="R40" s="110"/>
      <c r="S40" s="110"/>
      <c r="T40" s="468"/>
      <c r="U40" s="110"/>
      <c r="V40" s="110"/>
      <c r="W40" s="110"/>
      <c r="X40" s="110"/>
      <c r="Y40" s="468"/>
      <c r="Z40" s="110"/>
      <c r="AA40" s="110"/>
      <c r="AB40" s="110"/>
      <c r="AC40" s="110"/>
      <c r="AD40" s="468"/>
      <c r="AE40" s="110"/>
      <c r="AF40" s="110"/>
      <c r="AG40" s="110"/>
      <c r="AH40" s="110"/>
      <c r="AI40" s="468"/>
      <c r="AJ40" s="110"/>
      <c r="AK40" s="110"/>
      <c r="AL40" s="110"/>
      <c r="AM40" s="110"/>
      <c r="AN40" s="468"/>
      <c r="AO40" s="110"/>
      <c r="AP40" s="110"/>
      <c r="AQ40" s="110"/>
      <c r="AR40" s="110"/>
      <c r="AS40" s="468"/>
      <c r="AT40" s="110"/>
      <c r="AU40" s="110"/>
      <c r="AV40" s="110"/>
      <c r="AW40" s="110"/>
      <c r="AX40" s="468"/>
    </row>
    <row r="41" spans="2:50">
      <c r="B41" s="468"/>
      <c r="C41" s="110">
        <v>15</v>
      </c>
      <c r="D41" s="110"/>
      <c r="E41" s="110"/>
      <c r="F41" s="110"/>
      <c r="G41" s="110"/>
      <c r="H41" s="491"/>
      <c r="I41" s="110"/>
      <c r="J41" s="110"/>
      <c r="K41" s="110"/>
      <c r="L41" s="481"/>
      <c r="M41" s="160" t="e">
        <f>RANK(K41, K$27:$K$41)</f>
        <v>#DIV/0!</v>
      </c>
      <c r="N41" s="477"/>
      <c r="O41" s="477"/>
      <c r="P41" s="110"/>
      <c r="Q41" s="110"/>
      <c r="R41" s="110"/>
      <c r="S41" s="110"/>
      <c r="T41" s="468"/>
      <c r="U41" s="110"/>
      <c r="V41" s="110"/>
      <c r="W41" s="110"/>
      <c r="X41" s="110"/>
      <c r="Y41" s="468"/>
      <c r="Z41" s="110"/>
      <c r="AA41" s="110"/>
      <c r="AB41" s="110"/>
      <c r="AC41" s="110"/>
      <c r="AD41" s="468"/>
      <c r="AE41" s="110"/>
      <c r="AF41" s="110"/>
      <c r="AG41" s="110"/>
      <c r="AH41" s="110"/>
      <c r="AI41" s="468"/>
      <c r="AJ41" s="110"/>
      <c r="AK41" s="110"/>
      <c r="AL41" s="110"/>
      <c r="AM41" s="110"/>
      <c r="AN41" s="468"/>
      <c r="AO41" s="110"/>
      <c r="AP41" s="110"/>
      <c r="AQ41" s="110"/>
      <c r="AR41" s="110"/>
      <c r="AS41" s="468"/>
      <c r="AT41" s="110"/>
      <c r="AU41" s="110"/>
      <c r="AV41" s="110"/>
      <c r="AW41" s="110"/>
      <c r="AX41" s="468"/>
    </row>
    <row r="42" spans="2:50" ht="15.75">
      <c r="B42" s="487" t="s">
        <v>44</v>
      </c>
      <c r="C42" s="488"/>
      <c r="D42" s="488"/>
      <c r="E42" s="488"/>
      <c r="F42" s="488"/>
      <c r="G42" s="488"/>
      <c r="H42" s="488"/>
      <c r="I42" s="175"/>
      <c r="J42" s="159"/>
      <c r="K42" s="175"/>
      <c r="L42" s="175"/>
      <c r="M42" s="155"/>
      <c r="N42" s="472" t="s">
        <v>45</v>
      </c>
      <c r="O42" s="472" t="s">
        <v>3</v>
      </c>
      <c r="P42" s="467">
        <v>45881</v>
      </c>
      <c r="Q42" s="468"/>
      <c r="R42" s="468"/>
      <c r="S42" s="468"/>
      <c r="T42" s="468"/>
      <c r="U42" s="467">
        <v>45882</v>
      </c>
      <c r="V42" s="468"/>
      <c r="W42" s="468"/>
      <c r="X42" s="468"/>
      <c r="Y42" s="468"/>
      <c r="Z42" s="467">
        <v>45883</v>
      </c>
      <c r="AA42" s="468"/>
      <c r="AB42" s="468"/>
      <c r="AC42" s="468"/>
      <c r="AD42" s="468"/>
      <c r="AE42" s="467">
        <v>45884</v>
      </c>
      <c r="AF42" s="468"/>
      <c r="AG42" s="468"/>
      <c r="AH42" s="468"/>
      <c r="AI42" s="468"/>
      <c r="AJ42" s="467">
        <v>45885</v>
      </c>
      <c r="AK42" s="468"/>
      <c r="AL42" s="468"/>
      <c r="AM42" s="468"/>
      <c r="AN42" s="468"/>
      <c r="AO42" s="467">
        <v>45886</v>
      </c>
      <c r="AP42" s="468"/>
      <c r="AQ42" s="468"/>
      <c r="AR42" s="468"/>
      <c r="AS42" s="468"/>
      <c r="AT42" s="467">
        <v>45887</v>
      </c>
      <c r="AU42" s="468"/>
      <c r="AV42" s="468"/>
      <c r="AW42" s="468"/>
      <c r="AX42" s="468"/>
    </row>
    <row r="43" spans="2:50" ht="15.75">
      <c r="B43" s="471"/>
      <c r="C43" s="471"/>
      <c r="D43" s="471"/>
      <c r="E43" s="471"/>
      <c r="F43" s="471"/>
      <c r="G43" s="471"/>
      <c r="H43" s="471"/>
      <c r="I43" s="156"/>
      <c r="J43" s="156"/>
      <c r="K43" s="156"/>
      <c r="L43" s="156"/>
      <c r="M43" s="157"/>
      <c r="N43" s="473"/>
      <c r="O43" s="473"/>
      <c r="P43" s="467" t="s">
        <v>16</v>
      </c>
      <c r="Q43" s="468"/>
      <c r="R43" s="468"/>
      <c r="S43" s="468"/>
      <c r="T43" s="468"/>
      <c r="U43" s="467" t="s">
        <v>17</v>
      </c>
      <c r="V43" s="468"/>
      <c r="W43" s="468"/>
      <c r="X43" s="468"/>
      <c r="Y43" s="468"/>
      <c r="Z43" s="467" t="s">
        <v>18</v>
      </c>
      <c r="AA43" s="468"/>
      <c r="AB43" s="468"/>
      <c r="AC43" s="468"/>
      <c r="AD43" s="468"/>
      <c r="AE43" s="467" t="s">
        <v>19</v>
      </c>
      <c r="AF43" s="468"/>
      <c r="AG43" s="468"/>
      <c r="AH43" s="468"/>
      <c r="AI43" s="468"/>
      <c r="AJ43" s="467" t="s">
        <v>14</v>
      </c>
      <c r="AK43" s="468"/>
      <c r="AL43" s="468"/>
      <c r="AM43" s="468"/>
      <c r="AN43" s="468"/>
      <c r="AO43" s="467" t="s">
        <v>10</v>
      </c>
      <c r="AP43" s="468"/>
      <c r="AQ43" s="468"/>
      <c r="AR43" s="468"/>
      <c r="AS43" s="468"/>
      <c r="AT43" s="467" t="s">
        <v>15</v>
      </c>
      <c r="AU43" s="468"/>
      <c r="AV43" s="468"/>
      <c r="AW43" s="468"/>
      <c r="AX43" s="468"/>
    </row>
    <row r="44" spans="2:50">
      <c r="B44" s="477" t="s">
        <v>46</v>
      </c>
      <c r="C44" s="477" t="s">
        <v>47</v>
      </c>
      <c r="D44" s="477"/>
      <c r="E44" s="477" t="s">
        <v>48</v>
      </c>
      <c r="F44" s="477"/>
      <c r="G44" s="477"/>
      <c r="H44" s="483" t="s">
        <v>49</v>
      </c>
      <c r="I44" s="477" t="s">
        <v>50</v>
      </c>
      <c r="J44" s="477"/>
      <c r="K44" s="477"/>
      <c r="L44" s="483" t="s">
        <v>49</v>
      </c>
      <c r="M44" s="472" t="s">
        <v>51</v>
      </c>
      <c r="N44" s="477"/>
      <c r="O44" s="477" t="s">
        <v>52</v>
      </c>
      <c r="P44" s="474" t="s">
        <v>53</v>
      </c>
      <c r="Q44" s="475"/>
      <c r="R44" s="475"/>
      <c r="S44" s="476"/>
      <c r="T44" s="477" t="s">
        <v>49</v>
      </c>
      <c r="U44" s="474" t="s">
        <v>53</v>
      </c>
      <c r="V44" s="475"/>
      <c r="W44" s="475"/>
      <c r="X44" s="476"/>
      <c r="Y44" s="477" t="s">
        <v>49</v>
      </c>
      <c r="Z44" s="474" t="s">
        <v>53</v>
      </c>
      <c r="AA44" s="475"/>
      <c r="AB44" s="475"/>
      <c r="AC44" s="476"/>
      <c r="AD44" s="477" t="s">
        <v>49</v>
      </c>
      <c r="AE44" s="474" t="s">
        <v>53</v>
      </c>
      <c r="AF44" s="475"/>
      <c r="AG44" s="475"/>
      <c r="AH44" s="476"/>
      <c r="AI44" s="477" t="s">
        <v>49</v>
      </c>
      <c r="AJ44" s="474" t="s">
        <v>53</v>
      </c>
      <c r="AK44" s="475"/>
      <c r="AL44" s="475"/>
      <c r="AM44" s="476"/>
      <c r="AN44" s="477" t="s">
        <v>49</v>
      </c>
      <c r="AO44" s="474" t="s">
        <v>53</v>
      </c>
      <c r="AP44" s="475"/>
      <c r="AQ44" s="475"/>
      <c r="AR44" s="476"/>
      <c r="AS44" s="477" t="s">
        <v>49</v>
      </c>
      <c r="AT44" s="474" t="s">
        <v>53</v>
      </c>
      <c r="AU44" s="475"/>
      <c r="AV44" s="475"/>
      <c r="AW44" s="476"/>
      <c r="AX44" s="477" t="s">
        <v>49</v>
      </c>
    </row>
    <row r="45" spans="2:50">
      <c r="B45" s="477"/>
      <c r="C45" s="477"/>
      <c r="D45" s="477"/>
      <c r="E45" s="477" t="s">
        <v>54</v>
      </c>
      <c r="F45" s="477"/>
      <c r="G45" s="477"/>
      <c r="H45" s="484"/>
      <c r="I45" s="477" t="s">
        <v>54</v>
      </c>
      <c r="J45" s="477"/>
      <c r="K45" s="477"/>
      <c r="L45" s="484"/>
      <c r="M45" s="486"/>
      <c r="N45" s="477"/>
      <c r="O45" s="477"/>
      <c r="P45" s="474" t="s">
        <v>55</v>
      </c>
      <c r="Q45" s="475"/>
      <c r="R45" s="475"/>
      <c r="S45" s="476"/>
      <c r="T45" s="477"/>
      <c r="U45" s="474" t="s">
        <v>55</v>
      </c>
      <c r="V45" s="475"/>
      <c r="W45" s="475"/>
      <c r="X45" s="476"/>
      <c r="Y45" s="477"/>
      <c r="Z45" s="474" t="s">
        <v>55</v>
      </c>
      <c r="AA45" s="475"/>
      <c r="AB45" s="475"/>
      <c r="AC45" s="476"/>
      <c r="AD45" s="477"/>
      <c r="AE45" s="474" t="s">
        <v>55</v>
      </c>
      <c r="AF45" s="475"/>
      <c r="AG45" s="475"/>
      <c r="AH45" s="476"/>
      <c r="AI45" s="477"/>
      <c r="AJ45" s="474" t="s">
        <v>55</v>
      </c>
      <c r="AK45" s="475"/>
      <c r="AL45" s="475"/>
      <c r="AM45" s="476"/>
      <c r="AN45" s="477"/>
      <c r="AO45" s="474" t="s">
        <v>55</v>
      </c>
      <c r="AP45" s="475"/>
      <c r="AQ45" s="475"/>
      <c r="AR45" s="476"/>
      <c r="AS45" s="477"/>
      <c r="AT45" s="474" t="s">
        <v>55</v>
      </c>
      <c r="AU45" s="475"/>
      <c r="AV45" s="475"/>
      <c r="AW45" s="476"/>
      <c r="AX45" s="477"/>
    </row>
    <row r="46" spans="2:50">
      <c r="B46" s="477"/>
      <c r="C46" s="477"/>
      <c r="D46" s="477"/>
      <c r="E46" s="109" t="s">
        <v>56</v>
      </c>
      <c r="F46" s="109" t="s">
        <v>57</v>
      </c>
      <c r="G46" s="109" t="s">
        <v>58</v>
      </c>
      <c r="H46" s="485"/>
      <c r="I46" s="109" t="s">
        <v>56</v>
      </c>
      <c r="J46" s="109" t="s">
        <v>57</v>
      </c>
      <c r="K46" s="109" t="s">
        <v>58</v>
      </c>
      <c r="L46" s="485"/>
      <c r="M46" s="473"/>
      <c r="N46" s="477"/>
      <c r="O46" s="477"/>
      <c r="P46" s="109" t="s">
        <v>56</v>
      </c>
      <c r="Q46" s="109" t="s">
        <v>57</v>
      </c>
      <c r="R46" s="109" t="s">
        <v>58</v>
      </c>
      <c r="S46" s="109" t="s">
        <v>51</v>
      </c>
      <c r="T46" s="477"/>
      <c r="U46" s="109" t="s">
        <v>56</v>
      </c>
      <c r="V46" s="109" t="s">
        <v>57</v>
      </c>
      <c r="W46" s="109" t="s">
        <v>58</v>
      </c>
      <c r="X46" s="109" t="s">
        <v>51</v>
      </c>
      <c r="Y46" s="477"/>
      <c r="Z46" s="109" t="s">
        <v>56</v>
      </c>
      <c r="AA46" s="109" t="s">
        <v>57</v>
      </c>
      <c r="AB46" s="109" t="s">
        <v>58</v>
      </c>
      <c r="AC46" s="109" t="s">
        <v>51</v>
      </c>
      <c r="AD46" s="477"/>
      <c r="AE46" s="109" t="s">
        <v>56</v>
      </c>
      <c r="AF46" s="109" t="s">
        <v>57</v>
      </c>
      <c r="AG46" s="109" t="s">
        <v>58</v>
      </c>
      <c r="AH46" s="109" t="s">
        <v>51</v>
      </c>
      <c r="AI46" s="477"/>
      <c r="AJ46" s="109" t="s">
        <v>56</v>
      </c>
      <c r="AK46" s="109" t="s">
        <v>57</v>
      </c>
      <c r="AL46" s="109" t="s">
        <v>58</v>
      </c>
      <c r="AM46" s="109" t="s">
        <v>51</v>
      </c>
      <c r="AN46" s="477"/>
      <c r="AO46" s="109" t="s">
        <v>56</v>
      </c>
      <c r="AP46" s="109" t="s">
        <v>57</v>
      </c>
      <c r="AQ46" s="109" t="s">
        <v>58</v>
      </c>
      <c r="AR46" s="109" t="s">
        <v>51</v>
      </c>
      <c r="AS46" s="477"/>
      <c r="AT46" s="109" t="s">
        <v>56</v>
      </c>
      <c r="AU46" s="109" t="s">
        <v>57</v>
      </c>
      <c r="AV46" s="109" t="s">
        <v>58</v>
      </c>
      <c r="AW46" s="109" t="s">
        <v>51</v>
      </c>
      <c r="AX46" s="477"/>
    </row>
    <row r="47" spans="2:50">
      <c r="B47" s="477" t="s">
        <v>60</v>
      </c>
      <c r="C47" s="110">
        <v>1</v>
      </c>
      <c r="D47" s="110"/>
      <c r="E47" s="110"/>
      <c r="F47" s="110"/>
      <c r="G47" s="110"/>
      <c r="H47" s="489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79" t="e">
        <f>AVERAGE(K47:K61)</f>
        <v>#DIV/0!</v>
      </c>
      <c r="M47" s="160" t="e">
        <f>RANK(K47, K$47:$K$61)</f>
        <v>#DIV/0!</v>
      </c>
      <c r="N47" s="477"/>
      <c r="O47" s="477"/>
      <c r="P47" s="110"/>
      <c r="Q47" s="110"/>
      <c r="R47" s="110"/>
      <c r="S47" s="110"/>
      <c r="T47" s="468" t="e">
        <f>AVERAGE(R47:R61)</f>
        <v>#DIV/0!</v>
      </c>
      <c r="U47" s="110"/>
      <c r="V47" s="110"/>
      <c r="W47" s="110"/>
      <c r="X47" s="110"/>
      <c r="Y47" s="468" t="e">
        <f>AVERAGE(W47:W61)</f>
        <v>#DIV/0!</v>
      </c>
      <c r="Z47" s="110"/>
      <c r="AA47" s="110"/>
      <c r="AB47" s="110"/>
      <c r="AC47" s="110"/>
      <c r="AD47" s="468" t="e">
        <f>AVERAGE(AB47:AB61)</f>
        <v>#DIV/0!</v>
      </c>
      <c r="AE47" s="110"/>
      <c r="AF47" s="110"/>
      <c r="AG47" s="110"/>
      <c r="AH47" s="110"/>
      <c r="AI47" s="468" t="e">
        <f>AVERAGE(AG47:AG61)</f>
        <v>#DIV/0!</v>
      </c>
      <c r="AJ47" s="110"/>
      <c r="AK47" s="110"/>
      <c r="AL47" s="110"/>
      <c r="AM47" s="110"/>
      <c r="AN47" s="468" t="e">
        <f>AVERAGE(AL47:AL61)</f>
        <v>#DIV/0!</v>
      </c>
      <c r="AO47" s="110"/>
      <c r="AP47" s="110"/>
      <c r="AQ47" s="110"/>
      <c r="AR47" s="110"/>
      <c r="AS47" s="468" t="e">
        <f>AVERAGE(AQ47:AQ61)</f>
        <v>#DIV/0!</v>
      </c>
      <c r="AT47" s="110"/>
      <c r="AU47" s="110"/>
      <c r="AV47" s="110"/>
      <c r="AW47" s="110"/>
      <c r="AX47" s="468" t="e">
        <f>AVERAGE(AV47:AV61)</f>
        <v>#DIV/0!</v>
      </c>
    </row>
    <row r="48" spans="2:50">
      <c r="B48" s="468"/>
      <c r="C48" s="110">
        <v>2</v>
      </c>
      <c r="D48" s="110"/>
      <c r="E48" s="110"/>
      <c r="F48" s="110"/>
      <c r="G48" s="110"/>
      <c r="H48" s="490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0"/>
      <c r="M48" s="160" t="e">
        <f>RANK(K48, K$47:$K$61)</f>
        <v>#DIV/0!</v>
      </c>
      <c r="N48" s="477"/>
      <c r="O48" s="477"/>
      <c r="P48" s="110"/>
      <c r="Q48" s="110"/>
      <c r="R48" s="110"/>
      <c r="S48" s="110"/>
      <c r="T48" s="468"/>
      <c r="U48" s="110"/>
      <c r="V48" s="110"/>
      <c r="W48" s="110"/>
      <c r="X48" s="110"/>
      <c r="Y48" s="468"/>
      <c r="Z48" s="110"/>
      <c r="AA48" s="110"/>
      <c r="AB48" s="110"/>
      <c r="AC48" s="110"/>
      <c r="AD48" s="468"/>
      <c r="AE48" s="110"/>
      <c r="AF48" s="110"/>
      <c r="AG48" s="110"/>
      <c r="AH48" s="110"/>
      <c r="AI48" s="468"/>
      <c r="AJ48" s="110"/>
      <c r="AK48" s="110"/>
      <c r="AL48" s="110"/>
      <c r="AM48" s="110"/>
      <c r="AN48" s="468"/>
      <c r="AO48" s="110"/>
      <c r="AP48" s="110"/>
      <c r="AQ48" s="110"/>
      <c r="AR48" s="110"/>
      <c r="AS48" s="468"/>
      <c r="AT48" s="110"/>
      <c r="AU48" s="110"/>
      <c r="AV48" s="110"/>
      <c r="AW48" s="110"/>
      <c r="AX48" s="468"/>
    </row>
    <row r="49" spans="2:50">
      <c r="B49" s="468"/>
      <c r="C49" s="110">
        <v>3</v>
      </c>
      <c r="D49" s="110"/>
      <c r="E49" s="110"/>
      <c r="F49" s="110"/>
      <c r="G49" s="110"/>
      <c r="H49" s="490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0"/>
      <c r="M49" s="160" t="e">
        <f>RANK(K49, K$47:$K$61)</f>
        <v>#DIV/0!</v>
      </c>
      <c r="N49" s="477"/>
      <c r="O49" s="477"/>
      <c r="P49" s="110"/>
      <c r="Q49" s="110"/>
      <c r="R49" s="110"/>
      <c r="S49" s="110"/>
      <c r="T49" s="468"/>
      <c r="U49" s="110"/>
      <c r="V49" s="110"/>
      <c r="W49" s="110"/>
      <c r="X49" s="110"/>
      <c r="Y49" s="468"/>
      <c r="Z49" s="110"/>
      <c r="AA49" s="110"/>
      <c r="AB49" s="110"/>
      <c r="AC49" s="110"/>
      <c r="AD49" s="468"/>
      <c r="AE49" s="110"/>
      <c r="AF49" s="110"/>
      <c r="AG49" s="110"/>
      <c r="AH49" s="110"/>
      <c r="AI49" s="468"/>
      <c r="AJ49" s="110"/>
      <c r="AK49" s="110"/>
      <c r="AL49" s="110"/>
      <c r="AM49" s="110"/>
      <c r="AN49" s="468"/>
      <c r="AO49" s="110"/>
      <c r="AP49" s="110"/>
      <c r="AQ49" s="110"/>
      <c r="AR49" s="110"/>
      <c r="AS49" s="468"/>
      <c r="AT49" s="110"/>
      <c r="AU49" s="110"/>
      <c r="AV49" s="110"/>
      <c r="AW49" s="110"/>
      <c r="AX49" s="468"/>
    </row>
    <row r="50" spans="2:50">
      <c r="B50" s="468"/>
      <c r="C50" s="110">
        <v>4</v>
      </c>
      <c r="D50" s="110"/>
      <c r="E50" s="110"/>
      <c r="F50" s="110"/>
      <c r="G50" s="110"/>
      <c r="H50" s="490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0"/>
      <c r="M50" s="160" t="e">
        <f>RANK(K50, K$47:$K$61)</f>
        <v>#DIV/0!</v>
      </c>
      <c r="N50" s="477"/>
      <c r="O50" s="477"/>
      <c r="P50" s="110"/>
      <c r="Q50" s="110"/>
      <c r="R50" s="110"/>
      <c r="S50" s="110"/>
      <c r="T50" s="468"/>
      <c r="U50" s="110"/>
      <c r="V50" s="110"/>
      <c r="W50" s="110"/>
      <c r="X50" s="110"/>
      <c r="Y50" s="468"/>
      <c r="Z50" s="110"/>
      <c r="AA50" s="110"/>
      <c r="AB50" s="110"/>
      <c r="AC50" s="110"/>
      <c r="AD50" s="468"/>
      <c r="AE50" s="110"/>
      <c r="AF50" s="110"/>
      <c r="AG50" s="110"/>
      <c r="AH50" s="110"/>
      <c r="AI50" s="468"/>
      <c r="AJ50" s="110"/>
      <c r="AK50" s="110"/>
      <c r="AL50" s="110"/>
      <c r="AM50" s="110"/>
      <c r="AN50" s="468"/>
      <c r="AO50" s="110"/>
      <c r="AP50" s="110"/>
      <c r="AQ50" s="110"/>
      <c r="AR50" s="110"/>
      <c r="AS50" s="468"/>
      <c r="AT50" s="110"/>
      <c r="AU50" s="110"/>
      <c r="AV50" s="110"/>
      <c r="AW50" s="110"/>
      <c r="AX50" s="468"/>
    </row>
    <row r="51" spans="2:50">
      <c r="B51" s="468"/>
      <c r="C51" s="110">
        <v>5</v>
      </c>
      <c r="D51" s="110"/>
      <c r="E51" s="110"/>
      <c r="F51" s="110"/>
      <c r="G51" s="110"/>
      <c r="H51" s="490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0"/>
      <c r="M51" s="160" t="e">
        <f>RANK(K51, K$47:$K$61)</f>
        <v>#DIV/0!</v>
      </c>
      <c r="N51" s="477"/>
      <c r="O51" s="477"/>
      <c r="P51" s="110"/>
      <c r="Q51" s="110"/>
      <c r="R51" s="110"/>
      <c r="S51" s="110"/>
      <c r="T51" s="468"/>
      <c r="U51" s="110"/>
      <c r="V51" s="110"/>
      <c r="W51" s="110"/>
      <c r="X51" s="110"/>
      <c r="Y51" s="468"/>
      <c r="Z51" s="110"/>
      <c r="AA51" s="110"/>
      <c r="AB51" s="110"/>
      <c r="AC51" s="110"/>
      <c r="AD51" s="468"/>
      <c r="AE51" s="110"/>
      <c r="AF51" s="110"/>
      <c r="AG51" s="110"/>
      <c r="AH51" s="110"/>
      <c r="AI51" s="468"/>
      <c r="AJ51" s="110"/>
      <c r="AK51" s="110"/>
      <c r="AL51" s="110"/>
      <c r="AM51" s="110"/>
      <c r="AN51" s="468"/>
      <c r="AO51" s="110"/>
      <c r="AP51" s="110"/>
      <c r="AQ51" s="110"/>
      <c r="AR51" s="110"/>
      <c r="AS51" s="468"/>
      <c r="AT51" s="110"/>
      <c r="AU51" s="110"/>
      <c r="AV51" s="110"/>
      <c r="AW51" s="110"/>
      <c r="AX51" s="468"/>
    </row>
    <row r="52" spans="2:50">
      <c r="B52" s="468"/>
      <c r="C52" s="110">
        <v>6</v>
      </c>
      <c r="D52" s="110"/>
      <c r="E52" s="110"/>
      <c r="F52" s="110"/>
      <c r="G52" s="110"/>
      <c r="H52" s="490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0"/>
      <c r="M52" s="160" t="e">
        <f>RANK(K52, K$47:$K$61)</f>
        <v>#DIV/0!</v>
      </c>
      <c r="N52" s="477"/>
      <c r="O52" s="477"/>
      <c r="P52" s="110"/>
      <c r="Q52" s="110"/>
      <c r="R52" s="110"/>
      <c r="S52" s="110"/>
      <c r="T52" s="468"/>
      <c r="U52" s="110"/>
      <c r="V52" s="110"/>
      <c r="W52" s="110"/>
      <c r="X52" s="110"/>
      <c r="Y52" s="468"/>
      <c r="Z52" s="110"/>
      <c r="AA52" s="110"/>
      <c r="AB52" s="110"/>
      <c r="AC52" s="110"/>
      <c r="AD52" s="468"/>
      <c r="AE52" s="110"/>
      <c r="AF52" s="110"/>
      <c r="AG52" s="110"/>
      <c r="AH52" s="110"/>
      <c r="AI52" s="468"/>
      <c r="AJ52" s="110"/>
      <c r="AK52" s="110"/>
      <c r="AL52" s="110"/>
      <c r="AM52" s="110"/>
      <c r="AN52" s="468"/>
      <c r="AO52" s="110"/>
      <c r="AP52" s="110"/>
      <c r="AQ52" s="110"/>
      <c r="AR52" s="110"/>
      <c r="AS52" s="468"/>
      <c r="AT52" s="110"/>
      <c r="AU52" s="110"/>
      <c r="AV52" s="110"/>
      <c r="AW52" s="110"/>
      <c r="AX52" s="468"/>
    </row>
    <row r="53" spans="2:50">
      <c r="B53" s="468"/>
      <c r="C53" s="110">
        <v>7</v>
      </c>
      <c r="D53" s="110"/>
      <c r="E53" s="110"/>
      <c r="F53" s="110"/>
      <c r="G53" s="110"/>
      <c r="H53" s="490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0"/>
      <c r="M53" s="160" t="e">
        <f>RANK(K53, K$47:$K$61)</f>
        <v>#DIV/0!</v>
      </c>
      <c r="N53" s="477"/>
      <c r="O53" s="477"/>
      <c r="P53" s="110"/>
      <c r="Q53" s="110"/>
      <c r="R53" s="110"/>
      <c r="S53" s="110"/>
      <c r="T53" s="468"/>
      <c r="U53" s="110"/>
      <c r="V53" s="110"/>
      <c r="W53" s="110"/>
      <c r="X53" s="110"/>
      <c r="Y53" s="468"/>
      <c r="Z53" s="110"/>
      <c r="AA53" s="110"/>
      <c r="AB53" s="110"/>
      <c r="AC53" s="110"/>
      <c r="AD53" s="468"/>
      <c r="AE53" s="110"/>
      <c r="AF53" s="110"/>
      <c r="AG53" s="110"/>
      <c r="AH53" s="110"/>
      <c r="AI53" s="468"/>
      <c r="AJ53" s="110"/>
      <c r="AK53" s="110"/>
      <c r="AL53" s="110"/>
      <c r="AM53" s="110"/>
      <c r="AN53" s="468"/>
      <c r="AO53" s="110"/>
      <c r="AP53" s="110"/>
      <c r="AQ53" s="110"/>
      <c r="AR53" s="110"/>
      <c r="AS53" s="468"/>
      <c r="AT53" s="110"/>
      <c r="AU53" s="110"/>
      <c r="AV53" s="110"/>
      <c r="AW53" s="110"/>
      <c r="AX53" s="468"/>
    </row>
    <row r="54" spans="2:50">
      <c r="B54" s="468"/>
      <c r="C54" s="110">
        <v>8</v>
      </c>
      <c r="D54" s="110"/>
      <c r="E54" s="110"/>
      <c r="F54" s="110"/>
      <c r="G54" s="110"/>
      <c r="H54" s="490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0"/>
      <c r="M54" s="160" t="e">
        <f>RANK(K54, K$47:$K$61)</f>
        <v>#DIV/0!</v>
      </c>
      <c r="N54" s="477"/>
      <c r="O54" s="477"/>
      <c r="P54" s="110"/>
      <c r="Q54" s="110"/>
      <c r="R54" s="110"/>
      <c r="S54" s="110"/>
      <c r="T54" s="468"/>
      <c r="U54" s="110"/>
      <c r="V54" s="110"/>
      <c r="W54" s="110"/>
      <c r="X54" s="110"/>
      <c r="Y54" s="468"/>
      <c r="Z54" s="110"/>
      <c r="AA54" s="110"/>
      <c r="AB54" s="110"/>
      <c r="AC54" s="110"/>
      <c r="AD54" s="468"/>
      <c r="AE54" s="110"/>
      <c r="AF54" s="110"/>
      <c r="AG54" s="110"/>
      <c r="AH54" s="110"/>
      <c r="AI54" s="468"/>
      <c r="AJ54" s="110"/>
      <c r="AK54" s="110"/>
      <c r="AL54" s="110"/>
      <c r="AM54" s="110"/>
      <c r="AN54" s="468"/>
      <c r="AO54" s="110"/>
      <c r="AP54" s="110"/>
      <c r="AQ54" s="110"/>
      <c r="AR54" s="110"/>
      <c r="AS54" s="468"/>
      <c r="AT54" s="110"/>
      <c r="AU54" s="110"/>
      <c r="AV54" s="110"/>
      <c r="AW54" s="110"/>
      <c r="AX54" s="468"/>
    </row>
    <row r="55" spans="2:50">
      <c r="B55" s="468"/>
      <c r="C55" s="110">
        <v>9</v>
      </c>
      <c r="D55" s="110"/>
      <c r="E55" s="110"/>
      <c r="F55" s="110"/>
      <c r="G55" s="110"/>
      <c r="H55" s="490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0"/>
      <c r="M55" s="160" t="e">
        <f>RANK(K55, K$47:$K$61)</f>
        <v>#DIV/0!</v>
      </c>
      <c r="N55" s="477"/>
      <c r="O55" s="477"/>
      <c r="P55" s="110"/>
      <c r="Q55" s="110"/>
      <c r="R55" s="110"/>
      <c r="S55" s="110"/>
      <c r="T55" s="468"/>
      <c r="U55" s="110"/>
      <c r="V55" s="110"/>
      <c r="W55" s="110"/>
      <c r="X55" s="110"/>
      <c r="Y55" s="468"/>
      <c r="Z55" s="110"/>
      <c r="AA55" s="110"/>
      <c r="AB55" s="110"/>
      <c r="AC55" s="110"/>
      <c r="AD55" s="468"/>
      <c r="AE55" s="110"/>
      <c r="AF55" s="110"/>
      <c r="AG55" s="110"/>
      <c r="AH55" s="110"/>
      <c r="AI55" s="468"/>
      <c r="AJ55" s="110"/>
      <c r="AK55" s="110"/>
      <c r="AL55" s="110"/>
      <c r="AM55" s="110"/>
      <c r="AN55" s="468"/>
      <c r="AO55" s="110"/>
      <c r="AP55" s="110"/>
      <c r="AQ55" s="110"/>
      <c r="AR55" s="110"/>
      <c r="AS55" s="468"/>
      <c r="AT55" s="110"/>
      <c r="AU55" s="110"/>
      <c r="AV55" s="110"/>
      <c r="AW55" s="110"/>
      <c r="AX55" s="468"/>
    </row>
    <row r="56" spans="2:50">
      <c r="B56" s="468"/>
      <c r="C56" s="110">
        <v>10</v>
      </c>
      <c r="D56" s="110"/>
      <c r="E56" s="110"/>
      <c r="F56" s="110"/>
      <c r="G56" s="110"/>
      <c r="H56" s="490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0"/>
      <c r="M56" s="160" t="e">
        <f>RANK(K56, K$47:$K$61)</f>
        <v>#DIV/0!</v>
      </c>
      <c r="N56" s="477"/>
      <c r="O56" s="477"/>
      <c r="P56" s="110"/>
      <c r="Q56" s="110"/>
      <c r="R56" s="110"/>
      <c r="S56" s="110"/>
      <c r="T56" s="468"/>
      <c r="U56" s="110"/>
      <c r="V56" s="110"/>
      <c r="W56" s="110"/>
      <c r="X56" s="110"/>
      <c r="Y56" s="468"/>
      <c r="Z56" s="110"/>
      <c r="AA56" s="110"/>
      <c r="AB56" s="110"/>
      <c r="AC56" s="110"/>
      <c r="AD56" s="468"/>
      <c r="AE56" s="110"/>
      <c r="AF56" s="110"/>
      <c r="AG56" s="110"/>
      <c r="AH56" s="110"/>
      <c r="AI56" s="468"/>
      <c r="AJ56" s="110"/>
      <c r="AK56" s="110"/>
      <c r="AL56" s="110"/>
      <c r="AM56" s="110"/>
      <c r="AN56" s="468"/>
      <c r="AO56" s="110"/>
      <c r="AP56" s="110"/>
      <c r="AQ56" s="110"/>
      <c r="AR56" s="110"/>
      <c r="AS56" s="468"/>
      <c r="AT56" s="110"/>
      <c r="AU56" s="110"/>
      <c r="AV56" s="110"/>
      <c r="AW56" s="110"/>
      <c r="AX56" s="468"/>
    </row>
    <row r="57" spans="2:50">
      <c r="B57" s="468"/>
      <c r="C57" s="110">
        <v>11</v>
      </c>
      <c r="D57" s="110"/>
      <c r="E57" s="110"/>
      <c r="F57" s="110"/>
      <c r="G57" s="110"/>
      <c r="H57" s="490"/>
      <c r="I57" s="110"/>
      <c r="J57" s="110"/>
      <c r="K57" s="110"/>
      <c r="L57" s="480"/>
      <c r="M57" s="160" t="e">
        <f>RANK(K57, K$47:$K$61)</f>
        <v>#DIV/0!</v>
      </c>
      <c r="N57" s="477"/>
      <c r="O57" s="477"/>
      <c r="P57" s="110"/>
      <c r="Q57" s="110"/>
      <c r="R57" s="110"/>
      <c r="S57" s="110"/>
      <c r="T57" s="468"/>
      <c r="U57" s="110"/>
      <c r="V57" s="110"/>
      <c r="W57" s="110"/>
      <c r="X57" s="110"/>
      <c r="Y57" s="468"/>
      <c r="Z57" s="110"/>
      <c r="AA57" s="110"/>
      <c r="AB57" s="110"/>
      <c r="AC57" s="110"/>
      <c r="AD57" s="468"/>
      <c r="AE57" s="110"/>
      <c r="AF57" s="110"/>
      <c r="AG57" s="110"/>
      <c r="AH57" s="110"/>
      <c r="AI57" s="468"/>
      <c r="AJ57" s="110"/>
      <c r="AK57" s="110"/>
      <c r="AL57" s="110"/>
      <c r="AM57" s="110"/>
      <c r="AN57" s="468"/>
      <c r="AO57" s="110"/>
      <c r="AP57" s="110"/>
      <c r="AQ57" s="110"/>
      <c r="AR57" s="110"/>
      <c r="AS57" s="468"/>
      <c r="AT57" s="110"/>
      <c r="AU57" s="110"/>
      <c r="AV57" s="110"/>
      <c r="AW57" s="110"/>
      <c r="AX57" s="468"/>
    </row>
    <row r="58" spans="2:50">
      <c r="B58" s="468"/>
      <c r="C58" s="110">
        <v>12</v>
      </c>
      <c r="D58" s="110"/>
      <c r="E58" s="110"/>
      <c r="F58" s="110"/>
      <c r="G58" s="110"/>
      <c r="H58" s="490"/>
      <c r="I58" s="110"/>
      <c r="J58" s="110"/>
      <c r="K58" s="110"/>
      <c r="L58" s="480"/>
      <c r="M58" s="160" t="e">
        <f>RANK(K58, K$47:$K$61)</f>
        <v>#DIV/0!</v>
      </c>
      <c r="N58" s="477"/>
      <c r="O58" s="477"/>
      <c r="P58" s="110"/>
      <c r="Q58" s="110"/>
      <c r="R58" s="110"/>
      <c r="S58" s="110"/>
      <c r="T58" s="468"/>
      <c r="U58" s="110"/>
      <c r="V58" s="110"/>
      <c r="W58" s="110"/>
      <c r="X58" s="110"/>
      <c r="Y58" s="468"/>
      <c r="Z58" s="110"/>
      <c r="AA58" s="110"/>
      <c r="AB58" s="110"/>
      <c r="AC58" s="110"/>
      <c r="AD58" s="468"/>
      <c r="AE58" s="110"/>
      <c r="AF58" s="110"/>
      <c r="AG58" s="110"/>
      <c r="AH58" s="110"/>
      <c r="AI58" s="468"/>
      <c r="AJ58" s="110"/>
      <c r="AK58" s="110"/>
      <c r="AL58" s="110"/>
      <c r="AM58" s="110"/>
      <c r="AN58" s="468"/>
      <c r="AO58" s="110"/>
      <c r="AP58" s="110"/>
      <c r="AQ58" s="110"/>
      <c r="AR58" s="110"/>
      <c r="AS58" s="468"/>
      <c r="AT58" s="110"/>
      <c r="AU58" s="110"/>
      <c r="AV58" s="110"/>
      <c r="AW58" s="110"/>
      <c r="AX58" s="468"/>
    </row>
    <row r="59" spans="2:50">
      <c r="B59" s="468"/>
      <c r="C59" s="110">
        <v>13</v>
      </c>
      <c r="D59" s="110"/>
      <c r="E59" s="110"/>
      <c r="F59" s="110"/>
      <c r="G59" s="110"/>
      <c r="H59" s="490"/>
      <c r="I59" s="110"/>
      <c r="J59" s="110"/>
      <c r="K59" s="110"/>
      <c r="L59" s="480"/>
      <c r="M59" s="160" t="e">
        <f>RANK(K59, K$47:$K$61)</f>
        <v>#DIV/0!</v>
      </c>
      <c r="N59" s="477"/>
      <c r="O59" s="477"/>
      <c r="P59" s="110"/>
      <c r="Q59" s="110"/>
      <c r="R59" s="110"/>
      <c r="S59" s="110"/>
      <c r="T59" s="468"/>
      <c r="U59" s="110"/>
      <c r="V59" s="110"/>
      <c r="W59" s="110"/>
      <c r="X59" s="110"/>
      <c r="Y59" s="468"/>
      <c r="Z59" s="110"/>
      <c r="AA59" s="110"/>
      <c r="AB59" s="110"/>
      <c r="AC59" s="110"/>
      <c r="AD59" s="468"/>
      <c r="AE59" s="110"/>
      <c r="AF59" s="110"/>
      <c r="AG59" s="110"/>
      <c r="AH59" s="110"/>
      <c r="AI59" s="468"/>
      <c r="AJ59" s="110"/>
      <c r="AK59" s="110"/>
      <c r="AL59" s="110"/>
      <c r="AM59" s="110"/>
      <c r="AN59" s="468"/>
      <c r="AO59" s="110"/>
      <c r="AP59" s="110"/>
      <c r="AQ59" s="110"/>
      <c r="AR59" s="110"/>
      <c r="AS59" s="468"/>
      <c r="AT59" s="110"/>
      <c r="AU59" s="110"/>
      <c r="AV59" s="110"/>
      <c r="AW59" s="110"/>
      <c r="AX59" s="468"/>
    </row>
    <row r="60" spans="2:50">
      <c r="B60" s="468"/>
      <c r="C60" s="110">
        <v>14</v>
      </c>
      <c r="D60" s="110"/>
      <c r="E60" s="110"/>
      <c r="F60" s="110"/>
      <c r="G60" s="110"/>
      <c r="H60" s="490"/>
      <c r="I60" s="110"/>
      <c r="J60" s="110"/>
      <c r="K60" s="110"/>
      <c r="L60" s="480"/>
      <c r="M60" s="160" t="e">
        <f>RANK(K60, K$47:$K$61)</f>
        <v>#DIV/0!</v>
      </c>
      <c r="N60" s="477"/>
      <c r="O60" s="477"/>
      <c r="P60" s="110"/>
      <c r="Q60" s="110"/>
      <c r="R60" s="110"/>
      <c r="S60" s="110"/>
      <c r="T60" s="468"/>
      <c r="U60" s="110"/>
      <c r="V60" s="110"/>
      <c r="W60" s="110"/>
      <c r="X60" s="110"/>
      <c r="Y60" s="468"/>
      <c r="Z60" s="110"/>
      <c r="AA60" s="110"/>
      <c r="AB60" s="110"/>
      <c r="AC60" s="110"/>
      <c r="AD60" s="468"/>
      <c r="AE60" s="110"/>
      <c r="AF60" s="110"/>
      <c r="AG60" s="110"/>
      <c r="AH60" s="110"/>
      <c r="AI60" s="468"/>
      <c r="AJ60" s="110"/>
      <c r="AK60" s="110"/>
      <c r="AL60" s="110"/>
      <c r="AM60" s="110"/>
      <c r="AN60" s="468"/>
      <c r="AO60" s="110"/>
      <c r="AP60" s="110"/>
      <c r="AQ60" s="110"/>
      <c r="AR60" s="110"/>
      <c r="AS60" s="468"/>
      <c r="AT60" s="110"/>
      <c r="AU60" s="110"/>
      <c r="AV60" s="110"/>
      <c r="AW60" s="110"/>
      <c r="AX60" s="468"/>
    </row>
    <row r="61" spans="2:50">
      <c r="B61" s="468"/>
      <c r="C61" s="110">
        <v>15</v>
      </c>
      <c r="D61" s="110"/>
      <c r="E61" s="110"/>
      <c r="F61" s="110"/>
      <c r="G61" s="110"/>
      <c r="H61" s="491"/>
      <c r="I61" s="110"/>
      <c r="J61" s="110"/>
      <c r="K61" s="110"/>
      <c r="L61" s="481"/>
      <c r="M61" s="160" t="e">
        <f>RANK(K61, K$47:$K$61)</f>
        <v>#DIV/0!</v>
      </c>
      <c r="N61" s="477"/>
      <c r="O61" s="477"/>
      <c r="P61" s="110"/>
      <c r="Q61" s="110"/>
      <c r="R61" s="110"/>
      <c r="S61" s="110"/>
      <c r="T61" s="468"/>
      <c r="U61" s="110"/>
      <c r="V61" s="110"/>
      <c r="W61" s="110"/>
      <c r="X61" s="110"/>
      <c r="Y61" s="468"/>
      <c r="Z61" s="110"/>
      <c r="AA61" s="110"/>
      <c r="AB61" s="110"/>
      <c r="AC61" s="110"/>
      <c r="AD61" s="468"/>
      <c r="AE61" s="110"/>
      <c r="AF61" s="110"/>
      <c r="AG61" s="110"/>
      <c r="AH61" s="110"/>
      <c r="AI61" s="468"/>
      <c r="AJ61" s="110"/>
      <c r="AK61" s="110"/>
      <c r="AL61" s="110"/>
      <c r="AM61" s="110"/>
      <c r="AN61" s="468"/>
      <c r="AO61" s="110"/>
      <c r="AP61" s="110"/>
      <c r="AQ61" s="110"/>
      <c r="AR61" s="110"/>
      <c r="AS61" s="468"/>
      <c r="AT61" s="110"/>
      <c r="AU61" s="110"/>
      <c r="AV61" s="110"/>
      <c r="AW61" s="110"/>
      <c r="AX61" s="468"/>
    </row>
    <row r="62" spans="2:50" ht="15.75">
      <c r="B62" s="469" t="s">
        <v>44</v>
      </c>
      <c r="C62" s="470"/>
      <c r="D62" s="470"/>
      <c r="E62" s="470"/>
      <c r="F62" s="470"/>
      <c r="G62" s="470"/>
      <c r="H62" s="470"/>
      <c r="I62" s="175"/>
      <c r="J62" s="175"/>
      <c r="K62" s="175"/>
      <c r="L62" s="175"/>
      <c r="M62" s="174"/>
      <c r="N62" s="472" t="s">
        <v>45</v>
      </c>
      <c r="O62" s="472" t="s">
        <v>3</v>
      </c>
      <c r="P62" s="467">
        <v>45888</v>
      </c>
      <c r="Q62" s="468"/>
      <c r="R62" s="468"/>
      <c r="S62" s="468"/>
      <c r="T62" s="468"/>
      <c r="U62" s="467">
        <v>45889</v>
      </c>
      <c r="V62" s="468"/>
      <c r="W62" s="468"/>
      <c r="X62" s="468"/>
      <c r="Y62" s="468"/>
      <c r="Z62" s="467">
        <v>45890</v>
      </c>
      <c r="AA62" s="468"/>
      <c r="AB62" s="468"/>
      <c r="AC62" s="468"/>
      <c r="AD62" s="468"/>
      <c r="AE62" s="467">
        <v>45891</v>
      </c>
      <c r="AF62" s="468"/>
      <c r="AG62" s="468"/>
      <c r="AH62" s="468"/>
      <c r="AI62" s="468"/>
      <c r="AJ62" s="467">
        <v>45892</v>
      </c>
      <c r="AK62" s="468"/>
      <c r="AL62" s="468"/>
      <c r="AM62" s="468"/>
      <c r="AN62" s="468"/>
      <c r="AO62" s="467">
        <v>45893</v>
      </c>
      <c r="AP62" s="468"/>
      <c r="AQ62" s="468"/>
      <c r="AR62" s="468"/>
      <c r="AS62" s="468"/>
      <c r="AT62" s="467">
        <v>45894</v>
      </c>
      <c r="AU62" s="468"/>
      <c r="AV62" s="468"/>
      <c r="AW62" s="468"/>
      <c r="AX62" s="468"/>
    </row>
    <row r="63" spans="2:50" ht="15.75">
      <c r="B63" s="471"/>
      <c r="C63" s="471"/>
      <c r="D63" s="471"/>
      <c r="E63" s="471"/>
      <c r="F63" s="471"/>
      <c r="G63" s="471"/>
      <c r="H63" s="471"/>
      <c r="I63" s="156"/>
      <c r="J63" s="156"/>
      <c r="K63" s="156"/>
      <c r="L63" s="156"/>
      <c r="M63" s="157"/>
      <c r="N63" s="473"/>
      <c r="O63" s="473"/>
      <c r="P63" s="467" t="s">
        <v>16</v>
      </c>
      <c r="Q63" s="468"/>
      <c r="R63" s="468"/>
      <c r="S63" s="468"/>
      <c r="T63" s="468"/>
      <c r="U63" s="467" t="s">
        <v>17</v>
      </c>
      <c r="V63" s="468"/>
      <c r="W63" s="468"/>
      <c r="X63" s="468"/>
      <c r="Y63" s="468"/>
      <c r="Z63" s="467" t="s">
        <v>18</v>
      </c>
      <c r="AA63" s="468"/>
      <c r="AB63" s="468"/>
      <c r="AC63" s="468"/>
      <c r="AD63" s="468"/>
      <c r="AE63" s="467" t="s">
        <v>19</v>
      </c>
      <c r="AF63" s="468"/>
      <c r="AG63" s="468"/>
      <c r="AH63" s="468"/>
      <c r="AI63" s="468"/>
      <c r="AJ63" s="467" t="s">
        <v>14</v>
      </c>
      <c r="AK63" s="468"/>
      <c r="AL63" s="468"/>
      <c r="AM63" s="468"/>
      <c r="AN63" s="468"/>
      <c r="AO63" s="467" t="s">
        <v>10</v>
      </c>
      <c r="AP63" s="468"/>
      <c r="AQ63" s="468"/>
      <c r="AR63" s="468"/>
      <c r="AS63" s="468"/>
      <c r="AT63" s="467" t="s">
        <v>15</v>
      </c>
      <c r="AU63" s="468"/>
      <c r="AV63" s="468"/>
      <c r="AW63" s="468"/>
      <c r="AX63" s="468"/>
    </row>
    <row r="64" spans="2:50">
      <c r="B64" s="477" t="s">
        <v>46</v>
      </c>
      <c r="C64" s="477" t="s">
        <v>47</v>
      </c>
      <c r="D64" s="477"/>
      <c r="E64" s="477" t="s">
        <v>48</v>
      </c>
      <c r="F64" s="477"/>
      <c r="G64" s="477"/>
      <c r="H64" s="483" t="s">
        <v>49</v>
      </c>
      <c r="I64" s="477" t="s">
        <v>50</v>
      </c>
      <c r="J64" s="477"/>
      <c r="K64" s="477"/>
      <c r="L64" s="483" t="s">
        <v>49</v>
      </c>
      <c r="M64" s="472" t="s">
        <v>51</v>
      </c>
      <c r="N64" s="477"/>
      <c r="O64" s="477" t="s">
        <v>52</v>
      </c>
      <c r="P64" s="474" t="s">
        <v>53</v>
      </c>
      <c r="Q64" s="475"/>
      <c r="R64" s="475"/>
      <c r="S64" s="476"/>
      <c r="T64" s="477" t="s">
        <v>49</v>
      </c>
      <c r="U64" s="474" t="s">
        <v>53</v>
      </c>
      <c r="V64" s="475"/>
      <c r="W64" s="475"/>
      <c r="X64" s="476"/>
      <c r="Y64" s="477" t="s">
        <v>49</v>
      </c>
      <c r="Z64" s="474" t="s">
        <v>53</v>
      </c>
      <c r="AA64" s="475"/>
      <c r="AB64" s="475"/>
      <c r="AC64" s="476"/>
      <c r="AD64" s="477" t="s">
        <v>49</v>
      </c>
      <c r="AE64" s="474" t="s">
        <v>53</v>
      </c>
      <c r="AF64" s="475"/>
      <c r="AG64" s="475"/>
      <c r="AH64" s="476"/>
      <c r="AI64" s="477" t="s">
        <v>49</v>
      </c>
      <c r="AJ64" s="474" t="s">
        <v>53</v>
      </c>
      <c r="AK64" s="475"/>
      <c r="AL64" s="475"/>
      <c r="AM64" s="476"/>
      <c r="AN64" s="477" t="s">
        <v>49</v>
      </c>
      <c r="AO64" s="474" t="s">
        <v>53</v>
      </c>
      <c r="AP64" s="475"/>
      <c r="AQ64" s="475"/>
      <c r="AR64" s="476"/>
      <c r="AS64" s="477" t="s">
        <v>49</v>
      </c>
      <c r="AT64" s="474" t="s">
        <v>53</v>
      </c>
      <c r="AU64" s="475"/>
      <c r="AV64" s="475"/>
      <c r="AW64" s="476"/>
      <c r="AX64" s="477" t="s">
        <v>49</v>
      </c>
    </row>
    <row r="65" spans="2:50">
      <c r="B65" s="477"/>
      <c r="C65" s="477"/>
      <c r="D65" s="477"/>
      <c r="E65" s="477" t="s">
        <v>54</v>
      </c>
      <c r="F65" s="477"/>
      <c r="G65" s="477"/>
      <c r="H65" s="484"/>
      <c r="I65" s="477" t="s">
        <v>54</v>
      </c>
      <c r="J65" s="477"/>
      <c r="K65" s="477"/>
      <c r="L65" s="484"/>
      <c r="M65" s="486"/>
      <c r="N65" s="477"/>
      <c r="O65" s="477"/>
      <c r="P65" s="474" t="s">
        <v>55</v>
      </c>
      <c r="Q65" s="475"/>
      <c r="R65" s="475"/>
      <c r="S65" s="476"/>
      <c r="T65" s="477"/>
      <c r="U65" s="474" t="s">
        <v>55</v>
      </c>
      <c r="V65" s="475"/>
      <c r="W65" s="475"/>
      <c r="X65" s="476"/>
      <c r="Y65" s="477"/>
      <c r="Z65" s="474" t="s">
        <v>55</v>
      </c>
      <c r="AA65" s="475"/>
      <c r="AB65" s="475"/>
      <c r="AC65" s="476"/>
      <c r="AD65" s="477"/>
      <c r="AE65" s="474" t="s">
        <v>55</v>
      </c>
      <c r="AF65" s="475"/>
      <c r="AG65" s="475"/>
      <c r="AH65" s="476"/>
      <c r="AI65" s="477"/>
      <c r="AJ65" s="474" t="s">
        <v>55</v>
      </c>
      <c r="AK65" s="475"/>
      <c r="AL65" s="475"/>
      <c r="AM65" s="476"/>
      <c r="AN65" s="477"/>
      <c r="AO65" s="474" t="s">
        <v>55</v>
      </c>
      <c r="AP65" s="475"/>
      <c r="AQ65" s="475"/>
      <c r="AR65" s="476"/>
      <c r="AS65" s="477"/>
      <c r="AT65" s="474" t="s">
        <v>55</v>
      </c>
      <c r="AU65" s="475"/>
      <c r="AV65" s="475"/>
      <c r="AW65" s="476"/>
      <c r="AX65" s="477"/>
    </row>
    <row r="66" spans="2:50">
      <c r="B66" s="477"/>
      <c r="C66" s="477"/>
      <c r="D66" s="477"/>
      <c r="E66" s="109" t="s">
        <v>56</v>
      </c>
      <c r="F66" s="109" t="s">
        <v>57</v>
      </c>
      <c r="G66" s="109" t="s">
        <v>58</v>
      </c>
      <c r="H66" s="485"/>
      <c r="I66" s="109" t="s">
        <v>56</v>
      </c>
      <c r="J66" s="109" t="s">
        <v>57</v>
      </c>
      <c r="K66" s="109" t="s">
        <v>58</v>
      </c>
      <c r="L66" s="485"/>
      <c r="M66" s="473"/>
      <c r="N66" s="477"/>
      <c r="O66" s="477"/>
      <c r="P66" s="109" t="s">
        <v>56</v>
      </c>
      <c r="Q66" s="109" t="s">
        <v>57</v>
      </c>
      <c r="R66" s="109" t="s">
        <v>58</v>
      </c>
      <c r="S66" s="109" t="s">
        <v>51</v>
      </c>
      <c r="T66" s="477"/>
      <c r="U66" s="109" t="s">
        <v>56</v>
      </c>
      <c r="V66" s="109" t="s">
        <v>57</v>
      </c>
      <c r="W66" s="109" t="s">
        <v>58</v>
      </c>
      <c r="X66" s="109" t="s">
        <v>51</v>
      </c>
      <c r="Y66" s="477"/>
      <c r="Z66" s="109" t="s">
        <v>56</v>
      </c>
      <c r="AA66" s="109" t="s">
        <v>57</v>
      </c>
      <c r="AB66" s="109" t="s">
        <v>58</v>
      </c>
      <c r="AC66" s="109" t="s">
        <v>51</v>
      </c>
      <c r="AD66" s="477"/>
      <c r="AE66" s="109" t="s">
        <v>56</v>
      </c>
      <c r="AF66" s="109" t="s">
        <v>57</v>
      </c>
      <c r="AG66" s="109" t="s">
        <v>58</v>
      </c>
      <c r="AH66" s="109" t="s">
        <v>51</v>
      </c>
      <c r="AI66" s="477"/>
      <c r="AJ66" s="109" t="s">
        <v>56</v>
      </c>
      <c r="AK66" s="109" t="s">
        <v>57</v>
      </c>
      <c r="AL66" s="109" t="s">
        <v>58</v>
      </c>
      <c r="AM66" s="109" t="s">
        <v>51</v>
      </c>
      <c r="AN66" s="477"/>
      <c r="AO66" s="109" t="s">
        <v>56</v>
      </c>
      <c r="AP66" s="109" t="s">
        <v>57</v>
      </c>
      <c r="AQ66" s="109" t="s">
        <v>58</v>
      </c>
      <c r="AR66" s="109" t="s">
        <v>51</v>
      </c>
      <c r="AS66" s="477"/>
      <c r="AT66" s="109" t="s">
        <v>56</v>
      </c>
      <c r="AU66" s="109" t="s">
        <v>57</v>
      </c>
      <c r="AV66" s="109" t="s">
        <v>58</v>
      </c>
      <c r="AW66" s="109" t="s">
        <v>51</v>
      </c>
      <c r="AX66" s="477"/>
    </row>
    <row r="67" spans="2:50" ht="13.5">
      <c r="B67" s="477" t="s">
        <v>60</v>
      </c>
      <c r="C67" s="110">
        <v>1</v>
      </c>
      <c r="D67" s="227"/>
      <c r="E67" s="160"/>
      <c r="F67" s="160"/>
      <c r="G67" s="158"/>
      <c r="H67" s="479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79" t="e">
        <f>AVERAGE(K67:K81)</f>
        <v>#DIV/0!</v>
      </c>
      <c r="M67" s="160" t="e">
        <f>RANK(K67, K$67:$K$81)</f>
        <v>#DIV/0!</v>
      </c>
      <c r="N67" s="477"/>
      <c r="O67" s="477"/>
      <c r="P67" s="110"/>
      <c r="Q67" s="110"/>
      <c r="R67" s="158"/>
      <c r="S67" s="110"/>
      <c r="T67" s="479" t="e">
        <f>AVERAGE(R67:R81)</f>
        <v>#DIV/0!</v>
      </c>
      <c r="U67" s="110"/>
      <c r="V67" s="110"/>
      <c r="W67" s="110"/>
      <c r="X67" s="110"/>
      <c r="Y67" s="468" t="e">
        <f>AVERAGE(W67:W81)</f>
        <v>#DIV/0!</v>
      </c>
      <c r="Z67" s="110"/>
      <c r="AA67" s="110"/>
      <c r="AB67" s="110"/>
      <c r="AC67" s="110"/>
      <c r="AD67" s="468" t="e">
        <f>AVERAGE(AB67:AB81)</f>
        <v>#DIV/0!</v>
      </c>
      <c r="AE67" s="110"/>
      <c r="AF67" s="110"/>
      <c r="AG67" s="110"/>
      <c r="AH67" s="110"/>
      <c r="AI67" s="468" t="e">
        <f>AVERAGE(AG67:AG81)</f>
        <v>#DIV/0!</v>
      </c>
      <c r="AJ67" s="110"/>
      <c r="AK67" s="110"/>
      <c r="AL67" s="110"/>
      <c r="AM67" s="110"/>
      <c r="AN67" s="468" t="e">
        <f>AVERAGE(AL67:AL81)</f>
        <v>#DIV/0!</v>
      </c>
      <c r="AO67" s="110"/>
      <c r="AP67" s="110"/>
      <c r="AQ67" s="110"/>
      <c r="AR67" s="110"/>
      <c r="AS67" s="468" t="e">
        <f>AVERAGE(AQ67:AQ81)</f>
        <v>#DIV/0!</v>
      </c>
      <c r="AT67" s="110"/>
      <c r="AU67" s="110"/>
      <c r="AV67" s="110"/>
      <c r="AW67" s="110"/>
      <c r="AX67" s="468" t="e">
        <f>AVERAGE(AV67:AV81)</f>
        <v>#DIV/0!</v>
      </c>
    </row>
    <row r="68" spans="2:50">
      <c r="B68" s="468"/>
      <c r="C68" s="110">
        <v>2</v>
      </c>
      <c r="D68" s="110"/>
      <c r="E68" s="160"/>
      <c r="F68" s="160"/>
      <c r="G68" s="158"/>
      <c r="H68" s="480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0"/>
      <c r="M68" s="160" t="e">
        <f>RANK(K68, K$67:$K$81)</f>
        <v>#DIV/0!</v>
      </c>
      <c r="N68" s="477"/>
      <c r="O68" s="477"/>
      <c r="P68" s="110"/>
      <c r="Q68" s="110"/>
      <c r="R68" s="158"/>
      <c r="S68" s="110"/>
      <c r="T68" s="480"/>
      <c r="U68" s="110"/>
      <c r="V68" s="110"/>
      <c r="W68" s="110"/>
      <c r="X68" s="110"/>
      <c r="Y68" s="468"/>
      <c r="Z68" s="110"/>
      <c r="AA68" s="110"/>
      <c r="AB68" s="110"/>
      <c r="AC68" s="110"/>
      <c r="AD68" s="468"/>
      <c r="AE68" s="110"/>
      <c r="AF68" s="110"/>
      <c r="AG68" s="110"/>
      <c r="AH68" s="110"/>
      <c r="AI68" s="468"/>
      <c r="AJ68" s="110"/>
      <c r="AK68" s="110"/>
      <c r="AL68" s="110"/>
      <c r="AM68" s="110"/>
      <c r="AN68" s="468"/>
      <c r="AO68" s="110"/>
      <c r="AP68" s="110"/>
      <c r="AQ68" s="110"/>
      <c r="AR68" s="110"/>
      <c r="AS68" s="468"/>
      <c r="AT68" s="110"/>
      <c r="AU68" s="110"/>
      <c r="AV68" s="110"/>
      <c r="AW68" s="110"/>
      <c r="AX68" s="468"/>
    </row>
    <row r="69" spans="2:50">
      <c r="B69" s="468"/>
      <c r="C69" s="110">
        <v>3</v>
      </c>
      <c r="D69" s="110"/>
      <c r="E69" s="160"/>
      <c r="F69" s="160"/>
      <c r="G69" s="158"/>
      <c r="H69" s="480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0"/>
      <c r="M69" s="160" t="e">
        <f>RANK(K69, K$67:$K$81)</f>
        <v>#DIV/0!</v>
      </c>
      <c r="N69" s="477"/>
      <c r="O69" s="477"/>
      <c r="P69" s="110"/>
      <c r="Q69" s="110"/>
      <c r="R69" s="158"/>
      <c r="S69" s="110"/>
      <c r="T69" s="480"/>
      <c r="U69" s="110"/>
      <c r="V69" s="110"/>
      <c r="W69" s="110"/>
      <c r="X69" s="110"/>
      <c r="Y69" s="468"/>
      <c r="Z69" s="110"/>
      <c r="AA69" s="110"/>
      <c r="AB69" s="110"/>
      <c r="AC69" s="110"/>
      <c r="AD69" s="468"/>
      <c r="AE69" s="110"/>
      <c r="AF69" s="110"/>
      <c r="AG69" s="110"/>
      <c r="AH69" s="110"/>
      <c r="AI69" s="468"/>
      <c r="AJ69" s="110"/>
      <c r="AK69" s="110"/>
      <c r="AL69" s="110"/>
      <c r="AM69" s="110"/>
      <c r="AN69" s="468"/>
      <c r="AO69" s="110"/>
      <c r="AP69" s="110"/>
      <c r="AQ69" s="110"/>
      <c r="AR69" s="110"/>
      <c r="AS69" s="468"/>
      <c r="AT69" s="110"/>
      <c r="AU69" s="110"/>
      <c r="AV69" s="110"/>
      <c r="AW69" s="110"/>
      <c r="AX69" s="468"/>
    </row>
    <row r="70" spans="2:50">
      <c r="B70" s="468"/>
      <c r="C70" s="110">
        <v>4</v>
      </c>
      <c r="D70" s="110"/>
      <c r="E70" s="160"/>
      <c r="F70" s="160"/>
      <c r="G70" s="158"/>
      <c r="H70" s="480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0"/>
      <c r="M70" s="160" t="e">
        <f>RANK(K70, K$67:$K$81)</f>
        <v>#DIV/0!</v>
      </c>
      <c r="N70" s="477"/>
      <c r="O70" s="477"/>
      <c r="P70" s="110"/>
      <c r="Q70" s="110"/>
      <c r="R70" s="158"/>
      <c r="S70" s="110"/>
      <c r="T70" s="480"/>
      <c r="U70" s="110"/>
      <c r="V70" s="110"/>
      <c r="W70" s="110"/>
      <c r="X70" s="110"/>
      <c r="Y70" s="468"/>
      <c r="Z70" s="110"/>
      <c r="AA70" s="110"/>
      <c r="AB70" s="110"/>
      <c r="AC70" s="110"/>
      <c r="AD70" s="468"/>
      <c r="AE70" s="110"/>
      <c r="AF70" s="110"/>
      <c r="AG70" s="110"/>
      <c r="AH70" s="110"/>
      <c r="AI70" s="468"/>
      <c r="AJ70" s="110"/>
      <c r="AK70" s="110"/>
      <c r="AL70" s="110"/>
      <c r="AM70" s="110"/>
      <c r="AN70" s="468"/>
      <c r="AO70" s="110"/>
      <c r="AP70" s="110"/>
      <c r="AQ70" s="110"/>
      <c r="AR70" s="110"/>
      <c r="AS70" s="468"/>
      <c r="AT70" s="110"/>
      <c r="AU70" s="110"/>
      <c r="AV70" s="110"/>
      <c r="AW70" s="110"/>
      <c r="AX70" s="468"/>
    </row>
    <row r="71" spans="2:50">
      <c r="B71" s="468"/>
      <c r="C71" s="110">
        <v>5</v>
      </c>
      <c r="D71" s="110"/>
      <c r="E71" s="160"/>
      <c r="F71" s="160"/>
      <c r="G71" s="158"/>
      <c r="H71" s="480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0"/>
      <c r="M71" s="160" t="e">
        <f>RANK(K71, K$67:$K$81)</f>
        <v>#DIV/0!</v>
      </c>
      <c r="N71" s="477"/>
      <c r="O71" s="477"/>
      <c r="P71" s="110"/>
      <c r="Q71" s="110"/>
      <c r="R71" s="158"/>
      <c r="S71" s="110"/>
      <c r="T71" s="480"/>
      <c r="U71" s="110"/>
      <c r="V71" s="110"/>
      <c r="W71" s="110"/>
      <c r="X71" s="110"/>
      <c r="Y71" s="468"/>
      <c r="Z71" s="110"/>
      <c r="AA71" s="110"/>
      <c r="AB71" s="110"/>
      <c r="AC71" s="110"/>
      <c r="AD71" s="468"/>
      <c r="AE71" s="110"/>
      <c r="AF71" s="110"/>
      <c r="AG71" s="110"/>
      <c r="AH71" s="110"/>
      <c r="AI71" s="468"/>
      <c r="AJ71" s="110"/>
      <c r="AK71" s="110"/>
      <c r="AL71" s="110"/>
      <c r="AM71" s="110"/>
      <c r="AN71" s="468"/>
      <c r="AO71" s="110"/>
      <c r="AP71" s="110"/>
      <c r="AQ71" s="110"/>
      <c r="AR71" s="110"/>
      <c r="AS71" s="468"/>
      <c r="AT71" s="110"/>
      <c r="AU71" s="110"/>
      <c r="AV71" s="110"/>
      <c r="AW71" s="110"/>
      <c r="AX71" s="468"/>
    </row>
    <row r="72" spans="2:50">
      <c r="B72" s="468"/>
      <c r="C72" s="110">
        <v>6</v>
      </c>
      <c r="D72" s="110"/>
      <c r="E72" s="160"/>
      <c r="F72" s="160"/>
      <c r="G72" s="158"/>
      <c r="H72" s="480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0"/>
      <c r="M72" s="160" t="e">
        <f>RANK(K72, K$67:$K$81)</f>
        <v>#DIV/0!</v>
      </c>
      <c r="N72" s="477"/>
      <c r="O72" s="477"/>
      <c r="P72" s="110"/>
      <c r="Q72" s="110"/>
      <c r="R72" s="158"/>
      <c r="S72" s="110"/>
      <c r="T72" s="480"/>
      <c r="U72" s="110"/>
      <c r="V72" s="110"/>
      <c r="W72" s="110"/>
      <c r="X72" s="110"/>
      <c r="Y72" s="468"/>
      <c r="Z72" s="110"/>
      <c r="AA72" s="110"/>
      <c r="AB72" s="110"/>
      <c r="AC72" s="110"/>
      <c r="AD72" s="468"/>
      <c r="AE72" s="110"/>
      <c r="AF72" s="110"/>
      <c r="AG72" s="110"/>
      <c r="AH72" s="110"/>
      <c r="AI72" s="468"/>
      <c r="AJ72" s="110"/>
      <c r="AK72" s="110"/>
      <c r="AL72" s="110"/>
      <c r="AM72" s="110"/>
      <c r="AN72" s="468"/>
      <c r="AO72" s="110"/>
      <c r="AP72" s="110"/>
      <c r="AQ72" s="110"/>
      <c r="AR72" s="110"/>
      <c r="AS72" s="468"/>
      <c r="AT72" s="110"/>
      <c r="AU72" s="110"/>
      <c r="AV72" s="110"/>
      <c r="AW72" s="110"/>
      <c r="AX72" s="468"/>
    </row>
    <row r="73" spans="2:50">
      <c r="B73" s="468"/>
      <c r="C73" s="110">
        <v>7</v>
      </c>
      <c r="D73" s="110"/>
      <c r="E73" s="160"/>
      <c r="F73" s="160"/>
      <c r="G73" s="158"/>
      <c r="H73" s="480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0"/>
      <c r="M73" s="160" t="e">
        <f>RANK(K73, K$67:$K$81)</f>
        <v>#DIV/0!</v>
      </c>
      <c r="N73" s="477"/>
      <c r="O73" s="477"/>
      <c r="P73" s="110"/>
      <c r="Q73" s="110"/>
      <c r="R73" s="158"/>
      <c r="S73" s="110"/>
      <c r="T73" s="480"/>
      <c r="U73" s="110"/>
      <c r="V73" s="110"/>
      <c r="W73" s="110"/>
      <c r="X73" s="110"/>
      <c r="Y73" s="468"/>
      <c r="Z73" s="110"/>
      <c r="AA73" s="110"/>
      <c r="AB73" s="110"/>
      <c r="AC73" s="110"/>
      <c r="AD73" s="468"/>
      <c r="AE73" s="110"/>
      <c r="AF73" s="110"/>
      <c r="AG73" s="110"/>
      <c r="AH73" s="110"/>
      <c r="AI73" s="468"/>
      <c r="AJ73" s="110"/>
      <c r="AK73" s="110"/>
      <c r="AL73" s="110"/>
      <c r="AM73" s="110"/>
      <c r="AN73" s="468"/>
      <c r="AO73" s="110"/>
      <c r="AP73" s="110"/>
      <c r="AQ73" s="110"/>
      <c r="AR73" s="110"/>
      <c r="AS73" s="468"/>
      <c r="AT73" s="110"/>
      <c r="AU73" s="110"/>
      <c r="AV73" s="110"/>
      <c r="AW73" s="110"/>
      <c r="AX73" s="468"/>
    </row>
    <row r="74" spans="2:50">
      <c r="B74" s="468"/>
      <c r="C74" s="110">
        <v>8</v>
      </c>
      <c r="D74" s="110"/>
      <c r="E74" s="160"/>
      <c r="F74" s="160"/>
      <c r="G74" s="158"/>
      <c r="H74" s="480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0"/>
      <c r="M74" s="160" t="e">
        <f>RANK(K74, K$67:$K$81)</f>
        <v>#DIV/0!</v>
      </c>
      <c r="N74" s="477"/>
      <c r="O74" s="477"/>
      <c r="P74" s="110"/>
      <c r="Q74" s="110"/>
      <c r="R74" s="158"/>
      <c r="S74" s="110"/>
      <c r="T74" s="480"/>
      <c r="U74" s="110"/>
      <c r="V74" s="110"/>
      <c r="W74" s="110"/>
      <c r="X74" s="110"/>
      <c r="Y74" s="468"/>
      <c r="Z74" s="110"/>
      <c r="AA74" s="110"/>
      <c r="AB74" s="110"/>
      <c r="AC74" s="110"/>
      <c r="AD74" s="468"/>
      <c r="AE74" s="110"/>
      <c r="AF74" s="110"/>
      <c r="AG74" s="110"/>
      <c r="AH74" s="110"/>
      <c r="AI74" s="468"/>
      <c r="AJ74" s="110"/>
      <c r="AK74" s="110"/>
      <c r="AL74" s="110"/>
      <c r="AM74" s="110"/>
      <c r="AN74" s="468"/>
      <c r="AO74" s="110"/>
      <c r="AP74" s="110"/>
      <c r="AQ74" s="110"/>
      <c r="AR74" s="110"/>
      <c r="AS74" s="468"/>
      <c r="AT74" s="110"/>
      <c r="AU74" s="110"/>
      <c r="AV74" s="110"/>
      <c r="AW74" s="110"/>
      <c r="AX74" s="468"/>
    </row>
    <row r="75" spans="2:50">
      <c r="B75" s="468"/>
      <c r="C75" s="110">
        <v>9</v>
      </c>
      <c r="D75" s="110"/>
      <c r="E75" s="160"/>
      <c r="F75" s="160"/>
      <c r="G75" s="158"/>
      <c r="H75" s="480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0"/>
      <c r="M75" s="160" t="e">
        <f>RANK(K75, K$67:$K$81)</f>
        <v>#DIV/0!</v>
      </c>
      <c r="N75" s="477"/>
      <c r="O75" s="477"/>
      <c r="P75" s="110"/>
      <c r="Q75" s="110"/>
      <c r="R75" s="158"/>
      <c r="S75" s="110"/>
      <c r="T75" s="480"/>
      <c r="U75" s="110"/>
      <c r="V75" s="110"/>
      <c r="W75" s="110"/>
      <c r="X75" s="110"/>
      <c r="Y75" s="468"/>
      <c r="Z75" s="110"/>
      <c r="AA75" s="110"/>
      <c r="AB75" s="110"/>
      <c r="AC75" s="110"/>
      <c r="AD75" s="468"/>
      <c r="AE75" s="110"/>
      <c r="AF75" s="110"/>
      <c r="AG75" s="110"/>
      <c r="AH75" s="110"/>
      <c r="AI75" s="468"/>
      <c r="AJ75" s="110"/>
      <c r="AK75" s="110"/>
      <c r="AL75" s="110"/>
      <c r="AM75" s="110"/>
      <c r="AN75" s="468"/>
      <c r="AO75" s="110"/>
      <c r="AP75" s="110"/>
      <c r="AQ75" s="110"/>
      <c r="AR75" s="110"/>
      <c r="AS75" s="468"/>
      <c r="AT75" s="110"/>
      <c r="AU75" s="110"/>
      <c r="AV75" s="110"/>
      <c r="AW75" s="110"/>
      <c r="AX75" s="468"/>
    </row>
    <row r="76" spans="2:50">
      <c r="B76" s="468"/>
      <c r="C76" s="110">
        <v>10</v>
      </c>
      <c r="D76" s="110"/>
      <c r="E76" s="160"/>
      <c r="F76" s="160"/>
      <c r="G76" s="158"/>
      <c r="H76" s="480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0"/>
      <c r="M76" s="160" t="e">
        <f>RANK(K76, K$67:$K$81)</f>
        <v>#DIV/0!</v>
      </c>
      <c r="N76" s="477"/>
      <c r="O76" s="477"/>
      <c r="P76" s="110"/>
      <c r="Q76" s="110"/>
      <c r="R76" s="158"/>
      <c r="S76" s="110"/>
      <c r="T76" s="480"/>
      <c r="U76" s="110"/>
      <c r="V76" s="110"/>
      <c r="W76" s="110"/>
      <c r="X76" s="110"/>
      <c r="Y76" s="468"/>
      <c r="Z76" s="110"/>
      <c r="AA76" s="110"/>
      <c r="AB76" s="110"/>
      <c r="AC76" s="110"/>
      <c r="AD76" s="468"/>
      <c r="AE76" s="110"/>
      <c r="AF76" s="110"/>
      <c r="AG76" s="110"/>
      <c r="AH76" s="110"/>
      <c r="AI76" s="468"/>
      <c r="AJ76" s="110"/>
      <c r="AK76" s="110"/>
      <c r="AL76" s="110"/>
      <c r="AM76" s="110"/>
      <c r="AN76" s="468"/>
      <c r="AO76" s="110"/>
      <c r="AP76" s="110"/>
      <c r="AQ76" s="110"/>
      <c r="AR76" s="110"/>
      <c r="AS76" s="468"/>
      <c r="AT76" s="110"/>
      <c r="AU76" s="110"/>
      <c r="AV76" s="110"/>
      <c r="AW76" s="110"/>
      <c r="AX76" s="468"/>
    </row>
    <row r="77" spans="2:50">
      <c r="B77" s="468"/>
      <c r="C77" s="110">
        <v>11</v>
      </c>
      <c r="D77" s="110"/>
      <c r="E77" s="160"/>
      <c r="F77" s="160"/>
      <c r="G77" s="158"/>
      <c r="H77" s="480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0"/>
      <c r="M77" s="160" t="e">
        <f>RANK(K77, K$67:$K$81)</f>
        <v>#DIV/0!</v>
      </c>
      <c r="N77" s="477"/>
      <c r="O77" s="477"/>
      <c r="P77" s="110"/>
      <c r="Q77" s="110"/>
      <c r="R77" s="158"/>
      <c r="S77" s="110"/>
      <c r="T77" s="480"/>
      <c r="U77" s="110"/>
      <c r="V77" s="110"/>
      <c r="W77" s="110"/>
      <c r="X77" s="110"/>
      <c r="Y77" s="468"/>
      <c r="Z77" s="110"/>
      <c r="AA77" s="110"/>
      <c r="AB77" s="110"/>
      <c r="AC77" s="110"/>
      <c r="AD77" s="468"/>
      <c r="AE77" s="110"/>
      <c r="AF77" s="110"/>
      <c r="AG77" s="110"/>
      <c r="AH77" s="110"/>
      <c r="AI77" s="468"/>
      <c r="AJ77" s="110"/>
      <c r="AK77" s="110"/>
      <c r="AL77" s="110"/>
      <c r="AM77" s="110"/>
      <c r="AN77" s="468"/>
      <c r="AO77" s="110"/>
      <c r="AP77" s="110"/>
      <c r="AQ77" s="110"/>
      <c r="AR77" s="110"/>
      <c r="AS77" s="468"/>
      <c r="AT77" s="110"/>
      <c r="AU77" s="110"/>
      <c r="AV77" s="110"/>
      <c r="AW77" s="110"/>
      <c r="AX77" s="468"/>
    </row>
    <row r="78" spans="2:50">
      <c r="B78" s="468"/>
      <c r="C78" s="110">
        <v>12</v>
      </c>
      <c r="D78" s="110"/>
      <c r="E78" s="160"/>
      <c r="F78" s="160"/>
      <c r="G78" s="158"/>
      <c r="H78" s="480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0"/>
      <c r="M78" s="160" t="e">
        <f>RANK(K78, K$67:$K$81)</f>
        <v>#DIV/0!</v>
      </c>
      <c r="N78" s="477"/>
      <c r="O78" s="477"/>
      <c r="P78" s="110"/>
      <c r="Q78" s="110"/>
      <c r="R78" s="158"/>
      <c r="S78" s="110"/>
      <c r="T78" s="480"/>
      <c r="U78" s="110"/>
      <c r="V78" s="110"/>
      <c r="W78" s="110"/>
      <c r="X78" s="110"/>
      <c r="Y78" s="468"/>
      <c r="Z78" s="110"/>
      <c r="AA78" s="110"/>
      <c r="AB78" s="110"/>
      <c r="AC78" s="110"/>
      <c r="AD78" s="468"/>
      <c r="AE78" s="110"/>
      <c r="AF78" s="110"/>
      <c r="AG78" s="110"/>
      <c r="AH78" s="110"/>
      <c r="AI78" s="468"/>
      <c r="AJ78" s="110"/>
      <c r="AK78" s="110"/>
      <c r="AL78" s="110"/>
      <c r="AM78" s="110"/>
      <c r="AN78" s="468"/>
      <c r="AO78" s="110"/>
      <c r="AP78" s="110"/>
      <c r="AQ78" s="110"/>
      <c r="AR78" s="110"/>
      <c r="AS78" s="468"/>
      <c r="AT78" s="110"/>
      <c r="AU78" s="110"/>
      <c r="AV78" s="110"/>
      <c r="AW78" s="110"/>
      <c r="AX78" s="468"/>
    </row>
    <row r="79" spans="2:50">
      <c r="B79" s="468"/>
      <c r="C79" s="110">
        <v>13</v>
      </c>
      <c r="D79" s="110"/>
      <c r="E79" s="160"/>
      <c r="F79" s="160"/>
      <c r="G79" s="158"/>
      <c r="H79" s="480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0"/>
      <c r="M79" s="160" t="e">
        <f>RANK(K79, K$67:$K$81)</f>
        <v>#DIV/0!</v>
      </c>
      <c r="N79" s="477"/>
      <c r="O79" s="477"/>
      <c r="P79" s="110"/>
      <c r="Q79" s="110"/>
      <c r="R79" s="158"/>
      <c r="S79" s="110"/>
      <c r="T79" s="480"/>
      <c r="U79" s="110"/>
      <c r="V79" s="110"/>
      <c r="W79" s="110"/>
      <c r="X79" s="110"/>
      <c r="Y79" s="468"/>
      <c r="Z79" s="110"/>
      <c r="AA79" s="110"/>
      <c r="AB79" s="110"/>
      <c r="AC79" s="110"/>
      <c r="AD79" s="468"/>
      <c r="AE79" s="110"/>
      <c r="AF79" s="110"/>
      <c r="AG79" s="110"/>
      <c r="AH79" s="110"/>
      <c r="AI79" s="468"/>
      <c r="AJ79" s="110"/>
      <c r="AK79" s="110"/>
      <c r="AL79" s="110"/>
      <c r="AM79" s="110"/>
      <c r="AN79" s="468"/>
      <c r="AO79" s="110"/>
      <c r="AP79" s="110"/>
      <c r="AQ79" s="110"/>
      <c r="AR79" s="110"/>
      <c r="AS79" s="468"/>
      <c r="AT79" s="110"/>
      <c r="AU79" s="110"/>
      <c r="AV79" s="110"/>
      <c r="AW79" s="110"/>
      <c r="AX79" s="468"/>
    </row>
    <row r="80" spans="2:50">
      <c r="B80" s="468"/>
      <c r="C80" s="110">
        <v>14</v>
      </c>
      <c r="D80" s="110"/>
      <c r="E80" s="160"/>
      <c r="F80" s="160"/>
      <c r="G80" s="158"/>
      <c r="H80" s="480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0"/>
      <c r="M80" s="160" t="e">
        <f>RANK(K80, K$67:$K$81)</f>
        <v>#DIV/0!</v>
      </c>
      <c r="N80" s="477"/>
      <c r="O80" s="477"/>
      <c r="P80" s="110"/>
      <c r="Q80" s="110"/>
      <c r="R80" s="110"/>
      <c r="S80" s="110"/>
      <c r="T80" s="480"/>
      <c r="U80" s="110"/>
      <c r="V80" s="110"/>
      <c r="W80" s="110"/>
      <c r="X80" s="110"/>
      <c r="Y80" s="468"/>
      <c r="Z80" s="110"/>
      <c r="AA80" s="110"/>
      <c r="AB80" s="110"/>
      <c r="AC80" s="110"/>
      <c r="AD80" s="468"/>
      <c r="AE80" s="110"/>
      <c r="AF80" s="110"/>
      <c r="AG80" s="110"/>
      <c r="AH80" s="110"/>
      <c r="AI80" s="468"/>
      <c r="AJ80" s="110"/>
      <c r="AK80" s="110"/>
      <c r="AL80" s="110"/>
      <c r="AM80" s="110"/>
      <c r="AN80" s="468"/>
      <c r="AO80" s="110"/>
      <c r="AP80" s="110"/>
      <c r="AQ80" s="110"/>
      <c r="AR80" s="110"/>
      <c r="AS80" s="468"/>
      <c r="AT80" s="110"/>
      <c r="AU80" s="110"/>
      <c r="AV80" s="110"/>
      <c r="AW80" s="110"/>
      <c r="AX80" s="468"/>
    </row>
    <row r="81" spans="2:50">
      <c r="B81" s="468"/>
      <c r="C81" s="110">
        <v>15</v>
      </c>
      <c r="D81" s="110"/>
      <c r="E81" s="110"/>
      <c r="F81" s="110"/>
      <c r="G81" s="110"/>
      <c r="H81" s="481"/>
      <c r="I81" s="110"/>
      <c r="J81" s="110"/>
      <c r="K81" s="110"/>
      <c r="L81" s="481"/>
      <c r="M81" s="160" t="e">
        <f>RANK(K81, K$67:$K$81)</f>
        <v>#DIV/0!</v>
      </c>
      <c r="N81" s="477"/>
      <c r="O81" s="477"/>
      <c r="P81" s="110"/>
      <c r="Q81" s="110"/>
      <c r="R81" s="110"/>
      <c r="S81" s="110"/>
      <c r="T81" s="481"/>
      <c r="U81" s="110"/>
      <c r="V81" s="110"/>
      <c r="W81" s="110"/>
      <c r="X81" s="110"/>
      <c r="Y81" s="468"/>
      <c r="Z81" s="110"/>
      <c r="AA81" s="110"/>
      <c r="AB81" s="110"/>
      <c r="AC81" s="110"/>
      <c r="AD81" s="468"/>
      <c r="AE81" s="110"/>
      <c r="AF81" s="110"/>
      <c r="AG81" s="110"/>
      <c r="AH81" s="110"/>
      <c r="AI81" s="468"/>
      <c r="AJ81" s="110"/>
      <c r="AK81" s="110"/>
      <c r="AL81" s="110"/>
      <c r="AM81" s="110"/>
      <c r="AN81" s="468"/>
      <c r="AO81" s="110"/>
      <c r="AP81" s="110"/>
      <c r="AQ81" s="110"/>
      <c r="AR81" s="110"/>
      <c r="AS81" s="468"/>
      <c r="AT81" s="110"/>
      <c r="AU81" s="110"/>
      <c r="AV81" s="110"/>
      <c r="AW81" s="110"/>
      <c r="AX81" s="468"/>
    </row>
    <row r="82" spans="2:50" ht="15.75">
      <c r="B82" s="469" t="s">
        <v>44</v>
      </c>
      <c r="C82" s="470"/>
      <c r="D82" s="470"/>
      <c r="E82" s="470"/>
      <c r="F82" s="470"/>
      <c r="G82" s="470"/>
      <c r="H82" s="470"/>
      <c r="I82" s="175"/>
      <c r="J82" s="175"/>
      <c r="K82" s="175"/>
      <c r="L82" s="175"/>
      <c r="M82" s="174"/>
      <c r="N82" s="472" t="s">
        <v>45</v>
      </c>
      <c r="O82" s="472" t="s">
        <v>3</v>
      </c>
      <c r="P82" s="467">
        <v>45895</v>
      </c>
      <c r="Q82" s="468"/>
      <c r="R82" s="468"/>
      <c r="S82" s="468"/>
      <c r="T82" s="468"/>
      <c r="U82" s="467">
        <v>45896</v>
      </c>
      <c r="V82" s="468"/>
      <c r="W82" s="468"/>
      <c r="X82" s="468"/>
      <c r="Y82" s="468"/>
      <c r="Z82" s="467">
        <v>45897</v>
      </c>
      <c r="AA82" s="468"/>
      <c r="AB82" s="468"/>
      <c r="AC82" s="468"/>
      <c r="AD82" s="468"/>
      <c r="AE82" s="467">
        <v>45898</v>
      </c>
      <c r="AF82" s="468"/>
      <c r="AG82" s="468"/>
      <c r="AH82" s="468"/>
      <c r="AI82" s="468"/>
      <c r="AJ82" s="467">
        <v>45899</v>
      </c>
      <c r="AK82" s="468"/>
      <c r="AL82" s="468"/>
      <c r="AM82" s="468"/>
      <c r="AN82" s="468"/>
      <c r="AO82" s="467">
        <v>45900</v>
      </c>
      <c r="AP82" s="468"/>
      <c r="AQ82" s="468"/>
      <c r="AR82" s="468"/>
      <c r="AS82" s="468"/>
      <c r="AT82" s="467"/>
      <c r="AU82" s="468"/>
      <c r="AV82" s="468"/>
      <c r="AW82" s="468"/>
      <c r="AX82" s="468"/>
    </row>
    <row r="83" spans="2:50" ht="15.75">
      <c r="B83" s="471"/>
      <c r="C83" s="471"/>
      <c r="D83" s="471"/>
      <c r="E83" s="471"/>
      <c r="F83" s="471"/>
      <c r="G83" s="471"/>
      <c r="H83" s="471"/>
      <c r="I83" s="156"/>
      <c r="J83" s="156"/>
      <c r="K83" s="156"/>
      <c r="L83" s="156"/>
      <c r="M83" s="157"/>
      <c r="N83" s="473"/>
      <c r="O83" s="473"/>
      <c r="P83" s="467" t="s">
        <v>16</v>
      </c>
      <c r="Q83" s="468"/>
      <c r="R83" s="468"/>
      <c r="S83" s="468"/>
      <c r="T83" s="468"/>
      <c r="U83" s="467" t="s">
        <v>17</v>
      </c>
      <c r="V83" s="468"/>
      <c r="W83" s="468"/>
      <c r="X83" s="468"/>
      <c r="Y83" s="468"/>
      <c r="Z83" s="467" t="s">
        <v>18</v>
      </c>
      <c r="AA83" s="468"/>
      <c r="AB83" s="468"/>
      <c r="AC83" s="468"/>
      <c r="AD83" s="468"/>
      <c r="AE83" s="467" t="s">
        <v>19</v>
      </c>
      <c r="AF83" s="468"/>
      <c r="AG83" s="468"/>
      <c r="AH83" s="468"/>
      <c r="AI83" s="468"/>
      <c r="AJ83" s="467" t="s">
        <v>14</v>
      </c>
      <c r="AK83" s="468"/>
      <c r="AL83" s="468"/>
      <c r="AM83" s="468"/>
      <c r="AN83" s="468"/>
      <c r="AO83" s="467" t="s">
        <v>10</v>
      </c>
      <c r="AP83" s="468"/>
      <c r="AQ83" s="468"/>
      <c r="AR83" s="468"/>
      <c r="AS83" s="468"/>
      <c r="AT83" s="467" t="s">
        <v>15</v>
      </c>
      <c r="AU83" s="468"/>
      <c r="AV83" s="468"/>
      <c r="AW83" s="468"/>
      <c r="AX83" s="468"/>
    </row>
    <row r="84" spans="2:50">
      <c r="B84" s="477" t="s">
        <v>46</v>
      </c>
      <c r="C84" s="477" t="s">
        <v>47</v>
      </c>
      <c r="D84" s="477"/>
      <c r="E84" s="477" t="s">
        <v>48</v>
      </c>
      <c r="F84" s="477"/>
      <c r="G84" s="477"/>
      <c r="H84" s="483" t="s">
        <v>49</v>
      </c>
      <c r="I84" s="477" t="s">
        <v>50</v>
      </c>
      <c r="J84" s="477"/>
      <c r="K84" s="477"/>
      <c r="L84" s="483" t="s">
        <v>49</v>
      </c>
      <c r="M84" s="472" t="s">
        <v>51</v>
      </c>
      <c r="N84" s="477"/>
      <c r="O84" s="477" t="s">
        <v>52</v>
      </c>
      <c r="P84" s="474" t="s">
        <v>53</v>
      </c>
      <c r="Q84" s="475"/>
      <c r="R84" s="475"/>
      <c r="S84" s="476"/>
      <c r="T84" s="477" t="s">
        <v>49</v>
      </c>
      <c r="U84" s="474" t="s">
        <v>53</v>
      </c>
      <c r="V84" s="475"/>
      <c r="W84" s="475"/>
      <c r="X84" s="476"/>
      <c r="Y84" s="477" t="s">
        <v>49</v>
      </c>
      <c r="Z84" s="474" t="s">
        <v>53</v>
      </c>
      <c r="AA84" s="475"/>
      <c r="AB84" s="475"/>
      <c r="AC84" s="476"/>
      <c r="AD84" s="477" t="s">
        <v>49</v>
      </c>
      <c r="AE84" s="474" t="s">
        <v>53</v>
      </c>
      <c r="AF84" s="475"/>
      <c r="AG84" s="475"/>
      <c r="AH84" s="476"/>
      <c r="AI84" s="477" t="s">
        <v>49</v>
      </c>
      <c r="AJ84" s="474" t="s">
        <v>53</v>
      </c>
      <c r="AK84" s="475"/>
      <c r="AL84" s="475"/>
      <c r="AM84" s="476"/>
      <c r="AN84" s="477" t="s">
        <v>49</v>
      </c>
      <c r="AO84" s="474" t="s">
        <v>53</v>
      </c>
      <c r="AP84" s="475"/>
      <c r="AQ84" s="475"/>
      <c r="AR84" s="476"/>
      <c r="AS84" s="477" t="s">
        <v>49</v>
      </c>
      <c r="AT84" s="474" t="s">
        <v>53</v>
      </c>
      <c r="AU84" s="475"/>
      <c r="AV84" s="475"/>
      <c r="AW84" s="476"/>
      <c r="AX84" s="477" t="s">
        <v>49</v>
      </c>
    </row>
    <row r="85" spans="2:50">
      <c r="B85" s="477"/>
      <c r="C85" s="477"/>
      <c r="D85" s="477"/>
      <c r="E85" s="477" t="s">
        <v>54</v>
      </c>
      <c r="F85" s="477"/>
      <c r="G85" s="477"/>
      <c r="H85" s="484"/>
      <c r="I85" s="477" t="s">
        <v>54</v>
      </c>
      <c r="J85" s="477"/>
      <c r="K85" s="477"/>
      <c r="L85" s="484"/>
      <c r="M85" s="486"/>
      <c r="N85" s="477"/>
      <c r="O85" s="477"/>
      <c r="P85" s="474" t="s">
        <v>55</v>
      </c>
      <c r="Q85" s="475"/>
      <c r="R85" s="475"/>
      <c r="S85" s="476"/>
      <c r="T85" s="477"/>
      <c r="U85" s="474" t="s">
        <v>55</v>
      </c>
      <c r="V85" s="475"/>
      <c r="W85" s="475"/>
      <c r="X85" s="476"/>
      <c r="Y85" s="477"/>
      <c r="Z85" s="474" t="s">
        <v>55</v>
      </c>
      <c r="AA85" s="475"/>
      <c r="AB85" s="475"/>
      <c r="AC85" s="476"/>
      <c r="AD85" s="477"/>
      <c r="AE85" s="474" t="s">
        <v>55</v>
      </c>
      <c r="AF85" s="475"/>
      <c r="AG85" s="475"/>
      <c r="AH85" s="476"/>
      <c r="AI85" s="477"/>
      <c r="AJ85" s="474" t="s">
        <v>55</v>
      </c>
      <c r="AK85" s="475"/>
      <c r="AL85" s="475"/>
      <c r="AM85" s="476"/>
      <c r="AN85" s="477"/>
      <c r="AO85" s="474" t="s">
        <v>55</v>
      </c>
      <c r="AP85" s="475"/>
      <c r="AQ85" s="475"/>
      <c r="AR85" s="476"/>
      <c r="AS85" s="477"/>
      <c r="AT85" s="474" t="s">
        <v>55</v>
      </c>
      <c r="AU85" s="475"/>
      <c r="AV85" s="475"/>
      <c r="AW85" s="476"/>
      <c r="AX85" s="477"/>
    </row>
    <row r="86" spans="2:50">
      <c r="B86" s="477"/>
      <c r="C86" s="477"/>
      <c r="D86" s="477"/>
      <c r="E86" s="109" t="s">
        <v>56</v>
      </c>
      <c r="F86" s="109" t="s">
        <v>57</v>
      </c>
      <c r="G86" s="109" t="s">
        <v>58</v>
      </c>
      <c r="H86" s="485"/>
      <c r="I86" s="109" t="s">
        <v>56</v>
      </c>
      <c r="J86" s="109" t="s">
        <v>57</v>
      </c>
      <c r="K86" s="109" t="s">
        <v>58</v>
      </c>
      <c r="L86" s="485"/>
      <c r="M86" s="473"/>
      <c r="N86" s="477"/>
      <c r="O86" s="477"/>
      <c r="P86" s="109" t="s">
        <v>56</v>
      </c>
      <c r="Q86" s="109" t="s">
        <v>57</v>
      </c>
      <c r="R86" s="109" t="s">
        <v>58</v>
      </c>
      <c r="S86" s="109" t="s">
        <v>51</v>
      </c>
      <c r="T86" s="477"/>
      <c r="U86" s="109" t="s">
        <v>56</v>
      </c>
      <c r="V86" s="109" t="s">
        <v>57</v>
      </c>
      <c r="W86" s="109" t="s">
        <v>58</v>
      </c>
      <c r="X86" s="109" t="s">
        <v>51</v>
      </c>
      <c r="Y86" s="477"/>
      <c r="Z86" s="109" t="s">
        <v>56</v>
      </c>
      <c r="AA86" s="109" t="s">
        <v>57</v>
      </c>
      <c r="AB86" s="109" t="s">
        <v>58</v>
      </c>
      <c r="AC86" s="109" t="s">
        <v>51</v>
      </c>
      <c r="AD86" s="477"/>
      <c r="AE86" s="109" t="s">
        <v>56</v>
      </c>
      <c r="AF86" s="109" t="s">
        <v>57</v>
      </c>
      <c r="AG86" s="109" t="s">
        <v>58</v>
      </c>
      <c r="AH86" s="109" t="s">
        <v>51</v>
      </c>
      <c r="AI86" s="477"/>
      <c r="AJ86" s="109" t="s">
        <v>56</v>
      </c>
      <c r="AK86" s="109" t="s">
        <v>57</v>
      </c>
      <c r="AL86" s="109" t="s">
        <v>58</v>
      </c>
      <c r="AM86" s="109" t="s">
        <v>51</v>
      </c>
      <c r="AN86" s="477"/>
      <c r="AO86" s="109" t="s">
        <v>56</v>
      </c>
      <c r="AP86" s="109" t="s">
        <v>57</v>
      </c>
      <c r="AQ86" s="109" t="s">
        <v>58</v>
      </c>
      <c r="AR86" s="109" t="s">
        <v>51</v>
      </c>
      <c r="AS86" s="477"/>
      <c r="AT86" s="109" t="s">
        <v>56</v>
      </c>
      <c r="AU86" s="109" t="s">
        <v>57</v>
      </c>
      <c r="AV86" s="109" t="s">
        <v>58</v>
      </c>
      <c r="AW86" s="109" t="s">
        <v>51</v>
      </c>
      <c r="AX86" s="477"/>
    </row>
    <row r="87" spans="2:50">
      <c r="B87" s="477" t="s">
        <v>60</v>
      </c>
      <c r="C87" s="110">
        <v>1</v>
      </c>
      <c r="D87" s="110"/>
      <c r="E87" s="110"/>
      <c r="F87" s="110"/>
      <c r="G87" s="110"/>
      <c r="H87" s="489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79" t="e">
        <f>AVERAGE(K87:K101)</f>
        <v>#DIV/0!</v>
      </c>
      <c r="M87" s="160" t="e">
        <f>RANK(K87, K$87:$K$101)</f>
        <v>#DIV/0!</v>
      </c>
      <c r="N87" s="477"/>
      <c r="O87" s="477"/>
      <c r="P87" s="110"/>
      <c r="Q87" s="110"/>
      <c r="R87" s="110"/>
      <c r="S87" s="110"/>
      <c r="T87" s="468" t="e">
        <f>AVERAGE(R87:R101)</f>
        <v>#DIV/0!</v>
      </c>
      <c r="U87" s="110"/>
      <c r="V87" s="110"/>
      <c r="W87" s="110"/>
      <c r="X87" s="110"/>
      <c r="Y87" s="468" t="e">
        <f>AVERAGE(W87:W101)</f>
        <v>#DIV/0!</v>
      </c>
      <c r="Z87" s="110"/>
      <c r="AA87" s="110"/>
      <c r="AB87" s="110"/>
      <c r="AC87" s="110"/>
      <c r="AD87" s="468" t="e">
        <f>AVERAGE(AB87:AB101)</f>
        <v>#DIV/0!</v>
      </c>
      <c r="AE87" s="110"/>
      <c r="AF87" s="110"/>
      <c r="AG87" s="110"/>
      <c r="AH87" s="110"/>
      <c r="AI87" s="468" t="e">
        <f>AVERAGE(AG87:AG101)</f>
        <v>#DIV/0!</v>
      </c>
      <c r="AJ87" s="110"/>
      <c r="AK87" s="110"/>
      <c r="AL87" s="110"/>
      <c r="AM87" s="110"/>
      <c r="AN87" s="468" t="e">
        <f>AVERAGE(AL87:AL101)</f>
        <v>#DIV/0!</v>
      </c>
      <c r="AO87" s="110"/>
      <c r="AP87" s="110"/>
      <c r="AQ87" s="110"/>
      <c r="AR87" s="110"/>
      <c r="AS87" s="468" t="e">
        <f>AVERAGE(AQ87:AQ101)</f>
        <v>#DIV/0!</v>
      </c>
      <c r="AT87" s="110"/>
      <c r="AU87" s="110"/>
      <c r="AV87" s="110"/>
      <c r="AW87" s="110"/>
      <c r="AX87" s="468" t="e">
        <f>AVERAGE(AV87:AV101)</f>
        <v>#DIV/0!</v>
      </c>
    </row>
    <row r="88" spans="2:50">
      <c r="B88" s="468"/>
      <c r="C88" s="110">
        <v>2</v>
      </c>
      <c r="D88" s="110"/>
      <c r="E88" s="110"/>
      <c r="F88" s="110"/>
      <c r="G88" s="110"/>
      <c r="H88" s="490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0"/>
      <c r="M88" s="160" t="e">
        <f>RANK(K88, K$87:$K$101)</f>
        <v>#DIV/0!</v>
      </c>
      <c r="N88" s="477"/>
      <c r="O88" s="477"/>
      <c r="P88" s="110"/>
      <c r="Q88" s="110"/>
      <c r="R88" s="110"/>
      <c r="S88" s="110"/>
      <c r="T88" s="468"/>
      <c r="U88" s="110"/>
      <c r="V88" s="110"/>
      <c r="W88" s="110"/>
      <c r="X88" s="110"/>
      <c r="Y88" s="468"/>
      <c r="Z88" s="110"/>
      <c r="AA88" s="110"/>
      <c r="AB88" s="110"/>
      <c r="AC88" s="110"/>
      <c r="AD88" s="468"/>
      <c r="AE88" s="110"/>
      <c r="AF88" s="110"/>
      <c r="AG88" s="110"/>
      <c r="AH88" s="110"/>
      <c r="AI88" s="468"/>
      <c r="AJ88" s="110"/>
      <c r="AK88" s="110"/>
      <c r="AL88" s="110"/>
      <c r="AM88" s="110"/>
      <c r="AN88" s="468"/>
      <c r="AO88" s="110"/>
      <c r="AP88" s="110"/>
      <c r="AQ88" s="110"/>
      <c r="AR88" s="110"/>
      <c r="AS88" s="468"/>
      <c r="AT88" s="110"/>
      <c r="AU88" s="110"/>
      <c r="AV88" s="110"/>
      <c r="AW88" s="110"/>
      <c r="AX88" s="468"/>
    </row>
    <row r="89" spans="2:50">
      <c r="B89" s="468"/>
      <c r="C89" s="110">
        <v>3</v>
      </c>
      <c r="D89" s="110"/>
      <c r="E89" s="110"/>
      <c r="F89" s="110"/>
      <c r="G89" s="110"/>
      <c r="H89" s="490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0"/>
      <c r="M89" s="160" t="e">
        <f>RANK(K89, K$87:$K$101)</f>
        <v>#DIV/0!</v>
      </c>
      <c r="N89" s="477"/>
      <c r="O89" s="477"/>
      <c r="P89" s="110"/>
      <c r="Q89" s="110"/>
      <c r="R89" s="110"/>
      <c r="S89" s="110"/>
      <c r="T89" s="468"/>
      <c r="U89" s="110"/>
      <c r="V89" s="110"/>
      <c r="W89" s="110"/>
      <c r="X89" s="110"/>
      <c r="Y89" s="468"/>
      <c r="Z89" s="110"/>
      <c r="AA89" s="110"/>
      <c r="AB89" s="110"/>
      <c r="AC89" s="110"/>
      <c r="AD89" s="468"/>
      <c r="AE89" s="110"/>
      <c r="AF89" s="110"/>
      <c r="AG89" s="110"/>
      <c r="AH89" s="110"/>
      <c r="AI89" s="468"/>
      <c r="AJ89" s="110"/>
      <c r="AK89" s="110"/>
      <c r="AL89" s="110"/>
      <c r="AM89" s="110"/>
      <c r="AN89" s="468"/>
      <c r="AO89" s="110"/>
      <c r="AP89" s="110"/>
      <c r="AQ89" s="110"/>
      <c r="AR89" s="110"/>
      <c r="AS89" s="468"/>
      <c r="AT89" s="110"/>
      <c r="AU89" s="110"/>
      <c r="AV89" s="110"/>
      <c r="AW89" s="110"/>
      <c r="AX89" s="468"/>
    </row>
    <row r="90" spans="2:50">
      <c r="B90" s="468"/>
      <c r="C90" s="110">
        <v>4</v>
      </c>
      <c r="D90" s="110"/>
      <c r="E90" s="110"/>
      <c r="F90" s="110"/>
      <c r="G90" s="110"/>
      <c r="H90" s="490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0"/>
      <c r="M90" s="160" t="e">
        <f>RANK(K90, K$87:$K$101)</f>
        <v>#DIV/0!</v>
      </c>
      <c r="N90" s="477"/>
      <c r="O90" s="477"/>
      <c r="P90" s="110"/>
      <c r="Q90" s="110"/>
      <c r="R90" s="110"/>
      <c r="S90" s="110"/>
      <c r="T90" s="468"/>
      <c r="U90" s="110"/>
      <c r="V90" s="110"/>
      <c r="W90" s="110"/>
      <c r="X90" s="110"/>
      <c r="Y90" s="468"/>
      <c r="Z90" s="110"/>
      <c r="AA90" s="110"/>
      <c r="AB90" s="110"/>
      <c r="AC90" s="110"/>
      <c r="AD90" s="468"/>
      <c r="AE90" s="110"/>
      <c r="AF90" s="110"/>
      <c r="AG90" s="110"/>
      <c r="AH90" s="110"/>
      <c r="AI90" s="468"/>
      <c r="AJ90" s="110"/>
      <c r="AK90" s="110"/>
      <c r="AL90" s="110"/>
      <c r="AM90" s="110"/>
      <c r="AN90" s="468"/>
      <c r="AO90" s="110"/>
      <c r="AP90" s="110"/>
      <c r="AQ90" s="110"/>
      <c r="AR90" s="110"/>
      <c r="AS90" s="468"/>
      <c r="AT90" s="110"/>
      <c r="AU90" s="110"/>
      <c r="AV90" s="110"/>
      <c r="AW90" s="110"/>
      <c r="AX90" s="468"/>
    </row>
    <row r="91" spans="2:50">
      <c r="B91" s="468"/>
      <c r="C91" s="110">
        <v>5</v>
      </c>
      <c r="D91" s="110"/>
      <c r="E91" s="110"/>
      <c r="F91" s="110"/>
      <c r="G91" s="110"/>
      <c r="H91" s="490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0"/>
      <c r="M91" s="160" t="e">
        <f>RANK(K91, K$87:$K$101)</f>
        <v>#DIV/0!</v>
      </c>
      <c r="N91" s="477"/>
      <c r="O91" s="477"/>
      <c r="P91" s="110"/>
      <c r="Q91" s="110"/>
      <c r="R91" s="110"/>
      <c r="S91" s="110"/>
      <c r="T91" s="468"/>
      <c r="U91" s="110"/>
      <c r="V91" s="110"/>
      <c r="W91" s="110"/>
      <c r="X91" s="110"/>
      <c r="Y91" s="468"/>
      <c r="Z91" s="110"/>
      <c r="AA91" s="110"/>
      <c r="AB91" s="110"/>
      <c r="AC91" s="110"/>
      <c r="AD91" s="468"/>
      <c r="AE91" s="110"/>
      <c r="AF91" s="110"/>
      <c r="AG91" s="110"/>
      <c r="AH91" s="110"/>
      <c r="AI91" s="468"/>
      <c r="AJ91" s="110"/>
      <c r="AK91" s="110"/>
      <c r="AL91" s="110"/>
      <c r="AM91" s="110"/>
      <c r="AN91" s="468"/>
      <c r="AO91" s="110"/>
      <c r="AP91" s="110"/>
      <c r="AQ91" s="110"/>
      <c r="AR91" s="110"/>
      <c r="AS91" s="468"/>
      <c r="AT91" s="110"/>
      <c r="AU91" s="110"/>
      <c r="AV91" s="110"/>
      <c r="AW91" s="110"/>
      <c r="AX91" s="468"/>
    </row>
    <row r="92" spans="2:50">
      <c r="B92" s="468"/>
      <c r="C92" s="110">
        <v>6</v>
      </c>
      <c r="D92" s="110"/>
      <c r="E92" s="110"/>
      <c r="F92" s="110"/>
      <c r="G92" s="110"/>
      <c r="H92" s="490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0"/>
      <c r="M92" s="160" t="e">
        <f>RANK(K92, K$87:$K$101)</f>
        <v>#DIV/0!</v>
      </c>
      <c r="N92" s="477"/>
      <c r="O92" s="477"/>
      <c r="P92" s="110"/>
      <c r="Q92" s="110"/>
      <c r="R92" s="110"/>
      <c r="S92" s="110"/>
      <c r="T92" s="468"/>
      <c r="U92" s="110"/>
      <c r="V92" s="110"/>
      <c r="W92" s="110"/>
      <c r="X92" s="110"/>
      <c r="Y92" s="468"/>
      <c r="Z92" s="110"/>
      <c r="AA92" s="110"/>
      <c r="AB92" s="110"/>
      <c r="AC92" s="110"/>
      <c r="AD92" s="468"/>
      <c r="AE92" s="110"/>
      <c r="AF92" s="110"/>
      <c r="AG92" s="110"/>
      <c r="AH92" s="110"/>
      <c r="AI92" s="468"/>
      <c r="AJ92" s="110"/>
      <c r="AK92" s="110"/>
      <c r="AL92" s="110"/>
      <c r="AM92" s="110"/>
      <c r="AN92" s="468"/>
      <c r="AO92" s="110"/>
      <c r="AP92" s="110"/>
      <c r="AQ92" s="110"/>
      <c r="AR92" s="110"/>
      <c r="AS92" s="468"/>
      <c r="AT92" s="110"/>
      <c r="AU92" s="110"/>
      <c r="AV92" s="110"/>
      <c r="AW92" s="110"/>
      <c r="AX92" s="468"/>
    </row>
    <row r="93" spans="2:50">
      <c r="B93" s="468"/>
      <c r="C93" s="110">
        <v>7</v>
      </c>
      <c r="D93" s="110"/>
      <c r="E93" s="110"/>
      <c r="F93" s="110"/>
      <c r="G93" s="110"/>
      <c r="H93" s="490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0"/>
      <c r="M93" s="160" t="e">
        <f>RANK(K93, K$87:$K$101)</f>
        <v>#DIV/0!</v>
      </c>
      <c r="N93" s="477"/>
      <c r="O93" s="477"/>
      <c r="P93" s="110"/>
      <c r="Q93" s="110"/>
      <c r="R93" s="110"/>
      <c r="S93" s="110"/>
      <c r="T93" s="468"/>
      <c r="U93" s="110"/>
      <c r="V93" s="110"/>
      <c r="W93" s="110"/>
      <c r="X93" s="110"/>
      <c r="Y93" s="468"/>
      <c r="Z93" s="110"/>
      <c r="AA93" s="110"/>
      <c r="AB93" s="110"/>
      <c r="AC93" s="110"/>
      <c r="AD93" s="468"/>
      <c r="AE93" s="110"/>
      <c r="AF93" s="110"/>
      <c r="AG93" s="110"/>
      <c r="AH93" s="110"/>
      <c r="AI93" s="468"/>
      <c r="AJ93" s="110"/>
      <c r="AK93" s="110"/>
      <c r="AL93" s="110"/>
      <c r="AM93" s="110"/>
      <c r="AN93" s="468"/>
      <c r="AO93" s="110"/>
      <c r="AP93" s="110"/>
      <c r="AQ93" s="110"/>
      <c r="AR93" s="110"/>
      <c r="AS93" s="468"/>
      <c r="AT93" s="110"/>
      <c r="AU93" s="110"/>
      <c r="AV93" s="110"/>
      <c r="AW93" s="110"/>
      <c r="AX93" s="468"/>
    </row>
    <row r="94" spans="2:50">
      <c r="B94" s="468"/>
      <c r="C94" s="110">
        <v>8</v>
      </c>
      <c r="D94" s="110"/>
      <c r="E94" s="110"/>
      <c r="F94" s="110"/>
      <c r="G94" s="110"/>
      <c r="H94" s="490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0"/>
      <c r="M94" s="160" t="e">
        <f>RANK(K94, K$87:$K$101)</f>
        <v>#DIV/0!</v>
      </c>
      <c r="N94" s="477"/>
      <c r="O94" s="477"/>
      <c r="P94" s="110"/>
      <c r="Q94" s="110"/>
      <c r="R94" s="110"/>
      <c r="S94" s="110"/>
      <c r="T94" s="468"/>
      <c r="U94" s="110"/>
      <c r="V94" s="110"/>
      <c r="W94" s="110"/>
      <c r="X94" s="110"/>
      <c r="Y94" s="468"/>
      <c r="Z94" s="110"/>
      <c r="AA94" s="110"/>
      <c r="AB94" s="110"/>
      <c r="AC94" s="110"/>
      <c r="AD94" s="468"/>
      <c r="AE94" s="110"/>
      <c r="AF94" s="110"/>
      <c r="AG94" s="110"/>
      <c r="AH94" s="110"/>
      <c r="AI94" s="468"/>
      <c r="AJ94" s="110"/>
      <c r="AK94" s="110"/>
      <c r="AL94" s="110"/>
      <c r="AM94" s="110"/>
      <c r="AN94" s="468"/>
      <c r="AO94" s="110"/>
      <c r="AP94" s="110"/>
      <c r="AQ94" s="110"/>
      <c r="AR94" s="110"/>
      <c r="AS94" s="468"/>
      <c r="AT94" s="110"/>
      <c r="AU94" s="110"/>
      <c r="AV94" s="110"/>
      <c r="AW94" s="110"/>
      <c r="AX94" s="468"/>
    </row>
    <row r="95" spans="2:50">
      <c r="B95" s="468"/>
      <c r="C95" s="110">
        <v>9</v>
      </c>
      <c r="D95" s="110"/>
      <c r="E95" s="110"/>
      <c r="F95" s="110"/>
      <c r="G95" s="110"/>
      <c r="H95" s="490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0"/>
      <c r="M95" s="160" t="e">
        <f>RANK(K95, K$87:$K$101)</f>
        <v>#DIV/0!</v>
      </c>
      <c r="N95" s="477"/>
      <c r="O95" s="477"/>
      <c r="P95" s="110"/>
      <c r="Q95" s="110"/>
      <c r="R95" s="110"/>
      <c r="S95" s="110"/>
      <c r="T95" s="468"/>
      <c r="U95" s="110"/>
      <c r="V95" s="110"/>
      <c r="W95" s="110"/>
      <c r="X95" s="110"/>
      <c r="Y95" s="468"/>
      <c r="Z95" s="110"/>
      <c r="AA95" s="110"/>
      <c r="AB95" s="110"/>
      <c r="AC95" s="110"/>
      <c r="AD95" s="468"/>
      <c r="AE95" s="110"/>
      <c r="AF95" s="110"/>
      <c r="AG95" s="110"/>
      <c r="AH95" s="110"/>
      <c r="AI95" s="468"/>
      <c r="AJ95" s="110"/>
      <c r="AK95" s="110"/>
      <c r="AL95" s="110"/>
      <c r="AM95" s="110"/>
      <c r="AN95" s="468"/>
      <c r="AO95" s="110"/>
      <c r="AP95" s="110"/>
      <c r="AQ95" s="110"/>
      <c r="AR95" s="110"/>
      <c r="AS95" s="468"/>
      <c r="AT95" s="110"/>
      <c r="AU95" s="110"/>
      <c r="AV95" s="110"/>
      <c r="AW95" s="110"/>
      <c r="AX95" s="468"/>
    </row>
    <row r="96" spans="2:50">
      <c r="B96" s="468"/>
      <c r="C96" s="110">
        <v>10</v>
      </c>
      <c r="D96" s="110"/>
      <c r="E96" s="110"/>
      <c r="F96" s="110"/>
      <c r="G96" s="110"/>
      <c r="H96" s="490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0"/>
      <c r="M96" s="160" t="e">
        <f>RANK(K96, K$87:$K$101)</f>
        <v>#DIV/0!</v>
      </c>
      <c r="N96" s="477"/>
      <c r="O96" s="477"/>
      <c r="P96" s="110"/>
      <c r="Q96" s="110"/>
      <c r="R96" s="110"/>
      <c r="S96" s="110"/>
      <c r="T96" s="468"/>
      <c r="U96" s="110"/>
      <c r="V96" s="110"/>
      <c r="W96" s="110"/>
      <c r="X96" s="110"/>
      <c r="Y96" s="468"/>
      <c r="Z96" s="110"/>
      <c r="AA96" s="110"/>
      <c r="AB96" s="110"/>
      <c r="AC96" s="110"/>
      <c r="AD96" s="468"/>
      <c r="AE96" s="110"/>
      <c r="AF96" s="110"/>
      <c r="AG96" s="110"/>
      <c r="AH96" s="110"/>
      <c r="AI96" s="468"/>
      <c r="AJ96" s="110"/>
      <c r="AK96" s="110"/>
      <c r="AL96" s="110"/>
      <c r="AM96" s="110"/>
      <c r="AN96" s="468"/>
      <c r="AO96" s="110"/>
      <c r="AP96" s="110"/>
      <c r="AQ96" s="110"/>
      <c r="AR96" s="110"/>
      <c r="AS96" s="468"/>
      <c r="AT96" s="110"/>
      <c r="AU96" s="110"/>
      <c r="AV96" s="110"/>
      <c r="AW96" s="110"/>
      <c r="AX96" s="468"/>
    </row>
    <row r="97" spans="2:50">
      <c r="B97" s="468"/>
      <c r="C97" s="110">
        <v>11</v>
      </c>
      <c r="D97" s="110"/>
      <c r="E97" s="110"/>
      <c r="F97" s="110"/>
      <c r="G97" s="110"/>
      <c r="H97" s="490"/>
      <c r="I97" s="110"/>
      <c r="J97" s="110"/>
      <c r="K97" s="110"/>
      <c r="L97" s="480"/>
      <c r="M97" s="160" t="e">
        <f>RANK(K97, K$87:$K$101)</f>
        <v>#DIV/0!</v>
      </c>
      <c r="N97" s="477"/>
      <c r="O97" s="477"/>
      <c r="P97" s="110"/>
      <c r="Q97" s="110"/>
      <c r="R97" s="110"/>
      <c r="S97" s="110"/>
      <c r="T97" s="468"/>
      <c r="U97" s="110"/>
      <c r="V97" s="110"/>
      <c r="W97" s="110"/>
      <c r="X97" s="110"/>
      <c r="Y97" s="468"/>
      <c r="Z97" s="110"/>
      <c r="AA97" s="110"/>
      <c r="AB97" s="110"/>
      <c r="AC97" s="110"/>
      <c r="AD97" s="468"/>
      <c r="AE97" s="110"/>
      <c r="AF97" s="110"/>
      <c r="AG97" s="110"/>
      <c r="AH97" s="110"/>
      <c r="AI97" s="468"/>
      <c r="AJ97" s="110"/>
      <c r="AK97" s="110"/>
      <c r="AL97" s="110"/>
      <c r="AM97" s="110"/>
      <c r="AN97" s="468"/>
      <c r="AO97" s="110"/>
      <c r="AP97" s="110"/>
      <c r="AQ97" s="110"/>
      <c r="AR97" s="110"/>
      <c r="AS97" s="468"/>
      <c r="AT97" s="110"/>
      <c r="AU97" s="110"/>
      <c r="AV97" s="110"/>
      <c r="AW97" s="110"/>
      <c r="AX97" s="468"/>
    </row>
    <row r="98" spans="2:50">
      <c r="B98" s="468"/>
      <c r="C98" s="110">
        <v>12</v>
      </c>
      <c r="D98" s="110"/>
      <c r="E98" s="110"/>
      <c r="F98" s="110"/>
      <c r="G98" s="110"/>
      <c r="H98" s="490"/>
      <c r="I98" s="110"/>
      <c r="J98" s="110"/>
      <c r="K98" s="110"/>
      <c r="L98" s="480"/>
      <c r="M98" s="160" t="e">
        <f>RANK(K98, K$87:$K$101)</f>
        <v>#DIV/0!</v>
      </c>
      <c r="N98" s="477"/>
      <c r="O98" s="477"/>
      <c r="P98" s="110"/>
      <c r="Q98" s="110"/>
      <c r="R98" s="110"/>
      <c r="S98" s="110"/>
      <c r="T98" s="468"/>
      <c r="U98" s="110"/>
      <c r="V98" s="110"/>
      <c r="W98" s="110"/>
      <c r="X98" s="110"/>
      <c r="Y98" s="468"/>
      <c r="Z98" s="110"/>
      <c r="AA98" s="110"/>
      <c r="AB98" s="110"/>
      <c r="AC98" s="110"/>
      <c r="AD98" s="468"/>
      <c r="AE98" s="110"/>
      <c r="AF98" s="110"/>
      <c r="AG98" s="110"/>
      <c r="AH98" s="110"/>
      <c r="AI98" s="468"/>
      <c r="AJ98" s="110"/>
      <c r="AK98" s="110"/>
      <c r="AL98" s="110"/>
      <c r="AM98" s="110"/>
      <c r="AN98" s="468"/>
      <c r="AO98" s="110"/>
      <c r="AP98" s="110"/>
      <c r="AQ98" s="110"/>
      <c r="AR98" s="110"/>
      <c r="AS98" s="468"/>
      <c r="AT98" s="110"/>
      <c r="AU98" s="110"/>
      <c r="AV98" s="110"/>
      <c r="AW98" s="110"/>
      <c r="AX98" s="468"/>
    </row>
    <row r="99" spans="2:50">
      <c r="B99" s="468"/>
      <c r="C99" s="110">
        <v>13</v>
      </c>
      <c r="D99" s="110"/>
      <c r="E99" s="110"/>
      <c r="F99" s="110"/>
      <c r="G99" s="110"/>
      <c r="H99" s="490"/>
      <c r="I99" s="110"/>
      <c r="J99" s="110"/>
      <c r="K99" s="110"/>
      <c r="L99" s="480"/>
      <c r="M99" s="160" t="e">
        <f>RANK(K99, K$87:$K$101)</f>
        <v>#DIV/0!</v>
      </c>
      <c r="N99" s="477"/>
      <c r="O99" s="477"/>
      <c r="P99" s="110"/>
      <c r="Q99" s="110"/>
      <c r="R99" s="110"/>
      <c r="S99" s="110"/>
      <c r="T99" s="468"/>
      <c r="U99" s="110"/>
      <c r="V99" s="110"/>
      <c r="W99" s="110"/>
      <c r="X99" s="110"/>
      <c r="Y99" s="468"/>
      <c r="Z99" s="110"/>
      <c r="AA99" s="110"/>
      <c r="AB99" s="110"/>
      <c r="AC99" s="110"/>
      <c r="AD99" s="468"/>
      <c r="AE99" s="110"/>
      <c r="AF99" s="110"/>
      <c r="AG99" s="110"/>
      <c r="AH99" s="110"/>
      <c r="AI99" s="468"/>
      <c r="AJ99" s="110"/>
      <c r="AK99" s="110"/>
      <c r="AL99" s="110"/>
      <c r="AM99" s="110"/>
      <c r="AN99" s="468"/>
      <c r="AO99" s="110"/>
      <c r="AP99" s="110"/>
      <c r="AQ99" s="110"/>
      <c r="AR99" s="110"/>
      <c r="AS99" s="468"/>
      <c r="AT99" s="110"/>
      <c r="AU99" s="110"/>
      <c r="AV99" s="110"/>
      <c r="AW99" s="110"/>
      <c r="AX99" s="468"/>
    </row>
    <row r="100" spans="2:50">
      <c r="B100" s="468"/>
      <c r="C100" s="110">
        <v>14</v>
      </c>
      <c r="D100" s="110"/>
      <c r="E100" s="110"/>
      <c r="F100" s="110"/>
      <c r="G100" s="110"/>
      <c r="H100" s="490"/>
      <c r="I100" s="110"/>
      <c r="J100" s="110"/>
      <c r="K100" s="110"/>
      <c r="L100" s="480"/>
      <c r="M100" s="160" t="e">
        <f>RANK(K100, K$87:$K$101)</f>
        <v>#DIV/0!</v>
      </c>
      <c r="N100" s="477"/>
      <c r="O100" s="477"/>
      <c r="P100" s="110"/>
      <c r="Q100" s="110"/>
      <c r="R100" s="110"/>
      <c r="S100" s="110"/>
      <c r="T100" s="468"/>
      <c r="U100" s="110"/>
      <c r="V100" s="110"/>
      <c r="W100" s="110"/>
      <c r="X100" s="110"/>
      <c r="Y100" s="468"/>
      <c r="Z100" s="110"/>
      <c r="AA100" s="110"/>
      <c r="AB100" s="110"/>
      <c r="AC100" s="110"/>
      <c r="AD100" s="468"/>
      <c r="AE100" s="110"/>
      <c r="AF100" s="110"/>
      <c r="AG100" s="110"/>
      <c r="AH100" s="110"/>
      <c r="AI100" s="468"/>
      <c r="AJ100" s="110"/>
      <c r="AK100" s="110"/>
      <c r="AL100" s="110"/>
      <c r="AM100" s="110"/>
      <c r="AN100" s="468"/>
      <c r="AO100" s="110"/>
      <c r="AP100" s="110"/>
      <c r="AQ100" s="110"/>
      <c r="AR100" s="110"/>
      <c r="AS100" s="468"/>
      <c r="AT100" s="110"/>
      <c r="AU100" s="110"/>
      <c r="AV100" s="110"/>
      <c r="AW100" s="110"/>
      <c r="AX100" s="468"/>
    </row>
    <row r="101" spans="2:50">
      <c r="B101" s="468"/>
      <c r="C101" s="110">
        <v>15</v>
      </c>
      <c r="D101" s="110"/>
      <c r="E101" s="110"/>
      <c r="F101" s="110"/>
      <c r="G101" s="110"/>
      <c r="H101" s="491"/>
      <c r="I101" s="110"/>
      <c r="J101" s="110"/>
      <c r="K101" s="110"/>
      <c r="L101" s="481"/>
      <c r="M101" s="160" t="e">
        <f>RANK(K101, K$87:$K$101)</f>
        <v>#DIV/0!</v>
      </c>
      <c r="N101" s="477"/>
      <c r="O101" s="477"/>
      <c r="P101" s="110"/>
      <c r="Q101" s="110"/>
      <c r="R101" s="110"/>
      <c r="S101" s="110"/>
      <c r="T101" s="468"/>
      <c r="U101" s="110"/>
      <c r="V101" s="110"/>
      <c r="W101" s="110"/>
      <c r="X101" s="110"/>
      <c r="Y101" s="468"/>
      <c r="Z101" s="110"/>
      <c r="AA101" s="110"/>
      <c r="AB101" s="110"/>
      <c r="AC101" s="110"/>
      <c r="AD101" s="468"/>
      <c r="AE101" s="110"/>
      <c r="AF101" s="110"/>
      <c r="AG101" s="110"/>
      <c r="AH101" s="110"/>
      <c r="AI101" s="468"/>
      <c r="AJ101" s="110"/>
      <c r="AK101" s="110"/>
      <c r="AL101" s="110"/>
      <c r="AM101" s="110"/>
      <c r="AN101" s="468"/>
      <c r="AO101" s="110"/>
      <c r="AP101" s="110"/>
      <c r="AQ101" s="110"/>
      <c r="AR101" s="110"/>
      <c r="AS101" s="468"/>
      <c r="AT101" s="110"/>
      <c r="AU101" s="110"/>
      <c r="AV101" s="110"/>
      <c r="AW101" s="110"/>
      <c r="AX101" s="468"/>
    </row>
  </sheetData>
  <mergeCells count="295"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AO84:AR84"/>
    <mergeCell ref="AS84:AS86"/>
    <mergeCell ref="AT84:AW84"/>
    <mergeCell ref="AX84:AX86"/>
    <mergeCell ref="AJ85:AM85"/>
    <mergeCell ref="AN84:AN86"/>
    <mergeCell ref="AJ84:AM84"/>
    <mergeCell ref="Y84:Y86"/>
    <mergeCell ref="AS67:AS81"/>
    <mergeCell ref="AN67:AN81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65:AM65"/>
    <mergeCell ref="M64:M66"/>
    <mergeCell ref="N64:N81"/>
    <mergeCell ref="O64:O81"/>
    <mergeCell ref="P64:S64"/>
    <mergeCell ref="T64:T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L67:L81"/>
    <mergeCell ref="T67:T81"/>
    <mergeCell ref="Y67:Y81"/>
    <mergeCell ref="B64:B66"/>
    <mergeCell ref="C64:D66"/>
    <mergeCell ref="U64:X64"/>
    <mergeCell ref="E64:G64"/>
    <mergeCell ref="AD67:AD81"/>
    <mergeCell ref="AI67:AI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O65:AR65"/>
    <mergeCell ref="AT65:AW65"/>
    <mergeCell ref="AS64:AS66"/>
    <mergeCell ref="AT64:AW64"/>
    <mergeCell ref="AN64:AN66"/>
    <mergeCell ref="AO64:AR64"/>
    <mergeCell ref="B67:B81"/>
    <mergeCell ref="H67:H8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27:B41"/>
    <mergeCell ref="H27:H41"/>
    <mergeCell ref="L27:L41"/>
    <mergeCell ref="T27:T41"/>
    <mergeCell ref="Y27:Y41"/>
    <mergeCell ref="B24:B26"/>
    <mergeCell ref="C24:D26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AO25:AR25"/>
    <mergeCell ref="AT25:AW25"/>
    <mergeCell ref="AO24:AR24"/>
    <mergeCell ref="AS24:AS26"/>
    <mergeCell ref="AT24:AW24"/>
    <mergeCell ref="U24:X24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AD27:AD41"/>
    <mergeCell ref="AI27:AI41"/>
    <mergeCell ref="AN27:AN41"/>
    <mergeCell ref="AN24:AN26"/>
    <mergeCell ref="AS27:AS41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4" topLeftCell="E1" activePane="topRight" state="frozen"/>
      <selection pane="topRight" activeCell="L67" sqref="L67:L81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52" width="8.85546875" style="212" customWidth="1"/>
    <col min="53" max="16384" width="8.85546875" style="212"/>
  </cols>
  <sheetData>
    <row r="1" spans="1:50" ht="24">
      <c r="A1" s="208"/>
      <c r="B1" s="209" t="s">
        <v>43</v>
      </c>
      <c r="C1" s="210">
        <v>111.7</v>
      </c>
    </row>
    <row r="2" spans="1:50" ht="15.75">
      <c r="A2" s="213"/>
      <c r="B2" s="457" t="s">
        <v>44</v>
      </c>
      <c r="C2" s="453"/>
      <c r="D2" s="453"/>
      <c r="E2" s="453"/>
      <c r="F2" s="453"/>
      <c r="G2" s="453"/>
      <c r="H2" s="453"/>
      <c r="I2" s="214"/>
      <c r="J2" s="214"/>
      <c r="K2" s="214"/>
      <c r="L2" s="214"/>
      <c r="M2" s="215"/>
      <c r="N2" s="449" t="s">
        <v>45</v>
      </c>
      <c r="O2" s="449" t="s">
        <v>3</v>
      </c>
      <c r="P2" s="444"/>
      <c r="Q2" s="436"/>
      <c r="R2" s="436"/>
      <c r="S2" s="436"/>
      <c r="T2" s="436"/>
      <c r="U2" s="444"/>
      <c r="V2" s="436"/>
      <c r="W2" s="436"/>
      <c r="X2" s="436"/>
      <c r="Y2" s="436"/>
      <c r="Z2" s="444"/>
      <c r="AA2" s="436"/>
      <c r="AB2" s="436"/>
      <c r="AC2" s="436"/>
      <c r="AD2" s="436"/>
      <c r="AE2" s="444"/>
      <c r="AF2" s="436"/>
      <c r="AG2" s="436"/>
      <c r="AH2" s="436"/>
      <c r="AI2" s="436"/>
      <c r="AJ2" s="444">
        <v>45962</v>
      </c>
      <c r="AK2" s="436"/>
      <c r="AL2" s="436"/>
      <c r="AM2" s="436"/>
      <c r="AN2" s="436"/>
      <c r="AO2" s="444">
        <v>45963</v>
      </c>
      <c r="AP2" s="436"/>
      <c r="AQ2" s="436"/>
      <c r="AR2" s="436"/>
      <c r="AS2" s="436"/>
      <c r="AT2" s="444">
        <v>45964</v>
      </c>
      <c r="AU2" s="436"/>
      <c r="AV2" s="436"/>
      <c r="AW2" s="436"/>
      <c r="AX2" s="436"/>
    </row>
    <row r="3" spans="1:50" ht="15.75">
      <c r="A3" s="213"/>
      <c r="B3" s="454"/>
      <c r="C3" s="454"/>
      <c r="D3" s="454"/>
      <c r="E3" s="454"/>
      <c r="F3" s="454"/>
      <c r="G3" s="454"/>
      <c r="H3" s="454"/>
      <c r="I3" s="216"/>
      <c r="J3" s="216"/>
      <c r="K3" s="216"/>
      <c r="L3" s="216"/>
      <c r="M3" s="217"/>
      <c r="N3" s="451"/>
      <c r="O3" s="451"/>
      <c r="P3" s="444" t="s">
        <v>16</v>
      </c>
      <c r="Q3" s="436"/>
      <c r="R3" s="436"/>
      <c r="S3" s="436"/>
      <c r="T3" s="436"/>
      <c r="U3" s="444" t="s">
        <v>17</v>
      </c>
      <c r="V3" s="436"/>
      <c r="W3" s="436"/>
      <c r="X3" s="436"/>
      <c r="Y3" s="436"/>
      <c r="Z3" s="444" t="s">
        <v>18</v>
      </c>
      <c r="AA3" s="436"/>
      <c r="AB3" s="436"/>
      <c r="AC3" s="436"/>
      <c r="AD3" s="436"/>
      <c r="AE3" s="444" t="s">
        <v>19</v>
      </c>
      <c r="AF3" s="436"/>
      <c r="AG3" s="436"/>
      <c r="AH3" s="436"/>
      <c r="AI3" s="436"/>
      <c r="AJ3" s="444" t="s">
        <v>14</v>
      </c>
      <c r="AK3" s="436"/>
      <c r="AL3" s="436"/>
      <c r="AM3" s="436"/>
      <c r="AN3" s="436"/>
      <c r="AO3" s="444" t="s">
        <v>10</v>
      </c>
      <c r="AP3" s="436"/>
      <c r="AQ3" s="436"/>
      <c r="AR3" s="436"/>
      <c r="AS3" s="436"/>
      <c r="AT3" s="444" t="s">
        <v>15</v>
      </c>
      <c r="AU3" s="436"/>
      <c r="AV3" s="436"/>
      <c r="AW3" s="436"/>
      <c r="AX3" s="436"/>
    </row>
    <row r="4" spans="1:50" ht="14.25">
      <c r="A4" s="213"/>
      <c r="B4" s="440" t="s">
        <v>46</v>
      </c>
      <c r="C4" s="440" t="s">
        <v>47</v>
      </c>
      <c r="D4" s="440"/>
      <c r="E4" s="440" t="s">
        <v>48</v>
      </c>
      <c r="F4" s="440"/>
      <c r="G4" s="440"/>
      <c r="H4" s="446" t="s">
        <v>49</v>
      </c>
      <c r="I4" s="440" t="s">
        <v>50</v>
      </c>
      <c r="J4" s="440"/>
      <c r="K4" s="440"/>
      <c r="L4" s="446" t="s">
        <v>49</v>
      </c>
      <c r="M4" s="449" t="s">
        <v>51</v>
      </c>
      <c r="N4" s="440"/>
      <c r="O4" s="440" t="s">
        <v>52</v>
      </c>
      <c r="P4" s="441" t="s">
        <v>53</v>
      </c>
      <c r="Q4" s="442"/>
      <c r="R4" s="442"/>
      <c r="S4" s="443"/>
      <c r="T4" s="440" t="s">
        <v>49</v>
      </c>
      <c r="U4" s="441" t="s">
        <v>53</v>
      </c>
      <c r="V4" s="442"/>
      <c r="W4" s="442"/>
      <c r="X4" s="443"/>
      <c r="Y4" s="440" t="s">
        <v>49</v>
      </c>
      <c r="Z4" s="441" t="s">
        <v>53</v>
      </c>
      <c r="AA4" s="442"/>
      <c r="AB4" s="442"/>
      <c r="AC4" s="443"/>
      <c r="AD4" s="440" t="s">
        <v>49</v>
      </c>
      <c r="AE4" s="441" t="s">
        <v>53</v>
      </c>
      <c r="AF4" s="442"/>
      <c r="AG4" s="442"/>
      <c r="AH4" s="443"/>
      <c r="AI4" s="440" t="s">
        <v>49</v>
      </c>
      <c r="AJ4" s="441" t="s">
        <v>53</v>
      </c>
      <c r="AK4" s="442"/>
      <c r="AL4" s="442"/>
      <c r="AM4" s="443"/>
      <c r="AN4" s="440" t="s">
        <v>49</v>
      </c>
      <c r="AO4" s="441" t="s">
        <v>53</v>
      </c>
      <c r="AP4" s="442"/>
      <c r="AQ4" s="442"/>
      <c r="AR4" s="443"/>
      <c r="AS4" s="440" t="s">
        <v>49</v>
      </c>
      <c r="AT4" s="441" t="s">
        <v>53</v>
      </c>
      <c r="AU4" s="442"/>
      <c r="AV4" s="442"/>
      <c r="AW4" s="443"/>
      <c r="AX4" s="440" t="s">
        <v>49</v>
      </c>
    </row>
    <row r="5" spans="1:50" ht="14.25">
      <c r="A5" s="213"/>
      <c r="B5" s="440"/>
      <c r="C5" s="440"/>
      <c r="D5" s="440"/>
      <c r="E5" s="440" t="s">
        <v>54</v>
      </c>
      <c r="F5" s="440"/>
      <c r="G5" s="440"/>
      <c r="H5" s="447"/>
      <c r="I5" s="440" t="s">
        <v>54</v>
      </c>
      <c r="J5" s="440"/>
      <c r="K5" s="440"/>
      <c r="L5" s="447"/>
      <c r="M5" s="450"/>
      <c r="N5" s="440"/>
      <c r="O5" s="440"/>
      <c r="P5" s="441" t="s">
        <v>55</v>
      </c>
      <c r="Q5" s="442"/>
      <c r="R5" s="442"/>
      <c r="S5" s="443"/>
      <c r="T5" s="440"/>
      <c r="U5" s="441" t="s">
        <v>55</v>
      </c>
      <c r="V5" s="442"/>
      <c r="W5" s="442"/>
      <c r="X5" s="443"/>
      <c r="Y5" s="440"/>
      <c r="Z5" s="441" t="s">
        <v>55</v>
      </c>
      <c r="AA5" s="442"/>
      <c r="AB5" s="442"/>
      <c r="AC5" s="443"/>
      <c r="AD5" s="440"/>
      <c r="AE5" s="441" t="s">
        <v>55</v>
      </c>
      <c r="AF5" s="442"/>
      <c r="AG5" s="442"/>
      <c r="AH5" s="443"/>
      <c r="AI5" s="440"/>
      <c r="AJ5" s="441" t="s">
        <v>55</v>
      </c>
      <c r="AK5" s="442"/>
      <c r="AL5" s="442"/>
      <c r="AM5" s="443"/>
      <c r="AN5" s="440"/>
      <c r="AO5" s="441" t="s">
        <v>55</v>
      </c>
      <c r="AP5" s="442"/>
      <c r="AQ5" s="442"/>
      <c r="AR5" s="443"/>
      <c r="AS5" s="440"/>
      <c r="AT5" s="441" t="s">
        <v>55</v>
      </c>
      <c r="AU5" s="442"/>
      <c r="AV5" s="442"/>
      <c r="AW5" s="443"/>
      <c r="AX5" s="440"/>
    </row>
    <row r="6" spans="1:50" ht="14.25">
      <c r="A6" s="218"/>
      <c r="B6" s="440"/>
      <c r="C6" s="440"/>
      <c r="D6" s="440"/>
      <c r="E6" s="219" t="s">
        <v>56</v>
      </c>
      <c r="F6" s="219" t="s">
        <v>57</v>
      </c>
      <c r="G6" s="219" t="s">
        <v>58</v>
      </c>
      <c r="H6" s="448"/>
      <c r="I6" s="219" t="s">
        <v>56</v>
      </c>
      <c r="J6" s="219" t="s">
        <v>57</v>
      </c>
      <c r="K6" s="219" t="s">
        <v>58</v>
      </c>
      <c r="L6" s="448"/>
      <c r="M6" s="451"/>
      <c r="N6" s="440"/>
      <c r="O6" s="440"/>
      <c r="P6" s="219" t="s">
        <v>56</v>
      </c>
      <c r="Q6" s="219" t="s">
        <v>57</v>
      </c>
      <c r="R6" s="219" t="s">
        <v>58</v>
      </c>
      <c r="S6" s="219" t="s">
        <v>51</v>
      </c>
      <c r="T6" s="440"/>
      <c r="U6" s="219" t="s">
        <v>56</v>
      </c>
      <c r="V6" s="219" t="s">
        <v>57</v>
      </c>
      <c r="W6" s="219" t="s">
        <v>58</v>
      </c>
      <c r="X6" s="219" t="s">
        <v>51</v>
      </c>
      <c r="Y6" s="440"/>
      <c r="Z6" s="219" t="s">
        <v>56</v>
      </c>
      <c r="AA6" s="219" t="s">
        <v>57</v>
      </c>
      <c r="AB6" s="219" t="s">
        <v>58</v>
      </c>
      <c r="AC6" s="219" t="s">
        <v>51</v>
      </c>
      <c r="AD6" s="440"/>
      <c r="AE6" s="219" t="s">
        <v>56</v>
      </c>
      <c r="AF6" s="219" t="s">
        <v>57</v>
      </c>
      <c r="AG6" s="219" t="s">
        <v>58</v>
      </c>
      <c r="AH6" s="219" t="s">
        <v>51</v>
      </c>
      <c r="AI6" s="440"/>
      <c r="AJ6" s="219" t="s">
        <v>56</v>
      </c>
      <c r="AK6" s="219" t="s">
        <v>57</v>
      </c>
      <c r="AL6" s="219" t="s">
        <v>58</v>
      </c>
      <c r="AM6" s="219" t="s">
        <v>51</v>
      </c>
      <c r="AN6" s="440"/>
      <c r="AO6" s="219" t="s">
        <v>56</v>
      </c>
      <c r="AP6" s="219" t="s">
        <v>57</v>
      </c>
      <c r="AQ6" s="219" t="s">
        <v>58</v>
      </c>
      <c r="AR6" s="219" t="s">
        <v>51</v>
      </c>
      <c r="AS6" s="440"/>
      <c r="AT6" s="219" t="s">
        <v>56</v>
      </c>
      <c r="AU6" s="219" t="s">
        <v>57</v>
      </c>
      <c r="AV6" s="219" t="s">
        <v>58</v>
      </c>
      <c r="AW6" s="219" t="s">
        <v>51</v>
      </c>
      <c r="AX6" s="440"/>
    </row>
    <row r="7" spans="1:50" ht="14.25">
      <c r="A7" s="213"/>
      <c r="B7" s="440" t="s">
        <v>35</v>
      </c>
      <c r="C7" s="220">
        <v>1</v>
      </c>
      <c r="D7" s="220" t="s">
        <v>61</v>
      </c>
      <c r="E7" s="221">
        <f>VLOOKUP(D7,'11產線配置圖'!$A$2:$C$30,2,0)</f>
        <v>13</v>
      </c>
      <c r="F7" s="221">
        <f>VLOOKUP(D7,'11產線配置圖'!$A$2:$C$30,3,0)</f>
        <v>1565</v>
      </c>
      <c r="G7" s="222">
        <f>F7/E7</f>
        <v>120.38461538461539</v>
      </c>
      <c r="H7" s="437">
        <f>AVERAGE(G7:G21)</f>
        <v>127.07264957264958</v>
      </c>
      <c r="I7" s="221">
        <f t="shared" ref="I7:J9" si="0">AVERAGE(P7,U7,Z7,AE7,AJ7,AO7,AT7)</f>
        <v>13</v>
      </c>
      <c r="J7" s="221">
        <f t="shared" si="0"/>
        <v>1309.6666666666667</v>
      </c>
      <c r="K7" s="222">
        <f>AVERAGE(WAL7,AQ7,AV7)</f>
        <v>109.69230769230769</v>
      </c>
      <c r="L7" s="437">
        <f>IFERROR(AVERAGE(K7:K21),"-")</f>
        <v>105.93579568579567</v>
      </c>
      <c r="M7" s="223">
        <f>RANK(K7, K$7:$K$21)</f>
        <v>1</v>
      </c>
      <c r="N7" s="440"/>
      <c r="O7" s="440"/>
      <c r="P7" s="221"/>
      <c r="Q7" s="221"/>
      <c r="R7" s="222" t="e">
        <f>Q7/P7</f>
        <v>#DIV/0!</v>
      </c>
      <c r="S7" s="220" t="e">
        <f>RANK(R7, R$7:R$21)</f>
        <v>#DIV/0!</v>
      </c>
      <c r="T7" s="435" t="e">
        <f>AVERAGE(R7:R21)</f>
        <v>#DIV/0!</v>
      </c>
      <c r="U7" s="221"/>
      <c r="V7" s="221"/>
      <c r="W7" s="222" t="e">
        <f>V7/U7</f>
        <v>#DIV/0!</v>
      </c>
      <c r="X7" s="220" t="e">
        <f>RANK(W7, W$7:W$21)</f>
        <v>#DIV/0!</v>
      </c>
      <c r="Y7" s="435" t="e">
        <f>AVERAGE(W7:W21)</f>
        <v>#DIV/0!</v>
      </c>
      <c r="Z7" s="220"/>
      <c r="AA7" s="221"/>
      <c r="AB7" s="222" t="e">
        <f>AA7/Z7</f>
        <v>#DIV/0!</v>
      </c>
      <c r="AC7" s="220" t="e">
        <f>RANK(AB7, AB$7:AB$21)</f>
        <v>#DIV/0!</v>
      </c>
      <c r="AD7" s="435" t="e">
        <f>AVERAGE(AB7:AB21)</f>
        <v>#DIV/0!</v>
      </c>
      <c r="AE7" s="221"/>
      <c r="AF7" s="221"/>
      <c r="AG7" s="222" t="e">
        <f>AF7/AE7</f>
        <v>#DIV/0!</v>
      </c>
      <c r="AH7" s="220" t="e">
        <f>RANK(AG7, AG$7:AG$21)</f>
        <v>#DIV/0!</v>
      </c>
      <c r="AI7" s="435" t="e">
        <f>AVERAGE(AG7:AG21)</f>
        <v>#DIV/0!</v>
      </c>
      <c r="AJ7" s="221">
        <v>13</v>
      </c>
      <c r="AK7" s="221">
        <v>1077</v>
      </c>
      <c r="AL7" s="222">
        <f>AK7/AJ7</f>
        <v>82.84615384615384</v>
      </c>
      <c r="AM7" s="220">
        <f>RANK(AL7, AL$7:AL$21)</f>
        <v>3</v>
      </c>
      <c r="AN7" s="435">
        <f>AVERAGE(AL7:AL21)</f>
        <v>91.865384615384627</v>
      </c>
      <c r="AO7" s="221">
        <v>13</v>
      </c>
      <c r="AP7" s="221">
        <v>1407</v>
      </c>
      <c r="AQ7" s="222">
        <f>AP7/AO7</f>
        <v>108.23076923076923</v>
      </c>
      <c r="AR7" s="220">
        <f>RANK(AQ7, AQ$7:AQ$21)</f>
        <v>3</v>
      </c>
      <c r="AS7" s="435">
        <f>AVERAGE(AQ7:AQ21)</f>
        <v>110.43803418803419</v>
      </c>
      <c r="AT7" s="221">
        <v>13</v>
      </c>
      <c r="AU7" s="221">
        <v>1445</v>
      </c>
      <c r="AV7" s="222">
        <f>AU7/AT7</f>
        <v>111.15384615384616</v>
      </c>
      <c r="AW7" s="220">
        <f>RANK(AV7, AV$7:AV$21)</f>
        <v>2</v>
      </c>
      <c r="AX7" s="435">
        <f>AVERAGE(AV7:AV21)</f>
        <v>106.55525030525031</v>
      </c>
    </row>
    <row r="8" spans="1:50" ht="15" customHeight="1">
      <c r="A8" s="213"/>
      <c r="B8" s="436"/>
      <c r="C8" s="220">
        <v>2</v>
      </c>
      <c r="D8" s="220" t="s">
        <v>62</v>
      </c>
      <c r="E8" s="221">
        <f>VLOOKUP(D8,'11產線配置圖'!$A$2:$C$30,2,0)</f>
        <v>12</v>
      </c>
      <c r="F8" s="221">
        <f>VLOOKUP(D8,'11產線配置圖'!$A$2:$C$30,3,0)</f>
        <v>1565</v>
      </c>
      <c r="G8" s="222">
        <f>F8/E8</f>
        <v>130.41666666666666</v>
      </c>
      <c r="H8" s="438"/>
      <c r="I8" s="221">
        <f t="shared" si="0"/>
        <v>12</v>
      </c>
      <c r="J8" s="221">
        <f t="shared" si="0"/>
        <v>1308.3333333333333</v>
      </c>
      <c r="K8" s="222">
        <f>AVERAGE(AL8,AQ8,AV8)</f>
        <v>109.02777777777777</v>
      </c>
      <c r="L8" s="438"/>
      <c r="M8" s="223">
        <f>RANK(K8, K$7:$K$21)</f>
        <v>2</v>
      </c>
      <c r="N8" s="440"/>
      <c r="O8" s="440"/>
      <c r="P8" s="221"/>
      <c r="Q8" s="221"/>
      <c r="R8" s="222" t="e">
        <f t="shared" ref="R8:R13" si="1">Q8/P8</f>
        <v>#DIV/0!</v>
      </c>
      <c r="S8" s="220" t="e">
        <f t="shared" ref="S8:S13" si="2">RANK(R8, R$7:R$21)</f>
        <v>#DIV/0!</v>
      </c>
      <c r="T8" s="435"/>
      <c r="U8" s="221"/>
      <c r="V8" s="221"/>
      <c r="W8" s="222" t="e">
        <f>V8/U8</f>
        <v>#DIV/0!</v>
      </c>
      <c r="X8" s="220" t="e">
        <f>RANK(W8, W$7:W$21)</f>
        <v>#DIV/0!</v>
      </c>
      <c r="Y8" s="435"/>
      <c r="Z8" s="220"/>
      <c r="AA8" s="221"/>
      <c r="AB8" s="222" t="e">
        <f>AA8/Z8</f>
        <v>#DIV/0!</v>
      </c>
      <c r="AC8" s="220" t="e">
        <f>RANK(AB8, AB$7:AB$21)</f>
        <v>#DIV/0!</v>
      </c>
      <c r="AD8" s="435"/>
      <c r="AE8" s="221"/>
      <c r="AF8" s="221"/>
      <c r="AG8" s="222" t="e">
        <f>AF8/AE8</f>
        <v>#DIV/0!</v>
      </c>
      <c r="AH8" s="220" t="e">
        <f>RANK(AG8, AG$7:AG$21)</f>
        <v>#DIV/0!</v>
      </c>
      <c r="AI8" s="435"/>
      <c r="AJ8" s="221">
        <v>12</v>
      </c>
      <c r="AK8" s="221">
        <v>1168</v>
      </c>
      <c r="AL8" s="222">
        <f>AK8/AJ8</f>
        <v>97.333333333333329</v>
      </c>
      <c r="AM8" s="220">
        <f>RANK(AL8, AL$7:AL$21)</f>
        <v>1</v>
      </c>
      <c r="AN8" s="435"/>
      <c r="AO8" s="221">
        <v>12</v>
      </c>
      <c r="AP8" s="221">
        <v>1346</v>
      </c>
      <c r="AQ8" s="222">
        <f>AP8/AO8</f>
        <v>112.16666666666667</v>
      </c>
      <c r="AR8" s="220">
        <f>RANK(AQ8, AQ$7:AQ$21)</f>
        <v>1</v>
      </c>
      <c r="AS8" s="435"/>
      <c r="AT8" s="221">
        <v>12</v>
      </c>
      <c r="AU8" s="221">
        <v>1411</v>
      </c>
      <c r="AV8" s="222">
        <f>AU8/AT8</f>
        <v>117.58333333333333</v>
      </c>
      <c r="AW8" s="220">
        <f>RANK(AV8, AV$7:AV$21)</f>
        <v>1</v>
      </c>
      <c r="AX8" s="435"/>
    </row>
    <row r="9" spans="1:50" ht="14.25">
      <c r="A9" s="213"/>
      <c r="B9" s="436"/>
      <c r="C9" s="220">
        <v>3</v>
      </c>
      <c r="D9" s="220" t="s">
        <v>63</v>
      </c>
      <c r="E9" s="221">
        <f>VLOOKUP(D9,'11產線配置圖'!$A$2:$C$30,2,0)</f>
        <v>12</v>
      </c>
      <c r="F9" s="221">
        <f>VLOOKUP(D9,'11產線配置圖'!$A$2:$C$30,3,0)</f>
        <v>1565</v>
      </c>
      <c r="G9" s="222">
        <f>F9/E9</f>
        <v>130.41666666666666</v>
      </c>
      <c r="H9" s="438"/>
      <c r="I9" s="221">
        <f t="shared" si="0"/>
        <v>12.666666666666666</v>
      </c>
      <c r="J9" s="221">
        <f t="shared" si="0"/>
        <v>1249.6666666666667</v>
      </c>
      <c r="K9" s="222">
        <f>AVERAGE(AL9,AQ9,AV9)</f>
        <v>99.087301587301582</v>
      </c>
      <c r="L9" s="438"/>
      <c r="M9" s="223">
        <f>RANK(K9, K$7:$K$21)</f>
        <v>3</v>
      </c>
      <c r="N9" s="440"/>
      <c r="O9" s="440"/>
      <c r="P9" s="221"/>
      <c r="Q9" s="221"/>
      <c r="R9" s="222" t="e">
        <f t="shared" si="1"/>
        <v>#DIV/0!</v>
      </c>
      <c r="S9" s="220" t="e">
        <f t="shared" si="2"/>
        <v>#DIV/0!</v>
      </c>
      <c r="T9" s="435"/>
      <c r="U9" s="221"/>
      <c r="V9" s="221"/>
      <c r="W9" s="222" t="e">
        <f>V9/U9</f>
        <v>#DIV/0!</v>
      </c>
      <c r="X9" s="220" t="e">
        <f>RANK(W9, W$7:W$21)</f>
        <v>#DIV/0!</v>
      </c>
      <c r="Y9" s="435"/>
      <c r="Z9" s="220"/>
      <c r="AA9" s="221"/>
      <c r="AB9" s="222" t="e">
        <f>AA9/Z9</f>
        <v>#DIV/0!</v>
      </c>
      <c r="AC9" s="220" t="e">
        <f>RANK(AB9, AB$7:AB$21)</f>
        <v>#DIV/0!</v>
      </c>
      <c r="AD9" s="435"/>
      <c r="AE9" s="221"/>
      <c r="AF9" s="221"/>
      <c r="AG9" s="222" t="e">
        <f>AF9/AE9</f>
        <v>#DIV/0!</v>
      </c>
      <c r="AH9" s="220" t="e">
        <f>RANK(AG9, AG$7:AG$21)</f>
        <v>#DIV/0!</v>
      </c>
      <c r="AI9" s="435"/>
      <c r="AJ9" s="221">
        <v>12</v>
      </c>
      <c r="AK9" s="221">
        <v>1145</v>
      </c>
      <c r="AL9" s="222">
        <f>AK9/AJ9</f>
        <v>95.416666666666671</v>
      </c>
      <c r="AM9" s="220">
        <f>RANK(AL9, AL$7:AL$21)</f>
        <v>2</v>
      </c>
      <c r="AN9" s="435"/>
      <c r="AO9" s="221">
        <v>12</v>
      </c>
      <c r="AP9" s="221">
        <v>1331</v>
      </c>
      <c r="AQ9" s="222">
        <f>AP9/AO9</f>
        <v>110.91666666666667</v>
      </c>
      <c r="AR9" s="220">
        <f>RANK(AQ9, AQ$7:AQ$21)</f>
        <v>2</v>
      </c>
      <c r="AS9" s="435"/>
      <c r="AT9" s="221">
        <v>14</v>
      </c>
      <c r="AU9" s="221">
        <v>1273</v>
      </c>
      <c r="AV9" s="222">
        <f>AU9/AT9</f>
        <v>90.928571428571431</v>
      </c>
      <c r="AW9" s="220">
        <f>RANK(AV9, AV$7:AV$21)</f>
        <v>3</v>
      </c>
      <c r="AX9" s="435"/>
    </row>
    <row r="10" spans="1:50" ht="14.25">
      <c r="A10" s="213"/>
      <c r="B10" s="436"/>
      <c r="C10" s="220">
        <v>4</v>
      </c>
      <c r="D10" s="220"/>
      <c r="E10" s="221"/>
      <c r="F10" s="221"/>
      <c r="G10" s="222"/>
      <c r="H10" s="438"/>
      <c r="I10" s="221"/>
      <c r="J10" s="221"/>
      <c r="K10" s="222"/>
      <c r="L10" s="438"/>
      <c r="M10" s="223"/>
      <c r="N10" s="440"/>
      <c r="O10" s="440"/>
      <c r="P10" s="221"/>
      <c r="Q10" s="221"/>
      <c r="R10" s="222" t="e">
        <f t="shared" si="1"/>
        <v>#DIV/0!</v>
      </c>
      <c r="S10" s="220" t="e">
        <f t="shared" si="2"/>
        <v>#DIV/0!</v>
      </c>
      <c r="T10" s="435"/>
      <c r="U10" s="221"/>
      <c r="V10" s="221"/>
      <c r="W10" s="222"/>
      <c r="X10" s="220"/>
      <c r="Y10" s="435"/>
      <c r="Z10" s="220"/>
      <c r="AA10" s="221"/>
      <c r="AB10" s="222"/>
      <c r="AC10" s="220"/>
      <c r="AD10" s="435"/>
      <c r="AE10" s="221"/>
      <c r="AF10" s="221"/>
      <c r="AG10" s="222"/>
      <c r="AH10" s="220"/>
      <c r="AI10" s="435"/>
      <c r="AJ10" s="221"/>
      <c r="AK10" s="221"/>
      <c r="AL10" s="222"/>
      <c r="AM10" s="220"/>
      <c r="AN10" s="435"/>
      <c r="AO10" s="221"/>
      <c r="AP10" s="221"/>
      <c r="AQ10" s="222"/>
      <c r="AR10" s="220"/>
      <c r="AS10" s="435"/>
      <c r="AT10" s="221"/>
      <c r="AU10" s="221"/>
      <c r="AV10" s="222"/>
      <c r="AW10" s="220"/>
      <c r="AX10" s="435"/>
    </row>
    <row r="11" spans="1:50" ht="14.25">
      <c r="A11" s="213"/>
      <c r="B11" s="436"/>
      <c r="C11" s="220">
        <v>5</v>
      </c>
      <c r="D11" s="220"/>
      <c r="E11" s="221"/>
      <c r="F11" s="221"/>
      <c r="G11" s="222"/>
      <c r="H11" s="438"/>
      <c r="I11" s="221"/>
      <c r="J11" s="221"/>
      <c r="K11" s="222"/>
      <c r="L11" s="438"/>
      <c r="M11" s="223"/>
      <c r="N11" s="440"/>
      <c r="O11" s="440"/>
      <c r="P11" s="221"/>
      <c r="Q11" s="221"/>
      <c r="R11" s="222" t="e">
        <f t="shared" si="1"/>
        <v>#DIV/0!</v>
      </c>
      <c r="S11" s="220" t="e">
        <f t="shared" si="2"/>
        <v>#DIV/0!</v>
      </c>
      <c r="T11" s="435"/>
      <c r="U11" s="221"/>
      <c r="V11" s="221"/>
      <c r="W11" s="222"/>
      <c r="X11" s="220"/>
      <c r="Y11" s="435"/>
      <c r="Z11" s="220"/>
      <c r="AA11" s="221"/>
      <c r="AB11" s="222"/>
      <c r="AC11" s="220"/>
      <c r="AD11" s="435"/>
      <c r="AE11" s="221"/>
      <c r="AF11" s="221"/>
      <c r="AG11" s="222"/>
      <c r="AH11" s="220"/>
      <c r="AI11" s="435"/>
      <c r="AJ11" s="221"/>
      <c r="AK11" s="221"/>
      <c r="AL11" s="222"/>
      <c r="AM11" s="220"/>
      <c r="AN11" s="435"/>
      <c r="AO11" s="221"/>
      <c r="AP11" s="221"/>
      <c r="AQ11" s="222"/>
      <c r="AR11" s="220"/>
      <c r="AS11" s="435"/>
      <c r="AT11" s="221"/>
      <c r="AU11" s="221"/>
      <c r="AV11" s="222"/>
      <c r="AW11" s="220"/>
      <c r="AX11" s="435"/>
    </row>
    <row r="12" spans="1:50" ht="14.25">
      <c r="A12" s="213"/>
      <c r="B12" s="436"/>
      <c r="C12" s="220">
        <v>6</v>
      </c>
      <c r="D12" s="220"/>
      <c r="E12" s="221"/>
      <c r="F12" s="221"/>
      <c r="G12" s="222"/>
      <c r="H12" s="438"/>
      <c r="I12" s="221"/>
      <c r="J12" s="221"/>
      <c r="K12" s="222"/>
      <c r="L12" s="438"/>
      <c r="M12" s="223"/>
      <c r="N12" s="440"/>
      <c r="O12" s="440"/>
      <c r="P12" s="221"/>
      <c r="Q12" s="221"/>
      <c r="R12" s="222" t="e">
        <f t="shared" si="1"/>
        <v>#DIV/0!</v>
      </c>
      <c r="S12" s="220" t="e">
        <f t="shared" si="2"/>
        <v>#DIV/0!</v>
      </c>
      <c r="T12" s="435"/>
      <c r="U12" s="221"/>
      <c r="V12" s="221"/>
      <c r="W12" s="222"/>
      <c r="X12" s="220"/>
      <c r="Y12" s="435"/>
      <c r="Z12" s="220"/>
      <c r="AA12" s="221"/>
      <c r="AB12" s="222"/>
      <c r="AC12" s="220"/>
      <c r="AD12" s="435"/>
      <c r="AE12" s="221"/>
      <c r="AF12" s="221"/>
      <c r="AG12" s="222"/>
      <c r="AH12" s="220"/>
      <c r="AI12" s="435"/>
      <c r="AJ12" s="221"/>
      <c r="AK12" s="221"/>
      <c r="AL12" s="222"/>
      <c r="AM12" s="220"/>
      <c r="AN12" s="435"/>
      <c r="AO12" s="221"/>
      <c r="AP12" s="221"/>
      <c r="AQ12" s="222"/>
      <c r="AR12" s="220"/>
      <c r="AS12" s="435"/>
      <c r="AT12" s="221"/>
      <c r="AU12" s="221"/>
      <c r="AV12" s="222"/>
      <c r="AW12" s="220"/>
      <c r="AX12" s="435"/>
    </row>
    <row r="13" spans="1:50" ht="14.25">
      <c r="A13" s="213"/>
      <c r="B13" s="436"/>
      <c r="C13" s="220">
        <v>7</v>
      </c>
      <c r="D13" s="220"/>
      <c r="E13" s="221"/>
      <c r="F13" s="221"/>
      <c r="G13" s="222"/>
      <c r="H13" s="438"/>
      <c r="I13" s="221"/>
      <c r="J13" s="221"/>
      <c r="K13" s="222"/>
      <c r="L13" s="438"/>
      <c r="M13" s="223"/>
      <c r="N13" s="440"/>
      <c r="O13" s="440"/>
      <c r="P13" s="221"/>
      <c r="Q13" s="221"/>
      <c r="R13" s="222" t="e">
        <f t="shared" si="1"/>
        <v>#DIV/0!</v>
      </c>
      <c r="S13" s="220" t="e">
        <f t="shared" si="2"/>
        <v>#DIV/0!</v>
      </c>
      <c r="T13" s="435"/>
      <c r="U13" s="221"/>
      <c r="V13" s="221"/>
      <c r="W13" s="222"/>
      <c r="X13" s="220"/>
      <c r="Y13" s="435"/>
      <c r="Z13" s="220"/>
      <c r="AA13" s="221"/>
      <c r="AB13" s="222"/>
      <c r="AC13" s="220"/>
      <c r="AD13" s="435"/>
      <c r="AE13" s="221"/>
      <c r="AF13" s="221"/>
      <c r="AG13" s="222"/>
      <c r="AH13" s="220"/>
      <c r="AI13" s="435"/>
      <c r="AJ13" s="221"/>
      <c r="AK13" s="221"/>
      <c r="AL13" s="222"/>
      <c r="AM13" s="220"/>
      <c r="AN13" s="435"/>
      <c r="AO13" s="221"/>
      <c r="AP13" s="221"/>
      <c r="AQ13" s="222"/>
      <c r="AR13" s="220"/>
      <c r="AS13" s="435"/>
      <c r="AT13" s="221"/>
      <c r="AU13" s="221"/>
      <c r="AV13" s="222"/>
      <c r="AW13" s="220"/>
      <c r="AX13" s="435"/>
    </row>
    <row r="14" spans="1:50" ht="14.25">
      <c r="A14" s="213"/>
      <c r="B14" s="436"/>
      <c r="C14" s="220">
        <v>8</v>
      </c>
      <c r="D14" s="220"/>
      <c r="E14" s="221"/>
      <c r="F14" s="221"/>
      <c r="G14" s="222"/>
      <c r="H14" s="438"/>
      <c r="I14" s="221"/>
      <c r="J14" s="221"/>
      <c r="K14" s="222"/>
      <c r="L14" s="438"/>
      <c r="M14" s="223"/>
      <c r="N14" s="440"/>
      <c r="O14" s="440"/>
      <c r="P14" s="221"/>
      <c r="Q14" s="221"/>
      <c r="R14" s="222"/>
      <c r="S14" s="220"/>
      <c r="T14" s="435"/>
      <c r="U14" s="221"/>
      <c r="V14" s="221"/>
      <c r="W14" s="222"/>
      <c r="X14" s="220"/>
      <c r="Y14" s="435"/>
      <c r="Z14" s="220"/>
      <c r="AA14" s="221"/>
      <c r="AB14" s="222"/>
      <c r="AC14" s="220"/>
      <c r="AD14" s="435"/>
      <c r="AE14" s="221"/>
      <c r="AF14" s="221"/>
      <c r="AG14" s="222"/>
      <c r="AH14" s="220"/>
      <c r="AI14" s="435"/>
      <c r="AJ14" s="221"/>
      <c r="AK14" s="221"/>
      <c r="AL14" s="222"/>
      <c r="AM14" s="220"/>
      <c r="AN14" s="435"/>
      <c r="AO14" s="221"/>
      <c r="AP14" s="221"/>
      <c r="AQ14" s="222"/>
      <c r="AR14" s="220"/>
      <c r="AS14" s="435"/>
      <c r="AT14" s="221"/>
      <c r="AU14" s="221"/>
      <c r="AV14" s="222"/>
      <c r="AW14" s="220"/>
      <c r="AX14" s="435"/>
    </row>
    <row r="15" spans="1:50" ht="14.25">
      <c r="A15" s="213"/>
      <c r="B15" s="436"/>
      <c r="C15" s="220">
        <v>9</v>
      </c>
      <c r="D15" s="220"/>
      <c r="E15" s="221"/>
      <c r="F15" s="221"/>
      <c r="G15" s="222"/>
      <c r="H15" s="438"/>
      <c r="I15" s="221"/>
      <c r="J15" s="221"/>
      <c r="K15" s="222"/>
      <c r="L15" s="438"/>
      <c r="M15" s="223"/>
      <c r="N15" s="440"/>
      <c r="O15" s="440"/>
      <c r="P15" s="221"/>
      <c r="Q15" s="221"/>
      <c r="R15" s="222"/>
      <c r="S15" s="220"/>
      <c r="T15" s="435"/>
      <c r="U15" s="221"/>
      <c r="V15" s="221"/>
      <c r="W15" s="222"/>
      <c r="X15" s="220"/>
      <c r="Y15" s="435"/>
      <c r="Z15" s="220"/>
      <c r="AA15" s="221"/>
      <c r="AB15" s="222"/>
      <c r="AC15" s="220"/>
      <c r="AD15" s="435"/>
      <c r="AE15" s="221"/>
      <c r="AF15" s="221"/>
      <c r="AG15" s="222"/>
      <c r="AH15" s="220"/>
      <c r="AI15" s="435"/>
      <c r="AJ15" s="221"/>
      <c r="AK15" s="221"/>
      <c r="AL15" s="222"/>
      <c r="AM15" s="220"/>
      <c r="AN15" s="435"/>
      <c r="AO15" s="221"/>
      <c r="AP15" s="221"/>
      <c r="AQ15" s="222"/>
      <c r="AR15" s="220"/>
      <c r="AS15" s="435"/>
      <c r="AT15" s="221"/>
      <c r="AU15" s="221"/>
      <c r="AV15" s="222"/>
      <c r="AW15" s="220"/>
      <c r="AX15" s="435"/>
    </row>
    <row r="16" spans="1:50" ht="14.25">
      <c r="A16" s="213"/>
      <c r="B16" s="436"/>
      <c r="C16" s="220">
        <v>10</v>
      </c>
      <c r="D16" s="220"/>
      <c r="E16" s="221"/>
      <c r="F16" s="221"/>
      <c r="G16" s="222"/>
      <c r="H16" s="438"/>
      <c r="I16" s="221"/>
      <c r="J16" s="221"/>
      <c r="K16" s="222"/>
      <c r="L16" s="438"/>
      <c r="M16" s="223"/>
      <c r="N16" s="440"/>
      <c r="O16" s="440"/>
      <c r="P16" s="221"/>
      <c r="Q16" s="221"/>
      <c r="R16" s="222"/>
      <c r="S16" s="220"/>
      <c r="T16" s="435"/>
      <c r="U16" s="221"/>
      <c r="V16" s="221"/>
      <c r="W16" s="222"/>
      <c r="X16" s="220"/>
      <c r="Y16" s="435"/>
      <c r="Z16" s="220"/>
      <c r="AA16" s="221"/>
      <c r="AB16" s="222"/>
      <c r="AC16" s="220"/>
      <c r="AD16" s="435"/>
      <c r="AE16" s="221"/>
      <c r="AF16" s="221"/>
      <c r="AG16" s="222"/>
      <c r="AH16" s="220"/>
      <c r="AI16" s="435"/>
      <c r="AJ16" s="221"/>
      <c r="AK16" s="221"/>
      <c r="AL16" s="222"/>
      <c r="AM16" s="220"/>
      <c r="AN16" s="435"/>
      <c r="AO16" s="221"/>
      <c r="AP16" s="221"/>
      <c r="AQ16" s="222"/>
      <c r="AR16" s="220"/>
      <c r="AS16" s="435"/>
      <c r="AT16" s="221"/>
      <c r="AU16" s="221"/>
      <c r="AV16" s="222"/>
      <c r="AW16" s="220"/>
      <c r="AX16" s="435"/>
    </row>
    <row r="17" spans="2:50">
      <c r="B17" s="436"/>
      <c r="C17" s="220">
        <v>11</v>
      </c>
      <c r="D17" s="220"/>
      <c r="E17" s="221"/>
      <c r="F17" s="221"/>
      <c r="G17" s="222"/>
      <c r="H17" s="438"/>
      <c r="I17" s="221"/>
      <c r="J17" s="221"/>
      <c r="K17" s="222"/>
      <c r="L17" s="438"/>
      <c r="M17" s="223"/>
      <c r="N17" s="440"/>
      <c r="O17" s="440"/>
      <c r="P17" s="220"/>
      <c r="Q17" s="220"/>
      <c r="R17" s="222"/>
      <c r="S17" s="220"/>
      <c r="T17" s="435"/>
      <c r="U17" s="220"/>
      <c r="V17" s="220"/>
      <c r="W17" s="222"/>
      <c r="X17" s="220"/>
      <c r="Y17" s="435"/>
      <c r="Z17" s="220"/>
      <c r="AA17" s="220"/>
      <c r="AB17" s="222"/>
      <c r="AC17" s="220"/>
      <c r="AD17" s="435"/>
      <c r="AE17" s="220"/>
      <c r="AF17" s="220"/>
      <c r="AG17" s="222"/>
      <c r="AH17" s="220"/>
      <c r="AI17" s="435"/>
      <c r="AJ17" s="220"/>
      <c r="AK17" s="220"/>
      <c r="AL17" s="220"/>
      <c r="AM17" s="220"/>
      <c r="AN17" s="435"/>
      <c r="AO17" s="220"/>
      <c r="AP17" s="220"/>
      <c r="AQ17" s="222"/>
      <c r="AR17" s="220"/>
      <c r="AS17" s="435"/>
      <c r="AT17" s="220"/>
      <c r="AU17" s="220"/>
      <c r="AV17" s="222"/>
      <c r="AW17" s="220"/>
      <c r="AX17" s="435"/>
    </row>
    <row r="18" spans="2:50">
      <c r="B18" s="436"/>
      <c r="C18" s="220">
        <v>12</v>
      </c>
      <c r="D18" s="220"/>
      <c r="E18" s="221"/>
      <c r="F18" s="221"/>
      <c r="G18" s="222"/>
      <c r="H18" s="438"/>
      <c r="I18" s="221"/>
      <c r="J18" s="221"/>
      <c r="K18" s="222"/>
      <c r="L18" s="438"/>
      <c r="M18" s="223"/>
      <c r="N18" s="440"/>
      <c r="O18" s="440"/>
      <c r="P18" s="220"/>
      <c r="Q18" s="220"/>
      <c r="R18" s="222"/>
      <c r="S18" s="220"/>
      <c r="T18" s="435"/>
      <c r="U18" s="220"/>
      <c r="V18" s="220"/>
      <c r="W18" s="222"/>
      <c r="X18" s="220"/>
      <c r="Y18" s="435"/>
      <c r="Z18" s="220"/>
      <c r="AA18" s="220"/>
      <c r="AB18" s="222"/>
      <c r="AC18" s="220"/>
      <c r="AD18" s="435"/>
      <c r="AE18" s="220"/>
      <c r="AF18" s="220"/>
      <c r="AG18" s="222"/>
      <c r="AH18" s="220"/>
      <c r="AI18" s="435"/>
      <c r="AJ18" s="220"/>
      <c r="AK18" s="220"/>
      <c r="AL18" s="220"/>
      <c r="AM18" s="220"/>
      <c r="AN18" s="435"/>
      <c r="AO18" s="220"/>
      <c r="AP18" s="220"/>
      <c r="AQ18" s="222"/>
      <c r="AR18" s="220"/>
      <c r="AS18" s="435"/>
      <c r="AT18" s="220"/>
      <c r="AU18" s="220"/>
      <c r="AV18" s="222"/>
      <c r="AW18" s="220"/>
      <c r="AX18" s="435"/>
    </row>
    <row r="19" spans="2:50">
      <c r="B19" s="436"/>
      <c r="C19" s="220">
        <v>13</v>
      </c>
      <c r="D19" s="220"/>
      <c r="E19" s="221"/>
      <c r="F19" s="221"/>
      <c r="G19" s="222"/>
      <c r="H19" s="438"/>
      <c r="I19" s="221"/>
      <c r="J19" s="221"/>
      <c r="K19" s="222"/>
      <c r="L19" s="438"/>
      <c r="M19" s="223"/>
      <c r="N19" s="440"/>
      <c r="O19" s="440"/>
      <c r="P19" s="220"/>
      <c r="Q19" s="220"/>
      <c r="R19" s="222"/>
      <c r="S19" s="220"/>
      <c r="T19" s="435"/>
      <c r="U19" s="220"/>
      <c r="V19" s="220"/>
      <c r="W19" s="222"/>
      <c r="X19" s="220"/>
      <c r="Y19" s="435"/>
      <c r="Z19" s="220"/>
      <c r="AA19" s="220"/>
      <c r="AB19" s="222"/>
      <c r="AC19" s="220"/>
      <c r="AD19" s="435"/>
      <c r="AE19" s="220"/>
      <c r="AF19" s="220"/>
      <c r="AG19" s="222"/>
      <c r="AH19" s="220"/>
      <c r="AI19" s="435"/>
      <c r="AJ19" s="220"/>
      <c r="AK19" s="220"/>
      <c r="AL19" s="220"/>
      <c r="AM19" s="220"/>
      <c r="AN19" s="435"/>
      <c r="AO19" s="220"/>
      <c r="AP19" s="220"/>
      <c r="AQ19" s="222"/>
      <c r="AR19" s="220"/>
      <c r="AS19" s="435"/>
      <c r="AT19" s="220"/>
      <c r="AU19" s="220"/>
      <c r="AV19" s="222"/>
      <c r="AW19" s="220"/>
      <c r="AX19" s="435"/>
    </row>
    <row r="20" spans="2:50">
      <c r="B20" s="436"/>
      <c r="C20" s="220">
        <v>14</v>
      </c>
      <c r="D20" s="220"/>
      <c r="E20" s="221"/>
      <c r="F20" s="221"/>
      <c r="G20" s="222"/>
      <c r="H20" s="438"/>
      <c r="I20" s="221"/>
      <c r="J20" s="221"/>
      <c r="K20" s="222"/>
      <c r="L20" s="438"/>
      <c r="M20" s="223"/>
      <c r="N20" s="440"/>
      <c r="O20" s="440"/>
      <c r="P20" s="220"/>
      <c r="Q20" s="220"/>
      <c r="R20" s="222"/>
      <c r="S20" s="220"/>
      <c r="T20" s="435"/>
      <c r="U20" s="220"/>
      <c r="V20" s="220"/>
      <c r="W20" s="222"/>
      <c r="X20" s="220"/>
      <c r="Y20" s="435"/>
      <c r="Z20" s="220"/>
      <c r="AA20" s="220"/>
      <c r="AB20" s="222"/>
      <c r="AC20" s="220"/>
      <c r="AD20" s="435"/>
      <c r="AE20" s="220"/>
      <c r="AF20" s="220"/>
      <c r="AG20" s="222"/>
      <c r="AH20" s="220"/>
      <c r="AI20" s="435"/>
      <c r="AJ20" s="220"/>
      <c r="AK20" s="220"/>
      <c r="AL20" s="220"/>
      <c r="AM20" s="220"/>
      <c r="AN20" s="435"/>
      <c r="AO20" s="220"/>
      <c r="AP20" s="220"/>
      <c r="AQ20" s="222"/>
      <c r="AR20" s="220"/>
      <c r="AS20" s="435"/>
      <c r="AT20" s="220"/>
      <c r="AU20" s="220"/>
      <c r="AV20" s="222"/>
      <c r="AW20" s="220"/>
      <c r="AX20" s="435"/>
    </row>
    <row r="21" spans="2:50">
      <c r="B21" s="436"/>
      <c r="C21" s="220">
        <v>15</v>
      </c>
      <c r="D21" s="220"/>
      <c r="E21" s="221"/>
      <c r="F21" s="221"/>
      <c r="G21" s="222"/>
      <c r="H21" s="439"/>
      <c r="I21" s="221"/>
      <c r="J21" s="221"/>
      <c r="K21" s="222"/>
      <c r="L21" s="439"/>
      <c r="M21" s="221"/>
      <c r="N21" s="440"/>
      <c r="O21" s="440"/>
      <c r="P21" s="220"/>
      <c r="Q21" s="220"/>
      <c r="R21" s="222"/>
      <c r="S21" s="220"/>
      <c r="T21" s="435"/>
      <c r="U21" s="220"/>
      <c r="V21" s="220"/>
      <c r="W21" s="222"/>
      <c r="X21" s="220"/>
      <c r="Y21" s="435"/>
      <c r="Z21" s="220"/>
      <c r="AA21" s="220"/>
      <c r="AB21" s="222"/>
      <c r="AC21" s="220"/>
      <c r="AD21" s="435"/>
      <c r="AE21" s="220"/>
      <c r="AF21" s="220"/>
      <c r="AG21" s="222"/>
      <c r="AH21" s="220"/>
      <c r="AI21" s="435"/>
      <c r="AJ21" s="220"/>
      <c r="AK21" s="220"/>
      <c r="AL21" s="220"/>
      <c r="AM21" s="220"/>
      <c r="AN21" s="435"/>
      <c r="AO21" s="220"/>
      <c r="AP21" s="220"/>
      <c r="AQ21" s="222"/>
      <c r="AR21" s="220"/>
      <c r="AS21" s="435"/>
      <c r="AT21" s="220"/>
      <c r="AU21" s="220"/>
      <c r="AV21" s="222"/>
      <c r="AW21" s="220"/>
      <c r="AX21" s="435"/>
    </row>
    <row r="22" spans="2:50" ht="15.75">
      <c r="B22" s="455" t="s">
        <v>44</v>
      </c>
      <c r="C22" s="456"/>
      <c r="D22" s="456"/>
      <c r="E22" s="456"/>
      <c r="F22" s="456"/>
      <c r="G22" s="456"/>
      <c r="H22" s="456"/>
      <c r="I22" s="214"/>
      <c r="J22" s="214"/>
      <c r="K22" s="214"/>
      <c r="L22" s="214"/>
      <c r="M22" s="215"/>
      <c r="N22" s="449" t="s">
        <v>45</v>
      </c>
      <c r="O22" s="449" t="s">
        <v>3</v>
      </c>
      <c r="P22" s="444">
        <v>45965</v>
      </c>
      <c r="Q22" s="436"/>
      <c r="R22" s="436"/>
      <c r="S22" s="436"/>
      <c r="T22" s="436"/>
      <c r="U22" s="444">
        <v>45966</v>
      </c>
      <c r="V22" s="436"/>
      <c r="W22" s="436"/>
      <c r="X22" s="436"/>
      <c r="Y22" s="436"/>
      <c r="Z22" s="444">
        <v>45967</v>
      </c>
      <c r="AA22" s="436"/>
      <c r="AB22" s="436"/>
      <c r="AC22" s="436"/>
      <c r="AD22" s="436"/>
      <c r="AE22" s="444">
        <v>45968</v>
      </c>
      <c r="AF22" s="436"/>
      <c r="AG22" s="436"/>
      <c r="AH22" s="436"/>
      <c r="AI22" s="436"/>
      <c r="AJ22" s="444">
        <v>45969</v>
      </c>
      <c r="AK22" s="436"/>
      <c r="AL22" s="436"/>
      <c r="AM22" s="436"/>
      <c r="AN22" s="436"/>
      <c r="AO22" s="444">
        <v>45970</v>
      </c>
      <c r="AP22" s="436"/>
      <c r="AQ22" s="436"/>
      <c r="AR22" s="436"/>
      <c r="AS22" s="436"/>
      <c r="AT22" s="444">
        <v>45971</v>
      </c>
      <c r="AU22" s="436"/>
      <c r="AV22" s="436"/>
      <c r="AW22" s="436"/>
      <c r="AX22" s="436"/>
    </row>
    <row r="23" spans="2:50" ht="15.75">
      <c r="B23" s="454"/>
      <c r="C23" s="454"/>
      <c r="D23" s="454"/>
      <c r="E23" s="454"/>
      <c r="F23" s="454"/>
      <c r="G23" s="454"/>
      <c r="H23" s="454"/>
      <c r="I23" s="216"/>
      <c r="J23" s="216"/>
      <c r="K23" s="216"/>
      <c r="L23" s="216"/>
      <c r="M23" s="217"/>
      <c r="N23" s="451"/>
      <c r="O23" s="451"/>
      <c r="P23" s="444" t="s">
        <v>16</v>
      </c>
      <c r="Q23" s="436"/>
      <c r="R23" s="436"/>
      <c r="S23" s="436"/>
      <c r="T23" s="436"/>
      <c r="U23" s="444" t="s">
        <v>17</v>
      </c>
      <c r="V23" s="436"/>
      <c r="W23" s="436"/>
      <c r="X23" s="436"/>
      <c r="Y23" s="436"/>
      <c r="Z23" s="444" t="s">
        <v>18</v>
      </c>
      <c r="AA23" s="436"/>
      <c r="AB23" s="436"/>
      <c r="AC23" s="436"/>
      <c r="AD23" s="436"/>
      <c r="AE23" s="444" t="s">
        <v>19</v>
      </c>
      <c r="AF23" s="436"/>
      <c r="AG23" s="436"/>
      <c r="AH23" s="436"/>
      <c r="AI23" s="436"/>
      <c r="AJ23" s="444" t="s">
        <v>14</v>
      </c>
      <c r="AK23" s="436"/>
      <c r="AL23" s="436"/>
      <c r="AM23" s="436"/>
      <c r="AN23" s="436"/>
      <c r="AO23" s="444" t="s">
        <v>10</v>
      </c>
      <c r="AP23" s="436"/>
      <c r="AQ23" s="436"/>
      <c r="AR23" s="436"/>
      <c r="AS23" s="436"/>
      <c r="AT23" s="444" t="s">
        <v>15</v>
      </c>
      <c r="AU23" s="436"/>
      <c r="AV23" s="436"/>
      <c r="AW23" s="436"/>
      <c r="AX23" s="436"/>
    </row>
    <row r="24" spans="2:50">
      <c r="B24" s="440" t="s">
        <v>46</v>
      </c>
      <c r="C24" s="440" t="s">
        <v>47</v>
      </c>
      <c r="D24" s="440"/>
      <c r="E24" s="440" t="s">
        <v>48</v>
      </c>
      <c r="F24" s="440"/>
      <c r="G24" s="440"/>
      <c r="H24" s="446" t="s">
        <v>49</v>
      </c>
      <c r="I24" s="440" t="s">
        <v>50</v>
      </c>
      <c r="J24" s="440"/>
      <c r="K24" s="440"/>
      <c r="L24" s="446" t="s">
        <v>49</v>
      </c>
      <c r="M24" s="449" t="s">
        <v>51</v>
      </c>
      <c r="N24" s="440"/>
      <c r="O24" s="440" t="s">
        <v>52</v>
      </c>
      <c r="P24" s="441" t="s">
        <v>53</v>
      </c>
      <c r="Q24" s="442"/>
      <c r="R24" s="442"/>
      <c r="S24" s="443"/>
      <c r="T24" s="440" t="s">
        <v>49</v>
      </c>
      <c r="U24" s="441" t="s">
        <v>53</v>
      </c>
      <c r="V24" s="442"/>
      <c r="W24" s="442"/>
      <c r="X24" s="443"/>
      <c r="Y24" s="440" t="s">
        <v>49</v>
      </c>
      <c r="Z24" s="441" t="s">
        <v>53</v>
      </c>
      <c r="AA24" s="442"/>
      <c r="AB24" s="442"/>
      <c r="AC24" s="443"/>
      <c r="AD24" s="440" t="s">
        <v>49</v>
      </c>
      <c r="AE24" s="441" t="s">
        <v>53</v>
      </c>
      <c r="AF24" s="442"/>
      <c r="AG24" s="442"/>
      <c r="AH24" s="443"/>
      <c r="AI24" s="440" t="s">
        <v>49</v>
      </c>
      <c r="AJ24" s="441" t="s">
        <v>53</v>
      </c>
      <c r="AK24" s="442"/>
      <c r="AL24" s="442"/>
      <c r="AM24" s="443"/>
      <c r="AN24" s="440" t="s">
        <v>49</v>
      </c>
      <c r="AO24" s="441" t="s">
        <v>53</v>
      </c>
      <c r="AP24" s="442"/>
      <c r="AQ24" s="442"/>
      <c r="AR24" s="443"/>
      <c r="AS24" s="440" t="s">
        <v>49</v>
      </c>
      <c r="AT24" s="441" t="s">
        <v>53</v>
      </c>
      <c r="AU24" s="442"/>
      <c r="AV24" s="442"/>
      <c r="AW24" s="443"/>
      <c r="AX24" s="440" t="s">
        <v>49</v>
      </c>
    </row>
    <row r="25" spans="2:50">
      <c r="B25" s="440"/>
      <c r="C25" s="440"/>
      <c r="D25" s="440"/>
      <c r="E25" s="440" t="s">
        <v>54</v>
      </c>
      <c r="F25" s="440"/>
      <c r="G25" s="440"/>
      <c r="H25" s="447"/>
      <c r="I25" s="440" t="s">
        <v>54</v>
      </c>
      <c r="J25" s="440"/>
      <c r="K25" s="440"/>
      <c r="L25" s="447"/>
      <c r="M25" s="450"/>
      <c r="N25" s="440"/>
      <c r="O25" s="440"/>
      <c r="P25" s="441" t="s">
        <v>55</v>
      </c>
      <c r="Q25" s="442"/>
      <c r="R25" s="442"/>
      <c r="S25" s="443"/>
      <c r="T25" s="440"/>
      <c r="U25" s="441" t="s">
        <v>55</v>
      </c>
      <c r="V25" s="442"/>
      <c r="W25" s="442"/>
      <c r="X25" s="443"/>
      <c r="Y25" s="440"/>
      <c r="Z25" s="441" t="s">
        <v>55</v>
      </c>
      <c r="AA25" s="442"/>
      <c r="AB25" s="442"/>
      <c r="AC25" s="443"/>
      <c r="AD25" s="440"/>
      <c r="AE25" s="441" t="s">
        <v>55</v>
      </c>
      <c r="AF25" s="442"/>
      <c r="AG25" s="442"/>
      <c r="AH25" s="443"/>
      <c r="AI25" s="440"/>
      <c r="AJ25" s="441" t="s">
        <v>55</v>
      </c>
      <c r="AK25" s="442"/>
      <c r="AL25" s="442"/>
      <c r="AM25" s="443"/>
      <c r="AN25" s="440"/>
      <c r="AO25" s="441" t="s">
        <v>55</v>
      </c>
      <c r="AP25" s="442"/>
      <c r="AQ25" s="442"/>
      <c r="AR25" s="443"/>
      <c r="AS25" s="440"/>
      <c r="AT25" s="441" t="s">
        <v>55</v>
      </c>
      <c r="AU25" s="442"/>
      <c r="AV25" s="442"/>
      <c r="AW25" s="443"/>
      <c r="AX25" s="440"/>
    </row>
    <row r="26" spans="2:50">
      <c r="B26" s="440"/>
      <c r="C26" s="440"/>
      <c r="D26" s="440"/>
      <c r="E26" s="219" t="s">
        <v>56</v>
      </c>
      <c r="F26" s="219" t="s">
        <v>57</v>
      </c>
      <c r="G26" s="219" t="s">
        <v>58</v>
      </c>
      <c r="H26" s="448"/>
      <c r="I26" s="219" t="s">
        <v>56</v>
      </c>
      <c r="J26" s="219" t="s">
        <v>57</v>
      </c>
      <c r="K26" s="219" t="s">
        <v>58</v>
      </c>
      <c r="L26" s="448"/>
      <c r="M26" s="451"/>
      <c r="N26" s="440"/>
      <c r="O26" s="440"/>
      <c r="P26" s="219" t="s">
        <v>56</v>
      </c>
      <c r="Q26" s="219" t="s">
        <v>57</v>
      </c>
      <c r="R26" s="219" t="s">
        <v>58</v>
      </c>
      <c r="S26" s="219" t="s">
        <v>51</v>
      </c>
      <c r="T26" s="440"/>
      <c r="U26" s="219" t="s">
        <v>56</v>
      </c>
      <c r="V26" s="219" t="s">
        <v>57</v>
      </c>
      <c r="W26" s="219" t="s">
        <v>58</v>
      </c>
      <c r="X26" s="219" t="s">
        <v>51</v>
      </c>
      <c r="Y26" s="440"/>
      <c r="Z26" s="219" t="s">
        <v>56</v>
      </c>
      <c r="AA26" s="219" t="s">
        <v>57</v>
      </c>
      <c r="AB26" s="219" t="s">
        <v>58</v>
      </c>
      <c r="AC26" s="219" t="s">
        <v>51</v>
      </c>
      <c r="AD26" s="440"/>
      <c r="AE26" s="219" t="s">
        <v>56</v>
      </c>
      <c r="AF26" s="219" t="s">
        <v>57</v>
      </c>
      <c r="AG26" s="219" t="s">
        <v>58</v>
      </c>
      <c r="AH26" s="219" t="s">
        <v>51</v>
      </c>
      <c r="AI26" s="440"/>
      <c r="AJ26" s="219" t="s">
        <v>56</v>
      </c>
      <c r="AK26" s="219" t="s">
        <v>57</v>
      </c>
      <c r="AL26" s="219" t="s">
        <v>58</v>
      </c>
      <c r="AM26" s="219" t="s">
        <v>51</v>
      </c>
      <c r="AN26" s="440"/>
      <c r="AO26" s="219" t="s">
        <v>56</v>
      </c>
      <c r="AP26" s="219" t="s">
        <v>57</v>
      </c>
      <c r="AQ26" s="219" t="s">
        <v>58</v>
      </c>
      <c r="AR26" s="219" t="s">
        <v>51</v>
      </c>
      <c r="AS26" s="440"/>
      <c r="AT26" s="219" t="s">
        <v>56</v>
      </c>
      <c r="AU26" s="219" t="s">
        <v>57</v>
      </c>
      <c r="AV26" s="219" t="s">
        <v>58</v>
      </c>
      <c r="AW26" s="219" t="s">
        <v>51</v>
      </c>
      <c r="AX26" s="440"/>
    </row>
    <row r="27" spans="2:50">
      <c r="B27" s="440" t="s">
        <v>35</v>
      </c>
      <c r="C27" s="220">
        <v>1</v>
      </c>
      <c r="D27" s="220" t="s">
        <v>61</v>
      </c>
      <c r="E27" s="221">
        <f>VLOOKUP(D27,'11產線配置圖'!$A$2:$C$30,2,0)</f>
        <v>13</v>
      </c>
      <c r="F27" s="221">
        <f>VLOOKUP(D27,'11產線配置圖'!$A$2:$C$30,3,0)</f>
        <v>1565</v>
      </c>
      <c r="G27" s="222">
        <f>F27/E27</f>
        <v>120.38461538461539</v>
      </c>
      <c r="H27" s="437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1458.7142857142858</v>
      </c>
      <c r="K27" s="222">
        <f>AVERAGE(R27,W27,AB27,AG27,AL27,AQ27,AV27)</f>
        <v>112.2087912087912</v>
      </c>
      <c r="L27" s="437">
        <f>IFERROR(AVERAGE(K27:K41),"-")</f>
        <v>112.24816849816848</v>
      </c>
      <c r="M27" s="223">
        <f>RANK(K27, K$27:$K$41)</f>
        <v>2</v>
      </c>
      <c r="N27" s="440"/>
      <c r="O27" s="440"/>
      <c r="P27" s="221">
        <v>13</v>
      </c>
      <c r="Q27" s="221">
        <v>1518</v>
      </c>
      <c r="R27" s="222">
        <f>Q27/P27</f>
        <v>116.76923076923077</v>
      </c>
      <c r="S27" s="220">
        <f>RANK(R27, $R$27:$R$41)</f>
        <v>1</v>
      </c>
      <c r="T27" s="435">
        <f>AVERAGE(R27:R41)</f>
        <v>113.11752136752138</v>
      </c>
      <c r="U27" s="221">
        <v>13</v>
      </c>
      <c r="V27" s="221">
        <v>1559</v>
      </c>
      <c r="W27" s="222">
        <f>V27/U27</f>
        <v>119.92307692307692</v>
      </c>
      <c r="X27" s="220">
        <f>RANK(W27, $W$27:$W$41)</f>
        <v>1</v>
      </c>
      <c r="Y27" s="435">
        <f>AVERAGE(W27:W41)</f>
        <v>104.50213675213676</v>
      </c>
      <c r="Z27" s="221">
        <v>13</v>
      </c>
      <c r="AA27" s="221">
        <v>1431</v>
      </c>
      <c r="AB27" s="222">
        <f>AA27/Z27</f>
        <v>110.07692307692308</v>
      </c>
      <c r="AC27" s="220">
        <f>RANK(AB27, $AB$27:$AB$29)</f>
        <v>3</v>
      </c>
      <c r="AD27" s="435">
        <f>AVERAGE(AB27:AB41)</f>
        <v>112.44230769230769</v>
      </c>
      <c r="AE27" s="221">
        <v>13</v>
      </c>
      <c r="AF27" s="221">
        <v>1374</v>
      </c>
      <c r="AG27" s="222">
        <f>AF27/AE27</f>
        <v>105.69230769230769</v>
      </c>
      <c r="AH27" s="220">
        <f>RANK(AG27, $AG$27:$AG$29)</f>
        <v>3</v>
      </c>
      <c r="AI27" s="435">
        <f>AVERAGE(AG27:AG41)</f>
        <v>113.42521367521367</v>
      </c>
      <c r="AJ27" s="221">
        <v>13</v>
      </c>
      <c r="AK27" s="221">
        <v>1410</v>
      </c>
      <c r="AL27" s="222">
        <f>AK27/AJ27</f>
        <v>108.46153846153847</v>
      </c>
      <c r="AM27" s="220">
        <f>RANK(AL27, $AL$27:$AL$29)</f>
        <v>2</v>
      </c>
      <c r="AN27" s="435">
        <f>AVERAGE(AL27:AL41)</f>
        <v>110.04273504273505</v>
      </c>
      <c r="AO27" s="221">
        <v>13</v>
      </c>
      <c r="AP27" s="221">
        <v>1505</v>
      </c>
      <c r="AQ27" s="222">
        <f>AP27/AO27</f>
        <v>115.76923076923077</v>
      </c>
      <c r="AR27" s="220">
        <f>RANK(AQ27, $AQ$27:$AQ$41)</f>
        <v>2</v>
      </c>
      <c r="AS27" s="435">
        <f>AVERAGE(AQ27:AQ41)</f>
        <v>118.58974358974359</v>
      </c>
      <c r="AT27" s="221">
        <v>13</v>
      </c>
      <c r="AU27" s="221">
        <v>1414</v>
      </c>
      <c r="AV27" s="222">
        <f>AU27/AT27</f>
        <v>108.76923076923077</v>
      </c>
      <c r="AW27" s="220">
        <f>RANK(AV27, $AV$27:$AV$41)</f>
        <v>3</v>
      </c>
      <c r="AX27" s="435">
        <f>AVERAGE(AV27:AV41)</f>
        <v>113.61752136752136</v>
      </c>
    </row>
    <row r="28" spans="2:50">
      <c r="B28" s="436"/>
      <c r="C28" s="220">
        <v>2</v>
      </c>
      <c r="D28" s="220" t="s">
        <v>62</v>
      </c>
      <c r="E28" s="221">
        <f>VLOOKUP(D28,'11產線配置圖'!$A$2:$C$30,2,0)</f>
        <v>12</v>
      </c>
      <c r="F28" s="221">
        <f>VLOOKUP(D28,'11產線配置圖'!$A$2:$C$30,3,0)</f>
        <v>1565</v>
      </c>
      <c r="G28" s="222">
        <f>F28/E28</f>
        <v>130.41666666666666</v>
      </c>
      <c r="H28" s="438"/>
      <c r="I28" s="221">
        <f t="shared" ref="I28:K29" si="3">AVERAGE(P28,U28,Z28,AE28,AJ28,AO28,AT28)</f>
        <v>12</v>
      </c>
      <c r="J28" s="221">
        <f t="shared" si="3"/>
        <v>1401.2857142857142</v>
      </c>
      <c r="K28" s="222">
        <f t="shared" si="3"/>
        <v>116.77380952380953</v>
      </c>
      <c r="L28" s="438"/>
      <c r="M28" s="223">
        <f>RANK(K28, K$27:$K$41)</f>
        <v>1</v>
      </c>
      <c r="N28" s="440"/>
      <c r="O28" s="440"/>
      <c r="P28" s="221">
        <v>12</v>
      </c>
      <c r="Q28" s="221">
        <v>1340</v>
      </c>
      <c r="R28" s="222">
        <f>Q28/P28</f>
        <v>111.66666666666667</v>
      </c>
      <c r="S28" s="220">
        <f>RANK(R28, $R$27:$R$41)</f>
        <v>2</v>
      </c>
      <c r="T28" s="435"/>
      <c r="U28" s="221">
        <v>12</v>
      </c>
      <c r="V28" s="221">
        <v>1409</v>
      </c>
      <c r="W28" s="222">
        <f>V28/U28</f>
        <v>117.41666666666667</v>
      </c>
      <c r="X28" s="220">
        <f>RANK(W28, $W$27:$W$41)</f>
        <v>2</v>
      </c>
      <c r="Y28" s="435"/>
      <c r="Z28" s="221">
        <v>12</v>
      </c>
      <c r="AA28" s="221">
        <v>1351</v>
      </c>
      <c r="AB28" s="222">
        <f>AA28/Z28</f>
        <v>112.58333333333333</v>
      </c>
      <c r="AC28" s="220">
        <f>RANK(AB28, $AB$27:$AB$29)</f>
        <v>2</v>
      </c>
      <c r="AD28" s="435"/>
      <c r="AE28" s="221">
        <v>12</v>
      </c>
      <c r="AF28" s="221">
        <v>1509</v>
      </c>
      <c r="AG28" s="222">
        <f>AF28/AE28</f>
        <v>125.75</v>
      </c>
      <c r="AH28" s="220">
        <f>RANK(AG28, $AG$27:$AG$29)</f>
        <v>1</v>
      </c>
      <c r="AI28" s="435"/>
      <c r="AJ28" s="221">
        <v>12</v>
      </c>
      <c r="AK28" s="221">
        <v>1379</v>
      </c>
      <c r="AL28" s="222">
        <f>AK28/AJ28</f>
        <v>114.91666666666667</v>
      </c>
      <c r="AM28" s="220">
        <f>RANK(AL28, $AL$27:$AL$29)</f>
        <v>1</v>
      </c>
      <c r="AN28" s="435"/>
      <c r="AO28" s="221">
        <v>12</v>
      </c>
      <c r="AP28" s="221">
        <v>1506</v>
      </c>
      <c r="AQ28" s="222">
        <f>AP28/AO28</f>
        <v>125.5</v>
      </c>
      <c r="AR28" s="220">
        <f>RANK(AQ28, $AQ$27:$AQ$41)</f>
        <v>1</v>
      </c>
      <c r="AS28" s="435"/>
      <c r="AT28" s="221">
        <v>12</v>
      </c>
      <c r="AU28" s="221">
        <v>1315</v>
      </c>
      <c r="AV28" s="222">
        <f>AU28/AT28</f>
        <v>109.58333333333333</v>
      </c>
      <c r="AW28" s="220">
        <f>RANK(AV28, $AV$27:$AV$41)</f>
        <v>2</v>
      </c>
      <c r="AX28" s="435"/>
    </row>
    <row r="29" spans="2:50">
      <c r="B29" s="436"/>
      <c r="C29" s="220">
        <v>3</v>
      </c>
      <c r="D29" s="220" t="s">
        <v>63</v>
      </c>
      <c r="E29" s="221">
        <f>VLOOKUP(D29,'11產線配置圖'!$A$2:$C$30,2,0)</f>
        <v>12</v>
      </c>
      <c r="F29" s="221">
        <f>VLOOKUP(D29,'11產線配置圖'!$A$2:$C$30,3,0)</f>
        <v>1565</v>
      </c>
      <c r="G29" s="222">
        <f>F29/E29</f>
        <v>130.41666666666666</v>
      </c>
      <c r="H29" s="438"/>
      <c r="I29" s="221">
        <f t="shared" si="3"/>
        <v>12</v>
      </c>
      <c r="J29" s="221">
        <f t="shared" si="3"/>
        <v>1293.1428571428571</v>
      </c>
      <c r="K29" s="222">
        <f t="shared" si="3"/>
        <v>107.76190476190474</v>
      </c>
      <c r="L29" s="438"/>
      <c r="M29" s="223">
        <f>RANK(K29, K$27:$K$41)</f>
        <v>3</v>
      </c>
      <c r="N29" s="440"/>
      <c r="O29" s="440"/>
      <c r="P29" s="221">
        <v>12</v>
      </c>
      <c r="Q29" s="221">
        <v>1331</v>
      </c>
      <c r="R29" s="222">
        <f>Q29/P29</f>
        <v>110.91666666666667</v>
      </c>
      <c r="S29" s="220">
        <f>RANK(R29, $R$27:$R$41)</f>
        <v>3</v>
      </c>
      <c r="T29" s="435"/>
      <c r="U29" s="221">
        <v>12</v>
      </c>
      <c r="V29" s="221">
        <v>914</v>
      </c>
      <c r="W29" s="222">
        <f>V29/U29</f>
        <v>76.166666666666671</v>
      </c>
      <c r="X29" s="220">
        <f>RANK(W29, $W$27:$W$41)</f>
        <v>3</v>
      </c>
      <c r="Y29" s="435"/>
      <c r="Z29" s="221">
        <v>12</v>
      </c>
      <c r="AA29" s="221">
        <v>1376</v>
      </c>
      <c r="AB29" s="222">
        <f>AA29/Z29</f>
        <v>114.66666666666667</v>
      </c>
      <c r="AC29" s="220">
        <f>RANK(AB29, $AB$27:$AB$29)</f>
        <v>1</v>
      </c>
      <c r="AD29" s="435"/>
      <c r="AE29" s="221">
        <v>12</v>
      </c>
      <c r="AF29" s="221">
        <v>1306</v>
      </c>
      <c r="AG29" s="222">
        <f>AF29/AE29</f>
        <v>108.83333333333333</v>
      </c>
      <c r="AH29" s="220">
        <f>RANK(AG29, $AG$27:$AG$29)</f>
        <v>2</v>
      </c>
      <c r="AI29" s="435"/>
      <c r="AJ29" s="221">
        <v>12</v>
      </c>
      <c r="AK29" s="221">
        <v>1281</v>
      </c>
      <c r="AL29" s="222">
        <f>AK29/AJ29</f>
        <v>106.75</v>
      </c>
      <c r="AM29" s="220">
        <f>RANK(AL29, $AL$27:$AL$29)</f>
        <v>3</v>
      </c>
      <c r="AN29" s="435"/>
      <c r="AO29" s="221">
        <v>12</v>
      </c>
      <c r="AP29" s="221">
        <v>1374</v>
      </c>
      <c r="AQ29" s="222">
        <f>AP29/AO29</f>
        <v>114.5</v>
      </c>
      <c r="AR29" s="220">
        <f>RANK(AQ29, $AQ$27:$AQ$41)</f>
        <v>3</v>
      </c>
      <c r="AS29" s="435"/>
      <c r="AT29" s="221">
        <v>12</v>
      </c>
      <c r="AU29" s="221">
        <v>1470</v>
      </c>
      <c r="AV29" s="222">
        <f>AU29/AT29</f>
        <v>122.5</v>
      </c>
      <c r="AW29" s="220">
        <f>RANK(AV29, $AV$27:$AV$41)</f>
        <v>1</v>
      </c>
      <c r="AX29" s="435"/>
    </row>
    <row r="30" spans="2:50">
      <c r="B30" s="436"/>
      <c r="C30" s="220">
        <v>4</v>
      </c>
      <c r="D30" s="220"/>
      <c r="E30" s="221"/>
      <c r="F30" s="221"/>
      <c r="G30" s="222"/>
      <c r="H30" s="438"/>
      <c r="I30" s="221"/>
      <c r="J30" s="221"/>
      <c r="K30" s="222"/>
      <c r="L30" s="438"/>
      <c r="M30" s="223"/>
      <c r="N30" s="440"/>
      <c r="O30" s="440"/>
      <c r="P30" s="221"/>
      <c r="Q30" s="221"/>
      <c r="R30" s="220"/>
      <c r="S30" s="220"/>
      <c r="T30" s="435"/>
      <c r="U30" s="221"/>
      <c r="V30" s="221"/>
      <c r="W30" s="220"/>
      <c r="X30" s="220"/>
      <c r="Y30" s="435"/>
      <c r="Z30" s="221"/>
      <c r="AA30" s="221"/>
      <c r="AB30" s="220"/>
      <c r="AC30" s="220"/>
      <c r="AD30" s="435"/>
      <c r="AE30" s="221"/>
      <c r="AF30" s="221"/>
      <c r="AG30" s="220"/>
      <c r="AH30" s="220"/>
      <c r="AI30" s="435"/>
      <c r="AJ30" s="221"/>
      <c r="AK30" s="221"/>
      <c r="AL30" s="220"/>
      <c r="AM30" s="220"/>
      <c r="AN30" s="435"/>
      <c r="AO30" s="221"/>
      <c r="AP30" s="221"/>
      <c r="AQ30" s="220"/>
      <c r="AR30" s="220"/>
      <c r="AS30" s="435"/>
      <c r="AT30" s="221"/>
      <c r="AU30" s="221"/>
      <c r="AV30" s="220"/>
      <c r="AW30" s="220"/>
      <c r="AX30" s="435"/>
    </row>
    <row r="31" spans="2:50">
      <c r="B31" s="436"/>
      <c r="C31" s="220">
        <v>5</v>
      </c>
      <c r="D31" s="220"/>
      <c r="E31" s="221"/>
      <c r="F31" s="221"/>
      <c r="G31" s="222"/>
      <c r="H31" s="438"/>
      <c r="I31" s="221"/>
      <c r="J31" s="221"/>
      <c r="K31" s="222"/>
      <c r="L31" s="438"/>
      <c r="M31" s="223"/>
      <c r="N31" s="440"/>
      <c r="O31" s="440"/>
      <c r="P31" s="221"/>
      <c r="Q31" s="221"/>
      <c r="R31" s="220"/>
      <c r="S31" s="220"/>
      <c r="T31" s="435"/>
      <c r="U31" s="221"/>
      <c r="V31" s="221"/>
      <c r="W31" s="220"/>
      <c r="X31" s="220"/>
      <c r="Y31" s="435"/>
      <c r="Z31" s="221"/>
      <c r="AA31" s="221"/>
      <c r="AB31" s="220"/>
      <c r="AC31" s="220"/>
      <c r="AD31" s="435"/>
      <c r="AE31" s="221"/>
      <c r="AF31" s="221"/>
      <c r="AG31" s="220"/>
      <c r="AH31" s="220"/>
      <c r="AI31" s="435"/>
      <c r="AJ31" s="221"/>
      <c r="AK31" s="221"/>
      <c r="AL31" s="220"/>
      <c r="AM31" s="220"/>
      <c r="AN31" s="435"/>
      <c r="AO31" s="221"/>
      <c r="AP31" s="221"/>
      <c r="AQ31" s="220"/>
      <c r="AR31" s="220"/>
      <c r="AS31" s="435"/>
      <c r="AT31" s="221"/>
      <c r="AU31" s="221"/>
      <c r="AV31" s="220"/>
      <c r="AW31" s="220"/>
      <c r="AX31" s="435"/>
    </row>
    <row r="32" spans="2:50">
      <c r="B32" s="436"/>
      <c r="C32" s="220">
        <v>6</v>
      </c>
      <c r="D32" s="220"/>
      <c r="E32" s="221"/>
      <c r="F32" s="221"/>
      <c r="G32" s="222"/>
      <c r="H32" s="438"/>
      <c r="I32" s="221"/>
      <c r="J32" s="221"/>
      <c r="K32" s="222"/>
      <c r="L32" s="438"/>
      <c r="M32" s="223"/>
      <c r="N32" s="440"/>
      <c r="O32" s="440"/>
      <c r="P32" s="221"/>
      <c r="Q32" s="221"/>
      <c r="R32" s="220"/>
      <c r="S32" s="220"/>
      <c r="T32" s="435"/>
      <c r="U32" s="221"/>
      <c r="V32" s="221"/>
      <c r="W32" s="220"/>
      <c r="X32" s="220"/>
      <c r="Y32" s="435"/>
      <c r="Z32" s="221"/>
      <c r="AA32" s="221"/>
      <c r="AB32" s="220"/>
      <c r="AC32" s="220"/>
      <c r="AD32" s="435"/>
      <c r="AE32" s="221"/>
      <c r="AF32" s="221"/>
      <c r="AG32" s="220"/>
      <c r="AH32" s="220"/>
      <c r="AI32" s="435"/>
      <c r="AJ32" s="221"/>
      <c r="AK32" s="221"/>
      <c r="AL32" s="220"/>
      <c r="AM32" s="220"/>
      <c r="AN32" s="435"/>
      <c r="AO32" s="221"/>
      <c r="AP32" s="221"/>
      <c r="AQ32" s="220"/>
      <c r="AR32" s="220"/>
      <c r="AS32" s="435"/>
      <c r="AT32" s="221"/>
      <c r="AU32" s="221"/>
      <c r="AV32" s="220"/>
      <c r="AW32" s="220"/>
      <c r="AX32" s="435"/>
    </row>
    <row r="33" spans="2:50">
      <c r="B33" s="436"/>
      <c r="C33" s="220">
        <v>7</v>
      </c>
      <c r="D33" s="220"/>
      <c r="E33" s="221"/>
      <c r="F33" s="221"/>
      <c r="G33" s="222"/>
      <c r="H33" s="438"/>
      <c r="I33" s="221"/>
      <c r="J33" s="221"/>
      <c r="K33" s="222"/>
      <c r="L33" s="438"/>
      <c r="M33" s="223"/>
      <c r="N33" s="440"/>
      <c r="O33" s="440"/>
      <c r="P33" s="221"/>
      <c r="Q33" s="221"/>
      <c r="R33" s="220"/>
      <c r="S33" s="220"/>
      <c r="T33" s="435"/>
      <c r="U33" s="221"/>
      <c r="V33" s="221"/>
      <c r="W33" s="220"/>
      <c r="X33" s="220"/>
      <c r="Y33" s="435"/>
      <c r="Z33" s="221"/>
      <c r="AA33" s="221"/>
      <c r="AB33" s="220"/>
      <c r="AC33" s="220"/>
      <c r="AD33" s="435"/>
      <c r="AE33" s="221"/>
      <c r="AF33" s="221"/>
      <c r="AG33" s="220"/>
      <c r="AH33" s="220"/>
      <c r="AI33" s="435"/>
      <c r="AJ33" s="221"/>
      <c r="AK33" s="221"/>
      <c r="AL33" s="220"/>
      <c r="AM33" s="220"/>
      <c r="AN33" s="435"/>
      <c r="AO33" s="221"/>
      <c r="AP33" s="221"/>
      <c r="AQ33" s="220"/>
      <c r="AR33" s="220"/>
      <c r="AS33" s="435"/>
      <c r="AT33" s="221"/>
      <c r="AU33" s="221"/>
      <c r="AV33" s="220"/>
      <c r="AW33" s="220"/>
      <c r="AX33" s="435"/>
    </row>
    <row r="34" spans="2:50">
      <c r="B34" s="436"/>
      <c r="C34" s="220">
        <v>8</v>
      </c>
      <c r="D34" s="220"/>
      <c r="E34" s="220"/>
      <c r="F34" s="220"/>
      <c r="G34" s="220"/>
      <c r="H34" s="438"/>
      <c r="I34" s="221"/>
      <c r="J34" s="221"/>
      <c r="K34" s="222"/>
      <c r="L34" s="438"/>
      <c r="M34" s="223"/>
      <c r="N34" s="440"/>
      <c r="O34" s="440"/>
      <c r="P34" s="221"/>
      <c r="Q34" s="221"/>
      <c r="R34" s="220"/>
      <c r="S34" s="220"/>
      <c r="T34" s="435"/>
      <c r="U34" s="221"/>
      <c r="V34" s="221"/>
      <c r="W34" s="220"/>
      <c r="X34" s="220"/>
      <c r="Y34" s="435"/>
      <c r="Z34" s="221"/>
      <c r="AA34" s="221"/>
      <c r="AB34" s="220"/>
      <c r="AC34" s="220"/>
      <c r="AD34" s="435"/>
      <c r="AE34" s="221"/>
      <c r="AF34" s="221"/>
      <c r="AG34" s="220"/>
      <c r="AH34" s="220"/>
      <c r="AI34" s="435"/>
      <c r="AJ34" s="221"/>
      <c r="AK34" s="221"/>
      <c r="AL34" s="220"/>
      <c r="AM34" s="220"/>
      <c r="AN34" s="435"/>
      <c r="AO34" s="221"/>
      <c r="AP34" s="221"/>
      <c r="AQ34" s="220"/>
      <c r="AR34" s="220"/>
      <c r="AS34" s="435"/>
      <c r="AT34" s="221"/>
      <c r="AU34" s="221"/>
      <c r="AV34" s="220"/>
      <c r="AW34" s="220"/>
      <c r="AX34" s="435"/>
    </row>
    <row r="35" spans="2:50">
      <c r="B35" s="436"/>
      <c r="C35" s="220">
        <v>9</v>
      </c>
      <c r="D35" s="220"/>
      <c r="E35" s="220"/>
      <c r="F35" s="220"/>
      <c r="G35" s="220"/>
      <c r="H35" s="438"/>
      <c r="I35" s="221"/>
      <c r="J35" s="221"/>
      <c r="K35" s="222"/>
      <c r="L35" s="438"/>
      <c r="M35" s="223"/>
      <c r="N35" s="440"/>
      <c r="O35" s="440"/>
      <c r="P35" s="221"/>
      <c r="Q35" s="221"/>
      <c r="R35" s="220"/>
      <c r="S35" s="220"/>
      <c r="T35" s="435"/>
      <c r="U35" s="221"/>
      <c r="V35" s="221"/>
      <c r="W35" s="220"/>
      <c r="X35" s="220"/>
      <c r="Y35" s="435"/>
      <c r="Z35" s="221"/>
      <c r="AA35" s="221"/>
      <c r="AB35" s="220"/>
      <c r="AC35" s="220"/>
      <c r="AD35" s="435"/>
      <c r="AE35" s="221"/>
      <c r="AF35" s="221"/>
      <c r="AG35" s="220"/>
      <c r="AH35" s="220"/>
      <c r="AI35" s="435"/>
      <c r="AJ35" s="221"/>
      <c r="AK35" s="221"/>
      <c r="AL35" s="220"/>
      <c r="AM35" s="220"/>
      <c r="AN35" s="435"/>
      <c r="AO35" s="221"/>
      <c r="AP35" s="221"/>
      <c r="AQ35" s="220"/>
      <c r="AR35" s="220"/>
      <c r="AS35" s="435"/>
      <c r="AT35" s="221"/>
      <c r="AU35" s="221"/>
      <c r="AV35" s="220"/>
      <c r="AW35" s="220"/>
      <c r="AX35" s="435"/>
    </row>
    <row r="36" spans="2:50">
      <c r="B36" s="436"/>
      <c r="C36" s="220">
        <v>10</v>
      </c>
      <c r="D36" s="220"/>
      <c r="E36" s="220"/>
      <c r="F36" s="220"/>
      <c r="G36" s="220"/>
      <c r="H36" s="438"/>
      <c r="I36" s="221"/>
      <c r="J36" s="221"/>
      <c r="K36" s="222"/>
      <c r="L36" s="438"/>
      <c r="M36" s="223"/>
      <c r="N36" s="440"/>
      <c r="O36" s="440"/>
      <c r="P36" s="221"/>
      <c r="Q36" s="221"/>
      <c r="R36" s="220"/>
      <c r="S36" s="220"/>
      <c r="T36" s="435"/>
      <c r="U36" s="221"/>
      <c r="V36" s="221"/>
      <c r="W36" s="220"/>
      <c r="X36" s="220"/>
      <c r="Y36" s="435"/>
      <c r="Z36" s="221"/>
      <c r="AA36" s="221"/>
      <c r="AB36" s="220"/>
      <c r="AC36" s="220"/>
      <c r="AD36" s="435"/>
      <c r="AE36" s="221"/>
      <c r="AF36" s="221"/>
      <c r="AG36" s="220"/>
      <c r="AH36" s="220"/>
      <c r="AI36" s="435"/>
      <c r="AJ36" s="221"/>
      <c r="AK36" s="221"/>
      <c r="AL36" s="220"/>
      <c r="AM36" s="220"/>
      <c r="AN36" s="435"/>
      <c r="AO36" s="221"/>
      <c r="AP36" s="221"/>
      <c r="AQ36" s="220"/>
      <c r="AR36" s="220"/>
      <c r="AS36" s="435"/>
      <c r="AT36" s="221"/>
      <c r="AU36" s="221"/>
      <c r="AV36" s="220"/>
      <c r="AW36" s="220"/>
      <c r="AX36" s="435"/>
    </row>
    <row r="37" spans="2:50">
      <c r="B37" s="436"/>
      <c r="C37" s="220">
        <v>11</v>
      </c>
      <c r="D37" s="220"/>
      <c r="E37" s="220"/>
      <c r="F37" s="220"/>
      <c r="G37" s="220"/>
      <c r="H37" s="438"/>
      <c r="I37" s="221"/>
      <c r="J37" s="221"/>
      <c r="K37" s="222"/>
      <c r="L37" s="438"/>
      <c r="M37" s="223"/>
      <c r="N37" s="440"/>
      <c r="O37" s="440"/>
      <c r="P37" s="220"/>
      <c r="Q37" s="220"/>
      <c r="R37" s="220"/>
      <c r="S37" s="220"/>
      <c r="T37" s="435"/>
      <c r="U37" s="220"/>
      <c r="V37" s="220"/>
      <c r="W37" s="220"/>
      <c r="X37" s="220"/>
      <c r="Y37" s="435"/>
      <c r="Z37" s="220"/>
      <c r="AA37" s="220"/>
      <c r="AB37" s="220"/>
      <c r="AC37" s="220"/>
      <c r="AD37" s="435"/>
      <c r="AE37" s="220"/>
      <c r="AF37" s="220"/>
      <c r="AG37" s="220"/>
      <c r="AH37" s="220"/>
      <c r="AI37" s="435"/>
      <c r="AJ37" s="220"/>
      <c r="AK37" s="220"/>
      <c r="AL37" s="220"/>
      <c r="AM37" s="220"/>
      <c r="AN37" s="435"/>
      <c r="AO37" s="220"/>
      <c r="AP37" s="220"/>
      <c r="AQ37" s="220"/>
      <c r="AR37" s="220"/>
      <c r="AS37" s="435"/>
      <c r="AT37" s="220"/>
      <c r="AU37" s="220"/>
      <c r="AV37" s="220"/>
      <c r="AW37" s="220"/>
      <c r="AX37" s="435"/>
    </row>
    <row r="38" spans="2:50">
      <c r="B38" s="436"/>
      <c r="C38" s="220">
        <v>12</v>
      </c>
      <c r="D38" s="220"/>
      <c r="E38" s="220"/>
      <c r="F38" s="220"/>
      <c r="G38" s="220"/>
      <c r="H38" s="438"/>
      <c r="I38" s="221"/>
      <c r="J38" s="221"/>
      <c r="K38" s="222"/>
      <c r="L38" s="438"/>
      <c r="M38" s="223"/>
      <c r="N38" s="440"/>
      <c r="O38" s="440"/>
      <c r="P38" s="220"/>
      <c r="Q38" s="220"/>
      <c r="R38" s="220"/>
      <c r="S38" s="220"/>
      <c r="T38" s="435"/>
      <c r="U38" s="220"/>
      <c r="V38" s="220"/>
      <c r="W38" s="220"/>
      <c r="X38" s="220"/>
      <c r="Y38" s="435"/>
      <c r="Z38" s="220"/>
      <c r="AA38" s="220"/>
      <c r="AB38" s="220"/>
      <c r="AC38" s="220"/>
      <c r="AD38" s="435"/>
      <c r="AE38" s="220"/>
      <c r="AF38" s="220"/>
      <c r="AG38" s="220"/>
      <c r="AH38" s="220"/>
      <c r="AI38" s="435"/>
      <c r="AJ38" s="220"/>
      <c r="AK38" s="220"/>
      <c r="AL38" s="220"/>
      <c r="AM38" s="220"/>
      <c r="AN38" s="435"/>
      <c r="AO38" s="220"/>
      <c r="AP38" s="220"/>
      <c r="AQ38" s="220"/>
      <c r="AR38" s="220"/>
      <c r="AS38" s="435"/>
      <c r="AT38" s="220"/>
      <c r="AU38" s="220"/>
      <c r="AV38" s="220"/>
      <c r="AW38" s="220"/>
      <c r="AX38" s="435"/>
    </row>
    <row r="39" spans="2:50">
      <c r="B39" s="436"/>
      <c r="C39" s="220">
        <v>13</v>
      </c>
      <c r="D39" s="220"/>
      <c r="E39" s="220"/>
      <c r="F39" s="220"/>
      <c r="G39" s="220"/>
      <c r="H39" s="438"/>
      <c r="I39" s="221"/>
      <c r="J39" s="221"/>
      <c r="K39" s="222"/>
      <c r="L39" s="438"/>
      <c r="M39" s="223"/>
      <c r="N39" s="440"/>
      <c r="O39" s="440"/>
      <c r="P39" s="220"/>
      <c r="Q39" s="220"/>
      <c r="R39" s="220"/>
      <c r="S39" s="220"/>
      <c r="T39" s="435"/>
      <c r="U39" s="220"/>
      <c r="V39" s="220"/>
      <c r="W39" s="220"/>
      <c r="X39" s="220"/>
      <c r="Y39" s="435"/>
      <c r="Z39" s="220"/>
      <c r="AA39" s="220"/>
      <c r="AB39" s="220"/>
      <c r="AC39" s="220"/>
      <c r="AD39" s="435"/>
      <c r="AE39" s="220"/>
      <c r="AF39" s="220"/>
      <c r="AG39" s="220"/>
      <c r="AH39" s="220"/>
      <c r="AI39" s="435"/>
      <c r="AJ39" s="220"/>
      <c r="AK39" s="220"/>
      <c r="AL39" s="220"/>
      <c r="AM39" s="220"/>
      <c r="AN39" s="435"/>
      <c r="AO39" s="220"/>
      <c r="AP39" s="220"/>
      <c r="AQ39" s="220"/>
      <c r="AR39" s="220"/>
      <c r="AS39" s="435"/>
      <c r="AT39" s="220"/>
      <c r="AU39" s="220"/>
      <c r="AV39" s="220"/>
      <c r="AW39" s="220"/>
      <c r="AX39" s="435"/>
    </row>
    <row r="40" spans="2:50">
      <c r="B40" s="436"/>
      <c r="C40" s="220">
        <v>14</v>
      </c>
      <c r="D40" s="220"/>
      <c r="E40" s="220"/>
      <c r="F40" s="220"/>
      <c r="G40" s="220"/>
      <c r="H40" s="438"/>
      <c r="I40" s="221"/>
      <c r="J40" s="221"/>
      <c r="K40" s="222"/>
      <c r="L40" s="438"/>
      <c r="M40" s="223"/>
      <c r="N40" s="440"/>
      <c r="O40" s="440"/>
      <c r="P40" s="220"/>
      <c r="Q40" s="220"/>
      <c r="R40" s="220"/>
      <c r="S40" s="220"/>
      <c r="T40" s="435"/>
      <c r="U40" s="220"/>
      <c r="V40" s="220"/>
      <c r="W40" s="220"/>
      <c r="X40" s="220"/>
      <c r="Y40" s="435"/>
      <c r="Z40" s="220"/>
      <c r="AA40" s="220"/>
      <c r="AB40" s="220"/>
      <c r="AC40" s="220"/>
      <c r="AD40" s="435"/>
      <c r="AE40" s="220"/>
      <c r="AF40" s="220"/>
      <c r="AG40" s="220"/>
      <c r="AH40" s="220"/>
      <c r="AI40" s="435"/>
      <c r="AJ40" s="220"/>
      <c r="AK40" s="220"/>
      <c r="AL40" s="220"/>
      <c r="AM40" s="220"/>
      <c r="AN40" s="435"/>
      <c r="AO40" s="220"/>
      <c r="AP40" s="220"/>
      <c r="AQ40" s="220"/>
      <c r="AR40" s="220"/>
      <c r="AS40" s="435"/>
      <c r="AT40" s="220"/>
      <c r="AU40" s="220"/>
      <c r="AV40" s="220"/>
      <c r="AW40" s="220"/>
      <c r="AX40" s="435"/>
    </row>
    <row r="41" spans="2:50">
      <c r="B41" s="436"/>
      <c r="C41" s="220">
        <v>15</v>
      </c>
      <c r="D41" s="220"/>
      <c r="E41" s="220"/>
      <c r="F41" s="220"/>
      <c r="G41" s="220"/>
      <c r="H41" s="439"/>
      <c r="I41" s="221"/>
      <c r="J41" s="221"/>
      <c r="K41" s="222"/>
      <c r="L41" s="439"/>
      <c r="M41" s="221"/>
      <c r="N41" s="440"/>
      <c r="O41" s="440"/>
      <c r="P41" s="220"/>
      <c r="Q41" s="220"/>
      <c r="R41" s="220"/>
      <c r="S41" s="220"/>
      <c r="T41" s="435"/>
      <c r="U41" s="220"/>
      <c r="V41" s="220"/>
      <c r="W41" s="220"/>
      <c r="X41" s="220"/>
      <c r="Y41" s="435"/>
      <c r="Z41" s="220"/>
      <c r="AA41" s="220"/>
      <c r="AB41" s="220"/>
      <c r="AC41" s="220"/>
      <c r="AD41" s="435"/>
      <c r="AE41" s="220"/>
      <c r="AF41" s="220"/>
      <c r="AG41" s="220"/>
      <c r="AH41" s="220"/>
      <c r="AI41" s="435"/>
      <c r="AJ41" s="220"/>
      <c r="AK41" s="220"/>
      <c r="AL41" s="220"/>
      <c r="AM41" s="220"/>
      <c r="AN41" s="435"/>
      <c r="AO41" s="220"/>
      <c r="AP41" s="220"/>
      <c r="AQ41" s="220"/>
      <c r="AR41" s="220"/>
      <c r="AS41" s="435"/>
      <c r="AT41" s="220"/>
      <c r="AU41" s="220"/>
      <c r="AV41" s="220"/>
      <c r="AW41" s="220"/>
      <c r="AX41" s="435"/>
    </row>
    <row r="42" spans="2:50" ht="15.75">
      <c r="B42" s="455" t="s">
        <v>44</v>
      </c>
      <c r="C42" s="456"/>
      <c r="D42" s="456"/>
      <c r="E42" s="456"/>
      <c r="F42" s="456"/>
      <c r="G42" s="456"/>
      <c r="H42" s="456"/>
      <c r="I42" s="225"/>
      <c r="J42" s="214"/>
      <c r="K42" s="225"/>
      <c r="L42" s="225"/>
      <c r="M42" s="215"/>
      <c r="N42" s="449" t="s">
        <v>45</v>
      </c>
      <c r="O42" s="449" t="s">
        <v>3</v>
      </c>
      <c r="P42" s="444">
        <v>45972</v>
      </c>
      <c r="Q42" s="436"/>
      <c r="R42" s="436"/>
      <c r="S42" s="436"/>
      <c r="T42" s="436"/>
      <c r="U42" s="444">
        <v>45973</v>
      </c>
      <c r="V42" s="436"/>
      <c r="W42" s="436"/>
      <c r="X42" s="436"/>
      <c r="Y42" s="436"/>
      <c r="Z42" s="444">
        <v>45974</v>
      </c>
      <c r="AA42" s="436"/>
      <c r="AB42" s="436"/>
      <c r="AC42" s="436"/>
      <c r="AD42" s="436"/>
      <c r="AE42" s="444">
        <v>45975</v>
      </c>
      <c r="AF42" s="436"/>
      <c r="AG42" s="436"/>
      <c r="AH42" s="436"/>
      <c r="AI42" s="436"/>
      <c r="AJ42" s="444">
        <v>45976</v>
      </c>
      <c r="AK42" s="436"/>
      <c r="AL42" s="436"/>
      <c r="AM42" s="436"/>
      <c r="AN42" s="436"/>
      <c r="AO42" s="444">
        <v>45977</v>
      </c>
      <c r="AP42" s="436"/>
      <c r="AQ42" s="436"/>
      <c r="AR42" s="436"/>
      <c r="AS42" s="436"/>
      <c r="AT42" s="444">
        <v>45978</v>
      </c>
      <c r="AU42" s="436"/>
      <c r="AV42" s="436"/>
      <c r="AW42" s="436"/>
      <c r="AX42" s="436"/>
    </row>
    <row r="43" spans="2:50" ht="15.75">
      <c r="B43" s="454"/>
      <c r="C43" s="454"/>
      <c r="D43" s="454"/>
      <c r="E43" s="454"/>
      <c r="F43" s="454"/>
      <c r="G43" s="454"/>
      <c r="H43" s="454"/>
      <c r="I43" s="216"/>
      <c r="J43" s="216"/>
      <c r="K43" s="216"/>
      <c r="L43" s="216"/>
      <c r="M43" s="217"/>
      <c r="N43" s="451"/>
      <c r="O43" s="451"/>
      <c r="P43" s="444" t="s">
        <v>16</v>
      </c>
      <c r="Q43" s="436"/>
      <c r="R43" s="436"/>
      <c r="S43" s="436"/>
      <c r="T43" s="436"/>
      <c r="U43" s="444" t="s">
        <v>17</v>
      </c>
      <c r="V43" s="436"/>
      <c r="W43" s="436"/>
      <c r="X43" s="436"/>
      <c r="Y43" s="436"/>
      <c r="Z43" s="444" t="s">
        <v>18</v>
      </c>
      <c r="AA43" s="436"/>
      <c r="AB43" s="436"/>
      <c r="AC43" s="436"/>
      <c r="AD43" s="436"/>
      <c r="AE43" s="444" t="s">
        <v>19</v>
      </c>
      <c r="AF43" s="436"/>
      <c r="AG43" s="436"/>
      <c r="AH43" s="436"/>
      <c r="AI43" s="436"/>
      <c r="AJ43" s="444" t="s">
        <v>14</v>
      </c>
      <c r="AK43" s="436"/>
      <c r="AL43" s="436"/>
      <c r="AM43" s="436"/>
      <c r="AN43" s="436"/>
      <c r="AO43" s="444" t="s">
        <v>10</v>
      </c>
      <c r="AP43" s="436"/>
      <c r="AQ43" s="436"/>
      <c r="AR43" s="436"/>
      <c r="AS43" s="436"/>
      <c r="AT43" s="444" t="s">
        <v>15</v>
      </c>
      <c r="AU43" s="436"/>
      <c r="AV43" s="436"/>
      <c r="AW43" s="436"/>
      <c r="AX43" s="436"/>
    </row>
    <row r="44" spans="2:50">
      <c r="B44" s="440" t="s">
        <v>46</v>
      </c>
      <c r="C44" s="440" t="s">
        <v>47</v>
      </c>
      <c r="D44" s="440"/>
      <c r="E44" s="440" t="s">
        <v>48</v>
      </c>
      <c r="F44" s="440"/>
      <c r="G44" s="440"/>
      <c r="H44" s="446" t="s">
        <v>49</v>
      </c>
      <c r="I44" s="440" t="s">
        <v>50</v>
      </c>
      <c r="J44" s="440"/>
      <c r="K44" s="440"/>
      <c r="L44" s="446" t="s">
        <v>49</v>
      </c>
      <c r="M44" s="449" t="s">
        <v>51</v>
      </c>
      <c r="N44" s="440"/>
      <c r="O44" s="440" t="s">
        <v>52</v>
      </c>
      <c r="P44" s="441" t="s">
        <v>53</v>
      </c>
      <c r="Q44" s="442"/>
      <c r="R44" s="442"/>
      <c r="S44" s="443"/>
      <c r="T44" s="440" t="s">
        <v>49</v>
      </c>
      <c r="U44" s="441" t="s">
        <v>53</v>
      </c>
      <c r="V44" s="442"/>
      <c r="W44" s="442"/>
      <c r="X44" s="443"/>
      <c r="Y44" s="440" t="s">
        <v>49</v>
      </c>
      <c r="Z44" s="441" t="s">
        <v>53</v>
      </c>
      <c r="AA44" s="442"/>
      <c r="AB44" s="442"/>
      <c r="AC44" s="443"/>
      <c r="AD44" s="440" t="s">
        <v>49</v>
      </c>
      <c r="AE44" s="441" t="s">
        <v>53</v>
      </c>
      <c r="AF44" s="442"/>
      <c r="AG44" s="442"/>
      <c r="AH44" s="443"/>
      <c r="AI44" s="440" t="s">
        <v>49</v>
      </c>
      <c r="AJ44" s="441" t="s">
        <v>53</v>
      </c>
      <c r="AK44" s="442"/>
      <c r="AL44" s="442"/>
      <c r="AM44" s="443"/>
      <c r="AN44" s="440" t="s">
        <v>49</v>
      </c>
      <c r="AO44" s="441" t="s">
        <v>53</v>
      </c>
      <c r="AP44" s="442"/>
      <c r="AQ44" s="442"/>
      <c r="AR44" s="443"/>
      <c r="AS44" s="440" t="s">
        <v>49</v>
      </c>
      <c r="AT44" s="441" t="s">
        <v>53</v>
      </c>
      <c r="AU44" s="442"/>
      <c r="AV44" s="442"/>
      <c r="AW44" s="443"/>
      <c r="AX44" s="440" t="s">
        <v>49</v>
      </c>
    </row>
    <row r="45" spans="2:50">
      <c r="B45" s="440"/>
      <c r="C45" s="440"/>
      <c r="D45" s="440"/>
      <c r="E45" s="440" t="s">
        <v>54</v>
      </c>
      <c r="F45" s="440"/>
      <c r="G45" s="440"/>
      <c r="H45" s="447"/>
      <c r="I45" s="440" t="s">
        <v>54</v>
      </c>
      <c r="J45" s="440"/>
      <c r="K45" s="440"/>
      <c r="L45" s="447"/>
      <c r="M45" s="450"/>
      <c r="N45" s="440"/>
      <c r="O45" s="440"/>
      <c r="P45" s="441" t="s">
        <v>55</v>
      </c>
      <c r="Q45" s="442"/>
      <c r="R45" s="442"/>
      <c r="S45" s="443"/>
      <c r="T45" s="440"/>
      <c r="U45" s="441" t="s">
        <v>55</v>
      </c>
      <c r="V45" s="442"/>
      <c r="W45" s="442"/>
      <c r="X45" s="443"/>
      <c r="Y45" s="440"/>
      <c r="Z45" s="441" t="s">
        <v>55</v>
      </c>
      <c r="AA45" s="442"/>
      <c r="AB45" s="442"/>
      <c r="AC45" s="443"/>
      <c r="AD45" s="440"/>
      <c r="AE45" s="441" t="s">
        <v>55</v>
      </c>
      <c r="AF45" s="442"/>
      <c r="AG45" s="442"/>
      <c r="AH45" s="443"/>
      <c r="AI45" s="440"/>
      <c r="AJ45" s="441" t="s">
        <v>55</v>
      </c>
      <c r="AK45" s="442"/>
      <c r="AL45" s="442"/>
      <c r="AM45" s="443"/>
      <c r="AN45" s="440"/>
      <c r="AO45" s="441" t="s">
        <v>55</v>
      </c>
      <c r="AP45" s="442"/>
      <c r="AQ45" s="442"/>
      <c r="AR45" s="443"/>
      <c r="AS45" s="440"/>
      <c r="AT45" s="441" t="s">
        <v>55</v>
      </c>
      <c r="AU45" s="442"/>
      <c r="AV45" s="442"/>
      <c r="AW45" s="443"/>
      <c r="AX45" s="440"/>
    </row>
    <row r="46" spans="2:50">
      <c r="B46" s="440"/>
      <c r="C46" s="440"/>
      <c r="D46" s="440"/>
      <c r="E46" s="219" t="s">
        <v>56</v>
      </c>
      <c r="F46" s="219" t="s">
        <v>57</v>
      </c>
      <c r="G46" s="219" t="s">
        <v>58</v>
      </c>
      <c r="H46" s="448"/>
      <c r="I46" s="219" t="s">
        <v>56</v>
      </c>
      <c r="J46" s="219" t="s">
        <v>57</v>
      </c>
      <c r="K46" s="219" t="s">
        <v>58</v>
      </c>
      <c r="L46" s="448"/>
      <c r="M46" s="451"/>
      <c r="N46" s="440"/>
      <c r="O46" s="440"/>
      <c r="P46" s="219" t="s">
        <v>56</v>
      </c>
      <c r="Q46" s="219" t="s">
        <v>57</v>
      </c>
      <c r="R46" s="219" t="s">
        <v>58</v>
      </c>
      <c r="S46" s="219" t="s">
        <v>51</v>
      </c>
      <c r="T46" s="440"/>
      <c r="U46" s="219" t="s">
        <v>56</v>
      </c>
      <c r="V46" s="219" t="s">
        <v>57</v>
      </c>
      <c r="W46" s="219" t="s">
        <v>58</v>
      </c>
      <c r="X46" s="219" t="s">
        <v>51</v>
      </c>
      <c r="Y46" s="440"/>
      <c r="Z46" s="219" t="s">
        <v>56</v>
      </c>
      <c r="AA46" s="219" t="s">
        <v>57</v>
      </c>
      <c r="AB46" s="219" t="s">
        <v>58</v>
      </c>
      <c r="AC46" s="219" t="s">
        <v>51</v>
      </c>
      <c r="AD46" s="440"/>
      <c r="AE46" s="219" t="s">
        <v>56</v>
      </c>
      <c r="AF46" s="219" t="s">
        <v>57</v>
      </c>
      <c r="AG46" s="219" t="s">
        <v>58</v>
      </c>
      <c r="AH46" s="219" t="s">
        <v>51</v>
      </c>
      <c r="AI46" s="440"/>
      <c r="AJ46" s="219" t="s">
        <v>56</v>
      </c>
      <c r="AK46" s="219" t="s">
        <v>57</v>
      </c>
      <c r="AL46" s="219" t="s">
        <v>58</v>
      </c>
      <c r="AM46" s="219" t="s">
        <v>51</v>
      </c>
      <c r="AN46" s="440"/>
      <c r="AO46" s="219" t="s">
        <v>56</v>
      </c>
      <c r="AP46" s="219" t="s">
        <v>57</v>
      </c>
      <c r="AQ46" s="219" t="s">
        <v>58</v>
      </c>
      <c r="AR46" s="219" t="s">
        <v>51</v>
      </c>
      <c r="AS46" s="440"/>
      <c r="AT46" s="219" t="s">
        <v>56</v>
      </c>
      <c r="AU46" s="219" t="s">
        <v>57</v>
      </c>
      <c r="AV46" s="219" t="s">
        <v>58</v>
      </c>
      <c r="AW46" s="219" t="s">
        <v>51</v>
      </c>
      <c r="AX46" s="440"/>
    </row>
    <row r="47" spans="2:50">
      <c r="B47" s="440" t="s">
        <v>35</v>
      </c>
      <c r="C47" s="220">
        <v>1</v>
      </c>
      <c r="D47" s="220" t="s">
        <v>61</v>
      </c>
      <c r="E47" s="221">
        <f>VLOOKUP(D47,'11產線配置圖'!$A$2:$C$30,2,0)</f>
        <v>13</v>
      </c>
      <c r="F47" s="221">
        <f>VLOOKUP(D47,'11產線配置圖'!$A$2:$C$30,3,0)</f>
        <v>1565</v>
      </c>
      <c r="G47" s="222">
        <f>F47/E47</f>
        <v>120.38461538461539</v>
      </c>
      <c r="H47" s="437">
        <f>AVERAGE(G47:G61)</f>
        <v>127.07264957264958</v>
      </c>
      <c r="I47" s="221">
        <f>AVERAGE(P47,U47,Z47,AE47,AJ47,AO47,AT47)</f>
        <v>13</v>
      </c>
      <c r="J47" s="221">
        <f>AVERAGE(Q47,V47,AA47,AF47,AK47,AP47,AU47)</f>
        <v>1467.1428571428571</v>
      </c>
      <c r="K47" s="222">
        <f>AVERAGE(R47,W47,AB47,AG47,AL47,AQ47,AV47)</f>
        <v>112.85714285714286</v>
      </c>
      <c r="L47" s="437">
        <f>IFERROR(AVERAGE(K47:K61),"-")</f>
        <v>113.24206349206349</v>
      </c>
      <c r="M47" s="221">
        <f>RANK(K47, K$47:$K$61)</f>
        <v>2</v>
      </c>
      <c r="N47" s="440"/>
      <c r="O47" s="440"/>
      <c r="P47" s="221">
        <v>13</v>
      </c>
      <c r="Q47" s="221">
        <v>1457</v>
      </c>
      <c r="R47" s="222">
        <f>Q47/P47</f>
        <v>112.07692307692308</v>
      </c>
      <c r="S47" s="220">
        <f>RANK(R47, $R$47:$R$49)</f>
        <v>3</v>
      </c>
      <c r="T47" s="435">
        <f>AVERAGE(R47:R61)</f>
        <v>116.02564102564104</v>
      </c>
      <c r="U47" s="221">
        <v>13</v>
      </c>
      <c r="V47" s="221">
        <v>1534</v>
      </c>
      <c r="W47" s="222">
        <f>V47/U47</f>
        <v>118</v>
      </c>
      <c r="X47" s="220">
        <f>RANK(W47, $W$47:$W$49)</f>
        <v>2</v>
      </c>
      <c r="Y47" s="435">
        <f>AVERAGE(W47:W61)</f>
        <v>116.05555555555556</v>
      </c>
      <c r="Z47" s="221">
        <v>13</v>
      </c>
      <c r="AA47" s="221">
        <v>1421</v>
      </c>
      <c r="AB47" s="222">
        <f>AA47/Z47</f>
        <v>109.30769230769231</v>
      </c>
      <c r="AC47" s="220">
        <f>RANK(AB47, $AB$47:$AB$49)</f>
        <v>1</v>
      </c>
      <c r="AD47" s="435">
        <f>AVERAGE(AB47:AB61)</f>
        <v>107.32478632478632</v>
      </c>
      <c r="AE47" s="221">
        <v>13</v>
      </c>
      <c r="AF47" s="221">
        <v>1469</v>
      </c>
      <c r="AG47" s="222">
        <f>AF47/AE47</f>
        <v>113</v>
      </c>
      <c r="AH47" s="220">
        <f>RANK(AG47,$AG$47:$AG$49)</f>
        <v>2</v>
      </c>
      <c r="AI47" s="435">
        <f>AVERAGE(AG47:AG61)</f>
        <v>112.44444444444446</v>
      </c>
      <c r="AJ47" s="221">
        <v>13</v>
      </c>
      <c r="AK47" s="221">
        <v>1554</v>
      </c>
      <c r="AL47" s="222">
        <f>AK47/AJ47</f>
        <v>119.53846153846153</v>
      </c>
      <c r="AM47" s="220">
        <f>RANK(AL47, $AL$47:$AL$49)</f>
        <v>1</v>
      </c>
      <c r="AN47" s="435">
        <f>AVERAGE(AL47:AL61)</f>
        <v>118.17948717948718</v>
      </c>
      <c r="AO47" s="221">
        <v>13</v>
      </c>
      <c r="AP47" s="221">
        <v>1419</v>
      </c>
      <c r="AQ47" s="222">
        <f>AP47/AO47</f>
        <v>109.15384615384616</v>
      </c>
      <c r="AR47" s="220">
        <f>RANK(AQ47,$AQ$47:$AQ$49)</f>
        <v>3</v>
      </c>
      <c r="AS47" s="435">
        <f>AVERAGE(AQ47:AQ61)</f>
        <v>115.57905982905983</v>
      </c>
      <c r="AT47" s="235">
        <v>13</v>
      </c>
      <c r="AU47" s="235">
        <v>1416</v>
      </c>
      <c r="AV47" s="222">
        <f>AU47/AT47</f>
        <v>108.92307692307692</v>
      </c>
      <c r="AW47" s="220">
        <f>RANK(AV47,$AV$47:$AV$49)</f>
        <v>1</v>
      </c>
      <c r="AX47" s="435">
        <f>AVERAGE(AV47:AV61)</f>
        <v>107.08547008547009</v>
      </c>
    </row>
    <row r="48" spans="2:50">
      <c r="B48" s="436"/>
      <c r="C48" s="220">
        <v>2</v>
      </c>
      <c r="D48" s="220" t="s">
        <v>62</v>
      </c>
      <c r="E48" s="221">
        <f>VLOOKUP(D48,'11產線配置圖'!$A$2:$C$30,2,0)</f>
        <v>12</v>
      </c>
      <c r="F48" s="221">
        <f>VLOOKUP(D48,'11產線配置圖'!$A$2:$C$30,3,0)</f>
        <v>1565</v>
      </c>
      <c r="G48" s="222">
        <f>F48/E48</f>
        <v>130.41666666666666</v>
      </c>
      <c r="H48" s="438"/>
      <c r="I48" s="221">
        <f t="shared" ref="I48:K49" si="4">AVERAGE(P48,U48,Z48,AE48,AJ48,AO48,AT48)</f>
        <v>12</v>
      </c>
      <c r="J48" s="221">
        <f t="shared" si="4"/>
        <v>1405.8571428571429</v>
      </c>
      <c r="K48" s="222">
        <f t="shared" si="4"/>
        <v>117.1547619047619</v>
      </c>
      <c r="L48" s="438"/>
      <c r="M48" s="221">
        <f>RANK(K48, K$47:$K$61)</f>
        <v>1</v>
      </c>
      <c r="N48" s="440"/>
      <c r="O48" s="440"/>
      <c r="P48" s="221">
        <v>12</v>
      </c>
      <c r="Q48" s="221">
        <v>1411</v>
      </c>
      <c r="R48" s="222">
        <f>Q48/P48</f>
        <v>117.58333333333333</v>
      </c>
      <c r="S48" s="220">
        <f>RANK(R48, $R$47:$R$49)</f>
        <v>2</v>
      </c>
      <c r="T48" s="435"/>
      <c r="U48" s="221">
        <v>12</v>
      </c>
      <c r="V48" s="221">
        <v>1488</v>
      </c>
      <c r="W48" s="222">
        <f>V48/U48</f>
        <v>124</v>
      </c>
      <c r="X48" s="220">
        <f>RANK(W48, $W$47:$W$49)</f>
        <v>1</v>
      </c>
      <c r="Y48" s="435"/>
      <c r="Z48" s="221">
        <v>12</v>
      </c>
      <c r="AA48" s="221">
        <v>1270</v>
      </c>
      <c r="AB48" s="222">
        <f>AA48/Z48</f>
        <v>105.83333333333333</v>
      </c>
      <c r="AC48" s="220">
        <f>RANK(AB48, $AB$47:$AB$49)</f>
        <v>3</v>
      </c>
      <c r="AD48" s="435"/>
      <c r="AE48" s="221">
        <v>12</v>
      </c>
      <c r="AF48" s="221">
        <v>1415</v>
      </c>
      <c r="AG48" s="222">
        <f>AF48/AE48</f>
        <v>117.91666666666667</v>
      </c>
      <c r="AH48" s="220">
        <f>RANK(AG48,$AG$47:$AG$49)</f>
        <v>1</v>
      </c>
      <c r="AI48" s="435"/>
      <c r="AJ48" s="221">
        <v>12</v>
      </c>
      <c r="AK48" s="221">
        <v>1431</v>
      </c>
      <c r="AL48" s="222">
        <f>AK48/AJ48</f>
        <v>119.25</v>
      </c>
      <c r="AM48" s="220">
        <f>RANK(AL48, $AL$47:$AL$49)</f>
        <v>2</v>
      </c>
      <c r="AN48" s="435"/>
      <c r="AO48" s="221">
        <v>12</v>
      </c>
      <c r="AP48" s="221">
        <v>1534</v>
      </c>
      <c r="AQ48" s="222">
        <f>AP48/AO48</f>
        <v>127.83333333333333</v>
      </c>
      <c r="AR48" s="220">
        <f>RANK(AQ48,$AQ$47:$AQ$49)</f>
        <v>1</v>
      </c>
      <c r="AS48" s="435"/>
      <c r="AT48" s="235">
        <v>12</v>
      </c>
      <c r="AU48" s="235">
        <v>1292</v>
      </c>
      <c r="AV48" s="222">
        <f>AU48/AT48</f>
        <v>107.66666666666667</v>
      </c>
      <c r="AW48" s="220">
        <f>RANK(AV48,$AV$47:$AV$49)</f>
        <v>2</v>
      </c>
      <c r="AX48" s="435"/>
    </row>
    <row r="49" spans="2:50">
      <c r="B49" s="436"/>
      <c r="C49" s="220">
        <v>3</v>
      </c>
      <c r="D49" s="220" t="s">
        <v>63</v>
      </c>
      <c r="E49" s="221">
        <f>VLOOKUP(D49,'11產線配置圖'!$A$2:$C$30,2,0)</f>
        <v>12</v>
      </c>
      <c r="F49" s="221">
        <f>VLOOKUP(D49,'11產線配置圖'!$A$2:$C$30,3,0)</f>
        <v>1565</v>
      </c>
      <c r="G49" s="222">
        <f>F49/E49</f>
        <v>130.41666666666666</v>
      </c>
      <c r="H49" s="438"/>
      <c r="I49" s="221">
        <f t="shared" si="4"/>
        <v>12</v>
      </c>
      <c r="J49" s="221">
        <f t="shared" si="4"/>
        <v>1316.5714285714287</v>
      </c>
      <c r="K49" s="222">
        <f t="shared" si="4"/>
        <v>109.71428571428571</v>
      </c>
      <c r="L49" s="438"/>
      <c r="M49" s="221">
        <f>RANK(K49, K$47:$K$61)</f>
        <v>3</v>
      </c>
      <c r="N49" s="440"/>
      <c r="O49" s="440"/>
      <c r="P49" s="221">
        <v>12</v>
      </c>
      <c r="Q49" s="221">
        <v>1421</v>
      </c>
      <c r="R49" s="222">
        <f>Q49/P49</f>
        <v>118.41666666666667</v>
      </c>
      <c r="S49" s="220">
        <f>RANK(R49, $R$47:$R$49)</f>
        <v>1</v>
      </c>
      <c r="T49" s="435"/>
      <c r="U49" s="221">
        <v>12</v>
      </c>
      <c r="V49" s="221">
        <v>1274</v>
      </c>
      <c r="W49" s="222">
        <f>V49/U49</f>
        <v>106.16666666666667</v>
      </c>
      <c r="X49" s="220">
        <f>RANK(W49, $W$47:$W$49)</f>
        <v>3</v>
      </c>
      <c r="Y49" s="435"/>
      <c r="Z49" s="221">
        <v>12</v>
      </c>
      <c r="AA49" s="221">
        <v>1282</v>
      </c>
      <c r="AB49" s="222">
        <f>AA49/Z49</f>
        <v>106.83333333333333</v>
      </c>
      <c r="AC49" s="220">
        <f>RANK(AB49, $AB$47:$AB$49)</f>
        <v>2</v>
      </c>
      <c r="AD49" s="435"/>
      <c r="AE49" s="221">
        <v>12</v>
      </c>
      <c r="AF49" s="221">
        <v>1277</v>
      </c>
      <c r="AG49" s="222">
        <f>AF49/AE49</f>
        <v>106.41666666666667</v>
      </c>
      <c r="AH49" s="220">
        <f>RANK(AG49,$AG$47:$AG$49)</f>
        <v>3</v>
      </c>
      <c r="AI49" s="435"/>
      <c r="AJ49" s="221">
        <v>12</v>
      </c>
      <c r="AK49" s="221">
        <v>1389</v>
      </c>
      <c r="AL49" s="222">
        <f>AK49/AJ49</f>
        <v>115.75</v>
      </c>
      <c r="AM49" s="220">
        <f>RANK(AL49, $AL$47:$AL$49)</f>
        <v>3</v>
      </c>
      <c r="AN49" s="435"/>
      <c r="AO49" s="221">
        <v>12</v>
      </c>
      <c r="AP49" s="221">
        <v>1317</v>
      </c>
      <c r="AQ49" s="222">
        <f>AP49/AO49</f>
        <v>109.75</v>
      </c>
      <c r="AR49" s="220">
        <f>RANK(AQ49,$AQ$47:$AQ$49)</f>
        <v>2</v>
      </c>
      <c r="AS49" s="435"/>
      <c r="AT49" s="235">
        <v>12</v>
      </c>
      <c r="AU49" s="235">
        <v>1256</v>
      </c>
      <c r="AV49" s="222">
        <f>AU49/AT49</f>
        <v>104.66666666666667</v>
      </c>
      <c r="AW49" s="220">
        <f>RANK(AV49,$AV$47:$AV$49)</f>
        <v>3</v>
      </c>
      <c r="AX49" s="435"/>
    </row>
    <row r="50" spans="2:50">
      <c r="B50" s="436"/>
      <c r="C50" s="220">
        <v>4</v>
      </c>
      <c r="D50" s="220"/>
      <c r="E50" s="221"/>
      <c r="F50" s="221"/>
      <c r="G50" s="222"/>
      <c r="H50" s="438"/>
      <c r="I50" s="221"/>
      <c r="J50" s="221"/>
      <c r="K50" s="222"/>
      <c r="L50" s="438"/>
      <c r="M50" s="221"/>
      <c r="N50" s="440"/>
      <c r="O50" s="440"/>
      <c r="P50" s="221"/>
      <c r="Q50" s="221"/>
      <c r="R50" s="220"/>
      <c r="S50" s="220"/>
      <c r="T50" s="435"/>
      <c r="U50" s="221"/>
      <c r="V50" s="221"/>
      <c r="W50" s="220"/>
      <c r="X50" s="220"/>
      <c r="Y50" s="435"/>
      <c r="Z50" s="221"/>
      <c r="AA50" s="221"/>
      <c r="AB50" s="220"/>
      <c r="AC50" s="220"/>
      <c r="AD50" s="435"/>
      <c r="AE50" s="221"/>
      <c r="AF50" s="221"/>
      <c r="AG50" s="220"/>
      <c r="AH50" s="220"/>
      <c r="AI50" s="435"/>
      <c r="AJ50" s="221"/>
      <c r="AK50" s="221"/>
      <c r="AL50" s="220"/>
      <c r="AM50" s="220"/>
      <c r="AN50" s="435"/>
      <c r="AO50" s="221"/>
      <c r="AP50" s="221"/>
      <c r="AQ50" s="220"/>
      <c r="AR50" s="220"/>
      <c r="AS50" s="435"/>
      <c r="AT50" s="221"/>
      <c r="AU50" s="221"/>
      <c r="AV50" s="220"/>
      <c r="AW50" s="220"/>
      <c r="AX50" s="435"/>
    </row>
    <row r="51" spans="2:50">
      <c r="B51" s="436"/>
      <c r="C51" s="220">
        <v>5</v>
      </c>
      <c r="D51" s="220"/>
      <c r="E51" s="221"/>
      <c r="F51" s="221"/>
      <c r="G51" s="222"/>
      <c r="H51" s="438"/>
      <c r="I51" s="221"/>
      <c r="J51" s="221"/>
      <c r="K51" s="222"/>
      <c r="L51" s="438"/>
      <c r="M51" s="221"/>
      <c r="N51" s="440"/>
      <c r="O51" s="440"/>
      <c r="P51" s="221"/>
      <c r="Q51" s="221"/>
      <c r="R51" s="220"/>
      <c r="S51" s="220"/>
      <c r="T51" s="435"/>
      <c r="U51" s="221"/>
      <c r="V51" s="221"/>
      <c r="W51" s="220"/>
      <c r="X51" s="220"/>
      <c r="Y51" s="435"/>
      <c r="Z51" s="221"/>
      <c r="AA51" s="221"/>
      <c r="AB51" s="220"/>
      <c r="AC51" s="220"/>
      <c r="AD51" s="435"/>
      <c r="AE51" s="221"/>
      <c r="AF51" s="221"/>
      <c r="AG51" s="220"/>
      <c r="AH51" s="220"/>
      <c r="AI51" s="435"/>
      <c r="AJ51" s="221"/>
      <c r="AK51" s="221"/>
      <c r="AL51" s="220"/>
      <c r="AM51" s="220"/>
      <c r="AN51" s="435"/>
      <c r="AO51" s="221"/>
      <c r="AP51" s="221"/>
      <c r="AQ51" s="220"/>
      <c r="AR51" s="220"/>
      <c r="AS51" s="435"/>
      <c r="AT51" s="221"/>
      <c r="AU51" s="221"/>
      <c r="AV51" s="220"/>
      <c r="AW51" s="220"/>
      <c r="AX51" s="435"/>
    </row>
    <row r="52" spans="2:50">
      <c r="B52" s="436"/>
      <c r="C52" s="220">
        <v>6</v>
      </c>
      <c r="D52" s="220"/>
      <c r="E52" s="221"/>
      <c r="F52" s="221"/>
      <c r="G52" s="222"/>
      <c r="H52" s="438"/>
      <c r="I52" s="221"/>
      <c r="J52" s="221"/>
      <c r="K52" s="222"/>
      <c r="L52" s="438"/>
      <c r="M52" s="221"/>
      <c r="N52" s="440"/>
      <c r="O52" s="440"/>
      <c r="P52" s="221"/>
      <c r="Q52" s="221"/>
      <c r="R52" s="220"/>
      <c r="S52" s="220"/>
      <c r="T52" s="435"/>
      <c r="U52" s="221"/>
      <c r="V52" s="221"/>
      <c r="W52" s="220"/>
      <c r="X52" s="220"/>
      <c r="Y52" s="435"/>
      <c r="Z52" s="221"/>
      <c r="AA52" s="221"/>
      <c r="AB52" s="220"/>
      <c r="AC52" s="220"/>
      <c r="AD52" s="435"/>
      <c r="AE52" s="221"/>
      <c r="AF52" s="221"/>
      <c r="AG52" s="220"/>
      <c r="AH52" s="220"/>
      <c r="AI52" s="435"/>
      <c r="AJ52" s="221"/>
      <c r="AK52" s="221"/>
      <c r="AL52" s="220"/>
      <c r="AM52" s="220"/>
      <c r="AN52" s="435"/>
      <c r="AO52" s="221"/>
      <c r="AP52" s="221"/>
      <c r="AQ52" s="220"/>
      <c r="AR52" s="220"/>
      <c r="AS52" s="435"/>
      <c r="AT52" s="221"/>
      <c r="AU52" s="221"/>
      <c r="AV52" s="220"/>
      <c r="AW52" s="220"/>
      <c r="AX52" s="435"/>
    </row>
    <row r="53" spans="2:50">
      <c r="B53" s="436"/>
      <c r="C53" s="220">
        <v>7</v>
      </c>
      <c r="D53" s="220"/>
      <c r="E53" s="221"/>
      <c r="F53" s="221"/>
      <c r="G53" s="222"/>
      <c r="H53" s="438"/>
      <c r="I53" s="221"/>
      <c r="J53" s="221"/>
      <c r="K53" s="222"/>
      <c r="L53" s="438"/>
      <c r="M53" s="221"/>
      <c r="N53" s="440"/>
      <c r="O53" s="440"/>
      <c r="P53" s="221"/>
      <c r="Q53" s="221"/>
      <c r="R53" s="220"/>
      <c r="S53" s="220"/>
      <c r="T53" s="435"/>
      <c r="U53" s="221"/>
      <c r="V53" s="221"/>
      <c r="W53" s="220"/>
      <c r="X53" s="220"/>
      <c r="Y53" s="435"/>
      <c r="Z53" s="221"/>
      <c r="AA53" s="221"/>
      <c r="AB53" s="220"/>
      <c r="AC53" s="220"/>
      <c r="AD53" s="435"/>
      <c r="AE53" s="221"/>
      <c r="AF53" s="221"/>
      <c r="AG53" s="220"/>
      <c r="AH53" s="220"/>
      <c r="AI53" s="435"/>
      <c r="AJ53" s="221"/>
      <c r="AK53" s="221"/>
      <c r="AL53" s="220"/>
      <c r="AM53" s="220"/>
      <c r="AN53" s="435"/>
      <c r="AO53" s="221"/>
      <c r="AP53" s="221"/>
      <c r="AQ53" s="220"/>
      <c r="AR53" s="220"/>
      <c r="AS53" s="435"/>
      <c r="AT53" s="221"/>
      <c r="AU53" s="221"/>
      <c r="AV53" s="220"/>
      <c r="AW53" s="220"/>
      <c r="AX53" s="435"/>
    </row>
    <row r="54" spans="2:50">
      <c r="B54" s="436"/>
      <c r="C54" s="220">
        <v>8</v>
      </c>
      <c r="D54" s="220"/>
      <c r="E54" s="220"/>
      <c r="F54" s="220"/>
      <c r="G54" s="220"/>
      <c r="H54" s="438"/>
      <c r="I54" s="221"/>
      <c r="J54" s="221"/>
      <c r="K54" s="222"/>
      <c r="L54" s="438"/>
      <c r="M54" s="221"/>
      <c r="N54" s="440"/>
      <c r="O54" s="440"/>
      <c r="P54" s="221"/>
      <c r="Q54" s="221"/>
      <c r="R54" s="220"/>
      <c r="S54" s="220"/>
      <c r="T54" s="435"/>
      <c r="U54" s="221"/>
      <c r="V54" s="221"/>
      <c r="W54" s="220"/>
      <c r="X54" s="220"/>
      <c r="Y54" s="435"/>
      <c r="Z54" s="221"/>
      <c r="AA54" s="221"/>
      <c r="AB54" s="220"/>
      <c r="AC54" s="220"/>
      <c r="AD54" s="435"/>
      <c r="AE54" s="221"/>
      <c r="AF54" s="221"/>
      <c r="AG54" s="220"/>
      <c r="AH54" s="220"/>
      <c r="AI54" s="435"/>
      <c r="AJ54" s="221"/>
      <c r="AK54" s="221"/>
      <c r="AL54" s="220"/>
      <c r="AM54" s="220"/>
      <c r="AN54" s="435"/>
      <c r="AO54" s="221"/>
      <c r="AP54" s="221"/>
      <c r="AQ54" s="220"/>
      <c r="AR54" s="220"/>
      <c r="AS54" s="435"/>
      <c r="AT54" s="221"/>
      <c r="AU54" s="221"/>
      <c r="AV54" s="220"/>
      <c r="AW54" s="220"/>
      <c r="AX54" s="435"/>
    </row>
    <row r="55" spans="2:50">
      <c r="B55" s="436"/>
      <c r="C55" s="220">
        <v>9</v>
      </c>
      <c r="D55" s="220"/>
      <c r="E55" s="220"/>
      <c r="F55" s="220"/>
      <c r="G55" s="220"/>
      <c r="H55" s="438"/>
      <c r="I55" s="221"/>
      <c r="J55" s="221"/>
      <c r="K55" s="222"/>
      <c r="L55" s="438"/>
      <c r="M55" s="221"/>
      <c r="N55" s="440"/>
      <c r="O55" s="440"/>
      <c r="P55" s="221"/>
      <c r="Q55" s="221"/>
      <c r="R55" s="220"/>
      <c r="S55" s="220"/>
      <c r="T55" s="435"/>
      <c r="U55" s="221"/>
      <c r="V55" s="221"/>
      <c r="W55" s="220"/>
      <c r="X55" s="220"/>
      <c r="Y55" s="435"/>
      <c r="Z55" s="221"/>
      <c r="AA55" s="221"/>
      <c r="AB55" s="220"/>
      <c r="AC55" s="220"/>
      <c r="AD55" s="435"/>
      <c r="AE55" s="221"/>
      <c r="AF55" s="221"/>
      <c r="AG55" s="220"/>
      <c r="AH55" s="220"/>
      <c r="AI55" s="435"/>
      <c r="AJ55" s="221"/>
      <c r="AK55" s="221"/>
      <c r="AL55" s="220"/>
      <c r="AM55" s="220"/>
      <c r="AN55" s="435"/>
      <c r="AO55" s="221"/>
      <c r="AP55" s="221"/>
      <c r="AQ55" s="220"/>
      <c r="AR55" s="220"/>
      <c r="AS55" s="435"/>
      <c r="AT55" s="221"/>
      <c r="AU55" s="221"/>
      <c r="AV55" s="220"/>
      <c r="AW55" s="220"/>
      <c r="AX55" s="435"/>
    </row>
    <row r="56" spans="2:50">
      <c r="B56" s="436"/>
      <c r="C56" s="220">
        <v>10</v>
      </c>
      <c r="D56" s="220"/>
      <c r="E56" s="220"/>
      <c r="F56" s="220"/>
      <c r="G56" s="220"/>
      <c r="H56" s="438"/>
      <c r="I56" s="221"/>
      <c r="J56" s="221"/>
      <c r="K56" s="222"/>
      <c r="L56" s="438"/>
      <c r="M56" s="221"/>
      <c r="N56" s="440"/>
      <c r="O56" s="440"/>
      <c r="P56" s="221"/>
      <c r="Q56" s="221"/>
      <c r="R56" s="220"/>
      <c r="S56" s="220"/>
      <c r="T56" s="435"/>
      <c r="U56" s="221"/>
      <c r="V56" s="221"/>
      <c r="W56" s="220"/>
      <c r="X56" s="220"/>
      <c r="Y56" s="435"/>
      <c r="Z56" s="221"/>
      <c r="AA56" s="221"/>
      <c r="AB56" s="220"/>
      <c r="AC56" s="220"/>
      <c r="AD56" s="435"/>
      <c r="AE56" s="221"/>
      <c r="AF56" s="221"/>
      <c r="AG56" s="220"/>
      <c r="AH56" s="220"/>
      <c r="AI56" s="435"/>
      <c r="AJ56" s="221"/>
      <c r="AK56" s="221"/>
      <c r="AL56" s="220"/>
      <c r="AM56" s="220"/>
      <c r="AN56" s="435"/>
      <c r="AO56" s="221"/>
      <c r="AP56" s="221"/>
      <c r="AQ56" s="220"/>
      <c r="AR56" s="220"/>
      <c r="AS56" s="435"/>
      <c r="AT56" s="221"/>
      <c r="AU56" s="221"/>
      <c r="AV56" s="220"/>
      <c r="AW56" s="220"/>
      <c r="AX56" s="435"/>
    </row>
    <row r="57" spans="2:50">
      <c r="B57" s="436"/>
      <c r="C57" s="220">
        <v>11</v>
      </c>
      <c r="D57" s="220"/>
      <c r="E57" s="220"/>
      <c r="F57" s="220"/>
      <c r="G57" s="220"/>
      <c r="H57" s="438"/>
      <c r="I57" s="221"/>
      <c r="J57" s="221"/>
      <c r="K57" s="222"/>
      <c r="L57" s="438"/>
      <c r="M57" s="221"/>
      <c r="N57" s="440"/>
      <c r="O57" s="440"/>
      <c r="P57" s="220"/>
      <c r="Q57" s="220"/>
      <c r="R57" s="220"/>
      <c r="S57" s="220"/>
      <c r="T57" s="435"/>
      <c r="U57" s="220"/>
      <c r="V57" s="220"/>
      <c r="W57" s="220"/>
      <c r="X57" s="220"/>
      <c r="Y57" s="435"/>
      <c r="Z57" s="220"/>
      <c r="AA57" s="220"/>
      <c r="AB57" s="220"/>
      <c r="AC57" s="220"/>
      <c r="AD57" s="435"/>
      <c r="AE57" s="220"/>
      <c r="AF57" s="220"/>
      <c r="AG57" s="220"/>
      <c r="AH57" s="220"/>
      <c r="AI57" s="435"/>
      <c r="AJ57" s="220"/>
      <c r="AK57" s="220"/>
      <c r="AL57" s="220"/>
      <c r="AM57" s="220"/>
      <c r="AN57" s="435"/>
      <c r="AO57" s="220"/>
      <c r="AP57" s="220"/>
      <c r="AQ57" s="220"/>
      <c r="AR57" s="220"/>
      <c r="AS57" s="435"/>
      <c r="AT57" s="220"/>
      <c r="AU57" s="220"/>
      <c r="AV57" s="220"/>
      <c r="AW57" s="220"/>
      <c r="AX57" s="435"/>
    </row>
    <row r="58" spans="2:50">
      <c r="B58" s="436"/>
      <c r="C58" s="220">
        <v>12</v>
      </c>
      <c r="D58" s="220"/>
      <c r="E58" s="220"/>
      <c r="F58" s="220"/>
      <c r="G58" s="220"/>
      <c r="H58" s="438"/>
      <c r="I58" s="221"/>
      <c r="J58" s="221"/>
      <c r="K58" s="222"/>
      <c r="L58" s="438"/>
      <c r="M58" s="221"/>
      <c r="N58" s="440"/>
      <c r="O58" s="440"/>
      <c r="P58" s="220"/>
      <c r="Q58" s="220"/>
      <c r="R58" s="220"/>
      <c r="S58" s="220"/>
      <c r="T58" s="435"/>
      <c r="U58" s="220"/>
      <c r="V58" s="220"/>
      <c r="W58" s="220"/>
      <c r="X58" s="220"/>
      <c r="Y58" s="435"/>
      <c r="Z58" s="220"/>
      <c r="AA58" s="220"/>
      <c r="AB58" s="220"/>
      <c r="AC58" s="220"/>
      <c r="AD58" s="435"/>
      <c r="AE58" s="220"/>
      <c r="AF58" s="220"/>
      <c r="AG58" s="220"/>
      <c r="AH58" s="220"/>
      <c r="AI58" s="435"/>
      <c r="AJ58" s="220"/>
      <c r="AK58" s="220"/>
      <c r="AL58" s="220"/>
      <c r="AM58" s="220"/>
      <c r="AN58" s="435"/>
      <c r="AO58" s="220"/>
      <c r="AP58" s="220"/>
      <c r="AQ58" s="220"/>
      <c r="AR58" s="220"/>
      <c r="AS58" s="435"/>
      <c r="AT58" s="220"/>
      <c r="AU58" s="220"/>
      <c r="AV58" s="220"/>
      <c r="AW58" s="220"/>
      <c r="AX58" s="435"/>
    </row>
    <row r="59" spans="2:50">
      <c r="B59" s="436"/>
      <c r="C59" s="220">
        <v>13</v>
      </c>
      <c r="D59" s="220"/>
      <c r="E59" s="220"/>
      <c r="F59" s="220"/>
      <c r="G59" s="220"/>
      <c r="H59" s="438"/>
      <c r="I59" s="221"/>
      <c r="J59" s="221"/>
      <c r="K59" s="222"/>
      <c r="L59" s="438"/>
      <c r="M59" s="221"/>
      <c r="N59" s="440"/>
      <c r="O59" s="440"/>
      <c r="P59" s="220"/>
      <c r="Q59" s="220"/>
      <c r="R59" s="220"/>
      <c r="S59" s="220"/>
      <c r="T59" s="435"/>
      <c r="U59" s="220"/>
      <c r="V59" s="220"/>
      <c r="W59" s="220"/>
      <c r="X59" s="220"/>
      <c r="Y59" s="435"/>
      <c r="Z59" s="220"/>
      <c r="AA59" s="220"/>
      <c r="AB59" s="220"/>
      <c r="AC59" s="220"/>
      <c r="AD59" s="435"/>
      <c r="AE59" s="220"/>
      <c r="AF59" s="220"/>
      <c r="AG59" s="220"/>
      <c r="AH59" s="220"/>
      <c r="AI59" s="435"/>
      <c r="AJ59" s="220"/>
      <c r="AK59" s="220"/>
      <c r="AL59" s="220"/>
      <c r="AM59" s="220"/>
      <c r="AN59" s="435"/>
      <c r="AO59" s="220"/>
      <c r="AP59" s="220"/>
      <c r="AQ59" s="220"/>
      <c r="AR59" s="220"/>
      <c r="AS59" s="435"/>
      <c r="AT59" s="220"/>
      <c r="AU59" s="220"/>
      <c r="AV59" s="220"/>
      <c r="AW59" s="220"/>
      <c r="AX59" s="435"/>
    </row>
    <row r="60" spans="2:50">
      <c r="B60" s="436"/>
      <c r="C60" s="220">
        <v>14</v>
      </c>
      <c r="D60" s="220"/>
      <c r="E60" s="220"/>
      <c r="F60" s="220"/>
      <c r="G60" s="220"/>
      <c r="H60" s="438"/>
      <c r="I60" s="221"/>
      <c r="J60" s="221"/>
      <c r="K60" s="222"/>
      <c r="L60" s="438"/>
      <c r="M60" s="221"/>
      <c r="N60" s="440"/>
      <c r="O60" s="440"/>
      <c r="P60" s="220"/>
      <c r="Q60" s="220"/>
      <c r="R60" s="220"/>
      <c r="S60" s="220"/>
      <c r="T60" s="435"/>
      <c r="U60" s="220"/>
      <c r="V60" s="220"/>
      <c r="W60" s="220"/>
      <c r="X60" s="220"/>
      <c r="Y60" s="435"/>
      <c r="Z60" s="220"/>
      <c r="AA60" s="220"/>
      <c r="AB60" s="220"/>
      <c r="AC60" s="220"/>
      <c r="AD60" s="435"/>
      <c r="AE60" s="220"/>
      <c r="AF60" s="220"/>
      <c r="AG60" s="220"/>
      <c r="AH60" s="220"/>
      <c r="AI60" s="435"/>
      <c r="AJ60" s="220"/>
      <c r="AK60" s="220"/>
      <c r="AL60" s="220"/>
      <c r="AM60" s="220"/>
      <c r="AN60" s="435"/>
      <c r="AO60" s="220"/>
      <c r="AP60" s="220"/>
      <c r="AQ60" s="220"/>
      <c r="AR60" s="220"/>
      <c r="AS60" s="435"/>
      <c r="AT60" s="220"/>
      <c r="AU60" s="220"/>
      <c r="AV60" s="220"/>
      <c r="AW60" s="220"/>
      <c r="AX60" s="435"/>
    </row>
    <row r="61" spans="2:50">
      <c r="B61" s="436"/>
      <c r="C61" s="220">
        <v>15</v>
      </c>
      <c r="D61" s="220"/>
      <c r="E61" s="220"/>
      <c r="F61" s="220"/>
      <c r="G61" s="220"/>
      <c r="H61" s="439"/>
      <c r="I61" s="221"/>
      <c r="J61" s="221"/>
      <c r="K61" s="222"/>
      <c r="L61" s="439"/>
      <c r="M61" s="221"/>
      <c r="N61" s="440"/>
      <c r="O61" s="440"/>
      <c r="P61" s="220"/>
      <c r="Q61" s="220"/>
      <c r="R61" s="220"/>
      <c r="S61" s="220"/>
      <c r="T61" s="435"/>
      <c r="U61" s="220"/>
      <c r="V61" s="220"/>
      <c r="W61" s="220"/>
      <c r="X61" s="220"/>
      <c r="Y61" s="435"/>
      <c r="Z61" s="220"/>
      <c r="AA61" s="220"/>
      <c r="AB61" s="220"/>
      <c r="AC61" s="220"/>
      <c r="AD61" s="435"/>
      <c r="AE61" s="220"/>
      <c r="AF61" s="220"/>
      <c r="AG61" s="220"/>
      <c r="AH61" s="220"/>
      <c r="AI61" s="435"/>
      <c r="AJ61" s="220"/>
      <c r="AK61" s="220"/>
      <c r="AL61" s="220"/>
      <c r="AM61" s="220"/>
      <c r="AN61" s="435"/>
      <c r="AO61" s="220"/>
      <c r="AP61" s="220"/>
      <c r="AQ61" s="220"/>
      <c r="AR61" s="220"/>
      <c r="AS61" s="435"/>
      <c r="AT61" s="220"/>
      <c r="AU61" s="220"/>
      <c r="AV61" s="220"/>
      <c r="AW61" s="220"/>
      <c r="AX61" s="435"/>
    </row>
    <row r="62" spans="2:50" ht="15.75">
      <c r="B62" s="457" t="s">
        <v>44</v>
      </c>
      <c r="C62" s="453"/>
      <c r="D62" s="453"/>
      <c r="E62" s="453"/>
      <c r="F62" s="453"/>
      <c r="G62" s="453"/>
      <c r="H62" s="453"/>
      <c r="I62" s="225"/>
      <c r="J62" s="225"/>
      <c r="K62" s="225"/>
      <c r="L62" s="225"/>
      <c r="M62" s="226"/>
      <c r="N62" s="449" t="s">
        <v>45</v>
      </c>
      <c r="O62" s="449" t="s">
        <v>3</v>
      </c>
      <c r="P62" s="444">
        <v>45979</v>
      </c>
      <c r="Q62" s="436"/>
      <c r="R62" s="436"/>
      <c r="S62" s="436"/>
      <c r="T62" s="436"/>
      <c r="U62" s="444">
        <v>45980</v>
      </c>
      <c r="V62" s="436"/>
      <c r="W62" s="436"/>
      <c r="X62" s="436"/>
      <c r="Y62" s="436"/>
      <c r="Z62" s="444">
        <v>45981</v>
      </c>
      <c r="AA62" s="436"/>
      <c r="AB62" s="436"/>
      <c r="AC62" s="436"/>
      <c r="AD62" s="436"/>
      <c r="AE62" s="444">
        <v>45982</v>
      </c>
      <c r="AF62" s="436"/>
      <c r="AG62" s="436"/>
      <c r="AH62" s="436"/>
      <c r="AI62" s="436"/>
      <c r="AJ62" s="444">
        <v>45983</v>
      </c>
      <c r="AK62" s="436"/>
      <c r="AL62" s="436"/>
      <c r="AM62" s="436"/>
      <c r="AN62" s="436"/>
      <c r="AO62" s="444">
        <v>45984</v>
      </c>
      <c r="AP62" s="436"/>
      <c r="AQ62" s="436"/>
      <c r="AR62" s="436"/>
      <c r="AS62" s="436"/>
      <c r="AT62" s="444">
        <v>45985</v>
      </c>
      <c r="AU62" s="436"/>
      <c r="AV62" s="436"/>
      <c r="AW62" s="436"/>
      <c r="AX62" s="436"/>
    </row>
    <row r="63" spans="2:50" ht="15.75">
      <c r="B63" s="454"/>
      <c r="C63" s="454"/>
      <c r="D63" s="454"/>
      <c r="E63" s="454"/>
      <c r="F63" s="454"/>
      <c r="G63" s="454"/>
      <c r="H63" s="454"/>
      <c r="I63" s="216"/>
      <c r="J63" s="216"/>
      <c r="K63" s="216"/>
      <c r="L63" s="216"/>
      <c r="M63" s="217"/>
      <c r="N63" s="451"/>
      <c r="O63" s="451"/>
      <c r="P63" s="444" t="s">
        <v>16</v>
      </c>
      <c r="Q63" s="436"/>
      <c r="R63" s="436"/>
      <c r="S63" s="436"/>
      <c r="T63" s="436"/>
      <c r="U63" s="444" t="s">
        <v>17</v>
      </c>
      <c r="V63" s="436"/>
      <c r="W63" s="436"/>
      <c r="X63" s="436"/>
      <c r="Y63" s="436"/>
      <c r="Z63" s="444" t="s">
        <v>18</v>
      </c>
      <c r="AA63" s="436"/>
      <c r="AB63" s="436"/>
      <c r="AC63" s="436"/>
      <c r="AD63" s="436"/>
      <c r="AE63" s="444" t="s">
        <v>19</v>
      </c>
      <c r="AF63" s="436"/>
      <c r="AG63" s="436"/>
      <c r="AH63" s="436"/>
      <c r="AI63" s="436"/>
      <c r="AJ63" s="444" t="s">
        <v>14</v>
      </c>
      <c r="AK63" s="436"/>
      <c r="AL63" s="436"/>
      <c r="AM63" s="436"/>
      <c r="AN63" s="436"/>
      <c r="AO63" s="444" t="s">
        <v>10</v>
      </c>
      <c r="AP63" s="436"/>
      <c r="AQ63" s="436"/>
      <c r="AR63" s="436"/>
      <c r="AS63" s="436"/>
      <c r="AT63" s="444" t="s">
        <v>15</v>
      </c>
      <c r="AU63" s="436"/>
      <c r="AV63" s="436"/>
      <c r="AW63" s="436"/>
      <c r="AX63" s="436"/>
    </row>
    <row r="64" spans="2:50">
      <c r="B64" s="440" t="s">
        <v>46</v>
      </c>
      <c r="C64" s="440" t="s">
        <v>47</v>
      </c>
      <c r="D64" s="440"/>
      <c r="E64" s="440" t="s">
        <v>48</v>
      </c>
      <c r="F64" s="440"/>
      <c r="G64" s="440"/>
      <c r="H64" s="446" t="s">
        <v>49</v>
      </c>
      <c r="I64" s="440" t="s">
        <v>50</v>
      </c>
      <c r="J64" s="440"/>
      <c r="K64" s="440"/>
      <c r="L64" s="446" t="s">
        <v>49</v>
      </c>
      <c r="M64" s="449" t="s">
        <v>51</v>
      </c>
      <c r="N64" s="440"/>
      <c r="O64" s="440" t="s">
        <v>52</v>
      </c>
      <c r="P64" s="441" t="s">
        <v>53</v>
      </c>
      <c r="Q64" s="442"/>
      <c r="R64" s="442"/>
      <c r="S64" s="443"/>
      <c r="T64" s="440" t="s">
        <v>49</v>
      </c>
      <c r="U64" s="441" t="s">
        <v>53</v>
      </c>
      <c r="V64" s="442"/>
      <c r="W64" s="442"/>
      <c r="X64" s="443"/>
      <c r="Y64" s="440" t="s">
        <v>49</v>
      </c>
      <c r="Z64" s="441" t="s">
        <v>53</v>
      </c>
      <c r="AA64" s="442"/>
      <c r="AB64" s="442"/>
      <c r="AC64" s="443"/>
      <c r="AD64" s="440" t="s">
        <v>49</v>
      </c>
      <c r="AE64" s="441" t="s">
        <v>53</v>
      </c>
      <c r="AF64" s="442"/>
      <c r="AG64" s="442"/>
      <c r="AH64" s="443"/>
      <c r="AI64" s="440" t="s">
        <v>49</v>
      </c>
      <c r="AJ64" s="441" t="s">
        <v>53</v>
      </c>
      <c r="AK64" s="442"/>
      <c r="AL64" s="442"/>
      <c r="AM64" s="443"/>
      <c r="AN64" s="440" t="s">
        <v>49</v>
      </c>
      <c r="AO64" s="441" t="s">
        <v>53</v>
      </c>
      <c r="AP64" s="442"/>
      <c r="AQ64" s="442"/>
      <c r="AR64" s="443"/>
      <c r="AS64" s="440" t="s">
        <v>49</v>
      </c>
      <c r="AT64" s="441" t="s">
        <v>53</v>
      </c>
      <c r="AU64" s="442"/>
      <c r="AV64" s="442"/>
      <c r="AW64" s="443"/>
      <c r="AX64" s="440" t="s">
        <v>49</v>
      </c>
    </row>
    <row r="65" spans="2:50">
      <c r="B65" s="440"/>
      <c r="C65" s="440"/>
      <c r="D65" s="440"/>
      <c r="E65" s="440" t="s">
        <v>54</v>
      </c>
      <c r="F65" s="440"/>
      <c r="G65" s="440"/>
      <c r="H65" s="447"/>
      <c r="I65" s="440" t="s">
        <v>54</v>
      </c>
      <c r="J65" s="440"/>
      <c r="K65" s="440"/>
      <c r="L65" s="447"/>
      <c r="M65" s="450"/>
      <c r="N65" s="440"/>
      <c r="O65" s="440"/>
      <c r="P65" s="441" t="s">
        <v>55</v>
      </c>
      <c r="Q65" s="442"/>
      <c r="R65" s="442"/>
      <c r="S65" s="443"/>
      <c r="T65" s="440"/>
      <c r="U65" s="441" t="s">
        <v>55</v>
      </c>
      <c r="V65" s="442"/>
      <c r="W65" s="442"/>
      <c r="X65" s="443"/>
      <c r="Y65" s="440"/>
      <c r="Z65" s="441" t="s">
        <v>55</v>
      </c>
      <c r="AA65" s="442"/>
      <c r="AB65" s="442"/>
      <c r="AC65" s="443"/>
      <c r="AD65" s="440"/>
      <c r="AE65" s="441" t="s">
        <v>55</v>
      </c>
      <c r="AF65" s="442"/>
      <c r="AG65" s="442"/>
      <c r="AH65" s="443"/>
      <c r="AI65" s="440"/>
      <c r="AJ65" s="441" t="s">
        <v>55</v>
      </c>
      <c r="AK65" s="442"/>
      <c r="AL65" s="442"/>
      <c r="AM65" s="443"/>
      <c r="AN65" s="440"/>
      <c r="AO65" s="441" t="s">
        <v>55</v>
      </c>
      <c r="AP65" s="442"/>
      <c r="AQ65" s="442"/>
      <c r="AR65" s="443"/>
      <c r="AS65" s="440"/>
      <c r="AT65" s="441" t="s">
        <v>55</v>
      </c>
      <c r="AU65" s="442"/>
      <c r="AV65" s="442"/>
      <c r="AW65" s="443"/>
      <c r="AX65" s="440"/>
    </row>
    <row r="66" spans="2:50">
      <c r="B66" s="440"/>
      <c r="C66" s="440"/>
      <c r="D66" s="440"/>
      <c r="E66" s="219" t="s">
        <v>56</v>
      </c>
      <c r="F66" s="219" t="s">
        <v>57</v>
      </c>
      <c r="G66" s="219" t="s">
        <v>58</v>
      </c>
      <c r="H66" s="448"/>
      <c r="I66" s="219" t="s">
        <v>56</v>
      </c>
      <c r="J66" s="219" t="s">
        <v>57</v>
      </c>
      <c r="K66" s="219" t="s">
        <v>58</v>
      </c>
      <c r="L66" s="448"/>
      <c r="M66" s="451"/>
      <c r="N66" s="440"/>
      <c r="O66" s="440"/>
      <c r="P66" s="219" t="s">
        <v>56</v>
      </c>
      <c r="Q66" s="219" t="s">
        <v>57</v>
      </c>
      <c r="R66" s="219" t="s">
        <v>58</v>
      </c>
      <c r="S66" s="219" t="s">
        <v>51</v>
      </c>
      <c r="T66" s="440"/>
      <c r="U66" s="219" t="s">
        <v>56</v>
      </c>
      <c r="V66" s="219" t="s">
        <v>57</v>
      </c>
      <c r="W66" s="219" t="s">
        <v>58</v>
      </c>
      <c r="X66" s="219" t="s">
        <v>51</v>
      </c>
      <c r="Y66" s="440"/>
      <c r="Z66" s="219" t="s">
        <v>56</v>
      </c>
      <c r="AA66" s="219" t="s">
        <v>57</v>
      </c>
      <c r="AB66" s="219" t="s">
        <v>58</v>
      </c>
      <c r="AC66" s="219" t="s">
        <v>51</v>
      </c>
      <c r="AD66" s="440"/>
      <c r="AE66" s="219" t="s">
        <v>56</v>
      </c>
      <c r="AF66" s="219" t="s">
        <v>57</v>
      </c>
      <c r="AG66" s="219" t="s">
        <v>58</v>
      </c>
      <c r="AH66" s="219" t="s">
        <v>51</v>
      </c>
      <c r="AI66" s="440"/>
      <c r="AJ66" s="219" t="s">
        <v>56</v>
      </c>
      <c r="AK66" s="219" t="s">
        <v>57</v>
      </c>
      <c r="AL66" s="219" t="s">
        <v>58</v>
      </c>
      <c r="AM66" s="219" t="s">
        <v>51</v>
      </c>
      <c r="AN66" s="440"/>
      <c r="AO66" s="219" t="s">
        <v>56</v>
      </c>
      <c r="AP66" s="219" t="s">
        <v>57</v>
      </c>
      <c r="AQ66" s="219" t="s">
        <v>58</v>
      </c>
      <c r="AR66" s="219" t="s">
        <v>51</v>
      </c>
      <c r="AS66" s="440"/>
      <c r="AT66" s="219" t="s">
        <v>56</v>
      </c>
      <c r="AU66" s="219" t="s">
        <v>57</v>
      </c>
      <c r="AV66" s="219" t="s">
        <v>58</v>
      </c>
      <c r="AW66" s="219" t="s">
        <v>51</v>
      </c>
      <c r="AX66" s="440"/>
    </row>
    <row r="67" spans="2:50">
      <c r="B67" s="440" t="s">
        <v>35</v>
      </c>
      <c r="C67" s="220">
        <v>1</v>
      </c>
      <c r="D67" s="220" t="s">
        <v>61</v>
      </c>
      <c r="E67" s="221">
        <f>VLOOKUP(D67,'11產線配置圖'!$A$2:$C$30,2,0)</f>
        <v>13</v>
      </c>
      <c r="F67" s="221">
        <f>VLOOKUP(D67,'11產線配置圖'!$A$2:$C$30,3,0)</f>
        <v>1565</v>
      </c>
      <c r="G67" s="222">
        <f>F67/E67</f>
        <v>120.38461538461539</v>
      </c>
      <c r="H67" s="437">
        <f>AVERAGE(G67:G81)</f>
        <v>127.07264957264958</v>
      </c>
      <c r="I67" s="221">
        <f>AVERAGE(P67,U67,Z66,AE67,AJ67,AO67,AT67)</f>
        <v>13</v>
      </c>
      <c r="J67" s="221">
        <f t="shared" ref="J67:K69" si="5">AVERAGE(Q67,V67,AA67,AF67,AK67,AP67,AU67)</f>
        <v>1492.4285714285713</v>
      </c>
      <c r="K67" s="222">
        <f t="shared" si="5"/>
        <v>114.8021978021978</v>
      </c>
      <c r="L67" s="437">
        <f>IFERROR(AVERAGE(K67:K81),"-")</f>
        <v>108.97374847374847</v>
      </c>
      <c r="M67" s="221">
        <f>RANK(K67, K$67:$K$81)</f>
        <v>1</v>
      </c>
      <c r="N67" s="440"/>
      <c r="O67" s="440"/>
      <c r="P67" s="221">
        <v>13</v>
      </c>
      <c r="Q67" s="221">
        <v>1377</v>
      </c>
      <c r="R67" s="222">
        <f>Q67/P67</f>
        <v>105.92307692307692</v>
      </c>
      <c r="S67" s="220">
        <f>RANK(R67,$R$67:$R$81)</f>
        <v>2</v>
      </c>
      <c r="T67" s="435">
        <f>AVERAGE(R67:R81)</f>
        <v>107.89102564102564</v>
      </c>
      <c r="U67" s="221">
        <v>13</v>
      </c>
      <c r="V67" s="221">
        <v>1524</v>
      </c>
      <c r="W67" s="222">
        <f>V67/U67</f>
        <v>117.23076923076923</v>
      </c>
      <c r="X67" s="220">
        <f>RANK(W67,$W$67:$W$81)</f>
        <v>1</v>
      </c>
      <c r="Y67" s="435">
        <f>AVERAGE(W67:W81)</f>
        <v>101.99358974358974</v>
      </c>
      <c r="Z67" s="221">
        <v>13</v>
      </c>
      <c r="AA67" s="221">
        <v>1472</v>
      </c>
      <c r="AB67" s="222">
        <f>AA67/Z67</f>
        <v>113.23076923076923</v>
      </c>
      <c r="AC67" s="220">
        <f>RANK(AB67, $AB$67:$AB$69)</f>
        <v>2</v>
      </c>
      <c r="AD67" s="435">
        <f>AVERAGE(AB67:AB81)</f>
        <v>113.10470085470087</v>
      </c>
      <c r="AE67" s="221">
        <v>13</v>
      </c>
      <c r="AF67" s="221">
        <v>1553</v>
      </c>
      <c r="AG67" s="222">
        <f>AF67/AE67</f>
        <v>119.46153846153847</v>
      </c>
      <c r="AH67" s="220">
        <f>RANK(AG67, $AG$67:$AG$69)</f>
        <v>2</v>
      </c>
      <c r="AI67" s="435">
        <f>AVERAGE(AG67:AG81)</f>
        <v>110.18162393162395</v>
      </c>
      <c r="AJ67" s="221">
        <v>13</v>
      </c>
      <c r="AK67" s="221">
        <v>1482</v>
      </c>
      <c r="AL67" s="222">
        <f>AK67/AJ67</f>
        <v>114</v>
      </c>
      <c r="AM67" s="220">
        <f>RANK(AL67, $AL$67:$AL$69)</f>
        <v>3</v>
      </c>
      <c r="AN67" s="435">
        <f>AVERAGE(AL67:AL81)</f>
        <v>116.19444444444444</v>
      </c>
      <c r="AO67" s="221">
        <v>13</v>
      </c>
      <c r="AP67" s="221">
        <v>1532</v>
      </c>
      <c r="AQ67" s="222">
        <f>AP67/AO67</f>
        <v>117.84615384615384</v>
      </c>
      <c r="AR67" s="220">
        <f>RANK(AQ67, $AQ$67:$AQ$69)</f>
        <v>1</v>
      </c>
      <c r="AS67" s="435">
        <f>AVERAGE(AQ67:AQ81)</f>
        <v>107.83760683760683</v>
      </c>
      <c r="AT67" s="221">
        <v>13</v>
      </c>
      <c r="AU67" s="221">
        <v>1507</v>
      </c>
      <c r="AV67" s="222">
        <f>AU67/AT67</f>
        <v>115.92307692307692</v>
      </c>
      <c r="AW67" s="220">
        <f>RANK(AV67, $AV$67:$AV$69)</f>
        <v>1</v>
      </c>
      <c r="AX67" s="435">
        <f>AVERAGE(AV67:AV81)</f>
        <v>105.61324786324786</v>
      </c>
    </row>
    <row r="68" spans="2:50">
      <c r="B68" s="436"/>
      <c r="C68" s="220">
        <v>2</v>
      </c>
      <c r="D68" s="220" t="s">
        <v>62</v>
      </c>
      <c r="E68" s="221">
        <f>VLOOKUP(D68,'11產線配置圖'!$A$2:$C$30,2,0)</f>
        <v>12</v>
      </c>
      <c r="F68" s="221">
        <f>VLOOKUP(D68,'11產線配置圖'!$A$2:$C$30,3,0)</f>
        <v>1565</v>
      </c>
      <c r="G68" s="222">
        <f>F68/E68</f>
        <v>130.41666666666666</v>
      </c>
      <c r="H68" s="438"/>
      <c r="I68" s="221">
        <f>AVERAGE(P68,U68,Z67,AE68,AJ68,AO68,AT68)</f>
        <v>12.142857142857142</v>
      </c>
      <c r="J68" s="221">
        <f t="shared" si="5"/>
        <v>1333.8571428571429</v>
      </c>
      <c r="K68" s="222">
        <f t="shared" si="5"/>
        <v>111.15476190476191</v>
      </c>
      <c r="L68" s="438"/>
      <c r="M68" s="221">
        <f>RANK(K68, K$67:$K$81)</f>
        <v>2</v>
      </c>
      <c r="N68" s="440"/>
      <c r="O68" s="440"/>
      <c r="P68" s="221">
        <v>12</v>
      </c>
      <c r="Q68" s="221">
        <v>1356</v>
      </c>
      <c r="R68" s="222">
        <f>Q68/P68</f>
        <v>113</v>
      </c>
      <c r="S68" s="220">
        <f>RANK(R68,$R$67:$R$81)</f>
        <v>1</v>
      </c>
      <c r="T68" s="435"/>
      <c r="U68" s="221">
        <v>12</v>
      </c>
      <c r="V68" s="221">
        <v>1145</v>
      </c>
      <c r="W68" s="222">
        <f>V68/U68</f>
        <v>95.416666666666671</v>
      </c>
      <c r="X68" s="220">
        <f>RANK(W68,$W$67:$W$81)</f>
        <v>2</v>
      </c>
      <c r="Y68" s="435"/>
      <c r="Z68" s="221">
        <v>12</v>
      </c>
      <c r="AA68" s="221">
        <v>1415</v>
      </c>
      <c r="AB68" s="222">
        <f>AA68/Z68</f>
        <v>117.91666666666667</v>
      </c>
      <c r="AC68" s="220">
        <f>RANK(AB68, $AB$67:$AB$69)</f>
        <v>1</v>
      </c>
      <c r="AD68" s="435"/>
      <c r="AE68" s="221">
        <v>12</v>
      </c>
      <c r="AF68" s="221">
        <v>1436</v>
      </c>
      <c r="AG68" s="222">
        <f>AF68/AE68</f>
        <v>119.66666666666667</v>
      </c>
      <c r="AH68" s="220">
        <f>RANK(AG68, $AG$67:$AG$69)</f>
        <v>1</v>
      </c>
      <c r="AI68" s="435"/>
      <c r="AJ68" s="221">
        <v>12</v>
      </c>
      <c r="AK68" s="221">
        <v>1407</v>
      </c>
      <c r="AL68" s="222">
        <f>AK68/AJ68</f>
        <v>117.25</v>
      </c>
      <c r="AM68" s="220">
        <f>RANK(AL68, $AL$67:$AL$69)</f>
        <v>2</v>
      </c>
      <c r="AN68" s="435"/>
      <c r="AO68" s="221">
        <v>12</v>
      </c>
      <c r="AP68" s="221">
        <v>1276</v>
      </c>
      <c r="AQ68" s="222">
        <f>AP68/AO68</f>
        <v>106.33333333333333</v>
      </c>
      <c r="AR68" s="220">
        <f>RANK(AQ68, $AQ$67:$AQ$69)</f>
        <v>2</v>
      </c>
      <c r="AS68" s="435"/>
      <c r="AT68" s="221">
        <v>12</v>
      </c>
      <c r="AU68" s="221">
        <v>1302</v>
      </c>
      <c r="AV68" s="222">
        <f>AU68/AT68</f>
        <v>108.5</v>
      </c>
      <c r="AW68" s="220">
        <f>RANK(AV68, $AV$67:$AV$69)</f>
        <v>2</v>
      </c>
      <c r="AX68" s="435"/>
    </row>
    <row r="69" spans="2:50">
      <c r="B69" s="436"/>
      <c r="C69" s="220">
        <v>3</v>
      </c>
      <c r="D69" s="220" t="s">
        <v>63</v>
      </c>
      <c r="E69" s="221">
        <f>VLOOKUP(D69,'11產線配置圖'!$A$2:$C$30,2,0)</f>
        <v>12</v>
      </c>
      <c r="F69" s="221">
        <f>VLOOKUP(D69,'11產線配置圖'!$A$2:$C$30,3,0)</f>
        <v>1565</v>
      </c>
      <c r="G69" s="222">
        <f>F69/E69</f>
        <v>130.41666666666666</v>
      </c>
      <c r="H69" s="438"/>
      <c r="I69" s="221">
        <f>AVERAGE(P69,U69,Z69,AE69,AJ69,AO69,AT69)</f>
        <v>12</v>
      </c>
      <c r="J69" s="221">
        <f t="shared" si="5"/>
        <v>1211.5714285714287</v>
      </c>
      <c r="K69" s="222">
        <f t="shared" si="5"/>
        <v>100.96428571428571</v>
      </c>
      <c r="L69" s="438"/>
      <c r="M69" s="221">
        <f>RANK(K69, K$67:$K$81)</f>
        <v>3</v>
      </c>
      <c r="N69" s="440"/>
      <c r="O69" s="440"/>
      <c r="P69" s="221">
        <v>12</v>
      </c>
      <c r="Q69" s="221">
        <v>1257</v>
      </c>
      <c r="R69" s="222">
        <f>Q69/P69</f>
        <v>104.75</v>
      </c>
      <c r="S69" s="220">
        <f>RANK(R69,$R$67:$R$81)</f>
        <v>3</v>
      </c>
      <c r="T69" s="435"/>
      <c r="U69" s="221">
        <v>12</v>
      </c>
      <c r="V69" s="221">
        <v>1120</v>
      </c>
      <c r="W69" s="222">
        <f>V69/U69</f>
        <v>93.333333333333329</v>
      </c>
      <c r="X69" s="220">
        <f>RANK(W69,$W$67:$W$81)</f>
        <v>3</v>
      </c>
      <c r="Y69" s="435"/>
      <c r="Z69" s="221">
        <v>12</v>
      </c>
      <c r="AA69" s="221">
        <v>1298</v>
      </c>
      <c r="AB69" s="222">
        <f>AA69/Z69</f>
        <v>108.16666666666667</v>
      </c>
      <c r="AC69" s="220">
        <f>RANK(AB69, $AB$67:$AB$69)</f>
        <v>3</v>
      </c>
      <c r="AD69" s="435"/>
      <c r="AE69" s="221">
        <v>12</v>
      </c>
      <c r="AF69" s="221">
        <v>1097</v>
      </c>
      <c r="AG69" s="222">
        <f>AF69/AE69</f>
        <v>91.416666666666671</v>
      </c>
      <c r="AH69" s="220">
        <f>RANK(AG69, $AG$67:$AG$69)</f>
        <v>3</v>
      </c>
      <c r="AI69" s="435"/>
      <c r="AJ69" s="221">
        <v>12</v>
      </c>
      <c r="AK69" s="221">
        <v>1408</v>
      </c>
      <c r="AL69" s="222">
        <f>AK69/AJ69</f>
        <v>117.33333333333333</v>
      </c>
      <c r="AM69" s="220">
        <f>RANK(AL69, $AL$67:$AL$69)</f>
        <v>1</v>
      </c>
      <c r="AN69" s="435"/>
      <c r="AO69" s="221">
        <v>12</v>
      </c>
      <c r="AP69" s="221">
        <v>1192</v>
      </c>
      <c r="AQ69" s="222">
        <f>AP69/AO69</f>
        <v>99.333333333333329</v>
      </c>
      <c r="AR69" s="220">
        <f>RANK(AQ69, $AQ$67:$AQ$69)</f>
        <v>3</v>
      </c>
      <c r="AS69" s="435"/>
      <c r="AT69" s="221">
        <v>12</v>
      </c>
      <c r="AU69" s="221">
        <v>1109</v>
      </c>
      <c r="AV69" s="222">
        <f>AU69/AT69</f>
        <v>92.416666666666671</v>
      </c>
      <c r="AW69" s="220">
        <f>RANK(AV69, $AV$67:$AV$69)</f>
        <v>3</v>
      </c>
      <c r="AX69" s="435"/>
    </row>
    <row r="70" spans="2:50">
      <c r="B70" s="436"/>
      <c r="C70" s="220">
        <v>4</v>
      </c>
      <c r="D70" s="220"/>
      <c r="E70" s="221"/>
      <c r="F70" s="221"/>
      <c r="G70" s="222"/>
      <c r="H70" s="438"/>
      <c r="I70" s="221"/>
      <c r="J70" s="221"/>
      <c r="K70" s="222"/>
      <c r="L70" s="438"/>
      <c r="M70" s="221"/>
      <c r="N70" s="440"/>
      <c r="O70" s="440"/>
      <c r="P70" s="221"/>
      <c r="Q70" s="221"/>
      <c r="R70" s="220"/>
      <c r="S70" s="220"/>
      <c r="T70" s="435"/>
      <c r="U70" s="221"/>
      <c r="V70" s="221"/>
      <c r="W70" s="220"/>
      <c r="X70" s="220"/>
      <c r="Y70" s="435"/>
      <c r="Z70" s="221"/>
      <c r="AA70" s="221"/>
      <c r="AB70" s="220"/>
      <c r="AC70" s="220"/>
      <c r="AD70" s="435"/>
      <c r="AE70" s="221"/>
      <c r="AF70" s="221"/>
      <c r="AG70" s="220"/>
      <c r="AH70" s="220"/>
      <c r="AI70" s="435"/>
      <c r="AJ70" s="221"/>
      <c r="AK70" s="221"/>
      <c r="AL70" s="220"/>
      <c r="AM70" s="220"/>
      <c r="AN70" s="435"/>
      <c r="AO70" s="221"/>
      <c r="AP70" s="221"/>
      <c r="AQ70" s="220"/>
      <c r="AR70" s="220"/>
      <c r="AS70" s="435"/>
      <c r="AT70" s="221"/>
      <c r="AU70" s="221"/>
      <c r="AV70" s="220"/>
      <c r="AW70" s="220"/>
      <c r="AX70" s="435"/>
    </row>
    <row r="71" spans="2:50">
      <c r="B71" s="436"/>
      <c r="C71" s="220">
        <v>5</v>
      </c>
      <c r="D71" s="220"/>
      <c r="E71" s="221"/>
      <c r="F71" s="221"/>
      <c r="G71" s="222"/>
      <c r="H71" s="438"/>
      <c r="I71" s="221"/>
      <c r="J71" s="221"/>
      <c r="K71" s="222"/>
      <c r="L71" s="438"/>
      <c r="M71" s="221"/>
      <c r="N71" s="440"/>
      <c r="O71" s="440"/>
      <c r="P71" s="221"/>
      <c r="Q71" s="221"/>
      <c r="R71" s="220"/>
      <c r="S71" s="220"/>
      <c r="T71" s="435"/>
      <c r="U71" s="221"/>
      <c r="V71" s="221"/>
      <c r="W71" s="220"/>
      <c r="X71" s="220"/>
      <c r="Y71" s="435"/>
      <c r="Z71" s="221"/>
      <c r="AA71" s="221"/>
      <c r="AB71" s="220"/>
      <c r="AC71" s="220"/>
      <c r="AD71" s="435"/>
      <c r="AE71" s="221"/>
      <c r="AF71" s="221"/>
      <c r="AG71" s="220"/>
      <c r="AH71" s="220"/>
      <c r="AI71" s="435"/>
      <c r="AJ71" s="221"/>
      <c r="AK71" s="221"/>
      <c r="AL71" s="220"/>
      <c r="AM71" s="220"/>
      <c r="AN71" s="435"/>
      <c r="AO71" s="221"/>
      <c r="AP71" s="221"/>
      <c r="AQ71" s="220"/>
      <c r="AR71" s="220"/>
      <c r="AS71" s="435"/>
      <c r="AT71" s="221"/>
      <c r="AU71" s="221"/>
      <c r="AV71" s="220"/>
      <c r="AW71" s="220"/>
      <c r="AX71" s="435"/>
    </row>
    <row r="72" spans="2:50">
      <c r="B72" s="436"/>
      <c r="C72" s="220">
        <v>6</v>
      </c>
      <c r="D72" s="220"/>
      <c r="E72" s="221"/>
      <c r="F72" s="221"/>
      <c r="G72" s="222"/>
      <c r="H72" s="438"/>
      <c r="I72" s="221"/>
      <c r="J72" s="221"/>
      <c r="K72" s="222"/>
      <c r="L72" s="438"/>
      <c r="M72" s="221"/>
      <c r="N72" s="440"/>
      <c r="O72" s="440"/>
      <c r="P72" s="221"/>
      <c r="Q72" s="221"/>
      <c r="R72" s="220"/>
      <c r="S72" s="220"/>
      <c r="T72" s="435"/>
      <c r="U72" s="221"/>
      <c r="V72" s="221"/>
      <c r="W72" s="220"/>
      <c r="X72" s="220"/>
      <c r="Y72" s="435"/>
      <c r="Z72" s="221"/>
      <c r="AA72" s="221"/>
      <c r="AB72" s="220"/>
      <c r="AC72" s="220"/>
      <c r="AD72" s="435"/>
      <c r="AE72" s="221"/>
      <c r="AF72" s="221"/>
      <c r="AG72" s="220"/>
      <c r="AH72" s="220"/>
      <c r="AI72" s="435"/>
      <c r="AJ72" s="221"/>
      <c r="AK72" s="221"/>
      <c r="AL72" s="220"/>
      <c r="AM72" s="220"/>
      <c r="AN72" s="435"/>
      <c r="AO72" s="221"/>
      <c r="AP72" s="221"/>
      <c r="AQ72" s="220"/>
      <c r="AR72" s="220"/>
      <c r="AS72" s="435"/>
      <c r="AT72" s="221"/>
      <c r="AU72" s="221"/>
      <c r="AV72" s="220"/>
      <c r="AW72" s="220"/>
      <c r="AX72" s="435"/>
    </row>
    <row r="73" spans="2:50">
      <c r="B73" s="436"/>
      <c r="C73" s="220">
        <v>7</v>
      </c>
      <c r="D73" s="220"/>
      <c r="E73" s="221"/>
      <c r="F73" s="221"/>
      <c r="G73" s="222"/>
      <c r="H73" s="438"/>
      <c r="I73" s="221"/>
      <c r="J73" s="221"/>
      <c r="K73" s="222"/>
      <c r="L73" s="438"/>
      <c r="M73" s="221"/>
      <c r="N73" s="440"/>
      <c r="O73" s="440"/>
      <c r="P73" s="221"/>
      <c r="Q73" s="221"/>
      <c r="R73" s="220"/>
      <c r="S73" s="220"/>
      <c r="T73" s="435"/>
      <c r="U73" s="221"/>
      <c r="V73" s="221"/>
      <c r="W73" s="220"/>
      <c r="X73" s="220"/>
      <c r="Y73" s="435"/>
      <c r="Z73" s="221"/>
      <c r="AA73" s="221"/>
      <c r="AB73" s="220"/>
      <c r="AC73" s="220"/>
      <c r="AD73" s="435"/>
      <c r="AE73" s="221"/>
      <c r="AF73" s="221"/>
      <c r="AG73" s="220"/>
      <c r="AH73" s="220"/>
      <c r="AI73" s="435"/>
      <c r="AJ73" s="221"/>
      <c r="AK73" s="221"/>
      <c r="AL73" s="220"/>
      <c r="AM73" s="220"/>
      <c r="AN73" s="435"/>
      <c r="AO73" s="221"/>
      <c r="AP73" s="221"/>
      <c r="AQ73" s="220"/>
      <c r="AR73" s="220"/>
      <c r="AS73" s="435"/>
      <c r="AT73" s="221"/>
      <c r="AU73" s="221"/>
      <c r="AV73" s="220"/>
      <c r="AW73" s="220"/>
      <c r="AX73" s="435"/>
    </row>
    <row r="74" spans="2:50">
      <c r="B74" s="436"/>
      <c r="C74" s="220">
        <v>8</v>
      </c>
      <c r="D74" s="220"/>
      <c r="E74" s="220"/>
      <c r="F74" s="220"/>
      <c r="G74" s="220"/>
      <c r="H74" s="438"/>
      <c r="I74" s="221"/>
      <c r="J74" s="221"/>
      <c r="K74" s="222"/>
      <c r="L74" s="438"/>
      <c r="M74" s="221"/>
      <c r="N74" s="440"/>
      <c r="O74" s="440"/>
      <c r="P74" s="221"/>
      <c r="Q74" s="221"/>
      <c r="R74" s="220"/>
      <c r="S74" s="220"/>
      <c r="T74" s="435"/>
      <c r="U74" s="221"/>
      <c r="V74" s="221"/>
      <c r="W74" s="220"/>
      <c r="X74" s="220"/>
      <c r="Y74" s="435"/>
      <c r="Z74" s="221"/>
      <c r="AA74" s="221"/>
      <c r="AB74" s="220"/>
      <c r="AC74" s="220"/>
      <c r="AD74" s="435"/>
      <c r="AE74" s="221"/>
      <c r="AF74" s="221"/>
      <c r="AG74" s="220"/>
      <c r="AH74" s="220"/>
      <c r="AI74" s="435"/>
      <c r="AJ74" s="221"/>
      <c r="AK74" s="221"/>
      <c r="AL74" s="220"/>
      <c r="AM74" s="220"/>
      <c r="AN74" s="435"/>
      <c r="AO74" s="221"/>
      <c r="AP74" s="221"/>
      <c r="AQ74" s="220"/>
      <c r="AR74" s="220"/>
      <c r="AS74" s="435"/>
      <c r="AT74" s="221"/>
      <c r="AU74" s="221"/>
      <c r="AV74" s="220"/>
      <c r="AW74" s="220"/>
      <c r="AX74" s="435"/>
    </row>
    <row r="75" spans="2:50">
      <c r="B75" s="436"/>
      <c r="C75" s="220">
        <v>9</v>
      </c>
      <c r="D75" s="220"/>
      <c r="E75" s="220"/>
      <c r="F75" s="220"/>
      <c r="G75" s="220"/>
      <c r="H75" s="438"/>
      <c r="I75" s="221"/>
      <c r="J75" s="221"/>
      <c r="K75" s="222"/>
      <c r="L75" s="438"/>
      <c r="M75" s="221"/>
      <c r="N75" s="440"/>
      <c r="O75" s="440"/>
      <c r="P75" s="221"/>
      <c r="Q75" s="221"/>
      <c r="R75" s="220"/>
      <c r="S75" s="220"/>
      <c r="T75" s="435"/>
      <c r="U75" s="221"/>
      <c r="V75" s="221"/>
      <c r="W75" s="220"/>
      <c r="X75" s="220"/>
      <c r="Y75" s="435"/>
      <c r="Z75" s="221"/>
      <c r="AA75" s="221"/>
      <c r="AB75" s="220"/>
      <c r="AC75" s="220"/>
      <c r="AD75" s="435"/>
      <c r="AE75" s="221"/>
      <c r="AF75" s="221"/>
      <c r="AG75" s="220"/>
      <c r="AH75" s="220"/>
      <c r="AI75" s="435"/>
      <c r="AJ75" s="221"/>
      <c r="AK75" s="221"/>
      <c r="AL75" s="220"/>
      <c r="AM75" s="220"/>
      <c r="AN75" s="435"/>
      <c r="AO75" s="221"/>
      <c r="AP75" s="221"/>
      <c r="AQ75" s="220"/>
      <c r="AR75" s="220"/>
      <c r="AS75" s="435"/>
      <c r="AT75" s="221"/>
      <c r="AU75" s="221"/>
      <c r="AV75" s="220"/>
      <c r="AW75" s="220"/>
      <c r="AX75" s="435"/>
    </row>
    <row r="76" spans="2:50">
      <c r="B76" s="436"/>
      <c r="C76" s="220">
        <v>10</v>
      </c>
      <c r="D76" s="220"/>
      <c r="E76" s="220"/>
      <c r="F76" s="220"/>
      <c r="G76" s="220"/>
      <c r="H76" s="438"/>
      <c r="I76" s="221"/>
      <c r="J76" s="221"/>
      <c r="K76" s="222"/>
      <c r="L76" s="438"/>
      <c r="M76" s="221"/>
      <c r="N76" s="440"/>
      <c r="O76" s="440"/>
      <c r="P76" s="221"/>
      <c r="Q76" s="221"/>
      <c r="R76" s="220"/>
      <c r="S76" s="220"/>
      <c r="T76" s="435"/>
      <c r="U76" s="221"/>
      <c r="V76" s="221"/>
      <c r="W76" s="220"/>
      <c r="X76" s="220"/>
      <c r="Y76" s="435"/>
      <c r="Z76" s="221"/>
      <c r="AA76" s="221"/>
      <c r="AB76" s="220"/>
      <c r="AC76" s="220"/>
      <c r="AD76" s="435"/>
      <c r="AE76" s="221"/>
      <c r="AF76" s="221"/>
      <c r="AG76" s="220"/>
      <c r="AH76" s="220"/>
      <c r="AI76" s="435"/>
      <c r="AJ76" s="221"/>
      <c r="AK76" s="221"/>
      <c r="AL76" s="220"/>
      <c r="AM76" s="220"/>
      <c r="AN76" s="435"/>
      <c r="AO76" s="221"/>
      <c r="AP76" s="221"/>
      <c r="AQ76" s="220"/>
      <c r="AR76" s="220"/>
      <c r="AS76" s="435"/>
      <c r="AT76" s="221"/>
      <c r="AU76" s="221"/>
      <c r="AV76" s="220"/>
      <c r="AW76" s="220"/>
      <c r="AX76" s="435"/>
    </row>
    <row r="77" spans="2:50">
      <c r="B77" s="436"/>
      <c r="C77" s="220">
        <v>11</v>
      </c>
      <c r="D77" s="220"/>
      <c r="E77" s="220"/>
      <c r="F77" s="220"/>
      <c r="G77" s="220"/>
      <c r="H77" s="438"/>
      <c r="I77" s="221"/>
      <c r="J77" s="221"/>
      <c r="K77" s="222"/>
      <c r="L77" s="438"/>
      <c r="M77" s="221"/>
      <c r="N77" s="440"/>
      <c r="O77" s="440"/>
      <c r="P77" s="220"/>
      <c r="Q77" s="220"/>
      <c r="R77" s="220"/>
      <c r="S77" s="220"/>
      <c r="T77" s="435"/>
      <c r="U77" s="220"/>
      <c r="V77" s="220"/>
      <c r="W77" s="220"/>
      <c r="X77" s="220"/>
      <c r="Y77" s="435"/>
      <c r="Z77" s="220"/>
      <c r="AA77" s="220"/>
      <c r="AB77" s="220"/>
      <c r="AC77" s="220"/>
      <c r="AD77" s="435"/>
      <c r="AE77" s="220"/>
      <c r="AF77" s="220"/>
      <c r="AG77" s="220"/>
      <c r="AH77" s="220"/>
      <c r="AI77" s="435"/>
      <c r="AJ77" s="220"/>
      <c r="AK77" s="220"/>
      <c r="AL77" s="220"/>
      <c r="AM77" s="220"/>
      <c r="AN77" s="435"/>
      <c r="AO77" s="220"/>
      <c r="AP77" s="220"/>
      <c r="AQ77" s="220"/>
      <c r="AR77" s="220"/>
      <c r="AS77" s="435"/>
      <c r="AT77" s="220"/>
      <c r="AU77" s="220"/>
      <c r="AV77" s="220"/>
      <c r="AW77" s="220"/>
      <c r="AX77" s="435"/>
    </row>
    <row r="78" spans="2:50">
      <c r="B78" s="436"/>
      <c r="C78" s="220">
        <v>12</v>
      </c>
      <c r="D78" s="220"/>
      <c r="E78" s="220"/>
      <c r="F78" s="220"/>
      <c r="G78" s="220"/>
      <c r="H78" s="438"/>
      <c r="I78" s="221"/>
      <c r="J78" s="221"/>
      <c r="K78" s="222"/>
      <c r="L78" s="438"/>
      <c r="M78" s="221"/>
      <c r="N78" s="440"/>
      <c r="O78" s="440"/>
      <c r="P78" s="220"/>
      <c r="Q78" s="220"/>
      <c r="R78" s="220"/>
      <c r="S78" s="220"/>
      <c r="T78" s="435"/>
      <c r="U78" s="220"/>
      <c r="V78" s="220"/>
      <c r="W78" s="220"/>
      <c r="X78" s="220"/>
      <c r="Y78" s="435"/>
      <c r="Z78" s="220"/>
      <c r="AA78" s="220"/>
      <c r="AB78" s="220"/>
      <c r="AC78" s="220"/>
      <c r="AD78" s="435"/>
      <c r="AE78" s="220"/>
      <c r="AF78" s="220"/>
      <c r="AG78" s="220"/>
      <c r="AH78" s="220"/>
      <c r="AI78" s="435"/>
      <c r="AJ78" s="220"/>
      <c r="AK78" s="220"/>
      <c r="AL78" s="220"/>
      <c r="AM78" s="220"/>
      <c r="AN78" s="435"/>
      <c r="AO78" s="220"/>
      <c r="AP78" s="220"/>
      <c r="AQ78" s="220"/>
      <c r="AR78" s="220"/>
      <c r="AS78" s="435"/>
      <c r="AT78" s="220"/>
      <c r="AU78" s="220"/>
      <c r="AV78" s="220"/>
      <c r="AW78" s="220"/>
      <c r="AX78" s="435"/>
    </row>
    <row r="79" spans="2:50">
      <c r="B79" s="436"/>
      <c r="C79" s="220">
        <v>13</v>
      </c>
      <c r="D79" s="220"/>
      <c r="E79" s="220"/>
      <c r="F79" s="220"/>
      <c r="G79" s="220"/>
      <c r="H79" s="438"/>
      <c r="I79" s="221"/>
      <c r="J79" s="221"/>
      <c r="K79" s="222"/>
      <c r="L79" s="438"/>
      <c r="M79" s="221"/>
      <c r="N79" s="440"/>
      <c r="O79" s="440"/>
      <c r="P79" s="220"/>
      <c r="Q79" s="220"/>
      <c r="R79" s="220"/>
      <c r="S79" s="220"/>
      <c r="T79" s="435"/>
      <c r="U79" s="220"/>
      <c r="V79" s="220"/>
      <c r="W79" s="220"/>
      <c r="X79" s="220"/>
      <c r="Y79" s="435"/>
      <c r="Z79" s="220"/>
      <c r="AA79" s="220"/>
      <c r="AB79" s="220"/>
      <c r="AC79" s="220"/>
      <c r="AD79" s="435"/>
      <c r="AE79" s="220"/>
      <c r="AF79" s="220"/>
      <c r="AG79" s="220"/>
      <c r="AH79" s="220"/>
      <c r="AI79" s="435"/>
      <c r="AJ79" s="220"/>
      <c r="AK79" s="220"/>
      <c r="AL79" s="220"/>
      <c r="AM79" s="220"/>
      <c r="AN79" s="435"/>
      <c r="AO79" s="220"/>
      <c r="AP79" s="220"/>
      <c r="AQ79" s="220"/>
      <c r="AR79" s="220"/>
      <c r="AS79" s="435"/>
      <c r="AT79" s="220"/>
      <c r="AU79" s="220"/>
      <c r="AV79" s="220"/>
      <c r="AW79" s="220"/>
      <c r="AX79" s="435"/>
    </row>
    <row r="80" spans="2:50">
      <c r="B80" s="436"/>
      <c r="C80" s="220">
        <v>14</v>
      </c>
      <c r="D80" s="220"/>
      <c r="E80" s="220"/>
      <c r="F80" s="220"/>
      <c r="G80" s="220"/>
      <c r="H80" s="438"/>
      <c r="I80" s="221"/>
      <c r="J80" s="221"/>
      <c r="K80" s="222"/>
      <c r="L80" s="438"/>
      <c r="M80" s="221"/>
      <c r="N80" s="440"/>
      <c r="O80" s="440"/>
      <c r="P80" s="220"/>
      <c r="Q80" s="220"/>
      <c r="R80" s="220"/>
      <c r="S80" s="220"/>
      <c r="T80" s="435"/>
      <c r="U80" s="220"/>
      <c r="V80" s="220"/>
      <c r="W80" s="220"/>
      <c r="X80" s="220"/>
      <c r="Y80" s="435"/>
      <c r="Z80" s="220"/>
      <c r="AA80" s="220"/>
      <c r="AB80" s="220"/>
      <c r="AC80" s="220"/>
      <c r="AD80" s="435"/>
      <c r="AE80" s="220"/>
      <c r="AF80" s="220"/>
      <c r="AG80" s="220"/>
      <c r="AH80" s="220"/>
      <c r="AI80" s="435"/>
      <c r="AJ80" s="220"/>
      <c r="AK80" s="220"/>
      <c r="AL80" s="220"/>
      <c r="AM80" s="220"/>
      <c r="AN80" s="435"/>
      <c r="AO80" s="220"/>
      <c r="AP80" s="220"/>
      <c r="AQ80" s="220"/>
      <c r="AR80" s="220"/>
      <c r="AS80" s="435"/>
      <c r="AT80" s="220"/>
      <c r="AU80" s="220"/>
      <c r="AV80" s="220"/>
      <c r="AW80" s="220"/>
      <c r="AX80" s="435"/>
    </row>
    <row r="81" spans="2:50">
      <c r="B81" s="436"/>
      <c r="C81" s="220">
        <v>15</v>
      </c>
      <c r="D81" s="220"/>
      <c r="E81" s="220"/>
      <c r="F81" s="220"/>
      <c r="G81" s="220"/>
      <c r="H81" s="439"/>
      <c r="I81" s="221"/>
      <c r="J81" s="221"/>
      <c r="K81" s="222"/>
      <c r="L81" s="439"/>
      <c r="M81" s="221"/>
      <c r="N81" s="440"/>
      <c r="O81" s="440"/>
      <c r="P81" s="220"/>
      <c r="Q81" s="220"/>
      <c r="R81" s="220"/>
      <c r="S81" s="220"/>
      <c r="T81" s="435"/>
      <c r="U81" s="220"/>
      <c r="V81" s="220"/>
      <c r="W81" s="220"/>
      <c r="X81" s="220"/>
      <c r="Y81" s="435"/>
      <c r="Z81" s="220"/>
      <c r="AA81" s="220"/>
      <c r="AB81" s="220"/>
      <c r="AC81" s="220"/>
      <c r="AD81" s="435"/>
      <c r="AE81" s="220"/>
      <c r="AF81" s="220"/>
      <c r="AG81" s="220"/>
      <c r="AH81" s="220"/>
      <c r="AI81" s="435"/>
      <c r="AJ81" s="220"/>
      <c r="AK81" s="220"/>
      <c r="AL81" s="220"/>
      <c r="AM81" s="220"/>
      <c r="AN81" s="435"/>
      <c r="AO81" s="220"/>
      <c r="AP81" s="220"/>
      <c r="AQ81" s="220"/>
      <c r="AR81" s="220"/>
      <c r="AS81" s="435"/>
      <c r="AT81" s="220"/>
      <c r="AU81" s="220"/>
      <c r="AV81" s="220"/>
      <c r="AW81" s="220"/>
      <c r="AX81" s="435"/>
    </row>
    <row r="82" spans="2:50" ht="15.75">
      <c r="B82" s="457" t="s">
        <v>44</v>
      </c>
      <c r="C82" s="453"/>
      <c r="D82" s="453"/>
      <c r="E82" s="453"/>
      <c r="F82" s="453"/>
      <c r="G82" s="453"/>
      <c r="H82" s="453"/>
      <c r="I82" s="225"/>
      <c r="J82" s="225"/>
      <c r="K82" s="225"/>
      <c r="L82" s="225"/>
      <c r="M82" s="226"/>
      <c r="N82" s="449" t="s">
        <v>45</v>
      </c>
      <c r="O82" s="449" t="s">
        <v>3</v>
      </c>
      <c r="P82" s="444">
        <v>45986</v>
      </c>
      <c r="Q82" s="436"/>
      <c r="R82" s="436"/>
      <c r="S82" s="436"/>
      <c r="T82" s="436"/>
      <c r="U82" s="444">
        <v>45987</v>
      </c>
      <c r="V82" s="436"/>
      <c r="W82" s="436"/>
      <c r="X82" s="436"/>
      <c r="Y82" s="436"/>
      <c r="Z82" s="444">
        <v>45988</v>
      </c>
      <c r="AA82" s="436"/>
      <c r="AB82" s="436"/>
      <c r="AC82" s="436"/>
      <c r="AD82" s="436"/>
      <c r="AE82" s="444">
        <v>45989</v>
      </c>
      <c r="AF82" s="436"/>
      <c r="AG82" s="436"/>
      <c r="AH82" s="436"/>
      <c r="AI82" s="436"/>
      <c r="AJ82" s="444">
        <v>45990</v>
      </c>
      <c r="AK82" s="436"/>
      <c r="AL82" s="436"/>
      <c r="AM82" s="436"/>
      <c r="AN82" s="436"/>
      <c r="AO82" s="444">
        <v>45991</v>
      </c>
      <c r="AP82" s="436"/>
      <c r="AQ82" s="436"/>
      <c r="AR82" s="436"/>
      <c r="AS82" s="436"/>
      <c r="AT82" s="444">
        <v>45992</v>
      </c>
      <c r="AU82" s="436"/>
      <c r="AV82" s="436"/>
      <c r="AW82" s="436"/>
      <c r="AX82" s="436"/>
    </row>
    <row r="83" spans="2:50" ht="15.75">
      <c r="B83" s="454"/>
      <c r="C83" s="454"/>
      <c r="D83" s="454"/>
      <c r="E83" s="454"/>
      <c r="F83" s="454"/>
      <c r="G83" s="454"/>
      <c r="H83" s="454"/>
      <c r="I83" s="216"/>
      <c r="J83" s="216"/>
      <c r="K83" s="216"/>
      <c r="L83" s="216"/>
      <c r="M83" s="217"/>
      <c r="N83" s="451"/>
      <c r="O83" s="451"/>
      <c r="P83" s="444" t="s">
        <v>16</v>
      </c>
      <c r="Q83" s="436"/>
      <c r="R83" s="436"/>
      <c r="S83" s="436"/>
      <c r="T83" s="436"/>
      <c r="U83" s="444" t="s">
        <v>17</v>
      </c>
      <c r="V83" s="436"/>
      <c r="W83" s="436"/>
      <c r="X83" s="436"/>
      <c r="Y83" s="436"/>
      <c r="Z83" s="444" t="s">
        <v>18</v>
      </c>
      <c r="AA83" s="436"/>
      <c r="AB83" s="436"/>
      <c r="AC83" s="436"/>
      <c r="AD83" s="436"/>
      <c r="AE83" s="444" t="s">
        <v>19</v>
      </c>
      <c r="AF83" s="436"/>
      <c r="AG83" s="436"/>
      <c r="AH83" s="436"/>
      <c r="AI83" s="436"/>
      <c r="AJ83" s="444" t="s">
        <v>14</v>
      </c>
      <c r="AK83" s="436"/>
      <c r="AL83" s="436"/>
      <c r="AM83" s="436"/>
      <c r="AN83" s="436"/>
      <c r="AO83" s="444" t="s">
        <v>10</v>
      </c>
      <c r="AP83" s="436"/>
      <c r="AQ83" s="436"/>
      <c r="AR83" s="436"/>
      <c r="AS83" s="436"/>
      <c r="AT83" s="444" t="s">
        <v>15</v>
      </c>
      <c r="AU83" s="436"/>
      <c r="AV83" s="436"/>
      <c r="AW83" s="436"/>
      <c r="AX83" s="436"/>
    </row>
    <row r="84" spans="2:50">
      <c r="B84" s="440" t="s">
        <v>46</v>
      </c>
      <c r="C84" s="440" t="s">
        <v>47</v>
      </c>
      <c r="D84" s="440"/>
      <c r="E84" s="440" t="s">
        <v>48</v>
      </c>
      <c r="F84" s="440"/>
      <c r="G84" s="440"/>
      <c r="H84" s="446" t="s">
        <v>49</v>
      </c>
      <c r="I84" s="440" t="s">
        <v>50</v>
      </c>
      <c r="J84" s="440"/>
      <c r="K84" s="440"/>
      <c r="L84" s="446" t="s">
        <v>49</v>
      </c>
      <c r="M84" s="449" t="s">
        <v>51</v>
      </c>
      <c r="N84" s="440"/>
      <c r="O84" s="440" t="s">
        <v>52</v>
      </c>
      <c r="P84" s="441" t="s">
        <v>53</v>
      </c>
      <c r="Q84" s="442"/>
      <c r="R84" s="442"/>
      <c r="S84" s="443"/>
      <c r="T84" s="440" t="s">
        <v>49</v>
      </c>
      <c r="U84" s="441" t="s">
        <v>53</v>
      </c>
      <c r="V84" s="442"/>
      <c r="W84" s="442"/>
      <c r="X84" s="443"/>
      <c r="Y84" s="440" t="s">
        <v>49</v>
      </c>
      <c r="Z84" s="441" t="s">
        <v>53</v>
      </c>
      <c r="AA84" s="442"/>
      <c r="AB84" s="442"/>
      <c r="AC84" s="443"/>
      <c r="AD84" s="440" t="s">
        <v>49</v>
      </c>
      <c r="AE84" s="441" t="s">
        <v>53</v>
      </c>
      <c r="AF84" s="442"/>
      <c r="AG84" s="442"/>
      <c r="AH84" s="443"/>
      <c r="AI84" s="440" t="s">
        <v>49</v>
      </c>
      <c r="AJ84" s="441" t="s">
        <v>53</v>
      </c>
      <c r="AK84" s="442"/>
      <c r="AL84" s="442"/>
      <c r="AM84" s="443"/>
      <c r="AN84" s="440" t="s">
        <v>49</v>
      </c>
      <c r="AO84" s="441" t="s">
        <v>53</v>
      </c>
      <c r="AP84" s="442"/>
      <c r="AQ84" s="442"/>
      <c r="AR84" s="443"/>
      <c r="AS84" s="440" t="s">
        <v>49</v>
      </c>
      <c r="AT84" s="441" t="s">
        <v>53</v>
      </c>
      <c r="AU84" s="442"/>
      <c r="AV84" s="442"/>
      <c r="AW84" s="443"/>
      <c r="AX84" s="440" t="s">
        <v>49</v>
      </c>
    </row>
    <row r="85" spans="2:50">
      <c r="B85" s="440"/>
      <c r="C85" s="440"/>
      <c r="D85" s="440"/>
      <c r="E85" s="440" t="s">
        <v>54</v>
      </c>
      <c r="F85" s="440"/>
      <c r="G85" s="440"/>
      <c r="H85" s="447"/>
      <c r="I85" s="440" t="s">
        <v>54</v>
      </c>
      <c r="J85" s="440"/>
      <c r="K85" s="440"/>
      <c r="L85" s="447"/>
      <c r="M85" s="450"/>
      <c r="N85" s="440"/>
      <c r="O85" s="440"/>
      <c r="P85" s="441" t="s">
        <v>55</v>
      </c>
      <c r="Q85" s="442"/>
      <c r="R85" s="442"/>
      <c r="S85" s="443"/>
      <c r="T85" s="440"/>
      <c r="U85" s="441" t="s">
        <v>55</v>
      </c>
      <c r="V85" s="442"/>
      <c r="W85" s="442"/>
      <c r="X85" s="443"/>
      <c r="Y85" s="440"/>
      <c r="Z85" s="441" t="s">
        <v>55</v>
      </c>
      <c r="AA85" s="442"/>
      <c r="AB85" s="442"/>
      <c r="AC85" s="443"/>
      <c r="AD85" s="440"/>
      <c r="AE85" s="441" t="s">
        <v>55</v>
      </c>
      <c r="AF85" s="442"/>
      <c r="AG85" s="442"/>
      <c r="AH85" s="443"/>
      <c r="AI85" s="440"/>
      <c r="AJ85" s="441" t="s">
        <v>55</v>
      </c>
      <c r="AK85" s="442"/>
      <c r="AL85" s="442"/>
      <c r="AM85" s="443"/>
      <c r="AN85" s="440"/>
      <c r="AO85" s="441" t="s">
        <v>55</v>
      </c>
      <c r="AP85" s="442"/>
      <c r="AQ85" s="442"/>
      <c r="AR85" s="443"/>
      <c r="AS85" s="440"/>
      <c r="AT85" s="441" t="s">
        <v>55</v>
      </c>
      <c r="AU85" s="442"/>
      <c r="AV85" s="442"/>
      <c r="AW85" s="443"/>
      <c r="AX85" s="440"/>
    </row>
    <row r="86" spans="2:50">
      <c r="B86" s="440"/>
      <c r="C86" s="440"/>
      <c r="D86" s="440"/>
      <c r="E86" s="219" t="s">
        <v>56</v>
      </c>
      <c r="F86" s="219" t="s">
        <v>57</v>
      </c>
      <c r="G86" s="219" t="s">
        <v>58</v>
      </c>
      <c r="H86" s="448"/>
      <c r="I86" s="219" t="s">
        <v>56</v>
      </c>
      <c r="J86" s="219" t="s">
        <v>57</v>
      </c>
      <c r="K86" s="219" t="s">
        <v>58</v>
      </c>
      <c r="L86" s="448"/>
      <c r="M86" s="451"/>
      <c r="N86" s="440"/>
      <c r="O86" s="440"/>
      <c r="P86" s="219" t="s">
        <v>56</v>
      </c>
      <c r="Q86" s="219" t="s">
        <v>57</v>
      </c>
      <c r="R86" s="219" t="s">
        <v>58</v>
      </c>
      <c r="S86" s="219" t="s">
        <v>51</v>
      </c>
      <c r="T86" s="440"/>
      <c r="U86" s="219" t="s">
        <v>56</v>
      </c>
      <c r="V86" s="219" t="s">
        <v>57</v>
      </c>
      <c r="W86" s="219" t="s">
        <v>58</v>
      </c>
      <c r="X86" s="219" t="s">
        <v>51</v>
      </c>
      <c r="Y86" s="440"/>
      <c r="Z86" s="219" t="s">
        <v>56</v>
      </c>
      <c r="AA86" s="219" t="s">
        <v>57</v>
      </c>
      <c r="AB86" s="219" t="s">
        <v>58</v>
      </c>
      <c r="AC86" s="219" t="s">
        <v>51</v>
      </c>
      <c r="AD86" s="440"/>
      <c r="AE86" s="219" t="s">
        <v>56</v>
      </c>
      <c r="AF86" s="219" t="s">
        <v>57</v>
      </c>
      <c r="AG86" s="219" t="s">
        <v>58</v>
      </c>
      <c r="AH86" s="219" t="s">
        <v>51</v>
      </c>
      <c r="AI86" s="440"/>
      <c r="AJ86" s="219" t="s">
        <v>56</v>
      </c>
      <c r="AK86" s="219" t="s">
        <v>57</v>
      </c>
      <c r="AL86" s="219" t="s">
        <v>58</v>
      </c>
      <c r="AM86" s="219" t="s">
        <v>51</v>
      </c>
      <c r="AN86" s="440"/>
      <c r="AO86" s="219" t="s">
        <v>56</v>
      </c>
      <c r="AP86" s="219" t="s">
        <v>57</v>
      </c>
      <c r="AQ86" s="219" t="s">
        <v>58</v>
      </c>
      <c r="AR86" s="219" t="s">
        <v>51</v>
      </c>
      <c r="AS86" s="440"/>
      <c r="AT86" s="219" t="s">
        <v>56</v>
      </c>
      <c r="AU86" s="219" t="s">
        <v>57</v>
      </c>
      <c r="AV86" s="219" t="s">
        <v>58</v>
      </c>
      <c r="AW86" s="219" t="s">
        <v>51</v>
      </c>
      <c r="AX86" s="440"/>
    </row>
    <row r="87" spans="2:50">
      <c r="B87" s="440" t="s">
        <v>35</v>
      </c>
      <c r="C87" s="220">
        <v>1</v>
      </c>
      <c r="D87" s="220" t="s">
        <v>61</v>
      </c>
      <c r="E87" s="221">
        <f>VLOOKUP(D87,'11產線配置圖'!$A$2:$C$30,2,0)</f>
        <v>13</v>
      </c>
      <c r="F87" s="221">
        <f>VLOOKUP(D87,'11產線配置圖'!$A$2:$C$30,3,0)</f>
        <v>1565</v>
      </c>
      <c r="G87" s="222">
        <f>F87/E87</f>
        <v>120.38461538461539</v>
      </c>
      <c r="H87" s="437">
        <f>AVERAGE(G87:G101)</f>
        <v>127.07264957264958</v>
      </c>
      <c r="I87" s="221" t="e">
        <f>AVERAGE(P87,U87,Z87,AE87,AJ87,AO87,AT87)</f>
        <v>#DIV/0!</v>
      </c>
      <c r="J87" s="221" t="e">
        <f>AVERAGE(Q87,V87,AA87,AF87,AK87,AP87,AU87)</f>
        <v>#DIV/0!</v>
      </c>
      <c r="K87" s="222" t="e">
        <f>AVERAGE(R87,W87,AB87,AG87,AL87,AQ87,AV87)</f>
        <v>#DIV/0!</v>
      </c>
      <c r="L87" s="437" t="str">
        <f>IFERROR(AVERAGE(K87:K101),"-")</f>
        <v>-</v>
      </c>
      <c r="M87" s="221" t="e">
        <f>RANK(K87, K$87:$K$101)</f>
        <v>#DIV/0!</v>
      </c>
      <c r="N87" s="440"/>
      <c r="O87" s="440"/>
      <c r="P87" s="221"/>
      <c r="Q87" s="221"/>
      <c r="R87" s="222" t="e">
        <f>Q87/P87</f>
        <v>#DIV/0!</v>
      </c>
      <c r="S87" s="220" t="e">
        <f>RANK(R87,$R$87:$R$101)</f>
        <v>#DIV/0!</v>
      </c>
      <c r="T87" s="435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RANK(W87,$W$87:$W$90)</f>
        <v>#DIV/0!</v>
      </c>
      <c r="Y87" s="435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RANK(AB87,$AB$87:$AB$101)</f>
        <v>#DIV/0!</v>
      </c>
      <c r="AD87" s="435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35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RANK(AL87,$AL$87:$AL$90)</f>
        <v>#DIV/0!</v>
      </c>
      <c r="AN87" s="435" t="e">
        <f>AVERAGE(AL87:AL101)</f>
        <v>#DIV/0!</v>
      </c>
      <c r="AO87" s="220"/>
      <c r="AP87" s="220"/>
      <c r="AQ87" s="222" t="e">
        <f>AP87/AO87</f>
        <v>#DIV/0!</v>
      </c>
      <c r="AR87" s="220" t="e">
        <f>RANK(AQ87,$AQ$87:$AQ$101)</f>
        <v>#DIV/0!</v>
      </c>
      <c r="AS87" s="435" t="e">
        <f>AVERAGE(AQ87:AQ101)</f>
        <v>#DIV/0!</v>
      </c>
      <c r="AT87" s="220"/>
      <c r="AU87" s="220"/>
      <c r="AV87" s="222" t="e">
        <f>AU87/AT87</f>
        <v>#DIV/0!</v>
      </c>
      <c r="AW87" s="220" t="e">
        <f>RANK(AV87,$AV$87:$AV$101)</f>
        <v>#DIV/0!</v>
      </c>
      <c r="AX87" s="435" t="e">
        <f>AVERAGE(AV87:AV101)</f>
        <v>#DIV/0!</v>
      </c>
    </row>
    <row r="88" spans="2:50">
      <c r="B88" s="436"/>
      <c r="C88" s="220">
        <v>2</v>
      </c>
      <c r="D88" s="220" t="s">
        <v>62</v>
      </c>
      <c r="E88" s="221">
        <f>VLOOKUP(D88,'11產線配置圖'!$A$2:$C$30,2,0)</f>
        <v>12</v>
      </c>
      <c r="F88" s="221">
        <f>VLOOKUP(D88,'11產線配置圖'!$A$2:$C$30,3,0)</f>
        <v>1565</v>
      </c>
      <c r="G88" s="222">
        <f>F88/E88</f>
        <v>130.41666666666666</v>
      </c>
      <c r="H88" s="438"/>
      <c r="I88" s="221" t="e">
        <f t="shared" ref="I88:K89" si="6">AVERAGE(P88,U88,Z88,AE88,AJ88,AO88,AT88)</f>
        <v>#DIV/0!</v>
      </c>
      <c r="J88" s="221" t="e">
        <f t="shared" si="6"/>
        <v>#DIV/0!</v>
      </c>
      <c r="K88" s="222" t="e">
        <f t="shared" si="6"/>
        <v>#DIV/0!</v>
      </c>
      <c r="L88" s="438"/>
      <c r="M88" s="221" t="e">
        <f>RANK(K88, K$87:$K$101)</f>
        <v>#DIV/0!</v>
      </c>
      <c r="N88" s="440"/>
      <c r="O88" s="440"/>
      <c r="P88" s="221"/>
      <c r="Q88" s="221"/>
      <c r="R88" s="222" t="e">
        <f>Q88/P88</f>
        <v>#DIV/0!</v>
      </c>
      <c r="S88" s="220" t="e">
        <f>RANK(R88,$R$87:$R$101)</f>
        <v>#DIV/0!</v>
      </c>
      <c r="T88" s="435"/>
      <c r="U88" s="221"/>
      <c r="V88" s="221"/>
      <c r="W88" s="222" t="e">
        <f>V88/U88</f>
        <v>#DIV/0!</v>
      </c>
      <c r="X88" s="220" t="e">
        <f>RANK(W88,$W$87:$W$90)</f>
        <v>#DIV/0!</v>
      </c>
      <c r="Y88" s="435"/>
      <c r="Z88" s="221"/>
      <c r="AA88" s="221"/>
      <c r="AB88" s="222" t="e">
        <f>AA88/Z88</f>
        <v>#DIV/0!</v>
      </c>
      <c r="AC88" s="220" t="e">
        <f>RANK(AB88,$AB$87:$AB$101)</f>
        <v>#DIV/0!</v>
      </c>
      <c r="AD88" s="435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35"/>
      <c r="AJ88" s="221"/>
      <c r="AK88" s="221"/>
      <c r="AL88" s="222" t="e">
        <f>AK88/AJ88</f>
        <v>#DIV/0!</v>
      </c>
      <c r="AM88" s="220" t="e">
        <f>RANK(AL88,$AL$87:$AL$90)</f>
        <v>#DIV/0!</v>
      </c>
      <c r="AN88" s="435"/>
      <c r="AO88" s="220"/>
      <c r="AP88" s="220"/>
      <c r="AQ88" s="222" t="e">
        <f>AP88/AO88</f>
        <v>#DIV/0!</v>
      </c>
      <c r="AR88" s="220" t="e">
        <f>RANK(AQ88,$AQ$87:$AQ$101)</f>
        <v>#DIV/0!</v>
      </c>
      <c r="AS88" s="435"/>
      <c r="AT88" s="220"/>
      <c r="AU88" s="220"/>
      <c r="AV88" s="222" t="e">
        <f>AU88/AT88</f>
        <v>#DIV/0!</v>
      </c>
      <c r="AW88" s="220" t="e">
        <f>RANK(AV88,$AV$87:$AV$101)</f>
        <v>#DIV/0!</v>
      </c>
      <c r="AX88" s="435"/>
    </row>
    <row r="89" spans="2:50">
      <c r="B89" s="436"/>
      <c r="C89" s="220">
        <v>3</v>
      </c>
      <c r="D89" s="220" t="s">
        <v>63</v>
      </c>
      <c r="E89" s="221">
        <f>VLOOKUP(D89,'11產線配置圖'!$A$2:$C$30,2,0)</f>
        <v>12</v>
      </c>
      <c r="F89" s="221">
        <f>VLOOKUP(D89,'11產線配置圖'!$A$2:$C$30,3,0)</f>
        <v>1565</v>
      </c>
      <c r="G89" s="222">
        <f>F89/E89</f>
        <v>130.41666666666666</v>
      </c>
      <c r="H89" s="438"/>
      <c r="I89" s="221" t="e">
        <f t="shared" si="6"/>
        <v>#DIV/0!</v>
      </c>
      <c r="J89" s="221" t="e">
        <f t="shared" si="6"/>
        <v>#DIV/0!</v>
      </c>
      <c r="K89" s="222" t="e">
        <f t="shared" si="6"/>
        <v>#DIV/0!</v>
      </c>
      <c r="L89" s="438"/>
      <c r="M89" s="221" t="e">
        <f>RANK(K89, K$87:$K$101)</f>
        <v>#DIV/0!</v>
      </c>
      <c r="N89" s="440"/>
      <c r="O89" s="440"/>
      <c r="P89" s="221"/>
      <c r="Q89" s="221"/>
      <c r="R89" s="222" t="e">
        <f>Q89/P89</f>
        <v>#DIV/0!</v>
      </c>
      <c r="S89" s="220" t="e">
        <f>RANK(R89,$R$87:$R$101)</f>
        <v>#DIV/0!</v>
      </c>
      <c r="T89" s="435"/>
      <c r="U89" s="221"/>
      <c r="V89" s="221"/>
      <c r="W89" s="222" t="e">
        <f>V89/U89</f>
        <v>#DIV/0!</v>
      </c>
      <c r="X89" s="220" t="e">
        <f>RANK(W89,$W$87:$W$90)</f>
        <v>#DIV/0!</v>
      </c>
      <c r="Y89" s="435"/>
      <c r="Z89" s="221"/>
      <c r="AA89" s="221"/>
      <c r="AB89" s="222" t="e">
        <f>AA89/Z89</f>
        <v>#DIV/0!</v>
      </c>
      <c r="AC89" s="220" t="e">
        <f>RANK(AB89,$AB$87:$AB$101)</f>
        <v>#DIV/0!</v>
      </c>
      <c r="AD89" s="435"/>
      <c r="AE89" s="221"/>
      <c r="AF89" s="221"/>
      <c r="AG89" s="222" t="e">
        <f>AF89/AE89</f>
        <v>#DIV/0!</v>
      </c>
      <c r="AH89" s="220" t="e">
        <f>RANK(AG89,$AG$87:$AG$101)</f>
        <v>#DIV/0!</v>
      </c>
      <c r="AI89" s="435"/>
      <c r="AJ89" s="221"/>
      <c r="AK89" s="221"/>
      <c r="AL89" s="222" t="e">
        <f>AK89/AJ89</f>
        <v>#DIV/0!</v>
      </c>
      <c r="AM89" s="220" t="e">
        <f>RANK(AL89,$AL$87:$AL$90)</f>
        <v>#DIV/0!</v>
      </c>
      <c r="AN89" s="435"/>
      <c r="AO89" s="220"/>
      <c r="AP89" s="220"/>
      <c r="AQ89" s="222" t="e">
        <f>AP89/AO89</f>
        <v>#DIV/0!</v>
      </c>
      <c r="AR89" s="220" t="e">
        <f>RANK(AQ89,$AQ$87:$AQ$101)</f>
        <v>#DIV/0!</v>
      </c>
      <c r="AS89" s="435"/>
      <c r="AT89" s="220"/>
      <c r="AU89" s="220"/>
      <c r="AV89" s="222" t="e">
        <f>AU89/AT89</f>
        <v>#DIV/0!</v>
      </c>
      <c r="AW89" s="220" t="e">
        <f>RANK(AV89,$AV$87:$AV$101)</f>
        <v>#DIV/0!</v>
      </c>
      <c r="AX89" s="435"/>
    </row>
    <row r="90" spans="2:50">
      <c r="B90" s="436"/>
      <c r="C90" s="220">
        <v>4</v>
      </c>
      <c r="D90" s="220"/>
      <c r="E90" s="221"/>
      <c r="F90" s="221"/>
      <c r="G90" s="222"/>
      <c r="H90" s="438"/>
      <c r="I90" s="221"/>
      <c r="J90" s="221"/>
      <c r="K90" s="222"/>
      <c r="L90" s="438"/>
      <c r="M90" s="221"/>
      <c r="N90" s="440"/>
      <c r="O90" s="440"/>
      <c r="P90" s="221"/>
      <c r="Q90" s="221"/>
      <c r="R90" s="222"/>
      <c r="S90" s="220"/>
      <c r="T90" s="435"/>
      <c r="U90" s="221"/>
      <c r="V90" s="221"/>
      <c r="W90" s="222"/>
      <c r="X90" s="220"/>
      <c r="Y90" s="435"/>
      <c r="Z90" s="221"/>
      <c r="AA90" s="221"/>
      <c r="AB90" s="222"/>
      <c r="AC90" s="220"/>
      <c r="AD90" s="435"/>
      <c r="AE90" s="221"/>
      <c r="AF90" s="221"/>
      <c r="AG90" s="222"/>
      <c r="AH90" s="220"/>
      <c r="AI90" s="435"/>
      <c r="AJ90" s="221"/>
      <c r="AK90" s="221"/>
      <c r="AL90" s="222"/>
      <c r="AM90" s="220"/>
      <c r="AN90" s="435"/>
      <c r="AO90" s="220"/>
      <c r="AP90" s="220"/>
      <c r="AQ90" s="220"/>
      <c r="AR90" s="220"/>
      <c r="AS90" s="435"/>
      <c r="AT90" s="220"/>
      <c r="AU90" s="220"/>
      <c r="AV90" s="220"/>
      <c r="AW90" s="220"/>
      <c r="AX90" s="435"/>
    </row>
    <row r="91" spans="2:50">
      <c r="B91" s="436"/>
      <c r="C91" s="220">
        <v>5</v>
      </c>
      <c r="D91" s="220"/>
      <c r="E91" s="221"/>
      <c r="F91" s="221"/>
      <c r="G91" s="222"/>
      <c r="H91" s="438"/>
      <c r="I91" s="221"/>
      <c r="J91" s="221"/>
      <c r="K91" s="222"/>
      <c r="L91" s="438"/>
      <c r="M91" s="221"/>
      <c r="N91" s="440"/>
      <c r="O91" s="440"/>
      <c r="P91" s="221"/>
      <c r="Q91" s="221"/>
      <c r="R91" s="220"/>
      <c r="S91" s="220"/>
      <c r="T91" s="435"/>
      <c r="U91" s="221"/>
      <c r="V91" s="221"/>
      <c r="W91" s="220"/>
      <c r="X91" s="220"/>
      <c r="Y91" s="435"/>
      <c r="Z91" s="221"/>
      <c r="AA91" s="221"/>
      <c r="AB91" s="220"/>
      <c r="AC91" s="220"/>
      <c r="AD91" s="435"/>
      <c r="AE91" s="221"/>
      <c r="AF91" s="221"/>
      <c r="AG91" s="220"/>
      <c r="AH91" s="220"/>
      <c r="AI91" s="435"/>
      <c r="AJ91" s="221"/>
      <c r="AK91" s="221"/>
      <c r="AL91" s="220"/>
      <c r="AM91" s="220"/>
      <c r="AN91" s="435"/>
      <c r="AO91" s="220"/>
      <c r="AP91" s="220"/>
      <c r="AQ91" s="220"/>
      <c r="AR91" s="220"/>
      <c r="AS91" s="435"/>
      <c r="AT91" s="220"/>
      <c r="AU91" s="220"/>
      <c r="AV91" s="220"/>
      <c r="AW91" s="220"/>
      <c r="AX91" s="435"/>
    </row>
    <row r="92" spans="2:50">
      <c r="B92" s="436"/>
      <c r="C92" s="220">
        <v>6</v>
      </c>
      <c r="D92" s="220"/>
      <c r="E92" s="221"/>
      <c r="F92" s="221"/>
      <c r="G92" s="222"/>
      <c r="H92" s="438"/>
      <c r="I92" s="221"/>
      <c r="J92" s="221"/>
      <c r="K92" s="222"/>
      <c r="L92" s="438"/>
      <c r="M92" s="221"/>
      <c r="N92" s="440"/>
      <c r="O92" s="440"/>
      <c r="P92" s="220"/>
      <c r="Q92" s="220"/>
      <c r="R92" s="220"/>
      <c r="S92" s="220"/>
      <c r="T92" s="435"/>
      <c r="U92" s="220"/>
      <c r="V92" s="220"/>
      <c r="W92" s="220"/>
      <c r="X92" s="220"/>
      <c r="Y92" s="435"/>
      <c r="Z92" s="220"/>
      <c r="AA92" s="220"/>
      <c r="AB92" s="220"/>
      <c r="AC92" s="220"/>
      <c r="AD92" s="435"/>
      <c r="AE92" s="220"/>
      <c r="AF92" s="220"/>
      <c r="AG92" s="220"/>
      <c r="AH92" s="220"/>
      <c r="AI92" s="435"/>
      <c r="AJ92" s="220"/>
      <c r="AK92" s="220"/>
      <c r="AL92" s="220"/>
      <c r="AM92" s="220"/>
      <c r="AN92" s="435"/>
      <c r="AO92" s="220"/>
      <c r="AP92" s="220"/>
      <c r="AQ92" s="220"/>
      <c r="AR92" s="220"/>
      <c r="AS92" s="435"/>
      <c r="AT92" s="220"/>
      <c r="AU92" s="220"/>
      <c r="AV92" s="220"/>
      <c r="AW92" s="220"/>
      <c r="AX92" s="435"/>
    </row>
    <row r="93" spans="2:50">
      <c r="B93" s="436"/>
      <c r="C93" s="220">
        <v>7</v>
      </c>
      <c r="D93" s="220"/>
      <c r="E93" s="221"/>
      <c r="F93" s="221"/>
      <c r="G93" s="222"/>
      <c r="H93" s="438"/>
      <c r="I93" s="221"/>
      <c r="J93" s="221"/>
      <c r="K93" s="222"/>
      <c r="L93" s="438"/>
      <c r="M93" s="221"/>
      <c r="N93" s="440"/>
      <c r="O93" s="440"/>
      <c r="P93" s="220"/>
      <c r="Q93" s="220"/>
      <c r="R93" s="220"/>
      <c r="S93" s="220"/>
      <c r="T93" s="435"/>
      <c r="U93" s="220"/>
      <c r="V93" s="220"/>
      <c r="W93" s="220"/>
      <c r="X93" s="220"/>
      <c r="Y93" s="435"/>
      <c r="Z93" s="220"/>
      <c r="AA93" s="220"/>
      <c r="AB93" s="220"/>
      <c r="AC93" s="220"/>
      <c r="AD93" s="435"/>
      <c r="AE93" s="220"/>
      <c r="AF93" s="220"/>
      <c r="AG93" s="220"/>
      <c r="AH93" s="220"/>
      <c r="AI93" s="435"/>
      <c r="AJ93" s="220"/>
      <c r="AK93" s="220"/>
      <c r="AL93" s="220"/>
      <c r="AM93" s="220"/>
      <c r="AN93" s="435"/>
      <c r="AO93" s="220"/>
      <c r="AP93" s="220"/>
      <c r="AQ93" s="220"/>
      <c r="AR93" s="220"/>
      <c r="AS93" s="435"/>
      <c r="AT93" s="220"/>
      <c r="AU93" s="220"/>
      <c r="AV93" s="220"/>
      <c r="AW93" s="220"/>
      <c r="AX93" s="435"/>
    </row>
    <row r="94" spans="2:50">
      <c r="B94" s="436"/>
      <c r="C94" s="220">
        <v>8</v>
      </c>
      <c r="D94" s="220"/>
      <c r="E94" s="220"/>
      <c r="F94" s="220"/>
      <c r="G94" s="220"/>
      <c r="H94" s="438"/>
      <c r="I94" s="221"/>
      <c r="J94" s="221"/>
      <c r="K94" s="222"/>
      <c r="L94" s="438"/>
      <c r="M94" s="221"/>
      <c r="N94" s="440"/>
      <c r="O94" s="440"/>
      <c r="P94" s="220"/>
      <c r="Q94" s="220"/>
      <c r="R94" s="220"/>
      <c r="S94" s="220"/>
      <c r="T94" s="435"/>
      <c r="U94" s="220"/>
      <c r="V94" s="220"/>
      <c r="W94" s="220"/>
      <c r="X94" s="220"/>
      <c r="Y94" s="435"/>
      <c r="Z94" s="220"/>
      <c r="AA94" s="220"/>
      <c r="AB94" s="220"/>
      <c r="AC94" s="220"/>
      <c r="AD94" s="435"/>
      <c r="AE94" s="220"/>
      <c r="AF94" s="220"/>
      <c r="AG94" s="220"/>
      <c r="AH94" s="220"/>
      <c r="AI94" s="435"/>
      <c r="AJ94" s="220"/>
      <c r="AK94" s="220"/>
      <c r="AL94" s="220"/>
      <c r="AM94" s="220"/>
      <c r="AN94" s="435"/>
      <c r="AO94" s="220"/>
      <c r="AP94" s="220"/>
      <c r="AQ94" s="220"/>
      <c r="AR94" s="220"/>
      <c r="AS94" s="435"/>
      <c r="AT94" s="220"/>
      <c r="AU94" s="220"/>
      <c r="AV94" s="220"/>
      <c r="AW94" s="220"/>
      <c r="AX94" s="435"/>
    </row>
    <row r="95" spans="2:50">
      <c r="B95" s="436"/>
      <c r="C95" s="220">
        <v>9</v>
      </c>
      <c r="D95" s="220"/>
      <c r="E95" s="220"/>
      <c r="F95" s="220"/>
      <c r="G95" s="220"/>
      <c r="H95" s="438"/>
      <c r="I95" s="221"/>
      <c r="J95" s="221"/>
      <c r="K95" s="222"/>
      <c r="L95" s="438"/>
      <c r="M95" s="221"/>
      <c r="N95" s="440"/>
      <c r="O95" s="440"/>
      <c r="P95" s="220"/>
      <c r="Q95" s="220"/>
      <c r="R95" s="220"/>
      <c r="S95" s="220"/>
      <c r="T95" s="435"/>
      <c r="U95" s="220"/>
      <c r="V95" s="220"/>
      <c r="W95" s="220"/>
      <c r="X95" s="220"/>
      <c r="Y95" s="435"/>
      <c r="Z95" s="220"/>
      <c r="AA95" s="220"/>
      <c r="AB95" s="220"/>
      <c r="AC95" s="220"/>
      <c r="AD95" s="435"/>
      <c r="AE95" s="220"/>
      <c r="AF95" s="220"/>
      <c r="AG95" s="220"/>
      <c r="AH95" s="220"/>
      <c r="AI95" s="435"/>
      <c r="AJ95" s="220"/>
      <c r="AK95" s="220"/>
      <c r="AL95" s="220"/>
      <c r="AM95" s="220"/>
      <c r="AN95" s="435"/>
      <c r="AO95" s="220"/>
      <c r="AP95" s="220"/>
      <c r="AQ95" s="220"/>
      <c r="AR95" s="220"/>
      <c r="AS95" s="435"/>
      <c r="AT95" s="220"/>
      <c r="AU95" s="220"/>
      <c r="AV95" s="220"/>
      <c r="AW95" s="220"/>
      <c r="AX95" s="435"/>
    </row>
    <row r="96" spans="2:50">
      <c r="B96" s="436"/>
      <c r="C96" s="220">
        <v>10</v>
      </c>
      <c r="D96" s="220"/>
      <c r="E96" s="220"/>
      <c r="F96" s="220"/>
      <c r="G96" s="220"/>
      <c r="H96" s="438"/>
      <c r="I96" s="221"/>
      <c r="J96" s="221"/>
      <c r="K96" s="222"/>
      <c r="L96" s="438"/>
      <c r="M96" s="221"/>
      <c r="N96" s="440"/>
      <c r="O96" s="440"/>
      <c r="P96" s="220"/>
      <c r="Q96" s="220"/>
      <c r="R96" s="220"/>
      <c r="S96" s="220"/>
      <c r="T96" s="435"/>
      <c r="U96" s="220"/>
      <c r="V96" s="220"/>
      <c r="W96" s="220"/>
      <c r="X96" s="220"/>
      <c r="Y96" s="435"/>
      <c r="Z96" s="220"/>
      <c r="AA96" s="220"/>
      <c r="AB96" s="220"/>
      <c r="AC96" s="220"/>
      <c r="AD96" s="435"/>
      <c r="AE96" s="220"/>
      <c r="AF96" s="220"/>
      <c r="AG96" s="220"/>
      <c r="AH96" s="220"/>
      <c r="AI96" s="435"/>
      <c r="AJ96" s="220"/>
      <c r="AK96" s="220"/>
      <c r="AL96" s="220"/>
      <c r="AM96" s="220"/>
      <c r="AN96" s="435"/>
      <c r="AO96" s="220"/>
      <c r="AP96" s="220"/>
      <c r="AQ96" s="220"/>
      <c r="AR96" s="220"/>
      <c r="AS96" s="435"/>
      <c r="AT96" s="220"/>
      <c r="AU96" s="220"/>
      <c r="AV96" s="220"/>
      <c r="AW96" s="220"/>
      <c r="AX96" s="435"/>
    </row>
    <row r="97" spans="2:50">
      <c r="B97" s="436"/>
      <c r="C97" s="220">
        <v>11</v>
      </c>
      <c r="D97" s="220"/>
      <c r="E97" s="220"/>
      <c r="F97" s="220"/>
      <c r="G97" s="220"/>
      <c r="H97" s="438"/>
      <c r="I97" s="221"/>
      <c r="J97" s="221"/>
      <c r="K97" s="222"/>
      <c r="L97" s="438"/>
      <c r="M97" s="221"/>
      <c r="N97" s="440"/>
      <c r="O97" s="440"/>
      <c r="P97" s="220"/>
      <c r="Q97" s="220"/>
      <c r="R97" s="220"/>
      <c r="S97" s="220"/>
      <c r="T97" s="435"/>
      <c r="U97" s="220"/>
      <c r="V97" s="220"/>
      <c r="W97" s="220"/>
      <c r="X97" s="220"/>
      <c r="Y97" s="435"/>
      <c r="Z97" s="220"/>
      <c r="AA97" s="220"/>
      <c r="AB97" s="220"/>
      <c r="AC97" s="220"/>
      <c r="AD97" s="435"/>
      <c r="AE97" s="220"/>
      <c r="AF97" s="220"/>
      <c r="AG97" s="220"/>
      <c r="AH97" s="220"/>
      <c r="AI97" s="435"/>
      <c r="AJ97" s="220"/>
      <c r="AK97" s="220"/>
      <c r="AL97" s="220"/>
      <c r="AM97" s="220"/>
      <c r="AN97" s="435"/>
      <c r="AO97" s="220"/>
      <c r="AP97" s="220"/>
      <c r="AQ97" s="220"/>
      <c r="AR97" s="220"/>
      <c r="AS97" s="435"/>
      <c r="AT97" s="220"/>
      <c r="AU97" s="220"/>
      <c r="AV97" s="220"/>
      <c r="AW97" s="220"/>
      <c r="AX97" s="435"/>
    </row>
    <row r="98" spans="2:50">
      <c r="B98" s="436"/>
      <c r="C98" s="220">
        <v>12</v>
      </c>
      <c r="D98" s="220"/>
      <c r="E98" s="220"/>
      <c r="F98" s="220"/>
      <c r="G98" s="220"/>
      <c r="H98" s="438"/>
      <c r="I98" s="221"/>
      <c r="J98" s="221"/>
      <c r="K98" s="222"/>
      <c r="L98" s="438"/>
      <c r="M98" s="221"/>
      <c r="N98" s="440"/>
      <c r="O98" s="440"/>
      <c r="P98" s="220"/>
      <c r="Q98" s="220"/>
      <c r="R98" s="220"/>
      <c r="S98" s="220"/>
      <c r="T98" s="435"/>
      <c r="U98" s="220"/>
      <c r="V98" s="220"/>
      <c r="W98" s="220"/>
      <c r="X98" s="220"/>
      <c r="Y98" s="435"/>
      <c r="Z98" s="220"/>
      <c r="AA98" s="220"/>
      <c r="AB98" s="220"/>
      <c r="AC98" s="220"/>
      <c r="AD98" s="435"/>
      <c r="AE98" s="220"/>
      <c r="AF98" s="220"/>
      <c r="AG98" s="220"/>
      <c r="AH98" s="220"/>
      <c r="AI98" s="435"/>
      <c r="AJ98" s="220"/>
      <c r="AK98" s="220"/>
      <c r="AL98" s="220"/>
      <c r="AM98" s="220"/>
      <c r="AN98" s="435"/>
      <c r="AO98" s="220"/>
      <c r="AP98" s="220"/>
      <c r="AQ98" s="220"/>
      <c r="AR98" s="220"/>
      <c r="AS98" s="435"/>
      <c r="AT98" s="220"/>
      <c r="AU98" s="220"/>
      <c r="AV98" s="220"/>
      <c r="AW98" s="220"/>
      <c r="AX98" s="435"/>
    </row>
    <row r="99" spans="2:50">
      <c r="B99" s="436"/>
      <c r="C99" s="220">
        <v>13</v>
      </c>
      <c r="D99" s="220"/>
      <c r="E99" s="220"/>
      <c r="F99" s="220"/>
      <c r="G99" s="220"/>
      <c r="H99" s="438"/>
      <c r="I99" s="221"/>
      <c r="J99" s="221"/>
      <c r="K99" s="222"/>
      <c r="L99" s="438"/>
      <c r="M99" s="221"/>
      <c r="N99" s="440"/>
      <c r="O99" s="440"/>
      <c r="P99" s="220"/>
      <c r="Q99" s="220"/>
      <c r="R99" s="220"/>
      <c r="S99" s="220"/>
      <c r="T99" s="435"/>
      <c r="U99" s="220"/>
      <c r="V99" s="220"/>
      <c r="W99" s="220"/>
      <c r="X99" s="220"/>
      <c r="Y99" s="435"/>
      <c r="Z99" s="220"/>
      <c r="AA99" s="220"/>
      <c r="AB99" s="220"/>
      <c r="AC99" s="220"/>
      <c r="AD99" s="435"/>
      <c r="AE99" s="220"/>
      <c r="AF99" s="220"/>
      <c r="AG99" s="220"/>
      <c r="AH99" s="220"/>
      <c r="AI99" s="435"/>
      <c r="AJ99" s="220"/>
      <c r="AK99" s="220"/>
      <c r="AL99" s="220"/>
      <c r="AM99" s="220"/>
      <c r="AN99" s="435"/>
      <c r="AO99" s="220"/>
      <c r="AP99" s="220"/>
      <c r="AQ99" s="220"/>
      <c r="AR99" s="220"/>
      <c r="AS99" s="435"/>
      <c r="AT99" s="220"/>
      <c r="AU99" s="220"/>
      <c r="AV99" s="220"/>
      <c r="AW99" s="220"/>
      <c r="AX99" s="435"/>
    </row>
    <row r="100" spans="2:50">
      <c r="B100" s="436"/>
      <c r="C100" s="220">
        <v>14</v>
      </c>
      <c r="D100" s="220"/>
      <c r="E100" s="220"/>
      <c r="F100" s="220"/>
      <c r="G100" s="220"/>
      <c r="H100" s="438"/>
      <c r="I100" s="221"/>
      <c r="J100" s="221"/>
      <c r="K100" s="222"/>
      <c r="L100" s="438"/>
      <c r="M100" s="221"/>
      <c r="N100" s="440"/>
      <c r="O100" s="440"/>
      <c r="P100" s="220"/>
      <c r="Q100" s="220"/>
      <c r="R100" s="220"/>
      <c r="S100" s="220"/>
      <c r="T100" s="435"/>
      <c r="U100" s="220"/>
      <c r="V100" s="220"/>
      <c r="W100" s="220"/>
      <c r="X100" s="220"/>
      <c r="Y100" s="435"/>
      <c r="Z100" s="220"/>
      <c r="AA100" s="220"/>
      <c r="AB100" s="220"/>
      <c r="AC100" s="220"/>
      <c r="AD100" s="435"/>
      <c r="AE100" s="220"/>
      <c r="AF100" s="220"/>
      <c r="AG100" s="220"/>
      <c r="AH100" s="220"/>
      <c r="AI100" s="435"/>
      <c r="AJ100" s="220"/>
      <c r="AK100" s="220"/>
      <c r="AL100" s="220"/>
      <c r="AM100" s="220"/>
      <c r="AN100" s="435"/>
      <c r="AO100" s="220"/>
      <c r="AP100" s="220"/>
      <c r="AQ100" s="220"/>
      <c r="AR100" s="220"/>
      <c r="AS100" s="435"/>
      <c r="AT100" s="220"/>
      <c r="AU100" s="220"/>
      <c r="AV100" s="220"/>
      <c r="AW100" s="220"/>
      <c r="AX100" s="435"/>
    </row>
    <row r="101" spans="2:50">
      <c r="B101" s="436"/>
      <c r="C101" s="220">
        <v>15</v>
      </c>
      <c r="D101" s="220"/>
      <c r="E101" s="220"/>
      <c r="F101" s="220"/>
      <c r="G101" s="220"/>
      <c r="H101" s="439"/>
      <c r="I101" s="221"/>
      <c r="J101" s="221"/>
      <c r="K101" s="222"/>
      <c r="L101" s="439"/>
      <c r="M101" s="221"/>
      <c r="N101" s="440"/>
      <c r="O101" s="440"/>
      <c r="P101" s="220"/>
      <c r="Q101" s="220"/>
      <c r="R101" s="220"/>
      <c r="S101" s="220"/>
      <c r="T101" s="435"/>
      <c r="U101" s="220"/>
      <c r="V101" s="220"/>
      <c r="W101" s="220"/>
      <c r="X101" s="220"/>
      <c r="Y101" s="435"/>
      <c r="Z101" s="220"/>
      <c r="AA101" s="220"/>
      <c r="AB101" s="220"/>
      <c r="AC101" s="220"/>
      <c r="AD101" s="435"/>
      <c r="AE101" s="220"/>
      <c r="AF101" s="220"/>
      <c r="AG101" s="220"/>
      <c r="AH101" s="220"/>
      <c r="AI101" s="435"/>
      <c r="AJ101" s="220"/>
      <c r="AK101" s="220"/>
      <c r="AL101" s="220"/>
      <c r="AM101" s="220"/>
      <c r="AN101" s="435"/>
      <c r="AO101" s="220"/>
      <c r="AP101" s="220"/>
      <c r="AQ101" s="220"/>
      <c r="AR101" s="220"/>
      <c r="AS101" s="435"/>
      <c r="AT101" s="220"/>
      <c r="AU101" s="220"/>
      <c r="AV101" s="220"/>
      <c r="AW101" s="220"/>
      <c r="AX101" s="435"/>
    </row>
    <row r="102" spans="2:50" ht="15.75">
      <c r="B102" s="457" t="s">
        <v>44</v>
      </c>
      <c r="C102" s="453"/>
      <c r="D102" s="453"/>
      <c r="E102" s="453"/>
      <c r="F102" s="453"/>
      <c r="G102" s="453"/>
      <c r="H102" s="453"/>
      <c r="I102" s="214"/>
      <c r="J102" s="214"/>
      <c r="K102" s="214"/>
      <c r="L102" s="214"/>
      <c r="M102" s="215"/>
      <c r="N102" s="449" t="s">
        <v>45</v>
      </c>
      <c r="O102" s="449" t="s">
        <v>3</v>
      </c>
      <c r="P102" s="444"/>
      <c r="Q102" s="436"/>
      <c r="R102" s="436"/>
      <c r="S102" s="436"/>
      <c r="T102" s="436"/>
      <c r="U102" s="444"/>
      <c r="V102" s="436"/>
      <c r="W102" s="436"/>
      <c r="X102" s="436"/>
      <c r="Y102" s="436"/>
      <c r="Z102" s="444"/>
      <c r="AA102" s="436"/>
      <c r="AB102" s="436"/>
      <c r="AC102" s="436"/>
      <c r="AD102" s="436"/>
      <c r="AE102" s="444"/>
      <c r="AF102" s="436"/>
      <c r="AG102" s="436"/>
      <c r="AH102" s="436"/>
      <c r="AI102" s="436"/>
      <c r="AJ102" s="444"/>
      <c r="AK102" s="436"/>
      <c r="AL102" s="436"/>
      <c r="AM102" s="436"/>
      <c r="AN102" s="436"/>
      <c r="AO102" s="444"/>
      <c r="AP102" s="436"/>
      <c r="AQ102" s="436"/>
      <c r="AR102" s="436"/>
      <c r="AS102" s="436"/>
      <c r="AT102" s="444"/>
      <c r="AU102" s="436"/>
      <c r="AV102" s="436"/>
      <c r="AW102" s="436"/>
      <c r="AX102" s="436"/>
    </row>
    <row r="103" spans="2:50" ht="15.75">
      <c r="B103" s="454"/>
      <c r="C103" s="454"/>
      <c r="D103" s="454"/>
      <c r="E103" s="454"/>
      <c r="F103" s="454"/>
      <c r="G103" s="454"/>
      <c r="H103" s="454"/>
      <c r="I103" s="216"/>
      <c r="J103" s="216"/>
      <c r="K103" s="216"/>
      <c r="L103" s="216"/>
      <c r="M103" s="217"/>
      <c r="N103" s="451"/>
      <c r="O103" s="451"/>
      <c r="P103" s="444" t="s">
        <v>16</v>
      </c>
      <c r="Q103" s="436"/>
      <c r="R103" s="436"/>
      <c r="S103" s="436"/>
      <c r="T103" s="436"/>
      <c r="U103" s="444" t="s">
        <v>17</v>
      </c>
      <c r="V103" s="436"/>
      <c r="W103" s="436"/>
      <c r="X103" s="436"/>
      <c r="Y103" s="436"/>
      <c r="Z103" s="444" t="s">
        <v>18</v>
      </c>
      <c r="AA103" s="436"/>
      <c r="AB103" s="436"/>
      <c r="AC103" s="436"/>
      <c r="AD103" s="436"/>
      <c r="AE103" s="444" t="s">
        <v>19</v>
      </c>
      <c r="AF103" s="436"/>
      <c r="AG103" s="436"/>
      <c r="AH103" s="436"/>
      <c r="AI103" s="436"/>
      <c r="AJ103" s="444" t="s">
        <v>14</v>
      </c>
      <c r="AK103" s="436"/>
      <c r="AL103" s="436"/>
      <c r="AM103" s="436"/>
      <c r="AN103" s="436"/>
      <c r="AO103" s="444" t="s">
        <v>10</v>
      </c>
      <c r="AP103" s="436"/>
      <c r="AQ103" s="436"/>
      <c r="AR103" s="436"/>
      <c r="AS103" s="436"/>
      <c r="AT103" s="444" t="s">
        <v>15</v>
      </c>
      <c r="AU103" s="436"/>
      <c r="AV103" s="436"/>
      <c r="AW103" s="436"/>
      <c r="AX103" s="436"/>
    </row>
    <row r="104" spans="2:50">
      <c r="B104" s="440" t="s">
        <v>46</v>
      </c>
      <c r="C104" s="440" t="s">
        <v>47</v>
      </c>
      <c r="D104" s="440"/>
      <c r="E104" s="440" t="s">
        <v>48</v>
      </c>
      <c r="F104" s="440"/>
      <c r="G104" s="440"/>
      <c r="H104" s="446" t="s">
        <v>49</v>
      </c>
      <c r="I104" s="440" t="s">
        <v>50</v>
      </c>
      <c r="J104" s="440"/>
      <c r="K104" s="440"/>
      <c r="L104" s="446" t="s">
        <v>49</v>
      </c>
      <c r="M104" s="449" t="s">
        <v>51</v>
      </c>
      <c r="N104" s="440"/>
      <c r="O104" s="440" t="s">
        <v>52</v>
      </c>
      <c r="P104" s="441" t="s">
        <v>53</v>
      </c>
      <c r="Q104" s="442"/>
      <c r="R104" s="442"/>
      <c r="S104" s="443"/>
      <c r="T104" s="440" t="s">
        <v>49</v>
      </c>
      <c r="U104" s="441" t="s">
        <v>53</v>
      </c>
      <c r="V104" s="442"/>
      <c r="W104" s="442"/>
      <c r="X104" s="443"/>
      <c r="Y104" s="440" t="s">
        <v>49</v>
      </c>
      <c r="Z104" s="441" t="s">
        <v>53</v>
      </c>
      <c r="AA104" s="442"/>
      <c r="AB104" s="442"/>
      <c r="AC104" s="443"/>
      <c r="AD104" s="440" t="s">
        <v>49</v>
      </c>
      <c r="AE104" s="441" t="s">
        <v>53</v>
      </c>
      <c r="AF104" s="442"/>
      <c r="AG104" s="442"/>
      <c r="AH104" s="443"/>
      <c r="AI104" s="440" t="s">
        <v>49</v>
      </c>
      <c r="AJ104" s="441" t="s">
        <v>53</v>
      </c>
      <c r="AK104" s="442"/>
      <c r="AL104" s="442"/>
      <c r="AM104" s="443"/>
      <c r="AN104" s="440" t="s">
        <v>49</v>
      </c>
      <c r="AO104" s="441" t="s">
        <v>53</v>
      </c>
      <c r="AP104" s="442"/>
      <c r="AQ104" s="442"/>
      <c r="AR104" s="443"/>
      <c r="AS104" s="440" t="s">
        <v>49</v>
      </c>
      <c r="AT104" s="441" t="s">
        <v>53</v>
      </c>
      <c r="AU104" s="442"/>
      <c r="AV104" s="442"/>
      <c r="AW104" s="443"/>
      <c r="AX104" s="440" t="s">
        <v>49</v>
      </c>
    </row>
    <row r="105" spans="2:50">
      <c r="B105" s="440"/>
      <c r="C105" s="440"/>
      <c r="D105" s="440"/>
      <c r="E105" s="440" t="s">
        <v>54</v>
      </c>
      <c r="F105" s="440"/>
      <c r="G105" s="440"/>
      <c r="H105" s="447"/>
      <c r="I105" s="440" t="s">
        <v>54</v>
      </c>
      <c r="J105" s="440"/>
      <c r="K105" s="440"/>
      <c r="L105" s="447"/>
      <c r="M105" s="450"/>
      <c r="N105" s="440"/>
      <c r="O105" s="440"/>
      <c r="P105" s="441" t="s">
        <v>55</v>
      </c>
      <c r="Q105" s="442"/>
      <c r="R105" s="442"/>
      <c r="S105" s="443"/>
      <c r="T105" s="440"/>
      <c r="U105" s="441" t="s">
        <v>55</v>
      </c>
      <c r="V105" s="442"/>
      <c r="W105" s="442"/>
      <c r="X105" s="443"/>
      <c r="Y105" s="440"/>
      <c r="Z105" s="441" t="s">
        <v>55</v>
      </c>
      <c r="AA105" s="442"/>
      <c r="AB105" s="442"/>
      <c r="AC105" s="443"/>
      <c r="AD105" s="440"/>
      <c r="AE105" s="441" t="s">
        <v>55</v>
      </c>
      <c r="AF105" s="442"/>
      <c r="AG105" s="442"/>
      <c r="AH105" s="443"/>
      <c r="AI105" s="440"/>
      <c r="AJ105" s="441" t="s">
        <v>55</v>
      </c>
      <c r="AK105" s="442"/>
      <c r="AL105" s="442"/>
      <c r="AM105" s="443"/>
      <c r="AN105" s="440"/>
      <c r="AO105" s="441" t="s">
        <v>55</v>
      </c>
      <c r="AP105" s="442"/>
      <c r="AQ105" s="442"/>
      <c r="AR105" s="443"/>
      <c r="AS105" s="440"/>
      <c r="AT105" s="441" t="s">
        <v>55</v>
      </c>
      <c r="AU105" s="442"/>
      <c r="AV105" s="442"/>
      <c r="AW105" s="443"/>
      <c r="AX105" s="440"/>
    </row>
    <row r="106" spans="2:50">
      <c r="B106" s="440"/>
      <c r="C106" s="440"/>
      <c r="D106" s="440"/>
      <c r="E106" s="219" t="s">
        <v>56</v>
      </c>
      <c r="F106" s="219" t="s">
        <v>57</v>
      </c>
      <c r="G106" s="219" t="s">
        <v>58</v>
      </c>
      <c r="H106" s="448"/>
      <c r="I106" s="219" t="s">
        <v>56</v>
      </c>
      <c r="J106" s="219" t="s">
        <v>57</v>
      </c>
      <c r="K106" s="219" t="s">
        <v>58</v>
      </c>
      <c r="L106" s="448"/>
      <c r="M106" s="451"/>
      <c r="N106" s="440"/>
      <c r="O106" s="440"/>
      <c r="P106" s="219" t="s">
        <v>56</v>
      </c>
      <c r="Q106" s="219" t="s">
        <v>57</v>
      </c>
      <c r="R106" s="219" t="s">
        <v>58</v>
      </c>
      <c r="S106" s="219" t="s">
        <v>51</v>
      </c>
      <c r="T106" s="440"/>
      <c r="U106" s="219" t="s">
        <v>56</v>
      </c>
      <c r="V106" s="219" t="s">
        <v>57</v>
      </c>
      <c r="W106" s="219" t="s">
        <v>58</v>
      </c>
      <c r="X106" s="219" t="s">
        <v>51</v>
      </c>
      <c r="Y106" s="440"/>
      <c r="Z106" s="219" t="s">
        <v>56</v>
      </c>
      <c r="AA106" s="219" t="s">
        <v>57</v>
      </c>
      <c r="AB106" s="219" t="s">
        <v>58</v>
      </c>
      <c r="AC106" s="219" t="s">
        <v>51</v>
      </c>
      <c r="AD106" s="440"/>
      <c r="AE106" s="219" t="s">
        <v>56</v>
      </c>
      <c r="AF106" s="219" t="s">
        <v>57</v>
      </c>
      <c r="AG106" s="219" t="s">
        <v>58</v>
      </c>
      <c r="AH106" s="219" t="s">
        <v>51</v>
      </c>
      <c r="AI106" s="440"/>
      <c r="AJ106" s="219" t="s">
        <v>56</v>
      </c>
      <c r="AK106" s="219" t="s">
        <v>57</v>
      </c>
      <c r="AL106" s="219" t="s">
        <v>58</v>
      </c>
      <c r="AM106" s="219" t="s">
        <v>51</v>
      </c>
      <c r="AN106" s="440"/>
      <c r="AO106" s="219" t="s">
        <v>56</v>
      </c>
      <c r="AP106" s="219" t="s">
        <v>57</v>
      </c>
      <c r="AQ106" s="219" t="s">
        <v>58</v>
      </c>
      <c r="AR106" s="219" t="s">
        <v>51</v>
      </c>
      <c r="AS106" s="440"/>
      <c r="AT106" s="219" t="s">
        <v>56</v>
      </c>
      <c r="AU106" s="219" t="s">
        <v>57</v>
      </c>
      <c r="AV106" s="219" t="s">
        <v>58</v>
      </c>
      <c r="AW106" s="219" t="s">
        <v>51</v>
      </c>
      <c r="AX106" s="440"/>
    </row>
    <row r="107" spans="2:50">
      <c r="B107" s="440" t="s">
        <v>35</v>
      </c>
      <c r="C107" s="220">
        <v>1</v>
      </c>
      <c r="D107" s="220" t="s">
        <v>61</v>
      </c>
      <c r="E107" s="221">
        <f>VLOOKUP(D107,'11產線配置圖'!$A$2:$C$30,2,0)</f>
        <v>13</v>
      </c>
      <c r="F107" s="221">
        <f>VLOOKUP(D107,'11產線配置圖'!$A$2:$C$30,3,0)</f>
        <v>1565</v>
      </c>
      <c r="G107" s="222">
        <f>F107/E107</f>
        <v>120.38461538461539</v>
      </c>
      <c r="H107" s="437">
        <f>AVERAGE(G107:G121)</f>
        <v>127.07264957264958</v>
      </c>
      <c r="I107" s="221" t="e">
        <f t="shared" ref="I107:J109" si="7">AVERAGE(P107,U107,Z107,AE107,AJ107,AO107,AT107)</f>
        <v>#DIV/0!</v>
      </c>
      <c r="J107" s="221" t="e">
        <f t="shared" si="7"/>
        <v>#DIV/0!</v>
      </c>
      <c r="K107" s="222" t="e">
        <f>AVERAGE(AG107,AL107,AQ107,AV107)</f>
        <v>#DIV/0!</v>
      </c>
      <c r="L107" s="437" t="str">
        <f>IFERROR(AVERAGE(K107:K121),"-")</f>
        <v>-</v>
      </c>
      <c r="M107" s="223" t="e">
        <f>RANK(K107, K$7:$K$21)</f>
        <v>#DIV/0!</v>
      </c>
      <c r="N107" s="440"/>
      <c r="O107" s="440"/>
      <c r="P107" s="221"/>
      <c r="Q107" s="221"/>
      <c r="R107" s="222" t="e">
        <f>Q107/P107</f>
        <v>#DIV/0!</v>
      </c>
      <c r="S107" s="220" t="e">
        <f>RANK(R107, R$7:R$21)</f>
        <v>#DIV/0!</v>
      </c>
      <c r="T107" s="435" t="e">
        <f>AVERAGE(R107:R121)</f>
        <v>#DIV/0!</v>
      </c>
      <c r="U107" s="221"/>
      <c r="V107" s="221"/>
      <c r="W107" s="222" t="e">
        <f>V107/U107</f>
        <v>#DIV/0!</v>
      </c>
      <c r="X107" s="220" t="e">
        <f>RANK(W107, W$7:W$21)</f>
        <v>#DIV/0!</v>
      </c>
      <c r="Y107" s="435" t="e">
        <f>AVERAGE(W107:W121)</f>
        <v>#DIV/0!</v>
      </c>
      <c r="Z107" s="220"/>
      <c r="AA107" s="221"/>
      <c r="AB107" s="222" t="e">
        <f>AA107/Z107</f>
        <v>#DIV/0!</v>
      </c>
      <c r="AC107" s="220" t="e">
        <f>RANK(AB107, AB$7:AB$21)</f>
        <v>#DIV/0!</v>
      </c>
      <c r="AD107" s="435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 AG$7:AG$21)</f>
        <v>#DIV/0!</v>
      </c>
      <c r="AI107" s="435" t="e">
        <f>AVERAGE(AG107:AG121)</f>
        <v>#DIV/0!</v>
      </c>
      <c r="AJ107" s="221"/>
      <c r="AK107" s="221"/>
      <c r="AL107" s="222" t="e">
        <f>AK107/AJ107</f>
        <v>#DIV/0!</v>
      </c>
      <c r="AM107" s="220" t="e">
        <f>RANK(AL107, AL$7:AL$21)</f>
        <v>#DIV/0!</v>
      </c>
      <c r="AN107" s="435" t="e">
        <f>AVERAGE(AL107:AL121)</f>
        <v>#DIV/0!</v>
      </c>
      <c r="AO107" s="221"/>
      <c r="AP107" s="221"/>
      <c r="AQ107" s="222" t="e">
        <f>AP107/AO107</f>
        <v>#DIV/0!</v>
      </c>
      <c r="AR107" s="220" t="e">
        <f>RANK(AQ107, AQ$7:AQ$21)</f>
        <v>#DIV/0!</v>
      </c>
      <c r="AS107" s="435" t="e">
        <f>AVERAGE(AQ107:AQ121)</f>
        <v>#DIV/0!</v>
      </c>
      <c r="AT107" s="221"/>
      <c r="AU107" s="221"/>
      <c r="AV107" s="222" t="e">
        <f>AU107/AT107</f>
        <v>#DIV/0!</v>
      </c>
      <c r="AW107" s="220" t="e">
        <f>RANK(AV107, AV$7:AV$21)</f>
        <v>#DIV/0!</v>
      </c>
      <c r="AX107" s="435" t="e">
        <f>AVERAGE(AV107:AV121)</f>
        <v>#DIV/0!</v>
      </c>
    </row>
    <row r="108" spans="2:50">
      <c r="B108" s="436"/>
      <c r="C108" s="220">
        <v>2</v>
      </c>
      <c r="D108" s="220" t="s">
        <v>62</v>
      </c>
      <c r="E108" s="221">
        <f>VLOOKUP(D108,'11產線配置圖'!$A$2:$C$30,2,0)</f>
        <v>12</v>
      </c>
      <c r="F108" s="221">
        <f>VLOOKUP(D108,'11產線配置圖'!$A$2:$C$30,3,0)</f>
        <v>1565</v>
      </c>
      <c r="G108" s="222">
        <f>F108/E108</f>
        <v>130.41666666666666</v>
      </c>
      <c r="H108" s="438"/>
      <c r="I108" s="221" t="e">
        <f t="shared" si="7"/>
        <v>#DIV/0!</v>
      </c>
      <c r="J108" s="221" t="e">
        <f t="shared" si="7"/>
        <v>#DIV/0!</v>
      </c>
      <c r="K108" s="222" t="e">
        <f>AVERAGE(AG108,AL108,AQ108,AV108)</f>
        <v>#DIV/0!</v>
      </c>
      <c r="L108" s="438"/>
      <c r="M108" s="223" t="e">
        <f>RANK(K108, K$7:$K$21)</f>
        <v>#DIV/0!</v>
      </c>
      <c r="N108" s="440"/>
      <c r="O108" s="440"/>
      <c r="P108" s="221"/>
      <c r="Q108" s="221"/>
      <c r="R108" s="222" t="e">
        <f t="shared" ref="R108:R113" si="8">Q108/P108</f>
        <v>#DIV/0!</v>
      </c>
      <c r="S108" s="220" t="e">
        <f t="shared" ref="S108:S113" si="9">RANK(R108, R$7:R$21)</f>
        <v>#DIV/0!</v>
      </c>
      <c r="T108" s="435"/>
      <c r="U108" s="221"/>
      <c r="V108" s="221"/>
      <c r="W108" s="222" t="e">
        <f t="shared" ref="W108:W113" si="10">V108/U108</f>
        <v>#DIV/0!</v>
      </c>
      <c r="X108" s="220" t="e">
        <f t="shared" ref="X108:X113" si="11">RANK(W108, W$7:W$21)</f>
        <v>#DIV/0!</v>
      </c>
      <c r="Y108" s="435"/>
      <c r="Z108" s="220"/>
      <c r="AA108" s="221"/>
      <c r="AB108" s="222" t="e">
        <f t="shared" ref="AB108:AB113" si="12">AA108/Z108</f>
        <v>#DIV/0!</v>
      </c>
      <c r="AC108" s="220" t="e">
        <f t="shared" ref="AC108:AC113" si="13">RANK(AB108, AB$7:AB$21)</f>
        <v>#DIV/0!</v>
      </c>
      <c r="AD108" s="435"/>
      <c r="AE108" s="221"/>
      <c r="AF108" s="221"/>
      <c r="AG108" s="222" t="e">
        <f>AF108/AE108</f>
        <v>#DIV/0!</v>
      </c>
      <c r="AH108" s="220" t="e">
        <f>RANK(AG108, AG$7:AG$21)</f>
        <v>#DIV/0!</v>
      </c>
      <c r="AI108" s="435"/>
      <c r="AJ108" s="221"/>
      <c r="AK108" s="221"/>
      <c r="AL108" s="222" t="e">
        <f>AK108/AJ108</f>
        <v>#DIV/0!</v>
      </c>
      <c r="AM108" s="220" t="e">
        <f>RANK(AL108, AL$7:AL$21)</f>
        <v>#DIV/0!</v>
      </c>
      <c r="AN108" s="435"/>
      <c r="AO108" s="221"/>
      <c r="AP108" s="221"/>
      <c r="AQ108" s="222" t="e">
        <f>AP108/AO108</f>
        <v>#DIV/0!</v>
      </c>
      <c r="AR108" s="220" t="e">
        <f>RANK(AQ108, AQ$7:AQ$21)</f>
        <v>#DIV/0!</v>
      </c>
      <c r="AS108" s="435"/>
      <c r="AT108" s="221"/>
      <c r="AU108" s="221"/>
      <c r="AV108" s="222" t="e">
        <f>AU108/AT108</f>
        <v>#DIV/0!</v>
      </c>
      <c r="AW108" s="220" t="e">
        <f>RANK(AV108, AV$7:AV$21)</f>
        <v>#DIV/0!</v>
      </c>
      <c r="AX108" s="435"/>
    </row>
    <row r="109" spans="2:50">
      <c r="B109" s="436"/>
      <c r="C109" s="220">
        <v>3</v>
      </c>
      <c r="D109" s="220" t="s">
        <v>63</v>
      </c>
      <c r="E109" s="221">
        <f>VLOOKUP(D109,'11產線配置圖'!$A$2:$C$30,2,0)</f>
        <v>12</v>
      </c>
      <c r="F109" s="221">
        <f>VLOOKUP(D109,'11產線配置圖'!$A$2:$C$30,3,0)</f>
        <v>1565</v>
      </c>
      <c r="G109" s="222">
        <f>F109/E109</f>
        <v>130.41666666666666</v>
      </c>
      <c r="H109" s="438"/>
      <c r="I109" s="221" t="e">
        <f t="shared" si="7"/>
        <v>#DIV/0!</v>
      </c>
      <c r="J109" s="221" t="e">
        <f t="shared" si="7"/>
        <v>#DIV/0!</v>
      </c>
      <c r="K109" s="222" t="e">
        <f>AVERAGE(AG109,AL109,AQ109,AV109)</f>
        <v>#DIV/0!</v>
      </c>
      <c r="L109" s="438"/>
      <c r="M109" s="223" t="e">
        <f>RANK(K109, K$7:$K$21)</f>
        <v>#DIV/0!</v>
      </c>
      <c r="N109" s="440"/>
      <c r="O109" s="440"/>
      <c r="P109" s="221"/>
      <c r="Q109" s="221"/>
      <c r="R109" s="222" t="e">
        <f t="shared" si="8"/>
        <v>#DIV/0!</v>
      </c>
      <c r="S109" s="220" t="e">
        <f t="shared" si="9"/>
        <v>#DIV/0!</v>
      </c>
      <c r="T109" s="435"/>
      <c r="U109" s="221"/>
      <c r="V109" s="221"/>
      <c r="W109" s="222" t="e">
        <f t="shared" si="10"/>
        <v>#DIV/0!</v>
      </c>
      <c r="X109" s="220" t="e">
        <f t="shared" si="11"/>
        <v>#DIV/0!</v>
      </c>
      <c r="Y109" s="435"/>
      <c r="Z109" s="220"/>
      <c r="AA109" s="221"/>
      <c r="AB109" s="222" t="e">
        <f t="shared" si="12"/>
        <v>#DIV/0!</v>
      </c>
      <c r="AC109" s="220" t="e">
        <f t="shared" si="13"/>
        <v>#DIV/0!</v>
      </c>
      <c r="AD109" s="435"/>
      <c r="AE109" s="221"/>
      <c r="AF109" s="221"/>
      <c r="AG109" s="222" t="e">
        <f>AF109/AE109</f>
        <v>#DIV/0!</v>
      </c>
      <c r="AH109" s="220" t="e">
        <f>RANK(AG109, AG$7:AG$21)</f>
        <v>#DIV/0!</v>
      </c>
      <c r="AI109" s="435"/>
      <c r="AJ109" s="221"/>
      <c r="AK109" s="221"/>
      <c r="AL109" s="222" t="e">
        <f>AK109/AJ109</f>
        <v>#DIV/0!</v>
      </c>
      <c r="AM109" s="220" t="e">
        <f>RANK(AL109, AL$7:AL$21)</f>
        <v>#DIV/0!</v>
      </c>
      <c r="AN109" s="435"/>
      <c r="AO109" s="221"/>
      <c r="AP109" s="221"/>
      <c r="AQ109" s="222" t="e">
        <f>AP109/AO109</f>
        <v>#DIV/0!</v>
      </c>
      <c r="AR109" s="220" t="e">
        <f>RANK(AQ109, AQ$7:AQ$21)</f>
        <v>#DIV/0!</v>
      </c>
      <c r="AS109" s="435"/>
      <c r="AT109" s="221"/>
      <c r="AU109" s="221"/>
      <c r="AV109" s="222" t="e">
        <f>AU109/AT109</f>
        <v>#DIV/0!</v>
      </c>
      <c r="AW109" s="220" t="e">
        <f>RANK(AV109, AV$7:AV$21)</f>
        <v>#DIV/0!</v>
      </c>
      <c r="AX109" s="435"/>
    </row>
    <row r="110" spans="2:50">
      <c r="B110" s="436"/>
      <c r="C110" s="220">
        <v>4</v>
      </c>
      <c r="D110" s="220"/>
      <c r="E110" s="221"/>
      <c r="F110" s="221"/>
      <c r="G110" s="222"/>
      <c r="H110" s="438"/>
      <c r="I110" s="221"/>
      <c r="J110" s="221"/>
      <c r="K110" s="222"/>
      <c r="L110" s="438"/>
      <c r="M110" s="223" t="e">
        <f>RANK(K110, K$7:$K$21)</f>
        <v>#N/A</v>
      </c>
      <c r="N110" s="440"/>
      <c r="O110" s="440"/>
      <c r="P110" s="221"/>
      <c r="Q110" s="221"/>
      <c r="R110" s="222" t="e">
        <f t="shared" si="8"/>
        <v>#DIV/0!</v>
      </c>
      <c r="S110" s="220" t="e">
        <f t="shared" si="9"/>
        <v>#DIV/0!</v>
      </c>
      <c r="T110" s="435"/>
      <c r="U110" s="221"/>
      <c r="V110" s="221"/>
      <c r="W110" s="222" t="e">
        <f t="shared" si="10"/>
        <v>#DIV/0!</v>
      </c>
      <c r="X110" s="220" t="e">
        <f t="shared" si="11"/>
        <v>#DIV/0!</v>
      </c>
      <c r="Y110" s="435"/>
      <c r="Z110" s="220"/>
      <c r="AA110" s="221"/>
      <c r="AB110" s="222" t="e">
        <f t="shared" si="12"/>
        <v>#DIV/0!</v>
      </c>
      <c r="AC110" s="220" t="e">
        <f t="shared" si="13"/>
        <v>#DIV/0!</v>
      </c>
      <c r="AD110" s="435"/>
      <c r="AE110" s="221"/>
      <c r="AF110" s="221"/>
      <c r="AG110" s="222"/>
      <c r="AH110" s="220"/>
      <c r="AI110" s="435"/>
      <c r="AJ110" s="221"/>
      <c r="AK110" s="221"/>
      <c r="AL110" s="222"/>
      <c r="AM110" s="220"/>
      <c r="AN110" s="435"/>
      <c r="AO110" s="221"/>
      <c r="AP110" s="221"/>
      <c r="AQ110" s="222"/>
      <c r="AR110" s="220"/>
      <c r="AS110" s="435"/>
      <c r="AT110" s="221"/>
      <c r="AU110" s="221"/>
      <c r="AV110" s="222"/>
      <c r="AW110" s="220"/>
      <c r="AX110" s="435"/>
    </row>
    <row r="111" spans="2:50">
      <c r="B111" s="436"/>
      <c r="C111" s="220">
        <v>5</v>
      </c>
      <c r="D111" s="220"/>
      <c r="E111" s="221"/>
      <c r="F111" s="221"/>
      <c r="G111" s="222"/>
      <c r="H111" s="438"/>
      <c r="I111" s="221"/>
      <c r="J111" s="221"/>
      <c r="K111" s="222"/>
      <c r="L111" s="438"/>
      <c r="M111" s="223" t="e">
        <f>RANK(K111, K$7:$K$21)</f>
        <v>#N/A</v>
      </c>
      <c r="N111" s="440"/>
      <c r="O111" s="440"/>
      <c r="P111" s="221"/>
      <c r="Q111" s="221"/>
      <c r="R111" s="222" t="e">
        <f t="shared" si="8"/>
        <v>#DIV/0!</v>
      </c>
      <c r="S111" s="220" t="e">
        <f t="shared" si="9"/>
        <v>#DIV/0!</v>
      </c>
      <c r="T111" s="435"/>
      <c r="U111" s="221"/>
      <c r="V111" s="221"/>
      <c r="W111" s="222" t="e">
        <f t="shared" si="10"/>
        <v>#DIV/0!</v>
      </c>
      <c r="X111" s="220" t="e">
        <f t="shared" si="11"/>
        <v>#DIV/0!</v>
      </c>
      <c r="Y111" s="435"/>
      <c r="Z111" s="220"/>
      <c r="AA111" s="221"/>
      <c r="AB111" s="222" t="e">
        <f t="shared" si="12"/>
        <v>#DIV/0!</v>
      </c>
      <c r="AC111" s="220" t="e">
        <f t="shared" si="13"/>
        <v>#DIV/0!</v>
      </c>
      <c r="AD111" s="435"/>
      <c r="AE111" s="221"/>
      <c r="AF111" s="221"/>
      <c r="AG111" s="222"/>
      <c r="AH111" s="220"/>
      <c r="AI111" s="435"/>
      <c r="AJ111" s="221"/>
      <c r="AK111" s="221"/>
      <c r="AL111" s="222"/>
      <c r="AM111" s="220"/>
      <c r="AN111" s="435"/>
      <c r="AO111" s="221"/>
      <c r="AP111" s="221"/>
      <c r="AQ111" s="222"/>
      <c r="AR111" s="220"/>
      <c r="AS111" s="435"/>
      <c r="AT111" s="221"/>
      <c r="AU111" s="221"/>
      <c r="AV111" s="222"/>
      <c r="AW111" s="220"/>
      <c r="AX111" s="435"/>
    </row>
    <row r="112" spans="2:50">
      <c r="B112" s="436"/>
      <c r="C112" s="220">
        <v>6</v>
      </c>
      <c r="D112" s="220"/>
      <c r="E112" s="221"/>
      <c r="F112" s="221"/>
      <c r="G112" s="222"/>
      <c r="H112" s="438"/>
      <c r="I112" s="221"/>
      <c r="J112" s="221"/>
      <c r="K112" s="222"/>
      <c r="L112" s="438"/>
      <c r="M112" s="223" t="e">
        <f>RANK(K112, K$7:$K$21)</f>
        <v>#N/A</v>
      </c>
      <c r="N112" s="440"/>
      <c r="O112" s="440"/>
      <c r="P112" s="221"/>
      <c r="Q112" s="221"/>
      <c r="R112" s="222" t="e">
        <f t="shared" si="8"/>
        <v>#DIV/0!</v>
      </c>
      <c r="S112" s="220" t="e">
        <f t="shared" si="9"/>
        <v>#DIV/0!</v>
      </c>
      <c r="T112" s="435"/>
      <c r="U112" s="221"/>
      <c r="V112" s="221"/>
      <c r="W112" s="222" t="e">
        <f t="shared" si="10"/>
        <v>#DIV/0!</v>
      </c>
      <c r="X112" s="220" t="e">
        <f t="shared" si="11"/>
        <v>#DIV/0!</v>
      </c>
      <c r="Y112" s="435"/>
      <c r="Z112" s="220"/>
      <c r="AA112" s="221"/>
      <c r="AB112" s="222" t="e">
        <f t="shared" si="12"/>
        <v>#DIV/0!</v>
      </c>
      <c r="AC112" s="220" t="e">
        <f t="shared" si="13"/>
        <v>#DIV/0!</v>
      </c>
      <c r="AD112" s="435"/>
      <c r="AE112" s="221"/>
      <c r="AF112" s="221"/>
      <c r="AG112" s="222"/>
      <c r="AH112" s="220"/>
      <c r="AI112" s="435"/>
      <c r="AJ112" s="221"/>
      <c r="AK112" s="221"/>
      <c r="AL112" s="222"/>
      <c r="AM112" s="220"/>
      <c r="AN112" s="435"/>
      <c r="AO112" s="221"/>
      <c r="AP112" s="221"/>
      <c r="AQ112" s="222"/>
      <c r="AR112" s="220"/>
      <c r="AS112" s="435"/>
      <c r="AT112" s="221"/>
      <c r="AU112" s="221"/>
      <c r="AV112" s="222"/>
      <c r="AW112" s="220"/>
      <c r="AX112" s="435"/>
    </row>
    <row r="113" spans="2:50">
      <c r="B113" s="436"/>
      <c r="C113" s="220">
        <v>7</v>
      </c>
      <c r="D113" s="220"/>
      <c r="E113" s="221"/>
      <c r="F113" s="221"/>
      <c r="G113" s="222"/>
      <c r="H113" s="438"/>
      <c r="I113" s="221"/>
      <c r="J113" s="221"/>
      <c r="K113" s="222"/>
      <c r="L113" s="438"/>
      <c r="M113" s="223" t="e">
        <f>RANK(K113, K$7:$K$21)</f>
        <v>#N/A</v>
      </c>
      <c r="N113" s="440"/>
      <c r="O113" s="440"/>
      <c r="P113" s="221"/>
      <c r="Q113" s="221"/>
      <c r="R113" s="222" t="e">
        <f t="shared" si="8"/>
        <v>#DIV/0!</v>
      </c>
      <c r="S113" s="220" t="e">
        <f t="shared" si="9"/>
        <v>#DIV/0!</v>
      </c>
      <c r="T113" s="435"/>
      <c r="U113" s="221"/>
      <c r="V113" s="221"/>
      <c r="W113" s="222" t="e">
        <f t="shared" si="10"/>
        <v>#DIV/0!</v>
      </c>
      <c r="X113" s="220" t="e">
        <f t="shared" si="11"/>
        <v>#DIV/0!</v>
      </c>
      <c r="Y113" s="435"/>
      <c r="Z113" s="220"/>
      <c r="AA113" s="221"/>
      <c r="AB113" s="222" t="e">
        <f t="shared" si="12"/>
        <v>#DIV/0!</v>
      </c>
      <c r="AC113" s="220" t="e">
        <f t="shared" si="13"/>
        <v>#DIV/0!</v>
      </c>
      <c r="AD113" s="435"/>
      <c r="AE113" s="221"/>
      <c r="AF113" s="221"/>
      <c r="AG113" s="222"/>
      <c r="AH113" s="220"/>
      <c r="AI113" s="435"/>
      <c r="AJ113" s="221"/>
      <c r="AK113" s="221"/>
      <c r="AL113" s="222"/>
      <c r="AM113" s="220"/>
      <c r="AN113" s="435"/>
      <c r="AO113" s="221"/>
      <c r="AP113" s="221"/>
      <c r="AQ113" s="222"/>
      <c r="AR113" s="220"/>
      <c r="AS113" s="435"/>
      <c r="AT113" s="221"/>
      <c r="AU113" s="221"/>
      <c r="AV113" s="222"/>
      <c r="AW113" s="220"/>
      <c r="AX113" s="435"/>
    </row>
    <row r="114" spans="2:50">
      <c r="B114" s="436"/>
      <c r="C114" s="220">
        <v>8</v>
      </c>
      <c r="D114" s="220"/>
      <c r="E114" s="221"/>
      <c r="F114" s="221"/>
      <c r="G114" s="222"/>
      <c r="H114" s="438"/>
      <c r="I114" s="221"/>
      <c r="J114" s="221"/>
      <c r="K114" s="222"/>
      <c r="L114" s="438"/>
      <c r="M114" s="223" t="e">
        <f>RANK(K114, K$7:$K$21)</f>
        <v>#N/A</v>
      </c>
      <c r="N114" s="440"/>
      <c r="O114" s="440"/>
      <c r="P114" s="221"/>
      <c r="Q114" s="221"/>
      <c r="R114" s="222"/>
      <c r="S114" s="220"/>
      <c r="T114" s="435"/>
      <c r="U114" s="221"/>
      <c r="V114" s="221"/>
      <c r="W114" s="222"/>
      <c r="X114" s="220"/>
      <c r="Y114" s="435"/>
      <c r="Z114" s="220"/>
      <c r="AA114" s="221"/>
      <c r="AB114" s="222"/>
      <c r="AC114" s="220"/>
      <c r="AD114" s="435"/>
      <c r="AE114" s="221"/>
      <c r="AF114" s="221"/>
      <c r="AG114" s="222"/>
      <c r="AH114" s="220"/>
      <c r="AI114" s="435"/>
      <c r="AJ114" s="221"/>
      <c r="AK114" s="221"/>
      <c r="AL114" s="222"/>
      <c r="AM114" s="220"/>
      <c r="AN114" s="435"/>
      <c r="AO114" s="221"/>
      <c r="AP114" s="221"/>
      <c r="AQ114" s="222"/>
      <c r="AR114" s="220"/>
      <c r="AS114" s="435"/>
      <c r="AT114" s="221"/>
      <c r="AU114" s="221"/>
      <c r="AV114" s="222"/>
      <c r="AW114" s="220"/>
      <c r="AX114" s="435"/>
    </row>
    <row r="115" spans="2:50">
      <c r="B115" s="436"/>
      <c r="C115" s="220">
        <v>9</v>
      </c>
      <c r="D115" s="220"/>
      <c r="E115" s="221"/>
      <c r="F115" s="221"/>
      <c r="G115" s="222"/>
      <c r="H115" s="438"/>
      <c r="I115" s="221"/>
      <c r="J115" s="221"/>
      <c r="K115" s="222"/>
      <c r="L115" s="438"/>
      <c r="M115" s="223" t="e">
        <f>RANK(K115, K$7:$K$21)</f>
        <v>#N/A</v>
      </c>
      <c r="N115" s="440"/>
      <c r="O115" s="440"/>
      <c r="P115" s="221"/>
      <c r="Q115" s="221"/>
      <c r="R115" s="222"/>
      <c r="S115" s="220"/>
      <c r="T115" s="435"/>
      <c r="U115" s="221"/>
      <c r="V115" s="221"/>
      <c r="W115" s="222"/>
      <c r="X115" s="220"/>
      <c r="Y115" s="435"/>
      <c r="Z115" s="220"/>
      <c r="AA115" s="221"/>
      <c r="AB115" s="222"/>
      <c r="AC115" s="220"/>
      <c r="AD115" s="435"/>
      <c r="AE115" s="221"/>
      <c r="AF115" s="221"/>
      <c r="AG115" s="222"/>
      <c r="AH115" s="220"/>
      <c r="AI115" s="435"/>
      <c r="AJ115" s="221"/>
      <c r="AK115" s="221"/>
      <c r="AL115" s="222"/>
      <c r="AM115" s="220"/>
      <c r="AN115" s="435"/>
      <c r="AO115" s="221"/>
      <c r="AP115" s="221"/>
      <c r="AQ115" s="222"/>
      <c r="AR115" s="220"/>
      <c r="AS115" s="435"/>
      <c r="AT115" s="221"/>
      <c r="AU115" s="221"/>
      <c r="AV115" s="222"/>
      <c r="AW115" s="220"/>
      <c r="AX115" s="435"/>
    </row>
    <row r="116" spans="2:50">
      <c r="B116" s="436"/>
      <c r="C116" s="220">
        <v>10</v>
      </c>
      <c r="D116" s="220"/>
      <c r="E116" s="221"/>
      <c r="F116" s="221"/>
      <c r="G116" s="222"/>
      <c r="H116" s="438"/>
      <c r="I116" s="221"/>
      <c r="J116" s="221"/>
      <c r="K116" s="222"/>
      <c r="L116" s="438"/>
      <c r="M116" s="223" t="e">
        <f>RANK(K116, K$7:$K$21)</f>
        <v>#N/A</v>
      </c>
      <c r="N116" s="440"/>
      <c r="O116" s="440"/>
      <c r="P116" s="221"/>
      <c r="Q116" s="221"/>
      <c r="R116" s="222"/>
      <c r="S116" s="220"/>
      <c r="T116" s="435"/>
      <c r="U116" s="221"/>
      <c r="V116" s="221"/>
      <c r="W116" s="222"/>
      <c r="X116" s="220"/>
      <c r="Y116" s="435"/>
      <c r="Z116" s="220"/>
      <c r="AA116" s="221"/>
      <c r="AB116" s="222"/>
      <c r="AC116" s="220"/>
      <c r="AD116" s="435"/>
      <c r="AE116" s="221"/>
      <c r="AF116" s="221"/>
      <c r="AG116" s="222"/>
      <c r="AH116" s="220"/>
      <c r="AI116" s="435"/>
      <c r="AJ116" s="221"/>
      <c r="AK116" s="221"/>
      <c r="AL116" s="222"/>
      <c r="AM116" s="220"/>
      <c r="AN116" s="435"/>
      <c r="AO116" s="221"/>
      <c r="AP116" s="221"/>
      <c r="AQ116" s="222"/>
      <c r="AR116" s="220"/>
      <c r="AS116" s="435"/>
      <c r="AT116" s="221"/>
      <c r="AU116" s="221"/>
      <c r="AV116" s="222"/>
      <c r="AW116" s="220"/>
      <c r="AX116" s="435"/>
    </row>
    <row r="117" spans="2:50">
      <c r="B117" s="436"/>
      <c r="C117" s="220">
        <v>11</v>
      </c>
      <c r="D117" s="220"/>
      <c r="E117" s="221"/>
      <c r="F117" s="221"/>
      <c r="G117" s="222"/>
      <c r="H117" s="438"/>
      <c r="I117" s="221"/>
      <c r="J117" s="221"/>
      <c r="K117" s="222"/>
      <c r="L117" s="438"/>
      <c r="M117" s="223" t="e">
        <f>RANK(K117, K$7:$K$21)</f>
        <v>#N/A</v>
      </c>
      <c r="N117" s="440"/>
      <c r="O117" s="440"/>
      <c r="P117" s="220"/>
      <c r="Q117" s="220"/>
      <c r="R117" s="222"/>
      <c r="S117" s="220"/>
      <c r="T117" s="435"/>
      <c r="U117" s="220"/>
      <c r="V117" s="220"/>
      <c r="W117" s="222"/>
      <c r="X117" s="220"/>
      <c r="Y117" s="435"/>
      <c r="Z117" s="220"/>
      <c r="AA117" s="220"/>
      <c r="AB117" s="222"/>
      <c r="AC117" s="220"/>
      <c r="AD117" s="435"/>
      <c r="AE117" s="220"/>
      <c r="AF117" s="220"/>
      <c r="AG117" s="222"/>
      <c r="AH117" s="220"/>
      <c r="AI117" s="435"/>
      <c r="AJ117" s="220"/>
      <c r="AK117" s="220"/>
      <c r="AL117" s="220"/>
      <c r="AM117" s="220"/>
      <c r="AN117" s="435"/>
      <c r="AO117" s="220"/>
      <c r="AP117" s="220"/>
      <c r="AQ117" s="222"/>
      <c r="AR117" s="220"/>
      <c r="AS117" s="435"/>
      <c r="AT117" s="220"/>
      <c r="AU117" s="220"/>
      <c r="AV117" s="222"/>
      <c r="AW117" s="220"/>
      <c r="AX117" s="435"/>
    </row>
    <row r="118" spans="2:50">
      <c r="B118" s="436"/>
      <c r="C118" s="220">
        <v>12</v>
      </c>
      <c r="D118" s="220"/>
      <c r="E118" s="221"/>
      <c r="F118" s="221"/>
      <c r="G118" s="222"/>
      <c r="H118" s="438"/>
      <c r="I118" s="221"/>
      <c r="J118" s="221"/>
      <c r="K118" s="222"/>
      <c r="L118" s="438"/>
      <c r="M118" s="223" t="e">
        <f>RANK(K118, K$7:$K$21)</f>
        <v>#N/A</v>
      </c>
      <c r="N118" s="440"/>
      <c r="O118" s="440"/>
      <c r="P118" s="220"/>
      <c r="Q118" s="220"/>
      <c r="R118" s="222"/>
      <c r="S118" s="220"/>
      <c r="T118" s="435"/>
      <c r="U118" s="220"/>
      <c r="V118" s="220"/>
      <c r="W118" s="222"/>
      <c r="X118" s="220"/>
      <c r="Y118" s="435"/>
      <c r="Z118" s="220"/>
      <c r="AA118" s="220"/>
      <c r="AB118" s="222"/>
      <c r="AC118" s="220"/>
      <c r="AD118" s="435"/>
      <c r="AE118" s="220"/>
      <c r="AF118" s="220"/>
      <c r="AG118" s="222"/>
      <c r="AH118" s="220"/>
      <c r="AI118" s="435"/>
      <c r="AJ118" s="220"/>
      <c r="AK118" s="220"/>
      <c r="AL118" s="220"/>
      <c r="AM118" s="220"/>
      <c r="AN118" s="435"/>
      <c r="AO118" s="220"/>
      <c r="AP118" s="220"/>
      <c r="AQ118" s="222"/>
      <c r="AR118" s="220"/>
      <c r="AS118" s="435"/>
      <c r="AT118" s="220"/>
      <c r="AU118" s="220"/>
      <c r="AV118" s="222"/>
      <c r="AW118" s="220"/>
      <c r="AX118" s="435"/>
    </row>
    <row r="119" spans="2:50">
      <c r="B119" s="436"/>
      <c r="C119" s="220">
        <v>13</v>
      </c>
      <c r="D119" s="220"/>
      <c r="E119" s="221"/>
      <c r="F119" s="221"/>
      <c r="G119" s="222"/>
      <c r="H119" s="438"/>
      <c r="I119" s="221"/>
      <c r="J119" s="221"/>
      <c r="K119" s="222"/>
      <c r="L119" s="438"/>
      <c r="M119" s="223" t="e">
        <f>RANK(K119, K$7:$K$21)</f>
        <v>#N/A</v>
      </c>
      <c r="N119" s="440"/>
      <c r="O119" s="440"/>
      <c r="P119" s="220"/>
      <c r="Q119" s="220"/>
      <c r="R119" s="222"/>
      <c r="S119" s="220"/>
      <c r="T119" s="435"/>
      <c r="U119" s="220"/>
      <c r="V119" s="220"/>
      <c r="W119" s="222"/>
      <c r="X119" s="220"/>
      <c r="Y119" s="435"/>
      <c r="Z119" s="220"/>
      <c r="AA119" s="220"/>
      <c r="AB119" s="222"/>
      <c r="AC119" s="220"/>
      <c r="AD119" s="435"/>
      <c r="AE119" s="220"/>
      <c r="AF119" s="220"/>
      <c r="AG119" s="222"/>
      <c r="AH119" s="220"/>
      <c r="AI119" s="435"/>
      <c r="AJ119" s="220"/>
      <c r="AK119" s="220"/>
      <c r="AL119" s="220"/>
      <c r="AM119" s="220"/>
      <c r="AN119" s="435"/>
      <c r="AO119" s="220"/>
      <c r="AP119" s="220"/>
      <c r="AQ119" s="222"/>
      <c r="AR119" s="220"/>
      <c r="AS119" s="435"/>
      <c r="AT119" s="220"/>
      <c r="AU119" s="220"/>
      <c r="AV119" s="222"/>
      <c r="AW119" s="220"/>
      <c r="AX119" s="435"/>
    </row>
    <row r="120" spans="2:50">
      <c r="B120" s="436"/>
      <c r="C120" s="220">
        <v>14</v>
      </c>
      <c r="D120" s="220"/>
      <c r="E120" s="221"/>
      <c r="F120" s="221"/>
      <c r="G120" s="222"/>
      <c r="H120" s="438"/>
      <c r="I120" s="221"/>
      <c r="J120" s="221"/>
      <c r="K120" s="222"/>
      <c r="L120" s="438"/>
      <c r="M120" s="223" t="e">
        <f>RANK(K120, K$7:$K$21)</f>
        <v>#N/A</v>
      </c>
      <c r="N120" s="440"/>
      <c r="O120" s="440"/>
      <c r="P120" s="220"/>
      <c r="Q120" s="220"/>
      <c r="R120" s="222"/>
      <c r="S120" s="220"/>
      <c r="T120" s="435"/>
      <c r="U120" s="220"/>
      <c r="V120" s="220"/>
      <c r="W120" s="222"/>
      <c r="X120" s="220"/>
      <c r="Y120" s="435"/>
      <c r="Z120" s="220"/>
      <c r="AA120" s="220"/>
      <c r="AB120" s="222"/>
      <c r="AC120" s="220"/>
      <c r="AD120" s="435"/>
      <c r="AE120" s="220"/>
      <c r="AF120" s="220"/>
      <c r="AG120" s="222"/>
      <c r="AH120" s="220"/>
      <c r="AI120" s="435"/>
      <c r="AJ120" s="220"/>
      <c r="AK120" s="220"/>
      <c r="AL120" s="220"/>
      <c r="AM120" s="220"/>
      <c r="AN120" s="435"/>
      <c r="AO120" s="220"/>
      <c r="AP120" s="220"/>
      <c r="AQ120" s="222"/>
      <c r="AR120" s="220"/>
      <c r="AS120" s="435"/>
      <c r="AT120" s="220"/>
      <c r="AU120" s="220"/>
      <c r="AV120" s="222"/>
      <c r="AW120" s="220"/>
      <c r="AX120" s="435"/>
    </row>
    <row r="121" spans="2:50">
      <c r="B121" s="436"/>
      <c r="C121" s="220">
        <v>15</v>
      </c>
      <c r="D121" s="220"/>
      <c r="E121" s="221"/>
      <c r="F121" s="221"/>
      <c r="G121" s="222"/>
      <c r="H121" s="439"/>
      <c r="I121" s="221"/>
      <c r="J121" s="221"/>
      <c r="K121" s="222"/>
      <c r="L121" s="439"/>
      <c r="M121" s="221" t="e">
        <f>RANK(K121, K$7:$K$21)</f>
        <v>#N/A</v>
      </c>
      <c r="N121" s="440"/>
      <c r="O121" s="440"/>
      <c r="P121" s="220"/>
      <c r="Q121" s="220"/>
      <c r="R121" s="222"/>
      <c r="S121" s="220"/>
      <c r="T121" s="435"/>
      <c r="U121" s="220"/>
      <c r="V121" s="220"/>
      <c r="W121" s="222"/>
      <c r="X121" s="220"/>
      <c r="Y121" s="435"/>
      <c r="Z121" s="220"/>
      <c r="AA121" s="220"/>
      <c r="AB121" s="222"/>
      <c r="AC121" s="220"/>
      <c r="AD121" s="435"/>
      <c r="AE121" s="220"/>
      <c r="AF121" s="220"/>
      <c r="AG121" s="222"/>
      <c r="AH121" s="220"/>
      <c r="AI121" s="435"/>
      <c r="AJ121" s="220"/>
      <c r="AK121" s="220"/>
      <c r="AL121" s="220"/>
      <c r="AM121" s="220"/>
      <c r="AN121" s="435"/>
      <c r="AO121" s="220"/>
      <c r="AP121" s="220"/>
      <c r="AQ121" s="222"/>
      <c r="AR121" s="220"/>
      <c r="AS121" s="435"/>
      <c r="AT121" s="220"/>
      <c r="AU121" s="220"/>
      <c r="AV121" s="222"/>
      <c r="AW121" s="220"/>
      <c r="AX121" s="435"/>
    </row>
  </sheetData>
  <mergeCells count="354">
    <mergeCell ref="B87:B101"/>
    <mergeCell ref="AS87:AS101"/>
    <mergeCell ref="AX87:AX101"/>
    <mergeCell ref="AO85:AR85"/>
    <mergeCell ref="AT85:AW85"/>
    <mergeCell ref="AN87:AN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AO84:AR84"/>
    <mergeCell ref="AS84:AS86"/>
    <mergeCell ref="AT84:AW84"/>
    <mergeCell ref="AX84:AX86"/>
    <mergeCell ref="AJ85:AM85"/>
    <mergeCell ref="AN84:AN86"/>
    <mergeCell ref="AJ84:AM84"/>
    <mergeCell ref="Y84:Y86"/>
    <mergeCell ref="AS67:AS81"/>
    <mergeCell ref="AN67:AN81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65:AM65"/>
    <mergeCell ref="M64:M66"/>
    <mergeCell ref="N64:N81"/>
    <mergeCell ref="O64:O81"/>
    <mergeCell ref="P64:S64"/>
    <mergeCell ref="T64:T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L67:L81"/>
    <mergeCell ref="T67:T81"/>
    <mergeCell ref="Y67:Y81"/>
    <mergeCell ref="B64:B66"/>
    <mergeCell ref="C64:D66"/>
    <mergeCell ref="U64:X64"/>
    <mergeCell ref="E64:G64"/>
    <mergeCell ref="AD67:AD81"/>
    <mergeCell ref="AI67:AI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O65:AR65"/>
    <mergeCell ref="AT65:AW65"/>
    <mergeCell ref="AS64:AS66"/>
    <mergeCell ref="AT64:AW64"/>
    <mergeCell ref="AN64:AN66"/>
    <mergeCell ref="AO64:AR64"/>
    <mergeCell ref="B67:B81"/>
    <mergeCell ref="H67:H8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27:B41"/>
    <mergeCell ref="H27:H41"/>
    <mergeCell ref="L27:L41"/>
    <mergeCell ref="T27:T41"/>
    <mergeCell ref="Y27:Y41"/>
    <mergeCell ref="B24:B26"/>
    <mergeCell ref="C24:D26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AO25:AR25"/>
    <mergeCell ref="AT25:AW25"/>
    <mergeCell ref="AO24:AR24"/>
    <mergeCell ref="AS24:AS26"/>
    <mergeCell ref="AT24:AW24"/>
    <mergeCell ref="U24:X24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AD27:AD41"/>
    <mergeCell ref="AI27:AI41"/>
    <mergeCell ref="AN27:AN41"/>
    <mergeCell ref="AN24:AN26"/>
    <mergeCell ref="AS27:AS41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P103:T103"/>
    <mergeCell ref="U103:Y103"/>
    <mergeCell ref="Z102:AD102"/>
    <mergeCell ref="AE102:AI102"/>
    <mergeCell ref="AJ102:AN102"/>
    <mergeCell ref="AO102:AS102"/>
    <mergeCell ref="AT102:AX102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AO104:AR104"/>
    <mergeCell ref="T104:T106"/>
    <mergeCell ref="U104:X104"/>
    <mergeCell ref="Y104:Y106"/>
    <mergeCell ref="Z104:AC104"/>
    <mergeCell ref="AD104:AD106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E104:AH104"/>
    <mergeCell ref="AI104:AI106"/>
    <mergeCell ref="AJ104:AM104"/>
    <mergeCell ref="AN104:AN106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18" sqref="K18:L18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15" width="12.5703125" style="161" customWidth="1"/>
    <col min="16" max="16384" width="12.5703125" style="161"/>
  </cols>
  <sheetData>
    <row r="1" spans="1:13" ht="15.75" customHeight="1">
      <c r="A1" s="385" t="s">
        <v>64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161"/>
    </row>
    <row r="2" spans="1:13" s="162" customFormat="1" ht="15.75" customHeight="1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</row>
    <row r="3" spans="1:13" ht="15.75" customHeight="1">
      <c r="A3" s="492" t="s">
        <v>65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161"/>
    </row>
    <row r="4" spans="1:13" s="162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</row>
    <row r="5" spans="1:13" s="186" customFormat="1" ht="16.350000000000001" customHeight="1">
      <c r="A5" s="494" t="s">
        <v>46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494"/>
      <c r="B6" s="187" t="s">
        <v>66</v>
      </c>
      <c r="C6" s="187" t="s">
        <v>67</v>
      </c>
      <c r="D6" s="187" t="s">
        <v>35</v>
      </c>
      <c r="E6" s="188"/>
      <c r="F6" s="188"/>
      <c r="G6" s="162"/>
      <c r="M6" s="161"/>
    </row>
    <row r="7" spans="1:13" s="186" customFormat="1" ht="15.75" customHeight="1">
      <c r="A7" s="495" t="s">
        <v>46</v>
      </c>
      <c r="B7" s="495"/>
      <c r="C7" s="189" t="s">
        <v>51</v>
      </c>
      <c r="D7" s="495" t="s">
        <v>68</v>
      </c>
      <c r="E7" s="496"/>
      <c r="F7" s="496"/>
      <c r="G7" s="189" t="s">
        <v>56</v>
      </c>
      <c r="H7" s="189" t="s">
        <v>69</v>
      </c>
      <c r="I7" s="189" t="s">
        <v>70</v>
      </c>
      <c r="J7" s="190" t="s">
        <v>71</v>
      </c>
      <c r="K7" s="495" t="s">
        <v>72</v>
      </c>
      <c r="L7" s="496"/>
      <c r="M7" s="185"/>
    </row>
    <row r="8" spans="1:13" ht="15.75" customHeight="1">
      <c r="A8" s="494">
        <v>1</v>
      </c>
      <c r="B8" s="495" t="s">
        <v>73</v>
      </c>
      <c r="C8" s="191">
        <v>1</v>
      </c>
      <c r="D8" s="497" t="s">
        <v>393</v>
      </c>
      <c r="E8" s="498"/>
      <c r="F8" s="499"/>
      <c r="G8" s="197">
        <v>12.428571428571429</v>
      </c>
      <c r="H8" s="197">
        <v>1861.8571428571429</v>
      </c>
      <c r="I8" s="198">
        <v>150.11904761904765</v>
      </c>
      <c r="J8" s="232">
        <v>1.077</v>
      </c>
      <c r="K8" s="500"/>
      <c r="L8" s="501"/>
    </row>
    <row r="9" spans="1:13" ht="15.75" customHeight="1">
      <c r="A9" s="494"/>
      <c r="B9" s="495"/>
      <c r="C9" s="191">
        <v>2</v>
      </c>
      <c r="D9" s="497" t="s">
        <v>389</v>
      </c>
      <c r="E9" s="498"/>
      <c r="F9" s="499"/>
      <c r="G9" s="197">
        <v>13.714285714285714</v>
      </c>
      <c r="H9" s="197">
        <v>1898.7142857142858</v>
      </c>
      <c r="I9" s="198">
        <v>138.48430141287284</v>
      </c>
      <c r="J9" s="232">
        <v>1.02</v>
      </c>
      <c r="K9" s="502"/>
      <c r="L9" s="501"/>
    </row>
    <row r="10" spans="1:13" ht="15.75" customHeight="1">
      <c r="A10" s="494"/>
      <c r="B10" s="495"/>
      <c r="C10" s="191">
        <v>3</v>
      </c>
      <c r="D10" s="497" t="s">
        <v>390</v>
      </c>
      <c r="E10" s="498"/>
      <c r="F10" s="499"/>
      <c r="G10" s="197">
        <v>13.714285714285714</v>
      </c>
      <c r="H10" s="197">
        <v>1733.7142857142858</v>
      </c>
      <c r="I10" s="198">
        <v>126.72448979591836</v>
      </c>
      <c r="J10" s="232">
        <v>1.006</v>
      </c>
      <c r="K10" s="502"/>
      <c r="L10" s="501"/>
    </row>
    <row r="11" spans="1:13" ht="15.75" customHeight="1">
      <c r="A11" s="494"/>
      <c r="B11" s="495"/>
      <c r="C11" s="191">
        <v>4</v>
      </c>
      <c r="D11" s="503" t="s">
        <v>391</v>
      </c>
      <c r="E11" s="498"/>
      <c r="F11" s="499"/>
      <c r="G11" s="197">
        <v>15.142857142857142</v>
      </c>
      <c r="H11" s="197">
        <v>1661</v>
      </c>
      <c r="I11" s="198">
        <v>109.63809523809523</v>
      </c>
      <c r="J11" s="232"/>
      <c r="K11" s="502"/>
      <c r="L11" s="501"/>
    </row>
    <row r="12" spans="1:13" ht="15.75" customHeight="1">
      <c r="A12" s="494"/>
      <c r="B12" s="495"/>
      <c r="C12" s="191">
        <v>5</v>
      </c>
      <c r="D12" s="504" t="s">
        <v>392</v>
      </c>
      <c r="E12" s="498"/>
      <c r="F12" s="499"/>
      <c r="G12" s="197">
        <v>16.714285714285715</v>
      </c>
      <c r="H12" s="197">
        <v>1780.8571428571429</v>
      </c>
      <c r="I12" s="198">
        <v>106.3955182072829</v>
      </c>
      <c r="J12" s="232">
        <v>0.84399999999999997</v>
      </c>
      <c r="K12" s="502" t="s">
        <v>79</v>
      </c>
      <c r="L12" s="501"/>
    </row>
    <row r="13" spans="1:13" ht="15.75" customHeight="1">
      <c r="A13" s="494"/>
      <c r="B13" s="495"/>
      <c r="C13" s="193" t="s">
        <v>80</v>
      </c>
      <c r="D13" s="504" t="s">
        <v>394</v>
      </c>
      <c r="E13" s="498"/>
      <c r="F13" s="499"/>
      <c r="G13" s="197">
        <v>16</v>
      </c>
      <c r="H13" s="197">
        <v>1119.5714285714287</v>
      </c>
      <c r="I13" s="198">
        <v>69.835177404295052</v>
      </c>
      <c r="J13" s="232">
        <v>1.0209999999999999</v>
      </c>
      <c r="K13" s="502"/>
      <c r="L13" s="501"/>
    </row>
    <row r="14" spans="1:13" ht="15.75" customHeight="1">
      <c r="A14" s="494"/>
      <c r="B14" s="495"/>
      <c r="C14" s="193" t="s">
        <v>82</v>
      </c>
      <c r="D14" s="503" t="s">
        <v>395</v>
      </c>
      <c r="E14" s="498"/>
      <c r="F14" s="499"/>
      <c r="G14" s="197">
        <v>14.714285714285714</v>
      </c>
      <c r="H14" s="197">
        <v>1144.1428571428571</v>
      </c>
      <c r="I14" s="198">
        <v>77.611564625850335</v>
      </c>
      <c r="J14" s="232">
        <v>1.054</v>
      </c>
      <c r="K14" s="502"/>
      <c r="L14" s="501"/>
    </row>
    <row r="15" spans="1:13" ht="15.75" customHeight="1">
      <c r="A15" s="494"/>
      <c r="B15" s="495"/>
      <c r="C15" s="193" t="s">
        <v>84</v>
      </c>
      <c r="D15" s="497" t="s">
        <v>396</v>
      </c>
      <c r="E15" s="498"/>
      <c r="F15" s="499"/>
      <c r="G15" s="197">
        <v>17.285714285714285</v>
      </c>
      <c r="H15" s="197">
        <v>1352.7142857142858</v>
      </c>
      <c r="I15" s="198">
        <v>78.258343161826133</v>
      </c>
      <c r="J15" s="232">
        <v>0.93400000000000005</v>
      </c>
      <c r="K15" s="502" t="s">
        <v>397</v>
      </c>
      <c r="L15" s="501"/>
    </row>
    <row r="16" spans="1:13" ht="15.75" customHeight="1">
      <c r="A16" s="494"/>
      <c r="B16" s="495"/>
      <c r="C16" s="193" t="s">
        <v>86</v>
      </c>
      <c r="D16" s="503" t="s">
        <v>87</v>
      </c>
      <c r="E16" s="498"/>
      <c r="F16" s="499"/>
      <c r="G16" s="197">
        <v>16.142857142857142</v>
      </c>
      <c r="H16" s="197">
        <v>1308.5714285714287</v>
      </c>
      <c r="I16" s="198">
        <v>81.221113445378151</v>
      </c>
      <c r="J16" s="232">
        <v>1.0389999999999999</v>
      </c>
      <c r="K16" s="502"/>
      <c r="L16" s="501"/>
      <c r="M16" s="161"/>
    </row>
    <row r="17" spans="1:13" ht="15.75" customHeight="1">
      <c r="A17" s="494"/>
      <c r="B17" s="495"/>
      <c r="C17" s="193" t="s">
        <v>88</v>
      </c>
      <c r="D17" s="504" t="s">
        <v>398</v>
      </c>
      <c r="E17" s="498"/>
      <c r="F17" s="499"/>
      <c r="G17" s="197">
        <v>17</v>
      </c>
      <c r="H17" s="197">
        <v>1427</v>
      </c>
      <c r="I17" s="198">
        <v>83.846386800334159</v>
      </c>
      <c r="J17" s="232">
        <v>0.97499999999999998</v>
      </c>
      <c r="K17" s="502" t="s">
        <v>399</v>
      </c>
      <c r="L17" s="501"/>
      <c r="M17" s="161"/>
    </row>
    <row r="18" spans="1:13" s="196" customFormat="1" ht="15.75" customHeight="1">
      <c r="A18" s="505" t="s">
        <v>46</v>
      </c>
      <c r="B18" s="505"/>
      <c r="C18" s="194" t="s">
        <v>51</v>
      </c>
      <c r="D18" s="505" t="s">
        <v>68</v>
      </c>
      <c r="E18" s="506"/>
      <c r="F18" s="506"/>
      <c r="G18" s="194" t="s">
        <v>56</v>
      </c>
      <c r="H18" s="194" t="s">
        <v>69</v>
      </c>
      <c r="I18" s="194" t="s">
        <v>70</v>
      </c>
      <c r="J18" s="195" t="s">
        <v>71</v>
      </c>
      <c r="K18" s="505" t="s">
        <v>72</v>
      </c>
      <c r="L18" s="506"/>
      <c r="M18" s="188"/>
    </row>
    <row r="19" spans="1:13" ht="15.75" customHeight="1">
      <c r="A19" s="494">
        <v>2</v>
      </c>
      <c r="B19" s="495" t="s">
        <v>90</v>
      </c>
      <c r="C19" s="191">
        <v>1</v>
      </c>
      <c r="D19" s="500"/>
      <c r="E19" s="501"/>
      <c r="F19" s="501"/>
      <c r="G19" s="192"/>
      <c r="H19" s="192"/>
      <c r="I19" s="192"/>
      <c r="J19" s="192"/>
      <c r="K19" s="500"/>
      <c r="L19" s="501"/>
      <c r="M19" s="161"/>
    </row>
    <row r="20" spans="1:13" ht="15.75" customHeight="1">
      <c r="A20" s="494"/>
      <c r="B20" s="495"/>
      <c r="C20" s="191">
        <v>2</v>
      </c>
      <c r="D20" s="507"/>
      <c r="E20" s="501"/>
      <c r="F20" s="501"/>
      <c r="G20" s="192"/>
      <c r="H20" s="192"/>
      <c r="I20" s="192"/>
      <c r="J20" s="192"/>
      <c r="K20" s="507"/>
      <c r="L20" s="501"/>
      <c r="M20" s="161"/>
    </row>
    <row r="21" spans="1:13" ht="15.75" customHeight="1">
      <c r="A21" s="494"/>
      <c r="B21" s="495"/>
      <c r="C21" s="191">
        <v>3</v>
      </c>
      <c r="D21" s="507"/>
      <c r="E21" s="501"/>
      <c r="F21" s="501"/>
      <c r="G21" s="192"/>
      <c r="H21" s="192"/>
      <c r="I21" s="192"/>
      <c r="J21" s="192"/>
      <c r="K21" s="507"/>
      <c r="L21" s="501"/>
      <c r="M21" s="161"/>
    </row>
    <row r="22" spans="1:13" ht="15.75" customHeight="1">
      <c r="A22" s="494"/>
      <c r="B22" s="495"/>
      <c r="C22" s="191">
        <v>4</v>
      </c>
      <c r="D22" s="507"/>
      <c r="E22" s="501"/>
      <c r="F22" s="501"/>
      <c r="G22" s="192"/>
      <c r="H22" s="192"/>
      <c r="I22" s="192"/>
      <c r="J22" s="192"/>
      <c r="K22" s="507"/>
      <c r="L22" s="501"/>
      <c r="M22" s="161"/>
    </row>
    <row r="23" spans="1:13" ht="15.75" customHeight="1">
      <c r="A23" s="494"/>
      <c r="B23" s="495"/>
      <c r="C23" s="191">
        <v>5</v>
      </c>
      <c r="D23" s="507"/>
      <c r="E23" s="501"/>
      <c r="F23" s="501"/>
      <c r="G23" s="192"/>
      <c r="H23" s="192"/>
      <c r="I23" s="192"/>
      <c r="J23" s="192"/>
      <c r="K23" s="507"/>
      <c r="L23" s="501"/>
      <c r="M23" s="161"/>
    </row>
    <row r="24" spans="1:13" ht="15.75" customHeight="1">
      <c r="A24" s="494"/>
      <c r="B24" s="495"/>
      <c r="C24" s="193" t="s">
        <v>80</v>
      </c>
      <c r="D24" s="500"/>
      <c r="E24" s="501"/>
      <c r="F24" s="501"/>
      <c r="G24" s="192"/>
      <c r="H24" s="192"/>
      <c r="I24" s="192"/>
      <c r="J24" s="192"/>
      <c r="K24" s="500"/>
      <c r="L24" s="501"/>
      <c r="M24" s="161"/>
    </row>
    <row r="25" spans="1:13" ht="15.75" customHeight="1">
      <c r="A25" s="494"/>
      <c r="B25" s="495"/>
      <c r="C25" s="193" t="s">
        <v>82</v>
      </c>
      <c r="D25" s="507"/>
      <c r="E25" s="501"/>
      <c r="F25" s="501"/>
      <c r="G25" s="192"/>
      <c r="H25" s="192"/>
      <c r="I25" s="192"/>
      <c r="J25" s="192"/>
      <c r="K25" s="507"/>
      <c r="L25" s="501"/>
      <c r="M25" s="161"/>
    </row>
    <row r="26" spans="1:13" ht="15.75" customHeight="1">
      <c r="A26" s="494"/>
      <c r="B26" s="495"/>
      <c r="C26" s="193" t="s">
        <v>84</v>
      </c>
      <c r="D26" s="507"/>
      <c r="E26" s="501"/>
      <c r="F26" s="501"/>
      <c r="G26" s="192"/>
      <c r="H26" s="192"/>
      <c r="I26" s="192"/>
      <c r="J26" s="192"/>
      <c r="K26" s="507"/>
      <c r="L26" s="501"/>
      <c r="M26" s="161"/>
    </row>
    <row r="27" spans="1:13" ht="15.75" customHeight="1">
      <c r="A27" s="494"/>
      <c r="B27" s="495"/>
      <c r="C27" s="193" t="s">
        <v>86</v>
      </c>
      <c r="D27" s="507"/>
      <c r="E27" s="501"/>
      <c r="F27" s="501"/>
      <c r="G27" s="192"/>
      <c r="H27" s="192"/>
      <c r="I27" s="192"/>
      <c r="J27" s="192"/>
      <c r="K27" s="507"/>
      <c r="L27" s="501"/>
      <c r="M27" s="161"/>
    </row>
    <row r="28" spans="1:13" ht="15.75" customHeight="1">
      <c r="A28" s="494"/>
      <c r="B28" s="495"/>
      <c r="C28" s="193" t="s">
        <v>88</v>
      </c>
      <c r="D28" s="507"/>
      <c r="E28" s="501"/>
      <c r="F28" s="501"/>
      <c r="G28" s="192"/>
      <c r="H28" s="192"/>
      <c r="I28" s="192"/>
      <c r="J28" s="192"/>
      <c r="K28" s="507"/>
      <c r="L28" s="501"/>
      <c r="M28" s="161"/>
    </row>
    <row r="29" spans="1:13" ht="15.75" customHeight="1">
      <c r="A29" s="505" t="s">
        <v>46</v>
      </c>
      <c r="B29" s="505"/>
      <c r="C29" s="194" t="s">
        <v>51</v>
      </c>
      <c r="D29" s="505" t="s">
        <v>68</v>
      </c>
      <c r="E29" s="506"/>
      <c r="F29" s="506"/>
      <c r="G29" s="194" t="s">
        <v>56</v>
      </c>
      <c r="H29" s="194" t="s">
        <v>69</v>
      </c>
      <c r="I29" s="194" t="s">
        <v>70</v>
      </c>
      <c r="J29" s="195" t="s">
        <v>71</v>
      </c>
      <c r="K29" s="505" t="s">
        <v>72</v>
      </c>
      <c r="L29" s="506"/>
    </row>
    <row r="30" spans="1:13" ht="15.75" customHeight="1">
      <c r="A30" s="494">
        <v>3</v>
      </c>
      <c r="B30" s="508" t="s">
        <v>35</v>
      </c>
      <c r="C30" s="191">
        <v>1</v>
      </c>
      <c r="D30" s="500" t="s">
        <v>386</v>
      </c>
      <c r="E30" s="501"/>
      <c r="F30" s="501"/>
      <c r="G30" s="197">
        <v>13</v>
      </c>
      <c r="H30" s="198">
        <v>1492.4285714285713</v>
      </c>
      <c r="I30" s="198">
        <v>114.8021978021978</v>
      </c>
      <c r="J30" s="232">
        <v>1.0172346640701071</v>
      </c>
      <c r="K30" s="509"/>
      <c r="L30" s="501"/>
    </row>
    <row r="31" spans="1:13" ht="15.75" customHeight="1">
      <c r="A31" s="494"/>
      <c r="B31" s="508"/>
      <c r="C31" s="191">
        <v>2</v>
      </c>
      <c r="D31" s="502" t="s">
        <v>387</v>
      </c>
      <c r="E31" s="501"/>
      <c r="F31" s="501"/>
      <c r="G31" s="197">
        <v>12</v>
      </c>
      <c r="H31" s="198">
        <v>1333.8571428571429</v>
      </c>
      <c r="I31" s="198">
        <v>111.15476190476191</v>
      </c>
      <c r="J31" s="232">
        <v>0.94878569251092382</v>
      </c>
      <c r="K31" s="500"/>
      <c r="L31" s="501"/>
    </row>
    <row r="32" spans="1:13" ht="15.75" customHeight="1">
      <c r="A32" s="494"/>
      <c r="B32" s="508"/>
      <c r="C32" s="191">
        <v>3</v>
      </c>
      <c r="D32" s="507" t="s">
        <v>63</v>
      </c>
      <c r="E32" s="501"/>
      <c r="F32" s="501"/>
      <c r="G32" s="197">
        <v>12</v>
      </c>
      <c r="H32" s="198">
        <v>1211.5714285714287</v>
      </c>
      <c r="I32" s="198">
        <v>100.96428571428571</v>
      </c>
      <c r="J32" s="232">
        <v>0.92024739583333337</v>
      </c>
      <c r="K32" s="509" t="s">
        <v>388</v>
      </c>
      <c r="L32" s="501"/>
    </row>
    <row r="33" spans="1:12" ht="15.75" customHeight="1">
      <c r="A33" s="494"/>
      <c r="B33" s="508"/>
      <c r="C33" s="191">
        <v>4</v>
      </c>
      <c r="D33" s="507"/>
      <c r="E33" s="501"/>
      <c r="F33" s="501"/>
      <c r="G33" s="192"/>
      <c r="H33" s="192"/>
      <c r="I33" s="192"/>
      <c r="J33" s="192"/>
      <c r="K33" s="507"/>
      <c r="L33" s="501"/>
    </row>
    <row r="34" spans="1:12" ht="15.75" customHeight="1">
      <c r="A34" s="494"/>
      <c r="B34" s="508"/>
      <c r="C34" s="191">
        <v>5</v>
      </c>
      <c r="D34" s="507"/>
      <c r="E34" s="501"/>
      <c r="F34" s="501"/>
      <c r="G34" s="192"/>
      <c r="H34" s="192"/>
      <c r="I34" s="192"/>
      <c r="J34" s="192"/>
      <c r="K34" s="507"/>
      <c r="L34" s="501"/>
    </row>
    <row r="35" spans="1:12" ht="15.75" customHeight="1">
      <c r="A35" s="494"/>
      <c r="B35" s="508"/>
      <c r="C35" s="193" t="s">
        <v>80</v>
      </c>
      <c r="D35" s="500"/>
      <c r="E35" s="501"/>
      <c r="F35" s="501"/>
      <c r="G35" s="192"/>
      <c r="H35" s="192"/>
      <c r="I35" s="192"/>
      <c r="J35" s="192"/>
      <c r="K35" s="500"/>
      <c r="L35" s="501"/>
    </row>
    <row r="36" spans="1:12" ht="15.75" customHeight="1">
      <c r="A36" s="494"/>
      <c r="B36" s="508"/>
      <c r="C36" s="193" t="s">
        <v>82</v>
      </c>
      <c r="D36" s="507"/>
      <c r="E36" s="501"/>
      <c r="F36" s="501"/>
      <c r="G36" s="192"/>
      <c r="H36" s="192"/>
      <c r="I36" s="192"/>
      <c r="J36" s="192"/>
      <c r="K36" s="507"/>
      <c r="L36" s="501"/>
    </row>
    <row r="37" spans="1:12" ht="15.75" customHeight="1">
      <c r="A37" s="494"/>
      <c r="B37" s="508"/>
      <c r="C37" s="193" t="s">
        <v>84</v>
      </c>
      <c r="D37" s="507"/>
      <c r="E37" s="501"/>
      <c r="F37" s="501"/>
      <c r="G37" s="192"/>
      <c r="H37" s="192"/>
      <c r="I37" s="192"/>
      <c r="J37" s="192"/>
      <c r="K37" s="507"/>
      <c r="L37" s="501"/>
    </row>
    <row r="38" spans="1:12" ht="15.75" customHeight="1">
      <c r="A38" s="494"/>
      <c r="B38" s="508"/>
      <c r="C38" s="193" t="s">
        <v>86</v>
      </c>
      <c r="D38" s="507"/>
      <c r="E38" s="501"/>
      <c r="F38" s="501"/>
      <c r="G38" s="192"/>
      <c r="H38" s="192"/>
      <c r="I38" s="192"/>
      <c r="J38" s="192"/>
      <c r="K38" s="507"/>
      <c r="L38" s="501"/>
    </row>
    <row r="39" spans="1:12" ht="15.75" customHeight="1">
      <c r="A39" s="494"/>
      <c r="B39" s="508"/>
      <c r="C39" s="193" t="s">
        <v>88</v>
      </c>
      <c r="D39" s="507"/>
      <c r="E39" s="501"/>
      <c r="F39" s="501"/>
      <c r="G39" s="192"/>
      <c r="H39" s="192"/>
      <c r="I39" s="192"/>
      <c r="J39" s="192"/>
      <c r="K39" s="507"/>
      <c r="L39" s="501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F9" sqref="F9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5" width="12.5703125" style="161" customWidth="1"/>
    <col min="16" max="16384" width="12.5703125" style="161"/>
  </cols>
  <sheetData>
    <row r="1" spans="1:13" ht="15.75" customHeight="1">
      <c r="A1" s="385" t="s">
        <v>64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</row>
    <row r="2" spans="1:13" s="162" customFormat="1" ht="15.75" customHeight="1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</row>
    <row r="3" spans="1:13" ht="15.75" customHeight="1">
      <c r="A3" s="492" t="s">
        <v>91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</row>
    <row r="4" spans="1:13" s="162" customFormat="1" ht="15.75" customHeight="1">
      <c r="A4" s="492"/>
      <c r="B4" s="492"/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2"/>
    </row>
    <row r="5" spans="1:13" ht="15.75" customHeight="1">
      <c r="A5" s="367" t="s">
        <v>92</v>
      </c>
      <c r="B5" s="368">
        <v>16910827</v>
      </c>
      <c r="C5" s="369"/>
      <c r="D5" s="369"/>
      <c r="E5" s="510" t="s">
        <v>93</v>
      </c>
      <c r="F5" s="510"/>
      <c r="G5" s="510"/>
      <c r="H5" s="510"/>
      <c r="I5" s="510"/>
      <c r="J5" s="510"/>
      <c r="K5" s="510"/>
      <c r="L5" s="510"/>
      <c r="M5" s="511"/>
    </row>
    <row r="6" spans="1:13" ht="15.75" customHeight="1">
      <c r="A6" s="512" t="s">
        <v>94</v>
      </c>
      <c r="B6" s="513" t="s">
        <v>95</v>
      </c>
      <c r="C6" s="513"/>
      <c r="D6" s="514"/>
      <c r="E6" s="517" t="s">
        <v>94</v>
      </c>
      <c r="F6" s="494">
        <v>1</v>
      </c>
      <c r="G6" s="494"/>
      <c r="H6" s="494">
        <v>2</v>
      </c>
      <c r="I6" s="494"/>
      <c r="J6" s="494">
        <v>3</v>
      </c>
      <c r="K6" s="494"/>
      <c r="L6" s="494">
        <v>4</v>
      </c>
      <c r="M6" s="518"/>
    </row>
    <row r="7" spans="1:13" ht="31.35" customHeight="1">
      <c r="A7" s="512"/>
      <c r="B7" s="513"/>
      <c r="C7" s="513"/>
      <c r="D7" s="515"/>
      <c r="E7" s="517"/>
      <c r="F7" s="521" t="s">
        <v>96</v>
      </c>
      <c r="G7" s="521"/>
      <c r="H7" s="521" t="s">
        <v>97</v>
      </c>
      <c r="I7" s="521"/>
      <c r="J7" s="521" t="s">
        <v>98</v>
      </c>
      <c r="K7" s="521"/>
      <c r="L7" s="524" t="s">
        <v>99</v>
      </c>
      <c r="M7" s="525"/>
    </row>
    <row r="8" spans="1:13" ht="15.75" customHeight="1">
      <c r="A8" s="512"/>
      <c r="B8" s="365" t="s">
        <v>100</v>
      </c>
      <c r="C8" s="365" t="s">
        <v>101</v>
      </c>
      <c r="D8" s="515"/>
      <c r="E8" s="517"/>
      <c r="F8" s="365" t="s">
        <v>100</v>
      </c>
      <c r="G8" s="365" t="s">
        <v>101</v>
      </c>
      <c r="H8" s="365" t="s">
        <v>100</v>
      </c>
      <c r="I8" s="365" t="s">
        <v>101</v>
      </c>
      <c r="J8" s="365" t="s">
        <v>100</v>
      </c>
      <c r="K8" s="365" t="s">
        <v>101</v>
      </c>
      <c r="L8" s="365" t="s">
        <v>100</v>
      </c>
      <c r="M8" s="370" t="s">
        <v>101</v>
      </c>
    </row>
    <row r="9" spans="1:13" ht="19.350000000000001" customHeight="1">
      <c r="A9" s="371" t="s">
        <v>102</v>
      </c>
      <c r="B9" s="164">
        <v>55421</v>
      </c>
      <c r="C9" s="165">
        <f>B9/$B$5</f>
        <v>3.2772495395996895E-3</v>
      </c>
      <c r="D9" s="515"/>
      <c r="E9" s="163" t="s">
        <v>102</v>
      </c>
      <c r="F9" s="166">
        <f>'報廢－原因別分析 (週)'!AB8</f>
        <v>40483.788999999997</v>
      </c>
      <c r="G9" s="167">
        <f>'報廢－原因別分析 (週)'!AB9</f>
        <v>0.73333333333333328</v>
      </c>
      <c r="H9" s="166">
        <f>'報廢－原因別分析 (週)'!AC8</f>
        <v>12551.764999999999</v>
      </c>
      <c r="I9" s="167">
        <f>'報廢－原因別分析 (週)'!AC9</f>
        <v>6.6666666666666666E-2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2385.2930000000001</v>
      </c>
      <c r="M9" s="372">
        <f ca="1">'報廢－原因別分析 (週)'!AE9</f>
        <v>0.2</v>
      </c>
    </row>
    <row r="10" spans="1:13" ht="19.350000000000001" customHeight="1">
      <c r="A10" s="373" t="s">
        <v>103</v>
      </c>
      <c r="B10" s="169">
        <v>15651</v>
      </c>
      <c r="C10" s="165">
        <f>B10/$B$5</f>
        <v>9.2550175103795927E-4</v>
      </c>
      <c r="D10" s="515"/>
      <c r="E10" s="168" t="s">
        <v>103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11190.264500000005</v>
      </c>
      <c r="M10" s="372">
        <f ca="1">'超用－原因別分析 (週) '!AE9</f>
        <v>0.92307692307692313</v>
      </c>
    </row>
    <row r="11" spans="1:13" ht="15.75" customHeight="1">
      <c r="A11" s="374"/>
      <c r="D11" s="515"/>
      <c r="E11" s="517" t="s">
        <v>94</v>
      </c>
      <c r="F11" s="494">
        <v>5</v>
      </c>
      <c r="G11" s="494"/>
      <c r="H11" s="494">
        <v>6</v>
      </c>
      <c r="I11" s="494"/>
      <c r="J11" s="494">
        <v>7</v>
      </c>
      <c r="K11" s="494"/>
      <c r="L11" s="519">
        <v>8</v>
      </c>
      <c r="M11" s="520"/>
    </row>
    <row r="12" spans="1:13" ht="31.35" customHeight="1">
      <c r="A12" s="374"/>
      <c r="D12" s="515"/>
      <c r="E12" s="517"/>
      <c r="F12" s="521" t="s">
        <v>104</v>
      </c>
      <c r="G12" s="521"/>
      <c r="H12" s="521" t="s">
        <v>105</v>
      </c>
      <c r="I12" s="521"/>
      <c r="J12" s="521" t="s">
        <v>106</v>
      </c>
      <c r="K12" s="521"/>
      <c r="L12" s="522" t="s">
        <v>107</v>
      </c>
      <c r="M12" s="523"/>
    </row>
    <row r="13" spans="1:13" ht="15.75" customHeight="1">
      <c r="A13" s="374"/>
      <c r="D13" s="515"/>
      <c r="E13" s="517"/>
      <c r="F13" s="365" t="s">
        <v>100</v>
      </c>
      <c r="G13" s="365" t="s">
        <v>101</v>
      </c>
      <c r="H13" s="365" t="s">
        <v>100</v>
      </c>
      <c r="I13" s="365" t="s">
        <v>101</v>
      </c>
      <c r="J13" s="365" t="s">
        <v>100</v>
      </c>
      <c r="K13" s="365" t="s">
        <v>101</v>
      </c>
      <c r="L13" s="365" t="s">
        <v>100</v>
      </c>
      <c r="M13" s="370" t="s">
        <v>101</v>
      </c>
    </row>
    <row r="14" spans="1:13" ht="19.350000000000001" customHeight="1">
      <c r="A14" s="374"/>
      <c r="D14" s="515"/>
      <c r="E14" s="163" t="s">
        <v>102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0</v>
      </c>
      <c r="K14" s="167">
        <f ca="1">'報廢－原因別分析 (週)'!AH9</f>
        <v>0</v>
      </c>
      <c r="L14" s="166">
        <f ca="1">'報廢－原因別分析 (週)'!AI8</f>
        <v>0</v>
      </c>
      <c r="M14" s="372">
        <f ca="1">'報廢－原因別分析 (週)'!AI9</f>
        <v>0</v>
      </c>
    </row>
    <row r="15" spans="1:13" ht="19.350000000000001" customHeight="1">
      <c r="A15" s="375"/>
      <c r="B15" s="376"/>
      <c r="C15" s="376"/>
      <c r="D15" s="516"/>
      <c r="E15" s="377" t="s">
        <v>103</v>
      </c>
      <c r="F15" s="378">
        <f>'超用－原因別分析 (週) '!AF8</f>
        <v>2258.54342</v>
      </c>
      <c r="G15" s="379">
        <f ca="1">'超用－原因別分析 (週) '!AF9</f>
        <v>7.6923076923076927E-2</v>
      </c>
      <c r="H15" s="378">
        <f>'超用－原因別分析 (週) '!AG8</f>
        <v>0</v>
      </c>
      <c r="I15" s="379">
        <f ca="1">'超用－原因別分析 (週) '!AG9</f>
        <v>0</v>
      </c>
      <c r="J15" s="378">
        <f>'超用－原因別分析 (週) '!AH8</f>
        <v>0</v>
      </c>
      <c r="K15" s="379">
        <f ca="1">'超用－原因別分析 (週) '!AH9</f>
        <v>0</v>
      </c>
      <c r="L15" s="378">
        <f>'超用－原因別分析 (週) '!AI8</f>
        <v>0</v>
      </c>
      <c r="M15" s="380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7" zoomScale="115" zoomScaleNormal="60" zoomScaleSheetLayoutView="115" workbookViewId="0">
      <selection activeCell="O17" sqref="O17:P17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9" width="12.5703125" style="122" customWidth="1"/>
    <col min="20" max="16384" width="12.5703125" style="122"/>
  </cols>
  <sheetData>
    <row r="1" spans="1:17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ht="15.75" customHeight="1">
      <c r="A3" s="529" t="s">
        <v>108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ht="15.75" customHeight="1">
      <c r="A5" s="424" t="s">
        <v>109</v>
      </c>
      <c r="B5" s="533">
        <v>1</v>
      </c>
      <c r="C5" s="533"/>
      <c r="D5" s="533">
        <v>2</v>
      </c>
      <c r="E5" s="533"/>
      <c r="F5" s="533">
        <v>3</v>
      </c>
      <c r="G5" s="533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1">
        <v>8</v>
      </c>
      <c r="Q5" s="531"/>
    </row>
    <row r="6" spans="1:17" ht="15.75" customHeight="1">
      <c r="A6" s="424"/>
      <c r="B6" s="534" t="s">
        <v>96</v>
      </c>
      <c r="C6" s="534"/>
      <c r="D6" s="534" t="s">
        <v>110</v>
      </c>
      <c r="E6" s="534"/>
      <c r="F6" s="534" t="s">
        <v>98</v>
      </c>
      <c r="G6" s="534"/>
      <c r="H6" s="532" t="s">
        <v>99</v>
      </c>
      <c r="I6" s="424"/>
      <c r="J6" s="424" t="s">
        <v>104</v>
      </c>
      <c r="K6" s="424"/>
      <c r="L6" s="424" t="s">
        <v>105</v>
      </c>
      <c r="M6" s="424"/>
      <c r="N6" s="424" t="s">
        <v>106</v>
      </c>
      <c r="O6" s="424"/>
      <c r="P6" s="532" t="s">
        <v>111</v>
      </c>
      <c r="Q6" s="424"/>
    </row>
    <row r="8" spans="1:17" s="124" customFormat="1" ht="15.75" customHeight="1">
      <c r="A8" s="531" t="s">
        <v>109</v>
      </c>
      <c r="B8" s="531"/>
      <c r="C8" s="130" t="s">
        <v>51</v>
      </c>
      <c r="D8" s="548" t="s">
        <v>68</v>
      </c>
      <c r="E8" s="549"/>
      <c r="F8" s="550"/>
      <c r="G8" s="131" t="s">
        <v>112</v>
      </c>
      <c r="H8" s="132"/>
      <c r="I8" s="130"/>
      <c r="J8" s="133" t="s">
        <v>113</v>
      </c>
      <c r="K8" s="133" t="s">
        <v>114</v>
      </c>
      <c r="L8" s="133" t="s">
        <v>115</v>
      </c>
      <c r="M8" s="133" t="s">
        <v>100</v>
      </c>
      <c r="N8" s="133" t="s">
        <v>116</v>
      </c>
      <c r="O8" s="543" t="s">
        <v>72</v>
      </c>
      <c r="P8" s="544"/>
    </row>
    <row r="9" spans="1:17" ht="15.75" customHeight="1">
      <c r="A9" s="531">
        <v>1</v>
      </c>
      <c r="B9" s="547" t="s">
        <v>96</v>
      </c>
      <c r="C9" s="134">
        <v>1</v>
      </c>
      <c r="D9" s="526" t="s">
        <v>391</v>
      </c>
      <c r="E9" s="541"/>
      <c r="F9" s="542"/>
      <c r="G9" s="526" t="s">
        <v>403</v>
      </c>
      <c r="H9" s="541"/>
      <c r="I9" s="542"/>
      <c r="J9" s="135">
        <v>117.6</v>
      </c>
      <c r="K9" s="136">
        <v>0.05</v>
      </c>
      <c r="L9" s="135">
        <v>159</v>
      </c>
      <c r="M9" s="199">
        <f>L9*J9</f>
        <v>18698.399999999998</v>
      </c>
      <c r="N9" s="135"/>
      <c r="O9" s="526" t="s">
        <v>404</v>
      </c>
      <c r="P9" s="527"/>
    </row>
    <row r="10" spans="1:17" ht="15.75" customHeight="1">
      <c r="A10" s="531"/>
      <c r="B10" s="547"/>
      <c r="C10" s="134">
        <v>2</v>
      </c>
      <c r="D10" s="526" t="s">
        <v>408</v>
      </c>
      <c r="E10" s="541"/>
      <c r="F10" s="542"/>
      <c r="G10" s="526" t="s">
        <v>406</v>
      </c>
      <c r="H10" s="541"/>
      <c r="I10" s="542"/>
      <c r="J10" s="135">
        <v>117</v>
      </c>
      <c r="K10" s="136">
        <v>7.4999999999999997E-2</v>
      </c>
      <c r="L10" s="135">
        <v>71.2</v>
      </c>
      <c r="M10" s="199">
        <f>L10*J10</f>
        <v>8330.4</v>
      </c>
      <c r="N10" s="135"/>
      <c r="O10" s="526" t="s">
        <v>117</v>
      </c>
      <c r="P10" s="527"/>
    </row>
    <row r="11" spans="1:17" ht="15.75" customHeight="1">
      <c r="A11" s="531"/>
      <c r="B11" s="547"/>
      <c r="C11" s="134">
        <v>3</v>
      </c>
      <c r="D11" s="526" t="s">
        <v>409</v>
      </c>
      <c r="E11" s="541"/>
      <c r="F11" s="542"/>
      <c r="G11" s="546" t="s">
        <v>410</v>
      </c>
      <c r="H11" s="541"/>
      <c r="I11" s="542"/>
      <c r="J11" s="135">
        <v>69.099999999999994</v>
      </c>
      <c r="K11" s="136">
        <v>0.01</v>
      </c>
      <c r="L11" s="135">
        <v>37.200000000000003</v>
      </c>
      <c r="M11" s="199">
        <f>L11*J11</f>
        <v>2570.52</v>
      </c>
      <c r="N11" s="135"/>
      <c r="O11" s="526" t="s">
        <v>117</v>
      </c>
      <c r="P11" s="527"/>
    </row>
    <row r="12" spans="1:17" ht="15.75" customHeight="1">
      <c r="A12" s="531"/>
      <c r="B12" s="547"/>
      <c r="C12" s="134">
        <v>4</v>
      </c>
      <c r="D12" s="526" t="s">
        <v>398</v>
      </c>
      <c r="E12" s="541"/>
      <c r="F12" s="542"/>
      <c r="G12" s="546" t="s">
        <v>411</v>
      </c>
      <c r="H12" s="541"/>
      <c r="I12" s="542"/>
      <c r="J12" s="135">
        <v>77.3</v>
      </c>
      <c r="K12" s="136">
        <v>0.01</v>
      </c>
      <c r="L12" s="135">
        <v>44.5</v>
      </c>
      <c r="M12" s="199">
        <f>L12*J12</f>
        <v>3439.85</v>
      </c>
      <c r="N12" s="135"/>
      <c r="O12" s="526" t="s">
        <v>117</v>
      </c>
      <c r="P12" s="527"/>
    </row>
    <row r="13" spans="1:17" ht="15.75" customHeight="1">
      <c r="A13" s="531"/>
      <c r="B13" s="547"/>
      <c r="C13" s="140">
        <v>5</v>
      </c>
      <c r="D13" s="538" t="s">
        <v>413</v>
      </c>
      <c r="E13" s="539"/>
      <c r="F13" s="540"/>
      <c r="G13" s="538" t="s">
        <v>414</v>
      </c>
      <c r="H13" s="539"/>
      <c r="I13" s="540"/>
      <c r="J13" s="141">
        <v>100</v>
      </c>
      <c r="K13" s="142">
        <v>2.5999999999999999E-2</v>
      </c>
      <c r="L13" s="141">
        <v>32.1</v>
      </c>
      <c r="M13" s="200">
        <f>L13*J13</f>
        <v>3210</v>
      </c>
      <c r="N13" s="135"/>
      <c r="O13" s="526" t="s">
        <v>117</v>
      </c>
      <c r="P13" s="527"/>
    </row>
    <row r="14" spans="1:17" ht="15.75" customHeight="1">
      <c r="A14" s="531"/>
      <c r="B14" s="547"/>
      <c r="C14" s="551"/>
      <c r="D14" s="551"/>
      <c r="E14" s="551"/>
      <c r="F14" s="551"/>
      <c r="G14" s="551"/>
      <c r="H14" s="551"/>
      <c r="I14" s="552"/>
      <c r="J14" s="146" t="s">
        <v>118</v>
      </c>
      <c r="K14" s="147" t="e">
        <f>M14/#REF!</f>
        <v>#REF!</v>
      </c>
      <c r="L14" s="146" t="s">
        <v>119</v>
      </c>
      <c r="M14" s="148">
        <f>SUM(M9:M13)</f>
        <v>36249.17</v>
      </c>
      <c r="N14" s="535"/>
      <c r="O14" s="536"/>
      <c r="P14" s="537"/>
    </row>
    <row r="16" spans="1:17" ht="15.75" customHeight="1">
      <c r="A16" s="531" t="s">
        <v>109</v>
      </c>
      <c r="B16" s="531"/>
      <c r="C16" s="130" t="s">
        <v>51</v>
      </c>
      <c r="D16" s="548" t="s">
        <v>68</v>
      </c>
      <c r="E16" s="549"/>
      <c r="F16" s="550"/>
      <c r="G16" s="131" t="s">
        <v>112</v>
      </c>
      <c r="H16" s="132"/>
      <c r="I16" s="130"/>
      <c r="J16" s="133" t="s">
        <v>113</v>
      </c>
      <c r="K16" s="133" t="s">
        <v>114</v>
      </c>
      <c r="L16" s="133" t="s">
        <v>115</v>
      </c>
      <c r="M16" s="133" t="s">
        <v>100</v>
      </c>
      <c r="N16" s="133" t="s">
        <v>116</v>
      </c>
      <c r="O16" s="543" t="s">
        <v>72</v>
      </c>
      <c r="P16" s="544"/>
    </row>
    <row r="17" spans="1:16" ht="15.75" customHeight="1">
      <c r="A17" s="531">
        <v>2</v>
      </c>
      <c r="B17" s="547" t="s">
        <v>120</v>
      </c>
      <c r="C17" s="134">
        <v>1</v>
      </c>
      <c r="D17" s="526" t="s">
        <v>391</v>
      </c>
      <c r="E17" s="541"/>
      <c r="F17" s="542"/>
      <c r="G17" s="546" t="s">
        <v>415</v>
      </c>
      <c r="H17" s="541"/>
      <c r="I17" s="542"/>
      <c r="J17" s="135">
        <v>383.3</v>
      </c>
      <c r="K17" s="136">
        <v>2.5999999999999999E-2</v>
      </c>
      <c r="L17" s="135">
        <v>32.799999999999997</v>
      </c>
      <c r="M17" s="199">
        <f>J17*L17</f>
        <v>12572.24</v>
      </c>
      <c r="N17" s="234"/>
      <c r="O17" s="526" t="s">
        <v>404</v>
      </c>
      <c r="P17" s="527"/>
    </row>
    <row r="18" spans="1:16" ht="15.75" customHeight="1">
      <c r="A18" s="531"/>
      <c r="B18" s="547"/>
      <c r="C18" s="134">
        <v>2</v>
      </c>
      <c r="D18" s="526"/>
      <c r="E18" s="541"/>
      <c r="F18" s="542"/>
      <c r="G18" s="526"/>
      <c r="H18" s="541"/>
      <c r="I18" s="542"/>
      <c r="J18" s="135"/>
      <c r="K18" s="136"/>
      <c r="L18" s="135"/>
      <c r="M18" s="199">
        <f t="shared" ref="M18:M21" si="0">J18*L18</f>
        <v>0</v>
      </c>
      <c r="N18" s="234"/>
      <c r="O18" s="554"/>
      <c r="P18" s="555"/>
    </row>
    <row r="19" spans="1:16" ht="15.75" customHeight="1">
      <c r="A19" s="531"/>
      <c r="B19" s="547"/>
      <c r="C19" s="134">
        <v>3</v>
      </c>
      <c r="D19" s="545"/>
      <c r="E19" s="541"/>
      <c r="F19" s="542"/>
      <c r="G19" s="546"/>
      <c r="H19" s="541"/>
      <c r="I19" s="542"/>
      <c r="J19" s="135"/>
      <c r="K19" s="136"/>
      <c r="L19" s="135"/>
      <c r="M19" s="199">
        <f t="shared" si="0"/>
        <v>0</v>
      </c>
      <c r="N19" s="234"/>
      <c r="O19" s="526"/>
      <c r="P19" s="527"/>
    </row>
    <row r="20" spans="1:16" ht="15.75" customHeight="1">
      <c r="A20" s="531"/>
      <c r="B20" s="547"/>
      <c r="C20" s="134">
        <v>4</v>
      </c>
      <c r="D20" s="545"/>
      <c r="E20" s="541"/>
      <c r="F20" s="542"/>
      <c r="G20" s="546"/>
      <c r="H20" s="541"/>
      <c r="I20" s="542"/>
      <c r="J20" s="135"/>
      <c r="K20" s="136"/>
      <c r="L20" s="135"/>
      <c r="M20" s="199">
        <f t="shared" si="0"/>
        <v>0</v>
      </c>
      <c r="N20" s="234"/>
      <c r="O20" s="526"/>
      <c r="P20" s="527"/>
    </row>
    <row r="21" spans="1:16" ht="15.75" customHeight="1">
      <c r="A21" s="531"/>
      <c r="B21" s="547"/>
      <c r="C21" s="140">
        <v>5</v>
      </c>
      <c r="D21" s="545"/>
      <c r="E21" s="541"/>
      <c r="F21" s="542"/>
      <c r="G21" s="545"/>
      <c r="H21" s="541"/>
      <c r="I21" s="542"/>
      <c r="J21" s="135"/>
      <c r="K21" s="136"/>
      <c r="L21" s="135"/>
      <c r="M21" s="199">
        <f t="shared" si="0"/>
        <v>0</v>
      </c>
      <c r="N21" s="234"/>
      <c r="O21" s="526"/>
      <c r="P21" s="527"/>
    </row>
    <row r="22" spans="1:16" ht="15.75" customHeight="1">
      <c r="A22" s="531"/>
      <c r="B22" s="547"/>
      <c r="C22" s="551"/>
      <c r="D22" s="551"/>
      <c r="E22" s="551"/>
      <c r="F22" s="551"/>
      <c r="G22" s="551"/>
      <c r="H22" s="551"/>
      <c r="I22" s="552"/>
      <c r="J22" s="146" t="s">
        <v>118</v>
      </c>
      <c r="K22" s="147" t="e">
        <f>M22/#REF!</f>
        <v>#REF!</v>
      </c>
      <c r="L22" s="146" t="s">
        <v>119</v>
      </c>
      <c r="M22" s="233">
        <f>SUM(M17:M21)</f>
        <v>12572.24</v>
      </c>
      <c r="N22" s="535"/>
      <c r="O22" s="536"/>
      <c r="P22" s="537"/>
    </row>
    <row r="24" spans="1:16" ht="15.75" customHeight="1">
      <c r="A24" s="531" t="s">
        <v>109</v>
      </c>
      <c r="B24" s="531"/>
      <c r="C24" s="130" t="s">
        <v>51</v>
      </c>
      <c r="D24" s="548" t="s">
        <v>68</v>
      </c>
      <c r="E24" s="549"/>
      <c r="F24" s="550"/>
      <c r="G24" s="131" t="s">
        <v>112</v>
      </c>
      <c r="H24" s="132"/>
      <c r="I24" s="130"/>
      <c r="J24" s="133" t="s">
        <v>113</v>
      </c>
      <c r="K24" s="133" t="s">
        <v>114</v>
      </c>
      <c r="L24" s="133" t="s">
        <v>115</v>
      </c>
      <c r="M24" s="133" t="s">
        <v>100</v>
      </c>
      <c r="N24" s="133" t="s">
        <v>71</v>
      </c>
      <c r="O24" s="543" t="s">
        <v>72</v>
      </c>
      <c r="P24" s="544"/>
    </row>
    <row r="25" spans="1:16" ht="15.75" customHeight="1">
      <c r="A25" s="531">
        <v>3</v>
      </c>
      <c r="B25" s="547" t="s">
        <v>98</v>
      </c>
      <c r="C25" s="134">
        <v>1</v>
      </c>
      <c r="D25" s="546"/>
      <c r="E25" s="541"/>
      <c r="F25" s="542"/>
      <c r="G25" s="546"/>
      <c r="H25" s="541"/>
      <c r="I25" s="542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1"/>
      <c r="B26" s="547"/>
      <c r="C26" s="134">
        <v>2</v>
      </c>
      <c r="D26" s="546"/>
      <c r="E26" s="541"/>
      <c r="F26" s="542"/>
      <c r="G26" s="546"/>
      <c r="H26" s="541"/>
      <c r="I26" s="542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1"/>
      <c r="B27" s="547"/>
      <c r="C27" s="134">
        <v>3</v>
      </c>
      <c r="D27" s="546"/>
      <c r="E27" s="541"/>
      <c r="F27" s="542"/>
      <c r="G27" s="546"/>
      <c r="H27" s="541"/>
      <c r="I27" s="542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1"/>
      <c r="B28" s="547"/>
      <c r="C28" s="134">
        <v>4</v>
      </c>
      <c r="D28" s="546"/>
      <c r="E28" s="541"/>
      <c r="F28" s="542"/>
      <c r="G28" s="546"/>
      <c r="H28" s="541"/>
      <c r="I28" s="542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1"/>
      <c r="B29" s="547"/>
      <c r="C29" s="140">
        <v>5</v>
      </c>
      <c r="D29" s="553"/>
      <c r="E29" s="539"/>
      <c r="F29" s="540"/>
      <c r="G29" s="553"/>
      <c r="H29" s="539"/>
      <c r="I29" s="540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1"/>
      <c r="B30" s="547"/>
      <c r="C30" s="551"/>
      <c r="D30" s="551"/>
      <c r="E30" s="551"/>
      <c r="F30" s="551"/>
      <c r="G30" s="551"/>
      <c r="H30" s="551"/>
      <c r="I30" s="552"/>
      <c r="J30" s="146" t="s">
        <v>118</v>
      </c>
      <c r="K30" s="147" t="e">
        <f>M30/#REF!</f>
        <v>#REF!</v>
      </c>
      <c r="L30" s="146" t="s">
        <v>119</v>
      </c>
      <c r="M30" s="148">
        <f>SUM(M25:M29)</f>
        <v>0</v>
      </c>
      <c r="N30" s="535"/>
      <c r="O30" s="536"/>
      <c r="P30" s="537"/>
    </row>
  </sheetData>
  <mergeCells count="80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O17" sqref="O17:P17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9" width="12.5703125" style="2" customWidth="1"/>
    <col min="20" max="16384" width="12.5703125" style="2"/>
  </cols>
  <sheetData>
    <row r="1" spans="1:17" s="122" customFormat="1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s="122" customFormat="1" ht="15.75" customHeight="1">
      <c r="A3" s="529" t="s">
        <v>108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s="122" customFormat="1" ht="15.75" customHeight="1">
      <c r="A5" s="424" t="s">
        <v>109</v>
      </c>
      <c r="B5" s="531">
        <v>1</v>
      </c>
      <c r="C5" s="531"/>
      <c r="D5" s="531">
        <v>2</v>
      </c>
      <c r="E5" s="531"/>
      <c r="F5" s="531">
        <v>3</v>
      </c>
      <c r="G5" s="531"/>
      <c r="H5" s="533">
        <v>4</v>
      </c>
      <c r="I5" s="533"/>
      <c r="J5" s="533">
        <v>5</v>
      </c>
      <c r="K5" s="533"/>
      <c r="L5" s="533">
        <v>6</v>
      </c>
      <c r="M5" s="533"/>
      <c r="N5" s="533">
        <v>7</v>
      </c>
      <c r="O5" s="533"/>
      <c r="P5" s="531">
        <v>8</v>
      </c>
      <c r="Q5" s="531"/>
    </row>
    <row r="6" spans="1:17" s="122" customFormat="1" ht="15.75" customHeight="1">
      <c r="A6" s="424"/>
      <c r="B6" s="424" t="s">
        <v>96</v>
      </c>
      <c r="C6" s="424"/>
      <c r="D6" s="424" t="s">
        <v>110</v>
      </c>
      <c r="E6" s="424"/>
      <c r="F6" s="424" t="s">
        <v>98</v>
      </c>
      <c r="G6" s="424"/>
      <c r="H6" s="556" t="s">
        <v>99</v>
      </c>
      <c r="I6" s="534"/>
      <c r="J6" s="534" t="s">
        <v>104</v>
      </c>
      <c r="K6" s="534"/>
      <c r="L6" s="534" t="s">
        <v>105</v>
      </c>
      <c r="M6" s="534"/>
      <c r="N6" s="534" t="s">
        <v>106</v>
      </c>
      <c r="O6" s="534"/>
      <c r="P6" s="532" t="s">
        <v>111</v>
      </c>
      <c r="Q6" s="424"/>
    </row>
    <row r="7" spans="1:17" s="122" customFormat="1" ht="15.75" customHeight="1">
      <c r="B7" s="149"/>
      <c r="C7" s="128"/>
    </row>
    <row r="8" spans="1:17" s="112" customFormat="1" ht="15.75" customHeight="1">
      <c r="A8" s="557" t="s">
        <v>109</v>
      </c>
      <c r="B8" s="558"/>
      <c r="C8" s="119" t="s">
        <v>51</v>
      </c>
      <c r="D8" s="559" t="s">
        <v>68</v>
      </c>
      <c r="E8" s="560"/>
      <c r="F8" s="561"/>
      <c r="G8" s="117" t="s">
        <v>112</v>
      </c>
      <c r="H8" s="118"/>
      <c r="I8" s="119"/>
      <c r="J8" s="116" t="s">
        <v>113</v>
      </c>
      <c r="K8" s="116" t="s">
        <v>114</v>
      </c>
      <c r="L8" s="116" t="s">
        <v>115</v>
      </c>
      <c r="M8" s="120" t="s">
        <v>100</v>
      </c>
      <c r="N8" s="120" t="s">
        <v>116</v>
      </c>
      <c r="O8" s="562" t="s">
        <v>72</v>
      </c>
      <c r="P8" s="563"/>
    </row>
    <row r="9" spans="1:17" ht="15.75" customHeight="1">
      <c r="A9" s="558">
        <v>4</v>
      </c>
      <c r="B9" s="564" t="s">
        <v>99</v>
      </c>
      <c r="C9" s="114">
        <v>1</v>
      </c>
      <c r="D9" s="538" t="s">
        <v>89</v>
      </c>
      <c r="E9" s="566"/>
      <c r="F9" s="567"/>
      <c r="G9" s="526" t="s">
        <v>124</v>
      </c>
      <c r="H9" s="568"/>
      <c r="I9" s="569"/>
      <c r="J9" s="4">
        <v>38.1</v>
      </c>
      <c r="K9" s="14">
        <v>8.0000000000000002E-3</v>
      </c>
      <c r="L9" s="4">
        <v>43.1</v>
      </c>
      <c r="M9" s="202">
        <f>L9*J9</f>
        <v>1642.1100000000001</v>
      </c>
      <c r="N9" s="231">
        <v>0.51800000000000002</v>
      </c>
      <c r="O9" s="574" t="s">
        <v>125</v>
      </c>
      <c r="P9" s="575"/>
    </row>
    <row r="10" spans="1:17" ht="15.75" customHeight="1">
      <c r="A10" s="558"/>
      <c r="B10" s="565"/>
      <c r="C10" s="114">
        <v>2</v>
      </c>
      <c r="D10" s="538" t="s">
        <v>126</v>
      </c>
      <c r="E10" s="566"/>
      <c r="F10" s="567"/>
      <c r="G10" s="570" t="s">
        <v>127</v>
      </c>
      <c r="H10" s="568"/>
      <c r="I10" s="569"/>
      <c r="J10" s="4">
        <v>40</v>
      </c>
      <c r="K10" s="14">
        <v>3.0000000000000001E-3</v>
      </c>
      <c r="L10" s="4">
        <v>10.3</v>
      </c>
      <c r="M10" s="202">
        <f>L10*J10</f>
        <v>412</v>
      </c>
      <c r="N10" s="231">
        <v>0.27800000000000002</v>
      </c>
      <c r="O10" s="574" t="s">
        <v>125</v>
      </c>
      <c r="P10" s="575"/>
    </row>
    <row r="11" spans="1:17" ht="15.75" customHeight="1">
      <c r="A11" s="558"/>
      <c r="B11" s="565"/>
      <c r="C11" s="114">
        <v>3</v>
      </c>
      <c r="D11" s="570" t="s">
        <v>416</v>
      </c>
      <c r="E11" s="568"/>
      <c r="F11" s="569"/>
      <c r="G11" s="570" t="s">
        <v>417</v>
      </c>
      <c r="H11" s="568"/>
      <c r="I11" s="569"/>
      <c r="J11" s="4">
        <v>55</v>
      </c>
      <c r="K11" s="14">
        <v>2.4E-2</v>
      </c>
      <c r="L11" s="4">
        <v>6.1</v>
      </c>
      <c r="M11" s="202">
        <f>L11*J11</f>
        <v>335.5</v>
      </c>
      <c r="N11" s="231">
        <v>0.64200000000000002</v>
      </c>
      <c r="O11" s="574" t="s">
        <v>125</v>
      </c>
      <c r="P11" s="575"/>
    </row>
    <row r="12" spans="1:17" ht="15.75" customHeight="1">
      <c r="A12" s="558"/>
      <c r="B12" s="565"/>
      <c r="C12" s="114">
        <v>4</v>
      </c>
      <c r="D12" s="570"/>
      <c r="E12" s="568"/>
      <c r="F12" s="569"/>
      <c r="G12" s="526"/>
      <c r="H12" s="568"/>
      <c r="I12" s="569"/>
      <c r="J12" s="4"/>
      <c r="K12" s="14"/>
      <c r="L12" s="4"/>
      <c r="M12" s="202">
        <f>L12*J12</f>
        <v>0</v>
      </c>
      <c r="N12" s="231"/>
      <c r="O12" s="574"/>
      <c r="P12" s="575"/>
    </row>
    <row r="13" spans="1:17" ht="15.75" customHeight="1">
      <c r="A13" s="558"/>
      <c r="B13" s="565"/>
      <c r="C13" s="115">
        <v>5</v>
      </c>
      <c r="D13" s="538"/>
      <c r="E13" s="566"/>
      <c r="F13" s="567"/>
      <c r="G13" s="538"/>
      <c r="H13" s="566"/>
      <c r="I13" s="567"/>
      <c r="J13" s="27"/>
      <c r="K13" s="30"/>
      <c r="L13" s="27"/>
      <c r="M13" s="202">
        <f>L13*J13</f>
        <v>0</v>
      </c>
      <c r="N13" s="231"/>
      <c r="O13" s="574"/>
      <c r="P13" s="575"/>
    </row>
    <row r="14" spans="1:17" ht="15.75" customHeight="1">
      <c r="A14" s="558"/>
      <c r="B14" s="565"/>
      <c r="C14" s="579"/>
      <c r="D14" s="579"/>
      <c r="E14" s="579"/>
      <c r="F14" s="579"/>
      <c r="G14" s="579"/>
      <c r="H14" s="579"/>
      <c r="I14" s="580"/>
      <c r="J14" s="121" t="s">
        <v>118</v>
      </c>
      <c r="K14" s="147" t="e">
        <f>M14/#REF!</f>
        <v>#REF!</v>
      </c>
      <c r="L14" s="121" t="s">
        <v>119</v>
      </c>
      <c r="M14" s="34">
        <v>0</v>
      </c>
      <c r="N14" s="571"/>
      <c r="O14" s="572"/>
      <c r="P14" s="573"/>
    </row>
    <row r="16" spans="1:17" ht="15.75" customHeight="1">
      <c r="A16" s="557" t="s">
        <v>109</v>
      </c>
      <c r="B16" s="558"/>
      <c r="C16" s="119" t="s">
        <v>51</v>
      </c>
      <c r="D16" s="559" t="s">
        <v>68</v>
      </c>
      <c r="E16" s="560"/>
      <c r="F16" s="561"/>
      <c r="G16" s="117" t="s">
        <v>112</v>
      </c>
      <c r="H16" s="118"/>
      <c r="I16" s="119"/>
      <c r="J16" s="116" t="s">
        <v>113</v>
      </c>
      <c r="K16" s="116" t="s">
        <v>114</v>
      </c>
      <c r="L16" s="116" t="s">
        <v>115</v>
      </c>
      <c r="M16" s="120" t="s">
        <v>100</v>
      </c>
      <c r="N16" s="120" t="s">
        <v>116</v>
      </c>
      <c r="O16" s="562" t="s">
        <v>72</v>
      </c>
      <c r="P16" s="563"/>
    </row>
    <row r="17" spans="1:16" ht="15.75" customHeight="1">
      <c r="A17" s="558">
        <v>5</v>
      </c>
      <c r="B17" s="564" t="s">
        <v>104</v>
      </c>
      <c r="C17" s="114">
        <v>1</v>
      </c>
      <c r="D17" s="545"/>
      <c r="E17" s="568"/>
      <c r="F17" s="569"/>
      <c r="G17" s="576"/>
      <c r="H17" s="568"/>
      <c r="I17" s="569"/>
      <c r="J17" s="4"/>
      <c r="K17" s="14"/>
      <c r="L17" s="4"/>
      <c r="M17" s="202">
        <f>L17*J17</f>
        <v>0</v>
      </c>
      <c r="N17" s="4"/>
      <c r="O17" s="574"/>
      <c r="P17" s="575"/>
    </row>
    <row r="18" spans="1:16" ht="15.75" customHeight="1">
      <c r="A18" s="558"/>
      <c r="B18" s="565"/>
      <c r="C18" s="114">
        <v>2</v>
      </c>
      <c r="D18" s="545"/>
      <c r="E18" s="568"/>
      <c r="F18" s="569"/>
      <c r="G18" s="576"/>
      <c r="H18" s="568"/>
      <c r="I18" s="569"/>
      <c r="J18" s="342"/>
      <c r="K18" s="14"/>
      <c r="L18" s="4"/>
      <c r="M18" s="202">
        <f>L18*J18</f>
        <v>0</v>
      </c>
      <c r="N18" s="4"/>
      <c r="O18" s="574"/>
      <c r="P18" s="575"/>
    </row>
    <row r="19" spans="1:16" ht="15.75" customHeight="1">
      <c r="A19" s="558"/>
      <c r="B19" s="565"/>
      <c r="C19" s="114">
        <v>3</v>
      </c>
      <c r="D19" s="578"/>
      <c r="E19" s="568"/>
      <c r="F19" s="569"/>
      <c r="G19" s="578"/>
      <c r="H19" s="568"/>
      <c r="I19" s="569"/>
      <c r="J19" s="4"/>
      <c r="K19" s="14"/>
      <c r="L19" s="4"/>
      <c r="M19" s="202">
        <f>L19*J19</f>
        <v>0</v>
      </c>
      <c r="N19" s="4"/>
      <c r="O19" s="574"/>
      <c r="P19" s="575"/>
    </row>
    <row r="20" spans="1:16" ht="15.75" customHeight="1">
      <c r="A20" s="558"/>
      <c r="B20" s="565"/>
      <c r="C20" s="114">
        <v>4</v>
      </c>
      <c r="D20" s="545"/>
      <c r="E20" s="568"/>
      <c r="F20" s="569"/>
      <c r="G20" s="578"/>
      <c r="H20" s="568"/>
      <c r="I20" s="569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58"/>
      <c r="B21" s="565"/>
      <c r="C21" s="115">
        <v>5</v>
      </c>
      <c r="D21" s="545"/>
      <c r="E21" s="568"/>
      <c r="F21" s="569"/>
      <c r="G21" s="577"/>
      <c r="H21" s="566"/>
      <c r="I21" s="567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58"/>
      <c r="B22" s="565"/>
      <c r="C22" s="579"/>
      <c r="D22" s="579"/>
      <c r="E22" s="579"/>
      <c r="F22" s="579"/>
      <c r="G22" s="579"/>
      <c r="H22" s="579"/>
      <c r="I22" s="580"/>
      <c r="J22" s="121" t="s">
        <v>118</v>
      </c>
      <c r="K22" s="147" t="e">
        <f>M22/#REF!</f>
        <v>#REF!</v>
      </c>
      <c r="L22" s="121" t="s">
        <v>119</v>
      </c>
      <c r="M22" s="34">
        <v>0</v>
      </c>
      <c r="N22" s="571"/>
      <c r="O22" s="572"/>
      <c r="P22" s="573"/>
    </row>
    <row r="24" spans="1:16" ht="15.75" customHeight="1">
      <c r="A24" s="557" t="s">
        <v>109</v>
      </c>
      <c r="B24" s="558"/>
      <c r="C24" s="119" t="s">
        <v>51</v>
      </c>
      <c r="D24" s="559" t="s">
        <v>68</v>
      </c>
      <c r="E24" s="560"/>
      <c r="F24" s="561"/>
      <c r="G24" s="117" t="s">
        <v>112</v>
      </c>
      <c r="H24" s="118"/>
      <c r="I24" s="119"/>
      <c r="J24" s="116" t="s">
        <v>113</v>
      </c>
      <c r="K24" s="116" t="s">
        <v>114</v>
      </c>
      <c r="L24" s="116" t="s">
        <v>115</v>
      </c>
      <c r="M24" s="120" t="s">
        <v>100</v>
      </c>
      <c r="N24" s="120" t="s">
        <v>71</v>
      </c>
      <c r="O24" s="562" t="s">
        <v>72</v>
      </c>
      <c r="P24" s="563"/>
    </row>
    <row r="25" spans="1:16" ht="15.75" customHeight="1">
      <c r="A25" s="558">
        <v>6</v>
      </c>
      <c r="B25" s="564" t="s">
        <v>105</v>
      </c>
      <c r="C25" s="114">
        <v>1</v>
      </c>
      <c r="D25" s="546"/>
      <c r="E25" s="541"/>
      <c r="F25" s="542"/>
      <c r="G25" s="546"/>
      <c r="H25" s="541"/>
      <c r="I25" s="542"/>
      <c r="J25" s="135"/>
      <c r="K25" s="136"/>
      <c r="L25" s="135"/>
      <c r="M25" s="202">
        <f>L25*J25</f>
        <v>0</v>
      </c>
      <c r="N25" s="231"/>
      <c r="O25" s="526"/>
      <c r="P25" s="527"/>
    </row>
    <row r="26" spans="1:16" ht="15.75" customHeight="1">
      <c r="A26" s="558"/>
      <c r="B26" s="565"/>
      <c r="C26" s="114">
        <v>2</v>
      </c>
      <c r="D26" s="526"/>
      <c r="E26" s="568"/>
      <c r="F26" s="569"/>
      <c r="G26" s="526"/>
      <c r="H26" s="568"/>
      <c r="I26" s="569"/>
      <c r="J26" s="4"/>
      <c r="K26" s="14"/>
      <c r="L26" s="4"/>
      <c r="M26" s="199"/>
      <c r="N26" s="231"/>
      <c r="O26" s="526"/>
      <c r="P26" s="527"/>
    </row>
    <row r="27" spans="1:16" ht="15.75" customHeight="1">
      <c r="A27" s="558"/>
      <c r="B27" s="565"/>
      <c r="C27" s="114">
        <v>3</v>
      </c>
      <c r="D27" s="526"/>
      <c r="E27" s="568"/>
      <c r="F27" s="569"/>
      <c r="G27" s="576"/>
      <c r="H27" s="568"/>
      <c r="I27" s="569"/>
      <c r="J27" s="4"/>
      <c r="K27" s="14"/>
      <c r="L27" s="4"/>
      <c r="M27" s="199"/>
      <c r="N27" s="231"/>
      <c r="O27" s="526"/>
      <c r="P27" s="527"/>
    </row>
    <row r="28" spans="1:16" ht="15.75" customHeight="1">
      <c r="A28" s="558"/>
      <c r="B28" s="565"/>
      <c r="C28" s="114">
        <v>4</v>
      </c>
      <c r="D28" s="578"/>
      <c r="E28" s="568"/>
      <c r="F28" s="569"/>
      <c r="G28" s="578"/>
      <c r="H28" s="568"/>
      <c r="I28" s="569"/>
      <c r="J28" s="4"/>
      <c r="K28" s="14"/>
      <c r="L28" s="4"/>
      <c r="M28" s="201"/>
      <c r="N28" s="231"/>
      <c r="O28" s="574"/>
      <c r="P28" s="581"/>
    </row>
    <row r="29" spans="1:16" ht="15.75" customHeight="1">
      <c r="A29" s="558"/>
      <c r="B29" s="565"/>
      <c r="C29" s="115">
        <v>5</v>
      </c>
      <c r="D29" s="577"/>
      <c r="E29" s="566"/>
      <c r="F29" s="567"/>
      <c r="G29" s="577"/>
      <c r="H29" s="566"/>
      <c r="I29" s="567"/>
      <c r="J29" s="27"/>
      <c r="K29" s="30"/>
      <c r="L29" s="27"/>
      <c r="M29" s="202"/>
      <c r="N29" s="231"/>
      <c r="O29" s="582"/>
      <c r="P29" s="575"/>
    </row>
    <row r="30" spans="1:16" ht="15.75" customHeight="1">
      <c r="A30" s="558"/>
      <c r="B30" s="565"/>
      <c r="C30" s="579"/>
      <c r="D30" s="579"/>
      <c r="E30" s="579"/>
      <c r="F30" s="579"/>
      <c r="G30" s="579"/>
      <c r="H30" s="579"/>
      <c r="I30" s="580"/>
      <c r="J30" s="121" t="s">
        <v>118</v>
      </c>
      <c r="K30" s="147" t="e">
        <f>M30/#REF!</f>
        <v>#REF!</v>
      </c>
      <c r="L30" s="121" t="s">
        <v>119</v>
      </c>
      <c r="M30" s="34">
        <v>0</v>
      </c>
      <c r="N30" s="571"/>
      <c r="O30" s="572"/>
      <c r="P30" s="573"/>
    </row>
    <row r="32" spans="1:16" ht="15.75" customHeight="1">
      <c r="A32" s="557" t="s">
        <v>109</v>
      </c>
      <c r="B32" s="558"/>
      <c r="C32" s="119" t="s">
        <v>51</v>
      </c>
      <c r="D32" s="559" t="s">
        <v>68</v>
      </c>
      <c r="E32" s="560"/>
      <c r="F32" s="561"/>
      <c r="G32" s="117" t="s">
        <v>112</v>
      </c>
      <c r="H32" s="118"/>
      <c r="I32" s="119"/>
      <c r="J32" s="116" t="s">
        <v>113</v>
      </c>
      <c r="K32" s="116" t="s">
        <v>114</v>
      </c>
      <c r="L32" s="116" t="s">
        <v>115</v>
      </c>
      <c r="M32" s="120" t="s">
        <v>100</v>
      </c>
      <c r="N32" s="120" t="s">
        <v>71</v>
      </c>
      <c r="O32" s="562" t="s">
        <v>72</v>
      </c>
      <c r="P32" s="563"/>
    </row>
    <row r="33" spans="1:16" ht="15.75" customHeight="1">
      <c r="A33" s="558">
        <v>7</v>
      </c>
      <c r="B33" s="564" t="s">
        <v>98</v>
      </c>
      <c r="C33" s="114">
        <v>1</v>
      </c>
      <c r="D33" s="578"/>
      <c r="E33" s="568"/>
      <c r="F33" s="569"/>
      <c r="G33" s="578"/>
      <c r="H33" s="568"/>
      <c r="I33" s="569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58"/>
      <c r="B34" s="565"/>
      <c r="C34" s="114">
        <v>2</v>
      </c>
      <c r="D34" s="578"/>
      <c r="E34" s="568"/>
      <c r="F34" s="569"/>
      <c r="G34" s="578"/>
      <c r="H34" s="568"/>
      <c r="I34" s="569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58"/>
      <c r="B35" s="565"/>
      <c r="C35" s="114">
        <v>3</v>
      </c>
      <c r="D35" s="578"/>
      <c r="E35" s="568"/>
      <c r="F35" s="569"/>
      <c r="G35" s="578"/>
      <c r="H35" s="568"/>
      <c r="I35" s="569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58"/>
      <c r="B36" s="565"/>
      <c r="C36" s="114">
        <v>4</v>
      </c>
      <c r="D36" s="578"/>
      <c r="E36" s="568"/>
      <c r="F36" s="569"/>
      <c r="G36" s="578"/>
      <c r="H36" s="568"/>
      <c r="I36" s="569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58"/>
      <c r="B37" s="565"/>
      <c r="C37" s="115">
        <v>5</v>
      </c>
      <c r="D37" s="577"/>
      <c r="E37" s="566"/>
      <c r="F37" s="567"/>
      <c r="G37" s="577"/>
      <c r="H37" s="566"/>
      <c r="I37" s="56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58"/>
      <c r="B38" s="565"/>
      <c r="C38" s="579"/>
      <c r="D38" s="579"/>
      <c r="E38" s="579"/>
      <c r="F38" s="579"/>
      <c r="G38" s="579"/>
      <c r="H38" s="579"/>
      <c r="I38" s="580"/>
      <c r="J38" s="121" t="s">
        <v>118</v>
      </c>
      <c r="K38" s="147" t="e">
        <f>M38/#REF!</f>
        <v>#REF!</v>
      </c>
      <c r="L38" s="121" t="s">
        <v>119</v>
      </c>
      <c r="M38" s="34">
        <v>0</v>
      </c>
      <c r="N38" s="571"/>
      <c r="O38" s="572"/>
      <c r="P38" s="573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T35" sqref="T3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9" width="12.5703125" style="122" customWidth="1"/>
    <col min="20" max="16384" width="12.5703125" style="122"/>
  </cols>
  <sheetData>
    <row r="1" spans="1:17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ht="15.75" customHeight="1">
      <c r="A3" s="529" t="s">
        <v>129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</row>
    <row r="4" spans="1:17" s="123" customFormat="1" ht="15.7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</row>
    <row r="5" spans="1:17" ht="15.75" customHeight="1">
      <c r="A5" s="424" t="s">
        <v>109</v>
      </c>
      <c r="B5" s="533">
        <v>1</v>
      </c>
      <c r="C5" s="533"/>
      <c r="D5" s="533">
        <v>2</v>
      </c>
      <c r="E5" s="533"/>
      <c r="F5" s="533">
        <v>3</v>
      </c>
      <c r="G5" s="533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1">
        <v>8</v>
      </c>
      <c r="Q5" s="531"/>
    </row>
    <row r="6" spans="1:17" ht="15.75" customHeight="1">
      <c r="A6" s="424"/>
      <c r="B6" s="534" t="s">
        <v>96</v>
      </c>
      <c r="C6" s="534"/>
      <c r="D6" s="534" t="s">
        <v>110</v>
      </c>
      <c r="E6" s="534"/>
      <c r="F6" s="534" t="s">
        <v>98</v>
      </c>
      <c r="G6" s="534"/>
      <c r="H6" s="532" t="s">
        <v>99</v>
      </c>
      <c r="I6" s="532"/>
      <c r="J6" s="424" t="s">
        <v>104</v>
      </c>
      <c r="K6" s="424"/>
      <c r="L6" s="424" t="s">
        <v>105</v>
      </c>
      <c r="M6" s="424"/>
      <c r="N6" s="424" t="s">
        <v>106</v>
      </c>
      <c r="O6" s="424"/>
      <c r="P6" s="532" t="s">
        <v>111</v>
      </c>
      <c r="Q6" s="424"/>
    </row>
    <row r="8" spans="1:17" s="124" customFormat="1" ht="15.75" customHeight="1">
      <c r="A8" s="531" t="s">
        <v>109</v>
      </c>
      <c r="B8" s="531"/>
      <c r="C8" s="130" t="s">
        <v>51</v>
      </c>
      <c r="D8" s="548" t="s">
        <v>68</v>
      </c>
      <c r="E8" s="549"/>
      <c r="F8" s="550"/>
      <c r="G8" s="131" t="s">
        <v>112</v>
      </c>
      <c r="H8" s="132"/>
      <c r="I8" s="130"/>
      <c r="J8" s="133" t="s">
        <v>113</v>
      </c>
      <c r="K8" s="336" t="s">
        <v>130</v>
      </c>
      <c r="L8" s="133" t="s">
        <v>115</v>
      </c>
      <c r="M8" s="133" t="s">
        <v>100</v>
      </c>
      <c r="N8" s="133" t="s">
        <v>116</v>
      </c>
      <c r="O8" s="543" t="s">
        <v>72</v>
      </c>
      <c r="P8" s="544"/>
    </row>
    <row r="9" spans="1:17" ht="15.75" customHeight="1">
      <c r="A9" s="531">
        <v>1</v>
      </c>
      <c r="B9" s="547" t="s">
        <v>96</v>
      </c>
      <c r="C9" s="134">
        <v>1</v>
      </c>
      <c r="D9" s="546"/>
      <c r="E9" s="541"/>
      <c r="F9" s="542"/>
      <c r="G9" s="546"/>
      <c r="H9" s="541"/>
      <c r="I9" s="542"/>
      <c r="J9" s="135"/>
      <c r="K9" s="136"/>
      <c r="L9" s="135"/>
      <c r="M9" s="199">
        <f>L9*J9</f>
        <v>0</v>
      </c>
      <c r="N9" s="135"/>
      <c r="O9" s="526"/>
      <c r="P9" s="527"/>
    </row>
    <row r="10" spans="1:17" ht="15.75" customHeight="1">
      <c r="A10" s="531"/>
      <c r="B10" s="547"/>
      <c r="C10" s="134">
        <v>2</v>
      </c>
      <c r="D10" s="546"/>
      <c r="E10" s="541"/>
      <c r="F10" s="542"/>
      <c r="G10" s="546"/>
      <c r="H10" s="541"/>
      <c r="I10" s="542"/>
      <c r="J10" s="135"/>
      <c r="K10" s="136"/>
      <c r="L10" s="135"/>
      <c r="M10" s="199">
        <f>L10*J10</f>
        <v>0</v>
      </c>
      <c r="N10" s="135"/>
      <c r="O10" s="526"/>
      <c r="P10" s="527"/>
    </row>
    <row r="11" spans="1:17" ht="15.75" customHeight="1">
      <c r="A11" s="531"/>
      <c r="B11" s="547"/>
      <c r="C11" s="134">
        <v>3</v>
      </c>
      <c r="D11" s="526"/>
      <c r="E11" s="541"/>
      <c r="F11" s="542"/>
      <c r="G11" s="546"/>
      <c r="H11" s="541"/>
      <c r="I11" s="542"/>
      <c r="J11" s="135"/>
      <c r="K11" s="136"/>
      <c r="L11" s="135"/>
      <c r="M11" s="199">
        <f>L11*J11</f>
        <v>0</v>
      </c>
      <c r="N11" s="135"/>
      <c r="O11" s="526"/>
      <c r="P11" s="527"/>
    </row>
    <row r="12" spans="1:17" ht="15.75" customHeight="1">
      <c r="A12" s="531"/>
      <c r="B12" s="547"/>
      <c r="C12" s="134">
        <v>4</v>
      </c>
      <c r="D12" s="546"/>
      <c r="E12" s="541"/>
      <c r="F12" s="542"/>
      <c r="G12" s="546"/>
      <c r="H12" s="541"/>
      <c r="I12" s="542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31"/>
      <c r="B13" s="547"/>
      <c r="C13" s="140">
        <v>5</v>
      </c>
      <c r="D13" s="553"/>
      <c r="E13" s="539"/>
      <c r="F13" s="540"/>
      <c r="G13" s="553"/>
      <c r="H13" s="539"/>
      <c r="I13" s="540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31"/>
      <c r="B14" s="547"/>
      <c r="C14" s="551"/>
      <c r="D14" s="551"/>
      <c r="E14" s="551"/>
      <c r="F14" s="551"/>
      <c r="G14" s="551"/>
      <c r="H14" s="551"/>
      <c r="I14" s="552"/>
      <c r="J14" s="146" t="s">
        <v>118</v>
      </c>
      <c r="K14" s="147" t="e">
        <f>M14/#REF!</f>
        <v>#REF!</v>
      </c>
      <c r="L14" s="146" t="s">
        <v>119</v>
      </c>
      <c r="M14" s="148">
        <f>SUM(M9:M13)</f>
        <v>0</v>
      </c>
      <c r="N14" s="535"/>
      <c r="O14" s="536"/>
      <c r="P14" s="537"/>
    </row>
    <row r="16" spans="1:17" ht="15.75" customHeight="1">
      <c r="A16" s="531" t="s">
        <v>109</v>
      </c>
      <c r="B16" s="531"/>
      <c r="C16" s="130" t="s">
        <v>51</v>
      </c>
      <c r="D16" s="548" t="s">
        <v>68</v>
      </c>
      <c r="E16" s="549"/>
      <c r="F16" s="550"/>
      <c r="G16" s="131" t="s">
        <v>112</v>
      </c>
      <c r="H16" s="132"/>
      <c r="I16" s="130"/>
      <c r="J16" s="133" t="s">
        <v>113</v>
      </c>
      <c r="K16" s="336" t="s">
        <v>130</v>
      </c>
      <c r="L16" s="133" t="s">
        <v>115</v>
      </c>
      <c r="M16" s="133" t="s">
        <v>100</v>
      </c>
      <c r="N16" s="133" t="s">
        <v>116</v>
      </c>
      <c r="O16" s="543" t="s">
        <v>72</v>
      </c>
      <c r="P16" s="544"/>
    </row>
    <row r="17" spans="1:16" ht="15.75" customHeight="1">
      <c r="A17" s="531">
        <v>2</v>
      </c>
      <c r="B17" s="547" t="s">
        <v>120</v>
      </c>
      <c r="C17" s="134">
        <v>1</v>
      </c>
      <c r="D17" s="526"/>
      <c r="E17" s="541"/>
      <c r="F17" s="542"/>
      <c r="G17" s="546"/>
      <c r="H17" s="541"/>
      <c r="I17" s="542"/>
      <c r="J17" s="135"/>
      <c r="K17" s="136"/>
      <c r="L17" s="135"/>
      <c r="M17" s="199"/>
      <c r="N17" s="234"/>
      <c r="O17" s="554"/>
      <c r="P17" s="555"/>
    </row>
    <row r="18" spans="1:16" ht="15.75" customHeight="1">
      <c r="A18" s="531"/>
      <c r="B18" s="547"/>
      <c r="C18" s="134">
        <v>2</v>
      </c>
      <c r="D18" s="526"/>
      <c r="E18" s="541"/>
      <c r="F18" s="542"/>
      <c r="G18" s="526"/>
      <c r="H18" s="541"/>
      <c r="I18" s="542"/>
      <c r="J18" s="135"/>
      <c r="K18" s="136"/>
      <c r="L18" s="135"/>
      <c r="M18" s="199"/>
      <c r="N18" s="234"/>
      <c r="O18" s="554"/>
      <c r="P18" s="555"/>
    </row>
    <row r="19" spans="1:16" ht="15.75" customHeight="1">
      <c r="A19" s="531"/>
      <c r="B19" s="547"/>
      <c r="C19" s="134">
        <v>3</v>
      </c>
      <c r="D19" s="545"/>
      <c r="E19" s="541"/>
      <c r="F19" s="542"/>
      <c r="G19" s="546"/>
      <c r="H19" s="541"/>
      <c r="I19" s="542"/>
      <c r="J19" s="135"/>
      <c r="K19" s="136"/>
      <c r="L19" s="135"/>
      <c r="M19" s="199"/>
      <c r="N19" s="234"/>
      <c r="O19" s="554"/>
      <c r="P19" s="555"/>
    </row>
    <row r="20" spans="1:16" ht="15.75" customHeight="1">
      <c r="A20" s="531"/>
      <c r="B20" s="547"/>
      <c r="C20" s="134">
        <v>4</v>
      </c>
      <c r="D20" s="545"/>
      <c r="E20" s="541"/>
      <c r="F20" s="542"/>
      <c r="G20" s="546"/>
      <c r="H20" s="541"/>
      <c r="I20" s="542"/>
      <c r="J20" s="135"/>
      <c r="K20" s="136"/>
      <c r="L20" s="135"/>
      <c r="M20" s="199"/>
      <c r="N20" s="234"/>
      <c r="O20" s="554"/>
      <c r="P20" s="555"/>
    </row>
    <row r="21" spans="1:16" ht="15.75" customHeight="1">
      <c r="A21" s="531"/>
      <c r="B21" s="547"/>
      <c r="C21" s="140">
        <v>5</v>
      </c>
      <c r="D21" s="546"/>
      <c r="E21" s="541"/>
      <c r="F21" s="542"/>
      <c r="G21" s="546"/>
      <c r="H21" s="541"/>
      <c r="I21" s="542"/>
      <c r="J21" s="135"/>
      <c r="K21" s="136"/>
      <c r="L21" s="135"/>
      <c r="M21" s="199"/>
      <c r="N21" s="234"/>
      <c r="O21" s="554"/>
      <c r="P21" s="555"/>
    </row>
    <row r="22" spans="1:16" ht="15.75" customHeight="1">
      <c r="A22" s="531"/>
      <c r="B22" s="547"/>
      <c r="C22" s="551"/>
      <c r="D22" s="551"/>
      <c r="E22" s="551"/>
      <c r="F22" s="551"/>
      <c r="G22" s="551"/>
      <c r="H22" s="551"/>
      <c r="I22" s="552"/>
      <c r="J22" s="146" t="s">
        <v>118</v>
      </c>
      <c r="K22" s="147" t="e">
        <f>M22/#REF!</f>
        <v>#REF!</v>
      </c>
      <c r="L22" s="146" t="s">
        <v>119</v>
      </c>
      <c r="M22" s="233">
        <f>SUM(M17:M21)</f>
        <v>0</v>
      </c>
      <c r="N22" s="535"/>
      <c r="O22" s="536"/>
      <c r="P22" s="537"/>
    </row>
    <row r="24" spans="1:16" ht="15.75" customHeight="1">
      <c r="A24" s="531" t="s">
        <v>109</v>
      </c>
      <c r="B24" s="531"/>
      <c r="C24" s="130" t="s">
        <v>51</v>
      </c>
      <c r="D24" s="548" t="s">
        <v>68</v>
      </c>
      <c r="E24" s="549"/>
      <c r="F24" s="550"/>
      <c r="G24" s="131" t="s">
        <v>112</v>
      </c>
      <c r="H24" s="132"/>
      <c r="I24" s="130"/>
      <c r="J24" s="133" t="s">
        <v>113</v>
      </c>
      <c r="K24" s="336" t="s">
        <v>130</v>
      </c>
      <c r="L24" s="133" t="s">
        <v>115</v>
      </c>
      <c r="M24" s="133" t="s">
        <v>100</v>
      </c>
      <c r="N24" s="133" t="s">
        <v>71</v>
      </c>
      <c r="O24" s="543" t="s">
        <v>72</v>
      </c>
      <c r="P24" s="544"/>
    </row>
    <row r="25" spans="1:16" ht="15.75" customHeight="1">
      <c r="A25" s="531">
        <v>3</v>
      </c>
      <c r="B25" s="547" t="s">
        <v>98</v>
      </c>
      <c r="C25" s="134">
        <v>1</v>
      </c>
      <c r="D25" s="546"/>
      <c r="E25" s="541"/>
      <c r="F25" s="542"/>
      <c r="G25" s="546"/>
      <c r="H25" s="541"/>
      <c r="I25" s="542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531"/>
      <c r="B26" s="547"/>
      <c r="C26" s="134">
        <v>2</v>
      </c>
      <c r="D26" s="546"/>
      <c r="E26" s="541"/>
      <c r="F26" s="542"/>
      <c r="G26" s="546"/>
      <c r="H26" s="541"/>
      <c r="I26" s="542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31"/>
      <c r="B27" s="547"/>
      <c r="C27" s="134">
        <v>3</v>
      </c>
      <c r="D27" s="546"/>
      <c r="E27" s="541"/>
      <c r="F27" s="542"/>
      <c r="G27" s="546"/>
      <c r="H27" s="541"/>
      <c r="I27" s="542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31"/>
      <c r="B28" s="547"/>
      <c r="C28" s="134">
        <v>4</v>
      </c>
      <c r="D28" s="546"/>
      <c r="E28" s="541"/>
      <c r="F28" s="542"/>
      <c r="G28" s="546"/>
      <c r="H28" s="541"/>
      <c r="I28" s="542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31"/>
      <c r="B29" s="547"/>
      <c r="C29" s="140">
        <v>5</v>
      </c>
      <c r="D29" s="553"/>
      <c r="E29" s="539"/>
      <c r="F29" s="540"/>
      <c r="G29" s="553"/>
      <c r="H29" s="539"/>
      <c r="I29" s="540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31"/>
      <c r="B30" s="547"/>
      <c r="C30" s="551"/>
      <c r="D30" s="551"/>
      <c r="E30" s="551"/>
      <c r="F30" s="551"/>
      <c r="G30" s="551"/>
      <c r="H30" s="551"/>
      <c r="I30" s="552"/>
      <c r="J30" s="146" t="s">
        <v>118</v>
      </c>
      <c r="K30" s="147" t="e">
        <f>M30/#REF!</f>
        <v>#REF!</v>
      </c>
      <c r="L30" s="146" t="s">
        <v>119</v>
      </c>
      <c r="M30" s="148">
        <f>SUM(M25:M29)</f>
        <v>0</v>
      </c>
      <c r="N30" s="535"/>
      <c r="O30" s="536"/>
      <c r="P30" s="537"/>
    </row>
  </sheetData>
  <mergeCells count="7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4" zoomScale="115" zoomScaleNormal="60" zoomScaleSheetLayoutView="115" workbookViewId="0">
      <selection activeCell="R16" sqref="R1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9" width="12.5703125" style="2" customWidth="1"/>
    <col min="20" max="16384" width="12.5703125" style="2"/>
  </cols>
  <sheetData>
    <row r="1" spans="1:17" s="122" customFormat="1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s="122" customFormat="1" ht="15.75" customHeight="1">
      <c r="A3" s="529" t="s">
        <v>131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23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s="122" customFormat="1" ht="15.75" customHeight="1">
      <c r="A5" s="424" t="s">
        <v>109</v>
      </c>
      <c r="B5" s="531">
        <v>1</v>
      </c>
      <c r="C5" s="531"/>
      <c r="D5" s="531">
        <v>2</v>
      </c>
      <c r="E5" s="531"/>
      <c r="F5" s="531">
        <v>3</v>
      </c>
      <c r="G5" s="531"/>
      <c r="H5" s="533">
        <v>4</v>
      </c>
      <c r="I5" s="533"/>
      <c r="J5" s="533">
        <v>5</v>
      </c>
      <c r="K5" s="533"/>
      <c r="L5" s="533">
        <v>6</v>
      </c>
      <c r="M5" s="533"/>
      <c r="N5" s="533">
        <v>7</v>
      </c>
      <c r="O5" s="533"/>
      <c r="P5" s="531">
        <v>8</v>
      </c>
      <c r="Q5" s="531"/>
    </row>
    <row r="6" spans="1:17" s="122" customFormat="1" ht="15.75" customHeight="1">
      <c r="A6" s="424"/>
      <c r="B6" s="424" t="s">
        <v>96</v>
      </c>
      <c r="C6" s="424"/>
      <c r="D6" s="424" t="s">
        <v>110</v>
      </c>
      <c r="E6" s="424"/>
      <c r="F6" s="424" t="s">
        <v>98</v>
      </c>
      <c r="G6" s="424"/>
      <c r="H6" s="534" t="s">
        <v>99</v>
      </c>
      <c r="I6" s="534"/>
      <c r="J6" s="534" t="s">
        <v>104</v>
      </c>
      <c r="K6" s="534"/>
      <c r="L6" s="534" t="s">
        <v>105</v>
      </c>
      <c r="M6" s="534"/>
      <c r="N6" s="534" t="s">
        <v>106</v>
      </c>
      <c r="O6" s="534"/>
      <c r="P6" s="532" t="s">
        <v>111</v>
      </c>
      <c r="Q6" s="424"/>
    </row>
    <row r="7" spans="1:17" s="122" customFormat="1" ht="15.75" customHeight="1">
      <c r="B7" s="149"/>
      <c r="C7" s="128"/>
    </row>
    <row r="8" spans="1:17" s="112" customFormat="1" ht="15.75" customHeight="1">
      <c r="A8" s="557" t="s">
        <v>109</v>
      </c>
      <c r="B8" s="558"/>
      <c r="C8" s="119" t="s">
        <v>51</v>
      </c>
      <c r="D8" s="559" t="s">
        <v>68</v>
      </c>
      <c r="E8" s="560"/>
      <c r="F8" s="561"/>
      <c r="G8" s="117" t="s">
        <v>112</v>
      </c>
      <c r="H8" s="118"/>
      <c r="I8" s="119"/>
      <c r="J8" s="116" t="s">
        <v>113</v>
      </c>
      <c r="K8" s="116" t="s">
        <v>130</v>
      </c>
      <c r="L8" s="116" t="s">
        <v>115</v>
      </c>
      <c r="M8" s="120" t="s">
        <v>100</v>
      </c>
      <c r="N8" s="120" t="s">
        <v>116</v>
      </c>
      <c r="O8" s="562" t="s">
        <v>72</v>
      </c>
      <c r="P8" s="563"/>
    </row>
    <row r="9" spans="1:17" ht="15.75" customHeight="1">
      <c r="A9" s="558">
        <v>4</v>
      </c>
      <c r="B9" s="564" t="s">
        <v>99</v>
      </c>
      <c r="C9" s="114">
        <v>1</v>
      </c>
      <c r="D9" s="570" t="s">
        <v>391</v>
      </c>
      <c r="E9" s="568"/>
      <c r="F9" s="569"/>
      <c r="G9" s="526" t="s">
        <v>415</v>
      </c>
      <c r="H9" s="568"/>
      <c r="I9" s="569"/>
      <c r="J9" s="4">
        <v>383.3</v>
      </c>
      <c r="K9" s="14">
        <v>6.0000000000000001E-3</v>
      </c>
      <c r="L9" s="342">
        <v>7.9</v>
      </c>
      <c r="M9" s="202">
        <f>L9*J9</f>
        <v>3028.07</v>
      </c>
      <c r="N9" s="231"/>
      <c r="O9" s="574" t="s">
        <v>132</v>
      </c>
      <c r="P9" s="575"/>
    </row>
    <row r="10" spans="1:17" ht="15.75" customHeight="1">
      <c r="A10" s="558"/>
      <c r="B10" s="565"/>
      <c r="C10" s="114">
        <v>2</v>
      </c>
      <c r="D10" s="570" t="s">
        <v>409</v>
      </c>
      <c r="E10" s="568"/>
      <c r="F10" s="569"/>
      <c r="G10" s="526" t="s">
        <v>419</v>
      </c>
      <c r="H10" s="568"/>
      <c r="I10" s="569"/>
      <c r="J10" s="4">
        <v>261.89999999999998</v>
      </c>
      <c r="K10" s="14">
        <v>4.1000000000000002E-2</v>
      </c>
      <c r="L10" s="4">
        <v>9.6999999999999993</v>
      </c>
      <c r="M10" s="202">
        <f>L10*J10</f>
        <v>2540.4299999999994</v>
      </c>
      <c r="N10" s="231"/>
      <c r="O10" s="574" t="s">
        <v>132</v>
      </c>
      <c r="P10" s="575"/>
    </row>
    <row r="11" spans="1:17" ht="15.75" customHeight="1">
      <c r="A11" s="558"/>
      <c r="B11" s="565"/>
      <c r="C11" s="114">
        <v>3</v>
      </c>
      <c r="D11" s="570" t="s">
        <v>126</v>
      </c>
      <c r="E11" s="568"/>
      <c r="F11" s="569"/>
      <c r="G11" s="526" t="s">
        <v>133</v>
      </c>
      <c r="H11" s="568"/>
      <c r="I11" s="569"/>
      <c r="J11" s="4">
        <v>40</v>
      </c>
      <c r="K11" s="14">
        <v>2.5999999999999999E-2</v>
      </c>
      <c r="L11" s="4">
        <v>34.5</v>
      </c>
      <c r="M11" s="202">
        <f>L11*J11</f>
        <v>1380</v>
      </c>
      <c r="N11" s="231">
        <v>0.307</v>
      </c>
      <c r="O11" s="574" t="s">
        <v>132</v>
      </c>
      <c r="P11" s="575"/>
    </row>
    <row r="12" spans="1:17" ht="15.75" customHeight="1">
      <c r="A12" s="558"/>
      <c r="B12" s="565"/>
      <c r="C12" s="114">
        <v>4</v>
      </c>
      <c r="D12" s="570" t="s">
        <v>89</v>
      </c>
      <c r="E12" s="568"/>
      <c r="F12" s="569"/>
      <c r="G12" s="526" t="s">
        <v>124</v>
      </c>
      <c r="H12" s="568"/>
      <c r="I12" s="569"/>
      <c r="J12" s="4">
        <v>38.1</v>
      </c>
      <c r="K12" s="14">
        <v>0.01</v>
      </c>
      <c r="L12" s="342">
        <v>30.5</v>
      </c>
      <c r="M12" s="202">
        <f>L12*J12</f>
        <v>1162.05</v>
      </c>
      <c r="N12" s="231">
        <v>0.19700000000000001</v>
      </c>
      <c r="O12" s="574" t="s">
        <v>132</v>
      </c>
      <c r="P12" s="575"/>
    </row>
    <row r="13" spans="1:17" ht="15.75" customHeight="1">
      <c r="A13" s="558"/>
      <c r="B13" s="565"/>
      <c r="C13" s="115">
        <v>5</v>
      </c>
      <c r="D13" s="570" t="s">
        <v>413</v>
      </c>
      <c r="E13" s="568"/>
      <c r="F13" s="569"/>
      <c r="G13" s="526" t="s">
        <v>414</v>
      </c>
      <c r="H13" s="568"/>
      <c r="I13" s="569"/>
      <c r="J13" s="4">
        <v>100</v>
      </c>
      <c r="K13" s="14">
        <v>6.0000000000000001E-3</v>
      </c>
      <c r="L13" s="342">
        <v>7.4</v>
      </c>
      <c r="M13" s="202">
        <f>L13*J13</f>
        <v>740</v>
      </c>
      <c r="N13" s="231"/>
      <c r="O13" s="574" t="s">
        <v>132</v>
      </c>
      <c r="P13" s="575"/>
    </row>
    <row r="14" spans="1:17" ht="15.75" customHeight="1">
      <c r="A14" s="558"/>
      <c r="B14" s="565"/>
      <c r="C14" s="579"/>
      <c r="D14" s="579"/>
      <c r="E14" s="579"/>
      <c r="F14" s="579"/>
      <c r="G14" s="579"/>
      <c r="H14" s="579"/>
      <c r="I14" s="580"/>
      <c r="J14" s="121" t="s">
        <v>118</v>
      </c>
      <c r="K14" s="147" t="e">
        <f>M14/#REF!</f>
        <v>#REF!</v>
      </c>
      <c r="L14" s="121" t="s">
        <v>119</v>
      </c>
      <c r="M14" s="34">
        <v>0</v>
      </c>
      <c r="N14" s="571"/>
      <c r="O14" s="572"/>
      <c r="P14" s="573"/>
    </row>
    <row r="16" spans="1:17" ht="15.75" customHeight="1">
      <c r="A16" s="557" t="s">
        <v>109</v>
      </c>
      <c r="B16" s="558"/>
      <c r="C16" s="119" t="s">
        <v>51</v>
      </c>
      <c r="D16" s="559" t="s">
        <v>68</v>
      </c>
      <c r="E16" s="560"/>
      <c r="F16" s="561"/>
      <c r="G16" s="117" t="s">
        <v>112</v>
      </c>
      <c r="H16" s="118"/>
      <c r="I16" s="119"/>
      <c r="J16" s="116" t="s">
        <v>113</v>
      </c>
      <c r="K16" s="116" t="s">
        <v>130</v>
      </c>
      <c r="L16" s="116" t="s">
        <v>115</v>
      </c>
      <c r="M16" s="120" t="s">
        <v>100</v>
      </c>
      <c r="N16" s="120" t="s">
        <v>116</v>
      </c>
      <c r="O16" s="562" t="s">
        <v>72</v>
      </c>
      <c r="P16" s="563"/>
    </row>
    <row r="17" spans="1:16" ht="15.75" customHeight="1">
      <c r="A17" s="558">
        <v>5</v>
      </c>
      <c r="B17" s="564" t="s">
        <v>104</v>
      </c>
      <c r="C17" s="114">
        <v>1</v>
      </c>
      <c r="D17" s="545" t="s">
        <v>416</v>
      </c>
      <c r="E17" s="568"/>
      <c r="F17" s="569"/>
      <c r="G17" s="570" t="s">
        <v>418</v>
      </c>
      <c r="H17" s="568"/>
      <c r="I17" s="569"/>
      <c r="J17" s="4">
        <v>81.2</v>
      </c>
      <c r="K17" s="14">
        <v>0.189</v>
      </c>
      <c r="L17" s="342">
        <v>27.8</v>
      </c>
      <c r="M17" s="201">
        <f>L17*J17</f>
        <v>2257.36</v>
      </c>
      <c r="N17" s="231"/>
      <c r="O17" s="574"/>
      <c r="P17" s="575"/>
    </row>
    <row r="18" spans="1:16" ht="15.75" customHeight="1">
      <c r="A18" s="558"/>
      <c r="B18" s="565"/>
      <c r="C18" s="114">
        <v>2</v>
      </c>
      <c r="D18" s="545"/>
      <c r="E18" s="568"/>
      <c r="F18" s="569"/>
      <c r="G18" s="576"/>
      <c r="H18" s="568"/>
      <c r="I18" s="569"/>
      <c r="J18" s="4"/>
      <c r="K18" s="14"/>
      <c r="L18" s="342"/>
      <c r="M18" s="201">
        <f>L18*J18</f>
        <v>0</v>
      </c>
      <c r="N18" s="4"/>
      <c r="O18" s="574"/>
      <c r="P18" s="575"/>
    </row>
    <row r="19" spans="1:16" ht="15.75" customHeight="1">
      <c r="A19" s="558"/>
      <c r="B19" s="565"/>
      <c r="C19" s="114">
        <v>3</v>
      </c>
      <c r="D19" s="526"/>
      <c r="E19" s="568"/>
      <c r="F19" s="569"/>
      <c r="G19" s="570"/>
      <c r="H19" s="568"/>
      <c r="I19" s="569"/>
      <c r="J19" s="4"/>
      <c r="K19" s="14"/>
      <c r="L19" s="342"/>
      <c r="M19" s="201">
        <f>L19*J19</f>
        <v>0</v>
      </c>
      <c r="N19" s="4"/>
      <c r="O19" s="574"/>
      <c r="P19" s="575"/>
    </row>
    <row r="20" spans="1:16" ht="15.75" customHeight="1">
      <c r="A20" s="558"/>
      <c r="B20" s="565"/>
      <c r="C20" s="114">
        <v>4</v>
      </c>
      <c r="D20" s="578"/>
      <c r="E20" s="568"/>
      <c r="F20" s="569"/>
      <c r="G20" s="578"/>
      <c r="H20" s="568"/>
      <c r="I20" s="569"/>
      <c r="J20" s="4"/>
      <c r="K20" s="14"/>
      <c r="L20" s="4"/>
      <c r="M20" s="201">
        <f>L20*J20</f>
        <v>0</v>
      </c>
      <c r="N20" s="4"/>
      <c r="O20" s="574"/>
      <c r="P20" s="575"/>
    </row>
    <row r="21" spans="1:16" ht="15.75" customHeight="1">
      <c r="A21" s="558"/>
      <c r="B21" s="565"/>
      <c r="C21" s="115">
        <v>5</v>
      </c>
      <c r="D21" s="577"/>
      <c r="E21" s="566"/>
      <c r="F21" s="567"/>
      <c r="G21" s="577"/>
      <c r="H21" s="566"/>
      <c r="I21" s="567"/>
      <c r="J21" s="27"/>
      <c r="K21" s="30"/>
      <c r="L21" s="27"/>
      <c r="M21" s="201">
        <f>L21*J21</f>
        <v>0</v>
      </c>
      <c r="N21" s="4"/>
      <c r="O21" s="574"/>
      <c r="P21" s="575"/>
    </row>
    <row r="22" spans="1:16" ht="15.75" customHeight="1">
      <c r="A22" s="558"/>
      <c r="B22" s="565"/>
      <c r="C22" s="579"/>
      <c r="D22" s="579"/>
      <c r="E22" s="579"/>
      <c r="F22" s="579"/>
      <c r="G22" s="579"/>
      <c r="H22" s="579"/>
      <c r="I22" s="580"/>
      <c r="J22" s="121" t="s">
        <v>118</v>
      </c>
      <c r="K22" s="147" t="e">
        <f>M22/#REF!</f>
        <v>#REF!</v>
      </c>
      <c r="L22" s="121" t="s">
        <v>119</v>
      </c>
      <c r="M22" s="34">
        <v>0</v>
      </c>
      <c r="N22" s="571"/>
      <c r="O22" s="572"/>
      <c r="P22" s="573"/>
    </row>
    <row r="24" spans="1:16" ht="15.75" customHeight="1">
      <c r="A24" s="557" t="s">
        <v>109</v>
      </c>
      <c r="B24" s="558"/>
      <c r="C24" s="119" t="s">
        <v>51</v>
      </c>
      <c r="D24" s="559" t="s">
        <v>68</v>
      </c>
      <c r="E24" s="560"/>
      <c r="F24" s="561"/>
      <c r="G24" s="117" t="s">
        <v>112</v>
      </c>
      <c r="H24" s="118"/>
      <c r="I24" s="119"/>
      <c r="J24" s="116" t="s">
        <v>113</v>
      </c>
      <c r="K24" s="116" t="s">
        <v>130</v>
      </c>
      <c r="L24" s="116" t="s">
        <v>115</v>
      </c>
      <c r="M24" s="120" t="s">
        <v>100</v>
      </c>
      <c r="N24" s="120" t="s">
        <v>71</v>
      </c>
      <c r="O24" s="562" t="s">
        <v>72</v>
      </c>
      <c r="P24" s="563"/>
    </row>
    <row r="25" spans="1:16" ht="15.75" customHeight="1">
      <c r="A25" s="558">
        <v>6</v>
      </c>
      <c r="B25" s="564" t="s">
        <v>105</v>
      </c>
      <c r="C25" s="114">
        <v>1</v>
      </c>
      <c r="D25" s="546"/>
      <c r="E25" s="541"/>
      <c r="F25" s="542"/>
      <c r="G25" s="546"/>
      <c r="H25" s="541"/>
      <c r="I25" s="542"/>
      <c r="J25" s="135"/>
      <c r="K25" s="136"/>
      <c r="L25" s="135"/>
      <c r="M25" s="201">
        <f>L25*J25</f>
        <v>0</v>
      </c>
      <c r="N25" s="231"/>
      <c r="O25" s="526"/>
      <c r="P25" s="527"/>
    </row>
    <row r="26" spans="1:16" ht="15.75" customHeight="1">
      <c r="A26" s="558"/>
      <c r="B26" s="565"/>
      <c r="C26" s="114">
        <v>2</v>
      </c>
      <c r="D26" s="526"/>
      <c r="E26" s="568"/>
      <c r="F26" s="569"/>
      <c r="G26" s="526"/>
      <c r="H26" s="568"/>
      <c r="I26" s="569"/>
      <c r="J26" s="4"/>
      <c r="K26" s="14"/>
      <c r="L26" s="4"/>
      <c r="M26" s="199"/>
      <c r="N26" s="231"/>
      <c r="O26" s="526"/>
      <c r="P26" s="527"/>
    </row>
    <row r="27" spans="1:16" ht="15.75" customHeight="1">
      <c r="A27" s="558"/>
      <c r="B27" s="565"/>
      <c r="C27" s="114">
        <v>3</v>
      </c>
      <c r="D27" s="526"/>
      <c r="E27" s="568"/>
      <c r="F27" s="569"/>
      <c r="G27" s="576"/>
      <c r="H27" s="568"/>
      <c r="I27" s="569"/>
      <c r="J27" s="4"/>
      <c r="K27" s="14"/>
      <c r="L27" s="4"/>
      <c r="M27" s="199"/>
      <c r="N27" s="231"/>
      <c r="O27" s="526"/>
      <c r="P27" s="527"/>
    </row>
    <row r="28" spans="1:16" ht="15.75" customHeight="1">
      <c r="A28" s="558"/>
      <c r="B28" s="565"/>
      <c r="C28" s="114">
        <v>4</v>
      </c>
      <c r="D28" s="578"/>
      <c r="E28" s="568"/>
      <c r="F28" s="569"/>
      <c r="G28" s="578"/>
      <c r="H28" s="568"/>
      <c r="I28" s="569"/>
      <c r="J28" s="4"/>
      <c r="K28" s="14"/>
      <c r="L28" s="4"/>
      <c r="M28" s="201"/>
      <c r="N28" s="231"/>
      <c r="O28" s="574"/>
      <c r="P28" s="581"/>
    </row>
    <row r="29" spans="1:16" ht="15.75" customHeight="1">
      <c r="A29" s="558"/>
      <c r="B29" s="565"/>
      <c r="C29" s="115">
        <v>5</v>
      </c>
      <c r="D29" s="577"/>
      <c r="E29" s="566"/>
      <c r="F29" s="567"/>
      <c r="G29" s="577"/>
      <c r="H29" s="566"/>
      <c r="I29" s="567"/>
      <c r="J29" s="27"/>
      <c r="K29" s="30"/>
      <c r="L29" s="27"/>
      <c r="M29" s="202"/>
      <c r="N29" s="231"/>
      <c r="O29" s="582"/>
      <c r="P29" s="575"/>
    </row>
    <row r="30" spans="1:16" ht="15.75" customHeight="1">
      <c r="A30" s="558"/>
      <c r="B30" s="565"/>
      <c r="C30" s="579"/>
      <c r="D30" s="579"/>
      <c r="E30" s="579"/>
      <c r="F30" s="579"/>
      <c r="G30" s="579"/>
      <c r="H30" s="579"/>
      <c r="I30" s="580"/>
      <c r="J30" s="121" t="s">
        <v>118</v>
      </c>
      <c r="K30" s="147" t="e">
        <f>M30/#REF!</f>
        <v>#REF!</v>
      </c>
      <c r="L30" s="121" t="s">
        <v>119</v>
      </c>
      <c r="M30" s="34">
        <v>0</v>
      </c>
      <c r="N30" s="571"/>
      <c r="O30" s="572"/>
      <c r="P30" s="573"/>
    </row>
    <row r="32" spans="1:16" ht="15.75" customHeight="1">
      <c r="A32" s="557" t="s">
        <v>109</v>
      </c>
      <c r="B32" s="558"/>
      <c r="C32" s="119" t="s">
        <v>51</v>
      </c>
      <c r="D32" s="559" t="s">
        <v>68</v>
      </c>
      <c r="E32" s="560"/>
      <c r="F32" s="561"/>
      <c r="G32" s="117" t="s">
        <v>112</v>
      </c>
      <c r="H32" s="118"/>
      <c r="I32" s="119"/>
      <c r="J32" s="116" t="s">
        <v>113</v>
      </c>
      <c r="K32" s="116" t="s">
        <v>130</v>
      </c>
      <c r="L32" s="116" t="s">
        <v>115</v>
      </c>
      <c r="M32" s="120" t="s">
        <v>100</v>
      </c>
      <c r="N32" s="120" t="s">
        <v>71</v>
      </c>
      <c r="O32" s="562" t="s">
        <v>72</v>
      </c>
      <c r="P32" s="563"/>
    </row>
    <row r="33" spans="1:16" ht="15.75" customHeight="1">
      <c r="A33" s="558">
        <v>7</v>
      </c>
      <c r="B33" s="564" t="s">
        <v>98</v>
      </c>
      <c r="C33" s="114">
        <v>1</v>
      </c>
      <c r="D33" s="578"/>
      <c r="E33" s="568"/>
      <c r="F33" s="569"/>
      <c r="G33" s="578"/>
      <c r="H33" s="568"/>
      <c r="I33" s="569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58"/>
      <c r="B34" s="565"/>
      <c r="C34" s="114">
        <v>2</v>
      </c>
      <c r="D34" s="578"/>
      <c r="E34" s="568"/>
      <c r="F34" s="569"/>
      <c r="G34" s="578"/>
      <c r="H34" s="568"/>
      <c r="I34" s="569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58"/>
      <c r="B35" s="565"/>
      <c r="C35" s="114">
        <v>3</v>
      </c>
      <c r="D35" s="578"/>
      <c r="E35" s="568"/>
      <c r="F35" s="569"/>
      <c r="G35" s="578"/>
      <c r="H35" s="568"/>
      <c r="I35" s="569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58"/>
      <c r="B36" s="565"/>
      <c r="C36" s="114">
        <v>4</v>
      </c>
      <c r="D36" s="578"/>
      <c r="E36" s="568"/>
      <c r="F36" s="569"/>
      <c r="G36" s="578"/>
      <c r="H36" s="568"/>
      <c r="I36" s="569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58"/>
      <c r="B37" s="565"/>
      <c r="C37" s="115">
        <v>5</v>
      </c>
      <c r="D37" s="577"/>
      <c r="E37" s="566"/>
      <c r="F37" s="567"/>
      <c r="G37" s="577"/>
      <c r="H37" s="566"/>
      <c r="I37" s="56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58"/>
      <c r="B38" s="565"/>
      <c r="C38" s="579"/>
      <c r="D38" s="579"/>
      <c r="E38" s="579"/>
      <c r="F38" s="579"/>
      <c r="G38" s="579"/>
      <c r="H38" s="579"/>
      <c r="I38" s="580"/>
      <c r="J38" s="121" t="s">
        <v>118</v>
      </c>
      <c r="K38" s="147" t="e">
        <f>M38/#REF!</f>
        <v>#REF!</v>
      </c>
      <c r="L38" s="121" t="s">
        <v>119</v>
      </c>
      <c r="M38" s="34">
        <v>0</v>
      </c>
      <c r="N38" s="571"/>
      <c r="O38" s="572"/>
      <c r="P38" s="573"/>
    </row>
  </sheetData>
  <mergeCells count="102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16:P16"/>
    <mergeCell ref="O9:P9"/>
    <mergeCell ref="D10:F10"/>
    <mergeCell ref="G10:I10"/>
    <mergeCell ref="D18:F18"/>
    <mergeCell ref="L6:M6"/>
    <mergeCell ref="N6:O6"/>
    <mergeCell ref="P6:Q6"/>
    <mergeCell ref="C14:I14"/>
    <mergeCell ref="N14:P14"/>
    <mergeCell ref="O24:P24"/>
    <mergeCell ref="A25:A30"/>
    <mergeCell ref="B25:B30"/>
    <mergeCell ref="D25:F25"/>
    <mergeCell ref="G25:I25"/>
    <mergeCell ref="O25:P25"/>
    <mergeCell ref="D26:F26"/>
    <mergeCell ref="G26:I26"/>
    <mergeCell ref="A8:B8"/>
    <mergeCell ref="D8:F8"/>
    <mergeCell ref="O8:P8"/>
    <mergeCell ref="D20:F20"/>
    <mergeCell ref="G20:I20"/>
    <mergeCell ref="O20:P20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A9:A14"/>
    <mergeCell ref="B9:B14"/>
    <mergeCell ref="D9:F9"/>
    <mergeCell ref="G9:I9"/>
    <mergeCell ref="G21:I21"/>
    <mergeCell ref="D21:F21"/>
    <mergeCell ref="A16:B16"/>
    <mergeCell ref="D16:F16"/>
    <mergeCell ref="A24:B24"/>
    <mergeCell ref="D24:F24"/>
    <mergeCell ref="N22:P22"/>
    <mergeCell ref="A17:A22"/>
    <mergeCell ref="B17:B22"/>
    <mergeCell ref="D17:F17"/>
    <mergeCell ref="G17:I17"/>
    <mergeCell ref="O17:P17"/>
    <mergeCell ref="O21:P21"/>
    <mergeCell ref="G18:I18"/>
    <mergeCell ref="O18:P18"/>
    <mergeCell ref="D19:F19"/>
    <mergeCell ref="G19:I19"/>
    <mergeCell ref="O19:P19"/>
    <mergeCell ref="C22:I22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D29:F29"/>
    <mergeCell ref="G29:I29"/>
    <mergeCell ref="O29:P29"/>
    <mergeCell ref="C30:I30"/>
    <mergeCell ref="N30:P30"/>
    <mergeCell ref="O28:P28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0" sqref="S30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19" width="12.5703125" style="122" customWidth="1"/>
    <col min="20" max="16384" width="12.5703125" style="122"/>
  </cols>
  <sheetData>
    <row r="1" spans="1:17" ht="15.75" customHeight="1">
      <c r="A1" s="528" t="s">
        <v>64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17" s="123" customFormat="1" ht="15.75" customHeight="1">
      <c r="A2" s="528"/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8"/>
    </row>
    <row r="3" spans="1:17" ht="15.75" customHeight="1">
      <c r="A3" s="529" t="s">
        <v>134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</row>
    <row r="4" spans="1:17" s="123" customFormat="1" ht="15.75" customHeight="1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</row>
    <row r="5" spans="1:17" ht="15.75" customHeight="1">
      <c r="A5" s="424" t="s">
        <v>109</v>
      </c>
      <c r="B5" s="531">
        <v>1</v>
      </c>
      <c r="C5" s="531"/>
      <c r="D5" s="531">
        <v>2</v>
      </c>
      <c r="E5" s="531"/>
      <c r="F5" s="531">
        <v>3</v>
      </c>
      <c r="G5" s="531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3">
        <v>8</v>
      </c>
      <c r="Q5" s="533"/>
    </row>
    <row r="6" spans="1:17" ht="15.75" customHeight="1">
      <c r="A6" s="424"/>
      <c r="B6" s="424" t="s">
        <v>96</v>
      </c>
      <c r="C6" s="424"/>
      <c r="D6" s="424" t="s">
        <v>110</v>
      </c>
      <c r="E6" s="424"/>
      <c r="F6" s="424" t="s">
        <v>98</v>
      </c>
      <c r="G6" s="424"/>
      <c r="H6" s="532" t="s">
        <v>99</v>
      </c>
      <c r="I6" s="532"/>
      <c r="J6" s="424" t="s">
        <v>104</v>
      </c>
      <c r="K6" s="424"/>
      <c r="L6" s="424" t="s">
        <v>105</v>
      </c>
      <c r="M6" s="424"/>
      <c r="N6" s="424" t="s">
        <v>106</v>
      </c>
      <c r="O6" s="424"/>
      <c r="P6" s="534" t="s">
        <v>111</v>
      </c>
      <c r="Q6" s="534"/>
    </row>
    <row r="8" spans="1:17" s="124" customFormat="1" ht="15.75" customHeight="1">
      <c r="A8" s="129" t="s">
        <v>109</v>
      </c>
      <c r="B8" s="153" t="s">
        <v>135</v>
      </c>
      <c r="C8" s="585" t="s">
        <v>68</v>
      </c>
      <c r="D8" s="585"/>
      <c r="E8" s="585"/>
      <c r="F8" s="585" t="s">
        <v>112</v>
      </c>
      <c r="G8" s="585"/>
      <c r="H8" s="585"/>
      <c r="I8" s="153" t="s">
        <v>113</v>
      </c>
      <c r="J8" s="154" t="s">
        <v>136</v>
      </c>
      <c r="K8" s="153" t="s">
        <v>50</v>
      </c>
      <c r="L8" s="153" t="s">
        <v>137</v>
      </c>
      <c r="M8" s="588" t="s">
        <v>72</v>
      </c>
      <c r="N8" s="551"/>
      <c r="O8" s="551"/>
      <c r="P8" s="551"/>
      <c r="Q8" s="551"/>
    </row>
    <row r="9" spans="1:17" ht="15.75" customHeight="1">
      <c r="A9" s="585" t="s">
        <v>138</v>
      </c>
      <c r="B9" s="127">
        <v>1</v>
      </c>
      <c r="C9" s="586"/>
      <c r="D9" s="587"/>
      <c r="E9" s="587"/>
      <c r="F9" s="586"/>
      <c r="G9" s="587"/>
      <c r="H9" s="587"/>
      <c r="I9" s="125"/>
      <c r="J9" s="126"/>
      <c r="K9" s="126"/>
      <c r="L9" s="152">
        <f>K9-J9</f>
        <v>0</v>
      </c>
      <c r="M9" s="586"/>
      <c r="N9" s="586"/>
      <c r="O9" s="586"/>
      <c r="P9" s="586"/>
      <c r="Q9" s="586"/>
    </row>
    <row r="10" spans="1:17" ht="15.75" customHeight="1">
      <c r="A10" s="591"/>
      <c r="B10" s="127">
        <v>2</v>
      </c>
      <c r="C10" s="586"/>
      <c r="D10" s="587"/>
      <c r="E10" s="587"/>
      <c r="F10" s="586"/>
      <c r="G10" s="587"/>
      <c r="H10" s="587"/>
      <c r="I10" s="125"/>
      <c r="J10" s="126"/>
      <c r="K10" s="126"/>
      <c r="L10" s="152">
        <f>K10-J10</f>
        <v>0</v>
      </c>
      <c r="M10" s="586"/>
      <c r="N10" s="586"/>
      <c r="O10" s="586"/>
      <c r="P10" s="586"/>
      <c r="Q10" s="586"/>
    </row>
    <row r="11" spans="1:17" ht="15.75" customHeight="1">
      <c r="A11" s="591"/>
      <c r="B11" s="127">
        <v>3</v>
      </c>
      <c r="C11" s="586"/>
      <c r="D11" s="587"/>
      <c r="E11" s="587"/>
      <c r="F11" s="586"/>
      <c r="G11" s="587"/>
      <c r="H11" s="587"/>
      <c r="I11" s="125"/>
      <c r="J11" s="126"/>
      <c r="K11" s="126"/>
      <c r="L11" s="152">
        <f>K11-J11</f>
        <v>0</v>
      </c>
      <c r="M11" s="586"/>
      <c r="N11" s="586"/>
      <c r="O11" s="586"/>
      <c r="P11" s="586"/>
      <c r="Q11" s="586"/>
    </row>
    <row r="12" spans="1:17" ht="15.75" customHeight="1">
      <c r="A12" s="591"/>
      <c r="B12" s="127">
        <v>4</v>
      </c>
      <c r="C12" s="586"/>
      <c r="D12" s="587"/>
      <c r="E12" s="587"/>
      <c r="F12" s="586"/>
      <c r="G12" s="587"/>
      <c r="H12" s="587"/>
      <c r="I12" s="125"/>
      <c r="J12" s="126"/>
      <c r="K12" s="126"/>
      <c r="L12" s="152">
        <f>K12-J12</f>
        <v>0</v>
      </c>
      <c r="M12" s="586"/>
      <c r="N12" s="586"/>
      <c r="O12" s="586"/>
      <c r="P12" s="586"/>
      <c r="Q12" s="586"/>
    </row>
    <row r="13" spans="1:17" ht="15.75" customHeight="1">
      <c r="A13" s="591"/>
      <c r="B13" s="127">
        <v>5</v>
      </c>
      <c r="C13" s="586"/>
      <c r="D13" s="587"/>
      <c r="E13" s="587"/>
      <c r="F13" s="586"/>
      <c r="G13" s="587"/>
      <c r="H13" s="587"/>
      <c r="I13" s="125"/>
      <c r="J13" s="126"/>
      <c r="K13" s="126"/>
      <c r="L13" s="152">
        <f>K13-J13</f>
        <v>0</v>
      </c>
      <c r="M13" s="586"/>
      <c r="N13" s="586"/>
      <c r="O13" s="586"/>
      <c r="P13" s="586"/>
      <c r="Q13" s="586"/>
    </row>
    <row r="14" spans="1:17" ht="15.75" customHeight="1">
      <c r="A14" s="589"/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589"/>
      <c r="O14" s="590"/>
    </row>
    <row r="15" spans="1:17" s="124" customFormat="1" ht="15.75" customHeight="1">
      <c r="A15" s="129" t="s">
        <v>109</v>
      </c>
      <c r="B15" s="129" t="s">
        <v>135</v>
      </c>
      <c r="C15" s="583" t="s">
        <v>68</v>
      </c>
      <c r="D15" s="583"/>
      <c r="E15" s="583"/>
      <c r="F15" s="583" t="s">
        <v>112</v>
      </c>
      <c r="G15" s="583"/>
      <c r="H15" s="583"/>
      <c r="I15" s="129" t="s">
        <v>113</v>
      </c>
      <c r="J15" s="151" t="s">
        <v>136</v>
      </c>
      <c r="K15" s="129" t="s">
        <v>50</v>
      </c>
      <c r="L15" s="129" t="s">
        <v>137</v>
      </c>
      <c r="M15" s="583" t="s">
        <v>72</v>
      </c>
      <c r="N15" s="583"/>
      <c r="O15" s="583"/>
      <c r="P15" s="583"/>
      <c r="Q15" s="583"/>
    </row>
    <row r="16" spans="1:17" ht="15.75" customHeight="1">
      <c r="A16" s="583" t="s">
        <v>139</v>
      </c>
      <c r="B16" s="127">
        <v>1</v>
      </c>
      <c r="C16" s="586"/>
      <c r="D16" s="587"/>
      <c r="E16" s="587"/>
      <c r="F16" s="586"/>
      <c r="G16" s="587"/>
      <c r="H16" s="587"/>
      <c r="I16" s="125"/>
      <c r="J16" s="126"/>
      <c r="K16" s="126"/>
      <c r="L16" s="152">
        <f>K16-J16</f>
        <v>0</v>
      </c>
      <c r="M16" s="586"/>
      <c r="N16" s="586"/>
      <c r="O16" s="586"/>
      <c r="P16" s="586"/>
      <c r="Q16" s="586"/>
    </row>
    <row r="17" spans="1:17" ht="15.75" customHeight="1">
      <c r="A17" s="583"/>
      <c r="B17" s="127">
        <v>2</v>
      </c>
      <c r="C17" s="586"/>
      <c r="D17" s="587"/>
      <c r="E17" s="587"/>
      <c r="F17" s="586"/>
      <c r="G17" s="587"/>
      <c r="H17" s="587"/>
      <c r="I17" s="125"/>
      <c r="J17" s="126"/>
      <c r="K17" s="126"/>
      <c r="L17" s="152">
        <f>K17-J17</f>
        <v>0</v>
      </c>
      <c r="M17" s="586"/>
      <c r="N17" s="586"/>
      <c r="O17" s="586"/>
      <c r="P17" s="586"/>
      <c r="Q17" s="586"/>
    </row>
    <row r="18" spans="1:17" ht="15.75" customHeight="1">
      <c r="A18" s="583"/>
      <c r="B18" s="127">
        <v>3</v>
      </c>
      <c r="C18" s="586"/>
      <c r="D18" s="587"/>
      <c r="E18" s="587"/>
      <c r="F18" s="586"/>
      <c r="G18" s="587"/>
      <c r="H18" s="587"/>
      <c r="I18" s="125"/>
      <c r="J18" s="126"/>
      <c r="K18" s="126"/>
      <c r="L18" s="152">
        <f>K18-J18</f>
        <v>0</v>
      </c>
      <c r="M18" s="586"/>
      <c r="N18" s="586"/>
      <c r="O18" s="586"/>
      <c r="P18" s="586"/>
      <c r="Q18" s="586"/>
    </row>
    <row r="19" spans="1:17" ht="15.75" customHeight="1">
      <c r="A19" s="583"/>
      <c r="B19" s="127">
        <v>4</v>
      </c>
      <c r="C19" s="586"/>
      <c r="D19" s="587"/>
      <c r="E19" s="587"/>
      <c r="F19" s="586"/>
      <c r="G19" s="587"/>
      <c r="H19" s="587"/>
      <c r="I19" s="125"/>
      <c r="J19" s="126"/>
      <c r="K19" s="126"/>
      <c r="L19" s="152">
        <f>K19-J19</f>
        <v>0</v>
      </c>
      <c r="M19" s="586"/>
      <c r="N19" s="586"/>
      <c r="O19" s="586"/>
      <c r="P19" s="586"/>
      <c r="Q19" s="586"/>
    </row>
    <row r="20" spans="1:17" ht="15.75" customHeight="1">
      <c r="A20" s="583"/>
      <c r="B20" s="127">
        <v>5</v>
      </c>
      <c r="C20" s="586"/>
      <c r="D20" s="587"/>
      <c r="E20" s="587"/>
      <c r="F20" s="586"/>
      <c r="G20" s="587"/>
      <c r="H20" s="587"/>
      <c r="I20" s="125"/>
      <c r="J20" s="126"/>
      <c r="K20" s="126"/>
      <c r="L20" s="152">
        <f>K20-J20</f>
        <v>0</v>
      </c>
      <c r="M20" s="586"/>
      <c r="N20" s="586"/>
      <c r="O20" s="586"/>
      <c r="P20" s="586"/>
      <c r="Q20" s="58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B27" sqref="B27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4.28515625" style="170" customWidth="1"/>
    <col min="20" max="20" width="12.42578125" style="170" bestFit="1" customWidth="1"/>
    <col min="21" max="21" width="25.28515625" style="170" bestFit="1" customWidth="1"/>
    <col min="22" max="22" width="22" style="170" bestFit="1" customWidth="1"/>
    <col min="23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37" width="8.85546875" style="170" customWidth="1"/>
    <col min="38" max="16384" width="8.85546875" style="170"/>
  </cols>
  <sheetData>
    <row r="2" spans="2:35" ht="41.1" customHeight="1">
      <c r="B2" s="606" t="s">
        <v>140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AA2" s="171"/>
      <c r="AB2" s="171"/>
    </row>
    <row r="3" spans="2:35" ht="17.100000000000001" customHeight="1">
      <c r="B3" s="608" t="s">
        <v>141</v>
      </c>
      <c r="C3" s="609"/>
      <c r="D3" s="602" t="s">
        <v>142</v>
      </c>
      <c r="E3" s="602"/>
      <c r="F3" s="602"/>
      <c r="G3" s="602" t="s">
        <v>143</v>
      </c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2" t="s">
        <v>144</v>
      </c>
      <c r="U3" s="614" t="s">
        <v>145</v>
      </c>
      <c r="V3" s="599" t="s">
        <v>146</v>
      </c>
      <c r="W3" s="599" t="s">
        <v>147</v>
      </c>
      <c r="X3" s="619" t="s">
        <v>148</v>
      </c>
      <c r="Y3" s="604" t="s">
        <v>149</v>
      </c>
      <c r="AA3" s="602" t="s">
        <v>150</v>
      </c>
      <c r="AB3" s="602"/>
      <c r="AC3" s="602"/>
      <c r="AD3" s="602"/>
      <c r="AE3" s="602"/>
      <c r="AF3" s="602"/>
      <c r="AG3" s="602"/>
      <c r="AH3" s="602"/>
      <c r="AI3" s="602"/>
    </row>
    <row r="4" spans="2:35" ht="17.100000000000001" customHeight="1">
      <c r="B4" s="610"/>
      <c r="C4" s="611"/>
      <c r="D4" s="603" t="s">
        <v>151</v>
      </c>
      <c r="E4" s="602" t="s">
        <v>152</v>
      </c>
      <c r="F4" s="602"/>
      <c r="G4" s="602" t="s">
        <v>153</v>
      </c>
      <c r="H4" s="602"/>
      <c r="I4" s="602"/>
      <c r="J4" s="602"/>
      <c r="K4" s="602"/>
      <c r="L4" s="602"/>
      <c r="M4" s="602"/>
      <c r="N4" s="602"/>
      <c r="O4" s="602" t="s">
        <v>154</v>
      </c>
      <c r="P4" s="602"/>
      <c r="Q4" s="602"/>
      <c r="R4" s="602"/>
      <c r="S4" s="602"/>
      <c r="T4" s="602"/>
      <c r="U4" s="615"/>
      <c r="V4" s="617"/>
      <c r="W4" s="600"/>
      <c r="X4" s="617"/>
      <c r="Y4" s="604"/>
      <c r="AA4" s="602"/>
      <c r="AB4" s="602"/>
      <c r="AC4" s="602"/>
      <c r="AD4" s="602"/>
      <c r="AE4" s="602"/>
      <c r="AF4" s="602"/>
      <c r="AG4" s="602"/>
      <c r="AH4" s="602"/>
      <c r="AI4" s="602"/>
    </row>
    <row r="5" spans="2:35" ht="17.100000000000001" customHeight="1">
      <c r="B5" s="610"/>
      <c r="C5" s="611"/>
      <c r="D5" s="603"/>
      <c r="E5" s="603" t="s">
        <v>155</v>
      </c>
      <c r="F5" s="604" t="s">
        <v>156</v>
      </c>
      <c r="G5" s="605" t="s">
        <v>157</v>
      </c>
      <c r="H5" s="605"/>
      <c r="I5" s="605"/>
      <c r="J5" s="605"/>
      <c r="K5" s="605"/>
      <c r="L5" s="605"/>
      <c r="M5" s="605"/>
      <c r="N5" s="605"/>
      <c r="O5" s="605" t="s">
        <v>102</v>
      </c>
      <c r="P5" s="605"/>
      <c r="Q5" s="605" t="s">
        <v>103</v>
      </c>
      <c r="R5" s="605"/>
      <c r="S5" s="605"/>
      <c r="T5" s="602"/>
      <c r="U5" s="615"/>
      <c r="V5" s="617"/>
      <c r="W5" s="600"/>
      <c r="X5" s="617"/>
      <c r="Y5" s="604"/>
      <c r="AA5" s="602"/>
      <c r="AB5" s="602"/>
      <c r="AC5" s="602"/>
      <c r="AD5" s="602"/>
      <c r="AE5" s="602"/>
      <c r="AF5" s="602"/>
      <c r="AG5" s="602"/>
      <c r="AH5" s="602"/>
      <c r="AI5" s="602"/>
    </row>
    <row r="6" spans="2:35" ht="38.450000000000003" customHeight="1">
      <c r="B6" s="612"/>
      <c r="C6" s="613"/>
      <c r="D6" s="603"/>
      <c r="E6" s="603"/>
      <c r="F6" s="604"/>
      <c r="G6" s="242" t="s">
        <v>158</v>
      </c>
      <c r="H6" s="242" t="s">
        <v>159</v>
      </c>
      <c r="I6" s="242" t="s">
        <v>160</v>
      </c>
      <c r="J6" s="242" t="s">
        <v>161</v>
      </c>
      <c r="K6" s="242" t="s">
        <v>162</v>
      </c>
      <c r="L6" s="242" t="s">
        <v>163</v>
      </c>
      <c r="M6" s="242" t="s">
        <v>164</v>
      </c>
      <c r="N6" s="242" t="s">
        <v>165</v>
      </c>
      <c r="O6" s="240" t="s">
        <v>166</v>
      </c>
      <c r="P6" s="240" t="s">
        <v>167</v>
      </c>
      <c r="Q6" s="240" t="s">
        <v>166</v>
      </c>
      <c r="R6" s="240" t="s">
        <v>167</v>
      </c>
      <c r="S6" s="242" t="s">
        <v>168</v>
      </c>
      <c r="T6" s="602"/>
      <c r="U6" s="616"/>
      <c r="V6" s="618"/>
      <c r="W6" s="601"/>
      <c r="X6" s="618"/>
      <c r="Y6" s="604"/>
      <c r="AA6" s="183" t="s">
        <v>169</v>
      </c>
      <c r="AB6" s="183" t="s">
        <v>96</v>
      </c>
      <c r="AC6" s="241" t="s">
        <v>170</v>
      </c>
      <c r="AD6" s="241" t="s">
        <v>98</v>
      </c>
      <c r="AE6" s="241" t="s">
        <v>99</v>
      </c>
      <c r="AF6" s="241" t="s">
        <v>104</v>
      </c>
      <c r="AG6" s="241" t="s">
        <v>105</v>
      </c>
      <c r="AH6" s="241" t="s">
        <v>106</v>
      </c>
      <c r="AI6" s="241" t="s">
        <v>171</v>
      </c>
    </row>
    <row r="7" spans="2:35" s="243" customFormat="1" ht="27" customHeight="1">
      <c r="B7" s="593" t="s">
        <v>420</v>
      </c>
      <c r="C7" s="594"/>
      <c r="D7" s="239">
        <v>1</v>
      </c>
      <c r="E7" s="256" t="s">
        <v>403</v>
      </c>
      <c r="F7" s="383">
        <v>18698.399999999998</v>
      </c>
      <c r="G7" s="383">
        <v>3152.6000000000004</v>
      </c>
      <c r="H7" s="383">
        <v>3313.1500000000005</v>
      </c>
      <c r="I7" s="244">
        <f>H7/G7</f>
        <v>1.0509262196282434</v>
      </c>
      <c r="J7" s="383">
        <v>0</v>
      </c>
      <c r="K7" s="244">
        <f>J7/G7</f>
        <v>0</v>
      </c>
      <c r="L7" s="383">
        <v>117.6</v>
      </c>
      <c r="M7" s="245">
        <f>(H7+J7)/G7</f>
        <v>1.0509262196282434</v>
      </c>
      <c r="N7" s="384">
        <v>18880.680000000004</v>
      </c>
      <c r="O7" s="383">
        <v>159</v>
      </c>
      <c r="P7" s="244">
        <f>O7/G7</f>
        <v>5.0434561948867598E-2</v>
      </c>
      <c r="Q7" s="246">
        <f>((H7+J7)-G7)-O7</f>
        <v>1.5500000000001819</v>
      </c>
      <c r="R7" s="244">
        <f>Q7/G7</f>
        <v>4.9165767937581098E-4</v>
      </c>
      <c r="S7" s="383">
        <v>-593.9</v>
      </c>
      <c r="T7" s="258" t="s">
        <v>180</v>
      </c>
      <c r="U7" s="258" t="s">
        <v>96</v>
      </c>
      <c r="V7" s="257" t="s">
        <v>400</v>
      </c>
      <c r="W7" s="247"/>
      <c r="X7" s="248">
        <v>1</v>
      </c>
      <c r="Y7" s="257" t="s">
        <v>391</v>
      </c>
      <c r="Z7" s="249" t="s">
        <v>177</v>
      </c>
      <c r="AA7" s="250">
        <v>15</v>
      </c>
      <c r="AB7" s="251">
        <f>SUMIF($U$7:$U$26,TRIM(AB6),$X$7:$X$26)</f>
        <v>11</v>
      </c>
      <c r="AC7" s="251">
        <f>SUMIF($U$7:$U$26,TRIM(AC6),$X$7:$X$26)</f>
        <v>1</v>
      </c>
      <c r="AD7" s="251">
        <f t="shared" ref="AD7:AI7" ca="1" si="0">SUMIF($U$7:$U$9710,TRIM(AD6),$X$7:$X$26)</f>
        <v>0</v>
      </c>
      <c r="AE7" s="251">
        <f t="shared" ca="1" si="0"/>
        <v>3</v>
      </c>
      <c r="AF7" s="251">
        <f t="shared" ca="1" si="0"/>
        <v>0</v>
      </c>
      <c r="AG7" s="251">
        <f t="shared" ca="1" si="0"/>
        <v>0</v>
      </c>
      <c r="AH7" s="251">
        <f t="shared" ca="1" si="0"/>
        <v>0</v>
      </c>
      <c r="AI7" s="251">
        <f t="shared" ca="1" si="0"/>
        <v>0</v>
      </c>
    </row>
    <row r="8" spans="2:35" s="243" customFormat="1" ht="27" customHeight="1">
      <c r="B8" s="595"/>
      <c r="C8" s="596"/>
      <c r="D8" s="239">
        <v>2</v>
      </c>
      <c r="E8" s="256" t="s">
        <v>415</v>
      </c>
      <c r="F8" s="383">
        <v>12551.764999999999</v>
      </c>
      <c r="G8" s="383">
        <v>1261.0399999999997</v>
      </c>
      <c r="H8" s="383">
        <v>1301.6799999999998</v>
      </c>
      <c r="I8" s="244">
        <f t="shared" ref="I8:I21" si="1">H8/G8</f>
        <v>1.0322273678868237</v>
      </c>
      <c r="J8" s="383">
        <v>0</v>
      </c>
      <c r="K8" s="244">
        <f t="shared" ref="K8:K21" si="2">J8/G8</f>
        <v>0</v>
      </c>
      <c r="L8" s="383">
        <v>383.3</v>
      </c>
      <c r="M8" s="245">
        <f t="shared" ref="M8:M21" si="3">(H8+J8)/G8</f>
        <v>1.0322273678868237</v>
      </c>
      <c r="N8" s="384">
        <v>15575.686399999995</v>
      </c>
      <c r="O8" s="383">
        <v>32.75</v>
      </c>
      <c r="P8" s="244">
        <f t="shared" ref="P8:P18" si="4">O8/G8</f>
        <v>2.5970627418638589E-2</v>
      </c>
      <c r="Q8" s="246">
        <f t="shared" ref="Q8:Q18" si="5">((H8+J8)-G8)-O8</f>
        <v>7.8900000000001</v>
      </c>
      <c r="R8" s="244">
        <f t="shared" ref="R8:R18" si="6">Q8/G8</f>
        <v>6.2567404681850708E-3</v>
      </c>
      <c r="S8" s="383">
        <v>3023.9</v>
      </c>
      <c r="T8" s="258" t="s">
        <v>180</v>
      </c>
      <c r="U8" s="258" t="s">
        <v>178</v>
      </c>
      <c r="V8" s="257" t="s">
        <v>400</v>
      </c>
      <c r="W8" s="247"/>
      <c r="X8" s="248">
        <v>1</v>
      </c>
      <c r="Y8" s="257" t="s">
        <v>176</v>
      </c>
      <c r="AA8" s="250"/>
      <c r="AB8" s="253">
        <f>SUMIF($U$7:$U$26,TRIM(AB6),$F$7:$F$26)</f>
        <v>40483.788999999997</v>
      </c>
      <c r="AC8" s="253">
        <f>SUMIF($U$7:$U$26,TRIM(AC6),$F$7:$F$26)</f>
        <v>12551.764999999999</v>
      </c>
      <c r="AD8" s="253">
        <f t="shared" ref="AD8:AI8" ca="1" si="7">SUMIF($U$7:$U$176,TRIM(AD6),$F$7:$F$26)</f>
        <v>0</v>
      </c>
      <c r="AE8" s="253">
        <f t="shared" ca="1" si="7"/>
        <v>2385.2930000000001</v>
      </c>
      <c r="AF8" s="253">
        <f t="shared" ca="1" si="7"/>
        <v>0</v>
      </c>
      <c r="AG8" s="253">
        <f t="shared" ca="1" si="7"/>
        <v>0</v>
      </c>
      <c r="AH8" s="253">
        <f t="shared" ca="1" si="7"/>
        <v>0</v>
      </c>
      <c r="AI8" s="253">
        <f t="shared" ca="1" si="7"/>
        <v>0</v>
      </c>
    </row>
    <row r="9" spans="2:35" s="243" customFormat="1" ht="27" customHeight="1">
      <c r="B9" s="595"/>
      <c r="C9" s="596"/>
      <c r="D9" s="239">
        <v>3</v>
      </c>
      <c r="E9" s="343" t="s">
        <v>405</v>
      </c>
      <c r="F9" s="383">
        <v>4919.92</v>
      </c>
      <c r="G9" s="383">
        <v>955.14499999999998</v>
      </c>
      <c r="H9" s="383">
        <v>1017.9150000000001</v>
      </c>
      <c r="I9" s="244">
        <f t="shared" si="1"/>
        <v>1.0657177706002754</v>
      </c>
      <c r="J9" s="383">
        <v>0</v>
      </c>
      <c r="K9" s="244">
        <f t="shared" si="2"/>
        <v>0</v>
      </c>
      <c r="L9" s="383">
        <v>117</v>
      </c>
      <c r="M9" s="245">
        <f t="shared" si="3"/>
        <v>1.0657177706002754</v>
      </c>
      <c r="N9" s="384">
        <v>4337.407000000002</v>
      </c>
      <c r="O9" s="383">
        <v>71.199999999999989</v>
      </c>
      <c r="P9" s="244">
        <f t="shared" si="4"/>
        <v>7.4543655675316303E-2</v>
      </c>
      <c r="Q9" s="246">
        <f t="shared" si="5"/>
        <v>-8.4299999999998931</v>
      </c>
      <c r="R9" s="244">
        <f t="shared" si="6"/>
        <v>-8.8258850750408506E-3</v>
      </c>
      <c r="S9" s="383">
        <v>441.8</v>
      </c>
      <c r="T9" s="258" t="s">
        <v>173</v>
      </c>
      <c r="U9" s="258" t="s">
        <v>96</v>
      </c>
      <c r="V9" s="257" t="s">
        <v>174</v>
      </c>
      <c r="W9" s="247" t="s">
        <v>175</v>
      </c>
      <c r="X9" s="248">
        <v>1</v>
      </c>
      <c r="Y9" s="344" t="s">
        <v>407</v>
      </c>
      <c r="AB9" s="366">
        <f>AB7/$AA$7</f>
        <v>0.73333333333333328</v>
      </c>
      <c r="AC9" s="366">
        <f t="shared" ref="AC9:AI9" si="8">AC7/$AA$7</f>
        <v>6.6666666666666666E-2</v>
      </c>
      <c r="AD9" s="366">
        <f t="shared" ca="1" si="8"/>
        <v>0</v>
      </c>
      <c r="AE9" s="366">
        <f t="shared" ca="1" si="8"/>
        <v>0.2</v>
      </c>
      <c r="AF9" s="366">
        <f t="shared" ca="1" si="8"/>
        <v>0</v>
      </c>
      <c r="AG9" s="366">
        <f t="shared" ca="1" si="8"/>
        <v>0</v>
      </c>
      <c r="AH9" s="366">
        <f t="shared" ca="1" si="8"/>
        <v>0</v>
      </c>
      <c r="AI9" s="366">
        <f t="shared" ca="1" si="8"/>
        <v>0</v>
      </c>
    </row>
    <row r="10" spans="2:35" s="243" customFormat="1" ht="25.5" customHeight="1">
      <c r="B10" s="595"/>
      <c r="C10" s="596"/>
      <c r="D10" s="239">
        <v>4</v>
      </c>
      <c r="E10" s="343" t="s">
        <v>410</v>
      </c>
      <c r="F10" s="383">
        <v>4345.4354999999996</v>
      </c>
      <c r="G10" s="383">
        <v>3788.5370000000003</v>
      </c>
      <c r="H10" s="383">
        <v>3829.4639999999999</v>
      </c>
      <c r="I10" s="244">
        <f t="shared" si="1"/>
        <v>1.0108028508102203</v>
      </c>
      <c r="J10" s="383">
        <v>0</v>
      </c>
      <c r="K10" s="244">
        <f t="shared" si="2"/>
        <v>0</v>
      </c>
      <c r="L10" s="383">
        <v>69.099999999999994</v>
      </c>
      <c r="M10" s="245">
        <f t="shared" si="3"/>
        <v>1.0108028508102203</v>
      </c>
      <c r="N10" s="384">
        <v>4787.2311900000022</v>
      </c>
      <c r="O10" s="383">
        <v>37.15</v>
      </c>
      <c r="P10" s="244">
        <f t="shared" si="4"/>
        <v>9.8058960490553463E-3</v>
      </c>
      <c r="Q10" s="246">
        <f t="shared" si="5"/>
        <v>3.7769999999996813</v>
      </c>
      <c r="R10" s="244">
        <f t="shared" si="6"/>
        <v>9.969547611649776E-4</v>
      </c>
      <c r="S10" s="383">
        <v>-245.3</v>
      </c>
      <c r="T10" s="258" t="s">
        <v>173</v>
      </c>
      <c r="U10" s="258" t="s">
        <v>96</v>
      </c>
      <c r="V10" s="257" t="s">
        <v>174</v>
      </c>
      <c r="W10" s="247" t="s">
        <v>175</v>
      </c>
      <c r="X10" s="248">
        <v>1</v>
      </c>
      <c r="Y10" s="344" t="s">
        <v>409</v>
      </c>
    </row>
    <row r="11" spans="2:35" s="243" customFormat="1" ht="27" customHeight="1">
      <c r="B11" s="595"/>
      <c r="C11" s="596"/>
      <c r="D11" s="239">
        <v>5</v>
      </c>
      <c r="E11" s="256" t="s">
        <v>411</v>
      </c>
      <c r="F11" s="383">
        <v>3439.4050000000002</v>
      </c>
      <c r="G11" s="383">
        <v>4299.72</v>
      </c>
      <c r="H11" s="383">
        <v>4330.9799999999996</v>
      </c>
      <c r="I11" s="244">
        <f t="shared" si="1"/>
        <v>1.0072702408528926</v>
      </c>
      <c r="J11" s="383">
        <v>0</v>
      </c>
      <c r="K11" s="244">
        <f t="shared" si="2"/>
        <v>0</v>
      </c>
      <c r="L11" s="383">
        <v>77.3</v>
      </c>
      <c r="M11" s="245">
        <f t="shared" si="3"/>
        <v>1.0072702408528926</v>
      </c>
      <c r="N11" s="384">
        <v>2416.085400000004</v>
      </c>
      <c r="O11" s="383">
        <v>44.5</v>
      </c>
      <c r="P11" s="244">
        <f t="shared" si="4"/>
        <v>1.0349511130957363E-2</v>
      </c>
      <c r="Q11" s="246">
        <f t="shared" si="5"/>
        <v>-13.240000000000691</v>
      </c>
      <c r="R11" s="244">
        <f t="shared" si="6"/>
        <v>-3.0792702780647789E-3</v>
      </c>
      <c r="S11" s="383">
        <v>-1023.3</v>
      </c>
      <c r="T11" s="258" t="s">
        <v>173</v>
      </c>
      <c r="U11" s="258" t="s">
        <v>96</v>
      </c>
      <c r="V11" s="257" t="s">
        <v>174</v>
      </c>
      <c r="W11" s="247" t="s">
        <v>175</v>
      </c>
      <c r="X11" s="248">
        <v>1</v>
      </c>
      <c r="Y11" s="344" t="s">
        <v>412</v>
      </c>
    </row>
    <row r="12" spans="2:35" s="243" customFormat="1" ht="27" customHeight="1">
      <c r="B12" s="595"/>
      <c r="C12" s="596"/>
      <c r="D12" s="239">
        <v>6</v>
      </c>
      <c r="E12" s="343" t="s">
        <v>414</v>
      </c>
      <c r="F12" s="383">
        <v>3205.9614999999999</v>
      </c>
      <c r="G12" s="383">
        <v>1226.07</v>
      </c>
      <c r="H12" s="383">
        <v>1265.5</v>
      </c>
      <c r="I12" s="244">
        <f t="shared" si="1"/>
        <v>1.0321596646194753</v>
      </c>
      <c r="J12" s="383">
        <v>0</v>
      </c>
      <c r="K12" s="244">
        <f t="shared" si="2"/>
        <v>0</v>
      </c>
      <c r="L12" s="383">
        <v>100</v>
      </c>
      <c r="M12" s="245">
        <f t="shared" si="3"/>
        <v>1.0321596646194753</v>
      </c>
      <c r="N12" s="384">
        <v>3944.1828999999998</v>
      </c>
      <c r="O12" s="383">
        <v>32.050000000000004</v>
      </c>
      <c r="P12" s="244">
        <f t="shared" si="4"/>
        <v>2.6140432438604651E-2</v>
      </c>
      <c r="Q12" s="246">
        <f t="shared" si="5"/>
        <v>7.3800000000000594</v>
      </c>
      <c r="R12" s="244">
        <f t="shared" si="6"/>
        <v>6.0192321808706355E-3</v>
      </c>
      <c r="S12" s="383">
        <v>738.2</v>
      </c>
      <c r="T12" s="258" t="s">
        <v>173</v>
      </c>
      <c r="U12" s="258" t="s">
        <v>96</v>
      </c>
      <c r="V12" s="381" t="s">
        <v>174</v>
      </c>
      <c r="W12" s="247" t="s">
        <v>175</v>
      </c>
      <c r="X12" s="248">
        <v>1</v>
      </c>
      <c r="Y12" s="257" t="s">
        <v>413</v>
      </c>
    </row>
    <row r="13" spans="2:35" s="243" customFormat="1" ht="27" customHeight="1">
      <c r="B13" s="595"/>
      <c r="C13" s="596"/>
      <c r="D13" s="239">
        <v>7</v>
      </c>
      <c r="E13" s="256" t="s">
        <v>121</v>
      </c>
      <c r="F13" s="383">
        <v>2334.2920000000004</v>
      </c>
      <c r="G13" s="383">
        <v>1279.42</v>
      </c>
      <c r="H13" s="383">
        <v>1293.652</v>
      </c>
      <c r="I13" s="244">
        <f t="shared" si="1"/>
        <v>1.0111237904675556</v>
      </c>
      <c r="J13" s="383">
        <v>0</v>
      </c>
      <c r="K13" s="244">
        <f t="shared" si="2"/>
        <v>0</v>
      </c>
      <c r="L13" s="383">
        <v>140.6</v>
      </c>
      <c r="M13" s="245">
        <f t="shared" si="3"/>
        <v>1.0111237904675556</v>
      </c>
      <c r="N13" s="384">
        <v>2001.30384</v>
      </c>
      <c r="O13" s="383">
        <v>16.600000000000001</v>
      </c>
      <c r="P13" s="244">
        <f t="shared" si="4"/>
        <v>1.2974629128823998E-2</v>
      </c>
      <c r="Q13" s="246">
        <f t="shared" si="5"/>
        <v>-2.3680000000000305</v>
      </c>
      <c r="R13" s="244">
        <f t="shared" si="6"/>
        <v>-1.850838661268411E-3</v>
      </c>
      <c r="S13" s="383">
        <v>-333</v>
      </c>
      <c r="T13" s="258" t="s">
        <v>173</v>
      </c>
      <c r="U13" s="258" t="s">
        <v>96</v>
      </c>
      <c r="V13" s="257" t="s">
        <v>174</v>
      </c>
      <c r="W13" s="247" t="s">
        <v>175</v>
      </c>
      <c r="X13" s="248">
        <v>1</v>
      </c>
      <c r="Y13" s="258" t="s">
        <v>74</v>
      </c>
      <c r="AB13" s="243">
        <v>1</v>
      </c>
      <c r="AC13" s="259" t="s">
        <v>96</v>
      </c>
    </row>
    <row r="14" spans="2:35" s="243" customFormat="1" ht="27" customHeight="1">
      <c r="B14" s="595"/>
      <c r="C14" s="596"/>
      <c r="D14" s="239">
        <v>8</v>
      </c>
      <c r="E14" s="256" t="s">
        <v>124</v>
      </c>
      <c r="F14" s="383">
        <v>1640.3860000000002</v>
      </c>
      <c r="G14" s="383">
        <v>5369.5800000000008</v>
      </c>
      <c r="H14" s="383">
        <v>5369.5800000000008</v>
      </c>
      <c r="I14" s="244">
        <f t="shared" si="1"/>
        <v>1</v>
      </c>
      <c r="J14" s="383">
        <v>73.650000000000006</v>
      </c>
      <c r="K14" s="244">
        <f t="shared" si="2"/>
        <v>1.3716156570904987E-2</v>
      </c>
      <c r="L14" s="383">
        <v>38.1</v>
      </c>
      <c r="M14" s="245">
        <f t="shared" si="3"/>
        <v>1.013716156570905</v>
      </c>
      <c r="N14" s="384">
        <v>2803.1189999999992</v>
      </c>
      <c r="O14" s="383">
        <v>43.1</v>
      </c>
      <c r="P14" s="244">
        <f t="shared" si="4"/>
        <v>8.0266985499796994E-3</v>
      </c>
      <c r="Q14" s="246">
        <f t="shared" si="5"/>
        <v>30.549999999999635</v>
      </c>
      <c r="R14" s="244">
        <f t="shared" si="6"/>
        <v>5.6894580209252178E-3</v>
      </c>
      <c r="S14" s="383">
        <v>1162.7</v>
      </c>
      <c r="T14" s="258" t="s">
        <v>181</v>
      </c>
      <c r="U14" s="258" t="s">
        <v>99</v>
      </c>
      <c r="V14" s="257" t="s">
        <v>401</v>
      </c>
      <c r="W14" s="247" t="s">
        <v>184</v>
      </c>
      <c r="X14" s="248">
        <v>1</v>
      </c>
      <c r="Y14" s="257" t="s">
        <v>89</v>
      </c>
      <c r="AB14" s="243">
        <v>2</v>
      </c>
      <c r="AC14" s="259" t="s">
        <v>178</v>
      </c>
    </row>
    <row r="15" spans="2:35" s="243" customFormat="1" ht="27" customHeight="1">
      <c r="B15" s="595"/>
      <c r="C15" s="596"/>
      <c r="D15" s="239">
        <v>9</v>
      </c>
      <c r="E15" s="256" t="s">
        <v>185</v>
      </c>
      <c r="F15" s="383">
        <v>1428.7900000000002</v>
      </c>
      <c r="G15" s="383">
        <v>258.12</v>
      </c>
      <c r="H15" s="383">
        <v>267.34999999999997</v>
      </c>
      <c r="I15" s="244">
        <f t="shared" si="1"/>
        <v>1.0357585619091894</v>
      </c>
      <c r="J15" s="383">
        <v>0</v>
      </c>
      <c r="K15" s="244">
        <f t="shared" si="2"/>
        <v>0</v>
      </c>
      <c r="L15" s="383">
        <v>83.8</v>
      </c>
      <c r="M15" s="245">
        <f t="shared" si="3"/>
        <v>1.0357585619091894</v>
      </c>
      <c r="N15" s="384">
        <v>773.47399999999993</v>
      </c>
      <c r="O15" s="383">
        <v>17.05</v>
      </c>
      <c r="P15" s="244">
        <f t="shared" si="4"/>
        <v>6.6054548272121497E-2</v>
      </c>
      <c r="Q15" s="246">
        <f t="shared" si="5"/>
        <v>-7.8200000000000394</v>
      </c>
      <c r="R15" s="244">
        <f t="shared" si="6"/>
        <v>-3.0295986362932122E-2</v>
      </c>
      <c r="S15" s="383">
        <v>-655.29999999999995</v>
      </c>
      <c r="T15" s="258" t="s">
        <v>173</v>
      </c>
      <c r="U15" s="258" t="s">
        <v>96</v>
      </c>
      <c r="V15" s="257" t="s">
        <v>174</v>
      </c>
      <c r="W15" s="247" t="s">
        <v>175</v>
      </c>
      <c r="X15" s="248">
        <v>1</v>
      </c>
      <c r="Y15" s="257" t="s">
        <v>122</v>
      </c>
      <c r="AB15" s="243">
        <v>3</v>
      </c>
      <c r="AC15" s="259" t="s">
        <v>98</v>
      </c>
    </row>
    <row r="16" spans="2:35" s="243" customFormat="1" ht="27" customHeight="1">
      <c r="B16" s="595"/>
      <c r="C16" s="596"/>
      <c r="D16" s="239">
        <v>10</v>
      </c>
      <c r="E16" s="256" t="s">
        <v>187</v>
      </c>
      <c r="F16" s="383">
        <v>1016.1514999999999</v>
      </c>
      <c r="G16" s="383">
        <v>378.31200000000001</v>
      </c>
      <c r="H16" s="383">
        <v>382.35399999999998</v>
      </c>
      <c r="I16" s="244">
        <f t="shared" si="1"/>
        <v>1.0106843029034236</v>
      </c>
      <c r="J16" s="383">
        <v>0</v>
      </c>
      <c r="K16" s="244">
        <f t="shared" si="2"/>
        <v>0</v>
      </c>
      <c r="L16" s="383">
        <v>162.4</v>
      </c>
      <c r="M16" s="245">
        <f t="shared" si="3"/>
        <v>1.0106843029034236</v>
      </c>
      <c r="N16" s="384">
        <v>902.6998600000004</v>
      </c>
      <c r="O16" s="383">
        <v>4.55</v>
      </c>
      <c r="P16" s="244">
        <f t="shared" si="4"/>
        <v>1.2027109898707944E-2</v>
      </c>
      <c r="Q16" s="246">
        <f t="shared" si="5"/>
        <v>-0.50800000000002665</v>
      </c>
      <c r="R16" s="244">
        <f t="shared" si="6"/>
        <v>-1.3428069952843859E-3</v>
      </c>
      <c r="S16" s="383">
        <v>252.5</v>
      </c>
      <c r="T16" s="258" t="s">
        <v>173</v>
      </c>
      <c r="U16" s="258" t="s">
        <v>96</v>
      </c>
      <c r="V16" s="257" t="s">
        <v>174</v>
      </c>
      <c r="W16" s="247" t="s">
        <v>175</v>
      </c>
      <c r="X16" s="248">
        <v>1</v>
      </c>
      <c r="Y16" s="257" t="s">
        <v>176</v>
      </c>
      <c r="AB16" s="243">
        <v>4</v>
      </c>
      <c r="AC16" s="259" t="s">
        <v>186</v>
      </c>
    </row>
    <row r="17" spans="2:29" s="243" customFormat="1" ht="27" customHeight="1">
      <c r="B17" s="595"/>
      <c r="C17" s="596"/>
      <c r="D17" s="239">
        <v>11</v>
      </c>
      <c r="E17" s="343" t="s">
        <v>123</v>
      </c>
      <c r="F17" s="383">
        <v>673.87700000000007</v>
      </c>
      <c r="G17" s="383">
        <v>629.23500000000013</v>
      </c>
      <c r="H17" s="383">
        <v>634.94000000000005</v>
      </c>
      <c r="I17" s="244">
        <f t="shared" si="1"/>
        <v>1.009066564955859</v>
      </c>
      <c r="J17" s="383">
        <v>0</v>
      </c>
      <c r="K17" s="244">
        <f t="shared" si="2"/>
        <v>0</v>
      </c>
      <c r="L17" s="383">
        <v>223.3</v>
      </c>
      <c r="M17" s="245">
        <f t="shared" si="3"/>
        <v>1.009066564955859</v>
      </c>
      <c r="N17" s="384">
        <v>926.37789999999973</v>
      </c>
      <c r="O17" s="383">
        <v>4.1500000000000004</v>
      </c>
      <c r="P17" s="244">
        <f t="shared" si="4"/>
        <v>6.595310178232297E-3</v>
      </c>
      <c r="Q17" s="246">
        <f t="shared" si="5"/>
        <v>1.5549999999999269</v>
      </c>
      <c r="R17" s="244">
        <f t="shared" si="6"/>
        <v>2.471254777626684E-3</v>
      </c>
      <c r="S17" s="383">
        <v>-42.4</v>
      </c>
      <c r="T17" s="258" t="s">
        <v>173</v>
      </c>
      <c r="U17" s="258" t="s">
        <v>96</v>
      </c>
      <c r="V17" s="257" t="s">
        <v>174</v>
      </c>
      <c r="W17" s="247" t="s">
        <v>175</v>
      </c>
      <c r="X17" s="248">
        <v>1</v>
      </c>
      <c r="Y17" s="344" t="s">
        <v>83</v>
      </c>
      <c r="AB17" s="243">
        <v>5</v>
      </c>
      <c r="AC17" s="259" t="s">
        <v>104</v>
      </c>
    </row>
    <row r="18" spans="2:29" s="243" customFormat="1" ht="27" customHeight="1">
      <c r="B18" s="595"/>
      <c r="C18" s="596"/>
      <c r="D18" s="239">
        <v>12</v>
      </c>
      <c r="E18" s="256" t="s">
        <v>133</v>
      </c>
      <c r="F18" s="383">
        <v>409.59000000000003</v>
      </c>
      <c r="G18" s="383">
        <v>3562.2400000000002</v>
      </c>
      <c r="H18" s="383">
        <v>3562.2400000000002</v>
      </c>
      <c r="I18" s="244">
        <f t="shared" si="1"/>
        <v>1</v>
      </c>
      <c r="J18" s="383">
        <v>44.78</v>
      </c>
      <c r="K18" s="244">
        <f t="shared" si="2"/>
        <v>1.2570742005030541E-2</v>
      </c>
      <c r="L18" s="383">
        <v>40</v>
      </c>
      <c r="M18" s="245">
        <f t="shared" si="3"/>
        <v>1.0125707420050305</v>
      </c>
      <c r="N18" s="384">
        <v>1789.408799999999</v>
      </c>
      <c r="O18" s="383">
        <v>10.25</v>
      </c>
      <c r="P18" s="244">
        <f t="shared" si="4"/>
        <v>2.8774029823931007E-3</v>
      </c>
      <c r="Q18" s="246">
        <f t="shared" si="5"/>
        <v>34.5300000000002</v>
      </c>
      <c r="R18" s="244">
        <f t="shared" si="6"/>
        <v>9.6933390226374965E-3</v>
      </c>
      <c r="S18" s="383">
        <v>1379.8</v>
      </c>
      <c r="T18" s="258" t="s">
        <v>181</v>
      </c>
      <c r="U18" s="258" t="s">
        <v>99</v>
      </c>
      <c r="V18" s="258" t="s">
        <v>103</v>
      </c>
      <c r="W18" s="248" t="s">
        <v>188</v>
      </c>
      <c r="X18" s="248">
        <v>1</v>
      </c>
      <c r="Y18" s="257" t="s">
        <v>126</v>
      </c>
      <c r="AB18" s="243">
        <v>6</v>
      </c>
      <c r="AC18" s="259" t="s">
        <v>105</v>
      </c>
    </row>
    <row r="19" spans="2:29" s="243" customFormat="1" ht="27" customHeight="1">
      <c r="B19" s="595"/>
      <c r="C19" s="596"/>
      <c r="D19" s="239">
        <v>13</v>
      </c>
      <c r="E19" s="256" t="s">
        <v>128</v>
      </c>
      <c r="F19" s="383">
        <v>335.31699999999995</v>
      </c>
      <c r="G19" s="383">
        <v>250.74600000000001</v>
      </c>
      <c r="H19" s="383">
        <v>250.74600000000001</v>
      </c>
      <c r="I19" s="244">
        <f>H19/G19</f>
        <v>1</v>
      </c>
      <c r="J19" s="383">
        <v>10.79</v>
      </c>
      <c r="K19" s="244">
        <f>J19/G19</f>
        <v>4.3031593724326606E-2</v>
      </c>
      <c r="L19" s="383">
        <v>55</v>
      </c>
      <c r="M19" s="245">
        <f>(H19+J19)/G19</f>
        <v>1.0430315937243266</v>
      </c>
      <c r="N19" s="384">
        <v>593.1262999999999</v>
      </c>
      <c r="O19" s="383">
        <v>6.1</v>
      </c>
      <c r="P19" s="244">
        <f>O19/G19</f>
        <v>2.4327407017459897E-2</v>
      </c>
      <c r="Q19" s="246">
        <f>((H19+J19)-G19)-O19</f>
        <v>4.6899999999999924</v>
      </c>
      <c r="R19" s="244">
        <f>Q19/G19</f>
        <v>1.8704186706866677E-2</v>
      </c>
      <c r="S19" s="383">
        <v>257.8</v>
      </c>
      <c r="T19" s="258" t="s">
        <v>181</v>
      </c>
      <c r="U19" s="258" t="s">
        <v>99</v>
      </c>
      <c r="V19" s="258" t="s">
        <v>103</v>
      </c>
      <c r="W19" s="248" t="s">
        <v>188</v>
      </c>
      <c r="X19" s="248">
        <v>1</v>
      </c>
      <c r="Y19" s="257" t="s">
        <v>63</v>
      </c>
      <c r="AB19" s="243">
        <v>7</v>
      </c>
      <c r="AC19" s="259" t="s">
        <v>106</v>
      </c>
    </row>
    <row r="20" spans="2:29" s="243" customFormat="1" ht="27" customHeight="1">
      <c r="B20" s="595"/>
      <c r="C20" s="596"/>
      <c r="D20" s="239">
        <v>14</v>
      </c>
      <c r="E20" s="256" t="s">
        <v>189</v>
      </c>
      <c r="F20" s="383">
        <v>291.73999999999995</v>
      </c>
      <c r="G20" s="383">
        <v>114.96799999999999</v>
      </c>
      <c r="H20" s="383">
        <v>118.34899999999999</v>
      </c>
      <c r="I20" s="244">
        <f t="shared" si="1"/>
        <v>1.0294081831466146</v>
      </c>
      <c r="J20" s="383">
        <v>0</v>
      </c>
      <c r="K20" s="244">
        <f t="shared" si="2"/>
        <v>0</v>
      </c>
      <c r="L20" s="383">
        <v>201.2</v>
      </c>
      <c r="M20" s="245">
        <f t="shared" si="3"/>
        <v>1.0294081831466146</v>
      </c>
      <c r="N20" s="384">
        <v>680.25720000000001</v>
      </c>
      <c r="O20" s="383">
        <v>1.45</v>
      </c>
      <c r="P20" s="244">
        <f t="shared" ref="P20:P21" si="9">O20/G20</f>
        <v>1.261220513534201E-2</v>
      </c>
      <c r="Q20" s="246">
        <f t="shared" ref="Q20:Q21" si="10">((H20+J20)-G20)-O20</f>
        <v>1.9310000000000003</v>
      </c>
      <c r="R20" s="244">
        <f t="shared" ref="R20:R21" si="11">Q20/G20</f>
        <v>1.6795978011272705E-2</v>
      </c>
      <c r="S20" s="383">
        <v>388.5</v>
      </c>
      <c r="T20" s="258" t="s">
        <v>173</v>
      </c>
      <c r="U20" s="258" t="s">
        <v>96</v>
      </c>
      <c r="V20" s="257" t="s">
        <v>174</v>
      </c>
      <c r="W20" s="247" t="s">
        <v>175</v>
      </c>
      <c r="X20" s="248">
        <v>1</v>
      </c>
      <c r="Y20" s="257" t="s">
        <v>190</v>
      </c>
      <c r="AB20" s="243">
        <v>8</v>
      </c>
      <c r="AC20" s="260" t="s">
        <v>191</v>
      </c>
    </row>
    <row r="21" spans="2:29" s="243" customFormat="1" ht="27" customHeight="1">
      <c r="B21" s="595"/>
      <c r="C21" s="596"/>
      <c r="D21" s="239">
        <v>15</v>
      </c>
      <c r="E21" s="256" t="s">
        <v>192</v>
      </c>
      <c r="F21" s="383">
        <v>129.81650000000002</v>
      </c>
      <c r="G21" s="383">
        <v>49.272000000000006</v>
      </c>
      <c r="H21" s="383">
        <v>50.771000000000001</v>
      </c>
      <c r="I21" s="244">
        <f t="shared" si="1"/>
        <v>1.0304229582724467</v>
      </c>
      <c r="J21" s="383">
        <v>0</v>
      </c>
      <c r="K21" s="244">
        <f t="shared" si="2"/>
        <v>0</v>
      </c>
      <c r="L21" s="383">
        <v>236</v>
      </c>
      <c r="M21" s="245">
        <f t="shared" si="3"/>
        <v>1.0304229582724467</v>
      </c>
      <c r="N21" s="384">
        <v>353.80897000000033</v>
      </c>
      <c r="O21" s="383">
        <v>0.55000000000000004</v>
      </c>
      <c r="P21" s="244">
        <f t="shared" si="9"/>
        <v>1.1162526384153271E-2</v>
      </c>
      <c r="Q21" s="246">
        <f t="shared" si="10"/>
        <v>0.94899999999999518</v>
      </c>
      <c r="R21" s="244">
        <f t="shared" si="11"/>
        <v>1.9260431888293454E-2</v>
      </c>
      <c r="S21" s="383">
        <v>224</v>
      </c>
      <c r="T21" s="258" t="s">
        <v>173</v>
      </c>
      <c r="U21" s="258" t="s">
        <v>96</v>
      </c>
      <c r="V21" s="257" t="s">
        <v>174</v>
      </c>
      <c r="W21" s="247" t="s">
        <v>175</v>
      </c>
      <c r="X21" s="248">
        <v>1</v>
      </c>
      <c r="Y21" s="257" t="s">
        <v>190</v>
      </c>
      <c r="AC21" s="259"/>
    </row>
    <row r="22" spans="2:29" s="243" customFormat="1" ht="27" customHeight="1">
      <c r="B22" s="595"/>
      <c r="C22" s="596"/>
      <c r="D22" s="239">
        <v>16</v>
      </c>
      <c r="E22" s="256"/>
      <c r="F22" s="383"/>
      <c r="G22" s="383"/>
      <c r="H22" s="383"/>
      <c r="I22" s="244"/>
      <c r="J22" s="383"/>
      <c r="K22" s="244"/>
      <c r="L22" s="383"/>
      <c r="M22" s="245"/>
      <c r="N22" s="384"/>
      <c r="O22" s="383"/>
      <c r="P22" s="244"/>
      <c r="Q22" s="246"/>
      <c r="R22" s="244"/>
      <c r="S22" s="383"/>
      <c r="T22" s="258"/>
      <c r="U22" s="258"/>
      <c r="V22" s="257"/>
      <c r="W22" s="247"/>
      <c r="X22" s="248"/>
      <c r="Y22" s="257"/>
      <c r="AC22" s="259"/>
    </row>
    <row r="23" spans="2:29" s="243" customFormat="1" ht="27" customHeight="1">
      <c r="B23" s="595"/>
      <c r="C23" s="596"/>
      <c r="D23" s="239">
        <v>17</v>
      </c>
      <c r="E23" s="256"/>
      <c r="F23" s="383"/>
      <c r="G23" s="383"/>
      <c r="H23" s="383"/>
      <c r="I23" s="244"/>
      <c r="J23" s="383"/>
      <c r="K23" s="244"/>
      <c r="L23" s="383"/>
      <c r="M23" s="245"/>
      <c r="N23" s="384"/>
      <c r="O23" s="383"/>
      <c r="P23" s="244"/>
      <c r="Q23" s="246"/>
      <c r="R23" s="244"/>
      <c r="S23" s="383"/>
      <c r="T23" s="247"/>
      <c r="U23" s="247"/>
      <c r="V23" s="248"/>
      <c r="W23" s="248"/>
      <c r="X23" s="248"/>
      <c r="Y23" s="257"/>
      <c r="AB23" s="254">
        <v>1</v>
      </c>
      <c r="AC23" s="259" t="s">
        <v>180</v>
      </c>
    </row>
    <row r="24" spans="2:29" s="243" customFormat="1" ht="27" customHeight="1">
      <c r="B24" s="595"/>
      <c r="C24" s="596"/>
      <c r="D24" s="239">
        <v>18</v>
      </c>
      <c r="E24" s="256"/>
      <c r="F24" s="383"/>
      <c r="G24" s="383"/>
      <c r="H24" s="383"/>
      <c r="I24" s="244"/>
      <c r="J24" s="383"/>
      <c r="K24" s="244"/>
      <c r="L24" s="383"/>
      <c r="M24" s="245"/>
      <c r="N24" s="384"/>
      <c r="O24" s="383"/>
      <c r="P24" s="244"/>
      <c r="Q24" s="246"/>
      <c r="R24" s="244"/>
      <c r="S24" s="383"/>
      <c r="T24" s="247"/>
      <c r="U24" s="247"/>
      <c r="V24" s="248"/>
      <c r="W24" s="248"/>
      <c r="X24" s="248"/>
      <c r="Y24" s="257"/>
      <c r="AB24" s="243">
        <v>2</v>
      </c>
      <c r="AC24" s="259" t="s">
        <v>181</v>
      </c>
    </row>
    <row r="25" spans="2:29" s="243" customFormat="1" ht="27" customHeight="1">
      <c r="B25" s="595"/>
      <c r="C25" s="596"/>
      <c r="D25" s="239">
        <v>19</v>
      </c>
      <c r="E25" s="256"/>
      <c r="F25" s="383"/>
      <c r="G25" s="383"/>
      <c r="H25" s="383"/>
      <c r="I25" s="244"/>
      <c r="J25" s="383"/>
      <c r="K25" s="244"/>
      <c r="L25" s="383"/>
      <c r="M25" s="245"/>
      <c r="N25" s="384"/>
      <c r="O25" s="383"/>
      <c r="P25" s="244"/>
      <c r="Q25" s="246"/>
      <c r="R25" s="244"/>
      <c r="S25" s="383"/>
      <c r="T25" s="247"/>
      <c r="U25" s="247"/>
      <c r="V25" s="248"/>
      <c r="W25" s="248"/>
      <c r="X25" s="248"/>
      <c r="Y25" s="257"/>
      <c r="AB25" s="255">
        <v>3</v>
      </c>
      <c r="AC25" s="259" t="s">
        <v>193</v>
      </c>
    </row>
    <row r="26" spans="2:29" s="243" customFormat="1" ht="27" customHeight="1">
      <c r="B26" s="597"/>
      <c r="C26" s="598"/>
      <c r="D26" s="239">
        <v>20</v>
      </c>
      <c r="E26" s="256"/>
      <c r="F26" s="383"/>
      <c r="G26" s="383"/>
      <c r="H26" s="383"/>
      <c r="I26" s="244"/>
      <c r="J26" s="383"/>
      <c r="K26" s="244"/>
      <c r="L26" s="383"/>
      <c r="M26" s="245"/>
      <c r="N26" s="384"/>
      <c r="O26" s="383"/>
      <c r="P26" s="244"/>
      <c r="Q26" s="246"/>
      <c r="R26" s="244"/>
      <c r="S26" s="383"/>
      <c r="T26" s="247"/>
      <c r="U26" s="247"/>
      <c r="V26" s="248"/>
      <c r="W26" s="248"/>
      <c r="X26" s="248"/>
      <c r="Y26" s="257"/>
      <c r="AB26" s="255">
        <v>4</v>
      </c>
      <c r="AC26" s="259" t="s">
        <v>173</v>
      </c>
    </row>
    <row r="27" spans="2:29" ht="29.45" customHeight="1">
      <c r="C27" s="592"/>
      <c r="AB27" s="243">
        <v>5</v>
      </c>
      <c r="AC27" s="259" t="s">
        <v>183</v>
      </c>
    </row>
    <row r="28" spans="2:29">
      <c r="C28" s="592"/>
    </row>
    <row r="29" spans="2:29">
      <c r="C29" s="592"/>
    </row>
    <row r="30" spans="2:29">
      <c r="C30" s="592"/>
    </row>
    <row r="31" spans="2:29">
      <c r="C31" s="592"/>
    </row>
    <row r="32" spans="2:29">
      <c r="C32" s="592"/>
    </row>
    <row r="33" spans="3:3">
      <c r="C33" s="592"/>
    </row>
    <row r="34" spans="3:3">
      <c r="C34" s="592"/>
    </row>
    <row r="35" spans="3:3">
      <c r="C35" s="592"/>
    </row>
    <row r="36" spans="3:3">
      <c r="C36" s="592"/>
    </row>
    <row r="67" ht="14.1" customHeight="1"/>
    <row r="77" ht="14.1" customHeight="1"/>
    <row r="87" ht="14.1" customHeight="1"/>
    <row r="112" spans="26:26">
      <c r="Z112" s="172" t="s">
        <v>167</v>
      </c>
    </row>
    <row r="113" spans="26:26">
      <c r="Z113" s="243" t="s">
        <v>100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4" ySplit="6" topLeftCell="P7" activePane="bottomRight" state="frozen"/>
      <selection activeCell="W7" sqref="W7"/>
      <selection pane="topRight" activeCell="W7" sqref="W7"/>
      <selection pane="bottomLeft" activeCell="W7" sqref="W7"/>
      <selection pane="bottomRight" activeCell="B27" sqref="B27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37" width="8.85546875" style="170" customWidth="1"/>
    <col min="38" max="16384" width="8.85546875" style="170"/>
  </cols>
  <sheetData>
    <row r="2" spans="2:35" ht="41.1" customHeight="1">
      <c r="B2" s="606" t="s">
        <v>194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AA2" s="171"/>
      <c r="AB2" s="171"/>
    </row>
    <row r="3" spans="2:35" ht="17.100000000000001" customHeight="1">
      <c r="B3" s="608" t="s">
        <v>141</v>
      </c>
      <c r="C3" s="609"/>
      <c r="D3" s="602" t="s">
        <v>142</v>
      </c>
      <c r="E3" s="602"/>
      <c r="F3" s="602"/>
      <c r="G3" s="602" t="s">
        <v>143</v>
      </c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2" t="s">
        <v>144</v>
      </c>
      <c r="U3" s="614" t="s">
        <v>145</v>
      </c>
      <c r="V3" s="599" t="s">
        <v>146</v>
      </c>
      <c r="W3" s="599" t="s">
        <v>147</v>
      </c>
      <c r="X3" s="619" t="s">
        <v>148</v>
      </c>
      <c r="Y3" s="604" t="s">
        <v>149</v>
      </c>
      <c r="AA3" s="602" t="s">
        <v>150</v>
      </c>
      <c r="AB3" s="602"/>
      <c r="AC3" s="602"/>
      <c r="AD3" s="602"/>
      <c r="AE3" s="602"/>
      <c r="AF3" s="602"/>
      <c r="AG3" s="602"/>
      <c r="AH3" s="602"/>
      <c r="AI3" s="602"/>
    </row>
    <row r="4" spans="2:35" ht="17.100000000000001" customHeight="1">
      <c r="B4" s="610"/>
      <c r="C4" s="611"/>
      <c r="D4" s="603" t="s">
        <v>151</v>
      </c>
      <c r="E4" s="602" t="s">
        <v>152</v>
      </c>
      <c r="F4" s="602"/>
      <c r="G4" s="602" t="s">
        <v>153</v>
      </c>
      <c r="H4" s="602"/>
      <c r="I4" s="602"/>
      <c r="J4" s="602"/>
      <c r="K4" s="602"/>
      <c r="L4" s="602"/>
      <c r="M4" s="602"/>
      <c r="N4" s="602"/>
      <c r="O4" s="602" t="s">
        <v>154</v>
      </c>
      <c r="P4" s="602"/>
      <c r="Q4" s="602"/>
      <c r="R4" s="602"/>
      <c r="S4" s="602"/>
      <c r="T4" s="602"/>
      <c r="U4" s="615"/>
      <c r="V4" s="617"/>
      <c r="W4" s="600"/>
      <c r="X4" s="617"/>
      <c r="Y4" s="604"/>
      <c r="AA4" s="602"/>
      <c r="AB4" s="602"/>
      <c r="AC4" s="602"/>
      <c r="AD4" s="602"/>
      <c r="AE4" s="602"/>
      <c r="AF4" s="602"/>
      <c r="AG4" s="602"/>
      <c r="AH4" s="602"/>
      <c r="AI4" s="602"/>
    </row>
    <row r="5" spans="2:35" ht="17.100000000000001" customHeight="1">
      <c r="B5" s="610"/>
      <c r="C5" s="611"/>
      <c r="D5" s="603"/>
      <c r="E5" s="603" t="s">
        <v>155</v>
      </c>
      <c r="F5" s="604" t="s">
        <v>195</v>
      </c>
      <c r="G5" s="605" t="s">
        <v>157</v>
      </c>
      <c r="H5" s="605"/>
      <c r="I5" s="605"/>
      <c r="J5" s="605"/>
      <c r="K5" s="605"/>
      <c r="L5" s="605"/>
      <c r="M5" s="605"/>
      <c r="N5" s="605"/>
      <c r="O5" s="620" t="s">
        <v>102</v>
      </c>
      <c r="P5" s="605"/>
      <c r="Q5" s="621" t="s">
        <v>103</v>
      </c>
      <c r="R5" s="605"/>
      <c r="S5" s="605"/>
      <c r="T5" s="602"/>
      <c r="U5" s="615"/>
      <c r="V5" s="617"/>
      <c r="W5" s="600"/>
      <c r="X5" s="617"/>
      <c r="Y5" s="604"/>
      <c r="AA5" s="602"/>
      <c r="AB5" s="602"/>
      <c r="AC5" s="602"/>
      <c r="AD5" s="602"/>
      <c r="AE5" s="602"/>
      <c r="AF5" s="602"/>
      <c r="AG5" s="602"/>
      <c r="AH5" s="602"/>
      <c r="AI5" s="602"/>
    </row>
    <row r="6" spans="2:35" ht="38.450000000000003" customHeight="1">
      <c r="B6" s="612"/>
      <c r="C6" s="613"/>
      <c r="D6" s="603"/>
      <c r="E6" s="603"/>
      <c r="F6" s="604"/>
      <c r="G6" s="242" t="s">
        <v>158</v>
      </c>
      <c r="H6" s="242" t="s">
        <v>159</v>
      </c>
      <c r="I6" s="242" t="s">
        <v>160</v>
      </c>
      <c r="J6" s="242" t="s">
        <v>161</v>
      </c>
      <c r="K6" s="242" t="s">
        <v>162</v>
      </c>
      <c r="L6" s="242" t="s">
        <v>163</v>
      </c>
      <c r="M6" s="242" t="s">
        <v>164</v>
      </c>
      <c r="N6" s="242" t="s">
        <v>165</v>
      </c>
      <c r="O6" s="240" t="s">
        <v>166</v>
      </c>
      <c r="P6" s="240" t="s">
        <v>167</v>
      </c>
      <c r="Q6" s="240" t="s">
        <v>166</v>
      </c>
      <c r="R6" s="240" t="s">
        <v>167</v>
      </c>
      <c r="S6" s="242" t="s">
        <v>168</v>
      </c>
      <c r="T6" s="602"/>
      <c r="U6" s="616"/>
      <c r="V6" s="618"/>
      <c r="W6" s="601"/>
      <c r="X6" s="618"/>
      <c r="Y6" s="604"/>
      <c r="AA6" s="183" t="s">
        <v>169</v>
      </c>
      <c r="AB6" s="183" t="s">
        <v>96</v>
      </c>
      <c r="AC6" s="241" t="s">
        <v>170</v>
      </c>
      <c r="AD6" s="241" t="s">
        <v>98</v>
      </c>
      <c r="AE6" s="241" t="s">
        <v>99</v>
      </c>
      <c r="AF6" s="241" t="s">
        <v>104</v>
      </c>
      <c r="AG6" s="241" t="s">
        <v>105</v>
      </c>
      <c r="AH6" s="241" t="s">
        <v>106</v>
      </c>
      <c r="AI6" s="241" t="s">
        <v>171</v>
      </c>
    </row>
    <row r="7" spans="2:35" s="243" customFormat="1" ht="27" customHeight="1">
      <c r="B7" s="593" t="s">
        <v>420</v>
      </c>
      <c r="C7" s="594"/>
      <c r="D7" s="239">
        <v>1</v>
      </c>
      <c r="E7" s="256" t="s">
        <v>415</v>
      </c>
      <c r="F7" s="383">
        <v>12551.764999999999</v>
      </c>
      <c r="G7" s="383">
        <v>1261.0399999999997</v>
      </c>
      <c r="H7" s="383">
        <v>1301.6799999999998</v>
      </c>
      <c r="I7" s="244">
        <f>H7/G7</f>
        <v>1.0322273678868237</v>
      </c>
      <c r="J7" s="383"/>
      <c r="K7" s="244">
        <f>J7/G7</f>
        <v>0</v>
      </c>
      <c r="L7" s="383">
        <v>383.25999999999993</v>
      </c>
      <c r="M7" s="245">
        <f>(H7+J7)/G7</f>
        <v>1.0322273678868237</v>
      </c>
      <c r="N7" s="384">
        <v>15575.686399999995</v>
      </c>
      <c r="O7" s="383">
        <v>32.75</v>
      </c>
      <c r="P7" s="244">
        <f>O7/G7</f>
        <v>2.5970627418638589E-2</v>
      </c>
      <c r="Q7" s="246">
        <f>((H7+J7)-G7)-O7</f>
        <v>7.8900000000001</v>
      </c>
      <c r="R7" s="244">
        <f>Q7/G7</f>
        <v>6.2567404681850708E-3</v>
      </c>
      <c r="S7" s="383">
        <v>3023.9213999999947</v>
      </c>
      <c r="T7" s="252" t="s">
        <v>181</v>
      </c>
      <c r="U7" s="247" t="s">
        <v>99</v>
      </c>
      <c r="V7" s="247" t="s">
        <v>103</v>
      </c>
      <c r="W7" s="248" t="s">
        <v>184</v>
      </c>
      <c r="X7" s="248">
        <v>1</v>
      </c>
      <c r="Y7" s="257" t="s">
        <v>391</v>
      </c>
      <c r="Z7" s="249" t="s">
        <v>177</v>
      </c>
      <c r="AA7" s="250">
        <v>13</v>
      </c>
      <c r="AB7" s="251">
        <f>SUMIF($U$7:$U$26,TRIM(AB6),$X$7:$X$26)</f>
        <v>0</v>
      </c>
      <c r="AC7" s="251">
        <f>SUMIF($U$7:$U$26,TRIM(AC6),$X$7:$X$26)</f>
        <v>0</v>
      </c>
      <c r="AD7" s="251">
        <f t="shared" ref="AD7:AI7" ca="1" si="0">SUMIF($U$7:$U$9710,TRIM(AD6),$X$7:$X$26)</f>
        <v>0</v>
      </c>
      <c r="AE7" s="251">
        <f t="shared" ca="1" si="0"/>
        <v>12</v>
      </c>
      <c r="AF7" s="251">
        <f t="shared" ca="1" si="0"/>
        <v>1</v>
      </c>
      <c r="AG7" s="251">
        <f t="shared" ca="1" si="0"/>
        <v>0</v>
      </c>
      <c r="AH7" s="251">
        <f t="shared" ca="1" si="0"/>
        <v>0</v>
      </c>
      <c r="AI7" s="251">
        <f t="shared" ca="1" si="0"/>
        <v>0</v>
      </c>
    </row>
    <row r="8" spans="2:35" s="243" customFormat="1" ht="27" customHeight="1">
      <c r="B8" s="595"/>
      <c r="C8" s="596"/>
      <c r="D8" s="239">
        <v>2</v>
      </c>
      <c r="E8" s="256" t="s">
        <v>419</v>
      </c>
      <c r="F8" s="383">
        <v>0</v>
      </c>
      <c r="G8" s="383">
        <v>238.648</v>
      </c>
      <c r="H8" s="383">
        <v>241.05600000000001</v>
      </c>
      <c r="I8" s="244">
        <f t="shared" ref="I8:I19" si="1">H8/G8</f>
        <v>1.0100901746505313</v>
      </c>
      <c r="J8" s="383">
        <v>7.33</v>
      </c>
      <c r="K8" s="244">
        <f t="shared" ref="K8:K19" si="2">J8/G8</f>
        <v>3.0714692769266871E-2</v>
      </c>
      <c r="L8" s="383">
        <v>261.93</v>
      </c>
      <c r="M8" s="245">
        <f t="shared" ref="M8:M19" si="3">(H8+J8)/G8</f>
        <v>1.0408048674197983</v>
      </c>
      <c r="N8" s="384">
        <v>2550.67434</v>
      </c>
      <c r="O8" s="383">
        <v>0</v>
      </c>
      <c r="P8" s="244">
        <f t="shared" ref="P8:P19" si="4">O8/G8</f>
        <v>0</v>
      </c>
      <c r="Q8" s="246">
        <f t="shared" ref="Q8:Q19" si="5">((H8+J8)-G8)-O8</f>
        <v>9.738000000000028</v>
      </c>
      <c r="R8" s="244">
        <f t="shared" ref="R8:R19" si="6">Q8/G8</f>
        <v>4.0804867419798316E-2</v>
      </c>
      <c r="S8" s="383">
        <v>2550.67434</v>
      </c>
      <c r="T8" s="252" t="s">
        <v>181</v>
      </c>
      <c r="U8" s="247" t="s">
        <v>99</v>
      </c>
      <c r="V8" s="247" t="s">
        <v>103</v>
      </c>
      <c r="W8" s="248" t="s">
        <v>184</v>
      </c>
      <c r="X8" s="248">
        <v>1</v>
      </c>
      <c r="Y8" s="257" t="s">
        <v>409</v>
      </c>
      <c r="AA8" s="250"/>
      <c r="AB8" s="253">
        <f>SUMIF($U$7:$U$26,TRIM(AB6),$S$7:$S$26)</f>
        <v>0</v>
      </c>
      <c r="AC8" s="253">
        <f t="shared" ref="AC8:AI8" si="7">SUMIF($U$7:$U$26,TRIM(AC6),$S$7:$S$26)</f>
        <v>0</v>
      </c>
      <c r="AD8" s="253">
        <f t="shared" si="7"/>
        <v>0</v>
      </c>
      <c r="AE8" s="253">
        <f t="shared" si="7"/>
        <v>11190.264500000005</v>
      </c>
      <c r="AF8" s="253">
        <f t="shared" si="7"/>
        <v>2258.54342</v>
      </c>
      <c r="AG8" s="253">
        <f t="shared" si="7"/>
        <v>0</v>
      </c>
      <c r="AH8" s="253">
        <f t="shared" si="7"/>
        <v>0</v>
      </c>
      <c r="AI8" s="253">
        <f t="shared" si="7"/>
        <v>0</v>
      </c>
    </row>
    <row r="9" spans="2:35" s="243" customFormat="1" ht="25.5" customHeight="1">
      <c r="B9" s="595"/>
      <c r="C9" s="596"/>
      <c r="D9" s="239">
        <v>3</v>
      </c>
      <c r="E9" s="256" t="s">
        <v>418</v>
      </c>
      <c r="F9" s="383">
        <v>0</v>
      </c>
      <c r="G9" s="383">
        <v>147.17699999999999</v>
      </c>
      <c r="H9" s="383">
        <v>174.99499999999998</v>
      </c>
      <c r="I9" s="244">
        <f t="shared" si="1"/>
        <v>1.1890105111532372</v>
      </c>
      <c r="J9" s="383"/>
      <c r="K9" s="244">
        <f t="shared" si="2"/>
        <v>0</v>
      </c>
      <c r="L9" s="383">
        <v>81.189999999999984</v>
      </c>
      <c r="M9" s="245">
        <f t="shared" si="3"/>
        <v>1.1890105111532372</v>
      </c>
      <c r="N9" s="384">
        <v>2258.54342</v>
      </c>
      <c r="O9" s="383">
        <v>0</v>
      </c>
      <c r="P9" s="244">
        <f t="shared" si="4"/>
        <v>0</v>
      </c>
      <c r="Q9" s="246">
        <f t="shared" si="5"/>
        <v>27.817999999999984</v>
      </c>
      <c r="R9" s="244">
        <f t="shared" si="6"/>
        <v>0.18901051115323717</v>
      </c>
      <c r="S9" s="383">
        <v>2258.54342</v>
      </c>
      <c r="T9" s="252" t="s">
        <v>183</v>
      </c>
      <c r="U9" s="247" t="s">
        <v>104</v>
      </c>
      <c r="V9" s="247" t="s">
        <v>197</v>
      </c>
      <c r="W9" s="248"/>
      <c r="X9" s="248">
        <v>1</v>
      </c>
      <c r="Y9" s="257" t="s">
        <v>416</v>
      </c>
      <c r="AB9" s="366">
        <f t="shared" ref="AB9:AI9" si="8">AB7/$AA$7</f>
        <v>0</v>
      </c>
      <c r="AC9" s="366">
        <f t="shared" si="8"/>
        <v>0</v>
      </c>
      <c r="AD9" s="366">
        <f t="shared" ca="1" si="8"/>
        <v>0</v>
      </c>
      <c r="AE9" s="366">
        <f t="shared" ca="1" si="8"/>
        <v>0.92307692307692313</v>
      </c>
      <c r="AF9" s="366">
        <f t="shared" ca="1" si="8"/>
        <v>7.6923076923076927E-2</v>
      </c>
      <c r="AG9" s="366">
        <f t="shared" ca="1" si="8"/>
        <v>0</v>
      </c>
      <c r="AH9" s="366">
        <f ca="1">AH7/$AA$7</f>
        <v>0</v>
      </c>
      <c r="AI9" s="366">
        <f t="shared" ca="1" si="8"/>
        <v>0</v>
      </c>
    </row>
    <row r="10" spans="2:35" s="243" customFormat="1" ht="27" customHeight="1">
      <c r="B10" s="595"/>
      <c r="C10" s="596"/>
      <c r="D10" s="239">
        <v>4</v>
      </c>
      <c r="E10" s="256" t="s">
        <v>133</v>
      </c>
      <c r="F10" s="383">
        <v>409.59000000000003</v>
      </c>
      <c r="G10" s="383">
        <v>3562.2400000000002</v>
      </c>
      <c r="H10" s="383">
        <v>3562.2400000000002</v>
      </c>
      <c r="I10" s="244">
        <f>H10/G10</f>
        <v>1</v>
      </c>
      <c r="J10" s="383">
        <v>44.78</v>
      </c>
      <c r="K10" s="244">
        <f t="shared" si="2"/>
        <v>1.2570742005030541E-2</v>
      </c>
      <c r="L10" s="383">
        <v>39.96</v>
      </c>
      <c r="M10" s="245">
        <f t="shared" si="3"/>
        <v>1.0125707420050305</v>
      </c>
      <c r="N10" s="384">
        <v>1789.408799999999</v>
      </c>
      <c r="O10" s="383">
        <v>10.25</v>
      </c>
      <c r="P10" s="244">
        <f t="shared" si="4"/>
        <v>2.8774029823931007E-3</v>
      </c>
      <c r="Q10" s="246">
        <f t="shared" si="5"/>
        <v>34.5300000000002</v>
      </c>
      <c r="R10" s="244">
        <f t="shared" si="6"/>
        <v>9.6933390226374965E-3</v>
      </c>
      <c r="S10" s="383">
        <v>1379.8187999999989</v>
      </c>
      <c r="T10" s="252" t="s">
        <v>181</v>
      </c>
      <c r="U10" s="247" t="s">
        <v>99</v>
      </c>
      <c r="V10" s="247" t="s">
        <v>103</v>
      </c>
      <c r="W10" s="248" t="s">
        <v>184</v>
      </c>
      <c r="X10" s="248">
        <v>1</v>
      </c>
      <c r="Y10" s="257" t="s">
        <v>126</v>
      </c>
    </row>
    <row r="11" spans="2:35" s="243" customFormat="1" ht="27" customHeight="1">
      <c r="B11" s="595"/>
      <c r="C11" s="596"/>
      <c r="D11" s="239">
        <v>5</v>
      </c>
      <c r="E11" s="256" t="s">
        <v>124</v>
      </c>
      <c r="F11" s="383">
        <v>1640.3860000000002</v>
      </c>
      <c r="G11" s="383">
        <v>5369.5800000000008</v>
      </c>
      <c r="H11" s="383">
        <v>5369.5800000000008</v>
      </c>
      <c r="I11" s="244">
        <f t="shared" si="1"/>
        <v>1</v>
      </c>
      <c r="J11" s="383">
        <v>73.650000000000006</v>
      </c>
      <c r="K11" s="244">
        <f t="shared" si="2"/>
        <v>1.3716156570904987E-2</v>
      </c>
      <c r="L11" s="383">
        <v>38.06</v>
      </c>
      <c r="M11" s="245">
        <f t="shared" si="3"/>
        <v>1.013716156570905</v>
      </c>
      <c r="N11" s="384">
        <v>2803.1189999999992</v>
      </c>
      <c r="O11" s="383">
        <v>43.1</v>
      </c>
      <c r="P11" s="244">
        <f t="shared" si="4"/>
        <v>8.0266985499796994E-3</v>
      </c>
      <c r="Q11" s="246">
        <f t="shared" si="5"/>
        <v>30.549999999999635</v>
      </c>
      <c r="R11" s="244">
        <f t="shared" si="6"/>
        <v>5.6894580209252178E-3</v>
      </c>
      <c r="S11" s="383">
        <v>1162.732999999999</v>
      </c>
      <c r="T11" s="252" t="s">
        <v>181</v>
      </c>
      <c r="U11" s="247" t="s">
        <v>99</v>
      </c>
      <c r="V11" s="247" t="s">
        <v>103</v>
      </c>
      <c r="W11" s="248" t="s">
        <v>196</v>
      </c>
      <c r="X11" s="248">
        <v>1</v>
      </c>
      <c r="Y11" s="257" t="s">
        <v>89</v>
      </c>
    </row>
    <row r="12" spans="2:35" s="243" customFormat="1" ht="27" customHeight="1">
      <c r="B12" s="595"/>
      <c r="C12" s="596"/>
      <c r="D12" s="239">
        <v>6</v>
      </c>
      <c r="E12" s="256" t="s">
        <v>414</v>
      </c>
      <c r="F12" s="383">
        <v>3205.9614999999999</v>
      </c>
      <c r="G12" s="383">
        <v>1226.07</v>
      </c>
      <c r="H12" s="383">
        <v>1265.5</v>
      </c>
      <c r="I12" s="244">
        <f t="shared" si="1"/>
        <v>1.0321596646194753</v>
      </c>
      <c r="J12" s="383"/>
      <c r="K12" s="244">
        <f t="shared" si="2"/>
        <v>0</v>
      </c>
      <c r="L12" s="383">
        <v>100.02999999999999</v>
      </c>
      <c r="M12" s="245">
        <f t="shared" si="3"/>
        <v>1.0321596646194753</v>
      </c>
      <c r="N12" s="384">
        <v>3944.1828999999998</v>
      </c>
      <c r="O12" s="383">
        <v>32.050000000000004</v>
      </c>
      <c r="P12" s="244">
        <f t="shared" si="4"/>
        <v>2.6140432438604651E-2</v>
      </c>
      <c r="Q12" s="246">
        <f t="shared" si="5"/>
        <v>7.3800000000000594</v>
      </c>
      <c r="R12" s="244">
        <f t="shared" si="6"/>
        <v>6.0192321808706355E-3</v>
      </c>
      <c r="S12" s="383">
        <v>738.22140000000059</v>
      </c>
      <c r="T12" s="247" t="s">
        <v>181</v>
      </c>
      <c r="U12" s="247" t="s">
        <v>99</v>
      </c>
      <c r="V12" s="247" t="s">
        <v>103</v>
      </c>
      <c r="W12" s="248" t="s">
        <v>196</v>
      </c>
      <c r="X12" s="248">
        <v>1</v>
      </c>
      <c r="Y12" s="257" t="s">
        <v>413</v>
      </c>
    </row>
    <row r="13" spans="2:35" s="243" customFormat="1" ht="27" customHeight="1">
      <c r="B13" s="595"/>
      <c r="C13" s="596"/>
      <c r="D13" s="239">
        <v>7</v>
      </c>
      <c r="E13" s="256" t="s">
        <v>402</v>
      </c>
      <c r="F13" s="383">
        <v>0</v>
      </c>
      <c r="G13" s="383">
        <v>55.932000000000002</v>
      </c>
      <c r="H13" s="383">
        <v>59.432000000000002</v>
      </c>
      <c r="I13" s="244">
        <f t="shared" si="1"/>
        <v>1.0625759851247945</v>
      </c>
      <c r="J13" s="383"/>
      <c r="K13" s="244">
        <f t="shared" si="2"/>
        <v>0</v>
      </c>
      <c r="L13" s="383">
        <v>168</v>
      </c>
      <c r="M13" s="245">
        <f t="shared" si="3"/>
        <v>1.0625759851247945</v>
      </c>
      <c r="N13" s="384">
        <v>588</v>
      </c>
      <c r="O13" s="383">
        <v>0</v>
      </c>
      <c r="P13" s="244">
        <f t="shared" si="4"/>
        <v>0</v>
      </c>
      <c r="Q13" s="246">
        <f t="shared" si="5"/>
        <v>3.5</v>
      </c>
      <c r="R13" s="244">
        <f t="shared" si="6"/>
        <v>6.2575985124794398E-2</v>
      </c>
      <c r="S13" s="383">
        <v>588</v>
      </c>
      <c r="T13" s="252" t="s">
        <v>181</v>
      </c>
      <c r="U13" s="247" t="s">
        <v>99</v>
      </c>
      <c r="V13" s="247" t="s">
        <v>103</v>
      </c>
      <c r="W13" s="248" t="s">
        <v>198</v>
      </c>
      <c r="X13" s="248">
        <v>1</v>
      </c>
      <c r="Y13" s="258" t="s">
        <v>83</v>
      </c>
      <c r="AB13" s="243">
        <v>1</v>
      </c>
      <c r="AC13" s="259" t="s">
        <v>96</v>
      </c>
    </row>
    <row r="14" spans="2:35" s="243" customFormat="1" ht="27" customHeight="1">
      <c r="B14" s="595"/>
      <c r="C14" s="596"/>
      <c r="D14" s="239">
        <v>8</v>
      </c>
      <c r="E14" s="343" t="s">
        <v>179</v>
      </c>
      <c r="F14" s="383">
        <v>4345.4354999999996</v>
      </c>
      <c r="G14" s="383">
        <v>3788.5370000000003</v>
      </c>
      <c r="H14" s="383">
        <v>3829.4639999999999</v>
      </c>
      <c r="I14" s="244">
        <f t="shared" si="1"/>
        <v>1.0108028508102203</v>
      </c>
      <c r="J14" s="383"/>
      <c r="K14" s="244">
        <f>J14/G14</f>
        <v>0</v>
      </c>
      <c r="L14" s="383">
        <v>116.97000000000001</v>
      </c>
      <c r="M14" s="245">
        <f>(H14+J14)/G14</f>
        <v>1.0108028508102203</v>
      </c>
      <c r="N14" s="384">
        <v>4787.2311900000022</v>
      </c>
      <c r="O14" s="383">
        <v>37.15</v>
      </c>
      <c r="P14" s="244">
        <f t="shared" si="4"/>
        <v>9.8058960490553463E-3</v>
      </c>
      <c r="Q14" s="246">
        <f t="shared" si="5"/>
        <v>3.7769999999996813</v>
      </c>
      <c r="R14" s="244">
        <f t="shared" si="6"/>
        <v>9.969547611649776E-4</v>
      </c>
      <c r="S14" s="383">
        <v>441.79569000000259</v>
      </c>
      <c r="T14" s="252" t="s">
        <v>181</v>
      </c>
      <c r="U14" s="247" t="s">
        <v>99</v>
      </c>
      <c r="V14" s="247" t="s">
        <v>103</v>
      </c>
      <c r="W14" s="248" t="s">
        <v>199</v>
      </c>
      <c r="X14" s="248">
        <v>1</v>
      </c>
      <c r="Y14" s="344" t="s">
        <v>89</v>
      </c>
      <c r="AB14" s="243">
        <v>2</v>
      </c>
      <c r="AC14" s="259" t="s">
        <v>178</v>
      </c>
    </row>
    <row r="15" spans="2:35" s="243" customFormat="1" ht="27" customHeight="1">
      <c r="B15" s="595"/>
      <c r="C15" s="596"/>
      <c r="D15" s="239">
        <v>9</v>
      </c>
      <c r="E15" s="256" t="s">
        <v>189</v>
      </c>
      <c r="F15" s="383">
        <v>291.73999999999995</v>
      </c>
      <c r="G15" s="383">
        <v>114.96799999999999</v>
      </c>
      <c r="H15" s="383">
        <v>118.34899999999999</v>
      </c>
      <c r="I15" s="244">
        <f t="shared" si="1"/>
        <v>1.0294081831466146</v>
      </c>
      <c r="J15" s="383"/>
      <c r="K15" s="244">
        <f t="shared" si="2"/>
        <v>0</v>
      </c>
      <c r="L15" s="383">
        <v>201.20000000000002</v>
      </c>
      <c r="M15" s="245">
        <f t="shared" si="3"/>
        <v>1.0294081831466146</v>
      </c>
      <c r="N15" s="384">
        <v>680.25720000000001</v>
      </c>
      <c r="O15" s="383">
        <v>1.45</v>
      </c>
      <c r="P15" s="244">
        <f t="shared" si="4"/>
        <v>1.261220513534201E-2</v>
      </c>
      <c r="Q15" s="246">
        <f t="shared" si="5"/>
        <v>1.9310000000000003</v>
      </c>
      <c r="R15" s="244">
        <f t="shared" si="6"/>
        <v>1.6795978011272705E-2</v>
      </c>
      <c r="S15" s="383">
        <v>388.5172</v>
      </c>
      <c r="T15" s="252" t="s">
        <v>181</v>
      </c>
      <c r="U15" s="247" t="s">
        <v>99</v>
      </c>
      <c r="V15" s="247" t="s">
        <v>103</v>
      </c>
      <c r="W15" s="248" t="s">
        <v>200</v>
      </c>
      <c r="X15" s="248">
        <v>1</v>
      </c>
      <c r="Y15" s="257" t="s">
        <v>190</v>
      </c>
      <c r="AB15" s="243">
        <v>3</v>
      </c>
      <c r="AC15" s="259" t="s">
        <v>98</v>
      </c>
    </row>
    <row r="16" spans="2:35" s="243" customFormat="1" ht="27" customHeight="1">
      <c r="B16" s="595"/>
      <c r="C16" s="596"/>
      <c r="D16" s="239">
        <v>10</v>
      </c>
      <c r="E16" s="256" t="s">
        <v>128</v>
      </c>
      <c r="F16" s="383">
        <v>335.31699999999995</v>
      </c>
      <c r="G16" s="383">
        <v>250.74600000000001</v>
      </c>
      <c r="H16" s="383">
        <v>250.74600000000001</v>
      </c>
      <c r="I16" s="244">
        <f t="shared" si="1"/>
        <v>1</v>
      </c>
      <c r="J16" s="383">
        <v>10.79</v>
      </c>
      <c r="K16" s="244">
        <f t="shared" si="2"/>
        <v>4.3031593724326606E-2</v>
      </c>
      <c r="L16" s="383">
        <v>54.970000000000013</v>
      </c>
      <c r="M16" s="245">
        <f t="shared" si="3"/>
        <v>1.0430315937243266</v>
      </c>
      <c r="N16" s="384">
        <v>593.1262999999999</v>
      </c>
      <c r="O16" s="383">
        <v>6.1</v>
      </c>
      <c r="P16" s="244">
        <f t="shared" si="4"/>
        <v>2.4327407017459897E-2</v>
      </c>
      <c r="Q16" s="246">
        <f t="shared" si="5"/>
        <v>4.6899999999999924</v>
      </c>
      <c r="R16" s="244">
        <f t="shared" si="6"/>
        <v>1.8704186706866677E-2</v>
      </c>
      <c r="S16" s="383">
        <v>257.80929999999995</v>
      </c>
      <c r="T16" s="252" t="s">
        <v>181</v>
      </c>
      <c r="U16" s="247" t="s">
        <v>99</v>
      </c>
      <c r="V16" s="247" t="s">
        <v>103</v>
      </c>
      <c r="W16" s="248" t="s">
        <v>201</v>
      </c>
      <c r="X16" s="248">
        <v>1</v>
      </c>
      <c r="Y16" s="257" t="s">
        <v>63</v>
      </c>
      <c r="AB16" s="243">
        <v>4</v>
      </c>
      <c r="AC16" s="259" t="s">
        <v>186</v>
      </c>
    </row>
    <row r="17" spans="2:29" s="243" customFormat="1" ht="27" customHeight="1">
      <c r="B17" s="595"/>
      <c r="C17" s="596"/>
      <c r="D17" s="239">
        <v>11</v>
      </c>
      <c r="E17" s="256" t="s">
        <v>123</v>
      </c>
      <c r="F17" s="383">
        <v>673.87700000000007</v>
      </c>
      <c r="G17" s="383">
        <v>629.23500000000013</v>
      </c>
      <c r="H17" s="383">
        <v>634.94000000000005</v>
      </c>
      <c r="I17" s="244">
        <f t="shared" si="1"/>
        <v>1.009066564955859</v>
      </c>
      <c r="J17" s="383"/>
      <c r="K17" s="244">
        <f t="shared" si="2"/>
        <v>0</v>
      </c>
      <c r="L17" s="383">
        <v>162.37999999999997</v>
      </c>
      <c r="M17" s="245">
        <f t="shared" si="3"/>
        <v>1.009066564955859</v>
      </c>
      <c r="N17" s="384">
        <v>926.37789999999973</v>
      </c>
      <c r="O17" s="383">
        <v>4.1500000000000004</v>
      </c>
      <c r="P17" s="244">
        <f t="shared" si="4"/>
        <v>6.595310178232297E-3</v>
      </c>
      <c r="Q17" s="246">
        <f t="shared" si="5"/>
        <v>1.5549999999999269</v>
      </c>
      <c r="R17" s="244">
        <f t="shared" si="6"/>
        <v>2.471254777626684E-3</v>
      </c>
      <c r="S17" s="383">
        <v>252.50089999999966</v>
      </c>
      <c r="T17" s="252" t="s">
        <v>181</v>
      </c>
      <c r="U17" s="247" t="s">
        <v>99</v>
      </c>
      <c r="V17" s="247" t="s">
        <v>103</v>
      </c>
      <c r="W17" s="248" t="s">
        <v>201</v>
      </c>
      <c r="X17" s="248">
        <v>1</v>
      </c>
      <c r="Y17" s="257" t="s">
        <v>83</v>
      </c>
      <c r="AB17" s="243">
        <v>5</v>
      </c>
      <c r="AC17" s="259" t="s">
        <v>104</v>
      </c>
    </row>
    <row r="18" spans="2:29" s="243" customFormat="1" ht="27" customHeight="1">
      <c r="B18" s="595"/>
      <c r="C18" s="596"/>
      <c r="D18" s="239">
        <v>12</v>
      </c>
      <c r="E18" s="256" t="s">
        <v>192</v>
      </c>
      <c r="F18" s="383">
        <v>129.81650000000002</v>
      </c>
      <c r="G18" s="383">
        <v>49.272000000000006</v>
      </c>
      <c r="H18" s="383">
        <v>50.771000000000001</v>
      </c>
      <c r="I18" s="244">
        <f t="shared" si="1"/>
        <v>1.0304229582724467</v>
      </c>
      <c r="J18" s="383"/>
      <c r="K18" s="244">
        <f t="shared" si="2"/>
        <v>0</v>
      </c>
      <c r="L18" s="383">
        <v>236.03</v>
      </c>
      <c r="M18" s="245">
        <f t="shared" si="3"/>
        <v>1.0304229582724467</v>
      </c>
      <c r="N18" s="384">
        <v>353.80897000000033</v>
      </c>
      <c r="O18" s="383">
        <v>0.55000000000000004</v>
      </c>
      <c r="P18" s="244">
        <f t="shared" si="4"/>
        <v>1.1162526384153271E-2</v>
      </c>
      <c r="Q18" s="246">
        <f t="shared" si="5"/>
        <v>0.94899999999999518</v>
      </c>
      <c r="R18" s="244">
        <f t="shared" si="6"/>
        <v>1.9260431888293454E-2</v>
      </c>
      <c r="S18" s="383">
        <v>223.99247000000034</v>
      </c>
      <c r="T18" s="252" t="s">
        <v>181</v>
      </c>
      <c r="U18" s="247" t="s">
        <v>99</v>
      </c>
      <c r="V18" s="247" t="s">
        <v>103</v>
      </c>
      <c r="W18" s="248" t="s">
        <v>201</v>
      </c>
      <c r="X18" s="248">
        <v>1</v>
      </c>
      <c r="Y18" s="257" t="s">
        <v>190</v>
      </c>
      <c r="AB18" s="243">
        <v>6</v>
      </c>
      <c r="AC18" s="259" t="s">
        <v>105</v>
      </c>
    </row>
    <row r="19" spans="2:29" s="243" customFormat="1" ht="27" customHeight="1">
      <c r="B19" s="595"/>
      <c r="C19" s="596"/>
      <c r="D19" s="239">
        <v>13</v>
      </c>
      <c r="E19" s="256" t="s">
        <v>172</v>
      </c>
      <c r="F19" s="383">
        <v>18698.399999999998</v>
      </c>
      <c r="G19" s="383">
        <v>3152.6000000000004</v>
      </c>
      <c r="H19" s="383">
        <v>3313.1500000000005</v>
      </c>
      <c r="I19" s="244">
        <f t="shared" si="1"/>
        <v>1.0509262196282434</v>
      </c>
      <c r="J19" s="383"/>
      <c r="K19" s="244">
        <f t="shared" si="2"/>
        <v>0</v>
      </c>
      <c r="L19" s="383">
        <v>117.60000000000001</v>
      </c>
      <c r="M19" s="245">
        <f t="shared" si="3"/>
        <v>1.0509262196282434</v>
      </c>
      <c r="N19" s="384">
        <v>18880.680000000004</v>
      </c>
      <c r="O19" s="383">
        <v>159</v>
      </c>
      <c r="P19" s="244">
        <f t="shared" si="4"/>
        <v>5.0434561948867598E-2</v>
      </c>
      <c r="Q19" s="246">
        <f t="shared" si="5"/>
        <v>1.5500000000001819</v>
      </c>
      <c r="R19" s="244">
        <f t="shared" si="6"/>
        <v>4.9165767937581098E-4</v>
      </c>
      <c r="S19" s="383">
        <v>182.28000000000532</v>
      </c>
      <c r="T19" s="252" t="s">
        <v>181</v>
      </c>
      <c r="U19" s="247" t="s">
        <v>99</v>
      </c>
      <c r="V19" s="247" t="s">
        <v>103</v>
      </c>
      <c r="W19" s="248" t="s">
        <v>201</v>
      </c>
      <c r="X19" s="248">
        <v>1</v>
      </c>
      <c r="Y19" s="257" t="s">
        <v>176</v>
      </c>
      <c r="AB19" s="243">
        <v>7</v>
      </c>
      <c r="AC19" s="259" t="s">
        <v>106</v>
      </c>
    </row>
    <row r="20" spans="2:29" s="243" customFormat="1" ht="27" customHeight="1">
      <c r="B20" s="595"/>
      <c r="C20" s="596"/>
      <c r="D20" s="239">
        <v>14</v>
      </c>
      <c r="E20" s="256"/>
      <c r="F20" s="383"/>
      <c r="G20" s="383"/>
      <c r="H20" s="383"/>
      <c r="I20" s="244"/>
      <c r="J20" s="383"/>
      <c r="K20" s="244"/>
      <c r="L20" s="383"/>
      <c r="M20" s="245"/>
      <c r="N20" s="384"/>
      <c r="O20" s="383"/>
      <c r="P20" s="244"/>
      <c r="Q20" s="246"/>
      <c r="R20" s="244"/>
      <c r="S20" s="383"/>
      <c r="T20" s="252"/>
      <c r="U20" s="247"/>
      <c r="V20" s="247"/>
      <c r="W20" s="248"/>
      <c r="X20" s="248"/>
      <c r="Y20" s="257"/>
      <c r="AB20" s="243">
        <v>8</v>
      </c>
      <c r="AC20" s="260" t="s">
        <v>191</v>
      </c>
    </row>
    <row r="21" spans="2:29" s="243" customFormat="1" ht="27" customHeight="1">
      <c r="B21" s="595"/>
      <c r="C21" s="596"/>
      <c r="D21" s="239">
        <v>15</v>
      </c>
      <c r="E21" s="256"/>
      <c r="F21" s="383"/>
      <c r="G21" s="383"/>
      <c r="H21" s="383"/>
      <c r="I21" s="244"/>
      <c r="J21" s="383"/>
      <c r="K21" s="244"/>
      <c r="L21" s="383"/>
      <c r="M21" s="245"/>
      <c r="N21" s="384"/>
      <c r="O21" s="383"/>
      <c r="P21" s="244"/>
      <c r="Q21" s="246"/>
      <c r="R21" s="244"/>
      <c r="S21" s="383"/>
      <c r="T21" s="252"/>
      <c r="U21" s="247"/>
      <c r="V21" s="247"/>
      <c r="W21" s="248"/>
      <c r="X21" s="248"/>
      <c r="Y21" s="257"/>
      <c r="AC21" s="259"/>
    </row>
    <row r="22" spans="2:29" s="243" customFormat="1" ht="27" customHeight="1">
      <c r="B22" s="595"/>
      <c r="C22" s="596"/>
      <c r="D22" s="239">
        <v>16</v>
      </c>
      <c r="E22" s="256"/>
      <c r="F22" s="383"/>
      <c r="G22" s="383"/>
      <c r="H22" s="383"/>
      <c r="I22" s="244"/>
      <c r="J22" s="383"/>
      <c r="K22" s="244"/>
      <c r="L22" s="383"/>
      <c r="M22" s="245"/>
      <c r="N22" s="384"/>
      <c r="O22" s="383"/>
      <c r="P22" s="244"/>
      <c r="Q22" s="246"/>
      <c r="R22" s="244"/>
      <c r="S22" s="383"/>
      <c r="T22" s="239"/>
      <c r="U22" s="247"/>
      <c r="V22" s="248"/>
      <c r="W22" s="248"/>
      <c r="X22" s="248"/>
      <c r="Y22" s="257"/>
      <c r="AC22" s="259"/>
    </row>
    <row r="23" spans="2:29" s="243" customFormat="1" ht="27" customHeight="1">
      <c r="B23" s="595"/>
      <c r="C23" s="596"/>
      <c r="D23" s="239">
        <v>17</v>
      </c>
      <c r="E23" s="256"/>
      <c r="F23" s="383"/>
      <c r="G23" s="383"/>
      <c r="H23" s="383"/>
      <c r="I23" s="244"/>
      <c r="J23" s="383"/>
      <c r="K23" s="244"/>
      <c r="L23" s="383"/>
      <c r="M23" s="245"/>
      <c r="N23" s="384"/>
      <c r="O23" s="383"/>
      <c r="P23" s="244"/>
      <c r="Q23" s="246"/>
      <c r="R23" s="244"/>
      <c r="S23" s="383"/>
      <c r="T23" s="239"/>
      <c r="U23" s="247"/>
      <c r="V23" s="248"/>
      <c r="W23" s="248"/>
      <c r="X23" s="248"/>
      <c r="Y23" s="257"/>
      <c r="AB23" s="254">
        <v>1</v>
      </c>
      <c r="AC23" s="259" t="s">
        <v>180</v>
      </c>
    </row>
    <row r="24" spans="2:29" s="243" customFormat="1" ht="27" customHeight="1">
      <c r="B24" s="595"/>
      <c r="C24" s="596"/>
      <c r="D24" s="239">
        <v>18</v>
      </c>
      <c r="E24" s="256"/>
      <c r="F24" s="383"/>
      <c r="G24" s="383"/>
      <c r="H24" s="383"/>
      <c r="I24" s="244"/>
      <c r="J24" s="383"/>
      <c r="K24" s="244"/>
      <c r="L24" s="383"/>
      <c r="M24" s="245"/>
      <c r="N24" s="384"/>
      <c r="O24" s="383"/>
      <c r="P24" s="244"/>
      <c r="Q24" s="246"/>
      <c r="R24" s="244"/>
      <c r="S24" s="383"/>
      <c r="T24" s="247"/>
      <c r="U24" s="247"/>
      <c r="V24" s="248"/>
      <c r="W24" s="248"/>
      <c r="X24" s="248"/>
      <c r="Y24" s="257"/>
      <c r="AB24" s="243">
        <v>2</v>
      </c>
      <c r="AC24" s="259" t="s">
        <v>181</v>
      </c>
    </row>
    <row r="25" spans="2:29" s="243" customFormat="1" ht="27" customHeight="1">
      <c r="B25" s="595"/>
      <c r="C25" s="596"/>
      <c r="D25" s="239">
        <v>19</v>
      </c>
      <c r="E25" s="256"/>
      <c r="F25" s="383"/>
      <c r="G25" s="383"/>
      <c r="H25" s="383"/>
      <c r="I25" s="244"/>
      <c r="J25" s="383"/>
      <c r="K25" s="244"/>
      <c r="L25" s="383"/>
      <c r="M25" s="245"/>
      <c r="N25" s="384"/>
      <c r="O25" s="383"/>
      <c r="P25" s="244"/>
      <c r="Q25" s="246"/>
      <c r="R25" s="244"/>
      <c r="S25" s="383"/>
      <c r="T25" s="247"/>
      <c r="U25" s="247"/>
      <c r="V25" s="248"/>
      <c r="W25" s="248"/>
      <c r="X25" s="248"/>
      <c r="Y25" s="257"/>
      <c r="AB25" s="255">
        <v>3</v>
      </c>
      <c r="AC25" s="259" t="s">
        <v>193</v>
      </c>
    </row>
    <row r="26" spans="2:29" s="243" customFormat="1" ht="27" customHeight="1">
      <c r="B26" s="597"/>
      <c r="C26" s="598"/>
      <c r="D26" s="239">
        <v>20</v>
      </c>
      <c r="E26" s="256"/>
      <c r="F26" s="383"/>
      <c r="G26" s="383"/>
      <c r="H26" s="383"/>
      <c r="I26" s="244"/>
      <c r="J26" s="383"/>
      <c r="K26" s="244"/>
      <c r="L26" s="383"/>
      <c r="M26" s="245"/>
      <c r="N26" s="384"/>
      <c r="O26" s="383"/>
      <c r="P26" s="244"/>
      <c r="Q26" s="246"/>
      <c r="R26" s="244"/>
      <c r="S26" s="383"/>
      <c r="T26" s="247"/>
      <c r="U26" s="247"/>
      <c r="V26" s="248"/>
      <c r="W26" s="248"/>
      <c r="X26" s="248"/>
      <c r="Y26" s="257"/>
      <c r="AB26" s="255">
        <v>4</v>
      </c>
      <c r="AC26" s="259" t="s">
        <v>173</v>
      </c>
    </row>
    <row r="27" spans="2:29" ht="29.45" customHeight="1">
      <c r="C27" s="592"/>
      <c r="AB27" s="243">
        <v>5</v>
      </c>
      <c r="AC27" s="259" t="s">
        <v>183</v>
      </c>
    </row>
    <row r="28" spans="2:29">
      <c r="C28" s="592"/>
    </row>
    <row r="29" spans="2:29">
      <c r="C29" s="592"/>
    </row>
    <row r="30" spans="2:29">
      <c r="C30" s="592"/>
    </row>
    <row r="31" spans="2:29">
      <c r="C31" s="592"/>
    </row>
    <row r="32" spans="2:29">
      <c r="C32" s="592"/>
    </row>
    <row r="33" spans="3:3">
      <c r="C33" s="592"/>
    </row>
    <row r="34" spans="3:3">
      <c r="C34" s="592"/>
    </row>
    <row r="35" spans="3:3">
      <c r="C35" s="592"/>
    </row>
    <row r="36" spans="3:3">
      <c r="C36" s="592"/>
    </row>
    <row r="67" ht="14.1" customHeight="1"/>
    <row r="77" ht="14.1" customHeight="1"/>
    <row r="87" ht="14.1" customHeight="1"/>
    <row r="112" spans="26:26">
      <c r="Z112" s="172" t="s">
        <v>167</v>
      </c>
    </row>
    <row r="113" spans="26:26">
      <c r="Z113" s="243" t="s">
        <v>100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K23" sqref="K23"/>
    </sheetView>
  </sheetViews>
  <sheetFormatPr defaultColWidth="8.28515625" defaultRowHeight="15"/>
  <cols>
    <col min="1" max="1" width="18.42578125" style="262" customWidth="1"/>
    <col min="2" max="2" width="18.85546875" style="262" bestFit="1" customWidth="1"/>
    <col min="3" max="4" width="14.28515625" style="262" customWidth="1"/>
    <col min="5" max="5" width="17.140625" style="262" bestFit="1" customWidth="1"/>
    <col min="6" max="6" width="14.28515625" style="262" customWidth="1"/>
    <col min="7" max="10" width="18.42578125" style="262" customWidth="1"/>
    <col min="11" max="11" width="17.140625" style="262" bestFit="1" customWidth="1"/>
    <col min="12" max="12" width="16" style="262" customWidth="1"/>
    <col min="13" max="13" width="18.28515625" style="262" bestFit="1" customWidth="1"/>
    <col min="14" max="15" width="12.7109375" style="262" bestFit="1" customWidth="1"/>
    <col min="16" max="17" width="8.28515625" style="262" customWidth="1"/>
    <col min="18" max="16384" width="8.28515625" style="262"/>
  </cols>
  <sheetData>
    <row r="1" spans="1:18" ht="25.5" customHeight="1">
      <c r="A1" s="626" t="s">
        <v>202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8" ht="16.5" customHeight="1">
      <c r="A2" s="627" t="s">
        <v>3</v>
      </c>
      <c r="B2" s="627" t="s">
        <v>31</v>
      </c>
      <c r="C2" s="627" t="s">
        <v>203</v>
      </c>
      <c r="D2" s="627" t="s">
        <v>204</v>
      </c>
      <c r="E2" s="627" t="s">
        <v>205</v>
      </c>
      <c r="F2" s="627" t="s">
        <v>130</v>
      </c>
      <c r="G2" s="627" t="s">
        <v>206</v>
      </c>
      <c r="H2" s="627"/>
      <c r="I2" s="627" t="s">
        <v>207</v>
      </c>
      <c r="J2" s="627"/>
      <c r="K2" s="627" t="s">
        <v>208</v>
      </c>
      <c r="L2" s="627"/>
      <c r="M2" s="629" t="s">
        <v>11</v>
      </c>
      <c r="N2" s="630"/>
      <c r="O2" s="631"/>
    </row>
    <row r="3" spans="1:18" ht="37.5" customHeight="1">
      <c r="A3" s="628"/>
      <c r="B3" s="628"/>
      <c r="C3" s="628"/>
      <c r="D3" s="628"/>
      <c r="E3" s="628"/>
      <c r="F3" s="628"/>
      <c r="G3" s="334" t="s">
        <v>209</v>
      </c>
      <c r="H3" s="334" t="s">
        <v>210</v>
      </c>
      <c r="I3" s="334" t="s">
        <v>209</v>
      </c>
      <c r="J3" s="334" t="s">
        <v>210</v>
      </c>
      <c r="K3" s="334" t="s">
        <v>209</v>
      </c>
      <c r="L3" s="334" t="s">
        <v>211</v>
      </c>
      <c r="M3" s="334" t="s">
        <v>31</v>
      </c>
      <c r="N3" s="335" t="s">
        <v>212</v>
      </c>
      <c r="O3" s="335" t="s">
        <v>213</v>
      </c>
    </row>
    <row r="4" spans="1:18" ht="18.75">
      <c r="A4" s="332">
        <v>45962</v>
      </c>
      <c r="B4" s="270">
        <v>2264329.08</v>
      </c>
      <c r="C4" s="270">
        <v>1425</v>
      </c>
      <c r="D4" s="271">
        <f>C4/B4</f>
        <v>6.2932548655869397E-4</v>
      </c>
      <c r="E4" s="272">
        <v>9719</v>
      </c>
      <c r="F4" s="273">
        <f t="shared" ref="F4:F34" si="0">E4/B4</f>
        <v>4.2922206342904893E-3</v>
      </c>
      <c r="G4" s="270">
        <v>1425</v>
      </c>
      <c r="H4" s="273">
        <f t="shared" ref="H4:H34" si="1">G4/C4</f>
        <v>1</v>
      </c>
      <c r="I4" s="274">
        <v>9719</v>
      </c>
      <c r="J4" s="273">
        <f>I4/E4</f>
        <v>1</v>
      </c>
      <c r="K4" s="275">
        <v>0</v>
      </c>
      <c r="L4" s="276">
        <f>K4/C4</f>
        <v>0</v>
      </c>
      <c r="M4" s="361"/>
      <c r="N4" s="363"/>
      <c r="O4" s="363"/>
    </row>
    <row r="5" spans="1:18" ht="18.75">
      <c r="A5" s="332">
        <f>A4+1</f>
        <v>45963</v>
      </c>
      <c r="B5" s="270">
        <v>3123033.45</v>
      </c>
      <c r="C5" s="270">
        <v>7341</v>
      </c>
      <c r="D5" s="271">
        <f t="shared" ref="D5:D34" si="2">C5/B5</f>
        <v>2.3505992226884407E-3</v>
      </c>
      <c r="E5" s="272">
        <v>11606</v>
      </c>
      <c r="F5" s="273">
        <f t="shared" si="0"/>
        <v>3.7162586266887405E-3</v>
      </c>
      <c r="G5" s="270">
        <v>7341</v>
      </c>
      <c r="H5" s="273">
        <f t="shared" si="1"/>
        <v>1</v>
      </c>
      <c r="I5" s="274">
        <v>11606</v>
      </c>
      <c r="J5" s="273">
        <f t="shared" ref="J5:J34" si="3">I5/E5</f>
        <v>1</v>
      </c>
      <c r="K5" s="275">
        <v>0</v>
      </c>
      <c r="L5" s="276">
        <f t="shared" ref="L5:L34" si="4">K5/C5</f>
        <v>0</v>
      </c>
      <c r="M5" s="361"/>
      <c r="N5" s="363"/>
      <c r="O5" s="363"/>
    </row>
    <row r="6" spans="1:18" ht="18.75">
      <c r="A6" s="353">
        <f t="shared" ref="A6:A34" si="5">A5+1</f>
        <v>45964</v>
      </c>
      <c r="B6" s="354">
        <v>2673556.9200000004</v>
      </c>
      <c r="C6" s="354">
        <v>30785</v>
      </c>
      <c r="D6" s="355">
        <f t="shared" si="2"/>
        <v>1.151462299893731E-2</v>
      </c>
      <c r="E6" s="356">
        <v>23476</v>
      </c>
      <c r="F6" s="357">
        <f t="shared" si="0"/>
        <v>8.7808117434806654E-3</v>
      </c>
      <c r="G6" s="354">
        <v>30785</v>
      </c>
      <c r="H6" s="357">
        <f t="shared" si="1"/>
        <v>1</v>
      </c>
      <c r="I6" s="358">
        <v>23476</v>
      </c>
      <c r="J6" s="357">
        <f t="shared" si="3"/>
        <v>1</v>
      </c>
      <c r="K6" s="359">
        <v>0</v>
      </c>
      <c r="L6" s="360">
        <f t="shared" si="4"/>
        <v>0</v>
      </c>
      <c r="M6" s="362"/>
      <c r="N6" s="364"/>
      <c r="O6" s="364"/>
    </row>
    <row r="7" spans="1:18" ht="18.75">
      <c r="A7" s="289">
        <f t="shared" si="5"/>
        <v>45965</v>
      </c>
      <c r="B7" s="263">
        <v>2527418.29</v>
      </c>
      <c r="C7" s="263">
        <v>4581</v>
      </c>
      <c r="D7" s="264">
        <f t="shared" si="2"/>
        <v>1.8125215039098256E-3</v>
      </c>
      <c r="E7" s="265">
        <v>11615</v>
      </c>
      <c r="F7" s="266">
        <f t="shared" si="0"/>
        <v>4.5955986177499729E-3</v>
      </c>
      <c r="G7" s="263">
        <v>4581</v>
      </c>
      <c r="H7" s="266">
        <f t="shared" si="1"/>
        <v>1</v>
      </c>
      <c r="I7" s="267">
        <v>11615</v>
      </c>
      <c r="J7" s="266">
        <f t="shared" si="3"/>
        <v>1</v>
      </c>
      <c r="K7" s="268">
        <v>0</v>
      </c>
      <c r="L7" s="269">
        <f t="shared" si="4"/>
        <v>0</v>
      </c>
      <c r="M7" s="622">
        <f>SUM(B7:B13)</f>
        <v>17610221.509999998</v>
      </c>
      <c r="N7" s="622">
        <f>SUM(C7:C13)</f>
        <v>12102</v>
      </c>
      <c r="O7" s="622">
        <f>SUM(E7:E13)</f>
        <v>25139</v>
      </c>
    </row>
    <row r="8" spans="1:18" ht="18.75">
      <c r="A8" s="278">
        <f t="shared" si="5"/>
        <v>45966</v>
      </c>
      <c r="B8" s="270">
        <v>2528793.23</v>
      </c>
      <c r="C8" s="270">
        <v>0</v>
      </c>
      <c r="D8" s="271">
        <f t="shared" si="2"/>
        <v>0</v>
      </c>
      <c r="E8" s="272">
        <v>145</v>
      </c>
      <c r="F8" s="273">
        <f t="shared" si="0"/>
        <v>5.7339603048526034E-5</v>
      </c>
      <c r="G8" s="270">
        <v>0</v>
      </c>
      <c r="H8" s="273" t="e">
        <f t="shared" si="1"/>
        <v>#DIV/0!</v>
      </c>
      <c r="I8" s="274">
        <v>145</v>
      </c>
      <c r="J8" s="273">
        <f t="shared" si="3"/>
        <v>1</v>
      </c>
      <c r="K8" s="275">
        <v>0</v>
      </c>
      <c r="L8" s="276" t="e">
        <f t="shared" si="4"/>
        <v>#DIV/0!</v>
      </c>
      <c r="M8" s="623"/>
      <c r="N8" s="623"/>
      <c r="O8" s="623"/>
      <c r="P8" s="277"/>
      <c r="Q8" s="277"/>
    </row>
    <row r="9" spans="1:18" ht="18.75">
      <c r="A9" s="278">
        <f t="shared" si="5"/>
        <v>45967</v>
      </c>
      <c r="B9" s="270">
        <v>2482738.12</v>
      </c>
      <c r="C9" s="270">
        <v>1699</v>
      </c>
      <c r="D9" s="271">
        <f t="shared" si="2"/>
        <v>6.8432509506882668E-4</v>
      </c>
      <c r="E9" s="272">
        <v>4372</v>
      </c>
      <c r="F9" s="273">
        <f t="shared" si="0"/>
        <v>1.7609589850741084E-3</v>
      </c>
      <c r="G9" s="270">
        <v>1699</v>
      </c>
      <c r="H9" s="273">
        <f t="shared" si="1"/>
        <v>1</v>
      </c>
      <c r="I9" s="274">
        <v>4372</v>
      </c>
      <c r="J9" s="273">
        <f t="shared" si="3"/>
        <v>1</v>
      </c>
      <c r="K9" s="275">
        <v>0</v>
      </c>
      <c r="L9" s="276">
        <f t="shared" si="4"/>
        <v>0</v>
      </c>
      <c r="M9" s="623"/>
      <c r="N9" s="623"/>
      <c r="O9" s="623"/>
    </row>
    <row r="10" spans="1:18" ht="18.75">
      <c r="A10" s="278">
        <f t="shared" si="5"/>
        <v>45968</v>
      </c>
      <c r="B10" s="270">
        <v>2173366.7399999998</v>
      </c>
      <c r="C10" s="270">
        <v>2033</v>
      </c>
      <c r="D10" s="271">
        <f t="shared" si="2"/>
        <v>9.3541506943278254E-4</v>
      </c>
      <c r="E10" s="272">
        <v>2670</v>
      </c>
      <c r="F10" s="273">
        <f t="shared" si="0"/>
        <v>1.2285087237508753E-3</v>
      </c>
      <c r="G10" s="270">
        <v>2033</v>
      </c>
      <c r="H10" s="273">
        <f t="shared" si="1"/>
        <v>1</v>
      </c>
      <c r="I10" s="274">
        <v>2670</v>
      </c>
      <c r="J10" s="273">
        <f t="shared" si="3"/>
        <v>1</v>
      </c>
      <c r="K10" s="275">
        <v>0</v>
      </c>
      <c r="L10" s="276">
        <f t="shared" si="4"/>
        <v>0</v>
      </c>
      <c r="M10" s="623"/>
      <c r="N10" s="623"/>
      <c r="O10" s="623"/>
    </row>
    <row r="11" spans="1:18" ht="18.75">
      <c r="A11" s="278">
        <f t="shared" si="5"/>
        <v>45969</v>
      </c>
      <c r="B11" s="270">
        <v>2234998.08</v>
      </c>
      <c r="C11" s="270">
        <v>1635</v>
      </c>
      <c r="D11" s="271">
        <f t="shared" si="2"/>
        <v>7.3154425260177401E-4</v>
      </c>
      <c r="E11" s="270">
        <v>3433</v>
      </c>
      <c r="F11" s="273">
        <f t="shared" si="0"/>
        <v>1.5360192166250094E-3</v>
      </c>
      <c r="G11" s="270">
        <v>1635</v>
      </c>
      <c r="H11" s="273">
        <f t="shared" si="1"/>
        <v>1</v>
      </c>
      <c r="I11" s="270">
        <v>3433</v>
      </c>
      <c r="J11" s="273">
        <f t="shared" si="3"/>
        <v>1</v>
      </c>
      <c r="K11" s="270">
        <v>0</v>
      </c>
      <c r="L11" s="276">
        <f t="shared" si="4"/>
        <v>0</v>
      </c>
      <c r="M11" s="623"/>
      <c r="N11" s="623"/>
      <c r="O11" s="623"/>
    </row>
    <row r="12" spans="1:18" ht="18.75">
      <c r="A12" s="278">
        <f t="shared" si="5"/>
        <v>45970</v>
      </c>
      <c r="B12" s="270">
        <v>2858713.39</v>
      </c>
      <c r="C12" s="333">
        <v>2154</v>
      </c>
      <c r="D12" s="271">
        <f t="shared" si="2"/>
        <v>7.5348581901734464E-4</v>
      </c>
      <c r="E12" s="272">
        <v>2661</v>
      </c>
      <c r="F12" s="273">
        <f t="shared" si="0"/>
        <v>9.3083833073591188E-4</v>
      </c>
      <c r="G12" s="270">
        <v>2154</v>
      </c>
      <c r="H12" s="273">
        <f t="shared" si="1"/>
        <v>1</v>
      </c>
      <c r="I12" s="274">
        <v>2661</v>
      </c>
      <c r="J12" s="273">
        <f t="shared" si="3"/>
        <v>1</v>
      </c>
      <c r="K12" s="275">
        <v>0</v>
      </c>
      <c r="L12" s="276">
        <f t="shared" si="4"/>
        <v>0</v>
      </c>
      <c r="M12" s="623"/>
      <c r="N12" s="623"/>
      <c r="O12" s="623"/>
    </row>
    <row r="13" spans="1:18" ht="18.75">
      <c r="A13" s="279">
        <f t="shared" si="5"/>
        <v>45971</v>
      </c>
      <c r="B13" s="280">
        <v>2804193.66</v>
      </c>
      <c r="C13" s="280">
        <v>0</v>
      </c>
      <c r="D13" s="281">
        <f t="shared" si="2"/>
        <v>0</v>
      </c>
      <c r="E13" s="286">
        <v>243</v>
      </c>
      <c r="F13" s="282">
        <f t="shared" si="0"/>
        <v>8.6655926609576601E-5</v>
      </c>
      <c r="G13" s="280">
        <v>0</v>
      </c>
      <c r="H13" s="282" t="e">
        <f t="shared" si="1"/>
        <v>#DIV/0!</v>
      </c>
      <c r="I13" s="287">
        <v>243</v>
      </c>
      <c r="J13" s="282">
        <f t="shared" si="3"/>
        <v>1</v>
      </c>
      <c r="K13" s="288">
        <v>0</v>
      </c>
      <c r="L13" s="283" t="e">
        <f t="shared" si="4"/>
        <v>#DIV/0!</v>
      </c>
      <c r="M13" s="624"/>
      <c r="N13" s="624"/>
      <c r="O13" s="624"/>
    </row>
    <row r="14" spans="1:18" ht="18.75">
      <c r="A14" s="289">
        <f t="shared" si="5"/>
        <v>45972</v>
      </c>
      <c r="B14" s="263">
        <v>2660726.29</v>
      </c>
      <c r="C14" s="263">
        <v>9091</v>
      </c>
      <c r="D14" s="264">
        <f t="shared" si="2"/>
        <v>3.4167362626390256E-3</v>
      </c>
      <c r="E14" s="265">
        <v>7124</v>
      </c>
      <c r="F14" s="266">
        <f t="shared" si="0"/>
        <v>2.6774644302101436E-3</v>
      </c>
      <c r="G14" s="263">
        <v>9091</v>
      </c>
      <c r="H14" s="266">
        <f t="shared" si="1"/>
        <v>1</v>
      </c>
      <c r="I14" s="267">
        <v>7124</v>
      </c>
      <c r="J14" s="266">
        <f t="shared" si="3"/>
        <v>1</v>
      </c>
      <c r="K14" s="268">
        <v>0</v>
      </c>
      <c r="L14" s="269">
        <f t="shared" si="4"/>
        <v>0</v>
      </c>
      <c r="M14" s="622">
        <f t="shared" ref="M14:N14" si="6">SUM(B14:B20)</f>
        <v>17347543.109999999</v>
      </c>
      <c r="N14" s="622">
        <f t="shared" si="6"/>
        <v>41745</v>
      </c>
      <c r="O14" s="622">
        <f>SUM(E14:E20)</f>
        <v>44708</v>
      </c>
    </row>
    <row r="15" spans="1:18" ht="18.75">
      <c r="A15" s="278">
        <f t="shared" si="5"/>
        <v>45973</v>
      </c>
      <c r="B15" s="270">
        <v>2790787.25</v>
      </c>
      <c r="C15" s="270">
        <v>2763</v>
      </c>
      <c r="D15" s="271">
        <f t="shared" si="2"/>
        <v>9.9004322167517422E-4</v>
      </c>
      <c r="E15" s="272">
        <v>937</v>
      </c>
      <c r="F15" s="273">
        <f t="shared" si="0"/>
        <v>3.3574755653624261E-4</v>
      </c>
      <c r="G15" s="270">
        <v>2763</v>
      </c>
      <c r="H15" s="273">
        <f t="shared" si="1"/>
        <v>1</v>
      </c>
      <c r="I15" s="274">
        <v>937</v>
      </c>
      <c r="J15" s="273">
        <f t="shared" si="3"/>
        <v>1</v>
      </c>
      <c r="K15" s="275">
        <v>0</v>
      </c>
      <c r="L15" s="276">
        <f t="shared" si="4"/>
        <v>0</v>
      </c>
      <c r="M15" s="623"/>
      <c r="N15" s="623"/>
      <c r="O15" s="623"/>
      <c r="P15" s="277"/>
      <c r="Q15" s="284"/>
      <c r="R15" s="284"/>
    </row>
    <row r="16" spans="1:18" ht="18.75">
      <c r="A16" s="278">
        <f t="shared" si="5"/>
        <v>45974</v>
      </c>
      <c r="B16" s="270">
        <v>2510222.5499999998</v>
      </c>
      <c r="C16" s="270">
        <v>7694</v>
      </c>
      <c r="D16" s="271">
        <f t="shared" si="2"/>
        <v>3.0650668802254207E-3</v>
      </c>
      <c r="E16" s="272">
        <v>8855</v>
      </c>
      <c r="F16" s="273">
        <f t="shared" si="0"/>
        <v>3.527575672523538E-3</v>
      </c>
      <c r="G16" s="270">
        <v>7694</v>
      </c>
      <c r="H16" s="273">
        <f t="shared" si="1"/>
        <v>1</v>
      </c>
      <c r="I16" s="274">
        <v>8855</v>
      </c>
      <c r="J16" s="273">
        <f t="shared" si="3"/>
        <v>1</v>
      </c>
      <c r="K16" s="275">
        <v>0</v>
      </c>
      <c r="L16" s="276">
        <f t="shared" si="4"/>
        <v>0</v>
      </c>
      <c r="M16" s="623"/>
      <c r="N16" s="623"/>
      <c r="O16" s="623"/>
    </row>
    <row r="17" spans="1:17" ht="18.75">
      <c r="A17" s="278">
        <f t="shared" si="5"/>
        <v>45975</v>
      </c>
      <c r="B17" s="270">
        <v>2068483.01</v>
      </c>
      <c r="C17" s="270">
        <v>13080</v>
      </c>
      <c r="D17" s="271">
        <f t="shared" si="2"/>
        <v>6.3234747091299535E-3</v>
      </c>
      <c r="E17" s="352">
        <v>19906</v>
      </c>
      <c r="F17" s="273">
        <f t="shared" si="0"/>
        <v>9.6234776421973128E-3</v>
      </c>
      <c r="G17" s="270">
        <v>13080</v>
      </c>
      <c r="H17" s="273">
        <f t="shared" si="1"/>
        <v>1</v>
      </c>
      <c r="I17" s="274">
        <v>19906</v>
      </c>
      <c r="J17" s="273">
        <f t="shared" si="3"/>
        <v>1</v>
      </c>
      <c r="K17" s="275">
        <v>0</v>
      </c>
      <c r="L17" s="276">
        <f t="shared" si="4"/>
        <v>0</v>
      </c>
      <c r="M17" s="623"/>
      <c r="N17" s="623"/>
      <c r="O17" s="623"/>
      <c r="Q17" s="285"/>
    </row>
    <row r="18" spans="1:17" ht="18.75">
      <c r="A18" s="278">
        <f t="shared" si="5"/>
        <v>45976</v>
      </c>
      <c r="B18" s="270">
        <v>2006658.04</v>
      </c>
      <c r="C18" s="270">
        <v>6534</v>
      </c>
      <c r="D18" s="271">
        <f t="shared" si="2"/>
        <v>3.256160177645415E-3</v>
      </c>
      <c r="E18" s="272">
        <v>1571</v>
      </c>
      <c r="F18" s="273">
        <f t="shared" si="0"/>
        <v>7.8289373111125595E-4</v>
      </c>
      <c r="G18" s="270">
        <v>6534</v>
      </c>
      <c r="H18" s="273">
        <f t="shared" si="1"/>
        <v>1</v>
      </c>
      <c r="I18" s="274">
        <v>1571</v>
      </c>
      <c r="J18" s="273">
        <f t="shared" si="3"/>
        <v>1</v>
      </c>
      <c r="K18" s="275">
        <v>0</v>
      </c>
      <c r="L18" s="276">
        <f t="shared" si="4"/>
        <v>0</v>
      </c>
      <c r="M18" s="623"/>
      <c r="N18" s="623"/>
      <c r="O18" s="623"/>
    </row>
    <row r="19" spans="1:17" ht="18.75">
      <c r="A19" s="278">
        <f t="shared" si="5"/>
        <v>45977</v>
      </c>
      <c r="B19" s="270">
        <v>2660160.35</v>
      </c>
      <c r="C19" s="270">
        <v>2325</v>
      </c>
      <c r="D19" s="271">
        <f t="shared" si="2"/>
        <v>8.7400746349745417E-4</v>
      </c>
      <c r="E19" s="272">
        <v>5074</v>
      </c>
      <c r="F19" s="273">
        <f t="shared" si="0"/>
        <v>1.9074038149617559E-3</v>
      </c>
      <c r="G19" s="270">
        <v>2325</v>
      </c>
      <c r="H19" s="273">
        <f t="shared" si="1"/>
        <v>1</v>
      </c>
      <c r="I19" s="274">
        <v>5074</v>
      </c>
      <c r="J19" s="273">
        <f t="shared" si="3"/>
        <v>1</v>
      </c>
      <c r="K19" s="275">
        <v>0</v>
      </c>
      <c r="L19" s="276">
        <f t="shared" si="4"/>
        <v>0</v>
      </c>
      <c r="M19" s="623"/>
      <c r="N19" s="623"/>
      <c r="O19" s="623"/>
    </row>
    <row r="20" spans="1:17" ht="18.75">
      <c r="A20" s="279">
        <f t="shared" si="5"/>
        <v>45978</v>
      </c>
      <c r="B20" s="280">
        <v>2650505.6199999996</v>
      </c>
      <c r="C20" s="280">
        <v>258</v>
      </c>
      <c r="D20" s="281">
        <f t="shared" si="2"/>
        <v>9.733991810966243E-5</v>
      </c>
      <c r="E20" s="286">
        <v>1241</v>
      </c>
      <c r="F20" s="282">
        <f t="shared" si="0"/>
        <v>4.6821255183756227E-4</v>
      </c>
      <c r="G20" s="280">
        <v>258</v>
      </c>
      <c r="H20" s="282">
        <f t="shared" si="1"/>
        <v>1</v>
      </c>
      <c r="I20" s="287">
        <v>1241</v>
      </c>
      <c r="J20" s="282">
        <f t="shared" si="3"/>
        <v>1</v>
      </c>
      <c r="K20" s="288">
        <v>0</v>
      </c>
      <c r="L20" s="283">
        <f t="shared" si="4"/>
        <v>0</v>
      </c>
      <c r="M20" s="624"/>
      <c r="N20" s="624"/>
      <c r="O20" s="624"/>
    </row>
    <row r="21" spans="1:17" ht="18.75">
      <c r="A21" s="289">
        <f t="shared" si="5"/>
        <v>45979</v>
      </c>
      <c r="B21" s="263">
        <v>2921128.02</v>
      </c>
      <c r="C21" s="263">
        <v>25148</v>
      </c>
      <c r="D21" s="264">
        <f t="shared" si="2"/>
        <v>8.6090030384905897E-3</v>
      </c>
      <c r="E21" s="265">
        <v>6905</v>
      </c>
      <c r="F21" s="266">
        <f t="shared" si="0"/>
        <v>2.363812867058117E-3</v>
      </c>
      <c r="G21" s="263">
        <v>25148</v>
      </c>
      <c r="H21" s="266">
        <f t="shared" si="1"/>
        <v>1</v>
      </c>
      <c r="I21" s="267">
        <v>6905</v>
      </c>
      <c r="J21" s="266">
        <f t="shared" si="3"/>
        <v>1</v>
      </c>
      <c r="K21" s="268">
        <v>0</v>
      </c>
      <c r="L21" s="269">
        <f t="shared" si="4"/>
        <v>0</v>
      </c>
      <c r="M21" s="622">
        <f t="shared" ref="M21:N21" si="7">SUM(B21:B27)</f>
        <v>16910826.829999998</v>
      </c>
      <c r="N21" s="622">
        <f t="shared" si="7"/>
        <v>55421</v>
      </c>
      <c r="O21" s="622">
        <f>SUM(E21:E27)</f>
        <v>15651</v>
      </c>
    </row>
    <row r="22" spans="1:17" ht="18.75">
      <c r="A22" s="278">
        <f t="shared" si="5"/>
        <v>45980</v>
      </c>
      <c r="B22" s="270">
        <v>2664581.21</v>
      </c>
      <c r="C22" s="270">
        <v>10088</v>
      </c>
      <c r="D22" s="271">
        <f t="shared" si="2"/>
        <v>3.7859607964435059E-3</v>
      </c>
      <c r="E22" s="272">
        <v>1592</v>
      </c>
      <c r="F22" s="273">
        <f t="shared" si="0"/>
        <v>5.9746724702002983E-4</v>
      </c>
      <c r="G22" s="270">
        <v>10088</v>
      </c>
      <c r="H22" s="273">
        <f t="shared" si="1"/>
        <v>1</v>
      </c>
      <c r="I22" s="274">
        <v>1592</v>
      </c>
      <c r="J22" s="273">
        <f t="shared" si="3"/>
        <v>1</v>
      </c>
      <c r="K22" s="275">
        <v>0</v>
      </c>
      <c r="L22" s="276">
        <f t="shared" si="4"/>
        <v>0</v>
      </c>
      <c r="M22" s="623"/>
      <c r="N22" s="623"/>
      <c r="O22" s="623"/>
      <c r="P22" s="277"/>
    </row>
    <row r="23" spans="1:17" ht="18.75">
      <c r="A23" s="278">
        <f t="shared" si="5"/>
        <v>45981</v>
      </c>
      <c r="B23" s="270">
        <v>2302855.0699999998</v>
      </c>
      <c r="C23" s="270">
        <v>6462</v>
      </c>
      <c r="D23" s="271">
        <f t="shared" si="2"/>
        <v>2.8060819302883878E-3</v>
      </c>
      <c r="E23" s="272">
        <v>3367</v>
      </c>
      <c r="F23" s="273">
        <f t="shared" si="0"/>
        <v>1.4620980902632316E-3</v>
      </c>
      <c r="G23" s="270">
        <v>6462</v>
      </c>
      <c r="H23" s="273">
        <f t="shared" si="1"/>
        <v>1</v>
      </c>
      <c r="I23" s="274">
        <v>3367</v>
      </c>
      <c r="J23" s="273">
        <f t="shared" si="3"/>
        <v>1</v>
      </c>
      <c r="K23" s="275">
        <v>0</v>
      </c>
      <c r="L23" s="276">
        <f t="shared" si="4"/>
        <v>0</v>
      </c>
      <c r="M23" s="623"/>
      <c r="N23" s="623"/>
      <c r="O23" s="623"/>
    </row>
    <row r="24" spans="1:17" ht="18.75">
      <c r="A24" s="278">
        <f t="shared" si="5"/>
        <v>45982</v>
      </c>
      <c r="B24" s="270">
        <v>1818810.13</v>
      </c>
      <c r="C24" s="270">
        <v>4643</v>
      </c>
      <c r="D24" s="271">
        <f t="shared" si="2"/>
        <v>2.5527678361896965E-3</v>
      </c>
      <c r="E24" s="272">
        <v>684</v>
      </c>
      <c r="F24" s="273">
        <f t="shared" si="0"/>
        <v>3.7607004091185707E-4</v>
      </c>
      <c r="G24" s="270">
        <v>4643</v>
      </c>
      <c r="H24" s="273">
        <f t="shared" si="1"/>
        <v>1</v>
      </c>
      <c r="I24" s="274">
        <v>684</v>
      </c>
      <c r="J24" s="273">
        <f t="shared" si="3"/>
        <v>1</v>
      </c>
      <c r="K24" s="275">
        <v>0</v>
      </c>
      <c r="L24" s="276">
        <f t="shared" si="4"/>
        <v>0</v>
      </c>
      <c r="M24" s="623"/>
      <c r="N24" s="623"/>
      <c r="O24" s="623"/>
    </row>
    <row r="25" spans="1:17" ht="18.75">
      <c r="A25" s="278">
        <f t="shared" si="5"/>
        <v>45983</v>
      </c>
      <c r="B25" s="270">
        <v>1959163.47</v>
      </c>
      <c r="C25" s="270">
        <v>168</v>
      </c>
      <c r="D25" s="271">
        <f t="shared" si="2"/>
        <v>8.5750884279196983E-5</v>
      </c>
      <c r="E25" s="272">
        <v>593</v>
      </c>
      <c r="F25" s="273">
        <f t="shared" si="0"/>
        <v>3.0268020462835603E-4</v>
      </c>
      <c r="G25" s="270">
        <v>168</v>
      </c>
      <c r="H25" s="273">
        <f t="shared" si="1"/>
        <v>1</v>
      </c>
      <c r="I25" s="274">
        <v>593</v>
      </c>
      <c r="J25" s="273">
        <f t="shared" si="3"/>
        <v>1</v>
      </c>
      <c r="K25" s="275">
        <v>0</v>
      </c>
      <c r="L25" s="276">
        <f t="shared" si="4"/>
        <v>0</v>
      </c>
      <c r="M25" s="623"/>
      <c r="N25" s="623"/>
      <c r="O25" s="623"/>
    </row>
    <row r="26" spans="1:17" ht="18.75">
      <c r="A26" s="278">
        <f t="shared" si="5"/>
        <v>45984</v>
      </c>
      <c r="B26" s="270">
        <v>2710208.76</v>
      </c>
      <c r="C26" s="270">
        <v>3310</v>
      </c>
      <c r="D26" s="271">
        <f t="shared" si="2"/>
        <v>1.2213081327358711E-3</v>
      </c>
      <c r="E26" s="272">
        <v>1523</v>
      </c>
      <c r="F26" s="273">
        <f t="shared" si="0"/>
        <v>5.6194933116517564E-4</v>
      </c>
      <c r="G26" s="270">
        <v>3310</v>
      </c>
      <c r="H26" s="273">
        <f t="shared" si="1"/>
        <v>1</v>
      </c>
      <c r="I26" s="274">
        <v>1523</v>
      </c>
      <c r="J26" s="273">
        <f t="shared" si="3"/>
        <v>1</v>
      </c>
      <c r="K26" s="275">
        <v>0</v>
      </c>
      <c r="L26" s="276">
        <f t="shared" si="4"/>
        <v>0</v>
      </c>
      <c r="M26" s="623"/>
      <c r="N26" s="623"/>
      <c r="O26" s="623"/>
    </row>
    <row r="27" spans="1:17" ht="18.75">
      <c r="A27" s="279">
        <f t="shared" si="5"/>
        <v>45985</v>
      </c>
      <c r="B27" s="280">
        <v>2534080.17</v>
      </c>
      <c r="C27" s="280">
        <v>5602</v>
      </c>
      <c r="D27" s="281">
        <f t="shared" si="2"/>
        <v>2.2106640769774858E-3</v>
      </c>
      <c r="E27" s="286">
        <v>987</v>
      </c>
      <c r="F27" s="282">
        <f t="shared" si="0"/>
        <v>3.8949043983876804E-4</v>
      </c>
      <c r="G27" s="280">
        <v>5602</v>
      </c>
      <c r="H27" s="282">
        <f t="shared" si="1"/>
        <v>1</v>
      </c>
      <c r="I27" s="287">
        <v>987</v>
      </c>
      <c r="J27" s="282">
        <f t="shared" si="3"/>
        <v>1</v>
      </c>
      <c r="K27" s="288">
        <v>0</v>
      </c>
      <c r="L27" s="283">
        <f t="shared" si="4"/>
        <v>0</v>
      </c>
      <c r="M27" s="624"/>
      <c r="N27" s="624"/>
      <c r="O27" s="624"/>
    </row>
    <row r="28" spans="1:17" ht="18.75">
      <c r="A28" s="289">
        <f t="shared" si="5"/>
        <v>45986</v>
      </c>
      <c r="B28" s="263"/>
      <c r="C28" s="263"/>
      <c r="D28" s="264" t="e">
        <f t="shared" si="2"/>
        <v>#DIV/0!</v>
      </c>
      <c r="E28" s="265"/>
      <c r="F28" s="266" t="e">
        <f t="shared" si="0"/>
        <v>#DIV/0!</v>
      </c>
      <c r="G28" s="263"/>
      <c r="H28" s="266" t="e">
        <f t="shared" si="1"/>
        <v>#DIV/0!</v>
      </c>
      <c r="I28" s="267"/>
      <c r="J28" s="266" t="e">
        <f t="shared" si="3"/>
        <v>#DIV/0!</v>
      </c>
      <c r="K28" s="268"/>
      <c r="L28" s="269" t="e">
        <f t="shared" si="4"/>
        <v>#DIV/0!</v>
      </c>
      <c r="M28" s="622">
        <f t="shared" ref="M28:N28" si="8">SUM(B28:B34)</f>
        <v>0</v>
      </c>
      <c r="N28" s="622">
        <f t="shared" si="8"/>
        <v>0</v>
      </c>
      <c r="O28" s="622">
        <f>SUM(E28:E34)</f>
        <v>0</v>
      </c>
    </row>
    <row r="29" spans="1:17" ht="18.75">
      <c r="A29" s="278">
        <f t="shared" si="5"/>
        <v>45987</v>
      </c>
      <c r="B29" s="270"/>
      <c r="C29" s="270"/>
      <c r="D29" s="271" t="e">
        <f t="shared" si="2"/>
        <v>#DIV/0!</v>
      </c>
      <c r="E29" s="272"/>
      <c r="F29" s="273" t="e">
        <f t="shared" si="0"/>
        <v>#DIV/0!</v>
      </c>
      <c r="G29" s="270"/>
      <c r="H29" s="273" t="e">
        <f t="shared" si="1"/>
        <v>#DIV/0!</v>
      </c>
      <c r="I29" s="274"/>
      <c r="J29" s="273" t="e">
        <f t="shared" si="3"/>
        <v>#DIV/0!</v>
      </c>
      <c r="K29" s="275"/>
      <c r="L29" s="276" t="e">
        <f t="shared" si="4"/>
        <v>#DIV/0!</v>
      </c>
      <c r="M29" s="623"/>
      <c r="N29" s="623"/>
      <c r="O29" s="623"/>
      <c r="P29" s="277"/>
    </row>
    <row r="30" spans="1:17" ht="18.75">
      <c r="A30" s="278">
        <f t="shared" si="5"/>
        <v>45988</v>
      </c>
      <c r="B30" s="270"/>
      <c r="C30" s="270"/>
      <c r="D30" s="271" t="e">
        <f t="shared" si="2"/>
        <v>#DIV/0!</v>
      </c>
      <c r="E30" s="272"/>
      <c r="F30" s="273" t="e">
        <f t="shared" si="0"/>
        <v>#DIV/0!</v>
      </c>
      <c r="G30" s="270"/>
      <c r="H30" s="273" t="e">
        <f t="shared" si="1"/>
        <v>#DIV/0!</v>
      </c>
      <c r="I30" s="274"/>
      <c r="J30" s="273" t="e">
        <f t="shared" si="3"/>
        <v>#DIV/0!</v>
      </c>
      <c r="K30" s="275"/>
      <c r="L30" s="276" t="e">
        <f t="shared" si="4"/>
        <v>#DIV/0!</v>
      </c>
      <c r="M30" s="623"/>
      <c r="N30" s="623"/>
      <c r="O30" s="623"/>
    </row>
    <row r="31" spans="1:17" ht="18.75">
      <c r="A31" s="278">
        <f t="shared" si="5"/>
        <v>45989</v>
      </c>
      <c r="B31" s="270"/>
      <c r="C31" s="270"/>
      <c r="D31" s="271" t="e">
        <f t="shared" si="2"/>
        <v>#DIV/0!</v>
      </c>
      <c r="E31" s="272"/>
      <c r="F31" s="273" t="e">
        <f t="shared" si="0"/>
        <v>#DIV/0!</v>
      </c>
      <c r="G31" s="270"/>
      <c r="H31" s="273" t="e">
        <f t="shared" si="1"/>
        <v>#DIV/0!</v>
      </c>
      <c r="I31" s="274"/>
      <c r="J31" s="273" t="e">
        <f t="shared" si="3"/>
        <v>#DIV/0!</v>
      </c>
      <c r="K31" s="275"/>
      <c r="L31" s="276" t="e">
        <f t="shared" si="4"/>
        <v>#DIV/0!</v>
      </c>
      <c r="M31" s="623"/>
      <c r="N31" s="623"/>
      <c r="O31" s="623"/>
    </row>
    <row r="32" spans="1:17" ht="18.75">
      <c r="A32" s="278">
        <f t="shared" si="5"/>
        <v>45990</v>
      </c>
      <c r="B32" s="270"/>
      <c r="C32" s="270"/>
      <c r="D32" s="271" t="e">
        <f t="shared" si="2"/>
        <v>#DIV/0!</v>
      </c>
      <c r="E32" s="272"/>
      <c r="F32" s="273" t="e">
        <f t="shared" si="0"/>
        <v>#DIV/0!</v>
      </c>
      <c r="G32" s="270"/>
      <c r="H32" s="273" t="e">
        <f t="shared" si="1"/>
        <v>#DIV/0!</v>
      </c>
      <c r="I32" s="274"/>
      <c r="J32" s="273" t="e">
        <f t="shared" si="3"/>
        <v>#DIV/0!</v>
      </c>
      <c r="K32" s="275"/>
      <c r="L32" s="276" t="e">
        <f t="shared" si="4"/>
        <v>#DIV/0!</v>
      </c>
      <c r="M32" s="623"/>
      <c r="N32" s="623"/>
      <c r="O32" s="623"/>
    </row>
    <row r="33" spans="1:15" ht="18.75">
      <c r="A33" s="278">
        <f t="shared" si="5"/>
        <v>45991</v>
      </c>
      <c r="B33" s="270"/>
      <c r="C33" s="270"/>
      <c r="D33" s="271" t="e">
        <f t="shared" si="2"/>
        <v>#DIV/0!</v>
      </c>
      <c r="E33" s="272"/>
      <c r="F33" s="273" t="e">
        <f t="shared" si="0"/>
        <v>#DIV/0!</v>
      </c>
      <c r="G33" s="270"/>
      <c r="H33" s="273" t="e">
        <f t="shared" si="1"/>
        <v>#DIV/0!</v>
      </c>
      <c r="I33" s="274"/>
      <c r="J33" s="273" t="e">
        <f t="shared" si="3"/>
        <v>#DIV/0!</v>
      </c>
      <c r="K33" s="275"/>
      <c r="L33" s="276" t="e">
        <f t="shared" si="4"/>
        <v>#DIV/0!</v>
      </c>
      <c r="M33" s="623"/>
      <c r="N33" s="623"/>
      <c r="O33" s="623"/>
    </row>
    <row r="34" spans="1:15" ht="18.75">
      <c r="A34" s="279">
        <f t="shared" si="5"/>
        <v>45992</v>
      </c>
      <c r="B34" s="280"/>
      <c r="C34" s="280"/>
      <c r="D34" s="281" t="e">
        <f t="shared" si="2"/>
        <v>#DIV/0!</v>
      </c>
      <c r="E34" s="286"/>
      <c r="F34" s="282" t="e">
        <f t="shared" si="0"/>
        <v>#DIV/0!</v>
      </c>
      <c r="G34" s="280"/>
      <c r="H34" s="282" t="e">
        <f t="shared" si="1"/>
        <v>#DIV/0!</v>
      </c>
      <c r="I34" s="287"/>
      <c r="J34" s="282" t="e">
        <f t="shared" si="3"/>
        <v>#DIV/0!</v>
      </c>
      <c r="K34" s="288"/>
      <c r="L34" s="283" t="e">
        <f t="shared" si="4"/>
        <v>#DIV/0!</v>
      </c>
      <c r="M34" s="624"/>
      <c r="N34" s="624"/>
      <c r="O34" s="624"/>
    </row>
    <row r="35" spans="1:15" ht="18.75">
      <c r="A35" s="330" t="s">
        <v>214</v>
      </c>
      <c r="B35" s="290">
        <f>AVERAGE(B4:B34)</f>
        <v>2497062.9541666671</v>
      </c>
      <c r="C35" s="290">
        <f>AVERAGE(C4:C34)</f>
        <v>6200.791666666667</v>
      </c>
      <c r="D35" s="291">
        <f>C35/B35</f>
        <v>2.4832340155140492E-3</v>
      </c>
      <c r="E35" s="292">
        <f>AVERAGE(E4:E34)</f>
        <v>5429.125</v>
      </c>
      <c r="F35" s="331">
        <f>E35/B35</f>
        <v>2.1742042950662556E-3</v>
      </c>
      <c r="G35" s="290">
        <f>AVERAGE(G4:G34)</f>
        <v>6200.791666666667</v>
      </c>
      <c r="H35" s="293">
        <f>G35/C35</f>
        <v>1</v>
      </c>
      <c r="I35" s="294">
        <f>AVERAGE(I4:I34)</f>
        <v>5429.125</v>
      </c>
      <c r="J35" s="293">
        <f>I35/E35</f>
        <v>1</v>
      </c>
      <c r="K35" s="295">
        <f>AVERAGE(K4:K34)</f>
        <v>0</v>
      </c>
      <c r="L35" s="296">
        <f>K35/C35</f>
        <v>0</v>
      </c>
      <c r="M35" s="297"/>
    </row>
    <row r="36" spans="1:15" ht="18.75">
      <c r="A36" s="298" t="s">
        <v>95</v>
      </c>
      <c r="B36" s="270">
        <f>SUM(B4:B34)</f>
        <v>59929510.900000006</v>
      </c>
      <c r="C36" s="270">
        <f>SUM(C4:C34)</f>
        <v>148819</v>
      </c>
      <c r="D36" s="271">
        <f>C36/B36</f>
        <v>2.4832340155140492E-3</v>
      </c>
      <c r="E36" s="272">
        <f>SUM(E4:E34)</f>
        <v>130299</v>
      </c>
      <c r="F36" s="299">
        <f>E36/B36</f>
        <v>2.1742042950662556E-3</v>
      </c>
      <c r="G36" s="270">
        <f>SUM(G4:G34)</f>
        <v>148819</v>
      </c>
      <c r="H36" s="273">
        <f>G36/C36</f>
        <v>1</v>
      </c>
      <c r="I36" s="274">
        <f>SUM(I4:I34)</f>
        <v>130299</v>
      </c>
      <c r="J36" s="273">
        <f>I36/E36</f>
        <v>1</v>
      </c>
      <c r="K36" s="275">
        <f>SUM(K4:K34)</f>
        <v>0</v>
      </c>
      <c r="L36" s="276">
        <f>K36/C36</f>
        <v>0</v>
      </c>
      <c r="M36" s="297"/>
    </row>
    <row r="37" spans="1:15" ht="27">
      <c r="A37" s="625"/>
      <c r="B37" s="625"/>
      <c r="C37" s="625"/>
      <c r="D37" s="625"/>
      <c r="E37" s="625"/>
      <c r="F37" s="300"/>
      <c r="G37" s="300"/>
      <c r="H37" s="300"/>
      <c r="I37" s="300"/>
      <c r="J37" s="300"/>
      <c r="K37" s="300"/>
      <c r="L37" s="300"/>
      <c r="M37" s="300"/>
    </row>
    <row r="38" spans="1:15" ht="27">
      <c r="A38" s="625"/>
      <c r="B38" s="625"/>
      <c r="C38" s="625"/>
      <c r="D38" s="625"/>
      <c r="E38" s="625"/>
      <c r="F38" s="300"/>
      <c r="G38" s="300"/>
      <c r="H38" s="300"/>
      <c r="I38" s="300"/>
      <c r="J38" s="300"/>
      <c r="K38" s="300"/>
      <c r="L38" s="300"/>
      <c r="M38" s="300"/>
    </row>
    <row r="39" spans="1:15" ht="18.75">
      <c r="A39" s="300"/>
      <c r="B39" s="300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</row>
    <row r="40" spans="1:15" ht="18.75">
      <c r="A40" s="300"/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</row>
    <row r="41" spans="1:15" ht="18.75">
      <c r="A41" s="300"/>
      <c r="B41" s="300"/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</row>
    <row r="42" spans="1:15" ht="18.75">
      <c r="A42" s="300"/>
      <c r="B42" s="300"/>
      <c r="C42" s="300"/>
      <c r="D42" s="300"/>
      <c r="E42" s="300"/>
      <c r="F42" s="300"/>
      <c r="G42" s="300"/>
      <c r="H42" s="300"/>
      <c r="I42" s="300"/>
      <c r="J42" s="300"/>
      <c r="K42" s="300"/>
      <c r="L42" s="300"/>
      <c r="M42" s="300"/>
    </row>
    <row r="43" spans="1:15" ht="18.75">
      <c r="A43" s="300"/>
      <c r="B43" s="300"/>
      <c r="C43" s="300"/>
      <c r="D43" s="300"/>
      <c r="E43" s="301"/>
      <c r="F43" s="300"/>
      <c r="G43" s="300"/>
      <c r="H43" s="300"/>
      <c r="I43" s="300"/>
      <c r="J43" s="300"/>
      <c r="K43" s="300"/>
      <c r="L43" s="300"/>
      <c r="M43" s="300"/>
    </row>
    <row r="44" spans="1:15" ht="18.75">
      <c r="A44" s="300"/>
      <c r="B44" s="300"/>
      <c r="C44" s="300"/>
      <c r="D44" s="300"/>
      <c r="E44" s="302"/>
      <c r="F44" s="300"/>
      <c r="G44" s="300"/>
      <c r="H44" s="300"/>
      <c r="I44" s="300"/>
      <c r="J44" s="300"/>
      <c r="K44" s="300"/>
      <c r="L44" s="300"/>
      <c r="M44" s="300"/>
    </row>
    <row r="45" spans="1:15" ht="18.75">
      <c r="A45" s="300"/>
      <c r="B45" s="300"/>
      <c r="C45" s="300"/>
      <c r="D45" s="300"/>
      <c r="E45" s="300"/>
      <c r="F45" s="300"/>
      <c r="G45" s="300"/>
      <c r="H45" s="300"/>
      <c r="I45" s="300"/>
      <c r="J45" s="300"/>
      <c r="K45" s="300"/>
      <c r="L45" s="300"/>
      <c r="M45" s="300"/>
    </row>
    <row r="46" spans="1:15" ht="18.7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</row>
    <row r="47" spans="1:15" ht="18.75">
      <c r="A47" s="300"/>
      <c r="B47" s="300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</row>
    <row r="48" spans="1:15" ht="18.75">
      <c r="A48" s="300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</row>
    <row r="49" spans="1:13" ht="18.75">
      <c r="A49" s="300"/>
      <c r="B49" s="300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</row>
    <row r="50" spans="1:13" ht="18.75">
      <c r="A50" s="300"/>
      <c r="B50" s="300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</row>
    <row r="51" spans="1:13" ht="18.75">
      <c r="A51" s="300"/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</row>
    <row r="52" spans="1:13" ht="18.75">
      <c r="A52" s="300"/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</row>
    <row r="53" spans="1:13" ht="18.75">
      <c r="A53" s="300"/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</row>
    <row r="54" spans="1:13" ht="18.75">
      <c r="A54" s="300"/>
      <c r="B54" s="300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</row>
    <row r="55" spans="1:13" ht="18.75">
      <c r="A55" s="300"/>
      <c r="B55" s="300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</row>
    <row r="56" spans="1:13" ht="18.75">
      <c r="A56" s="300"/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</row>
    <row r="57" spans="1:13" ht="18.75">
      <c r="A57" s="300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</row>
    <row r="58" spans="1:13" ht="18.75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</row>
    <row r="59" spans="1:13" ht="18.75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</row>
    <row r="60" spans="1:13" ht="18.75">
      <c r="A60" s="300"/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</row>
    <row r="61" spans="1:13" ht="18.75">
      <c r="A61" s="300"/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</row>
    <row r="62" spans="1:13" ht="18.75">
      <c r="A62" s="300"/>
      <c r="B62" s="300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</row>
    <row r="63" spans="1:13" ht="18.75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</row>
    <row r="64" spans="1:13" ht="18.75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</row>
    <row r="65" spans="1:13" ht="18.75">
      <c r="A65" s="300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</row>
    <row r="66" spans="1:13" ht="18.75">
      <c r="A66" s="300"/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</row>
    <row r="67" spans="1:13" ht="18.75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7:M13"/>
    <mergeCell ref="N7:N13"/>
    <mergeCell ref="O7:O13"/>
    <mergeCell ref="M14:M20"/>
    <mergeCell ref="N14:N20"/>
    <mergeCell ref="O14:O20"/>
    <mergeCell ref="M21:M27"/>
    <mergeCell ref="A37:E37"/>
    <mergeCell ref="A38:E38"/>
    <mergeCell ref="N21:N27"/>
    <mergeCell ref="O21:O27"/>
    <mergeCell ref="M28:M34"/>
    <mergeCell ref="N28:N34"/>
    <mergeCell ref="O28:O34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4" width="12.5703125" style="2" customWidth="1"/>
    <col min="5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215</v>
      </c>
      <c r="C2" s="47" t="s">
        <v>216</v>
      </c>
      <c r="D2" s="5" t="s">
        <v>217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218</v>
      </c>
      <c r="B4" s="67"/>
      <c r="C4" s="67"/>
      <c r="D4" s="67"/>
      <c r="E4" s="61" t="s">
        <v>219</v>
      </c>
      <c r="G4" s="60" t="s">
        <v>20</v>
      </c>
      <c r="H4" s="67"/>
      <c r="I4" s="67"/>
      <c r="J4" s="67"/>
      <c r="K4" s="67"/>
      <c r="M4" s="60" t="s">
        <v>220</v>
      </c>
      <c r="N4" s="67"/>
      <c r="O4" s="67"/>
      <c r="P4" s="67"/>
      <c r="Q4" s="67"/>
      <c r="R4" s="67"/>
      <c r="S4" s="60" t="s">
        <v>221</v>
      </c>
      <c r="T4" s="67"/>
      <c r="U4" s="67"/>
      <c r="V4" s="67"/>
      <c r="W4" s="67"/>
    </row>
    <row r="5" spans="1:23" ht="15.75" customHeight="1">
      <c r="A5" s="7"/>
      <c r="B5" s="49" t="s">
        <v>222</v>
      </c>
      <c r="C5" s="7" t="s">
        <v>223</v>
      </c>
      <c r="D5" s="7" t="s">
        <v>137</v>
      </c>
      <c r="E5" s="7" t="s">
        <v>224</v>
      </c>
      <c r="G5" s="7"/>
      <c r="H5" s="49" t="s">
        <v>225</v>
      </c>
      <c r="I5" s="49" t="s">
        <v>222</v>
      </c>
      <c r="J5" s="49" t="s">
        <v>223</v>
      </c>
      <c r="K5" s="7" t="s">
        <v>224</v>
      </c>
      <c r="L5" s="62" t="s">
        <v>226</v>
      </c>
      <c r="M5" s="7"/>
      <c r="N5" s="49" t="s">
        <v>222</v>
      </c>
      <c r="O5" s="49" t="s">
        <v>101</v>
      </c>
      <c r="P5" s="49" t="s">
        <v>223</v>
      </c>
      <c r="Q5" s="49" t="s">
        <v>137</v>
      </c>
      <c r="R5" s="67"/>
      <c r="S5" s="7"/>
      <c r="T5" s="49" t="s">
        <v>222</v>
      </c>
      <c r="U5" s="49" t="s">
        <v>101</v>
      </c>
      <c r="V5" s="49" t="s">
        <v>223</v>
      </c>
      <c r="W5" s="49" t="s">
        <v>137</v>
      </c>
    </row>
    <row r="6" spans="1:23" ht="15.75" customHeight="1">
      <c r="A6" s="49" t="s">
        <v>92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227</v>
      </c>
      <c r="H6" s="11">
        <v>110</v>
      </c>
      <c r="I6" s="11">
        <v>100</v>
      </c>
      <c r="J6" s="11">
        <v>90</v>
      </c>
      <c r="K6" s="12"/>
      <c r="L6" s="62" t="s">
        <v>228</v>
      </c>
      <c r="M6" s="49" t="s">
        <v>229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229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230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231</v>
      </c>
      <c r="H7" s="14">
        <v>0.8</v>
      </c>
      <c r="I7" s="14">
        <v>0.85</v>
      </c>
      <c r="J7" s="14">
        <v>0.81</v>
      </c>
      <c r="K7" s="14">
        <v>0.84</v>
      </c>
      <c r="L7" s="66" t="s">
        <v>232</v>
      </c>
      <c r="M7" s="49" t="s">
        <v>233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233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234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235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114</v>
      </c>
      <c r="M8" s="49" t="s">
        <v>236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237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238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130</v>
      </c>
      <c r="M9" s="49" t="s">
        <v>239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239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240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241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242</v>
      </c>
      <c r="M10" s="49" t="s">
        <v>243</v>
      </c>
      <c r="N10" s="9" t="s">
        <v>244</v>
      </c>
      <c r="O10" s="13" t="str">
        <f t="shared" si="1"/>
        <v/>
      </c>
      <c r="P10" s="4" t="s">
        <v>245</v>
      </c>
      <c r="Q10" s="13" t="str">
        <f t="shared" si="2"/>
        <v/>
      </c>
      <c r="S10" s="49" t="s">
        <v>243</v>
      </c>
      <c r="T10" s="9" t="s">
        <v>244</v>
      </c>
      <c r="U10" s="13" t="str">
        <f t="shared" si="3"/>
        <v/>
      </c>
      <c r="V10" s="4" t="s">
        <v>245</v>
      </c>
      <c r="W10" s="13" t="str">
        <f t="shared" si="4"/>
        <v/>
      </c>
    </row>
    <row r="11" spans="1:23" ht="15.75" customHeight="1">
      <c r="A11" s="49" t="s">
        <v>246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247</v>
      </c>
      <c r="H11" s="14">
        <v>0.8</v>
      </c>
      <c r="I11" s="14">
        <v>0.85</v>
      </c>
      <c r="J11" s="14">
        <v>1</v>
      </c>
      <c r="K11" s="14">
        <v>0.92</v>
      </c>
      <c r="L11" s="62" t="s">
        <v>248</v>
      </c>
      <c r="M11" s="49" t="s">
        <v>249</v>
      </c>
      <c r="N11" s="9" t="s">
        <v>244</v>
      </c>
      <c r="O11" s="13" t="str">
        <f t="shared" si="1"/>
        <v/>
      </c>
      <c r="P11" s="4" t="s">
        <v>245</v>
      </c>
      <c r="Q11" s="13" t="str">
        <f t="shared" si="2"/>
        <v/>
      </c>
      <c r="S11" s="49" t="s">
        <v>249</v>
      </c>
      <c r="T11" s="9" t="s">
        <v>244</v>
      </c>
      <c r="U11" s="13" t="str">
        <f t="shared" si="3"/>
        <v/>
      </c>
      <c r="V11" s="4" t="s">
        <v>245</v>
      </c>
      <c r="W11" s="13" t="str">
        <f t="shared" si="4"/>
        <v/>
      </c>
    </row>
    <row r="12" spans="1:23" ht="15.75" customHeight="1">
      <c r="M12" s="49" t="s">
        <v>250</v>
      </c>
      <c r="N12" s="9" t="s">
        <v>244</v>
      </c>
      <c r="O12" s="13" t="str">
        <f t="shared" si="1"/>
        <v/>
      </c>
      <c r="P12" s="4" t="s">
        <v>245</v>
      </c>
      <c r="Q12" s="13" t="str">
        <f t="shared" si="2"/>
        <v/>
      </c>
      <c r="S12" s="49" t="s">
        <v>250</v>
      </c>
      <c r="T12" s="9" t="s">
        <v>244</v>
      </c>
      <c r="U12" s="13" t="str">
        <f t="shared" si="3"/>
        <v/>
      </c>
      <c r="V12" s="4" t="s">
        <v>245</v>
      </c>
      <c r="W12" s="13" t="str">
        <f t="shared" si="4"/>
        <v/>
      </c>
    </row>
    <row r="13" spans="1:23" ht="15.75" customHeight="1">
      <c r="A13" s="60" t="s">
        <v>251</v>
      </c>
      <c r="B13" s="67"/>
      <c r="C13" s="67"/>
      <c r="D13" s="67"/>
      <c r="E13" s="67"/>
      <c r="F13" s="67"/>
      <c r="M13" s="49" t="s">
        <v>252</v>
      </c>
      <c r="N13" s="9" t="s">
        <v>244</v>
      </c>
      <c r="O13" s="13" t="str">
        <f t="shared" si="1"/>
        <v/>
      </c>
      <c r="P13" s="4" t="s">
        <v>245</v>
      </c>
      <c r="Q13" s="13" t="str">
        <f t="shared" si="2"/>
        <v/>
      </c>
      <c r="S13" s="49" t="s">
        <v>252</v>
      </c>
      <c r="T13" s="9" t="s">
        <v>244</v>
      </c>
      <c r="U13" s="13" t="str">
        <f t="shared" si="3"/>
        <v/>
      </c>
      <c r="V13" s="4" t="s">
        <v>245</v>
      </c>
      <c r="W13" s="13" t="str">
        <f t="shared" si="4"/>
        <v/>
      </c>
    </row>
    <row r="14" spans="1:23" ht="12.75">
      <c r="A14" s="7"/>
      <c r="B14" s="49" t="s">
        <v>222</v>
      </c>
      <c r="C14" s="7" t="s">
        <v>223</v>
      </c>
      <c r="D14" s="7" t="s">
        <v>137</v>
      </c>
      <c r="E14" s="7" t="s">
        <v>224</v>
      </c>
      <c r="F14" s="67"/>
      <c r="G14" s="7"/>
      <c r="H14" s="49" t="s">
        <v>222</v>
      </c>
      <c r="I14" s="7" t="s">
        <v>223</v>
      </c>
      <c r="J14" s="7" t="s">
        <v>137</v>
      </c>
      <c r="K14" s="7" t="s">
        <v>224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229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243</v>
      </c>
      <c r="H15" s="4"/>
      <c r="I15" s="4"/>
      <c r="J15" s="16">
        <f>H15-I15</f>
        <v>0</v>
      </c>
      <c r="K15" s="17"/>
      <c r="M15" s="60" t="s">
        <v>253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233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249</v>
      </c>
      <c r="H16" s="4"/>
      <c r="I16" s="4"/>
      <c r="J16" s="16">
        <f>H16-I16</f>
        <v>0</v>
      </c>
      <c r="K16" s="17"/>
      <c r="M16" s="18"/>
      <c r="N16" s="46" t="s">
        <v>95</v>
      </c>
      <c r="O16" s="19"/>
      <c r="P16" s="58" t="s">
        <v>138</v>
      </c>
      <c r="Q16" s="19"/>
      <c r="R16" s="51" t="s">
        <v>254</v>
      </c>
      <c r="S16" s="19"/>
    </row>
    <row r="17" spans="1:27" ht="15.75" customHeight="1">
      <c r="A17" s="49" t="s">
        <v>236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250</v>
      </c>
      <c r="H17" s="4"/>
      <c r="I17" s="4"/>
      <c r="J17" s="16">
        <f>H17-I17</f>
        <v>0</v>
      </c>
      <c r="K17" s="17"/>
      <c r="M17" s="20"/>
      <c r="N17" s="21" t="s">
        <v>100</v>
      </c>
      <c r="O17" s="50" t="s">
        <v>101</v>
      </c>
      <c r="P17" s="8" t="s">
        <v>100</v>
      </c>
      <c r="Q17" s="50" t="s">
        <v>101</v>
      </c>
      <c r="R17" s="8" t="s">
        <v>100</v>
      </c>
      <c r="S17" s="50" t="s">
        <v>101</v>
      </c>
    </row>
    <row r="18" spans="1:27" ht="15.75" customHeight="1">
      <c r="A18" s="49" t="s">
        <v>239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252</v>
      </c>
      <c r="H18" s="4"/>
      <c r="I18" s="4"/>
      <c r="J18" s="16">
        <f>H18-I18</f>
        <v>0</v>
      </c>
      <c r="K18" s="17"/>
      <c r="M18" s="49" t="s">
        <v>235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238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255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51</v>
      </c>
      <c r="C21" s="640" t="s">
        <v>68</v>
      </c>
      <c r="D21" s="632"/>
      <c r="E21" s="633"/>
      <c r="F21" s="49" t="s">
        <v>56</v>
      </c>
      <c r="G21" s="49" t="s">
        <v>256</v>
      </c>
      <c r="H21" s="49" t="s">
        <v>257</v>
      </c>
      <c r="I21" s="8" t="s">
        <v>71</v>
      </c>
      <c r="J21" s="642" t="s">
        <v>72</v>
      </c>
      <c r="K21" s="633"/>
      <c r="M21" s="60" t="s">
        <v>108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229</v>
      </c>
      <c r="B22" s="6">
        <v>1</v>
      </c>
      <c r="C22" s="578" t="s">
        <v>258</v>
      </c>
      <c r="D22" s="632"/>
      <c r="E22" s="633"/>
      <c r="F22" s="4">
        <v>3</v>
      </c>
      <c r="G22" s="4">
        <v>3000</v>
      </c>
      <c r="H22" s="4">
        <v>1000</v>
      </c>
      <c r="I22" s="4">
        <v>10</v>
      </c>
      <c r="J22" s="643" t="s">
        <v>259</v>
      </c>
      <c r="K22" s="633"/>
      <c r="M22" s="52" t="s">
        <v>235</v>
      </c>
      <c r="N22" s="57" t="s">
        <v>51</v>
      </c>
      <c r="O22" s="647" t="s">
        <v>68</v>
      </c>
      <c r="P22" s="632"/>
      <c r="Q22" s="633"/>
      <c r="R22" s="648" t="s">
        <v>112</v>
      </c>
      <c r="S22" s="632"/>
      <c r="T22" s="633"/>
      <c r="U22" s="57" t="s">
        <v>113</v>
      </c>
      <c r="V22" s="57" t="s">
        <v>114</v>
      </c>
      <c r="W22" s="57" t="s">
        <v>115</v>
      </c>
      <c r="X22" s="8" t="s">
        <v>100</v>
      </c>
      <c r="Y22" s="8" t="s">
        <v>71</v>
      </c>
      <c r="Z22" s="642" t="s">
        <v>72</v>
      </c>
      <c r="AA22" s="633"/>
    </row>
    <row r="23" spans="1:27" ht="15.75" customHeight="1">
      <c r="A23" s="23"/>
      <c r="B23" s="6">
        <v>2</v>
      </c>
      <c r="C23" s="639"/>
      <c r="D23" s="632"/>
      <c r="E23" s="633"/>
      <c r="F23" s="4"/>
      <c r="G23" s="4"/>
      <c r="H23" s="4"/>
      <c r="I23" s="4"/>
      <c r="J23" s="639"/>
      <c r="K23" s="633"/>
      <c r="M23" s="56" t="s">
        <v>138</v>
      </c>
      <c r="N23" s="24">
        <v>1</v>
      </c>
      <c r="O23" s="643" t="s">
        <v>260</v>
      </c>
      <c r="P23" s="632"/>
      <c r="Q23" s="633"/>
      <c r="R23" s="643" t="s">
        <v>261</v>
      </c>
      <c r="S23" s="632"/>
      <c r="T23" s="63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43" t="s">
        <v>262</v>
      </c>
      <c r="AA23" s="633"/>
    </row>
    <row r="24" spans="1:27" ht="15.75" customHeight="1">
      <c r="A24" s="23"/>
      <c r="B24" s="6">
        <v>3</v>
      </c>
      <c r="C24" s="639"/>
      <c r="D24" s="632"/>
      <c r="E24" s="633"/>
      <c r="F24" s="4"/>
      <c r="G24" s="4"/>
      <c r="H24" s="4"/>
      <c r="I24" s="4"/>
      <c r="J24" s="639"/>
      <c r="K24" s="633"/>
      <c r="M24" s="25"/>
      <c r="N24" s="24">
        <v>2</v>
      </c>
      <c r="O24" s="578"/>
      <c r="P24" s="632"/>
      <c r="Q24" s="633"/>
      <c r="R24" s="578"/>
      <c r="S24" s="632"/>
      <c r="T24" s="633"/>
      <c r="U24" s="4"/>
      <c r="V24" s="14"/>
      <c r="W24" s="4"/>
      <c r="X24" s="16">
        <f>W24*U24</f>
        <v>0</v>
      </c>
      <c r="Y24" s="4"/>
      <c r="Z24" s="578"/>
      <c r="AA24" s="633"/>
    </row>
    <row r="25" spans="1:27" ht="15.75" customHeight="1">
      <c r="A25" s="23"/>
      <c r="B25" s="6">
        <v>4</v>
      </c>
      <c r="C25" s="639"/>
      <c r="D25" s="632"/>
      <c r="E25" s="633"/>
      <c r="F25" s="4"/>
      <c r="G25" s="4"/>
      <c r="H25" s="4"/>
      <c r="I25" s="4"/>
      <c r="J25" s="639"/>
      <c r="K25" s="633"/>
      <c r="M25" s="25"/>
      <c r="N25" s="24">
        <v>3</v>
      </c>
      <c r="O25" s="578"/>
      <c r="P25" s="632"/>
      <c r="Q25" s="633"/>
      <c r="R25" s="578"/>
      <c r="S25" s="632"/>
      <c r="T25" s="633"/>
      <c r="U25" s="4"/>
      <c r="V25" s="14"/>
      <c r="W25" s="4"/>
      <c r="X25" s="16">
        <f>W25*U25</f>
        <v>0</v>
      </c>
      <c r="Y25" s="4"/>
      <c r="Z25" s="578"/>
      <c r="AA25" s="633"/>
    </row>
    <row r="26" spans="1:27" ht="15.75" customHeight="1">
      <c r="A26" s="23"/>
      <c r="B26" s="26">
        <v>5</v>
      </c>
      <c r="C26" s="646"/>
      <c r="D26" s="634"/>
      <c r="E26" s="635"/>
      <c r="F26" s="27"/>
      <c r="G26" s="27"/>
      <c r="H26" s="27"/>
      <c r="I26" s="27"/>
      <c r="J26" s="646"/>
      <c r="K26" s="635"/>
      <c r="M26" s="25"/>
      <c r="N26" s="24">
        <v>4</v>
      </c>
      <c r="O26" s="578"/>
      <c r="P26" s="632"/>
      <c r="Q26" s="633"/>
      <c r="R26" s="578"/>
      <c r="S26" s="632"/>
      <c r="T26" s="633"/>
      <c r="U26" s="4"/>
      <c r="V26" s="14"/>
      <c r="W26" s="4"/>
      <c r="X26" s="16">
        <f>W26*U26</f>
        <v>0</v>
      </c>
      <c r="Y26" s="4"/>
      <c r="Z26" s="578"/>
      <c r="AA26" s="633"/>
    </row>
    <row r="27" spans="1:27" ht="15.75" customHeight="1">
      <c r="A27" s="23"/>
      <c r="B27" s="69" t="s">
        <v>263</v>
      </c>
      <c r="C27" s="636" t="s">
        <v>264</v>
      </c>
      <c r="D27" s="637"/>
      <c r="E27" s="638"/>
      <c r="F27" s="28">
        <v>4</v>
      </c>
      <c r="G27" s="28">
        <v>2800</v>
      </c>
      <c r="H27" s="28">
        <v>700</v>
      </c>
      <c r="I27" s="28" t="s">
        <v>265</v>
      </c>
      <c r="J27" s="636" t="s">
        <v>266</v>
      </c>
      <c r="K27" s="638"/>
      <c r="M27" s="25"/>
      <c r="N27" s="29">
        <v>5</v>
      </c>
      <c r="O27" s="577"/>
      <c r="P27" s="634"/>
      <c r="Q27" s="635"/>
      <c r="R27" s="577"/>
      <c r="S27" s="634"/>
      <c r="T27" s="635"/>
      <c r="U27" s="27"/>
      <c r="V27" s="30"/>
      <c r="W27" s="27"/>
      <c r="X27" s="31">
        <f>W27*U27</f>
        <v>0</v>
      </c>
      <c r="Y27" s="4"/>
      <c r="Z27" s="577"/>
      <c r="AA27" s="635"/>
    </row>
    <row r="28" spans="1:27" ht="15.75" customHeight="1">
      <c r="A28" s="23"/>
      <c r="B28" s="70" t="s">
        <v>267</v>
      </c>
      <c r="C28" s="639"/>
      <c r="D28" s="632"/>
      <c r="E28" s="633"/>
      <c r="F28" s="4"/>
      <c r="G28" s="4"/>
      <c r="H28" s="4"/>
      <c r="I28" s="4"/>
      <c r="J28" s="639"/>
      <c r="K28" s="633"/>
      <c r="M28" s="32"/>
      <c r="N28" s="55"/>
      <c r="O28" s="641"/>
      <c r="P28" s="632"/>
      <c r="Q28" s="632"/>
      <c r="R28" s="641"/>
      <c r="S28" s="632"/>
      <c r="T28" s="632"/>
      <c r="U28" s="59" t="s">
        <v>118</v>
      </c>
      <c r="V28" s="33">
        <f>X28/N18</f>
        <v>8.3333333333333329E-2</v>
      </c>
      <c r="W28" s="59" t="s">
        <v>119</v>
      </c>
      <c r="X28" s="34">
        <f>SUM(X23:X27)</f>
        <v>100</v>
      </c>
      <c r="Y28" s="45"/>
      <c r="Z28" s="641"/>
      <c r="AA28" s="633"/>
    </row>
    <row r="29" spans="1:27" ht="15.75" customHeight="1">
      <c r="A29" s="23"/>
      <c r="B29" s="70" t="s">
        <v>268</v>
      </c>
      <c r="C29" s="639"/>
      <c r="D29" s="632"/>
      <c r="E29" s="633"/>
      <c r="F29" s="4"/>
      <c r="G29" s="4"/>
      <c r="H29" s="4"/>
      <c r="I29" s="4"/>
      <c r="J29" s="639"/>
      <c r="K29" s="633"/>
      <c r="M29" s="56" t="s">
        <v>254</v>
      </c>
      <c r="N29" s="24">
        <v>1</v>
      </c>
      <c r="O29" s="655" t="s">
        <v>269</v>
      </c>
      <c r="P29" s="653"/>
      <c r="Q29" s="654"/>
      <c r="R29" s="652" t="s">
        <v>270</v>
      </c>
      <c r="S29" s="653"/>
      <c r="T29" s="65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2" t="s">
        <v>271</v>
      </c>
      <c r="AA29" s="654"/>
    </row>
    <row r="30" spans="1:27" ht="15.75" customHeight="1">
      <c r="A30" s="23"/>
      <c r="B30" s="70" t="s">
        <v>272</v>
      </c>
      <c r="C30" s="639"/>
      <c r="D30" s="632"/>
      <c r="E30" s="633"/>
      <c r="F30" s="4"/>
      <c r="G30" s="4"/>
      <c r="H30" s="4"/>
      <c r="I30" s="4"/>
      <c r="J30" s="639"/>
      <c r="K30" s="633"/>
      <c r="M30" s="25"/>
      <c r="N30" s="24">
        <v>2</v>
      </c>
      <c r="O30" s="578"/>
      <c r="P30" s="632"/>
      <c r="Q30" s="633"/>
      <c r="R30" s="578"/>
      <c r="S30" s="632"/>
      <c r="T30" s="633"/>
      <c r="U30" s="4"/>
      <c r="V30" s="14"/>
      <c r="W30" s="4"/>
      <c r="X30" s="16">
        <f>W30*U30</f>
        <v>0</v>
      </c>
      <c r="Y30" s="4"/>
      <c r="Z30" s="578"/>
      <c r="AA30" s="633"/>
    </row>
    <row r="31" spans="1:27" ht="15.75" customHeight="1">
      <c r="A31" s="20"/>
      <c r="B31" s="70" t="s">
        <v>273</v>
      </c>
      <c r="C31" s="639"/>
      <c r="D31" s="632"/>
      <c r="E31" s="633"/>
      <c r="F31" s="4"/>
      <c r="G31" s="4"/>
      <c r="H31" s="4"/>
      <c r="I31" s="4"/>
      <c r="J31" s="639"/>
      <c r="K31" s="633"/>
      <c r="M31" s="25"/>
      <c r="N31" s="24">
        <v>3</v>
      </c>
      <c r="O31" s="578"/>
      <c r="P31" s="632"/>
      <c r="Q31" s="633"/>
      <c r="R31" s="578"/>
      <c r="S31" s="632"/>
      <c r="T31" s="633"/>
      <c r="U31" s="4"/>
      <c r="V31" s="14"/>
      <c r="W31" s="4"/>
      <c r="X31" s="16">
        <f>W31*U31</f>
        <v>0</v>
      </c>
      <c r="Y31" s="4"/>
      <c r="Z31" s="578"/>
      <c r="AA31" s="633"/>
    </row>
    <row r="32" spans="1:27" ht="15.75" customHeight="1">
      <c r="A32" s="67"/>
      <c r="M32" s="25"/>
      <c r="N32" s="24">
        <v>4</v>
      </c>
      <c r="O32" s="578"/>
      <c r="P32" s="632"/>
      <c r="Q32" s="633"/>
      <c r="R32" s="578"/>
      <c r="S32" s="632"/>
      <c r="T32" s="633"/>
      <c r="U32" s="4"/>
      <c r="V32" s="14"/>
      <c r="W32" s="4"/>
      <c r="X32" s="16">
        <f>W32*U32</f>
        <v>0</v>
      </c>
      <c r="Y32" s="4"/>
      <c r="Z32" s="578"/>
      <c r="AA32" s="633"/>
    </row>
    <row r="33" spans="1:27" ht="15.75" customHeight="1">
      <c r="A33" s="18"/>
      <c r="B33" s="49" t="s">
        <v>51</v>
      </c>
      <c r="C33" s="640" t="s">
        <v>68</v>
      </c>
      <c r="D33" s="632"/>
      <c r="E33" s="633"/>
      <c r="F33" s="49" t="s">
        <v>56</v>
      </c>
      <c r="G33" s="49" t="s">
        <v>256</v>
      </c>
      <c r="H33" s="49" t="s">
        <v>257</v>
      </c>
      <c r="I33" s="8" t="s">
        <v>71</v>
      </c>
      <c r="J33" s="642" t="s">
        <v>72</v>
      </c>
      <c r="K33" s="633"/>
      <c r="M33" s="25"/>
      <c r="N33" s="29">
        <v>5</v>
      </c>
      <c r="O33" s="578"/>
      <c r="P33" s="632"/>
      <c r="Q33" s="633"/>
      <c r="R33" s="578"/>
      <c r="S33" s="632"/>
      <c r="T33" s="633"/>
      <c r="U33" s="27"/>
      <c r="V33" s="30"/>
      <c r="W33" s="27"/>
      <c r="X33" s="31">
        <f>W33*U33</f>
        <v>0</v>
      </c>
      <c r="Y33" s="4"/>
      <c r="Z33" s="578"/>
      <c r="AA33" s="633"/>
    </row>
    <row r="34" spans="1:27" ht="15.75" customHeight="1">
      <c r="A34" s="52" t="s">
        <v>233</v>
      </c>
      <c r="B34" s="6">
        <v>1</v>
      </c>
      <c r="C34" s="643" t="s">
        <v>274</v>
      </c>
      <c r="D34" s="632"/>
      <c r="E34" s="633"/>
      <c r="F34" s="4">
        <v>3</v>
      </c>
      <c r="G34" s="4">
        <v>2500</v>
      </c>
      <c r="H34" s="4">
        <v>833.33</v>
      </c>
      <c r="I34" s="4">
        <v>20</v>
      </c>
      <c r="J34" s="643" t="s">
        <v>275</v>
      </c>
      <c r="K34" s="633"/>
      <c r="M34" s="68"/>
      <c r="N34" s="45"/>
      <c r="O34" s="641"/>
      <c r="P34" s="632"/>
      <c r="Q34" s="632"/>
      <c r="R34" s="641"/>
      <c r="S34" s="632"/>
      <c r="T34" s="632"/>
      <c r="U34" s="59" t="s">
        <v>118</v>
      </c>
      <c r="V34" s="33">
        <f>X34/N18</f>
        <v>0.23125000000000001</v>
      </c>
      <c r="W34" s="59" t="s">
        <v>119</v>
      </c>
      <c r="X34" s="34">
        <f>SUM(X29:X33)</f>
        <v>277.5</v>
      </c>
      <c r="Y34" s="45"/>
      <c r="Z34" s="641"/>
      <c r="AA34" s="633"/>
    </row>
    <row r="35" spans="1:27" ht="15.75" customHeight="1">
      <c r="A35" s="23"/>
      <c r="B35" s="6">
        <v>2</v>
      </c>
      <c r="C35" s="578"/>
      <c r="D35" s="632"/>
      <c r="E35" s="633"/>
      <c r="F35" s="4"/>
      <c r="G35" s="4"/>
      <c r="H35" s="4"/>
      <c r="I35" s="4"/>
      <c r="J35" s="578"/>
      <c r="K35" s="633"/>
      <c r="M35" s="1"/>
      <c r="N35" s="1"/>
      <c r="O35" s="644"/>
      <c r="P35" s="645"/>
      <c r="Q35" s="645"/>
      <c r="R35" s="644"/>
      <c r="S35" s="645"/>
      <c r="T35" s="645"/>
      <c r="U35" s="1"/>
      <c r="V35" s="38"/>
      <c r="W35" s="1"/>
      <c r="X35" s="1"/>
      <c r="Y35" s="644"/>
      <c r="Z35" s="645"/>
      <c r="AA35" s="645"/>
    </row>
    <row r="36" spans="1:27" ht="15.75" customHeight="1">
      <c r="A36" s="23"/>
      <c r="B36" s="6">
        <v>3</v>
      </c>
      <c r="C36" s="578"/>
      <c r="D36" s="632"/>
      <c r="E36" s="633"/>
      <c r="F36" s="4"/>
      <c r="G36" s="4"/>
      <c r="H36" s="4"/>
      <c r="I36" s="4"/>
      <c r="J36" s="578"/>
      <c r="K36" s="633"/>
      <c r="M36" s="52" t="s">
        <v>238</v>
      </c>
      <c r="N36" s="57" t="s">
        <v>51</v>
      </c>
      <c r="O36" s="647" t="s">
        <v>68</v>
      </c>
      <c r="P36" s="641"/>
      <c r="Q36" s="649"/>
      <c r="R36" s="648" t="s">
        <v>112</v>
      </c>
      <c r="S36" s="650"/>
      <c r="T36" s="651"/>
      <c r="U36" s="57" t="s">
        <v>113</v>
      </c>
      <c r="V36" s="57" t="s">
        <v>114</v>
      </c>
      <c r="W36" s="57" t="s">
        <v>115</v>
      </c>
      <c r="X36" s="8" t="s">
        <v>100</v>
      </c>
      <c r="Y36" s="8" t="s">
        <v>71</v>
      </c>
      <c r="Z36" s="642" t="s">
        <v>72</v>
      </c>
      <c r="AA36" s="656"/>
    </row>
    <row r="37" spans="1:27" ht="15.75" customHeight="1">
      <c r="A37" s="23"/>
      <c r="B37" s="6">
        <v>4</v>
      </c>
      <c r="C37" s="578"/>
      <c r="D37" s="632"/>
      <c r="E37" s="633"/>
      <c r="F37" s="4"/>
      <c r="G37" s="4"/>
      <c r="H37" s="4"/>
      <c r="I37" s="4"/>
      <c r="J37" s="578"/>
      <c r="K37" s="633"/>
      <c r="M37" s="56" t="s">
        <v>138</v>
      </c>
      <c r="N37" s="24">
        <v>1</v>
      </c>
      <c r="O37" s="643" t="s">
        <v>276</v>
      </c>
      <c r="P37" s="632"/>
      <c r="Q37" s="633"/>
      <c r="R37" s="643" t="s">
        <v>277</v>
      </c>
      <c r="S37" s="632"/>
      <c r="T37" s="63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43" t="s">
        <v>278</v>
      </c>
      <c r="AA37" s="633"/>
    </row>
    <row r="38" spans="1:27" ht="15.75" customHeight="1">
      <c r="A38" s="23"/>
      <c r="B38" s="26">
        <v>5</v>
      </c>
      <c r="C38" s="577"/>
      <c r="D38" s="634"/>
      <c r="E38" s="635"/>
      <c r="F38" s="27"/>
      <c r="G38" s="27"/>
      <c r="H38" s="27"/>
      <c r="I38" s="27"/>
      <c r="J38" s="577"/>
      <c r="K38" s="635"/>
      <c r="M38" s="25"/>
      <c r="N38" s="24">
        <v>2</v>
      </c>
      <c r="O38" s="578"/>
      <c r="P38" s="632"/>
      <c r="Q38" s="633"/>
      <c r="R38" s="578"/>
      <c r="S38" s="632"/>
      <c r="T38" s="633"/>
      <c r="U38" s="4"/>
      <c r="V38" s="14"/>
      <c r="W38" s="4"/>
      <c r="X38" s="16">
        <f>W38*U38</f>
        <v>0</v>
      </c>
      <c r="Y38" s="4"/>
      <c r="Z38" s="578"/>
      <c r="AA38" s="633"/>
    </row>
    <row r="39" spans="1:27" ht="14.25">
      <c r="A39" s="23"/>
      <c r="B39" s="69" t="s">
        <v>263</v>
      </c>
      <c r="C39" s="636" t="s">
        <v>279</v>
      </c>
      <c r="D39" s="637"/>
      <c r="E39" s="638"/>
      <c r="F39" s="28">
        <v>7</v>
      </c>
      <c r="G39" s="28">
        <v>2200</v>
      </c>
      <c r="H39" s="28">
        <v>314.29000000000002</v>
      </c>
      <c r="I39" s="28">
        <v>-15</v>
      </c>
      <c r="J39" s="636" t="s">
        <v>280</v>
      </c>
      <c r="K39" s="638"/>
      <c r="M39" s="25"/>
      <c r="N39" s="24">
        <v>3</v>
      </c>
      <c r="O39" s="578"/>
      <c r="P39" s="632"/>
      <c r="Q39" s="633"/>
      <c r="R39" s="578"/>
      <c r="S39" s="632"/>
      <c r="T39" s="633"/>
      <c r="U39" s="4"/>
      <c r="V39" s="14"/>
      <c r="W39" s="4"/>
      <c r="X39" s="16">
        <f>W39*U39</f>
        <v>0</v>
      </c>
      <c r="Y39" s="4"/>
      <c r="Z39" s="578"/>
      <c r="AA39" s="633"/>
    </row>
    <row r="40" spans="1:27" ht="14.25">
      <c r="A40" s="23"/>
      <c r="B40" s="70" t="s">
        <v>267</v>
      </c>
      <c r="C40" s="578"/>
      <c r="D40" s="632"/>
      <c r="E40" s="633"/>
      <c r="F40" s="4"/>
      <c r="G40" s="4"/>
      <c r="H40" s="4"/>
      <c r="I40" s="4"/>
      <c r="J40" s="578"/>
      <c r="K40" s="633"/>
      <c r="M40" s="25"/>
      <c r="N40" s="24">
        <v>4</v>
      </c>
      <c r="O40" s="578"/>
      <c r="P40" s="632"/>
      <c r="Q40" s="633"/>
      <c r="R40" s="578"/>
      <c r="S40" s="632"/>
      <c r="T40" s="633"/>
      <c r="U40" s="4"/>
      <c r="V40" s="14"/>
      <c r="W40" s="4"/>
      <c r="X40" s="16">
        <f>W40*U40</f>
        <v>0</v>
      </c>
      <c r="Y40" s="4"/>
      <c r="Z40" s="578"/>
      <c r="AA40" s="633"/>
    </row>
    <row r="41" spans="1:27" ht="14.25">
      <c r="A41" s="23"/>
      <c r="B41" s="70" t="s">
        <v>268</v>
      </c>
      <c r="C41" s="578"/>
      <c r="D41" s="632"/>
      <c r="E41" s="633"/>
      <c r="F41" s="4"/>
      <c r="G41" s="4"/>
      <c r="H41" s="4"/>
      <c r="I41" s="4"/>
      <c r="J41" s="578"/>
      <c r="K41" s="633"/>
      <c r="M41" s="25"/>
      <c r="N41" s="29">
        <v>5</v>
      </c>
      <c r="O41" s="577"/>
      <c r="P41" s="634"/>
      <c r="Q41" s="635"/>
      <c r="R41" s="577"/>
      <c r="S41" s="634"/>
      <c r="T41" s="635"/>
      <c r="U41" s="27"/>
      <c r="V41" s="30"/>
      <c r="W41" s="27"/>
      <c r="X41" s="31">
        <f>W41*U41</f>
        <v>0</v>
      </c>
      <c r="Y41" s="4"/>
      <c r="Z41" s="578"/>
      <c r="AA41" s="633"/>
    </row>
    <row r="42" spans="1:27" ht="14.25">
      <c r="A42" s="23"/>
      <c r="B42" s="70" t="s">
        <v>272</v>
      </c>
      <c r="C42" s="578"/>
      <c r="D42" s="632"/>
      <c r="E42" s="633"/>
      <c r="F42" s="4"/>
      <c r="G42" s="4"/>
      <c r="H42" s="4"/>
      <c r="I42" s="4"/>
      <c r="J42" s="578"/>
      <c r="K42" s="633"/>
      <c r="M42" s="32"/>
      <c r="N42" s="54"/>
      <c r="O42" s="641"/>
      <c r="P42" s="632"/>
      <c r="Q42" s="632"/>
      <c r="R42" s="641"/>
      <c r="S42" s="632"/>
      <c r="T42" s="632"/>
      <c r="U42" s="59" t="s">
        <v>118</v>
      </c>
      <c r="V42" s="33">
        <f>X42/N19</f>
        <v>5.5555555555555552E-2</v>
      </c>
      <c r="W42" s="59" t="s">
        <v>119</v>
      </c>
      <c r="X42" s="34">
        <f>SUM(X37:X41)</f>
        <v>250</v>
      </c>
      <c r="Y42" s="45"/>
      <c r="Z42" s="641"/>
      <c r="AA42" s="633"/>
    </row>
    <row r="43" spans="1:27" ht="14.25">
      <c r="A43" s="20"/>
      <c r="B43" s="70" t="s">
        <v>273</v>
      </c>
      <c r="C43" s="578"/>
      <c r="D43" s="632"/>
      <c r="E43" s="633"/>
      <c r="F43" s="4"/>
      <c r="G43" s="4"/>
      <c r="H43" s="4"/>
      <c r="I43" s="4"/>
      <c r="J43" s="578"/>
      <c r="K43" s="633"/>
      <c r="M43" s="56" t="s">
        <v>254</v>
      </c>
      <c r="N43" s="24">
        <v>1</v>
      </c>
      <c r="O43" s="643" t="s">
        <v>276</v>
      </c>
      <c r="P43" s="632"/>
      <c r="Q43" s="633"/>
      <c r="R43" s="652" t="s">
        <v>281</v>
      </c>
      <c r="S43" s="653"/>
      <c r="T43" s="65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43" t="s">
        <v>282</v>
      </c>
      <c r="AA43" s="633"/>
    </row>
    <row r="44" spans="1:27" ht="14.25">
      <c r="A44" s="67"/>
      <c r="M44" s="25"/>
      <c r="N44" s="24">
        <v>2</v>
      </c>
      <c r="O44" s="578"/>
      <c r="P44" s="632"/>
      <c r="Q44" s="633"/>
      <c r="R44" s="578"/>
      <c r="S44" s="632"/>
      <c r="T44" s="633"/>
      <c r="U44" s="4"/>
      <c r="V44" s="14"/>
      <c r="W44" s="4"/>
      <c r="X44" s="37">
        <f>W44*U44</f>
        <v>0</v>
      </c>
      <c r="Y44" s="4"/>
      <c r="Z44" s="578"/>
      <c r="AA44" s="633"/>
    </row>
    <row r="45" spans="1:27" ht="14.25">
      <c r="A45" s="18"/>
      <c r="B45" s="49" t="s">
        <v>51</v>
      </c>
      <c r="C45" s="640" t="s">
        <v>68</v>
      </c>
      <c r="D45" s="632"/>
      <c r="E45" s="633"/>
      <c r="F45" s="49" t="s">
        <v>56</v>
      </c>
      <c r="G45" s="49" t="s">
        <v>256</v>
      </c>
      <c r="H45" s="49" t="s">
        <v>257</v>
      </c>
      <c r="I45" s="8" t="s">
        <v>71</v>
      </c>
      <c r="J45" s="642" t="s">
        <v>72</v>
      </c>
      <c r="K45" s="633"/>
      <c r="M45" s="25"/>
      <c r="N45" s="24">
        <v>3</v>
      </c>
      <c r="O45" s="578"/>
      <c r="P45" s="632"/>
      <c r="Q45" s="633"/>
      <c r="R45" s="578"/>
      <c r="S45" s="632"/>
      <c r="T45" s="633"/>
      <c r="U45" s="4"/>
      <c r="V45" s="14"/>
      <c r="W45" s="4"/>
      <c r="X45" s="37">
        <f>W45*U45</f>
        <v>0</v>
      </c>
      <c r="Y45" s="4"/>
      <c r="Z45" s="578"/>
      <c r="AA45" s="633"/>
    </row>
    <row r="46" spans="1:27" ht="14.25">
      <c r="A46" s="52" t="s">
        <v>236</v>
      </c>
      <c r="B46" s="6">
        <v>1</v>
      </c>
      <c r="C46" s="643" t="s">
        <v>260</v>
      </c>
      <c r="D46" s="632"/>
      <c r="E46" s="633"/>
      <c r="F46" s="4">
        <v>15</v>
      </c>
      <c r="G46" s="4">
        <v>1200</v>
      </c>
      <c r="H46" s="4">
        <v>80</v>
      </c>
      <c r="I46" s="4">
        <v>5</v>
      </c>
      <c r="J46" s="643" t="s">
        <v>283</v>
      </c>
      <c r="K46" s="633"/>
      <c r="M46" s="25"/>
      <c r="N46" s="24">
        <v>4</v>
      </c>
      <c r="O46" s="578"/>
      <c r="P46" s="632"/>
      <c r="Q46" s="633"/>
      <c r="R46" s="578"/>
      <c r="S46" s="632"/>
      <c r="T46" s="633"/>
      <c r="U46" s="4"/>
      <c r="V46" s="14"/>
      <c r="W46" s="4"/>
      <c r="X46" s="37">
        <f>W46*U46</f>
        <v>0</v>
      </c>
      <c r="Y46" s="4"/>
      <c r="Z46" s="578"/>
      <c r="AA46" s="633"/>
    </row>
    <row r="47" spans="1:27" ht="14.25">
      <c r="A47" s="23"/>
      <c r="B47" s="6">
        <v>2</v>
      </c>
      <c r="C47" s="578"/>
      <c r="D47" s="632"/>
      <c r="E47" s="633"/>
      <c r="F47" s="4"/>
      <c r="G47" s="4"/>
      <c r="H47" s="4"/>
      <c r="I47" s="4"/>
      <c r="J47" s="578"/>
      <c r="K47" s="633"/>
      <c r="M47" s="25"/>
      <c r="N47" s="29">
        <v>5</v>
      </c>
      <c r="O47" s="578"/>
      <c r="P47" s="632"/>
      <c r="Q47" s="633"/>
      <c r="R47" s="578"/>
      <c r="S47" s="632"/>
      <c r="T47" s="633"/>
      <c r="U47" s="27"/>
      <c r="V47" s="30"/>
      <c r="W47" s="27"/>
      <c r="X47" s="40">
        <f>W47*U47</f>
        <v>0</v>
      </c>
      <c r="Y47" s="4"/>
      <c r="Z47" s="578"/>
      <c r="AA47" s="633"/>
    </row>
    <row r="48" spans="1:27" ht="14.25">
      <c r="A48" s="23"/>
      <c r="B48" s="6">
        <v>3</v>
      </c>
      <c r="C48" s="578"/>
      <c r="D48" s="632"/>
      <c r="E48" s="633"/>
      <c r="F48" s="4"/>
      <c r="G48" s="4"/>
      <c r="H48" s="4"/>
      <c r="I48" s="4"/>
      <c r="J48" s="578"/>
      <c r="K48" s="633"/>
      <c r="M48" s="68"/>
      <c r="N48" s="45"/>
      <c r="O48" s="641"/>
      <c r="P48" s="632"/>
      <c r="Q48" s="632"/>
      <c r="R48" s="641"/>
      <c r="S48" s="632"/>
      <c r="T48" s="632"/>
      <c r="U48" s="59" t="s">
        <v>118</v>
      </c>
      <c r="V48" s="33">
        <f>X48/N19</f>
        <v>0.13333333333333333</v>
      </c>
      <c r="W48" s="59" t="s">
        <v>119</v>
      </c>
      <c r="X48" s="34">
        <f>SUM(X43:X47)</f>
        <v>600</v>
      </c>
      <c r="Y48" s="45"/>
      <c r="Z48" s="641"/>
      <c r="AA48" s="633"/>
    </row>
    <row r="49" spans="1:27" ht="14.25">
      <c r="A49" s="23"/>
      <c r="B49" s="6">
        <v>4</v>
      </c>
      <c r="C49" s="578"/>
      <c r="D49" s="632"/>
      <c r="E49" s="633"/>
      <c r="F49" s="4"/>
      <c r="G49" s="4"/>
      <c r="H49" s="4"/>
      <c r="I49" s="4"/>
      <c r="J49" s="578"/>
      <c r="K49" s="63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77"/>
      <c r="D50" s="634"/>
      <c r="E50" s="635"/>
      <c r="F50" s="27"/>
      <c r="G50" s="27"/>
      <c r="H50" s="27"/>
      <c r="I50" s="27"/>
      <c r="J50" s="577"/>
      <c r="K50" s="635"/>
      <c r="M50" s="64" t="s">
        <v>284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263</v>
      </c>
      <c r="C51" s="636" t="s">
        <v>276</v>
      </c>
      <c r="D51" s="637"/>
      <c r="E51" s="638"/>
      <c r="F51" s="28">
        <v>18</v>
      </c>
      <c r="G51" s="28">
        <v>800</v>
      </c>
      <c r="H51" s="28">
        <v>44.44</v>
      </c>
      <c r="I51" s="28">
        <v>-15</v>
      </c>
      <c r="J51" s="636" t="s">
        <v>285</v>
      </c>
      <c r="K51" s="638"/>
      <c r="M51" s="8"/>
      <c r="N51" s="8" t="s">
        <v>135</v>
      </c>
      <c r="O51" s="647" t="s">
        <v>68</v>
      </c>
      <c r="P51" s="641"/>
      <c r="Q51" s="649"/>
      <c r="R51" s="648" t="s">
        <v>112</v>
      </c>
      <c r="S51" s="650"/>
      <c r="T51" s="651"/>
      <c r="U51" s="57" t="s">
        <v>113</v>
      </c>
      <c r="V51" s="39" t="s">
        <v>136</v>
      </c>
      <c r="W51" s="57" t="s">
        <v>50</v>
      </c>
      <c r="X51" s="8" t="s">
        <v>137</v>
      </c>
      <c r="Y51" s="647" t="s">
        <v>72</v>
      </c>
      <c r="Z51" s="641"/>
      <c r="AA51" s="649"/>
    </row>
    <row r="52" spans="1:27" ht="14.25">
      <c r="A52" s="23"/>
      <c r="B52" s="70" t="s">
        <v>267</v>
      </c>
      <c r="C52" s="578"/>
      <c r="D52" s="632"/>
      <c r="E52" s="633"/>
      <c r="F52" s="4"/>
      <c r="G52" s="4"/>
      <c r="H52" s="4"/>
      <c r="I52" s="4"/>
      <c r="J52" s="578"/>
      <c r="K52" s="633"/>
      <c r="M52" s="56" t="s">
        <v>138</v>
      </c>
      <c r="N52" s="24">
        <v>1</v>
      </c>
      <c r="O52" s="643" t="s">
        <v>276</v>
      </c>
      <c r="P52" s="632"/>
      <c r="Q52" s="633"/>
      <c r="R52" s="652" t="s">
        <v>281</v>
      </c>
      <c r="S52" s="653"/>
      <c r="T52" s="65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43" t="s">
        <v>286</v>
      </c>
      <c r="Z52" s="632"/>
      <c r="AA52" s="633"/>
    </row>
    <row r="53" spans="1:27" ht="14.25">
      <c r="A53" s="23"/>
      <c r="B53" s="70" t="s">
        <v>268</v>
      </c>
      <c r="C53" s="578"/>
      <c r="D53" s="632"/>
      <c r="E53" s="633"/>
      <c r="F53" s="4"/>
      <c r="G53" s="4"/>
      <c r="H53" s="4"/>
      <c r="I53" s="4"/>
      <c r="J53" s="578"/>
      <c r="K53" s="633"/>
      <c r="M53" s="25"/>
      <c r="N53" s="29">
        <v>2</v>
      </c>
      <c r="O53" s="577"/>
      <c r="P53" s="634"/>
      <c r="Q53" s="635"/>
      <c r="R53" s="577"/>
      <c r="S53" s="634"/>
      <c r="T53" s="635"/>
      <c r="U53" s="27"/>
      <c r="V53" s="30"/>
      <c r="W53" s="30"/>
      <c r="X53" s="41">
        <f>W53-V53</f>
        <v>0</v>
      </c>
      <c r="Y53" s="577"/>
      <c r="Z53" s="634"/>
      <c r="AA53" s="635"/>
    </row>
    <row r="54" spans="1:27" ht="14.25">
      <c r="A54" s="23"/>
      <c r="B54" s="70" t="s">
        <v>272</v>
      </c>
      <c r="C54" s="578"/>
      <c r="D54" s="632"/>
      <c r="E54" s="633"/>
      <c r="F54" s="4"/>
      <c r="G54" s="4"/>
      <c r="H54" s="4"/>
      <c r="I54" s="4"/>
      <c r="J54" s="578"/>
      <c r="K54" s="633"/>
      <c r="M54" s="56" t="s">
        <v>254</v>
      </c>
      <c r="N54" s="42">
        <v>1</v>
      </c>
      <c r="O54" s="636" t="s">
        <v>287</v>
      </c>
      <c r="P54" s="637"/>
      <c r="Q54" s="638"/>
      <c r="R54" s="636" t="s">
        <v>288</v>
      </c>
      <c r="S54" s="637"/>
      <c r="T54" s="63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36" t="s">
        <v>289</v>
      </c>
      <c r="Z54" s="637"/>
      <c r="AA54" s="638"/>
    </row>
    <row r="55" spans="1:27" ht="14.25">
      <c r="A55" s="20"/>
      <c r="B55" s="70" t="s">
        <v>273</v>
      </c>
      <c r="C55" s="578"/>
      <c r="D55" s="632"/>
      <c r="E55" s="633"/>
      <c r="F55" s="4"/>
      <c r="G55" s="4"/>
      <c r="H55" s="4"/>
      <c r="I55" s="4"/>
      <c r="J55" s="578"/>
      <c r="K55" s="633"/>
      <c r="M55" s="22"/>
      <c r="N55" s="24">
        <v>2</v>
      </c>
      <c r="O55" s="578"/>
      <c r="P55" s="632"/>
      <c r="Q55" s="633"/>
      <c r="R55" s="578"/>
      <c r="S55" s="632"/>
      <c r="T55" s="633"/>
      <c r="U55" s="4"/>
      <c r="V55" s="14"/>
      <c r="W55" s="14"/>
      <c r="X55" s="13">
        <f>W55-V55</f>
        <v>0</v>
      </c>
      <c r="Y55" s="578"/>
      <c r="Z55" s="632"/>
      <c r="AA55" s="633"/>
    </row>
  </sheetData>
  <mergeCells count="162">
    <mergeCell ref="Y55:AA55"/>
    <mergeCell ref="Z48:AA48"/>
    <mergeCell ref="Y51:AA51"/>
    <mergeCell ref="Y52:AA52"/>
    <mergeCell ref="Y53:AA53"/>
    <mergeCell ref="Z46:AA46"/>
    <mergeCell ref="Z47:AA47"/>
    <mergeCell ref="Y35:AA35"/>
    <mergeCell ref="Z36:AA36"/>
    <mergeCell ref="Z42:AA42"/>
    <mergeCell ref="Z43:AA43"/>
    <mergeCell ref="Z44:AA44"/>
    <mergeCell ref="Z41:AA41"/>
    <mergeCell ref="R32:T32"/>
    <mergeCell ref="R33:T33"/>
    <mergeCell ref="O42:Q42"/>
    <mergeCell ref="R42:T42"/>
    <mergeCell ref="O43:Q43"/>
    <mergeCell ref="R43:T43"/>
    <mergeCell ref="O44:Q44"/>
    <mergeCell ref="R44:T44"/>
    <mergeCell ref="Z26:AA26"/>
    <mergeCell ref="Z27:AA27"/>
    <mergeCell ref="Z28:AA28"/>
    <mergeCell ref="Z29:AA29"/>
    <mergeCell ref="Z30:AA30"/>
    <mergeCell ref="Z31:AA31"/>
    <mergeCell ref="Z32:AA32"/>
    <mergeCell ref="Y54:AA54"/>
    <mergeCell ref="Z33:AA33"/>
    <mergeCell ref="Z34:AA34"/>
    <mergeCell ref="Z45:AA45"/>
    <mergeCell ref="O54:Q54"/>
    <mergeCell ref="R54:T54"/>
    <mergeCell ref="Z37:AA37"/>
    <mergeCell ref="Z38:AA38"/>
    <mergeCell ref="Z39:AA39"/>
    <mergeCell ref="Z40:AA40"/>
    <mergeCell ref="R39:T39"/>
    <mergeCell ref="R40:T40"/>
    <mergeCell ref="R41:T41"/>
    <mergeCell ref="R37:T37"/>
    <mergeCell ref="R38:T38"/>
    <mergeCell ref="O33:Q33"/>
    <mergeCell ref="R36:T36"/>
    <mergeCell ref="J35:K35"/>
    <mergeCell ref="J36:K36"/>
    <mergeCell ref="O45:Q45"/>
    <mergeCell ref="R45:T45"/>
    <mergeCell ref="O46:Q46"/>
    <mergeCell ref="R46:T46"/>
    <mergeCell ref="O47:Q47"/>
    <mergeCell ref="R47:T47"/>
    <mergeCell ref="J41:K41"/>
    <mergeCell ref="C42:E42"/>
    <mergeCell ref="J42:K42"/>
    <mergeCell ref="J43:K43"/>
    <mergeCell ref="C51:E51"/>
    <mergeCell ref="J47:K47"/>
    <mergeCell ref="J48:K48"/>
    <mergeCell ref="O29:Q29"/>
    <mergeCell ref="J27:K27"/>
    <mergeCell ref="J28:K28"/>
    <mergeCell ref="J29:K29"/>
    <mergeCell ref="J30:K30"/>
    <mergeCell ref="J31:K31"/>
    <mergeCell ref="J38:K38"/>
    <mergeCell ref="J39:K39"/>
    <mergeCell ref="O39:Q39"/>
    <mergeCell ref="O40:Q40"/>
    <mergeCell ref="J37:K37"/>
    <mergeCell ref="J40:K40"/>
    <mergeCell ref="O41:Q41"/>
    <mergeCell ref="O36:Q36"/>
    <mergeCell ref="O37:Q37"/>
    <mergeCell ref="O38:Q38"/>
    <mergeCell ref="C29:E29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C52:E52"/>
    <mergeCell ref="C53:E53"/>
    <mergeCell ref="C54:E54"/>
    <mergeCell ref="J49:K49"/>
    <mergeCell ref="J50:K50"/>
    <mergeCell ref="J51:K51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J22:K22"/>
    <mergeCell ref="J23:K23"/>
    <mergeCell ref="O24:Q24"/>
    <mergeCell ref="R24:T24"/>
    <mergeCell ref="Z24:AA24"/>
    <mergeCell ref="R25:T25"/>
    <mergeCell ref="Z25:AA25"/>
    <mergeCell ref="O25:Q25"/>
    <mergeCell ref="C24:E24"/>
    <mergeCell ref="J24:K24"/>
    <mergeCell ref="C25:E25"/>
    <mergeCell ref="J25:K25"/>
    <mergeCell ref="O34:Q34"/>
    <mergeCell ref="R34:T34"/>
    <mergeCell ref="J33:K33"/>
    <mergeCell ref="J34:K34"/>
    <mergeCell ref="O35:Q35"/>
    <mergeCell ref="C34:E34"/>
    <mergeCell ref="C35:E35"/>
    <mergeCell ref="J26:K26"/>
    <mergeCell ref="C26:E26"/>
    <mergeCell ref="O26:Q26"/>
    <mergeCell ref="R26:T26"/>
    <mergeCell ref="O27:Q27"/>
    <mergeCell ref="R27:T27"/>
    <mergeCell ref="O28:Q28"/>
    <mergeCell ref="R28:T28"/>
    <mergeCell ref="C27:E27"/>
    <mergeCell ref="C28:E28"/>
    <mergeCell ref="R29:T29"/>
    <mergeCell ref="O30:Q30"/>
    <mergeCell ref="R30:T30"/>
    <mergeCell ref="O31:Q31"/>
    <mergeCell ref="R31:T31"/>
    <mergeCell ref="R35:T35"/>
    <mergeCell ref="O32:Q32"/>
    <mergeCell ref="C36:E36"/>
    <mergeCell ref="C37:E37"/>
    <mergeCell ref="C38:E38"/>
    <mergeCell ref="C39:E39"/>
    <mergeCell ref="C40:E40"/>
    <mergeCell ref="C41:E41"/>
    <mergeCell ref="C30:E30"/>
    <mergeCell ref="C31:E31"/>
    <mergeCell ref="C33:E33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8" width="8.7109375" style="176" customWidth="1"/>
    <col min="9" max="16384" width="8.7109375" style="176"/>
  </cols>
  <sheetData>
    <row r="2" spans="2:7" ht="15.75">
      <c r="B2" s="657" t="s">
        <v>290</v>
      </c>
      <c r="C2" s="657"/>
      <c r="D2" s="657"/>
      <c r="E2" s="657"/>
      <c r="F2" s="657"/>
    </row>
    <row r="3" spans="2:7" ht="15">
      <c r="B3" s="177" t="s">
        <v>291</v>
      </c>
      <c r="C3" s="177" t="s">
        <v>229</v>
      </c>
      <c r="D3" s="178"/>
      <c r="E3" s="177" t="s">
        <v>292</v>
      </c>
      <c r="F3" s="177" t="s">
        <v>293</v>
      </c>
      <c r="G3" s="178"/>
    </row>
    <row r="4" spans="2:7" ht="15">
      <c r="B4" s="179" t="s">
        <v>294</v>
      </c>
      <c r="C4" s="179" t="s">
        <v>295</v>
      </c>
      <c r="D4" s="178"/>
      <c r="E4" s="179" t="s">
        <v>296</v>
      </c>
      <c r="F4" s="179" t="s">
        <v>297</v>
      </c>
      <c r="G4" s="178"/>
    </row>
    <row r="5" spans="2:7" ht="15">
      <c r="B5" s="179" t="s">
        <v>298</v>
      </c>
      <c r="C5" s="179" t="s">
        <v>299</v>
      </c>
      <c r="D5" s="178"/>
      <c r="E5" s="179" t="s">
        <v>300</v>
      </c>
      <c r="F5" s="179" t="s">
        <v>301</v>
      </c>
      <c r="G5" s="178"/>
    </row>
    <row r="6" spans="2:7" ht="15">
      <c r="B6" s="179" t="s">
        <v>302</v>
      </c>
      <c r="C6" s="179" t="s">
        <v>303</v>
      </c>
      <c r="D6" s="178"/>
      <c r="E6" s="180" t="s">
        <v>304</v>
      </c>
      <c r="F6" s="180" t="s">
        <v>60</v>
      </c>
      <c r="G6" s="178"/>
    </row>
    <row r="7" spans="2:7" ht="15">
      <c r="B7" s="180" t="s">
        <v>305</v>
      </c>
      <c r="C7" s="180" t="s">
        <v>306</v>
      </c>
      <c r="D7" s="178"/>
      <c r="E7" s="179" t="s">
        <v>307</v>
      </c>
      <c r="F7" s="179" t="s">
        <v>308</v>
      </c>
      <c r="G7" s="178"/>
    </row>
    <row r="8" spans="2:7" ht="15">
      <c r="B8" s="179" t="s">
        <v>309</v>
      </c>
      <c r="C8" s="179" t="s">
        <v>310</v>
      </c>
      <c r="D8" s="178"/>
      <c r="E8" s="179" t="s">
        <v>311</v>
      </c>
      <c r="F8" s="179" t="s">
        <v>312</v>
      </c>
      <c r="G8" s="178"/>
    </row>
    <row r="9" spans="2:7" ht="15">
      <c r="B9" s="179" t="s">
        <v>313</v>
      </c>
      <c r="C9" s="179" t="s">
        <v>314</v>
      </c>
      <c r="D9" s="178"/>
      <c r="E9" s="180" t="s">
        <v>315</v>
      </c>
      <c r="F9" s="180" t="s">
        <v>316</v>
      </c>
      <c r="G9" s="178"/>
    </row>
    <row r="10" spans="2:7" ht="15">
      <c r="B10" s="179" t="s">
        <v>317</v>
      </c>
      <c r="C10" s="179" t="s">
        <v>318</v>
      </c>
      <c r="D10" s="178"/>
      <c r="E10" s="179" t="s">
        <v>319</v>
      </c>
      <c r="F10" s="179" t="s">
        <v>320</v>
      </c>
      <c r="G10" s="178"/>
    </row>
    <row r="11" spans="2:7" ht="15">
      <c r="B11" s="179" t="s">
        <v>321</v>
      </c>
      <c r="C11" s="179" t="s">
        <v>322</v>
      </c>
      <c r="D11" s="178"/>
      <c r="E11" s="179" t="s">
        <v>323</v>
      </c>
      <c r="F11" s="179" t="s">
        <v>312</v>
      </c>
      <c r="G11" s="178"/>
    </row>
    <row r="12" spans="2:7" ht="15">
      <c r="B12" s="179" t="s">
        <v>324</v>
      </c>
      <c r="C12" s="179" t="s">
        <v>325</v>
      </c>
      <c r="D12" s="178"/>
      <c r="E12" s="179" t="s">
        <v>326</v>
      </c>
      <c r="F12" s="179" t="s">
        <v>250</v>
      </c>
      <c r="G12" s="178"/>
    </row>
    <row r="13" spans="2:7" ht="15">
      <c r="B13" s="180" t="s">
        <v>327</v>
      </c>
      <c r="C13" s="180" t="s">
        <v>236</v>
      </c>
      <c r="D13" s="178"/>
      <c r="E13" s="179" t="s">
        <v>328</v>
      </c>
      <c r="F13" s="179" t="s">
        <v>329</v>
      </c>
      <c r="G13" s="178"/>
    </row>
    <row r="14" spans="2:7" ht="15">
      <c r="B14" s="179" t="s">
        <v>330</v>
      </c>
      <c r="C14" s="179" t="s">
        <v>331</v>
      </c>
      <c r="D14" s="178"/>
      <c r="E14" s="180" t="s">
        <v>332</v>
      </c>
      <c r="F14" s="180" t="s">
        <v>333</v>
      </c>
      <c r="G14" s="178"/>
    </row>
    <row r="15" spans="2:7" ht="15">
      <c r="B15" s="180" t="s">
        <v>334</v>
      </c>
      <c r="C15" s="180" t="s">
        <v>335</v>
      </c>
      <c r="D15" s="178"/>
      <c r="E15" s="179" t="s">
        <v>336</v>
      </c>
      <c r="F15" s="179" t="s">
        <v>333</v>
      </c>
      <c r="G15" s="178"/>
    </row>
    <row r="16" spans="2:7" ht="15">
      <c r="B16" s="179" t="s">
        <v>337</v>
      </c>
      <c r="C16" s="179" t="s">
        <v>338</v>
      </c>
      <c r="D16" s="178"/>
      <c r="E16" s="180" t="s">
        <v>339</v>
      </c>
      <c r="F16" s="180" t="s">
        <v>340</v>
      </c>
      <c r="G16" s="178"/>
    </row>
    <row r="17" spans="2:7" ht="15">
      <c r="B17" s="179" t="s">
        <v>341</v>
      </c>
      <c r="C17" s="179" t="s">
        <v>342</v>
      </c>
      <c r="D17" s="178"/>
      <c r="E17" s="179" t="s">
        <v>343</v>
      </c>
      <c r="F17" s="179" t="s">
        <v>344</v>
      </c>
      <c r="G17" s="178"/>
    </row>
    <row r="18" spans="2:7" ht="15">
      <c r="B18" s="179" t="s">
        <v>345</v>
      </c>
      <c r="C18" s="179" t="s">
        <v>346</v>
      </c>
      <c r="D18" s="178"/>
      <c r="E18" s="179" t="s">
        <v>347</v>
      </c>
      <c r="F18" s="179" t="s">
        <v>348</v>
      </c>
      <c r="G18" s="178"/>
    </row>
    <row r="19" spans="2:7" ht="15">
      <c r="B19" s="179" t="s">
        <v>349</v>
      </c>
      <c r="C19" s="179" t="s">
        <v>350</v>
      </c>
      <c r="D19" s="178"/>
      <c r="E19" s="179" t="s">
        <v>351</v>
      </c>
      <c r="F19" s="179" t="s">
        <v>352</v>
      </c>
      <c r="G19" s="178"/>
    </row>
    <row r="20" spans="2:7" ht="15">
      <c r="B20" s="179" t="s">
        <v>353</v>
      </c>
      <c r="C20" s="179" t="s">
        <v>354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K17" sqref="K17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9" width="9.140625" style="204" customWidth="1"/>
    <col min="10" max="16384" width="9.140625" style="204"/>
  </cols>
  <sheetData>
    <row r="1" spans="1:4" ht="15.75">
      <c r="A1" s="230" t="s">
        <v>355</v>
      </c>
      <c r="B1" s="230" t="s">
        <v>56</v>
      </c>
      <c r="C1" s="230" t="s">
        <v>256</v>
      </c>
      <c r="D1" s="203"/>
    </row>
    <row r="2" spans="1:4" ht="15.75">
      <c r="A2" s="230" t="s">
        <v>74</v>
      </c>
      <c r="B2" s="230">
        <v>13</v>
      </c>
      <c r="C2" s="230">
        <v>2000</v>
      </c>
      <c r="D2" s="205" t="s">
        <v>356</v>
      </c>
    </row>
    <row r="3" spans="1:4" ht="15.75">
      <c r="A3" s="230" t="s">
        <v>357</v>
      </c>
      <c r="B3" s="230">
        <v>15</v>
      </c>
      <c r="C3" s="230">
        <v>1565</v>
      </c>
      <c r="D3" s="205" t="s">
        <v>358</v>
      </c>
    </row>
    <row r="4" spans="1:4" ht="15.75">
      <c r="A4" s="230" t="s">
        <v>78</v>
      </c>
      <c r="B4" s="230">
        <v>15</v>
      </c>
      <c r="C4" s="230">
        <v>2000</v>
      </c>
      <c r="D4" s="203"/>
    </row>
    <row r="5" spans="1:4" ht="15.75">
      <c r="A5" s="230" t="s">
        <v>75</v>
      </c>
      <c r="B5" s="230">
        <v>12</v>
      </c>
      <c r="C5" s="230">
        <v>2000</v>
      </c>
      <c r="D5" s="203"/>
    </row>
    <row r="6" spans="1:4" ht="15.75">
      <c r="A6" s="230" t="s">
        <v>182</v>
      </c>
      <c r="B6" s="230">
        <v>18</v>
      </c>
      <c r="C6" s="230">
        <v>1565</v>
      </c>
      <c r="D6" s="203"/>
    </row>
    <row r="7" spans="1:4" ht="15.75">
      <c r="A7" s="230" t="s">
        <v>76</v>
      </c>
      <c r="B7" s="230">
        <v>13</v>
      </c>
      <c r="C7" s="230">
        <v>2000</v>
      </c>
      <c r="D7" s="203"/>
    </row>
    <row r="8" spans="1:4" ht="15.75">
      <c r="A8" s="230" t="s">
        <v>77</v>
      </c>
      <c r="B8" s="230">
        <v>14</v>
      </c>
      <c r="C8" s="230">
        <v>1895</v>
      </c>
      <c r="D8" s="203"/>
    </row>
    <row r="9" spans="1:4" ht="15.75">
      <c r="A9" s="230" t="s">
        <v>359</v>
      </c>
      <c r="B9" s="230">
        <v>17</v>
      </c>
      <c r="C9" s="230">
        <v>1500</v>
      </c>
      <c r="D9" s="203"/>
    </row>
    <row r="10" spans="1:4" ht="15.75">
      <c r="A10" s="230" t="s">
        <v>87</v>
      </c>
      <c r="B10" s="230">
        <v>17</v>
      </c>
      <c r="C10" s="230">
        <v>1565</v>
      </c>
      <c r="D10" s="203"/>
    </row>
    <row r="11" spans="1:4" ht="15.75">
      <c r="A11" s="230" t="s">
        <v>360</v>
      </c>
      <c r="B11" s="230">
        <v>14</v>
      </c>
      <c r="C11" s="230">
        <v>1385</v>
      </c>
      <c r="D11" s="203"/>
    </row>
    <row r="12" spans="1:4" ht="15.75">
      <c r="A12" s="230" t="s">
        <v>83</v>
      </c>
      <c r="B12" s="230">
        <v>18</v>
      </c>
      <c r="C12" s="230">
        <v>1385</v>
      </c>
      <c r="D12" s="203"/>
    </row>
    <row r="13" spans="1:4" ht="15.75">
      <c r="A13" s="230" t="s">
        <v>361</v>
      </c>
      <c r="B13" s="230">
        <v>16</v>
      </c>
      <c r="C13" s="230">
        <v>1385</v>
      </c>
      <c r="D13" s="203"/>
    </row>
    <row r="14" spans="1:4" ht="15.75">
      <c r="A14" s="230" t="s">
        <v>81</v>
      </c>
      <c r="B14" s="230">
        <v>17</v>
      </c>
      <c r="C14" s="230">
        <v>1385</v>
      </c>
      <c r="D14" s="203"/>
    </row>
    <row r="15" spans="1:4" ht="15.75">
      <c r="A15" s="230" t="s">
        <v>85</v>
      </c>
      <c r="B15" s="230">
        <v>15</v>
      </c>
      <c r="C15" s="230">
        <v>1440</v>
      </c>
      <c r="D15" s="203"/>
    </row>
    <row r="16" spans="1:4" ht="15.75">
      <c r="A16" s="230" t="s">
        <v>89</v>
      </c>
      <c r="B16" s="230">
        <v>16</v>
      </c>
      <c r="C16" s="230">
        <v>1385</v>
      </c>
      <c r="D16" s="203"/>
    </row>
    <row r="17" spans="1:5" ht="15.75">
      <c r="A17" s="382" t="s">
        <v>176</v>
      </c>
      <c r="B17" s="382">
        <v>15</v>
      </c>
      <c r="C17" s="382">
        <v>1636</v>
      </c>
      <c r="D17" s="203"/>
    </row>
    <row r="18" spans="1:5" ht="15.75">
      <c r="A18" s="230"/>
      <c r="B18" s="230"/>
      <c r="C18" s="230"/>
      <c r="D18" s="203"/>
    </row>
    <row r="19" spans="1:5" ht="15.75">
      <c r="A19" s="230"/>
      <c r="B19" s="230"/>
      <c r="C19" s="230"/>
      <c r="D19" s="203"/>
    </row>
    <row r="20" spans="1:5" ht="15.75">
      <c r="A20" s="230"/>
      <c r="B20" s="230"/>
      <c r="C20" s="230"/>
      <c r="D20" s="203"/>
    </row>
    <row r="21" spans="1:5" ht="15.75">
      <c r="A21" s="230"/>
      <c r="B21" s="230"/>
      <c r="C21" s="230"/>
      <c r="D21" s="203"/>
    </row>
    <row r="22" spans="1:5" ht="15.75">
      <c r="A22" s="230"/>
      <c r="B22" s="230"/>
      <c r="C22" s="230"/>
    </row>
    <row r="23" spans="1:5" ht="15.75">
      <c r="A23" s="230"/>
      <c r="B23" s="230"/>
      <c r="C23" s="230"/>
      <c r="E23" s="345" t="s">
        <v>362</v>
      </c>
    </row>
    <row r="24" spans="1:5" ht="15.75">
      <c r="A24" s="230"/>
      <c r="B24" s="230"/>
      <c r="C24" s="230"/>
    </row>
    <row r="25" spans="1:5" ht="15.75">
      <c r="A25" s="230" t="s">
        <v>61</v>
      </c>
      <c r="B25" s="230">
        <v>13</v>
      </c>
      <c r="C25" s="230">
        <v>1565</v>
      </c>
    </row>
    <row r="26" spans="1:5" ht="15.75">
      <c r="A26" s="230" t="s">
        <v>62</v>
      </c>
      <c r="B26" s="230">
        <v>12</v>
      </c>
      <c r="C26" s="230">
        <v>1565</v>
      </c>
    </row>
    <row r="27" spans="1:5" ht="15.75">
      <c r="A27" s="230" t="s">
        <v>63</v>
      </c>
      <c r="B27" s="230">
        <v>12</v>
      </c>
      <c r="C27" s="230">
        <v>1565</v>
      </c>
    </row>
    <row r="28" spans="1:5" ht="15.75">
      <c r="A28" s="230"/>
      <c r="B28" s="230"/>
      <c r="C28" s="230"/>
    </row>
    <row r="29" spans="1:5" ht="15.75">
      <c r="A29" s="230"/>
      <c r="B29" s="230"/>
      <c r="C29" s="230"/>
    </row>
    <row r="30" spans="1:5" ht="15.75">
      <c r="A30" s="230"/>
      <c r="B30" s="230"/>
      <c r="C30" s="230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E5D6E4-6EB8-4625-BBA9-78FA253299C8}"/>
</file>

<file path=customXml/itemProps2.xml><?xml version="1.0" encoding="utf-8"?>
<ds:datastoreItem xmlns:ds="http://schemas.openxmlformats.org/officeDocument/2006/customXml" ds:itemID="{23B7E3C1-E22E-42E2-A51D-26FCD0AC3416}"/>
</file>

<file path=customXml/itemProps3.xml><?xml version="1.0" encoding="utf-8"?>
<ds:datastoreItem xmlns:ds="http://schemas.openxmlformats.org/officeDocument/2006/customXml" ds:itemID="{3D50EFDD-A905-48F9-A2A5-422A0573E2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11產線配置圖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2025-11-26T05:07:12Z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