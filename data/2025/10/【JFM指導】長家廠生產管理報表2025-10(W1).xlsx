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20" yWindow="-120" windowWidth="29040" windowHeight="15720" tabRatio="865" activeTab="5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（熱食義麵）" sheetId="48" r:id="rId7"/>
    <sheet name="（５-2）品群別人時生產性(季節調理麵) " sheetId="36" r:id="rId8"/>
    <sheet name="（５-3）品群別人時生產性(微波小吃)" sheetId="49" r:id="rId9"/>
    <sheet name="生產管理報表 6-1" sheetId="44" r:id="rId10"/>
    <sheet name="生產管理報表 7-1(月)" sheetId="40" r:id="rId11"/>
    <sheet name="生產管理報表 7-1 (週)" sheetId="41" r:id="rId12"/>
    <sheet name="生產管理報表 8-1" sheetId="19" r:id="rId13"/>
    <sheet name="生產管理報表 8-2" sheetId="20" r:id="rId14"/>
    <sheet name="生產管理報表 9" sheetId="21" r:id="rId15"/>
    <sheet name="報廢－原因別分析" sheetId="29" r:id="rId16"/>
    <sheet name="超用－原因別分析" sheetId="43" r:id="rId17"/>
    <sheet name="填寫舉例" sheetId="1" r:id="rId18"/>
    <sheet name="鮮食品群番" sheetId="38" r:id="rId19"/>
    <sheet name="10產線配置圖" sheetId="47" r:id="rId20"/>
  </sheets>
  <externalReferences>
    <externalReference r:id="rId21"/>
  </externalReferences>
  <definedNames>
    <definedName name="_xlnm._FilterDatabase" localSheetId="6" hidden="1">'（５-1）品群別人時生產性（熱食義麵）'!#REF!</definedName>
    <definedName name="_xlnm._FilterDatabase" localSheetId="7" hidden="1">'（５-2）品群別人時生產性(季節調理麵) '!#REF!</definedName>
    <definedName name="_xlnm._FilterDatabase" localSheetId="8" hidden="1">'（５-3）品群別人時生產性(微波小吃)'!#REF!</definedName>
    <definedName name="_xlnm._FilterDatabase" localSheetId="15" hidden="1">'報廢－原因別分析'!$U$7:$U$118</definedName>
    <definedName name="_xlnm._FilterDatabase" localSheetId="16" hidden="1">'超用－原因別分析'!$U$7:$U$118</definedName>
    <definedName name="_xlnm.Print_Area" localSheetId="9">'生產管理報表 6-1'!$A$1:$L$39</definedName>
    <definedName name="_xlnm.Print_Area" localSheetId="11">'生產管理報表 7-1 (週)'!$A$1:$M$15</definedName>
    <definedName name="_xlnm.Print_Area" localSheetId="10">'生產管理報表 7-1(月)'!$A$1:$M$15</definedName>
    <definedName name="_xlnm.Print_Area" localSheetId="14">'生產管理報表 9'!#REF!</definedName>
    <definedName name="_xlnm.Print_Area" localSheetId="0">'生產管理報表(月)'!$A$1:$K$24</definedName>
    <definedName name="_xlnm.Print_Area" localSheetId="1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6" i="29" l="1"/>
  <c r="M295" i="29"/>
  <c r="M294" i="29"/>
  <c r="M293" i="29"/>
  <c r="M292" i="29"/>
  <c r="M291" i="29"/>
  <c r="M290" i="29"/>
  <c r="M289" i="29"/>
  <c r="M288" i="29"/>
  <c r="M287" i="29"/>
  <c r="M286" i="29"/>
  <c r="M285" i="29"/>
  <c r="M284" i="29"/>
  <c r="M283" i="29"/>
  <c r="M282" i="29"/>
  <c r="M281" i="29"/>
  <c r="M280" i="29"/>
  <c r="M279" i="29"/>
  <c r="M278" i="29"/>
  <c r="M277" i="29"/>
  <c r="M276" i="29"/>
  <c r="M275" i="29"/>
  <c r="M274" i="29"/>
  <c r="M273" i="29"/>
  <c r="M272" i="29"/>
  <c r="M271" i="29"/>
  <c r="M270" i="29"/>
  <c r="M269" i="29"/>
  <c r="M268" i="29"/>
  <c r="M267" i="29"/>
  <c r="M266" i="29"/>
  <c r="M265" i="29"/>
  <c r="M264" i="29"/>
  <c r="M263" i="29"/>
  <c r="M262" i="29"/>
  <c r="M261" i="29"/>
  <c r="M260" i="29"/>
  <c r="M259" i="29"/>
  <c r="M258" i="29"/>
  <c r="M257" i="29"/>
  <c r="M256" i="29"/>
  <c r="M255" i="29"/>
  <c r="M254" i="29"/>
  <c r="M253" i="29"/>
  <c r="M252" i="29"/>
  <c r="M251" i="29"/>
  <c r="M250" i="29"/>
  <c r="M249" i="29"/>
  <c r="M248" i="29"/>
  <c r="M247" i="29"/>
  <c r="M246" i="29"/>
  <c r="M245" i="29"/>
  <c r="M244" i="29"/>
  <c r="M243" i="29"/>
  <c r="M242" i="29"/>
  <c r="M241" i="29"/>
  <c r="M240" i="29"/>
  <c r="M239" i="29"/>
  <c r="M238" i="29"/>
  <c r="M237" i="29"/>
  <c r="M236" i="29"/>
  <c r="M235" i="29"/>
  <c r="M234" i="29"/>
  <c r="M233" i="29"/>
  <c r="M232" i="29"/>
  <c r="M231" i="29"/>
  <c r="M230" i="29"/>
  <c r="M229" i="29"/>
  <c r="M228" i="29"/>
  <c r="M227" i="29"/>
  <c r="M226" i="29"/>
  <c r="M225" i="29"/>
  <c r="M224" i="29"/>
  <c r="M223" i="29"/>
  <c r="M222" i="29"/>
  <c r="M221" i="29"/>
  <c r="M220" i="29"/>
  <c r="M219" i="29"/>
  <c r="M218" i="29"/>
  <c r="M217" i="29"/>
  <c r="M216" i="29"/>
  <c r="M215" i="29"/>
  <c r="M214" i="29"/>
  <c r="M213" i="29"/>
  <c r="M212" i="29"/>
  <c r="M211" i="29"/>
  <c r="M210" i="29"/>
  <c r="M209" i="29"/>
  <c r="M208" i="29"/>
  <c r="M207" i="29"/>
  <c r="M206" i="29"/>
  <c r="M205" i="29"/>
  <c r="M204" i="29"/>
  <c r="M203" i="29"/>
  <c r="M202" i="29"/>
  <c r="M201" i="29"/>
  <c r="M200" i="29"/>
  <c r="M199" i="29"/>
  <c r="M198" i="29"/>
  <c r="M197" i="29"/>
  <c r="M196" i="29"/>
  <c r="M195" i="29"/>
  <c r="M194" i="29"/>
  <c r="M193" i="29"/>
  <c r="M192" i="29"/>
  <c r="M191" i="29"/>
  <c r="M190" i="29"/>
  <c r="M189" i="29"/>
  <c r="M188" i="29"/>
  <c r="M187" i="29"/>
  <c r="M186" i="29"/>
  <c r="M185" i="29"/>
  <c r="M184" i="29"/>
  <c r="M183" i="29"/>
  <c r="M182" i="29"/>
  <c r="M181" i="29"/>
  <c r="M180" i="29"/>
  <c r="M179" i="29"/>
  <c r="M178" i="29"/>
  <c r="M177" i="29"/>
  <c r="M176" i="29"/>
  <c r="M175" i="29"/>
  <c r="M174" i="29"/>
  <c r="M173" i="29"/>
  <c r="M172" i="29"/>
  <c r="M171" i="29"/>
  <c r="M170" i="29"/>
  <c r="M169" i="29"/>
  <c r="M168" i="29"/>
  <c r="M167" i="29"/>
  <c r="M166" i="29"/>
  <c r="M165" i="29"/>
  <c r="M164" i="29"/>
  <c r="M163" i="29"/>
  <c r="M162" i="29"/>
  <c r="M161" i="29"/>
  <c r="M160" i="29"/>
  <c r="M159" i="29"/>
  <c r="M158" i="29"/>
  <c r="M157" i="29"/>
  <c r="M156" i="29"/>
  <c r="M155" i="29"/>
  <c r="M154" i="29"/>
  <c r="M153" i="29"/>
  <c r="M152" i="29"/>
  <c r="M151" i="29"/>
  <c r="M150" i="29"/>
  <c r="M149" i="29"/>
  <c r="M148" i="29"/>
  <c r="M147" i="29"/>
  <c r="M146" i="29"/>
  <c r="M145" i="29"/>
  <c r="M144" i="29"/>
  <c r="M143" i="29"/>
  <c r="M142" i="29"/>
  <c r="M141" i="29"/>
  <c r="M140" i="29"/>
  <c r="M139" i="29"/>
  <c r="M138" i="29"/>
  <c r="M137" i="29"/>
  <c r="M136" i="29"/>
  <c r="M135" i="29"/>
  <c r="M134" i="29"/>
  <c r="M133" i="29"/>
  <c r="M132" i="29"/>
  <c r="M131" i="29"/>
  <c r="M130" i="29"/>
  <c r="M129" i="29"/>
  <c r="M128" i="29"/>
  <c r="M127" i="29"/>
  <c r="M126" i="29"/>
  <c r="M125" i="29"/>
  <c r="M124" i="29"/>
  <c r="M123" i="29"/>
  <c r="M122" i="29"/>
  <c r="M121" i="29"/>
  <c r="M120" i="29"/>
  <c r="M119" i="29"/>
  <c r="M118" i="29"/>
  <c r="M117" i="29"/>
  <c r="M116" i="29"/>
  <c r="M115" i="29"/>
  <c r="M114" i="29"/>
  <c r="M113" i="29"/>
  <c r="M112" i="29"/>
  <c r="M111" i="29"/>
  <c r="M110" i="29"/>
  <c r="M109" i="29"/>
  <c r="M108" i="29"/>
  <c r="M107" i="29"/>
  <c r="M106" i="29"/>
  <c r="M105" i="29"/>
  <c r="M104" i="29"/>
  <c r="M103" i="29"/>
  <c r="M102" i="29"/>
  <c r="M101" i="29"/>
  <c r="M100" i="29"/>
  <c r="M99" i="29"/>
  <c r="M98" i="29"/>
  <c r="M97" i="29"/>
  <c r="M96" i="29"/>
  <c r="M95" i="29"/>
  <c r="M94" i="29"/>
  <c r="M93" i="29"/>
  <c r="M92" i="29"/>
  <c r="M91" i="29"/>
  <c r="M90" i="29"/>
  <c r="M89" i="29"/>
  <c r="M88" i="29"/>
  <c r="M87" i="29"/>
  <c r="M86" i="29"/>
  <c r="M85" i="29"/>
  <c r="M84" i="29"/>
  <c r="M83" i="29"/>
  <c r="M82" i="29"/>
  <c r="M81" i="29"/>
  <c r="M80" i="29"/>
  <c r="M79" i="29"/>
  <c r="M78" i="29"/>
  <c r="M77" i="29"/>
  <c r="M76" i="29"/>
  <c r="M75" i="29"/>
  <c r="M74" i="29"/>
  <c r="M73" i="29"/>
  <c r="M72" i="29"/>
  <c r="M71" i="29"/>
  <c r="M70" i="29"/>
  <c r="M69" i="29"/>
  <c r="M68" i="29"/>
  <c r="M67" i="29"/>
  <c r="M66" i="29"/>
  <c r="M65" i="29"/>
  <c r="M64" i="29"/>
  <c r="M63" i="29"/>
  <c r="M62" i="29"/>
  <c r="M61" i="29"/>
  <c r="M60" i="29"/>
  <c r="M59" i="29"/>
  <c r="M58" i="29"/>
  <c r="M57" i="29"/>
  <c r="M56" i="29"/>
  <c r="M55" i="29"/>
  <c r="M54" i="29"/>
  <c r="M53" i="29"/>
  <c r="M52" i="29"/>
  <c r="M51" i="29"/>
  <c r="M50" i="29"/>
  <c r="M49" i="29"/>
  <c r="M48" i="29"/>
  <c r="M47" i="29"/>
  <c r="M46" i="29"/>
  <c r="M45" i="29"/>
  <c r="M44" i="29"/>
  <c r="M43" i="29"/>
  <c r="M42" i="29"/>
  <c r="M41" i="29"/>
  <c r="M40" i="29"/>
  <c r="M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K296" i="29"/>
  <c r="K295" i="29"/>
  <c r="K294" i="29"/>
  <c r="K293" i="29"/>
  <c r="K292" i="29"/>
  <c r="K291" i="29"/>
  <c r="K290" i="29"/>
  <c r="K289" i="29"/>
  <c r="K288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K182" i="29"/>
  <c r="K181" i="29"/>
  <c r="K180" i="29"/>
  <c r="K179" i="29"/>
  <c r="K178" i="29"/>
  <c r="K177" i="29"/>
  <c r="K176" i="29"/>
  <c r="K175" i="29"/>
  <c r="K174" i="29"/>
  <c r="K173" i="29"/>
  <c r="K172" i="29"/>
  <c r="K171" i="29"/>
  <c r="K170" i="29"/>
  <c r="K169" i="29"/>
  <c r="K168" i="29"/>
  <c r="K167" i="29"/>
  <c r="K166" i="29"/>
  <c r="K165" i="29"/>
  <c r="K164" i="29"/>
  <c r="K163" i="29"/>
  <c r="K162" i="29"/>
  <c r="K161" i="29"/>
  <c r="K160" i="29"/>
  <c r="K159" i="29"/>
  <c r="K158" i="29"/>
  <c r="K157" i="29"/>
  <c r="K156" i="29"/>
  <c r="K155" i="29"/>
  <c r="K154" i="29"/>
  <c r="K153" i="29"/>
  <c r="K152" i="29"/>
  <c r="K151" i="29"/>
  <c r="K150" i="29"/>
  <c r="K149" i="29"/>
  <c r="K148" i="29"/>
  <c r="K147" i="29"/>
  <c r="K146" i="29"/>
  <c r="K145" i="29"/>
  <c r="K144" i="29"/>
  <c r="K143" i="29"/>
  <c r="K142" i="29"/>
  <c r="K141" i="29"/>
  <c r="K140" i="29"/>
  <c r="K139" i="29"/>
  <c r="K138" i="29"/>
  <c r="K137" i="29"/>
  <c r="K136" i="29"/>
  <c r="K135" i="29"/>
  <c r="K134" i="29"/>
  <c r="K133" i="29"/>
  <c r="K132" i="29"/>
  <c r="K131" i="29"/>
  <c r="K130" i="29"/>
  <c r="K129" i="29"/>
  <c r="K128" i="29"/>
  <c r="K127" i="29"/>
  <c r="K126" i="29"/>
  <c r="K125" i="29"/>
  <c r="K124" i="29"/>
  <c r="K123" i="29"/>
  <c r="K122" i="29"/>
  <c r="K121" i="29"/>
  <c r="K120" i="29"/>
  <c r="K119" i="29"/>
  <c r="K118" i="29"/>
  <c r="K117" i="29"/>
  <c r="K116" i="29"/>
  <c r="K115" i="29"/>
  <c r="K114" i="29"/>
  <c r="K113" i="29"/>
  <c r="K112" i="29"/>
  <c r="K111" i="29"/>
  <c r="K110" i="29"/>
  <c r="K109" i="29"/>
  <c r="K108" i="29"/>
  <c r="K107" i="29"/>
  <c r="K106" i="29"/>
  <c r="K105" i="29"/>
  <c r="K104" i="29"/>
  <c r="K103" i="29"/>
  <c r="K102" i="29"/>
  <c r="K101" i="29"/>
  <c r="K100" i="29"/>
  <c r="K99" i="29"/>
  <c r="K98" i="29"/>
  <c r="K97" i="29"/>
  <c r="K96" i="29"/>
  <c r="K95" i="29"/>
  <c r="K94" i="29"/>
  <c r="K93" i="29"/>
  <c r="K92" i="29"/>
  <c r="K91" i="29"/>
  <c r="K90" i="29"/>
  <c r="K89" i="29"/>
  <c r="K88" i="29"/>
  <c r="K87" i="29"/>
  <c r="K86" i="29"/>
  <c r="K85" i="29"/>
  <c r="K84" i="29"/>
  <c r="K83" i="29"/>
  <c r="K82" i="29"/>
  <c r="K81" i="29"/>
  <c r="K80" i="29"/>
  <c r="K79" i="29"/>
  <c r="K78" i="29"/>
  <c r="K77" i="29"/>
  <c r="K76" i="29"/>
  <c r="K75" i="29"/>
  <c r="K74" i="29"/>
  <c r="K73" i="29"/>
  <c r="K72" i="29"/>
  <c r="K71" i="29"/>
  <c r="K70" i="29"/>
  <c r="K69" i="29"/>
  <c r="K68" i="29"/>
  <c r="K67" i="29"/>
  <c r="K66" i="29"/>
  <c r="K65" i="29"/>
  <c r="K64" i="29"/>
  <c r="K63" i="29"/>
  <c r="K62" i="29"/>
  <c r="K61" i="29"/>
  <c r="K60" i="29"/>
  <c r="K59" i="29"/>
  <c r="K58" i="29"/>
  <c r="K57" i="29"/>
  <c r="K56" i="29"/>
  <c r="K55" i="29"/>
  <c r="K54" i="29"/>
  <c r="K53" i="29"/>
  <c r="K52" i="29"/>
  <c r="K51" i="29"/>
  <c r="K50" i="29"/>
  <c r="K49" i="29"/>
  <c r="K48" i="29"/>
  <c r="K47" i="29"/>
  <c r="K46" i="29"/>
  <c r="K45" i="29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K7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W20" i="48" l="1"/>
  <c r="X20" i="48" s="1"/>
  <c r="I20" i="48"/>
  <c r="J20" i="48"/>
  <c r="E20" i="48"/>
  <c r="F20" i="48"/>
  <c r="G20" i="48" s="1"/>
  <c r="I5" i="5"/>
  <c r="J7" i="48"/>
  <c r="J19" i="48"/>
  <c r="I19" i="48"/>
  <c r="J18" i="48"/>
  <c r="I18" i="48"/>
  <c r="J17" i="48"/>
  <c r="I17" i="48"/>
  <c r="F19" i="48"/>
  <c r="G19" i="48" s="1"/>
  <c r="E19" i="48"/>
  <c r="F18" i="48"/>
  <c r="G18" i="48" s="1"/>
  <c r="E18" i="48"/>
  <c r="F17" i="48"/>
  <c r="G17" i="48" s="1"/>
  <c r="E17" i="48"/>
  <c r="E41" i="48"/>
  <c r="F41" i="48"/>
  <c r="G41" i="48"/>
  <c r="E42" i="48"/>
  <c r="F42" i="48"/>
  <c r="G42" i="48" s="1"/>
  <c r="E43" i="48"/>
  <c r="F43" i="48"/>
  <c r="G43" i="48" s="1"/>
  <c r="F40" i="48"/>
  <c r="E40" i="48"/>
  <c r="F39" i="48"/>
  <c r="E39" i="48"/>
  <c r="F38" i="48"/>
  <c r="E38" i="48"/>
  <c r="F37" i="48"/>
  <c r="E37" i="48"/>
  <c r="F36" i="48"/>
  <c r="E36" i="48"/>
  <c r="F35" i="48"/>
  <c r="E35" i="48"/>
  <c r="F34" i="48"/>
  <c r="E34" i="48"/>
  <c r="F33" i="48"/>
  <c r="E33" i="48"/>
  <c r="F32" i="48"/>
  <c r="E32" i="48"/>
  <c r="F31" i="48"/>
  <c r="E31" i="48"/>
  <c r="F30" i="48"/>
  <c r="E30" i="48"/>
  <c r="E14" i="48"/>
  <c r="F14" i="48"/>
  <c r="G14" i="48" s="1"/>
  <c r="E15" i="48"/>
  <c r="F15" i="48"/>
  <c r="G15" i="48" s="1"/>
  <c r="E16" i="48"/>
  <c r="F16" i="48"/>
  <c r="G16" i="48" s="1"/>
  <c r="E13" i="48"/>
  <c r="F13" i="48"/>
  <c r="G13" i="48"/>
  <c r="G35" i="48" l="1"/>
  <c r="G30" i="48"/>
  <c r="G36" i="48"/>
  <c r="G31" i="48"/>
  <c r="G37" i="48"/>
  <c r="G32" i="48"/>
  <c r="G38" i="48"/>
  <c r="G33" i="48"/>
  <c r="G39" i="48"/>
  <c r="G34" i="48"/>
  <c r="G40" i="48"/>
  <c r="F7" i="7" l="1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N5" i="3"/>
  <c r="V25" i="5"/>
  <c r="V18" i="5"/>
  <c r="V11" i="5"/>
  <c r="W5" i="5"/>
  <c r="V5" i="5"/>
  <c r="T5" i="5"/>
  <c r="S25" i="5"/>
  <c r="S18" i="5"/>
  <c r="S11" i="5"/>
  <c r="S5" i="5"/>
  <c r="Q5" i="5"/>
  <c r="P25" i="5"/>
  <c r="P18" i="5"/>
  <c r="P11" i="5"/>
  <c r="P5" i="5"/>
  <c r="N5" i="5"/>
  <c r="M11" i="5"/>
  <c r="M25" i="5"/>
  <c r="M18" i="5"/>
  <c r="M5" i="5"/>
  <c r="H5" i="5"/>
  <c r="G18" i="5"/>
  <c r="G25" i="5"/>
  <c r="G11" i="5"/>
  <c r="G5" i="5"/>
  <c r="V18" i="3"/>
  <c r="V25" i="3"/>
  <c r="V11" i="3"/>
  <c r="S25" i="3"/>
  <c r="S18" i="3"/>
  <c r="S11" i="3"/>
  <c r="S5" i="3"/>
  <c r="P18" i="3"/>
  <c r="P25" i="3"/>
  <c r="P11" i="3"/>
  <c r="M25" i="3"/>
  <c r="M18" i="3"/>
  <c r="M11" i="3"/>
  <c r="M5" i="3"/>
  <c r="J25" i="3"/>
  <c r="J18" i="3"/>
  <c r="J11" i="3"/>
  <c r="J5" i="3"/>
  <c r="G25" i="3"/>
  <c r="G18" i="3"/>
  <c r="G11" i="3"/>
  <c r="G5" i="3"/>
  <c r="V5" i="3" s="1"/>
  <c r="H5" i="3"/>
  <c r="B3" i="39"/>
  <c r="AL107" i="48"/>
  <c r="AL112" i="48"/>
  <c r="Q5" i="3" l="1"/>
  <c r="P5" i="3"/>
  <c r="G20" i="7"/>
  <c r="H7" i="7"/>
  <c r="G27" i="7"/>
  <c r="G7" i="7"/>
  <c r="G13" i="7"/>
  <c r="AV88" i="49"/>
  <c r="AW88" i="49" s="1"/>
  <c r="AV89" i="49"/>
  <c r="AV87" i="49"/>
  <c r="AQ89" i="49"/>
  <c r="AR89" i="49" s="1"/>
  <c r="AQ88" i="49"/>
  <c r="AR88" i="49" s="1"/>
  <c r="AQ87" i="49"/>
  <c r="AR87" i="49" s="1"/>
  <c r="AL89" i="49"/>
  <c r="AG89" i="49"/>
  <c r="AH89" i="49" s="1"/>
  <c r="AG112" i="48"/>
  <c r="AG107" i="48"/>
  <c r="AW87" i="49" l="1"/>
  <c r="AW89" i="49"/>
  <c r="AB98" i="48" l="1"/>
  <c r="AB107" i="48"/>
  <c r="AB112" i="48"/>
  <c r="AB89" i="49"/>
  <c r="AC89" i="49"/>
  <c r="W89" i="49"/>
  <c r="R89" i="49"/>
  <c r="W112" i="48"/>
  <c r="W107" i="48"/>
  <c r="I112" i="48"/>
  <c r="J112" i="48"/>
  <c r="I107" i="48"/>
  <c r="J107" i="48"/>
  <c r="R107" i="48"/>
  <c r="R112" i="48"/>
  <c r="S89" i="49" l="1"/>
  <c r="AV84" i="48"/>
  <c r="AV85" i="48"/>
  <c r="AV86" i="48"/>
  <c r="AV87" i="48"/>
  <c r="AV88" i="48"/>
  <c r="AV89" i="48"/>
  <c r="AQ84" i="48"/>
  <c r="AQ89" i="48"/>
  <c r="D18" i="39" l="1"/>
  <c r="AL84" i="48"/>
  <c r="AL89" i="48"/>
  <c r="AM89" i="48" s="1"/>
  <c r="AG89" i="48"/>
  <c r="AH89" i="48" s="1"/>
  <c r="AG84" i="48"/>
  <c r="AB89" i="48"/>
  <c r="W89" i="48"/>
  <c r="X89" i="48" s="1"/>
  <c r="R80" i="48" l="1"/>
  <c r="J89" i="48"/>
  <c r="R89" i="48"/>
  <c r="K89" i="48" s="1"/>
  <c r="M89" i="48" s="1"/>
  <c r="I89" i="48"/>
  <c r="E97" i="48" l="1"/>
  <c r="F97" i="48"/>
  <c r="E98" i="48"/>
  <c r="F98" i="48"/>
  <c r="E99" i="48"/>
  <c r="F99" i="48"/>
  <c r="E100" i="48"/>
  <c r="F100" i="48"/>
  <c r="E101" i="48"/>
  <c r="F101" i="48"/>
  <c r="E102" i="48"/>
  <c r="F102" i="48"/>
  <c r="E103" i="48"/>
  <c r="F103" i="48"/>
  <c r="E104" i="48"/>
  <c r="F104" i="48"/>
  <c r="E105" i="48"/>
  <c r="F105" i="48"/>
  <c r="E106" i="48"/>
  <c r="F106" i="48"/>
  <c r="F96" i="48"/>
  <c r="E96" i="48"/>
  <c r="E74" i="48"/>
  <c r="F74" i="48"/>
  <c r="E75" i="48"/>
  <c r="F75" i="48"/>
  <c r="E76" i="48"/>
  <c r="F76" i="48"/>
  <c r="E77" i="48"/>
  <c r="F77" i="48"/>
  <c r="E78" i="48"/>
  <c r="F78" i="48"/>
  <c r="E79" i="48"/>
  <c r="F79" i="48"/>
  <c r="E80" i="48"/>
  <c r="F80" i="48"/>
  <c r="E81" i="48"/>
  <c r="F81" i="48"/>
  <c r="E82" i="48"/>
  <c r="F82" i="48"/>
  <c r="E83" i="48"/>
  <c r="F83" i="48"/>
  <c r="F73" i="48"/>
  <c r="E73" i="48"/>
  <c r="AV47" i="49" l="1"/>
  <c r="I15" i="39"/>
  <c r="AQ67" i="48" l="1"/>
  <c r="AV67" i="48"/>
  <c r="AV66" i="48"/>
  <c r="AQ66" i="48" l="1"/>
  <c r="AL67" i="48"/>
  <c r="AL66" i="48"/>
  <c r="AG67" i="48"/>
  <c r="AG66" i="48"/>
  <c r="AB67" i="48"/>
  <c r="AB66" i="48"/>
  <c r="W67" i="48"/>
  <c r="X67" i="48" s="1"/>
  <c r="W66" i="48"/>
  <c r="J67" i="48" l="1"/>
  <c r="I67" i="48"/>
  <c r="R67" i="48" l="1"/>
  <c r="S67" i="48" l="1"/>
  <c r="K67" i="48"/>
  <c r="M67" i="48" s="1"/>
  <c r="AV44" i="48"/>
  <c r="AW44" i="48" s="1"/>
  <c r="AQ45" i="48"/>
  <c r="AQ44" i="48"/>
  <c r="AL44" i="48"/>
  <c r="AM44" i="48" s="1"/>
  <c r="AG44" i="48" l="1"/>
  <c r="M27" i="20" l="1"/>
  <c r="AB44" i="48" l="1"/>
  <c r="AC44" i="48" s="1"/>
  <c r="F9" i="49" l="1"/>
  <c r="E9" i="49"/>
  <c r="F8" i="49"/>
  <c r="E8" i="49"/>
  <c r="F7" i="49"/>
  <c r="E7" i="49"/>
  <c r="F29" i="49"/>
  <c r="E29" i="49"/>
  <c r="F28" i="49"/>
  <c r="E28" i="49"/>
  <c r="F27" i="49"/>
  <c r="E27" i="49"/>
  <c r="F49" i="49"/>
  <c r="E49" i="49"/>
  <c r="F48" i="49"/>
  <c r="E48" i="49"/>
  <c r="F47" i="49"/>
  <c r="E47" i="49"/>
  <c r="F69" i="49"/>
  <c r="E69" i="49"/>
  <c r="F68" i="49"/>
  <c r="E68" i="49"/>
  <c r="F67" i="49"/>
  <c r="E67" i="49"/>
  <c r="F89" i="49"/>
  <c r="E89" i="49"/>
  <c r="F88" i="49"/>
  <c r="E88" i="49"/>
  <c r="F87" i="49"/>
  <c r="E87" i="49"/>
  <c r="F63" i="48"/>
  <c r="E63" i="48"/>
  <c r="F62" i="48"/>
  <c r="E62" i="48"/>
  <c r="F61" i="48"/>
  <c r="E61" i="48"/>
  <c r="F60" i="48"/>
  <c r="E60" i="48"/>
  <c r="F59" i="48"/>
  <c r="E59" i="48"/>
  <c r="F58" i="48"/>
  <c r="E58" i="48"/>
  <c r="F57" i="48"/>
  <c r="E57" i="48"/>
  <c r="F56" i="48"/>
  <c r="E56" i="48"/>
  <c r="F55" i="48"/>
  <c r="E55" i="48"/>
  <c r="F54" i="48"/>
  <c r="E54" i="48"/>
  <c r="F53" i="48"/>
  <c r="E53" i="48"/>
  <c r="E8" i="48"/>
  <c r="F8" i="48"/>
  <c r="G8" i="48" s="1"/>
  <c r="E9" i="48"/>
  <c r="F9" i="48"/>
  <c r="G9" i="48" s="1"/>
  <c r="E10" i="48"/>
  <c r="F10" i="48"/>
  <c r="G10" i="48" s="1"/>
  <c r="E11" i="48"/>
  <c r="F11" i="48"/>
  <c r="G11" i="48"/>
  <c r="E12" i="48"/>
  <c r="F12" i="48"/>
  <c r="F7" i="48"/>
  <c r="E7" i="48"/>
  <c r="G87" i="49" l="1"/>
  <c r="G47" i="49"/>
  <c r="G49" i="49"/>
  <c r="G9" i="49"/>
  <c r="G67" i="49"/>
  <c r="G60" i="48"/>
  <c r="G28" i="49"/>
  <c r="G55" i="48"/>
  <c r="G69" i="49"/>
  <c r="G27" i="49"/>
  <c r="G68" i="49"/>
  <c r="G29" i="49"/>
  <c r="G53" i="48"/>
  <c r="G54" i="48"/>
  <c r="G61" i="48"/>
  <c r="G12" i="48"/>
  <c r="G7" i="49"/>
  <c r="G59" i="48"/>
  <c r="G63" i="48"/>
  <c r="G8" i="49"/>
  <c r="G88" i="49"/>
  <c r="G48" i="49"/>
  <c r="G79" i="48"/>
  <c r="G80" i="48"/>
  <c r="G81" i="48"/>
  <c r="G76" i="48"/>
  <c r="G77" i="48"/>
  <c r="G83" i="48"/>
  <c r="G73" i="48"/>
  <c r="G74" i="48"/>
  <c r="G75" i="48"/>
  <c r="G82" i="48"/>
  <c r="G78" i="48"/>
  <c r="G62" i="48"/>
  <c r="G58" i="48"/>
  <c r="G57" i="48"/>
  <c r="G56" i="48"/>
  <c r="G89" i="49"/>
  <c r="G7" i="48"/>
  <c r="W44" i="48"/>
  <c r="R44" i="48" l="1"/>
  <c r="K44" i="48" s="1"/>
  <c r="J44" i="48"/>
  <c r="I44" i="48"/>
  <c r="AV7" i="48"/>
  <c r="AV8" i="48"/>
  <c r="AV9" i="48"/>
  <c r="AV10" i="48"/>
  <c r="AV11" i="48"/>
  <c r="AV12" i="48"/>
  <c r="AV13" i="48"/>
  <c r="AV14" i="48"/>
  <c r="AV15" i="48"/>
  <c r="AV16" i="48"/>
  <c r="AV17" i="48"/>
  <c r="AV18" i="48"/>
  <c r="AV19" i="48"/>
  <c r="R22" i="48"/>
  <c r="S22" i="48" s="1"/>
  <c r="R21" i="48"/>
  <c r="S21" i="48" s="1"/>
  <c r="R23" i="48"/>
  <c r="S23" i="48" s="1"/>
  <c r="AW18" i="48" l="1"/>
  <c r="AW17" i="48"/>
  <c r="AW16" i="48"/>
  <c r="AW15" i="48"/>
  <c r="AW14" i="48"/>
  <c r="AW13" i="48"/>
  <c r="AW12" i="48"/>
  <c r="AW11" i="48"/>
  <c r="AW10" i="48"/>
  <c r="AW9" i="48"/>
  <c r="AW19" i="48"/>
  <c r="AW8" i="48"/>
  <c r="AW7" i="48"/>
  <c r="T5" i="3" l="1"/>
  <c r="K5" i="3"/>
  <c r="W5" i="3"/>
  <c r="F15" i="6"/>
  <c r="F16" i="6"/>
  <c r="F17" i="6"/>
  <c r="AL88" i="49"/>
  <c r="AL87" i="49"/>
  <c r="AL101" i="48"/>
  <c r="AL103" i="48"/>
  <c r="AL104" i="48"/>
  <c r="AL105" i="48"/>
  <c r="AL106" i="48"/>
  <c r="AL108" i="48"/>
  <c r="AL109" i="48"/>
  <c r="AL110" i="48"/>
  <c r="AL111" i="48"/>
  <c r="AG88" i="49"/>
  <c r="AH88" i="49" s="1"/>
  <c r="AG87" i="49"/>
  <c r="AG101" i="48"/>
  <c r="AG103" i="48"/>
  <c r="AG104" i="48"/>
  <c r="AG105" i="48"/>
  <c r="AG106" i="48"/>
  <c r="AG108" i="48"/>
  <c r="AG109" i="48"/>
  <c r="AG110" i="48"/>
  <c r="AG111" i="48"/>
  <c r="AB88" i="49"/>
  <c r="AB87" i="49"/>
  <c r="AB111" i="48"/>
  <c r="AB101" i="48"/>
  <c r="AB103" i="48"/>
  <c r="AB104" i="48"/>
  <c r="AB105" i="48"/>
  <c r="AB106" i="48"/>
  <c r="AB108" i="48"/>
  <c r="AB109" i="48"/>
  <c r="AB110" i="48"/>
  <c r="I97" i="48"/>
  <c r="J97" i="48"/>
  <c r="I98" i="48"/>
  <c r="J98" i="48"/>
  <c r="I99" i="48"/>
  <c r="J99" i="48"/>
  <c r="I100" i="48"/>
  <c r="J100" i="48"/>
  <c r="I101" i="48"/>
  <c r="J101" i="48"/>
  <c r="I103" i="48"/>
  <c r="J103" i="48"/>
  <c r="I104" i="48"/>
  <c r="J104" i="48"/>
  <c r="I105" i="48"/>
  <c r="J105" i="48"/>
  <c r="I106" i="48"/>
  <c r="J106" i="48"/>
  <c r="I108" i="48"/>
  <c r="J108" i="48"/>
  <c r="I109" i="48"/>
  <c r="J109" i="48"/>
  <c r="I110" i="48"/>
  <c r="J110" i="48"/>
  <c r="I111" i="48"/>
  <c r="J111" i="48"/>
  <c r="AM88" i="49" l="1"/>
  <c r="AM89" i="49"/>
  <c r="AC87" i="49"/>
  <c r="AC88" i="49"/>
  <c r="AM87" i="49"/>
  <c r="AH87" i="49"/>
  <c r="W88" i="49" l="1"/>
  <c r="X88" i="49" s="1"/>
  <c r="W87" i="49"/>
  <c r="W111" i="48"/>
  <c r="W97" i="48"/>
  <c r="W98" i="48"/>
  <c r="W99" i="48"/>
  <c r="W100" i="48"/>
  <c r="X100" i="48" s="1"/>
  <c r="W101" i="48"/>
  <c r="W103" i="48"/>
  <c r="W104" i="48"/>
  <c r="W105" i="48"/>
  <c r="W106" i="48"/>
  <c r="W108" i="48"/>
  <c r="W109" i="48"/>
  <c r="W110" i="48"/>
  <c r="R88" i="49"/>
  <c r="S88" i="49" s="1"/>
  <c r="R87" i="49"/>
  <c r="S87" i="49" s="1"/>
  <c r="R111" i="48"/>
  <c r="R97" i="48"/>
  <c r="R98" i="48"/>
  <c r="R99" i="48"/>
  <c r="R100" i="48"/>
  <c r="R101" i="48"/>
  <c r="R103" i="48"/>
  <c r="R104" i="48"/>
  <c r="R105" i="48"/>
  <c r="R106" i="48"/>
  <c r="R108" i="48"/>
  <c r="R109" i="48"/>
  <c r="R110" i="48"/>
  <c r="X103" i="48" l="1"/>
  <c r="X106" i="48"/>
  <c r="X110" i="48"/>
  <c r="X105" i="48"/>
  <c r="X108" i="48"/>
  <c r="X99" i="48"/>
  <c r="X107" i="48"/>
  <c r="X109" i="48"/>
  <c r="X104" i="48"/>
  <c r="S99" i="48"/>
  <c r="S107" i="48"/>
  <c r="S100" i="48"/>
  <c r="S110" i="48"/>
  <c r="S109" i="48"/>
  <c r="S108" i="48"/>
  <c r="S106" i="48"/>
  <c r="S105" i="48"/>
  <c r="S104" i="48"/>
  <c r="S103" i="48"/>
  <c r="X87" i="49"/>
  <c r="X89" i="49"/>
  <c r="I67" i="49" l="1"/>
  <c r="AV69" i="49"/>
  <c r="AW69" i="49" s="1"/>
  <c r="AV68" i="49"/>
  <c r="AW68" i="49" s="1"/>
  <c r="AV67" i="49"/>
  <c r="AW67" i="49" s="1"/>
  <c r="AQ69" i="49"/>
  <c r="AR69" i="49" s="1"/>
  <c r="AQ68" i="49"/>
  <c r="AR68" i="49" s="1"/>
  <c r="AQ67" i="49"/>
  <c r="AR67" i="49" l="1"/>
  <c r="M17" i="20" l="1"/>
  <c r="M21" i="20"/>
  <c r="M20" i="20"/>
  <c r="M19" i="20"/>
  <c r="M18" i="20"/>
  <c r="M21" i="19"/>
  <c r="M20" i="19"/>
  <c r="M19" i="19"/>
  <c r="M18" i="19"/>
  <c r="M17" i="19"/>
  <c r="C9" i="39"/>
  <c r="AL69" i="49" l="1"/>
  <c r="AM69" i="49" s="1"/>
  <c r="AL68" i="49"/>
  <c r="AM68" i="49" s="1"/>
  <c r="AL67" i="49"/>
  <c r="AM67" i="49" s="1"/>
  <c r="AG69" i="49"/>
  <c r="AG68" i="49"/>
  <c r="AG67" i="49"/>
  <c r="AB88" i="48"/>
  <c r="AB87" i="48"/>
  <c r="R88" i="48"/>
  <c r="AH68" i="49" l="1"/>
  <c r="AH67" i="49"/>
  <c r="AH69" i="49"/>
  <c r="W88" i="48" l="1"/>
  <c r="X88" i="48" s="1"/>
  <c r="W87" i="48"/>
  <c r="X87" i="48" s="1"/>
  <c r="R87" i="48"/>
  <c r="I88" i="48"/>
  <c r="J88" i="48"/>
  <c r="I87" i="48"/>
  <c r="J87" i="48"/>
  <c r="AV112" i="48"/>
  <c r="AQ112" i="48"/>
  <c r="AR112" i="48" s="1"/>
  <c r="AV111" i="48"/>
  <c r="AQ111" i="48"/>
  <c r="AR111" i="48" s="1"/>
  <c r="AQ88" i="48"/>
  <c r="AL88" i="48"/>
  <c r="AG88" i="48"/>
  <c r="AB69" i="49"/>
  <c r="AB68" i="49"/>
  <c r="AC68" i="49" s="1"/>
  <c r="AB67" i="49"/>
  <c r="W69" i="49"/>
  <c r="X69" i="49" s="1"/>
  <c r="W68" i="49"/>
  <c r="X68" i="49" s="1"/>
  <c r="W67" i="49"/>
  <c r="R69" i="49"/>
  <c r="S69" i="49" s="1"/>
  <c r="R68" i="49"/>
  <c r="R67" i="49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R86" i="48"/>
  <c r="I83" i="48"/>
  <c r="J83" i="48"/>
  <c r="I84" i="48"/>
  <c r="J84" i="48"/>
  <c r="I85" i="48"/>
  <c r="J85" i="48"/>
  <c r="I86" i="48"/>
  <c r="J86" i="48"/>
  <c r="R85" i="48"/>
  <c r="R84" i="48"/>
  <c r="R83" i="48"/>
  <c r="R82" i="48"/>
  <c r="R81" i="48"/>
  <c r="S80" i="48"/>
  <c r="R78" i="48"/>
  <c r="R77" i="48"/>
  <c r="S77" i="48" s="1"/>
  <c r="R76" i="48"/>
  <c r="R75" i="48"/>
  <c r="R74" i="48"/>
  <c r="R73" i="48"/>
  <c r="K112" i="48" l="1"/>
  <c r="K111" i="48"/>
  <c r="S68" i="49"/>
  <c r="S87" i="48"/>
  <c r="S74" i="48"/>
  <c r="S86" i="48"/>
  <c r="S75" i="48"/>
  <c r="S76" i="48"/>
  <c r="S88" i="48"/>
  <c r="S89" i="48"/>
  <c r="S78" i="48"/>
  <c r="S73" i="48"/>
  <c r="S81" i="48"/>
  <c r="S82" i="48"/>
  <c r="S83" i="48"/>
  <c r="S84" i="48"/>
  <c r="S85" i="48"/>
  <c r="K88" i="48"/>
  <c r="M88" i="48" s="1"/>
  <c r="T73" i="48"/>
  <c r="AC67" i="49"/>
  <c r="AC69" i="49"/>
  <c r="X67" i="49"/>
  <c r="S67" i="49"/>
  <c r="I77" i="36" l="1"/>
  <c r="J77" i="36"/>
  <c r="K77" i="36"/>
  <c r="I78" i="36"/>
  <c r="J78" i="36"/>
  <c r="K78" i="36"/>
  <c r="I79" i="36"/>
  <c r="J79" i="36"/>
  <c r="K79" i="36"/>
  <c r="I80" i="36"/>
  <c r="J80" i="36"/>
  <c r="K80" i="36"/>
  <c r="K89" i="49"/>
  <c r="J89" i="49"/>
  <c r="I89" i="49"/>
  <c r="K88" i="49"/>
  <c r="J88" i="49"/>
  <c r="I88" i="49"/>
  <c r="AX87" i="49"/>
  <c r="AS87" i="49"/>
  <c r="AN87" i="49"/>
  <c r="AI87" i="49"/>
  <c r="AD87" i="49"/>
  <c r="Y87" i="49"/>
  <c r="T87" i="49"/>
  <c r="K87" i="49"/>
  <c r="J87" i="49"/>
  <c r="I87" i="49"/>
  <c r="K69" i="49"/>
  <c r="J69" i="49"/>
  <c r="I69" i="49"/>
  <c r="K68" i="49"/>
  <c r="J68" i="49"/>
  <c r="I68" i="49"/>
  <c r="AX67" i="49"/>
  <c r="AS67" i="49"/>
  <c r="AN67" i="49"/>
  <c r="AI67" i="49"/>
  <c r="AD67" i="49"/>
  <c r="Y67" i="49"/>
  <c r="T67" i="49"/>
  <c r="K67" i="49"/>
  <c r="J67" i="49"/>
  <c r="AV49" i="49"/>
  <c r="AQ49" i="49"/>
  <c r="AR49" i="49" s="1"/>
  <c r="AL49" i="49"/>
  <c r="AG49" i="49"/>
  <c r="AB49" i="49"/>
  <c r="W49" i="49"/>
  <c r="R49" i="49"/>
  <c r="J49" i="49"/>
  <c r="I49" i="49"/>
  <c r="AV48" i="49"/>
  <c r="AQ48" i="49"/>
  <c r="AR48" i="49" s="1"/>
  <c r="AL48" i="49"/>
  <c r="AG48" i="49"/>
  <c r="AB48" i="49"/>
  <c r="W48" i="49"/>
  <c r="R48" i="49"/>
  <c r="J48" i="49"/>
  <c r="I48" i="49"/>
  <c r="AQ47" i="49"/>
  <c r="AR47" i="49" s="1"/>
  <c r="AL47" i="49"/>
  <c r="AG47" i="49"/>
  <c r="AB47" i="49"/>
  <c r="W47" i="49"/>
  <c r="R47" i="49"/>
  <c r="J47" i="49"/>
  <c r="I47" i="49"/>
  <c r="AV29" i="49"/>
  <c r="AW29" i="49" s="1"/>
  <c r="AQ29" i="49"/>
  <c r="AR29" i="49" s="1"/>
  <c r="AL29" i="49"/>
  <c r="AG29" i="49"/>
  <c r="AB29" i="49"/>
  <c r="W29" i="49"/>
  <c r="R29" i="49"/>
  <c r="J29" i="49"/>
  <c r="I29" i="49"/>
  <c r="AV28" i="49"/>
  <c r="AQ28" i="49"/>
  <c r="AL28" i="49"/>
  <c r="AG28" i="49"/>
  <c r="AH28" i="49" s="1"/>
  <c r="AB28" i="49"/>
  <c r="W28" i="49"/>
  <c r="R28" i="49"/>
  <c r="J28" i="49"/>
  <c r="I28" i="49"/>
  <c r="AV27" i="49"/>
  <c r="AQ27" i="49"/>
  <c r="AL27" i="49"/>
  <c r="AG27" i="49"/>
  <c r="AB27" i="49"/>
  <c r="W27" i="49"/>
  <c r="R27" i="49"/>
  <c r="J27" i="49"/>
  <c r="I27" i="49"/>
  <c r="S13" i="49"/>
  <c r="R13" i="49"/>
  <c r="R12" i="49"/>
  <c r="S12" i="49" s="1"/>
  <c r="R11" i="49"/>
  <c r="S11" i="49" s="1"/>
  <c r="R10" i="49"/>
  <c r="S10" i="49" s="1"/>
  <c r="AV9" i="49"/>
  <c r="AQ9" i="49"/>
  <c r="AL9" i="49"/>
  <c r="AG9" i="49"/>
  <c r="AB9" i="49"/>
  <c r="W9" i="49"/>
  <c r="X9" i="49" s="1"/>
  <c r="S9" i="49"/>
  <c r="R9" i="49"/>
  <c r="J9" i="49"/>
  <c r="I9" i="49"/>
  <c r="AV8" i="49"/>
  <c r="AQ8" i="49"/>
  <c r="AL8" i="49"/>
  <c r="AG8" i="49"/>
  <c r="AB8" i="49"/>
  <c r="W8" i="49"/>
  <c r="X8" i="49" s="1"/>
  <c r="R8" i="49"/>
  <c r="S8" i="49" s="1"/>
  <c r="J8" i="49"/>
  <c r="I8" i="49"/>
  <c r="AV7" i="49"/>
  <c r="AQ7" i="49"/>
  <c r="AL7" i="49"/>
  <c r="AG7" i="49"/>
  <c r="AB7" i="49"/>
  <c r="W7" i="49"/>
  <c r="T7" i="49"/>
  <c r="R7" i="49"/>
  <c r="S7" i="49" s="1"/>
  <c r="J7" i="49"/>
  <c r="I7" i="49"/>
  <c r="F8" i="6"/>
  <c r="F9" i="6"/>
  <c r="F10" i="6"/>
  <c r="F11" i="6"/>
  <c r="F12" i="6"/>
  <c r="F13" i="6"/>
  <c r="G13" i="6" s="1"/>
  <c r="F14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7" i="6"/>
  <c r="AV110" i="48"/>
  <c r="AW110" i="48" s="1"/>
  <c r="AQ110" i="48"/>
  <c r="AR110" i="48" s="1"/>
  <c r="AV109" i="48"/>
  <c r="AQ109" i="48"/>
  <c r="AR109" i="48" s="1"/>
  <c r="AV108" i="48"/>
  <c r="AW108" i="48" s="1"/>
  <c r="AQ108" i="48"/>
  <c r="AR108" i="48" s="1"/>
  <c r="AV107" i="48"/>
  <c r="AW107" i="48" s="1"/>
  <c r="AQ107" i="48"/>
  <c r="AR107" i="48" s="1"/>
  <c r="AV106" i="48"/>
  <c r="AW106" i="48" s="1"/>
  <c r="AQ106" i="48"/>
  <c r="AR106" i="48" s="1"/>
  <c r="AQ105" i="48"/>
  <c r="AR105" i="48" s="1"/>
  <c r="AV104" i="48"/>
  <c r="AQ104" i="48"/>
  <c r="AR104" i="48" s="1"/>
  <c r="AV103" i="48"/>
  <c r="AW103" i="48" s="1"/>
  <c r="AQ103" i="48"/>
  <c r="AR103" i="48" s="1"/>
  <c r="AV101" i="48"/>
  <c r="AQ101" i="48"/>
  <c r="AR101" i="48" s="1"/>
  <c r="AV100" i="48"/>
  <c r="AW100" i="48" s="1"/>
  <c r="AQ100" i="48"/>
  <c r="AR100" i="48" s="1"/>
  <c r="AL100" i="48"/>
  <c r="AG100" i="48"/>
  <c r="AH103" i="48" s="1"/>
  <c r="AB100" i="48"/>
  <c r="AC103" i="48" s="1"/>
  <c r="AV99" i="48"/>
  <c r="AQ99" i="48"/>
  <c r="AR99" i="48" s="1"/>
  <c r="AL99" i="48"/>
  <c r="AG99" i="48"/>
  <c r="AB99" i="48"/>
  <c r="AV98" i="48"/>
  <c r="AQ98" i="48"/>
  <c r="AR98" i="48" s="1"/>
  <c r="AL98" i="48"/>
  <c r="AG98" i="48"/>
  <c r="AV97" i="48"/>
  <c r="AQ97" i="48"/>
  <c r="AR97" i="48" s="1"/>
  <c r="AL97" i="48"/>
  <c r="AG97" i="48"/>
  <c r="AB97" i="48"/>
  <c r="AV96" i="48"/>
  <c r="AQ96" i="48"/>
  <c r="AR96" i="48" s="1"/>
  <c r="AL96" i="48"/>
  <c r="AM111" i="48" s="1"/>
  <c r="AG96" i="48"/>
  <c r="AH111" i="48" s="1"/>
  <c r="AB96" i="48"/>
  <c r="W96" i="48"/>
  <c r="R96" i="48"/>
  <c r="S96" i="48" s="1"/>
  <c r="J96" i="48"/>
  <c r="I96" i="48"/>
  <c r="AQ87" i="48"/>
  <c r="AL87" i="48"/>
  <c r="AG87" i="48"/>
  <c r="AQ86" i="48"/>
  <c r="AL86" i="48"/>
  <c r="AM86" i="48" s="1"/>
  <c r="AG86" i="48"/>
  <c r="AH86" i="48" s="1"/>
  <c r="AB86" i="48"/>
  <c r="W86" i="48"/>
  <c r="X86" i="48" s="1"/>
  <c r="AQ85" i="48"/>
  <c r="AL85" i="48"/>
  <c r="AG85" i="48"/>
  <c r="AB85" i="48"/>
  <c r="W85" i="48"/>
  <c r="X85" i="48" s="1"/>
  <c r="AB84" i="48"/>
  <c r="W84" i="48"/>
  <c r="X84" i="48" s="1"/>
  <c r="AV83" i="48"/>
  <c r="AQ83" i="48"/>
  <c r="AL83" i="48"/>
  <c r="AG83" i="48"/>
  <c r="AB83" i="48"/>
  <c r="W83" i="48"/>
  <c r="X83" i="48" s="1"/>
  <c r="AV82" i="48"/>
  <c r="AQ82" i="48"/>
  <c r="AL82" i="48"/>
  <c r="AG82" i="48"/>
  <c r="AB82" i="48"/>
  <c r="W82" i="48"/>
  <c r="X82" i="48" s="1"/>
  <c r="J82" i="48"/>
  <c r="I82" i="48"/>
  <c r="AV81" i="48"/>
  <c r="AW81" i="48" s="1"/>
  <c r="AQ81" i="48"/>
  <c r="AL81" i="48"/>
  <c r="AG81" i="48"/>
  <c r="AB81" i="48"/>
  <c r="W81" i="48"/>
  <c r="X81" i="48" s="1"/>
  <c r="J81" i="48"/>
  <c r="I81" i="48"/>
  <c r="AV80" i="48"/>
  <c r="AQ80" i="48"/>
  <c r="AL80" i="48"/>
  <c r="AM80" i="48" s="1"/>
  <c r="AG80" i="48"/>
  <c r="AH80" i="48" s="1"/>
  <c r="AB80" i="48"/>
  <c r="W80" i="48"/>
  <c r="X80" i="48" s="1"/>
  <c r="J80" i="48"/>
  <c r="I80" i="48"/>
  <c r="AV78" i="48"/>
  <c r="AQ78" i="48"/>
  <c r="AL78" i="48"/>
  <c r="AG78" i="48"/>
  <c r="AB78" i="48"/>
  <c r="W78" i="48"/>
  <c r="X78" i="48" s="1"/>
  <c r="J78" i="48"/>
  <c r="I78" i="48"/>
  <c r="AV77" i="48"/>
  <c r="AQ77" i="48"/>
  <c r="AR77" i="48" s="1"/>
  <c r="AL77" i="48"/>
  <c r="AM77" i="48" s="1"/>
  <c r="AG77" i="48"/>
  <c r="AH77" i="48" s="1"/>
  <c r="AB77" i="48"/>
  <c r="W77" i="48"/>
  <c r="X77" i="48" s="1"/>
  <c r="J77" i="48"/>
  <c r="I77" i="48"/>
  <c r="AV76" i="48"/>
  <c r="AQ76" i="48"/>
  <c r="AL76" i="48"/>
  <c r="AG76" i="48"/>
  <c r="AB76" i="48"/>
  <c r="W76" i="48"/>
  <c r="X76" i="48" s="1"/>
  <c r="J76" i="48"/>
  <c r="I76" i="48"/>
  <c r="AV75" i="48"/>
  <c r="AQ75" i="48"/>
  <c r="AL75" i="48"/>
  <c r="AG75" i="48"/>
  <c r="AB75" i="48"/>
  <c r="W75" i="48"/>
  <c r="X75" i="48" s="1"/>
  <c r="J75" i="48"/>
  <c r="I75" i="48"/>
  <c r="AV74" i="48"/>
  <c r="AQ74" i="48"/>
  <c r="AL74" i="48"/>
  <c r="AG74" i="48"/>
  <c r="AB74" i="48"/>
  <c r="W74" i="48"/>
  <c r="X74" i="48" s="1"/>
  <c r="J74" i="48"/>
  <c r="I74" i="48"/>
  <c r="AV73" i="48"/>
  <c r="AQ73" i="48"/>
  <c r="AR73" i="48" s="1"/>
  <c r="AL73" i="48"/>
  <c r="AG73" i="48"/>
  <c r="AB73" i="48"/>
  <c r="W73" i="48"/>
  <c r="X73" i="48" s="1"/>
  <c r="J73" i="48"/>
  <c r="I73" i="48"/>
  <c r="R66" i="48"/>
  <c r="J66" i="48"/>
  <c r="I66" i="48"/>
  <c r="AV65" i="48"/>
  <c r="AQ65" i="48"/>
  <c r="AL65" i="48"/>
  <c r="AG65" i="48"/>
  <c r="AB65" i="48"/>
  <c r="AC65" i="48" s="1"/>
  <c r="W65" i="48"/>
  <c r="X65" i="48" s="1"/>
  <c r="R65" i="48"/>
  <c r="S65" i="48" s="1"/>
  <c r="J65" i="48"/>
  <c r="I65" i="48"/>
  <c r="AV64" i="48"/>
  <c r="AQ64" i="48"/>
  <c r="AL64" i="48"/>
  <c r="AG64" i="48"/>
  <c r="AB64" i="48"/>
  <c r="W64" i="48"/>
  <c r="R64" i="48"/>
  <c r="J64" i="48"/>
  <c r="I64" i="48"/>
  <c r="AV63" i="48"/>
  <c r="AQ63" i="48"/>
  <c r="AR63" i="48" s="1"/>
  <c r="AL63" i="48"/>
  <c r="AG63" i="48"/>
  <c r="AB63" i="48"/>
  <c r="W63" i="48"/>
  <c r="R63" i="48"/>
  <c r="J63" i="48"/>
  <c r="I63" i="48"/>
  <c r="AV62" i="48"/>
  <c r="AQ62" i="48"/>
  <c r="AL62" i="48"/>
  <c r="AG62" i="48"/>
  <c r="AB62" i="48"/>
  <c r="AC62" i="48" s="1"/>
  <c r="W62" i="48"/>
  <c r="R62" i="48"/>
  <c r="J62" i="48"/>
  <c r="I62" i="48"/>
  <c r="AV61" i="48"/>
  <c r="AQ61" i="48"/>
  <c r="AL61" i="48"/>
  <c r="AG61" i="48"/>
  <c r="AB61" i="48"/>
  <c r="AC61" i="48" s="1"/>
  <c r="W61" i="48"/>
  <c r="X61" i="48" s="1"/>
  <c r="R61" i="48"/>
  <c r="S61" i="48" s="1"/>
  <c r="J61" i="48"/>
  <c r="I61" i="48"/>
  <c r="AV60" i="48"/>
  <c r="AW60" i="48" s="1"/>
  <c r="AQ60" i="48"/>
  <c r="AR60" i="48" s="1"/>
  <c r="AL60" i="48"/>
  <c r="AG60" i="48"/>
  <c r="AB60" i="48"/>
  <c r="AC60" i="48" s="1"/>
  <c r="W60" i="48"/>
  <c r="X60" i="48" s="1"/>
  <c r="R60" i="48"/>
  <c r="S60" i="48" s="1"/>
  <c r="J60" i="48"/>
  <c r="I60" i="48"/>
  <c r="AV58" i="48"/>
  <c r="AQ58" i="48"/>
  <c r="AL58" i="48"/>
  <c r="AG58" i="48"/>
  <c r="AB58" i="48"/>
  <c r="AC58" i="48" s="1"/>
  <c r="W58" i="48"/>
  <c r="R58" i="48"/>
  <c r="J58" i="48"/>
  <c r="I58" i="48"/>
  <c r="AV57" i="48"/>
  <c r="AQ57" i="48"/>
  <c r="AL57" i="48"/>
  <c r="AG57" i="48"/>
  <c r="AB57" i="48"/>
  <c r="W57" i="48"/>
  <c r="R57" i="48"/>
  <c r="J57" i="48"/>
  <c r="I57" i="48"/>
  <c r="AV56" i="48"/>
  <c r="AQ56" i="48"/>
  <c r="AR56" i="48" s="1"/>
  <c r="AL56" i="48"/>
  <c r="AM56" i="48" s="1"/>
  <c r="AG56" i="48"/>
  <c r="AB56" i="48"/>
  <c r="W56" i="48"/>
  <c r="R56" i="48"/>
  <c r="S56" i="48" s="1"/>
  <c r="J56" i="48"/>
  <c r="I56" i="48"/>
  <c r="AV55" i="48"/>
  <c r="AQ55" i="48"/>
  <c r="AL55" i="48"/>
  <c r="AG55" i="48"/>
  <c r="AB55" i="48"/>
  <c r="W55" i="48"/>
  <c r="R55" i="48"/>
  <c r="J55" i="48"/>
  <c r="I55" i="48"/>
  <c r="AV54" i="48"/>
  <c r="AQ54" i="48"/>
  <c r="AL54" i="48"/>
  <c r="AG54" i="48"/>
  <c r="AB54" i="48"/>
  <c r="AC54" i="48" s="1"/>
  <c r="W54" i="48"/>
  <c r="R54" i="48"/>
  <c r="J54" i="48"/>
  <c r="I54" i="48"/>
  <c r="AV53" i="48"/>
  <c r="AQ53" i="48"/>
  <c r="AL53" i="48"/>
  <c r="AG53" i="48"/>
  <c r="AB53" i="48"/>
  <c r="W53" i="48"/>
  <c r="R53" i="48"/>
  <c r="S53" i="48" s="1"/>
  <c r="J53" i="48"/>
  <c r="I53" i="48"/>
  <c r="AV43" i="48"/>
  <c r="AQ43" i="48"/>
  <c r="AL43" i="48"/>
  <c r="AG43" i="48"/>
  <c r="AB43" i="48"/>
  <c r="AC43" i="48" s="1"/>
  <c r="W43" i="48"/>
  <c r="R43" i="48"/>
  <c r="J43" i="48"/>
  <c r="I43" i="48"/>
  <c r="AV42" i="48"/>
  <c r="AQ42" i="48"/>
  <c r="AL42" i="48"/>
  <c r="AG42" i="48"/>
  <c r="AB42" i="48"/>
  <c r="AC42" i="48" s="1"/>
  <c r="W42" i="48"/>
  <c r="X44" i="48" s="1"/>
  <c r="R42" i="48"/>
  <c r="S44" i="48" s="1"/>
  <c r="J42" i="48"/>
  <c r="I42" i="48"/>
  <c r="AV41" i="48"/>
  <c r="AQ41" i="48"/>
  <c r="AL41" i="48"/>
  <c r="AG41" i="48"/>
  <c r="AB41" i="48"/>
  <c r="AC41" i="48" s="1"/>
  <c r="W41" i="48"/>
  <c r="R41" i="48"/>
  <c r="J41" i="48"/>
  <c r="I41" i="48"/>
  <c r="AV40" i="48"/>
  <c r="AQ40" i="48"/>
  <c r="AL40" i="48"/>
  <c r="AG40" i="48"/>
  <c r="AB40" i="48"/>
  <c r="AC40" i="48" s="1"/>
  <c r="W40" i="48"/>
  <c r="R40" i="48"/>
  <c r="J40" i="48"/>
  <c r="I40" i="48"/>
  <c r="AV39" i="48"/>
  <c r="AQ39" i="48"/>
  <c r="AL39" i="48"/>
  <c r="AG39" i="48"/>
  <c r="AB39" i="48"/>
  <c r="AC39" i="48" s="1"/>
  <c r="W39" i="48"/>
  <c r="R39" i="48"/>
  <c r="J39" i="48"/>
  <c r="I39" i="48"/>
  <c r="AV38" i="48"/>
  <c r="AW38" i="48" s="1"/>
  <c r="AQ38" i="48"/>
  <c r="AL38" i="48"/>
  <c r="AG38" i="48"/>
  <c r="AB38" i="48"/>
  <c r="AC38" i="48" s="1"/>
  <c r="W38" i="48"/>
  <c r="R38" i="48"/>
  <c r="J38" i="48"/>
  <c r="I38" i="48"/>
  <c r="AV37" i="48"/>
  <c r="AW37" i="48" s="1"/>
  <c r="AQ37" i="48"/>
  <c r="AL37" i="48"/>
  <c r="AM37" i="48" s="1"/>
  <c r="AG37" i="48"/>
  <c r="AB37" i="48"/>
  <c r="AC37" i="48" s="1"/>
  <c r="W37" i="48"/>
  <c r="R37" i="48"/>
  <c r="J37" i="48"/>
  <c r="I37" i="48"/>
  <c r="AG36" i="48"/>
  <c r="AB36" i="48"/>
  <c r="AC36" i="48" s="1"/>
  <c r="W36" i="48"/>
  <c r="R36" i="48"/>
  <c r="J36" i="48"/>
  <c r="I36" i="48"/>
  <c r="AV35" i="48"/>
  <c r="AQ35" i="48"/>
  <c r="AL35" i="48"/>
  <c r="AG35" i="48"/>
  <c r="AB35" i="48"/>
  <c r="AC35" i="48" s="1"/>
  <c r="W35" i="48"/>
  <c r="R35" i="48"/>
  <c r="J35" i="48"/>
  <c r="I35" i="48"/>
  <c r="AV34" i="48"/>
  <c r="AQ34" i="48"/>
  <c r="AL34" i="48"/>
  <c r="AG34" i="48"/>
  <c r="AB34" i="48"/>
  <c r="AC34" i="48" s="1"/>
  <c r="W34" i="48"/>
  <c r="R34" i="48"/>
  <c r="J34" i="48"/>
  <c r="I34" i="48"/>
  <c r="AV33" i="48"/>
  <c r="AQ33" i="48"/>
  <c r="AL33" i="48"/>
  <c r="AM33" i="48" s="1"/>
  <c r="AG33" i="48"/>
  <c r="AB33" i="48"/>
  <c r="AC33" i="48" s="1"/>
  <c r="W33" i="48"/>
  <c r="R33" i="48"/>
  <c r="J33" i="48"/>
  <c r="I33" i="48"/>
  <c r="AV32" i="48"/>
  <c r="AQ32" i="48"/>
  <c r="AL32" i="48"/>
  <c r="AG32" i="48"/>
  <c r="AB32" i="48"/>
  <c r="AC32" i="48" s="1"/>
  <c r="W32" i="48"/>
  <c r="R32" i="48"/>
  <c r="J32" i="48"/>
  <c r="I32" i="48"/>
  <c r="AV31" i="48"/>
  <c r="AQ31" i="48"/>
  <c r="AL31" i="48"/>
  <c r="AG31" i="48"/>
  <c r="AB31" i="48"/>
  <c r="AC31" i="48" s="1"/>
  <c r="W31" i="48"/>
  <c r="R31" i="48"/>
  <c r="J31" i="48"/>
  <c r="I31" i="48"/>
  <c r="AV30" i="48"/>
  <c r="AQ30" i="48"/>
  <c r="AL30" i="48"/>
  <c r="AG30" i="48"/>
  <c r="AB30" i="48"/>
  <c r="AC30" i="48" s="1"/>
  <c r="W30" i="48"/>
  <c r="R30" i="48"/>
  <c r="J30" i="48"/>
  <c r="I30" i="48"/>
  <c r="R24" i="48"/>
  <c r="S24" i="48" s="1"/>
  <c r="AG20" i="48"/>
  <c r="AB20" i="48"/>
  <c r="R20" i="48"/>
  <c r="S20" i="48" s="1"/>
  <c r="AQ19" i="48"/>
  <c r="AL19" i="48"/>
  <c r="AG19" i="48"/>
  <c r="AB19" i="48"/>
  <c r="W19" i="48"/>
  <c r="R19" i="48"/>
  <c r="S19" i="48" s="1"/>
  <c r="AQ18" i="48"/>
  <c r="AL18" i="48"/>
  <c r="AG18" i="48"/>
  <c r="AB18" i="48"/>
  <c r="W18" i="48"/>
  <c r="R18" i="48"/>
  <c r="S18" i="48" s="1"/>
  <c r="AQ17" i="48"/>
  <c r="AL17" i="48"/>
  <c r="AG17" i="48"/>
  <c r="AB17" i="48"/>
  <c r="W17" i="48"/>
  <c r="X17" i="48" s="1"/>
  <c r="R17" i="48"/>
  <c r="S17" i="48" s="1"/>
  <c r="AQ16" i="48"/>
  <c r="AL16" i="48"/>
  <c r="AG16" i="48"/>
  <c r="AB16" i="48"/>
  <c r="W16" i="48"/>
  <c r="R16" i="48"/>
  <c r="S16" i="48" s="1"/>
  <c r="J16" i="48"/>
  <c r="I16" i="48"/>
  <c r="AQ15" i="48"/>
  <c r="AL15" i="48"/>
  <c r="AG15" i="48"/>
  <c r="AB15" i="48"/>
  <c r="W15" i="48"/>
  <c r="R15" i="48"/>
  <c r="S15" i="48" s="1"/>
  <c r="J15" i="48"/>
  <c r="I15" i="48"/>
  <c r="AQ14" i="48"/>
  <c r="AL14" i="48"/>
  <c r="AG14" i="48"/>
  <c r="AB14" i="48"/>
  <c r="W14" i="48"/>
  <c r="R14" i="48"/>
  <c r="S14" i="48" s="1"/>
  <c r="J14" i="48"/>
  <c r="I14" i="48"/>
  <c r="AQ13" i="48"/>
  <c r="AL13" i="48"/>
  <c r="AG13" i="48"/>
  <c r="AB13" i="48"/>
  <c r="W13" i="48"/>
  <c r="R13" i="48"/>
  <c r="S13" i="48" s="1"/>
  <c r="J13" i="48"/>
  <c r="I13" i="48"/>
  <c r="AQ12" i="48"/>
  <c r="AL12" i="48"/>
  <c r="AG12" i="48"/>
  <c r="AB12" i="48"/>
  <c r="W12" i="48"/>
  <c r="R12" i="48"/>
  <c r="S12" i="48" s="1"/>
  <c r="J12" i="48"/>
  <c r="I12" i="48"/>
  <c r="AQ11" i="48"/>
  <c r="AL11" i="48"/>
  <c r="AG11" i="48"/>
  <c r="AB11" i="48"/>
  <c r="W11" i="48"/>
  <c r="R11" i="48"/>
  <c r="S11" i="48" s="1"/>
  <c r="J11" i="48"/>
  <c r="I11" i="48"/>
  <c r="AQ10" i="48"/>
  <c r="AL10" i="48"/>
  <c r="AG10" i="48"/>
  <c r="AB10" i="48"/>
  <c r="W10" i="48"/>
  <c r="R10" i="48"/>
  <c r="S10" i="48" s="1"/>
  <c r="J10" i="48"/>
  <c r="I10" i="48"/>
  <c r="AQ9" i="48"/>
  <c r="AL9" i="48"/>
  <c r="AG9" i="48"/>
  <c r="AB9" i="48"/>
  <c r="W9" i="48"/>
  <c r="R9" i="48"/>
  <c r="S9" i="48" s="1"/>
  <c r="J9" i="48"/>
  <c r="I9" i="48"/>
  <c r="AQ8" i="48"/>
  <c r="AL8" i="48"/>
  <c r="AG8" i="48"/>
  <c r="AB8" i="48"/>
  <c r="W8" i="48"/>
  <c r="R8" i="48"/>
  <c r="S8" i="48" s="1"/>
  <c r="J8" i="48"/>
  <c r="I8" i="48"/>
  <c r="AQ7" i="48"/>
  <c r="AL7" i="48"/>
  <c r="AG7" i="48"/>
  <c r="AB7" i="48"/>
  <c r="W7" i="48"/>
  <c r="R7" i="48"/>
  <c r="I7" i="48"/>
  <c r="AM7" i="49" l="1"/>
  <c r="AI7" i="49"/>
  <c r="AC9" i="49"/>
  <c r="K9" i="49"/>
  <c r="AC8" i="49"/>
  <c r="K8" i="49"/>
  <c r="AD7" i="49"/>
  <c r="K7" i="49"/>
  <c r="AC19" i="48"/>
  <c r="K19" i="48"/>
  <c r="AC10" i="48"/>
  <c r="K10" i="48"/>
  <c r="AC13" i="48"/>
  <c r="K13" i="48"/>
  <c r="AC20" i="48"/>
  <c r="K20" i="48"/>
  <c r="M20" i="48" s="1"/>
  <c r="AC16" i="48"/>
  <c r="K16" i="48"/>
  <c r="AC18" i="48"/>
  <c r="K18" i="48"/>
  <c r="AC15" i="48"/>
  <c r="K15" i="48"/>
  <c r="AC17" i="48"/>
  <c r="K17" i="48"/>
  <c r="AC14" i="48"/>
  <c r="K14" i="48"/>
  <c r="AC7" i="48"/>
  <c r="K7" i="48"/>
  <c r="AC9" i="48"/>
  <c r="K9" i="48"/>
  <c r="AC8" i="48"/>
  <c r="K8" i="48"/>
  <c r="AC12" i="48"/>
  <c r="K12" i="48"/>
  <c r="AC11" i="48"/>
  <c r="K11" i="48"/>
  <c r="X7" i="49"/>
  <c r="X13" i="48"/>
  <c r="Y7" i="48"/>
  <c r="X10" i="48"/>
  <c r="X15" i="48"/>
  <c r="X18" i="48"/>
  <c r="X8" i="48"/>
  <c r="X11" i="48"/>
  <c r="X9" i="48"/>
  <c r="X14" i="48"/>
  <c r="X12" i="48"/>
  <c r="X19" i="48"/>
  <c r="X16" i="48"/>
  <c r="G27" i="6"/>
  <c r="G20" i="6"/>
  <c r="G7" i="6"/>
  <c r="H7" i="6"/>
  <c r="AW104" i="48"/>
  <c r="AW109" i="48"/>
  <c r="AW99" i="48"/>
  <c r="AW112" i="48"/>
  <c r="AW98" i="48"/>
  <c r="AW101" i="48"/>
  <c r="AW96" i="48"/>
  <c r="AW111" i="48"/>
  <c r="AW97" i="48"/>
  <c r="K110" i="48"/>
  <c r="M110" i="48" s="1"/>
  <c r="K103" i="48"/>
  <c r="M103" i="48" s="1"/>
  <c r="AS96" i="48"/>
  <c r="K104" i="48"/>
  <c r="M104" i="48" s="1"/>
  <c r="K109" i="48"/>
  <c r="M109" i="48" s="1"/>
  <c r="K108" i="48"/>
  <c r="K105" i="48"/>
  <c r="K106" i="48"/>
  <c r="K101" i="48"/>
  <c r="AM103" i="48"/>
  <c r="AM112" i="48"/>
  <c r="AM107" i="48"/>
  <c r="AM109" i="48"/>
  <c r="AH107" i="48"/>
  <c r="AH112" i="48"/>
  <c r="AH109" i="48"/>
  <c r="AC107" i="48"/>
  <c r="AC112" i="48"/>
  <c r="X96" i="48"/>
  <c r="X101" i="48"/>
  <c r="X98" i="48"/>
  <c r="X97" i="48"/>
  <c r="X111" i="48"/>
  <c r="S98" i="48"/>
  <c r="S97" i="48"/>
  <c r="S101" i="48"/>
  <c r="S111" i="48"/>
  <c r="AW74" i="48"/>
  <c r="AW77" i="48"/>
  <c r="AW87" i="48"/>
  <c r="AW83" i="48"/>
  <c r="AW80" i="48"/>
  <c r="AW76" i="48"/>
  <c r="AW89" i="48"/>
  <c r="AW85" i="48"/>
  <c r="AW86" i="48"/>
  <c r="AW84" i="48"/>
  <c r="AW82" i="48"/>
  <c r="AW73" i="48"/>
  <c r="AW88" i="48"/>
  <c r="AW75" i="48"/>
  <c r="AW78" i="48"/>
  <c r="L67" i="49"/>
  <c r="AR84" i="48"/>
  <c r="AR89" i="48"/>
  <c r="AM82" i="48"/>
  <c r="AM87" i="48"/>
  <c r="AM81" i="48"/>
  <c r="AM85" i="48"/>
  <c r="AM74" i="48"/>
  <c r="AM73" i="48"/>
  <c r="AM75" i="48"/>
  <c r="AM76" i="48"/>
  <c r="AM78" i="48"/>
  <c r="AM83" i="48"/>
  <c r="AM88" i="48"/>
  <c r="AM84" i="48"/>
  <c r="AH87" i="48"/>
  <c r="AH85" i="48"/>
  <c r="AH81" i="48"/>
  <c r="AH74" i="48"/>
  <c r="AH75" i="48"/>
  <c r="AH76" i="48"/>
  <c r="AH73" i="48"/>
  <c r="AH78" i="48"/>
  <c r="AH82" i="48"/>
  <c r="AH83" i="48"/>
  <c r="AH84" i="48"/>
  <c r="AH88" i="48"/>
  <c r="AC77" i="48"/>
  <c r="AC87" i="48"/>
  <c r="AC80" i="48"/>
  <c r="AC85" i="48"/>
  <c r="AC81" i="48"/>
  <c r="AC74" i="48"/>
  <c r="AC89" i="48"/>
  <c r="AC75" i="48"/>
  <c r="AC76" i="48"/>
  <c r="AC73" i="48"/>
  <c r="AC78" i="48"/>
  <c r="AC82" i="48"/>
  <c r="AC83" i="48"/>
  <c r="AC84" i="48"/>
  <c r="AC88" i="48"/>
  <c r="AC86" i="48"/>
  <c r="AW67" i="48"/>
  <c r="AW54" i="48"/>
  <c r="AW53" i="48"/>
  <c r="AW64" i="48"/>
  <c r="AW55" i="48"/>
  <c r="AW56" i="48"/>
  <c r="AW57" i="48"/>
  <c r="AW58" i="48"/>
  <c r="AW62" i="48"/>
  <c r="AW63" i="48"/>
  <c r="AW66" i="48"/>
  <c r="AW61" i="48"/>
  <c r="AW65" i="48"/>
  <c r="AR55" i="48"/>
  <c r="AR61" i="48"/>
  <c r="AR65" i="48"/>
  <c r="AR64" i="48"/>
  <c r="AR62" i="48"/>
  <c r="AR66" i="48"/>
  <c r="AR57" i="48"/>
  <c r="AR58" i="48"/>
  <c r="AR67" i="48"/>
  <c r="AR53" i="48"/>
  <c r="AR54" i="48"/>
  <c r="AM60" i="48"/>
  <c r="AM62" i="48"/>
  <c r="AM61" i="48"/>
  <c r="AM65" i="48"/>
  <c r="AM54" i="48"/>
  <c r="AM64" i="48"/>
  <c r="AM63" i="48"/>
  <c r="AM55" i="48"/>
  <c r="AM58" i="48"/>
  <c r="AM57" i="48"/>
  <c r="AM66" i="48"/>
  <c r="AM67" i="48"/>
  <c r="AM53" i="48"/>
  <c r="AM47" i="49"/>
  <c r="AI47" i="49"/>
  <c r="AH55" i="48"/>
  <c r="AH56" i="48"/>
  <c r="AH57" i="48"/>
  <c r="AH60" i="48"/>
  <c r="AH58" i="48"/>
  <c r="AH64" i="48"/>
  <c r="AH65" i="48"/>
  <c r="AH66" i="48"/>
  <c r="AH61" i="48"/>
  <c r="AH53" i="48"/>
  <c r="AH62" i="48"/>
  <c r="AH63" i="48"/>
  <c r="AH67" i="48"/>
  <c r="AH54" i="48"/>
  <c r="AC64" i="48"/>
  <c r="AC63" i="48"/>
  <c r="AC56" i="48"/>
  <c r="AC66" i="48"/>
  <c r="AC57" i="48"/>
  <c r="AC53" i="48"/>
  <c r="AC67" i="48"/>
  <c r="AC55" i="48"/>
  <c r="AD47" i="49"/>
  <c r="X47" i="49"/>
  <c r="X64" i="48"/>
  <c r="X56" i="48"/>
  <c r="X57" i="48"/>
  <c r="X54" i="48"/>
  <c r="X55" i="48"/>
  <c r="X58" i="48"/>
  <c r="X53" i="48"/>
  <c r="X66" i="48"/>
  <c r="X63" i="48"/>
  <c r="X62" i="48"/>
  <c r="S47" i="49"/>
  <c r="S63" i="48"/>
  <c r="S64" i="48"/>
  <c r="S62" i="48"/>
  <c r="S66" i="48"/>
  <c r="S58" i="48"/>
  <c r="S54" i="48"/>
  <c r="S57" i="48"/>
  <c r="S55" i="48"/>
  <c r="AW28" i="49"/>
  <c r="AW27" i="49"/>
  <c r="AW41" i="48"/>
  <c r="AW42" i="48"/>
  <c r="AW40" i="48"/>
  <c r="AW31" i="48"/>
  <c r="AW32" i="48"/>
  <c r="AW33" i="48"/>
  <c r="AW34" i="48"/>
  <c r="AW30" i="48"/>
  <c r="AW35" i="48"/>
  <c r="AW43" i="48"/>
  <c r="AW39" i="48"/>
  <c r="AR37" i="48"/>
  <c r="AR38" i="48"/>
  <c r="AR45" i="48"/>
  <c r="AR28" i="49"/>
  <c r="AR27" i="49"/>
  <c r="AR43" i="48"/>
  <c r="AR35" i="48"/>
  <c r="AR42" i="48"/>
  <c r="AR39" i="48"/>
  <c r="AR34" i="48"/>
  <c r="AR41" i="48"/>
  <c r="AR40" i="48"/>
  <c r="AR33" i="48"/>
  <c r="AR30" i="48"/>
  <c r="AR31" i="48"/>
  <c r="AR32" i="48"/>
  <c r="AR44" i="48"/>
  <c r="AM27" i="49"/>
  <c r="AM30" i="48"/>
  <c r="AM38" i="48"/>
  <c r="AM40" i="48"/>
  <c r="AM41" i="48"/>
  <c r="AM43" i="48"/>
  <c r="AM39" i="48"/>
  <c r="AM42" i="48"/>
  <c r="AM32" i="48"/>
  <c r="AM35" i="48"/>
  <c r="AM31" i="48"/>
  <c r="AM34" i="48"/>
  <c r="AH27" i="49"/>
  <c r="AH35" i="48"/>
  <c r="AH36" i="48"/>
  <c r="AH38" i="48"/>
  <c r="AH32" i="48"/>
  <c r="AH33" i="48"/>
  <c r="AH37" i="48"/>
  <c r="AH43" i="48"/>
  <c r="AH30" i="48"/>
  <c r="AH31" i="48"/>
  <c r="AH39" i="48"/>
  <c r="AH42" i="48"/>
  <c r="AH44" i="48"/>
  <c r="AH40" i="48"/>
  <c r="AH41" i="48"/>
  <c r="AH34" i="48"/>
  <c r="AX7" i="49"/>
  <c r="X27" i="49"/>
  <c r="S27" i="49"/>
  <c r="AX96" i="48"/>
  <c r="K107" i="48"/>
  <c r="H47" i="49"/>
  <c r="AN47" i="49"/>
  <c r="AR8" i="49"/>
  <c r="X112" i="48"/>
  <c r="S112" i="48"/>
  <c r="Y73" i="48"/>
  <c r="AD73" i="48"/>
  <c r="AI73" i="48"/>
  <c r="K39" i="48"/>
  <c r="AM99" i="48"/>
  <c r="AM110" i="48"/>
  <c r="AM104" i="48"/>
  <c r="AM108" i="48"/>
  <c r="AM106" i="48"/>
  <c r="AM105" i="48"/>
  <c r="AM97" i="48"/>
  <c r="AM98" i="48"/>
  <c r="AM100" i="48"/>
  <c r="AM96" i="48"/>
  <c r="AM101" i="48"/>
  <c r="AN96" i="48"/>
  <c r="AH99" i="48"/>
  <c r="AH105" i="48"/>
  <c r="AH106" i="48"/>
  <c r="AH108" i="48"/>
  <c r="AH104" i="48"/>
  <c r="AH110" i="48"/>
  <c r="AH97" i="48"/>
  <c r="AH98" i="48"/>
  <c r="AH100" i="48"/>
  <c r="AH96" i="48"/>
  <c r="AH101" i="48"/>
  <c r="AI96" i="48"/>
  <c r="K99" i="48"/>
  <c r="AC99" i="48"/>
  <c r="AC106" i="48"/>
  <c r="AC109" i="48"/>
  <c r="AC108" i="48"/>
  <c r="AC104" i="48"/>
  <c r="AC110" i="48"/>
  <c r="AC105" i="48"/>
  <c r="AC111" i="48"/>
  <c r="AC100" i="48"/>
  <c r="AC96" i="48"/>
  <c r="AC101" i="48"/>
  <c r="AD96" i="48"/>
  <c r="AC98" i="48"/>
  <c r="K98" i="48"/>
  <c r="AC97" i="48"/>
  <c r="K97" i="48"/>
  <c r="K100" i="48"/>
  <c r="Y96" i="48"/>
  <c r="L87" i="49"/>
  <c r="M88" i="49"/>
  <c r="M89" i="49"/>
  <c r="T96" i="48"/>
  <c r="AX73" i="48"/>
  <c r="K75" i="48"/>
  <c r="M75" i="48" s="1"/>
  <c r="AR86" i="48"/>
  <c r="AR80" i="48"/>
  <c r="AR82" i="48"/>
  <c r="AR76" i="48"/>
  <c r="AR88" i="48"/>
  <c r="AR81" i="48"/>
  <c r="AR85" i="48"/>
  <c r="AR83" i="48"/>
  <c r="K81" i="48"/>
  <c r="M81" i="48" s="1"/>
  <c r="AR87" i="48"/>
  <c r="AS73" i="48"/>
  <c r="AR78" i="48"/>
  <c r="AR75" i="48"/>
  <c r="AR74" i="48"/>
  <c r="K78" i="48"/>
  <c r="M78" i="48" s="1"/>
  <c r="K76" i="48"/>
  <c r="M76" i="48" s="1"/>
  <c r="AN73" i="48"/>
  <c r="M69" i="49"/>
  <c r="K87" i="48"/>
  <c r="M87" i="48" s="1"/>
  <c r="K32" i="48"/>
  <c r="K56" i="48"/>
  <c r="K77" i="48"/>
  <c r="M77" i="48" s="1"/>
  <c r="K61" i="48"/>
  <c r="AI7" i="48"/>
  <c r="K31" i="48"/>
  <c r="AS53" i="48"/>
  <c r="K35" i="48"/>
  <c r="AI30" i="48"/>
  <c r="S37" i="48"/>
  <c r="K60" i="48"/>
  <c r="K36" i="48"/>
  <c r="S32" i="48"/>
  <c r="X33" i="48"/>
  <c r="AH7" i="48"/>
  <c r="AH9" i="48"/>
  <c r="AM18" i="48"/>
  <c r="AH12" i="48"/>
  <c r="AH17" i="48"/>
  <c r="K62" i="48"/>
  <c r="AM12" i="48"/>
  <c r="AM17" i="48"/>
  <c r="K57" i="48"/>
  <c r="S41" i="48"/>
  <c r="AX7" i="48"/>
  <c r="S40" i="48"/>
  <c r="S33" i="48"/>
  <c r="S36" i="48"/>
  <c r="S7" i="48"/>
  <c r="K30" i="48"/>
  <c r="AD30" i="48"/>
  <c r="AH8" i="48"/>
  <c r="AM13" i="48"/>
  <c r="AM8" i="48"/>
  <c r="K43" i="48"/>
  <c r="Y53" i="48"/>
  <c r="AD7" i="48"/>
  <c r="K65" i="48"/>
  <c r="K38" i="48"/>
  <c r="K80" i="48"/>
  <c r="M80" i="48" s="1"/>
  <c r="K82" i="48"/>
  <c r="M82" i="48" s="1"/>
  <c r="K84" i="48"/>
  <c r="M84" i="48" s="1"/>
  <c r="K86" i="48"/>
  <c r="M86" i="48" s="1"/>
  <c r="K85" i="48"/>
  <c r="M85" i="48" s="1"/>
  <c r="K83" i="48"/>
  <c r="M83" i="48" s="1"/>
  <c r="K73" i="48"/>
  <c r="M73" i="48" s="1"/>
  <c r="K74" i="48"/>
  <c r="M74" i="48" s="1"/>
  <c r="M67" i="49"/>
  <c r="M68" i="49"/>
  <c r="AM8" i="49"/>
  <c r="AN7" i="49"/>
  <c r="S29" i="49"/>
  <c r="K29" i="49"/>
  <c r="AC48" i="49"/>
  <c r="AR14" i="48"/>
  <c r="K41" i="48"/>
  <c r="K66" i="48"/>
  <c r="K96" i="48"/>
  <c r="M111" i="48" s="1"/>
  <c r="AR9" i="49"/>
  <c r="AD27" i="49"/>
  <c r="X28" i="49"/>
  <c r="AC28" i="49"/>
  <c r="AH48" i="49"/>
  <c r="AW9" i="49"/>
  <c r="AI27" i="49"/>
  <c r="AM48" i="49"/>
  <c r="AM49" i="49"/>
  <c r="AR15" i="48"/>
  <c r="AM16" i="48"/>
  <c r="S30" i="48"/>
  <c r="X37" i="48"/>
  <c r="K42" i="48"/>
  <c r="AH18" i="48"/>
  <c r="AM15" i="48"/>
  <c r="T30" i="48"/>
  <c r="K37" i="48"/>
  <c r="S43" i="48"/>
  <c r="K63" i="48"/>
  <c r="K64" i="48"/>
  <c r="AM29" i="49"/>
  <c r="S39" i="48"/>
  <c r="K53" i="48"/>
  <c r="AN27" i="49"/>
  <c r="AX47" i="49"/>
  <c r="AW49" i="49"/>
  <c r="AM19" i="48"/>
  <c r="S42" i="48"/>
  <c r="S35" i="48"/>
  <c r="H67" i="49"/>
  <c r="K40" i="48"/>
  <c r="AX53" i="48"/>
  <c r="AM28" i="49"/>
  <c r="X30" i="48"/>
  <c r="T7" i="48"/>
  <c r="S49" i="49"/>
  <c r="H87" i="49"/>
  <c r="AM11" i="48"/>
  <c r="AD53" i="48"/>
  <c r="K58" i="48"/>
  <c r="AH8" i="49"/>
  <c r="AH9" i="49"/>
  <c r="X48" i="49"/>
  <c r="K49" i="49"/>
  <c r="H7" i="49"/>
  <c r="AM9" i="48"/>
  <c r="AR18" i="48"/>
  <c r="AM7" i="48"/>
  <c r="AH13" i="48"/>
  <c r="AH16" i="48"/>
  <c r="AR19" i="48"/>
  <c r="H27" i="49"/>
  <c r="K33" i="48"/>
  <c r="X49" i="49"/>
  <c r="AC29" i="49"/>
  <c r="AC49" i="49"/>
  <c r="X29" i="49"/>
  <c r="AS7" i="49"/>
  <c r="AS27" i="49"/>
  <c r="AW48" i="49"/>
  <c r="AC7" i="49"/>
  <c r="AW7" i="49"/>
  <c r="AC27" i="49"/>
  <c r="AC47" i="49"/>
  <c r="AW47" i="49"/>
  <c r="Y7" i="49"/>
  <c r="AW8" i="49"/>
  <c r="Y27" i="49"/>
  <c r="S28" i="49"/>
  <c r="Y47" i="49"/>
  <c r="AS47" i="49"/>
  <c r="S48" i="49"/>
  <c r="M87" i="49"/>
  <c r="AX27" i="49"/>
  <c r="AH29" i="49"/>
  <c r="AH49" i="49"/>
  <c r="K27" i="49"/>
  <c r="K47" i="49"/>
  <c r="AM9" i="49"/>
  <c r="AH47" i="49"/>
  <c r="AH7" i="49"/>
  <c r="AR7" i="49"/>
  <c r="T27" i="49"/>
  <c r="K28" i="49"/>
  <c r="T47" i="49"/>
  <c r="K48" i="49"/>
  <c r="AR10" i="48"/>
  <c r="AH20" i="48"/>
  <c r="X34" i="48"/>
  <c r="X38" i="48"/>
  <c r="X42" i="48"/>
  <c r="AN30" i="48"/>
  <c r="X32" i="48"/>
  <c r="AR17" i="48"/>
  <c r="AI53" i="48"/>
  <c r="AR8" i="48"/>
  <c r="AR12" i="48"/>
  <c r="AR16" i="48"/>
  <c r="X7" i="48"/>
  <c r="AR7" i="48"/>
  <c r="Y30" i="48"/>
  <c r="AS30" i="48"/>
  <c r="S31" i="48"/>
  <c r="K34" i="48"/>
  <c r="AR9" i="48"/>
  <c r="AH19" i="48"/>
  <c r="AH11" i="48"/>
  <c r="AH15" i="48"/>
  <c r="AS7" i="48"/>
  <c r="AH10" i="48"/>
  <c r="AH14" i="48"/>
  <c r="T53" i="48"/>
  <c r="AN53" i="48"/>
  <c r="K54" i="48"/>
  <c r="K55" i="48"/>
  <c r="X36" i="48"/>
  <c r="X40" i="48"/>
  <c r="AR11" i="48"/>
  <c r="X31" i="48"/>
  <c r="X35" i="48"/>
  <c r="X39" i="48"/>
  <c r="X43" i="48"/>
  <c r="AR13" i="48"/>
  <c r="X41" i="48"/>
  <c r="AN7" i="48"/>
  <c r="AM10" i="48"/>
  <c r="AM14" i="48"/>
  <c r="AX30" i="48"/>
  <c r="S34" i="48"/>
  <c r="S38" i="48"/>
  <c r="M7" i="48" l="1"/>
  <c r="M105" i="48"/>
  <c r="M53" i="48"/>
  <c r="L53" i="48"/>
  <c r="M99" i="48"/>
  <c r="M112" i="48"/>
  <c r="M107" i="48"/>
  <c r="M106" i="48"/>
  <c r="M108" i="48"/>
  <c r="M100" i="48"/>
  <c r="M101" i="48"/>
  <c r="M97" i="48"/>
  <c r="M98" i="48"/>
  <c r="M96" i="48"/>
  <c r="M44" i="48"/>
  <c r="L96" i="48"/>
  <c r="L73" i="48"/>
  <c r="H73" i="48"/>
  <c r="H30" i="48"/>
  <c r="M33" i="48"/>
  <c r="M58" i="48"/>
  <c r="M54" i="48"/>
  <c r="M66" i="48"/>
  <c r="H7" i="48"/>
  <c r="M57" i="48"/>
  <c r="H53" i="48"/>
  <c r="H96" i="48"/>
  <c r="M60" i="48"/>
  <c r="M64" i="48"/>
  <c r="M65" i="48"/>
  <c r="M34" i="48"/>
  <c r="M62" i="48"/>
  <c r="M48" i="49"/>
  <c r="M56" i="48"/>
  <c r="M9" i="49"/>
  <c r="L27" i="49"/>
  <c r="M27" i="49"/>
  <c r="M47" i="49"/>
  <c r="L47" i="49"/>
  <c r="L7" i="49"/>
  <c r="C1" i="49" s="1"/>
  <c r="M7" i="49"/>
  <c r="M28" i="49"/>
  <c r="M29" i="49"/>
  <c r="M8" i="49"/>
  <c r="M49" i="49"/>
  <c r="L7" i="48"/>
  <c r="M32" i="48"/>
  <c r="M30" i="48"/>
  <c r="M9" i="48"/>
  <c r="M11" i="48"/>
  <c r="M40" i="48"/>
  <c r="M16" i="48"/>
  <c r="M39" i="48"/>
  <c r="M10" i="48"/>
  <c r="M17" i="48"/>
  <c r="M37" i="48"/>
  <c r="M31" i="48"/>
  <c r="M61" i="48"/>
  <c r="M43" i="48"/>
  <c r="M38" i="48"/>
  <c r="M14" i="48"/>
  <c r="L30" i="48"/>
  <c r="M15" i="48"/>
  <c r="M63" i="48"/>
  <c r="M55" i="48"/>
  <c r="M19" i="48"/>
  <c r="M36" i="48"/>
  <c r="M41" i="48"/>
  <c r="M42" i="48"/>
  <c r="M13" i="48"/>
  <c r="M12" i="48"/>
  <c r="M18" i="48"/>
  <c r="M35" i="48"/>
  <c r="M8" i="48"/>
  <c r="C1" i="48" l="1"/>
  <c r="F36" i="7" l="1"/>
  <c r="F37" i="7"/>
  <c r="F38" i="7"/>
  <c r="F39" i="7"/>
  <c r="F40" i="7"/>
  <c r="F41" i="7"/>
  <c r="F42" i="7"/>
  <c r="F43" i="7"/>
  <c r="F44" i="7"/>
  <c r="F45" i="7"/>
  <c r="E9" i="39" l="1"/>
  <c r="M9" i="19" l="1"/>
  <c r="M10" i="19"/>
  <c r="M11" i="19"/>
  <c r="I12" i="5" l="1"/>
  <c r="I7" i="39" l="1"/>
  <c r="D24" i="39"/>
  <c r="D23" i="39"/>
  <c r="D22" i="39"/>
  <c r="B9" i="39" l="1"/>
  <c r="O5" i="3" l="1"/>
  <c r="O6" i="3"/>
  <c r="Z7" i="29" l="1"/>
  <c r="M26" i="20" l="1"/>
  <c r="M13" i="20"/>
  <c r="M12" i="20"/>
  <c r="M11" i="20"/>
  <c r="M10" i="20"/>
  <c r="M9" i="20"/>
  <c r="M25" i="20"/>
  <c r="AA7" i="29" l="1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7" i="36"/>
  <c r="I7" i="36"/>
  <c r="G14" i="40" l="1"/>
  <c r="M316" i="43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256" i="43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Z22" i="43"/>
  <c r="M22" i="43"/>
  <c r="K22" i="43"/>
  <c r="I22" i="43"/>
  <c r="M21" i="43"/>
  <c r="K21" i="43"/>
  <c r="I21" i="43"/>
  <c r="M20" i="43"/>
  <c r="K20" i="43"/>
  <c r="I20" i="43"/>
  <c r="AH19" i="43"/>
  <c r="AG19" i="43"/>
  <c r="AF19" i="43"/>
  <c r="AE19" i="43"/>
  <c r="AD19" i="43"/>
  <c r="AC19" i="43"/>
  <c r="AB19" i="43"/>
  <c r="AA19" i="43"/>
  <c r="M19" i="43"/>
  <c r="K19" i="43"/>
  <c r="I19" i="43"/>
  <c r="AH18" i="43"/>
  <c r="AG18" i="43"/>
  <c r="AF18" i="43"/>
  <c r="AE18" i="43"/>
  <c r="AD18" i="43"/>
  <c r="AC18" i="43"/>
  <c r="AB18" i="43"/>
  <c r="AA18" i="43"/>
  <c r="Z18" i="43"/>
  <c r="M18" i="43"/>
  <c r="K18" i="43"/>
  <c r="I18" i="43"/>
  <c r="M17" i="43"/>
  <c r="K17" i="43"/>
  <c r="I17" i="43"/>
  <c r="AH16" i="43"/>
  <c r="AG16" i="43"/>
  <c r="AF16" i="43"/>
  <c r="AE16" i="43"/>
  <c r="AD16" i="43"/>
  <c r="AC16" i="43"/>
  <c r="AB16" i="43"/>
  <c r="AA16" i="43"/>
  <c r="M16" i="43"/>
  <c r="K16" i="43"/>
  <c r="I16" i="43"/>
  <c r="AH15" i="43"/>
  <c r="AG15" i="43"/>
  <c r="AF15" i="43"/>
  <c r="AE15" i="43"/>
  <c r="AD15" i="43"/>
  <c r="AC15" i="43"/>
  <c r="AB15" i="43"/>
  <c r="AA15" i="43"/>
  <c r="Z15" i="43"/>
  <c r="M15" i="43"/>
  <c r="K15" i="43"/>
  <c r="I15" i="43"/>
  <c r="M14" i="43"/>
  <c r="K14" i="43"/>
  <c r="I14" i="43"/>
  <c r="AH13" i="43"/>
  <c r="AG13" i="43"/>
  <c r="AF13" i="43"/>
  <c r="AE13" i="43"/>
  <c r="AD13" i="43"/>
  <c r="AC13" i="43"/>
  <c r="AB13" i="43"/>
  <c r="AA13" i="43"/>
  <c r="M13" i="43"/>
  <c r="K13" i="43"/>
  <c r="I13" i="43"/>
  <c r="AH12" i="43"/>
  <c r="AG12" i="43"/>
  <c r="AF12" i="43"/>
  <c r="AE12" i="43"/>
  <c r="AD12" i="43"/>
  <c r="AC12" i="43"/>
  <c r="AB12" i="43"/>
  <c r="AA12" i="43"/>
  <c r="Z12" i="43"/>
  <c r="M12" i="43"/>
  <c r="K12" i="43"/>
  <c r="I12" i="43"/>
  <c r="M11" i="43"/>
  <c r="K11" i="43"/>
  <c r="I11" i="43"/>
  <c r="AH10" i="43"/>
  <c r="AG10" i="43"/>
  <c r="AF10" i="43"/>
  <c r="AE10" i="43"/>
  <c r="AD10" i="43"/>
  <c r="AC10" i="43"/>
  <c r="AB10" i="43"/>
  <c r="AA10" i="43"/>
  <c r="M10" i="43"/>
  <c r="K10" i="43"/>
  <c r="I10" i="43"/>
  <c r="AH9" i="43"/>
  <c r="AG9" i="43"/>
  <c r="AF9" i="43"/>
  <c r="AE9" i="43"/>
  <c r="AD9" i="43"/>
  <c r="AC9" i="43"/>
  <c r="AB9" i="43"/>
  <c r="AA9" i="43"/>
  <c r="Z9" i="43"/>
  <c r="M9" i="43"/>
  <c r="K9" i="43"/>
  <c r="I9" i="43"/>
  <c r="M8" i="43"/>
  <c r="K8" i="43"/>
  <c r="I8" i="43"/>
  <c r="Z7" i="43"/>
  <c r="M7" i="43"/>
  <c r="K7" i="43"/>
  <c r="I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B8" i="29"/>
  <c r="AC8" i="29"/>
  <c r="AD8" i="29"/>
  <c r="AE8" i="29"/>
  <c r="AF8" i="29"/>
  <c r="AG8" i="29"/>
  <c r="AH8" i="29"/>
  <c r="AA8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Z18" i="29"/>
  <c r="Z15" i="29"/>
  <c r="Z12" i="29"/>
  <c r="Z9" i="29"/>
  <c r="AH7" i="29"/>
  <c r="AG7" i="29"/>
  <c r="AF7" i="29"/>
  <c r="AE7" i="29"/>
  <c r="AD7" i="29"/>
  <c r="AC7" i="29"/>
  <c r="AB7" i="29"/>
  <c r="C10" i="41"/>
  <c r="C9" i="41"/>
  <c r="I297" i="29" l="1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AA22" i="29"/>
  <c r="C10" i="40"/>
  <c r="C9" i="40"/>
  <c r="J18" i="39"/>
  <c r="I17" i="39"/>
  <c r="K17" i="39" s="1"/>
  <c r="C17" i="39"/>
  <c r="E17" i="39" s="1"/>
  <c r="I16" i="39"/>
  <c r="K16" i="39" s="1"/>
  <c r="C16" i="39"/>
  <c r="E16" i="39" s="1"/>
  <c r="K15" i="39"/>
  <c r="C15" i="39"/>
  <c r="E15" i="39" s="1"/>
  <c r="D11" i="39"/>
  <c r="D10" i="39"/>
  <c r="D9" i="39"/>
  <c r="D8" i="39"/>
  <c r="D7" i="39"/>
  <c r="D6" i="39"/>
  <c r="C18" i="39" l="1"/>
  <c r="I18" i="39"/>
  <c r="C15" i="13" l="1"/>
  <c r="I6" i="5"/>
  <c r="I7" i="5"/>
  <c r="I8" i="5"/>
  <c r="I9" i="5"/>
  <c r="I10" i="5"/>
  <c r="I1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J11" i="5" l="1"/>
  <c r="J25" i="5"/>
  <c r="K5" i="5"/>
  <c r="J5" i="5"/>
  <c r="J18" i="5"/>
  <c r="L20" i="21"/>
  <c r="K38" i="20"/>
  <c r="K30" i="20"/>
  <c r="K22" i="20"/>
  <c r="K14" i="20"/>
  <c r="AB22" i="29" l="1"/>
  <c r="K96" i="36" l="1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101" i="36" s="1"/>
  <c r="J87" i="36"/>
  <c r="I87" i="36"/>
  <c r="H87" i="36"/>
  <c r="M76" i="36"/>
  <c r="M72" i="36"/>
  <c r="M68" i="36"/>
  <c r="AX67" i="36"/>
  <c r="AS67" i="36"/>
  <c r="AN67" i="36"/>
  <c r="AI67" i="36"/>
  <c r="AD67" i="36"/>
  <c r="Y67" i="36"/>
  <c r="T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1" i="36" s="1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K16" i="36"/>
  <c r="J16" i="36"/>
  <c r="I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T7" i="36"/>
  <c r="S7" i="36"/>
  <c r="K7" i="36"/>
  <c r="J7" i="36"/>
  <c r="H7" i="36"/>
  <c r="M79" i="36" l="1"/>
  <c r="M69" i="36"/>
  <c r="M74" i="36"/>
  <c r="M75" i="36"/>
  <c r="M73" i="36"/>
  <c r="M70" i="36"/>
  <c r="M71" i="36"/>
  <c r="M38" i="36"/>
  <c r="M21" i="36"/>
  <c r="M8" i="36"/>
  <c r="M10" i="36"/>
  <c r="M78" i="36"/>
  <c r="M16" i="36"/>
  <c r="M14" i="36"/>
  <c r="M12" i="36"/>
  <c r="M9" i="36"/>
  <c r="M11" i="36"/>
  <c r="M13" i="36"/>
  <c r="M15" i="36"/>
  <c r="M18" i="36"/>
  <c r="M37" i="36"/>
  <c r="M77" i="36"/>
  <c r="M19" i="36"/>
  <c r="M39" i="36"/>
  <c r="L7" i="36"/>
  <c r="L27" i="36"/>
  <c r="M40" i="36"/>
  <c r="L67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L47" i="36"/>
  <c r="M60" i="36"/>
  <c r="L87" i="36"/>
  <c r="M100" i="36"/>
  <c r="M47" i="36"/>
  <c r="M87" i="36"/>
  <c r="AH23" i="29"/>
  <c r="AH22" i="29"/>
  <c r="C1" i="36" l="1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G14" i="41" l="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E15" i="13" l="1"/>
  <c r="L19" i="21" l="1"/>
  <c r="L18" i="21"/>
  <c r="L17" i="21"/>
  <c r="L16" i="21"/>
  <c r="L10" i="21"/>
  <c r="L11" i="21"/>
  <c r="L12" i="21"/>
  <c r="L13" i="21"/>
  <c r="L9" i="21"/>
  <c r="M29" i="19"/>
  <c r="M28" i="19"/>
  <c r="M27" i="19"/>
  <c r="M26" i="19"/>
  <c r="M25" i="19"/>
  <c r="M13" i="19"/>
  <c r="M12" i="19"/>
  <c r="I15" i="13"/>
  <c r="K15" i="13" s="1"/>
  <c r="C16" i="13"/>
  <c r="E16" i="13" s="1"/>
  <c r="I16" i="13"/>
  <c r="K16" i="13" s="1"/>
  <c r="C17" i="13"/>
  <c r="E17" i="13" s="1"/>
  <c r="I17" i="13"/>
  <c r="K17" i="13" s="1"/>
  <c r="D18" i="13"/>
  <c r="J18" i="13"/>
  <c r="D11" i="13"/>
  <c r="D10" i="13"/>
  <c r="D9" i="13"/>
  <c r="D8" i="13"/>
  <c r="D7" i="13"/>
  <c r="D6" i="13"/>
  <c r="J26" i="7"/>
  <c r="J16" i="7"/>
  <c r="V37" i="5"/>
  <c r="S37" i="5"/>
  <c r="P37" i="5"/>
  <c r="M37" i="5"/>
  <c r="J37" i="5"/>
  <c r="G37" i="5"/>
  <c r="V37" i="3"/>
  <c r="S37" i="3"/>
  <c r="O43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M37" i="3"/>
  <c r="J37" i="3"/>
  <c r="G37" i="3"/>
  <c r="P37" i="3" l="1"/>
  <c r="N26" i="7"/>
  <c r="L16" i="7"/>
  <c r="L26" i="7"/>
  <c r="N16" i="7"/>
  <c r="M30" i="19"/>
  <c r="K30" i="19" s="1"/>
  <c r="M22" i="19"/>
  <c r="K22" i="19" s="1"/>
  <c r="M14" i="19"/>
  <c r="K14" i="19" s="1"/>
  <c r="C18" i="13"/>
  <c r="I18" i="13"/>
  <c r="L23" i="7" l="1"/>
  <c r="J23" i="7"/>
  <c r="N23" i="7"/>
  <c r="N24" i="6"/>
  <c r="L24" i="6"/>
  <c r="J24" i="6"/>
  <c r="N33" i="6"/>
  <c r="L33" i="6"/>
  <c r="J33" i="6"/>
  <c r="N7" i="7"/>
  <c r="L7" i="7"/>
  <c r="J7" i="7"/>
  <c r="J18" i="6"/>
  <c r="N18" i="6"/>
  <c r="L18" i="6"/>
  <c r="L11" i="6"/>
  <c r="N11" i="6"/>
  <c r="J11" i="6"/>
  <c r="L35" i="7"/>
  <c r="N35" i="7"/>
  <c r="J35" i="7"/>
  <c r="N17" i="7"/>
  <c r="L17" i="7"/>
  <c r="J17" i="7"/>
  <c r="J30" i="6"/>
  <c r="N30" i="6"/>
  <c r="L30" i="6"/>
  <c r="N30" i="7"/>
  <c r="L30" i="7"/>
  <c r="J30" i="7"/>
  <c r="N38" i="7"/>
  <c r="L38" i="7"/>
  <c r="J38" i="7"/>
  <c r="J17" i="6"/>
  <c r="N17" i="6"/>
  <c r="L17" i="6"/>
  <c r="N23" i="6"/>
  <c r="L23" i="6"/>
  <c r="J23" i="6"/>
  <c r="N36" i="6"/>
  <c r="L36" i="6"/>
  <c r="J36" i="6"/>
  <c r="L19" i="6"/>
  <c r="J19" i="6"/>
  <c r="N19" i="6"/>
  <c r="N28" i="7"/>
  <c r="L28" i="7"/>
  <c r="J28" i="7"/>
  <c r="N12" i="7"/>
  <c r="L12" i="7"/>
  <c r="J12" i="7"/>
  <c r="L31" i="6"/>
  <c r="J31" i="6"/>
  <c r="N31" i="6"/>
  <c r="J40" i="7"/>
  <c r="N40" i="7"/>
  <c r="L40" i="7"/>
  <c r="N20" i="6"/>
  <c r="L20" i="6"/>
  <c r="J20" i="6"/>
  <c r="L34" i="7"/>
  <c r="N34" i="7"/>
  <c r="J34" i="7"/>
  <c r="N13" i="7"/>
  <c r="L13" i="7"/>
  <c r="J13" i="7"/>
  <c r="N9" i="6"/>
  <c r="L9" i="6"/>
  <c r="J9" i="6"/>
  <c r="N39" i="7"/>
  <c r="L39" i="7"/>
  <c r="J39" i="7"/>
  <c r="G39" i="7"/>
  <c r="N45" i="7"/>
  <c r="L45" i="7"/>
  <c r="J45" i="7"/>
  <c r="N13" i="6"/>
  <c r="L13" i="6"/>
  <c r="J13" i="6"/>
  <c r="N20" i="7"/>
  <c r="L20" i="7"/>
  <c r="J20" i="7"/>
  <c r="N22" i="7"/>
  <c r="L22" i="7"/>
  <c r="J22" i="7"/>
  <c r="N25" i="6"/>
  <c r="L25" i="6"/>
  <c r="J25" i="6"/>
  <c r="J29" i="6"/>
  <c r="N29" i="6"/>
  <c r="L29" i="6"/>
  <c r="N11" i="7"/>
  <c r="L11" i="7"/>
  <c r="J11" i="7"/>
  <c r="N14" i="6"/>
  <c r="L14" i="6"/>
  <c r="J14" i="6"/>
  <c r="N29" i="7"/>
  <c r="J29" i="7"/>
  <c r="L29" i="7"/>
  <c r="N18" i="7"/>
  <c r="L18" i="7"/>
  <c r="J18" i="7"/>
  <c r="N26" i="6"/>
  <c r="L26" i="6"/>
  <c r="J26" i="6"/>
  <c r="N27" i="6"/>
  <c r="L27" i="6"/>
  <c r="J27" i="6"/>
  <c r="N16" i="6"/>
  <c r="L16" i="6"/>
  <c r="J16" i="6"/>
  <c r="N37" i="7"/>
  <c r="L37" i="7"/>
  <c r="J37" i="7"/>
  <c r="J9" i="7"/>
  <c r="N9" i="7"/>
  <c r="L9" i="7"/>
  <c r="N32" i="6"/>
  <c r="L32" i="6"/>
  <c r="J32" i="6"/>
  <c r="L19" i="7"/>
  <c r="J19" i="7"/>
  <c r="N19" i="7"/>
  <c r="N41" i="7"/>
  <c r="L41" i="7"/>
  <c r="J41" i="7"/>
  <c r="N35" i="6"/>
  <c r="L35" i="6"/>
  <c r="J35" i="6"/>
  <c r="N21" i="7"/>
  <c r="L21" i="7"/>
  <c r="J21" i="7"/>
  <c r="N21" i="6"/>
  <c r="L21" i="6"/>
  <c r="J21" i="6"/>
  <c r="N12" i="6"/>
  <c r="L12" i="6"/>
  <c r="J12" i="6"/>
  <c r="N10" i="6"/>
  <c r="L10" i="6"/>
  <c r="J10" i="6"/>
  <c r="N36" i="7"/>
  <c r="L36" i="7"/>
  <c r="J36" i="7"/>
  <c r="N15" i="7"/>
  <c r="L15" i="7"/>
  <c r="J15" i="7"/>
  <c r="N22" i="6"/>
  <c r="L22" i="6"/>
  <c r="J22" i="6"/>
  <c r="N8" i="7"/>
  <c r="L8" i="7"/>
  <c r="J8" i="7"/>
  <c r="N31" i="7"/>
  <c r="L31" i="7"/>
  <c r="J31" i="7"/>
  <c r="N8" i="6"/>
  <c r="L8" i="6"/>
  <c r="J8" i="6"/>
  <c r="L32" i="7"/>
  <c r="N32" i="7"/>
  <c r="J32" i="7"/>
  <c r="N37" i="6"/>
  <c r="L37" i="6"/>
  <c r="J37" i="6"/>
  <c r="N10" i="7"/>
  <c r="L10" i="7"/>
  <c r="J10" i="7"/>
  <c r="N34" i="6"/>
  <c r="L34" i="6"/>
  <c r="J34" i="6"/>
  <c r="N15" i="6"/>
  <c r="L15" i="6"/>
  <c r="J15" i="6"/>
  <c r="N43" i="7"/>
  <c r="L43" i="7"/>
  <c r="J43" i="7"/>
  <c r="N25" i="7"/>
  <c r="L25" i="7"/>
  <c r="J25" i="7"/>
  <c r="L42" i="7"/>
  <c r="N42" i="7"/>
  <c r="J42" i="7"/>
  <c r="N14" i="7"/>
  <c r="L14" i="7"/>
  <c r="J14" i="7"/>
  <c r="N28" i="6"/>
  <c r="L28" i="6"/>
  <c r="J28" i="6"/>
  <c r="N27" i="7"/>
  <c r="L27" i="7"/>
  <c r="J27" i="7"/>
  <c r="N24" i="7"/>
  <c r="L24" i="7"/>
  <c r="J24" i="7"/>
  <c r="J33" i="7"/>
  <c r="N33" i="7"/>
  <c r="L33" i="7"/>
  <c r="N44" i="7"/>
  <c r="L44" i="7"/>
  <c r="J44" i="7"/>
  <c r="J7" i="6"/>
  <c r="N7" i="6"/>
  <c r="L7" i="6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X55" i="1" l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O14" i="1"/>
  <c r="X28" i="1"/>
  <c r="V28" i="1" s="1"/>
  <c r="X34" i="1"/>
  <c r="V34" i="1" s="1"/>
  <c r="D11" i="1"/>
  <c r="X42" i="1"/>
  <c r="V42" i="1" s="1"/>
  <c r="Q6" i="1"/>
  <c r="D9" i="1"/>
  <c r="U14" i="1"/>
  <c r="AD23" i="43" l="1"/>
  <c r="AD8" i="43"/>
  <c r="AE22" i="43"/>
  <c r="AF23" i="43"/>
  <c r="AG23" i="43"/>
  <c r="AH23" i="43"/>
  <c r="AF22" i="43"/>
  <c r="AF7" i="43"/>
  <c r="AG8" i="43"/>
  <c r="AH22" i="43"/>
  <c r="AE23" i="43"/>
  <c r="AH8" i="43"/>
  <c r="AB8" i="43"/>
  <c r="AD22" i="43"/>
  <c r="AC7" i="43"/>
  <c r="AE8" i="43"/>
  <c r="AE7" i="43"/>
  <c r="AH7" i="43"/>
  <c r="AA23" i="43"/>
  <c r="AF8" i="43"/>
  <c r="AA22" i="43"/>
  <c r="AB23" i="43"/>
  <c r="AC22" i="43"/>
  <c r="AC8" i="43"/>
  <c r="AD7" i="43"/>
  <c r="AG22" i="43"/>
  <c r="AG7" i="43"/>
  <c r="AA7" i="43"/>
  <c r="AA8" i="43"/>
  <c r="AB22" i="43"/>
  <c r="AC23" i="43"/>
  <c r="AB7" i="4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<sst xmlns="http://schemas.openxmlformats.org/spreadsheetml/2006/main" count="2939" uniqueCount="617">
  <si>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</si>
  <si>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</si>
  <si>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</si>
  <si>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</si>
  <si>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</si>
  <si>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</si>
  <si>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</si>
  <si>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</si>
  <si>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</si>
  <si>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</si>
  <si>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</si>
  <si>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</si>
  <si>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</si>
  <si>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</si>
  <si>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</si>
  <si>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</si>
  <si>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</si>
  <si>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</si>
  <si>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</si>
  <si>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</si>
  <si>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</si>
  <si>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</si>
  <si>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</si>
  <si>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</si>
  <si>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</si>
  <si>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</si>
  <si>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</si>
  <si>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</si>
  <si>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</si>
  <si>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</si>
  <si>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</si>
  <si>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</si>
  <si>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</si>
  <si>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</si>
  <si>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</si>
  <si>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</si>
  <si>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</si>
  <si>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</si>
  <si>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</si>
  <si>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</si>
  <si>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</si>
  <si>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</si>
  <si>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</si>
  <si>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</si>
  <si>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</si>
  <si>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</si>
  <si>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</si>
  <si>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</si>
  <si>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</si>
  <si>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</si>
  <si>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</si>
  <si>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</si>
  <si>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</si>
  <si>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</si>
  <si>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</si>
  <si>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</si>
  <si>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</si>
  <si>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</si>
  <si>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</si>
  <si>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</si>
  <si>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</si>
  <si>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</si>
  <si>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</si>
  <si>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</si>
  <si>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</si>
  <si>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</si>
  <si>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</si>
  <si>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</si>
  <si>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</si>
  <si>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</si>
  <si>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</si>
  <si>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</si>
  <si>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</si>
  <si>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</si>
  <si>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</si>
  <si>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</si>
  <si>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</si>
  <si>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</si>
  <si>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</si>
  <si>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</si>
  <si>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</si>
  <si>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</si>
  <si>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</si>
  <si>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</si>
  <si>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</si>
  <si>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</si>
  <si>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</si>
  <si>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</si>
  <si>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</si>
  <si>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</si>
  <si>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</si>
  <si>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</si>
  <si>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</si>
  <si>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</si>
  <si>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</si>
  <si>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</si>
  <si>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</si>
  <si>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</si>
  <si>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</si>
  <si>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</si>
  <si>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</si>
  <si>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</si>
  <si>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</si>
  <si>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</si>
  <si>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</si>
  <si>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</si>
  <si>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</si>
  <si>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</si>
  <si>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</si>
  <si>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</si>
  <si>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</si>
  <si>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</si>
  <si>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</si>
  <si>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</si>
  <si>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</si>
  <si>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</si>
  <si>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</si>
  <si>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</si>
  <si>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</si>
  <si>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</si>
  <si>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</si>
  <si>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</si>
  <si>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</si>
  <si>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</si>
  <si>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</si>
  <si>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</si>
  <si>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</si>
  <si>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</si>
  <si>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</si>
  <si>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</si>
  <si>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</si>
  <si>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</si>
  <si>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3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</si>
  <si>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</si>
  <si>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</si>
  <si>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</si>
  <si>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</si>
  <si>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營業額</t>
    <phoneticPr fontId="16" type="noConversion"/>
  </si>
  <si>
    <t>便當</t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</si>
  <si>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</si>
  <si>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</si>
  <si>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</si>
  <si>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</si>
  <si>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</si>
  <si>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</si>
  <si>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</si>
  <si>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</si>
  <si>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（４）訂單數量構成比</t>
    <phoneticPr fontId="13"/>
  </si>
  <si>
    <t>訂單量</t>
    <phoneticPr fontId="16" type="noConversion"/>
  </si>
  <si>
    <t>訂單數</t>
    <phoneticPr fontId="16" type="noConversion"/>
  </si>
  <si>
    <t>商品名稱</t>
    <phoneticPr fontId="16" type="noConversion"/>
  </si>
  <si>
    <t>產線配置圖</t>
    <phoneticPr fontId="16" type="noConversion"/>
  </si>
  <si>
    <t>計畫</t>
    <phoneticPr fontId="16" type="noConversion"/>
  </si>
  <si>
    <t>人數</t>
    <phoneticPr fontId="16" type="noConversion"/>
  </si>
  <si>
    <t>產能／時</t>
    <phoneticPr fontId="16" type="noConversion"/>
  </si>
  <si>
    <t>實際</t>
    <phoneticPr fontId="16" type="noConversion"/>
  </si>
  <si>
    <t>生產實績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</si>
  <si>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</si>
  <si>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</si>
  <si>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</si>
  <si>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</si>
  <si>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資料繳交</t>
    <phoneticPr fontId="16" type="noConversion"/>
  </si>
  <si>
    <t>五</t>
    <phoneticPr fontId="16" type="noConversion"/>
  </si>
  <si>
    <t>二</t>
    <phoneticPr fontId="16" type="noConversion"/>
  </si>
  <si>
    <t>三</t>
    <phoneticPr fontId="16" type="noConversion"/>
  </si>
  <si>
    <t>四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</si>
  <si>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</si>
  <si>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</si>
  <si>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</si>
  <si>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產線配置圖－每週更新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</si>
  <si>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</si>
  <si>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</si>
  <si>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</si>
  <si>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</si>
  <si>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</si>
  <si>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</si>
  <si>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</si>
  <si>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</si>
  <si>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</si>
  <si>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</si>
  <si>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</si>
  <si>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</si>
  <si>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</si>
  <si>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</si>
  <si>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</si>
  <si>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</si>
  <si>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</si>
  <si>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</si>
  <si>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</si>
  <si>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</si>
  <si>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</si>
  <si>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</si>
  <si>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</si>
  <si>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</si>
  <si>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抓樣不穩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</si>
  <si>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</si>
  <si>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</si>
  <si>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</si>
  <si>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類型</t>
    <phoneticPr fontId="16" type="noConversion"/>
  </si>
  <si>
    <t>製程不穩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</si>
  <si>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</si>
  <si>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</si>
  <si>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</si>
  <si>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</si>
  <si>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</si>
  <si>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</si>
  <si>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</si>
  <si>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</si>
  <si>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</si>
  <si>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</si>
  <si>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</si>
  <si>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</si>
  <si>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</si>
  <si>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6" type="noConversion"/>
  </si>
  <si>
    <t>（８）報廢原因別前幾名品項</t>
    <phoneticPr fontId="16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</si>
  <si>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</si>
  <si>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</si>
  <si>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</si>
  <si>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</si>
  <si>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</si>
  <si>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</si>
  <si>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</si>
  <si>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</si>
  <si>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</si>
  <si>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t>實績</t>
    <phoneticPr fontId="16" type="noConversion"/>
  </si>
  <si>
    <t>微波小吃(153,154,155)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</si>
  <si>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</si>
  <si>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</si>
  <si>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6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</si>
  <si>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</si>
  <si>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業績金額</t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</si>
  <si>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</si>
  <si>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</si>
  <si>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製程不穩</t>
    <phoneticPr fontId="13"/>
  </si>
  <si>
    <t>抓樣不穩</t>
    <phoneticPr fontId="13"/>
  </si>
  <si>
    <t>比例</t>
    <phoneticPr fontId="13"/>
  </si>
  <si>
    <t>報廢</t>
    <phoneticPr fontId="13"/>
  </si>
  <si>
    <t>超用</t>
    <phoneticPr fontId="13"/>
  </si>
  <si>
    <t>原物料規格</t>
    <phoneticPr fontId="13"/>
  </si>
  <si>
    <t>研發設定</t>
    <phoneticPr fontId="13"/>
  </si>
  <si>
    <t>其他原因</t>
    <phoneticPr fontId="13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</si>
  <si>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6" type="noConversion"/>
  </si>
  <si>
    <t>總件數</t>
    <phoneticPr fontId="16" type="noConversion"/>
  </si>
  <si>
    <t>抓樣不穩</t>
    <phoneticPr fontId="16" type="noConversion"/>
  </si>
  <si>
    <t>原物料規格</t>
    <phoneticPr fontId="16" type="noConversion"/>
  </si>
  <si>
    <t>占比</t>
    <phoneticPr fontId="16" type="noConversion"/>
  </si>
  <si>
    <t>日期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</si>
  <si>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</si>
  <si>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</si>
  <si>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</si>
  <si>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</si>
  <si>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總件數</t>
    <phoneticPr fontId="16" type="noConversion"/>
  </si>
  <si>
    <t>抓樣不穩</t>
    <phoneticPr fontId="16" type="noConversion"/>
  </si>
  <si>
    <t>原物料規格</t>
    <phoneticPr fontId="16" type="noConversion"/>
  </si>
  <si>
    <t>研發設定</t>
    <phoneticPr fontId="16" type="noConversion"/>
  </si>
  <si>
    <t>其他原因</t>
    <phoneticPr fontId="16" type="noConversion"/>
  </si>
  <si>
    <t>金額</t>
    <phoneticPr fontId="16" type="noConversion"/>
  </si>
  <si>
    <t>補單占比</t>
    <phoneticPr fontId="16" type="noConversion"/>
  </si>
  <si>
    <t>展開量高於１０5％</t>
    <phoneticPr fontId="13"/>
  </si>
  <si>
    <t>展開量105%</t>
    <phoneticPr fontId="16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</si>
  <si>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6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</si>
  <si>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</si>
  <si>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6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</si>
  <si>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</si>
  <si>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</si>
  <si>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6" type="noConversion"/>
  </si>
  <si>
    <t>製程不穩</t>
    <phoneticPr fontId="16" type="noConversion"/>
  </si>
  <si>
    <t>季節調理麵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</si>
  <si>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</si>
  <si>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</si>
  <si>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</si>
  <si>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</si>
  <si>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</si>
  <si>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</si>
  <si>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</si>
  <si>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</si>
  <si>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</si>
  <si>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</si>
  <si>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</si>
  <si>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</si>
  <si>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</si>
  <si>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</si>
  <si>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</si>
  <si>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</si>
  <si>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</si>
  <si>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</si>
  <si>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</si>
  <si>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</si>
  <si>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</si>
  <si>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</si>
  <si>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</si>
  <si>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</si>
  <si>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</si>
  <si>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</si>
  <si>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</si>
  <si>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</si>
  <si>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</si>
  <si>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</si>
  <si>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</si>
  <si>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</si>
  <si>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</si>
  <si>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</si>
  <si>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</si>
  <si>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</si>
  <si>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</si>
  <si>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</si>
  <si>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</si>
  <si>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</si>
  <si>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</si>
  <si>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</si>
  <si>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</si>
  <si>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</si>
  <si>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</si>
  <si>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</si>
  <si>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</si>
  <si>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</si>
  <si>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</si>
  <si>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</si>
  <si>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</si>
  <si>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</si>
  <si>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</si>
  <si>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</si>
  <si>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</si>
  <si>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</si>
  <si>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</si>
  <si>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</si>
  <si>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</si>
  <si>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</si>
  <si>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</si>
  <si>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</si>
  <si>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</si>
  <si>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</si>
  <si>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</si>
  <si>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</si>
  <si>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</si>
  <si>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</si>
  <si>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</si>
  <si>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>展開量高於１０5％</t>
    <phoneticPr fontId="13"/>
  </si>
  <si>
    <t>展開量高於１０5％</t>
    <phoneticPr fontId="16" type="noConversion"/>
  </si>
  <si>
    <t>展開量高於１０5％</t>
    <phoneticPr fontId="13"/>
  </si>
  <si>
    <t>展開量高於１０5％</t>
    <phoneticPr fontId="13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</si>
  <si>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</si>
  <si>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</si>
  <si>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</si>
  <si>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</si>
  <si>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</si>
  <si>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</si>
  <si>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</si>
  <si>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</si>
  <si>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月平均人時性</t>
  </si>
  <si>
    <t>前週比</t>
  </si>
  <si>
    <t>w1</t>
    <phoneticPr fontId="16" type="noConversion"/>
  </si>
  <si>
    <t>w2</t>
  </si>
  <si>
    <t>w3</t>
  </si>
  <si>
    <t>w4</t>
  </si>
  <si>
    <t>w5</t>
  </si>
  <si>
    <t>月合計</t>
    <phoneticPr fontId="16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</si>
  <si>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</si>
  <si>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6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</si>
  <si>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6" type="noConversion"/>
  </si>
  <si>
    <t>品群</t>
    <phoneticPr fontId="16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</si>
  <si>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6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</si>
  <si>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6" type="noConversion"/>
  </si>
  <si>
    <t>品群</t>
    <phoneticPr fontId="13"/>
  </si>
  <si>
    <t>排名</t>
    <phoneticPr fontId="13"/>
  </si>
  <si>
    <t>人數</t>
    <phoneticPr fontId="13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</si>
  <si>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3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</si>
  <si>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3"/>
  </si>
  <si>
    <t>主要原因&amp;對策</t>
    <phoneticPr fontId="13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</si>
  <si>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6" type="noConversion"/>
  </si>
  <si>
    <t>▼1</t>
    <phoneticPr fontId="13"/>
  </si>
  <si>
    <t>▼2</t>
    <phoneticPr fontId="13"/>
  </si>
  <si>
    <t>▼3</t>
    <phoneticPr fontId="13"/>
  </si>
  <si>
    <t>▼4</t>
    <phoneticPr fontId="13"/>
  </si>
  <si>
    <t>▼5</t>
    <phoneticPr fontId="13"/>
  </si>
  <si>
    <t>排名</t>
    <phoneticPr fontId="13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</si>
  <si>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3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</si>
  <si>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6" type="noConversion"/>
  </si>
  <si>
    <t>微波小吃</t>
    <phoneticPr fontId="16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</si>
  <si>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</si>
  <si>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</si>
  <si>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熱食調理麵</t>
    <phoneticPr fontId="16" type="noConversion"/>
  </si>
  <si>
    <t>品項</t>
    <phoneticPr fontId="80" type="noConversion"/>
  </si>
  <si>
    <t>人數</t>
    <phoneticPr fontId="80" type="noConversion"/>
  </si>
  <si>
    <t>產能</t>
    <phoneticPr fontId="80" type="noConversion"/>
  </si>
  <si>
    <t>白酒蛤蜊義大利麵</t>
    <phoneticPr fontId="80" type="noConversion"/>
  </si>
  <si>
    <t>ET-600</t>
    <phoneticPr fontId="80" type="noConversion"/>
  </si>
  <si>
    <t>ET-55</t>
    <phoneticPr fontId="80" type="noConversion"/>
  </si>
  <si>
    <t>熱那亞青醬義大利麵</t>
    <phoneticPr fontId="80" type="noConversion"/>
  </si>
  <si>
    <t>義式蕃茄起司義大利麵</t>
    <phoneticPr fontId="80" type="noConversion"/>
  </si>
  <si>
    <t>焗烤起司雙饗筆尖麵</t>
    <phoneticPr fontId="80" type="noConversion"/>
  </si>
  <si>
    <t>奶油培根義大利麵</t>
    <phoneticPr fontId="80" type="noConversion"/>
  </si>
  <si>
    <t>韓式炸雞義大利麵</t>
  </si>
  <si>
    <t>焗奶油扇貝筆尖麵</t>
  </si>
  <si>
    <t>拿坡里義大利麵</t>
  </si>
  <si>
    <t>黑胡椒燻豬腿義大利麵</t>
  </si>
  <si>
    <t>奶油蒜香雞義大利麵</t>
    <phoneticPr fontId="80" type="noConversion"/>
  </si>
  <si>
    <t>小滷青蔬</t>
  </si>
  <si>
    <t>起司馬鈴薯</t>
    <phoneticPr fontId="80" type="noConversion"/>
  </si>
  <si>
    <t>義式蕃茄起司義大利麵</t>
  </si>
  <si>
    <t>奶油培根義大利麵</t>
  </si>
  <si>
    <t>熱那亞青醬義大利麵</t>
  </si>
  <si>
    <t>焗烤起司雙饗筆尖麵</t>
  </si>
  <si>
    <t>白酒蛤蜊義大利麵</t>
  </si>
  <si>
    <t>奶油蒜香雞義大利麵</t>
  </si>
  <si>
    <t>起司馬鈴薯</t>
  </si>
  <si>
    <t>義麵-海鮮湯凍(113年)</t>
  </si>
  <si>
    <t>義麵-經典肉醬(114年)</t>
  </si>
  <si>
    <t>義式蕃茄起司義大利麵</t>
    <phoneticPr fontId="16" type="noConversion"/>
  </si>
  <si>
    <t>奶油培根義大利麵</t>
    <phoneticPr fontId="16" type="noConversion"/>
  </si>
  <si>
    <t>義麵-蒜味奶油湯凍</t>
  </si>
  <si>
    <t>奶油蒜香雞義大利麵</t>
    <phoneticPr fontId="16" type="noConversion"/>
  </si>
  <si>
    <t>滷-切片高麗菜</t>
  </si>
  <si>
    <t>小滷青蔬</t>
    <phoneticPr fontId="16" type="noConversion"/>
  </si>
  <si>
    <t>切-匈牙利雞胸排</t>
  </si>
  <si>
    <t>煮土耳其筆尖麵(113年)</t>
  </si>
  <si>
    <t>拌-蕃茄醬麵</t>
  </si>
  <si>
    <t>義麵-拿坡里蕃茄醬</t>
  </si>
  <si>
    <t>包裝</t>
  </si>
  <si>
    <t>調理多產</t>
  </si>
  <si>
    <t>韓式起司炸雞義大利麵</t>
    <phoneticPr fontId="80" type="noConversion"/>
  </si>
  <si>
    <t>韓式起司炸雞義大利麵</t>
  </si>
  <si>
    <t>展開量高於１０5％</t>
  </si>
  <si>
    <t>香濃起司馬鈴薯</t>
  </si>
  <si>
    <t>拌韓式炸雞</t>
  </si>
  <si>
    <t>黑胡椒燻火腿義大利麵</t>
  </si>
  <si>
    <t>切焗烤起司</t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</si>
  <si>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6" type="noConversion"/>
  </si>
  <si>
    <t>製程不穩</t>
  </si>
  <si>
    <t>其他原因</t>
  </si>
  <si>
    <t>步留因素</t>
  </si>
  <si>
    <t>調理</t>
  </si>
  <si>
    <t>原物料</t>
  </si>
  <si>
    <t>研發</t>
  </si>
  <si>
    <t>生管預估</t>
  </si>
  <si>
    <t>起司馬鈴薯</t>
    <phoneticPr fontId="16" type="noConversion"/>
  </si>
  <si>
    <t>拌韓式炸雞</t>
    <phoneticPr fontId="16" type="noConversion"/>
  </si>
  <si>
    <t>韓式炸雞義大利麵</t>
    <phoneticPr fontId="16" type="noConversion"/>
  </si>
  <si>
    <t>此半成品須拆兩種半成品混拌→醬減少，包裝55G~60G(現60G~65G)</t>
    <phoneticPr fontId="16" type="noConversion"/>
  </si>
  <si>
    <t>熱那亞青醬義大利麵</t>
    <phoneticPr fontId="16" type="noConversion"/>
  </si>
  <si>
    <t>拿坡里義大利麵</t>
    <phoneticPr fontId="16" type="noConversion"/>
  </si>
  <si>
    <t>黑胡椒燻豬腿義大利麵</t>
    <phoneticPr fontId="16" type="noConversion"/>
  </si>
  <si>
    <t>青花椒麻雞肉拌麵</t>
    <phoneticPr fontId="80" type="noConversion"/>
  </si>
  <si>
    <t>青花椒麻雞肉拌麵</t>
  </si>
  <si>
    <t>義麵-蒜辣黑胡椒湯凍</t>
  </si>
  <si>
    <t>此半成品須拆兩種半成品混拌，製成率正常，炸雞為秤重物料55g以上，炸雞一塊9g以上</t>
    <phoneticPr fontId="16" type="noConversion"/>
  </si>
  <si>
    <t xml:space="preserve">	鮮食雙色起司絲</t>
  </si>
  <si>
    <t>長家廠</t>
    <phoneticPr fontId="16" type="noConversion"/>
  </si>
  <si>
    <t>月平均人時性</t>
    <phoneticPr fontId="16" type="noConversion"/>
  </si>
  <si>
    <t>產線配置圖－每週更新</t>
    <phoneticPr fontId="16" type="noConversion"/>
  </si>
  <si>
    <t>資料繳交</t>
    <phoneticPr fontId="16" type="noConversion"/>
  </si>
  <si>
    <t>日期</t>
    <phoneticPr fontId="16" type="noConversion"/>
  </si>
  <si>
    <t>二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</si>
  <si>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</si>
  <si>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</si>
  <si>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</si>
  <si>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</si>
  <si>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</si>
  <si>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</si>
  <si>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品群</t>
    <phoneticPr fontId="16" type="noConversion"/>
  </si>
  <si>
    <t>商品名稱</t>
    <phoneticPr fontId="16" type="noConversion"/>
  </si>
  <si>
    <t>計畫</t>
    <phoneticPr fontId="16" type="noConversion"/>
  </si>
  <si>
    <t>平均人時性</t>
    <phoneticPr fontId="16" type="noConversion"/>
  </si>
  <si>
    <t>實績</t>
    <phoneticPr fontId="16" type="noConversion"/>
  </si>
  <si>
    <t>排名</t>
    <phoneticPr fontId="16" type="noConversion"/>
  </si>
  <si>
    <t>日報</t>
    <phoneticPr fontId="16" type="noConversion"/>
  </si>
  <si>
    <t>實際</t>
    <phoneticPr fontId="16" type="noConversion"/>
  </si>
  <si>
    <t>實際</t>
    <phoneticPr fontId="16" type="noConversion"/>
  </si>
  <si>
    <t>平均人時性</t>
    <phoneticPr fontId="16" type="noConversion"/>
  </si>
  <si>
    <t>產線配置圖</t>
    <phoneticPr fontId="16" type="noConversion"/>
  </si>
  <si>
    <t>生產實績</t>
    <phoneticPr fontId="16" type="noConversion"/>
  </si>
  <si>
    <t>生產實績</t>
    <phoneticPr fontId="16" type="noConversion"/>
  </si>
  <si>
    <t>人數</t>
    <phoneticPr fontId="16" type="noConversion"/>
  </si>
  <si>
    <t>產能／時</t>
    <phoneticPr fontId="16" type="noConversion"/>
  </si>
  <si>
    <t>人時性</t>
    <phoneticPr fontId="16" type="noConversion"/>
  </si>
  <si>
    <t>產能／時</t>
    <phoneticPr fontId="16" type="noConversion"/>
  </si>
  <si>
    <t>人數</t>
    <phoneticPr fontId="16" type="noConversion"/>
  </si>
  <si>
    <t>排名</t>
    <phoneticPr fontId="16" type="noConversion"/>
  </si>
  <si>
    <t>二</t>
    <phoneticPr fontId="16" type="noConversion"/>
  </si>
  <si>
    <t>四</t>
    <phoneticPr fontId="16" type="noConversion"/>
  </si>
  <si>
    <t>六</t>
    <phoneticPr fontId="16" type="noConversion"/>
  </si>
  <si>
    <t>日</t>
    <phoneticPr fontId="16" type="noConversion"/>
  </si>
  <si>
    <t>計畫</t>
    <phoneticPr fontId="16" type="noConversion"/>
  </si>
  <si>
    <t>日報</t>
    <phoneticPr fontId="16" type="noConversion"/>
  </si>
  <si>
    <t>產線配置圖</t>
    <phoneticPr fontId="16" type="noConversion"/>
  </si>
  <si>
    <t>人時性</t>
    <phoneticPr fontId="16" type="noConversion"/>
  </si>
  <si>
    <t>資料繳交</t>
    <phoneticPr fontId="16" type="noConversion"/>
  </si>
  <si>
    <t>三</t>
    <phoneticPr fontId="16" type="noConversion"/>
  </si>
  <si>
    <t>五</t>
    <phoneticPr fontId="16" type="noConversion"/>
  </si>
  <si>
    <t>品群</t>
    <phoneticPr fontId="16" type="noConversion"/>
  </si>
  <si>
    <t>商品名稱</t>
    <phoneticPr fontId="16" type="noConversion"/>
  </si>
  <si>
    <t>實績</t>
    <phoneticPr fontId="16" type="noConversion"/>
  </si>
  <si>
    <t>資料繳交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</si>
  <si>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</si>
  <si>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</si>
  <si>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</si>
  <si>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</si>
  <si>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一</t>
    <phoneticPr fontId="16" type="noConversion"/>
  </si>
  <si>
    <t>實績</t>
    <phoneticPr fontId="16" type="noConversion"/>
  </si>
  <si>
    <t>排名</t>
    <phoneticPr fontId="16" type="noConversion"/>
  </si>
  <si>
    <t>平均人時性</t>
    <phoneticPr fontId="16" type="noConversion"/>
  </si>
  <si>
    <t>實際</t>
    <phoneticPr fontId="16" type="noConversion"/>
  </si>
  <si>
    <t>產線配置圖</t>
    <phoneticPr fontId="16" type="noConversion"/>
  </si>
  <si>
    <t>生產實績</t>
    <phoneticPr fontId="16" type="noConversion"/>
  </si>
  <si>
    <t>人數</t>
    <phoneticPr fontId="16" type="noConversion"/>
  </si>
  <si>
    <t>產能／時</t>
    <phoneticPr fontId="16" type="noConversion"/>
  </si>
  <si>
    <t>人時性</t>
    <phoneticPr fontId="16" type="noConversion"/>
  </si>
  <si>
    <t>微波小吃</t>
    <phoneticPr fontId="16" type="noConversion"/>
  </si>
  <si>
    <t>產線配置圖－每週更新</t>
    <phoneticPr fontId="16" type="noConversion"/>
  </si>
  <si>
    <t>日</t>
    <phoneticPr fontId="16" type="noConversion"/>
  </si>
  <si>
    <t>品群</t>
    <phoneticPr fontId="16" type="noConversion"/>
  </si>
  <si>
    <t>微波小吃</t>
    <phoneticPr fontId="16" type="noConversion"/>
  </si>
  <si>
    <t>日期</t>
    <phoneticPr fontId="16" type="noConversion"/>
  </si>
  <si>
    <t>二</t>
    <phoneticPr fontId="16" type="noConversion"/>
  </si>
  <si>
    <t>產線配置圖－每週更新</t>
    <phoneticPr fontId="16" type="noConversion"/>
  </si>
  <si>
    <t>日期</t>
    <phoneticPr fontId="16" type="noConversion"/>
  </si>
  <si>
    <t>一</t>
    <phoneticPr fontId="16" type="noConversion"/>
  </si>
  <si>
    <t>商品名稱</t>
    <phoneticPr fontId="16" type="noConversion"/>
  </si>
  <si>
    <t>實績</t>
    <phoneticPr fontId="16" type="noConversion"/>
  </si>
  <si>
    <t>排名</t>
    <phoneticPr fontId="16" type="noConversion"/>
  </si>
  <si>
    <t>平均人時性</t>
    <phoneticPr fontId="16" type="noConversion"/>
  </si>
  <si>
    <t>實際</t>
    <phoneticPr fontId="16" type="noConversion"/>
  </si>
  <si>
    <t>生產實績</t>
    <phoneticPr fontId="16" type="noConversion"/>
  </si>
  <si>
    <t>產能／時</t>
    <phoneticPr fontId="16" type="noConversion"/>
  </si>
  <si>
    <t>人時性</t>
    <phoneticPr fontId="16" type="noConversion"/>
  </si>
  <si>
    <t>人數</t>
    <phoneticPr fontId="16" type="noConversion"/>
  </si>
  <si>
    <t>羅馬諾羊乾酪絲</t>
  </si>
  <si>
    <t>茄豬肉醬</t>
  </si>
  <si>
    <t>紅切達起司絲</t>
  </si>
  <si>
    <t>此半成品須拆兩種半成品混拌，製成率正常，炸雞為秤重物料55g以上，炸雞一塊9g以上</t>
  </si>
  <si>
    <t>羊乳起司培根筆尖麵</t>
  </si>
  <si>
    <t>混拌浪花麵</t>
  </si>
  <si>
    <t>抓樣不穩→人員教育訓練</t>
    <phoneticPr fontId="16" type="noConversion"/>
  </si>
  <si>
    <t>調理包-味噌醬</t>
  </si>
  <si>
    <t>台式綜合甜不辣</t>
  </si>
  <si>
    <t>煮細扁麵</t>
  </si>
  <si>
    <t>預估&gt;實際</t>
    <phoneticPr fontId="16" type="noConversion"/>
  </si>
  <si>
    <t>烤香料馬鈴薯</t>
  </si>
  <si>
    <t>長家</t>
    <phoneticPr fontId="16" type="noConversion"/>
  </si>
  <si>
    <t>白酒蛤蜊義大利麵-手</t>
    <phoneticPr fontId="80" type="noConversion"/>
  </si>
  <si>
    <t>黑胡椒燻豬腿義大利麵-降速生產</t>
    <phoneticPr fontId="80" type="noConversion"/>
  </si>
  <si>
    <t>羊乳起司培根筆尖麵</t>
    <phoneticPr fontId="80" type="noConversion"/>
  </si>
  <si>
    <t>奶油蒜香雞義大利麵-降速生產</t>
    <phoneticPr fontId="80" type="noConversion"/>
  </si>
  <si>
    <t>台式綜合甜不辣</t>
    <phoneticPr fontId="80" type="noConversion"/>
  </si>
  <si>
    <t>川燙-三角油豆腐</t>
  </si>
  <si>
    <t>川燙-甜不辣條</t>
  </si>
  <si>
    <t>瀝水-白蘿蔔塊</t>
  </si>
  <si>
    <t>切-烤重煙燻培根片(湖)15mm</t>
  </si>
  <si>
    <t>白酒蛤蜊義大利麵</t>
    <phoneticPr fontId="16" type="noConversion"/>
  </si>
  <si>
    <t>烤重煙燻培根絲</t>
    <phoneticPr fontId="16" type="noConversion"/>
  </si>
  <si>
    <t>台式綜合甜不辣</t>
    <phoneticPr fontId="16" type="noConversion"/>
  </si>
  <si>
    <t>解凍黑胡椒燻豬腿肉(湖)</t>
  </si>
  <si>
    <t>韓式起司炸雞義大利麵</t>
    <phoneticPr fontId="16" type="noConversion"/>
  </si>
  <si>
    <t>設備故障次數多</t>
    <phoneticPr fontId="16" type="noConversion"/>
  </si>
  <si>
    <t>韓式辣醬肉丸義大利麵</t>
  </si>
  <si>
    <t>家傳炸醬麵</t>
  </si>
  <si>
    <t>義麵-韓式辣醬湯凍</t>
  </si>
  <si>
    <t>煮家傳炸醬湯凍</t>
  </si>
  <si>
    <t>瀝-煮蕃茄丁</t>
  </si>
  <si>
    <t>炒家傳炸醬肉燥</t>
  </si>
  <si>
    <t>解凍玉子蛋絲</t>
  </si>
  <si>
    <t>家傳炸醬麵</t>
    <phoneticPr fontId="16" type="noConversion"/>
  </si>
  <si>
    <t>韓式辣醬肉丸義大利麵</t>
    <phoneticPr fontId="16" type="noConversion"/>
  </si>
  <si>
    <t>清洗小黃瓜絲</t>
  </si>
  <si>
    <t>焗烤起司雙饗筆尖麵</t>
    <phoneticPr fontId="16" type="noConversion"/>
  </si>
  <si>
    <t>十</t>
    <phoneticPr fontId="16" type="noConversion"/>
  </si>
  <si>
    <t>剝皮辣椒雞奶油扁麵</t>
  </si>
  <si>
    <t>家傳炸醬麵-降速生產</t>
  </si>
  <si>
    <t>青花椒麻雞肉拌麵-降速生產</t>
    <phoneticPr fontId="80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</si>
  <si>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10/01</t>
    </r>
    <phoneticPr fontId="80" type="noConversion"/>
  </si>
  <si>
    <t>待料</t>
    <phoneticPr fontId="16" type="noConversion"/>
  </si>
  <si>
    <t>自動線轉手工線</t>
    <phoneticPr fontId="16" type="noConversion"/>
  </si>
  <si>
    <t>手工線轉自動線</t>
    <phoneticPr fontId="16" type="noConversion"/>
  </si>
  <si>
    <t>W1</t>
    <phoneticPr fontId="16" type="noConversion"/>
  </si>
  <si>
    <t>烤蒜味雞腿丁</t>
  </si>
  <si>
    <t>解凍黑胡椒燻豬肉卷(切片3mm)</t>
  </si>
  <si>
    <t>川燙-切甜不辣片</t>
  </si>
  <si>
    <t>預估&gt;實際</t>
  </si>
  <si>
    <t>此半成品秤重物料35g+-5g，雞丁一塊10g以上</t>
  </si>
  <si>
    <t>此半成品秤重物料35g+-5g，雞丁一塊10g以上</t>
    <phoneticPr fontId="16" type="noConversion"/>
  </si>
  <si>
    <t>組裝3片，依訂單進行調理後分切每條13-15刀。</t>
    <phoneticPr fontId="16" type="noConversion"/>
  </si>
  <si>
    <t>組裝3片，依訂單進行拆包，每包75片以上</t>
    <phoneticPr fontId="16" type="noConversion"/>
  </si>
  <si>
    <t>組裝4條，每包300支以上</t>
    <phoneticPr fontId="16" type="noConversion"/>
  </si>
  <si>
    <t>此半成品秤重物料100g以上，需求量100%以上</t>
    <phoneticPr fontId="16" type="noConversion"/>
  </si>
  <si>
    <t>組裝2片，每包100片以上</t>
    <phoneticPr fontId="16" type="noConversion"/>
  </si>
  <si>
    <t>剝皮辣椒雞奶油細扁麵</t>
  </si>
  <si>
    <t>此半成品秤重物料35g以上，雞丁一塊10g以上</t>
  </si>
  <si>
    <t>此半成品秤重物料35g以上，雞丁一塊10g以上</t>
    <phoneticPr fontId="16" type="noConversion"/>
  </si>
  <si>
    <t>組裝1片</t>
    <phoneticPr fontId="16" type="noConversion"/>
  </si>
  <si>
    <t>炒芝麻海苔酥</t>
  </si>
  <si>
    <t>烤重煙燻培根絲</t>
  </si>
  <si>
    <t>此半成品秤重物料83g以上，馬鈴薯一塊6g以上</t>
    <phoneticPr fontId="16" type="noConversion"/>
  </si>
  <si>
    <t>依訂單進行調理及分切，組裝6片</t>
    <phoneticPr fontId="16" type="noConversion"/>
  </si>
  <si>
    <t>川燙青椒絲</t>
  </si>
  <si>
    <t>甜不辣條包裝4條不足重，使用蘿蔔補重</t>
  </si>
  <si>
    <t>甜不辣條包裝4條不足重，使用蘿蔔補重</t>
    <phoneticPr fontId="16" type="noConversion"/>
  </si>
  <si>
    <t>製成率正常，馬鈴薯為秤重物料83g以上，馬鈴薯一塊7g以上</t>
    <phoneticPr fontId="16" type="noConversion"/>
  </si>
  <si>
    <t>佩科里尼羅瑪諾綿羊乾酪絲</t>
  </si>
  <si>
    <t>油炒剝皮辣椒段</t>
  </si>
  <si>
    <t>冷凍熟海灣裙邊貝肉80/100</t>
  </si>
  <si>
    <t>義麵-剝皮辣椒奶醬</t>
  </si>
  <si>
    <t>羊奶起司培根-熱封膜</t>
  </si>
  <si>
    <t>焗奶油扇貝筆尖麵-熱封膜440mm</t>
  </si>
  <si>
    <t>505-IQF冷凍水牛瑞可達乳酪</t>
  </si>
  <si>
    <t>下架物料</t>
    <phoneticPr fontId="16" type="noConversion"/>
  </si>
  <si>
    <t>川燙青紅辣椒圓片</t>
  </si>
  <si>
    <t>6切-烤調色青花椒棒腿肉</t>
  </si>
  <si>
    <t>剝皮辣椒雞奶油細扁麵</t>
    <phoneticPr fontId="16" type="noConversion"/>
  </si>
  <si>
    <t>烤蒜味雞腿丁</t>
    <phoneticPr fontId="16" type="noConversion"/>
  </si>
  <si>
    <r>
      <rPr>
        <sz val="11"/>
        <color theme="1"/>
        <rFont val="細明體"/>
        <family val="2"/>
        <charset val="136"/>
      </rPr>
      <t>調理包</t>
    </r>
    <r>
      <rPr>
        <sz val="11"/>
        <color theme="1"/>
        <rFont val="Arial"/>
        <family val="2"/>
      </rPr>
      <t>-</t>
    </r>
    <r>
      <rPr>
        <sz val="11"/>
        <color theme="1"/>
        <rFont val="Arial"/>
        <family val="2"/>
        <charset val="136"/>
      </rPr>
      <t>味噌醬</t>
    </r>
    <phoneticPr fontId="16" type="noConversion"/>
  </si>
  <si>
    <t>切-匈牙利雞胸排</t>
    <phoneticPr fontId="16" type="noConversion"/>
  </si>
  <si>
    <t>滷-切片高麗菜</t>
    <phoneticPr fontId="16" type="noConversion"/>
  </si>
  <si>
    <r>
      <rPr>
        <sz val="11"/>
        <color theme="1"/>
        <rFont val="微軟正黑體"/>
        <family val="2"/>
        <charset val="136"/>
      </rPr>
      <t>切</t>
    </r>
    <r>
      <rPr>
        <sz val="11"/>
        <color theme="1"/>
        <rFont val="Arial"/>
        <family val="2"/>
      </rPr>
      <t>-</t>
    </r>
    <r>
      <rPr>
        <sz val="11"/>
        <color theme="1"/>
        <rFont val="新細明體"/>
        <family val="2"/>
        <charset val="136"/>
      </rPr>
      <t>烤重煙燻培根片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2"/>
        <charset val="136"/>
      </rPr>
      <t>湖</t>
    </r>
    <r>
      <rPr>
        <sz val="11"/>
        <color theme="1"/>
        <rFont val="Arial"/>
        <family val="2"/>
      </rPr>
      <t>)15mm</t>
    </r>
    <phoneticPr fontId="16" type="noConversion"/>
  </si>
  <si>
    <t>黑胡椒燻火腿義大利麵</t>
    <phoneticPr fontId="16" type="noConversion"/>
  </si>
  <si>
    <t>解凍黑胡椒燻豬肉卷(切片3mm)</t>
    <phoneticPr fontId="16" type="noConversion"/>
  </si>
  <si>
    <r>
      <rPr>
        <sz val="11"/>
        <color theme="1"/>
        <rFont val="微軟正黑體"/>
        <family val="2"/>
        <charset val="136"/>
      </rPr>
      <t>川燙</t>
    </r>
    <r>
      <rPr>
        <sz val="11"/>
        <color theme="1"/>
        <rFont val="Arial"/>
        <family val="2"/>
      </rPr>
      <t>-</t>
    </r>
    <r>
      <rPr>
        <sz val="11"/>
        <color theme="1"/>
        <rFont val="Arial"/>
        <family val="2"/>
        <charset val="136"/>
      </rPr>
      <t>甜不辣條</t>
    </r>
    <phoneticPr fontId="16" type="noConversion"/>
  </si>
  <si>
    <t>川燙-切甜不辣片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</si>
</sst>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_-* #,##0.0_-;\-* #,##0.0_-;_-* &quot;-&quot;??_-;_-@_-"/>
    <numFmt numFmtId="188" formatCode="&quot;NT$&quot;#,##0.00;[Red]\-&quot;NT$&quot;#,##0.00"/>
  </numFmts>
  <fonts count="10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1"/>
      <color theme="1"/>
      <name val="Arial"/>
      <family val="2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</font>
    <font>
      <sz val="12"/>
      <color theme="1"/>
      <name val="Arial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5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9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47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12" fillId="0" borderId="3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22" xfId="0" applyNumberFormat="1" applyFont="1" applyBorder="1"/>
    <xf numFmtId="10" fontId="29" fillId="0" borderId="22" xfId="0" applyNumberFormat="1" applyFont="1" applyBorder="1"/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7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0" fillId="0" borderId="3" xfId="0" applyFont="1" applyBorder="1" applyAlignment="1">
      <alignment vertical="center" shrinkToFit="1"/>
    </xf>
    <xf numFmtId="0" fontId="10" fillId="0" borderId="8" xfId="0" applyFont="1" applyBorder="1" applyAlignment="1">
      <alignment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51" fillId="0" borderId="0" xfId="0" applyFont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4" fontId="31" fillId="0" borderId="22" xfId="0" applyNumberFormat="1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55" fillId="0" borderId="0" xfId="0" applyFont="1"/>
    <xf numFmtId="0" fontId="57" fillId="0" borderId="0" xfId="0" applyFont="1"/>
    <xf numFmtId="10" fontId="51" fillId="0" borderId="0" xfId="0" applyNumberFormat="1" applyFont="1" applyAlignment="1">
      <alignment shrinkToFit="1"/>
    </xf>
    <xf numFmtId="0" fontId="52" fillId="0" borderId="0" xfId="0" applyFont="1"/>
    <xf numFmtId="0" fontId="58" fillId="0" borderId="22" xfId="0" applyFont="1" applyBorder="1" applyAlignment="1">
      <alignment horizontal="center" vertical="center" shrinkToFit="1"/>
    </xf>
    <xf numFmtId="0" fontId="58" fillId="9" borderId="22" xfId="0" applyFont="1" applyFill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10" fontId="31" fillId="0" borderId="22" xfId="0" applyNumberFormat="1" applyFont="1" applyBorder="1" applyAlignment="1">
      <alignment horizontal="right" shrinkToFit="1"/>
    </xf>
    <xf numFmtId="0" fontId="51" fillId="0" borderId="22" xfId="0" applyFont="1" applyBorder="1" applyAlignment="1">
      <alignment horizontal="center" vertical="center" shrinkToFit="1"/>
    </xf>
    <xf numFmtId="0" fontId="59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 shrinkToFit="1"/>
    </xf>
    <xf numFmtId="0" fontId="31" fillId="0" borderId="3" xfId="0" applyFont="1" applyBorder="1" applyAlignment="1">
      <alignment vertical="center" shrinkToFit="1"/>
    </xf>
    <xf numFmtId="0" fontId="31" fillId="0" borderId="1" xfId="0" applyFont="1" applyBorder="1" applyAlignment="1">
      <alignment shrinkToFit="1"/>
    </xf>
    <xf numFmtId="10" fontId="31" fillId="0" borderId="1" xfId="0" applyNumberFormat="1" applyFont="1" applyBorder="1" applyAlignment="1">
      <alignment shrinkToFit="1"/>
    </xf>
    <xf numFmtId="0" fontId="31" fillId="3" borderId="1" xfId="0" applyFont="1" applyFill="1" applyBorder="1" applyAlignment="1">
      <alignment shrinkToFit="1"/>
    </xf>
    <xf numFmtId="0" fontId="31" fillId="0" borderId="4" xfId="0" applyFont="1" applyBorder="1" applyAlignment="1">
      <alignment shrinkToFit="1"/>
    </xf>
    <xf numFmtId="0" fontId="62" fillId="0" borderId="3" xfId="0" applyFont="1" applyBorder="1" applyAlignment="1">
      <alignment shrinkToFit="1"/>
    </xf>
    <xf numFmtId="0" fontId="31" fillId="0" borderId="8" xfId="0" applyFont="1" applyBorder="1" applyAlignment="1">
      <alignment vertical="center" shrinkToFit="1"/>
    </xf>
    <xf numFmtId="0" fontId="31" fillId="0" borderId="5" xfId="0" applyFont="1" applyBorder="1" applyAlignment="1">
      <alignment shrinkToFit="1"/>
    </xf>
    <xf numFmtId="10" fontId="31" fillId="0" borderId="5" xfId="0" applyNumberFormat="1" applyFont="1" applyBorder="1" applyAlignment="1">
      <alignment shrinkToFit="1"/>
    </xf>
    <xf numFmtId="0" fontId="31" fillId="3" borderId="5" xfId="0" applyFont="1" applyFill="1" applyBorder="1" applyAlignment="1">
      <alignment shrinkToFit="1"/>
    </xf>
    <xf numFmtId="0" fontId="31" fillId="0" borderId="9" xfId="0" applyFont="1" applyBorder="1" applyAlignment="1">
      <alignment shrinkToFit="1"/>
    </xf>
    <xf numFmtId="0" fontId="62" fillId="0" borderId="8" xfId="0" applyFont="1" applyBorder="1" applyAlignment="1">
      <alignment shrinkToFit="1"/>
    </xf>
    <xf numFmtId="0" fontId="31" fillId="2" borderId="16" xfId="0" applyFont="1" applyFill="1" applyBorder="1" applyAlignment="1">
      <alignment horizontal="center" shrinkToFit="1"/>
    </xf>
    <xf numFmtId="10" fontId="31" fillId="3" borderId="17" xfId="0" applyNumberFormat="1" applyFont="1" applyFill="1" applyBorder="1" applyAlignment="1">
      <alignment horizontal="center" shrinkToFit="1"/>
    </xf>
    <xf numFmtId="0" fontId="31" fillId="3" borderId="18" xfId="0" applyFont="1" applyFill="1" applyBorder="1" applyAlignment="1">
      <alignment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31" fillId="2" borderId="23" xfId="0" applyFont="1" applyFill="1" applyBorder="1" applyAlignment="1">
      <alignment horizontal="center" vertical="center" shrinkToFit="1"/>
    </xf>
    <xf numFmtId="10" fontId="31" fillId="2" borderId="23" xfId="0" applyNumberFormat="1" applyFont="1" applyFill="1" applyBorder="1" applyAlignment="1">
      <alignment horizontal="center" vertical="center" shrinkToFit="1"/>
    </xf>
    <xf numFmtId="0" fontId="39" fillId="0" borderId="34" xfId="0" applyFont="1" applyBorder="1" applyAlignment="1">
      <alignment horizontal="left" vertical="center"/>
    </xf>
    <xf numFmtId="0" fontId="39" fillId="0" borderId="26" xfId="0" applyFont="1" applyBorder="1" applyAlignment="1">
      <alignment horizontal="left" vertical="center"/>
    </xf>
    <xf numFmtId="0" fontId="39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0" fontId="52" fillId="0" borderId="0" xfId="11" applyFont="1" applyAlignment="1">
      <alignment shrinkToFit="1"/>
    </xf>
    <xf numFmtId="184" fontId="68" fillId="0" borderId="0" xfId="11" applyNumberFormat="1" applyFont="1" applyAlignment="1">
      <alignment shrinkToFit="1"/>
    </xf>
    <xf numFmtId="0" fontId="51" fillId="0" borderId="6" xfId="11" applyFont="1" applyBorder="1" applyAlignment="1">
      <alignment horizontal="center" shrinkToFit="1"/>
    </xf>
    <xf numFmtId="3" fontId="40" fillId="0" borderId="6" xfId="11" applyNumberFormat="1" applyFont="1" applyBorder="1" applyAlignment="1">
      <alignment shrinkToFit="1"/>
    </xf>
    <xf numFmtId="10" fontId="40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51" fillId="0" borderId="1" xfId="11" applyFont="1" applyBorder="1" applyAlignment="1">
      <alignment horizontal="center" shrinkToFit="1"/>
    </xf>
    <xf numFmtId="3" fontId="40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22" xfId="11" applyFont="1" applyBorder="1"/>
    <xf numFmtId="1" fontId="34" fillId="0" borderId="22" xfId="11" applyNumberFormat="1" applyFont="1" applyBorder="1"/>
    <xf numFmtId="185" fontId="34" fillId="0" borderId="22" xfId="13" applyNumberFormat="1" applyFont="1" applyFill="1" applyBorder="1" applyAlignment="1"/>
    <xf numFmtId="0" fontId="34" fillId="0" borderId="0" xfId="11" applyFont="1" applyAlignment="1">
      <alignment horizontal="center"/>
    </xf>
    <xf numFmtId="9" fontId="71" fillId="0" borderId="0" xfId="13" applyFont="1" applyFill="1" applyAlignment="1"/>
    <xf numFmtId="0" fontId="34" fillId="0" borderId="0" xfId="11" applyFont="1" applyAlignment="1">
      <alignment horizontal="center" vertical="center"/>
    </xf>
    <xf numFmtId="1" fontId="40" fillId="0" borderId="22" xfId="11" applyNumberFormat="1" applyFont="1" applyBorder="1"/>
    <xf numFmtId="0" fontId="40" fillId="0" borderId="22" xfId="11" applyFont="1" applyBorder="1"/>
    <xf numFmtId="185" fontId="40" fillId="0" borderId="22" xfId="13" applyNumberFormat="1" applyFont="1" applyFill="1" applyBorder="1" applyAlignment="1"/>
    <xf numFmtId="0" fontId="40" fillId="5" borderId="22" xfId="12" applyFont="1" applyFill="1" applyBorder="1" applyAlignment="1">
      <alignment horizontal="center" vertical="center" wrapText="1"/>
    </xf>
    <xf numFmtId="0" fontId="40" fillId="5" borderId="22" xfId="1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/>
    </xf>
    <xf numFmtId="185" fontId="40" fillId="9" borderId="22" xfId="14" applyNumberFormat="1" applyFont="1" applyFill="1" applyBorder="1" applyAlignment="1"/>
    <xf numFmtId="185" fontId="40" fillId="9" borderId="22" xfId="13" applyNumberFormat="1" applyFont="1" applyFill="1" applyBorder="1" applyAlignment="1"/>
    <xf numFmtId="1" fontId="0" fillId="0" borderId="31" xfId="0" applyNumberFormat="1" applyBorder="1" applyAlignment="1">
      <alignment horizontal="center" vertical="center"/>
    </xf>
    <xf numFmtId="0" fontId="39" fillId="0" borderId="32" xfId="0" applyFont="1" applyBorder="1" applyAlignment="1">
      <alignment horizontal="left" vertical="center"/>
    </xf>
    <xf numFmtId="0" fontId="39" fillId="0" borderId="37" xfId="0" applyFont="1" applyBorder="1" applyAlignment="1">
      <alignment horizontal="left" vertical="center"/>
    </xf>
    <xf numFmtId="0" fontId="10" fillId="0" borderId="0" xfId="5"/>
    <xf numFmtId="0" fontId="74" fillId="9" borderId="30" xfId="5" applyFont="1" applyFill="1" applyBorder="1"/>
    <xf numFmtId="0" fontId="74" fillId="0" borderId="0" xfId="5" applyFont="1"/>
    <xf numFmtId="0" fontId="74" fillId="0" borderId="22" xfId="5" applyFont="1" applyBorder="1"/>
    <xf numFmtId="0" fontId="74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40" fillId="5" borderId="23" xfId="5" applyFont="1" applyFill="1" applyBorder="1" applyAlignment="1">
      <alignment horizontal="center" vertical="center"/>
    </xf>
    <xf numFmtId="0" fontId="75" fillId="0" borderId="22" xfId="0" applyFont="1" applyBorder="1" applyAlignment="1">
      <alignment horizontal="center" vertical="center" shrinkToFit="1"/>
    </xf>
    <xf numFmtId="0" fontId="59" fillId="0" borderId="22" xfId="0" applyFont="1" applyBorder="1" applyAlignment="1">
      <alignment horizontal="center" vertical="center" shrinkToFit="1"/>
    </xf>
    <xf numFmtId="0" fontId="59" fillId="0" borderId="22" xfId="0" applyFont="1" applyBorder="1" applyAlignment="1">
      <alignment shrinkToFit="1"/>
    </xf>
    <xf numFmtId="0" fontId="76" fillId="0" borderId="0" xfId="0" applyFont="1" applyAlignment="1">
      <alignment vertical="center"/>
    </xf>
    <xf numFmtId="0" fontId="34" fillId="0" borderId="41" xfId="11" applyFont="1" applyBorder="1"/>
    <xf numFmtId="1" fontId="34" fillId="0" borderId="41" xfId="11" applyNumberFormat="1" applyFont="1" applyBorder="1"/>
    <xf numFmtId="0" fontId="77" fillId="0" borderId="0" xfId="11" applyFont="1"/>
    <xf numFmtId="1" fontId="71" fillId="0" borderId="41" xfId="11" applyNumberFormat="1" applyFont="1" applyBorder="1"/>
    <xf numFmtId="0" fontId="34" fillId="5" borderId="23" xfId="11" applyFont="1" applyFill="1" applyBorder="1" applyAlignment="1">
      <alignment horizontal="center" vertical="center"/>
    </xf>
    <xf numFmtId="0" fontId="31" fillId="5" borderId="22" xfId="11" applyFont="1" applyFill="1" applyBorder="1" applyAlignment="1">
      <alignment horizontal="center" vertical="center" shrinkToFit="1"/>
    </xf>
    <xf numFmtId="0" fontId="29" fillId="4" borderId="0" xfId="11" applyFont="1" applyFill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5" borderId="22" xfId="11" applyFont="1" applyFill="1" applyBorder="1" applyAlignment="1">
      <alignment horizontal="center" shrinkToFit="1"/>
    </xf>
    <xf numFmtId="0" fontId="29" fillId="4" borderId="0" xfId="11" applyFont="1" applyFill="1" applyAlignment="1">
      <alignment horizontal="center" shrinkToFit="1"/>
    </xf>
    <xf numFmtId="0" fontId="51" fillId="2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51" fillId="0" borderId="22" xfId="11" applyFont="1" applyBorder="1" applyAlignment="1">
      <alignment shrinkToFit="1"/>
    </xf>
    <xf numFmtId="0" fontId="31" fillId="0" borderId="22" xfId="11" applyFont="1" applyBorder="1" applyAlignment="1">
      <alignment shrinkToFit="1"/>
    </xf>
    <xf numFmtId="0" fontId="51" fillId="0" borderId="22" xfId="11" applyFont="1" applyBorder="1" applyAlignment="1">
      <alignment horizontal="right" shrinkToFit="1"/>
    </xf>
    <xf numFmtId="0" fontId="51" fillId="2" borderId="22" xfId="11" applyFont="1" applyFill="1" applyBorder="1" applyAlignment="1">
      <alignment horizontal="center" shrinkToFit="1"/>
    </xf>
    <xf numFmtId="0" fontId="31" fillId="2" borderId="22" xfId="11" applyFont="1" applyFill="1" applyBorder="1" applyAlignment="1">
      <alignment horizontal="center" shrinkToFit="1"/>
    </xf>
    <xf numFmtId="0" fontId="29" fillId="0" borderId="0" xfId="11" applyFont="1" applyAlignment="1">
      <alignment horizontal="center" shrinkToFit="1"/>
    </xf>
    <xf numFmtId="0" fontId="84" fillId="0" borderId="22" xfId="11" applyFont="1" applyBorder="1"/>
    <xf numFmtId="2" fontId="40" fillId="0" borderId="22" xfId="11" applyNumberFormat="1" applyFont="1" applyBorder="1"/>
    <xf numFmtId="0" fontId="87" fillId="0" borderId="22" xfId="11" applyFont="1" applyBorder="1"/>
    <xf numFmtId="0" fontId="85" fillId="0" borderId="22" xfId="0" applyFont="1" applyBorder="1" applyAlignment="1">
      <alignment shrinkToFit="1"/>
    </xf>
    <xf numFmtId="183" fontId="40" fillId="0" borderId="22" xfId="11" applyNumberFormat="1" applyFont="1" applyBorder="1"/>
    <xf numFmtId="183" fontId="34" fillId="0" borderId="22" xfId="11" applyNumberFormat="1" applyFont="1" applyBorder="1"/>
    <xf numFmtId="0" fontId="88" fillId="0" borderId="22" xfId="11" applyFont="1" applyBorder="1"/>
    <xf numFmtId="0" fontId="88" fillId="0" borderId="0" xfId="11" applyFont="1"/>
    <xf numFmtId="0" fontId="84" fillId="0" borderId="0" xfId="11" applyFont="1"/>
    <xf numFmtId="1" fontId="31" fillId="0" borderId="22" xfId="11" applyNumberFormat="1" applyFont="1" applyBorder="1" applyAlignment="1">
      <alignment shrinkToFit="1"/>
    </xf>
    <xf numFmtId="183" fontId="31" fillId="0" borderId="22" xfId="11" applyNumberFormat="1" applyFont="1" applyBorder="1" applyAlignment="1">
      <alignment shrinkToFit="1"/>
    </xf>
    <xf numFmtId="183" fontId="31" fillId="3" borderId="1" xfId="0" applyNumberFormat="1" applyFont="1" applyFill="1" applyBorder="1" applyAlignment="1">
      <alignment shrinkToFit="1"/>
    </xf>
    <xf numFmtId="183" fontId="31" fillId="3" borderId="5" xfId="0" applyNumberFormat="1" applyFont="1" applyFill="1" applyBorder="1" applyAlignment="1">
      <alignment shrinkToFit="1"/>
    </xf>
    <xf numFmtId="183" fontId="10" fillId="3" borderId="1" xfId="0" applyNumberFormat="1" applyFont="1" applyFill="1" applyBorder="1" applyAlignment="1">
      <alignment shrinkToFit="1"/>
    </xf>
    <xf numFmtId="183" fontId="10" fillId="3" borderId="5" xfId="0" applyNumberFormat="1" applyFont="1" applyFill="1" applyBorder="1" applyAlignment="1">
      <alignment shrinkToFit="1"/>
    </xf>
    <xf numFmtId="0" fontId="41" fillId="0" borderId="22" xfId="42" applyFont="1" applyBorder="1" applyAlignment="1">
      <alignment horizontal="center" vertical="center"/>
    </xf>
    <xf numFmtId="0" fontId="41" fillId="0" borderId="0" xfId="42" applyFont="1" applyAlignment="1">
      <alignment horizontal="center" vertical="center"/>
    </xf>
    <xf numFmtId="0" fontId="3" fillId="0" borderId="0" xfId="42">
      <alignment vertical="center"/>
    </xf>
    <xf numFmtId="0" fontId="81" fillId="0" borderId="0" xfId="42" applyFont="1" applyAlignment="1">
      <alignment horizontal="center" vertical="center"/>
    </xf>
    <xf numFmtId="186" fontId="29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11" applyFont="1" applyAlignment="1">
      <alignment horizontal="left" vertical="center"/>
    </xf>
    <xf numFmtId="0" fontId="76" fillId="0" borderId="0" xfId="11" applyFont="1" applyAlignment="1">
      <alignment vertical="center"/>
    </xf>
    <xf numFmtId="183" fontId="27" fillId="0" borderId="0" xfId="11" applyNumberFormat="1" applyAlignment="1">
      <alignment horizontal="center" vertical="center"/>
    </xf>
    <xf numFmtId="0" fontId="27" fillId="0" borderId="0" xfId="11" applyAlignment="1">
      <alignment horizontal="center" vertical="center"/>
    </xf>
    <xf numFmtId="0" fontId="27" fillId="0" borderId="0" xfId="11" applyAlignment="1">
      <alignment vertical="center"/>
    </xf>
    <xf numFmtId="0" fontId="29" fillId="0" borderId="0" xfId="11" applyFont="1" applyAlignment="1">
      <alignment vertical="center"/>
    </xf>
    <xf numFmtId="0" fontId="39" fillId="0" borderId="0" xfId="11" applyFont="1" applyAlignment="1">
      <alignment horizontal="left" vertical="center"/>
    </xf>
    <xf numFmtId="0" fontId="39" fillId="0" borderId="34" xfId="11" applyFont="1" applyBorder="1" applyAlignment="1">
      <alignment horizontal="left" vertical="center"/>
    </xf>
    <xf numFmtId="0" fontId="39" fillId="0" borderId="26" xfId="11" applyFont="1" applyBorder="1" applyAlignment="1">
      <alignment horizontal="left" vertical="center"/>
    </xf>
    <xf numFmtId="0" fontId="39" fillId="0" borderId="36" xfId="11" applyFont="1" applyBorder="1" applyAlignment="1">
      <alignment horizontal="left" vertical="center"/>
    </xf>
    <xf numFmtId="0" fontId="29" fillId="0" borderId="0" xfId="11" applyFont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27" fillId="0" borderId="22" xfId="11" applyBorder="1" applyAlignment="1">
      <alignment horizontal="center" vertical="center"/>
    </xf>
    <xf numFmtId="1" fontId="27" fillId="0" borderId="22" xfId="11" applyNumberFormat="1" applyBorder="1" applyAlignment="1">
      <alignment horizontal="center" vertical="center"/>
    </xf>
    <xf numFmtId="183" fontId="27" fillId="0" borderId="22" xfId="11" applyNumberFormat="1" applyBorder="1" applyAlignment="1">
      <alignment horizontal="center" vertical="center"/>
    </xf>
    <xf numFmtId="1" fontId="27" fillId="0" borderId="31" xfId="11" applyNumberFormat="1" applyBorder="1" applyAlignment="1">
      <alignment horizontal="center" vertical="center"/>
    </xf>
    <xf numFmtId="0" fontId="79" fillId="0" borderId="22" xfId="11" applyFont="1" applyBorder="1" applyAlignment="1">
      <alignment horizontal="center" vertical="center"/>
    </xf>
    <xf numFmtId="0" fontId="39" fillId="0" borderId="37" xfId="11" applyFont="1" applyBorder="1" applyAlignment="1">
      <alignment horizontal="left" vertical="center"/>
    </xf>
    <xf numFmtId="0" fontId="39" fillId="0" borderId="32" xfId="11" applyFont="1" applyBorder="1" applyAlignment="1">
      <alignment horizontal="left" vertical="center"/>
    </xf>
    <xf numFmtId="0" fontId="79" fillId="0" borderId="22" xfId="0" applyFont="1" applyBorder="1" applyAlignment="1">
      <alignment horizontal="center" vertical="center"/>
    </xf>
    <xf numFmtId="179" fontId="92" fillId="0" borderId="0" xfId="0" applyNumberFormat="1" applyFont="1" applyAlignment="1">
      <alignment horizontal="center"/>
    </xf>
    <xf numFmtId="187" fontId="40" fillId="0" borderId="22" xfId="54" applyNumberFormat="1" applyFont="1" applyBorder="1" applyAlignment="1"/>
    <xf numFmtId="187" fontId="34" fillId="0" borderId="22" xfId="54" applyNumberFormat="1" applyFont="1" applyBorder="1" applyAlignment="1"/>
    <xf numFmtId="0" fontId="41" fillId="0" borderId="22" xfId="0" applyFont="1" applyBorder="1" applyAlignment="1">
      <alignment horizontal="center" vertical="center"/>
    </xf>
    <xf numFmtId="188" fontId="29" fillId="0" borderId="0" xfId="0" applyNumberFormat="1" applyFont="1"/>
    <xf numFmtId="185" fontId="10" fillId="0" borderId="1" xfId="14" applyNumberFormat="1" applyFont="1" applyBorder="1" applyAlignment="1">
      <alignment shrinkToFit="1"/>
    </xf>
    <xf numFmtId="185" fontId="31" fillId="0" borderId="22" xfId="14" applyNumberFormat="1" applyFont="1" applyBorder="1" applyAlignment="1">
      <alignment shrinkToFit="1"/>
    </xf>
    <xf numFmtId="183" fontId="31" fillId="3" borderId="18" xfId="0" applyNumberFormat="1" applyFont="1" applyFill="1" applyBorder="1" applyAlignment="1">
      <alignment shrinkToFit="1"/>
    </xf>
    <xf numFmtId="185" fontId="31" fillId="0" borderId="1" xfId="0" applyNumberFormat="1" applyFont="1" applyBorder="1" applyAlignment="1">
      <alignment shrinkToFit="1"/>
    </xf>
    <xf numFmtId="1" fontId="96" fillId="0" borderId="22" xfId="11" applyNumberFormat="1" applyFont="1" applyBorder="1" applyAlignment="1">
      <alignment horizontal="center" vertical="center"/>
    </xf>
    <xf numFmtId="0" fontId="97" fillId="9" borderId="22" xfId="0" applyFont="1" applyFill="1" applyBorder="1" applyAlignment="1">
      <alignment horizontal="center" vertical="center" shrinkToFit="1"/>
    </xf>
    <xf numFmtId="186" fontId="29" fillId="0" borderId="0" xfId="0" applyNumberFormat="1" applyFont="1" applyAlignment="1">
      <alignment vertical="center"/>
    </xf>
    <xf numFmtId="0" fontId="99" fillId="0" borderId="0" xfId="42" applyFont="1">
      <alignment vertical="center"/>
    </xf>
    <xf numFmtId="0" fontId="48" fillId="0" borderId="0" xfId="0" applyFont="1" applyAlignment="1">
      <alignment horizontal="center" vertical="center" shrinkToFit="1"/>
    </xf>
    <xf numFmtId="0" fontId="93" fillId="9" borderId="22" xfId="0" applyFont="1" applyFill="1" applyBorder="1" applyAlignment="1">
      <alignment horizontal="center" vertical="center" shrinkToFit="1"/>
    </xf>
    <xf numFmtId="0" fontId="58" fillId="9" borderId="22" xfId="0" applyFont="1" applyFill="1" applyBorder="1" applyAlignment="1">
      <alignment horizontal="center" vertical="center" shrinkToFit="1"/>
    </xf>
    <xf numFmtId="0" fontId="75" fillId="9" borderId="22" xfId="0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76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85" fontId="29" fillId="0" borderId="0" xfId="0" applyNumberFormat="1" applyFont="1" applyAlignment="1">
      <alignment horizontal="center" vertical="center"/>
    </xf>
    <xf numFmtId="188" fontId="29" fillId="0" borderId="0" xfId="0" applyNumberFormat="1" applyFont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6" fontId="29" fillId="0" borderId="0" xfId="0" applyNumberFormat="1" applyFont="1" applyAlignment="1">
      <alignment horizontal="center"/>
    </xf>
    <xf numFmtId="180" fontId="29" fillId="0" borderId="0" xfId="0" applyNumberFormat="1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179" fontId="29" fillId="0" borderId="0" xfId="0" applyNumberFormat="1" applyFont="1" applyAlignment="1">
      <alignment horizontal="center" vertical="center"/>
    </xf>
    <xf numFmtId="186" fontId="29" fillId="0" borderId="0" xfId="0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5" borderId="0" xfId="0" applyNumberFormat="1" applyFont="1" applyFill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/>
    </xf>
    <xf numFmtId="182" fontId="30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177" fontId="30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31" fillId="0" borderId="22" xfId="0" applyNumberFormat="1" applyFont="1" applyBorder="1" applyAlignment="1">
      <alignment horizontal="center" vertical="center" shrinkToFit="1"/>
    </xf>
    <xf numFmtId="177" fontId="35" fillId="0" borderId="22" xfId="0" applyNumberFormat="1" applyFont="1" applyBorder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9" fontId="37" fillId="0" borderId="22" xfId="11" applyNumberFormat="1" applyFont="1" applyBorder="1" applyAlignment="1">
      <alignment horizontal="center" vertical="center"/>
    </xf>
    <xf numFmtId="0" fontId="27" fillId="0" borderId="22" xfId="11" applyBorder="1" applyAlignment="1">
      <alignment horizontal="center" vertical="center"/>
    </xf>
    <xf numFmtId="0" fontId="83" fillId="0" borderId="0" xfId="11" applyFont="1" applyAlignment="1">
      <alignment horizontal="left" vertical="center"/>
    </xf>
    <xf numFmtId="0" fontId="39" fillId="0" borderId="0" xfId="11" applyFont="1" applyAlignment="1">
      <alignment horizontal="left" vertical="center"/>
    </xf>
    <xf numFmtId="0" fontId="39" fillId="0" borderId="26" xfId="11" applyFont="1" applyBorder="1" applyAlignment="1">
      <alignment horizontal="left" vertical="center"/>
    </xf>
    <xf numFmtId="0" fontId="37" fillId="0" borderId="23" xfId="11" applyFont="1" applyBorder="1" applyAlignment="1">
      <alignment horizontal="center" vertical="center"/>
    </xf>
    <xf numFmtId="0" fontId="37" fillId="0" borderId="30" xfId="11" applyFont="1" applyBorder="1" applyAlignment="1">
      <alignment horizontal="center" vertical="center"/>
    </xf>
    <xf numFmtId="0" fontId="37" fillId="0" borderId="27" xfId="11" applyFont="1" applyBorder="1" applyAlignment="1">
      <alignment horizontal="center" vertical="center"/>
    </xf>
    <xf numFmtId="0" fontId="37" fillId="0" borderId="28" xfId="11" applyFont="1" applyBorder="1" applyAlignment="1">
      <alignment horizontal="center" vertical="center"/>
    </xf>
    <xf numFmtId="0" fontId="37" fillId="0" borderId="25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183" fontId="27" fillId="0" borderId="31" xfId="11" applyNumberFormat="1" applyBorder="1" applyAlignment="1">
      <alignment horizontal="center" vertical="center"/>
    </xf>
    <xf numFmtId="183" fontId="27" fillId="0" borderId="33" xfId="11" applyNumberFormat="1" applyBorder="1" applyAlignment="1">
      <alignment horizontal="center" vertical="center"/>
    </xf>
    <xf numFmtId="183" fontId="27" fillId="0" borderId="35" xfId="11" applyNumberFormat="1" applyBorder="1" applyAlignment="1">
      <alignment horizontal="center" vertical="center"/>
    </xf>
    <xf numFmtId="183" fontId="27" fillId="0" borderId="22" xfId="11" applyNumberFormat="1" applyBorder="1" applyAlignment="1">
      <alignment horizontal="center" vertical="center"/>
    </xf>
    <xf numFmtId="0" fontId="79" fillId="0" borderId="22" xfId="11" applyFont="1" applyBorder="1" applyAlignment="1">
      <alignment horizontal="center" vertical="center"/>
    </xf>
    <xf numFmtId="0" fontId="37" fillId="0" borderId="31" xfId="11" applyFont="1" applyBorder="1" applyAlignment="1">
      <alignment horizontal="center" vertical="center"/>
    </xf>
    <xf numFmtId="0" fontId="37" fillId="0" borderId="33" xfId="11" applyFont="1" applyBorder="1" applyAlignment="1">
      <alignment horizontal="center" vertical="center"/>
    </xf>
    <xf numFmtId="0" fontId="37" fillId="0" borderId="35" xfId="11" applyFont="1" applyBorder="1" applyAlignment="1">
      <alignment horizontal="center" vertical="center"/>
    </xf>
    <xf numFmtId="0" fontId="37" fillId="0" borderId="29" xfId="11" applyFont="1" applyBorder="1" applyAlignment="1">
      <alignment horizontal="center" vertical="center"/>
    </xf>
    <xf numFmtId="0" fontId="38" fillId="0" borderId="37" xfId="11" applyFont="1" applyBorder="1" applyAlignment="1">
      <alignment horizontal="left" vertical="center"/>
    </xf>
    <xf numFmtId="0" fontId="39" fillId="0" borderId="37" xfId="11" applyFont="1" applyBorder="1" applyAlignment="1">
      <alignment horizontal="left" vertical="center"/>
    </xf>
    <xf numFmtId="0" fontId="38" fillId="0" borderId="0" xfId="11" applyFont="1" applyAlignment="1">
      <alignment horizontal="left" vertical="center"/>
    </xf>
    <xf numFmtId="0" fontId="27" fillId="0" borderId="23" xfId="11" applyBorder="1" applyAlignment="1">
      <alignment horizontal="center" vertical="center"/>
    </xf>
    <xf numFmtId="0" fontId="27" fillId="0" borderId="29" xfId="11" applyBorder="1" applyAlignment="1">
      <alignment horizontal="center" vertical="center"/>
    </xf>
    <xf numFmtId="0" fontId="27" fillId="0" borderId="30" xfId="11" applyBorder="1" applyAlignment="1">
      <alignment horizontal="center" vertical="center"/>
    </xf>
    <xf numFmtId="183" fontId="27" fillId="0" borderId="23" xfId="11" applyNumberFormat="1" applyBorder="1" applyAlignment="1">
      <alignment horizontal="center" vertical="center"/>
    </xf>
    <xf numFmtId="183" fontId="27" fillId="0" borderId="29" xfId="11" applyNumberFormat="1" applyBorder="1" applyAlignment="1">
      <alignment horizontal="center" vertical="center"/>
    </xf>
    <xf numFmtId="183" fontId="27" fillId="0" borderId="30" xfId="11" applyNumberFormat="1" applyBorder="1" applyAlignment="1">
      <alignment horizontal="center" vertical="center"/>
    </xf>
    <xf numFmtId="0" fontId="79" fillId="0" borderId="23" xfId="11" applyFont="1" applyBorder="1" applyAlignment="1">
      <alignment horizontal="center" vertical="center"/>
    </xf>
    <xf numFmtId="0" fontId="27" fillId="0" borderId="32" xfId="11" applyBorder="1" applyAlignment="1">
      <alignment horizontal="center" vertical="center"/>
    </xf>
    <xf numFmtId="0" fontId="27" fillId="0" borderId="34" xfId="11" applyBorder="1" applyAlignment="1">
      <alignment horizontal="center" vertical="center"/>
    </xf>
    <xf numFmtId="179" fontId="37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26" xfId="0" applyFont="1" applyBorder="1" applyAlignment="1">
      <alignment horizontal="left" vertical="center"/>
    </xf>
    <xf numFmtId="0" fontId="37" fillId="0" borderId="23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79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8" fillId="0" borderId="37" xfId="0" applyFont="1" applyBorder="1" applyAlignment="1">
      <alignment horizontal="left" vertical="center"/>
    </xf>
    <xf numFmtId="0" fontId="39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8" fillId="0" borderId="0" xfId="11" applyFont="1" applyAlignment="1">
      <alignment horizontal="center" vertical="center" shrinkToFit="1"/>
    </xf>
    <xf numFmtId="0" fontId="60" fillId="0" borderId="0" xfId="11" applyFont="1" applyAlignment="1">
      <alignment horizontal="left" vertical="center" shrinkToFit="1"/>
    </xf>
    <xf numFmtId="0" fontId="61" fillId="0" borderId="0" xfId="11" applyFont="1" applyAlignment="1">
      <alignment horizontal="left" vertical="center" shrinkToFit="1"/>
    </xf>
    <xf numFmtId="0" fontId="29" fillId="0" borderId="22" xfId="11" applyFont="1" applyBorder="1" applyAlignment="1">
      <alignment horizontal="center" vertical="center" shrinkToFit="1"/>
    </xf>
    <xf numFmtId="0" fontId="51" fillId="2" borderId="22" xfId="11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31" fillId="0" borderId="27" xfId="11" applyFont="1" applyBorder="1" applyAlignment="1">
      <alignment shrinkToFit="1"/>
    </xf>
    <xf numFmtId="0" fontId="31" fillId="0" borderId="28" xfId="11" applyFont="1" applyBorder="1" applyAlignment="1">
      <alignment shrinkToFit="1"/>
    </xf>
    <xf numFmtId="0" fontId="31" fillId="0" borderId="25" xfId="11" applyFont="1" applyBorder="1" applyAlignment="1">
      <alignment shrinkToFit="1"/>
    </xf>
    <xf numFmtId="0" fontId="31" fillId="0" borderId="22" xfId="11" applyFont="1" applyBorder="1" applyAlignment="1">
      <alignment shrinkToFit="1"/>
    </xf>
    <xf numFmtId="0" fontId="62" fillId="0" borderId="22" xfId="11" applyFont="1" applyBorder="1" applyAlignment="1">
      <alignment shrinkToFit="1"/>
    </xf>
    <xf numFmtId="0" fontId="51" fillId="0" borderId="22" xfId="11" applyFont="1" applyBorder="1" applyAlignment="1">
      <alignment shrinkToFit="1"/>
    </xf>
    <xf numFmtId="0" fontId="89" fillId="0" borderId="22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85" fillId="0" borderId="27" xfId="11" applyFont="1" applyBorder="1" applyAlignment="1">
      <alignment shrinkToFit="1"/>
    </xf>
    <xf numFmtId="0" fontId="51" fillId="2" borderId="22" xfId="11" applyFont="1" applyFill="1" applyBorder="1" applyAlignment="1">
      <alignment horizontal="center" shrinkToFit="1"/>
    </xf>
    <xf numFmtId="0" fontId="62" fillId="0" borderId="22" xfId="11" applyFont="1" applyBorder="1" applyAlignment="1">
      <alignment horizontal="center" shrinkToFit="1"/>
    </xf>
    <xf numFmtId="0" fontId="78" fillId="2" borderId="22" xfId="11" applyFont="1" applyFill="1" applyBorder="1" applyAlignment="1">
      <alignment horizontal="center" vertical="center" shrinkToFit="1"/>
    </xf>
    <xf numFmtId="0" fontId="85" fillId="0" borderId="22" xfId="11" applyFont="1" applyBorder="1" applyAlignment="1">
      <alignment shrinkToFit="1"/>
    </xf>
    <xf numFmtId="0" fontId="52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65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85" fillId="0" borderId="4" xfId="0" applyFont="1" applyBorder="1" applyAlignment="1">
      <alignment horizontal="center" shrinkToFit="1"/>
    </xf>
    <xf numFmtId="0" fontId="31" fillId="0" borderId="3" xfId="0" applyFont="1" applyBorder="1" applyAlignment="1">
      <alignment horizontal="center" shrinkToFit="1"/>
    </xf>
    <xf numFmtId="0" fontId="60" fillId="0" borderId="0" xfId="0" applyFont="1" applyAlignment="1">
      <alignment horizontal="left" vertical="center" shrinkToFit="1"/>
    </xf>
    <xf numFmtId="0" fontId="61" fillId="0" borderId="0" xfId="0" applyFont="1" applyAlignment="1">
      <alignment horizontal="left" vertical="center" shrinkToFit="1"/>
    </xf>
    <xf numFmtId="0" fontId="29" fillId="0" borderId="22" xfId="0" applyFont="1" applyBorder="1" applyAlignment="1">
      <alignment horizontal="center" vertical="center" shrinkToFit="1"/>
    </xf>
    <xf numFmtId="0" fontId="67" fillId="0" borderId="22" xfId="0" applyFont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31" fillId="2" borderId="39" xfId="0" applyFont="1" applyFill="1" applyBorder="1" applyAlignment="1">
      <alignment horizontal="center" shrinkToFit="1"/>
    </xf>
    <xf numFmtId="0" fontId="31" fillId="2" borderId="2" xfId="0" applyFont="1" applyFill="1" applyBorder="1" applyAlignment="1">
      <alignment horizontal="center" shrinkToFit="1"/>
    </xf>
    <xf numFmtId="0" fontId="31" fillId="2" borderId="3" xfId="0" applyFont="1" applyFill="1" applyBorder="1" applyAlignment="1">
      <alignment horizontal="center" shrinkToFit="1"/>
    </xf>
    <xf numFmtId="0" fontId="31" fillId="0" borderId="9" xfId="0" applyFont="1" applyBorder="1" applyAlignment="1">
      <alignment shrinkToFit="1"/>
    </xf>
    <xf numFmtId="0" fontId="31" fillId="0" borderId="10" xfId="0" applyFont="1" applyBorder="1" applyAlignment="1">
      <alignment shrinkToFit="1"/>
    </xf>
    <xf numFmtId="0" fontId="31" fillId="0" borderId="8" xfId="0" applyFont="1" applyBorder="1" applyAlignment="1">
      <alignment shrinkToFit="1"/>
    </xf>
    <xf numFmtId="0" fontId="31" fillId="0" borderId="4" xfId="0" applyFont="1" applyBorder="1" applyAlignment="1">
      <alignment shrinkToFit="1"/>
    </xf>
    <xf numFmtId="0" fontId="31" fillId="0" borderId="2" xfId="0" applyFont="1" applyBorder="1" applyAlignment="1">
      <alignment shrinkToFit="1"/>
    </xf>
    <xf numFmtId="0" fontId="31" fillId="0" borderId="3" xfId="0" applyFont="1" applyBorder="1" applyAlignment="1">
      <alignment shrinkToFit="1"/>
    </xf>
    <xf numFmtId="0" fontId="51" fillId="2" borderId="4" xfId="0" applyFont="1" applyFill="1" applyBorder="1" applyAlignment="1">
      <alignment horizontal="center" vertical="center" shrinkToFit="1"/>
    </xf>
    <xf numFmtId="0" fontId="51" fillId="2" borderId="3" xfId="0" applyFont="1" applyFill="1" applyBorder="1" applyAlignment="1">
      <alignment horizontal="center" vertical="center" shrinkToFit="1"/>
    </xf>
    <xf numFmtId="0" fontId="8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86" fillId="0" borderId="4" xfId="0" applyFont="1" applyBorder="1" applyAlignment="1">
      <alignment shrinkToFit="1"/>
    </xf>
    <xf numFmtId="0" fontId="29" fillId="0" borderId="22" xfId="0" applyFont="1" applyBorder="1" applyAlignment="1">
      <alignment horizontal="center" vertical="center" wrapText="1"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0" xfId="0" applyFont="1" applyFill="1" applyAlignment="1">
      <alignment horizontal="center" vertical="center" shrinkToFit="1"/>
    </xf>
    <xf numFmtId="0" fontId="31" fillId="2" borderId="40" xfId="0" applyFont="1" applyFill="1" applyBorder="1" applyAlignment="1">
      <alignment horizontal="center" vertic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85" fillId="0" borderId="9" xfId="0" applyFont="1" applyBorder="1" applyAlignment="1">
      <alignment shrinkToFit="1"/>
    </xf>
    <xf numFmtId="0" fontId="10" fillId="0" borderId="10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74" fillId="0" borderId="4" xfId="0" applyFont="1" applyBorder="1" applyAlignment="1">
      <alignment shrinkToFit="1"/>
    </xf>
    <xf numFmtId="0" fontId="95" fillId="0" borderId="4" xfId="0" applyFont="1" applyBorder="1" applyAlignment="1">
      <alignment shrinkToFit="1"/>
    </xf>
    <xf numFmtId="0" fontId="10" fillId="2" borderId="39" xfId="0" applyFont="1" applyFill="1" applyBorder="1" applyAlignment="1">
      <alignment horizontal="center" shrinkToFit="1"/>
    </xf>
    <xf numFmtId="0" fontId="10" fillId="2" borderId="2" xfId="0" applyFont="1" applyFill="1" applyBorder="1" applyAlignment="1">
      <alignment horizontal="center" shrinkToFit="1"/>
    </xf>
    <xf numFmtId="0" fontId="10" fillId="2" borderId="3" xfId="0" applyFont="1" applyFill="1" applyBorder="1" applyAlignment="1">
      <alignment horizontal="center" shrinkToFit="1"/>
    </xf>
    <xf numFmtId="0" fontId="86" fillId="0" borderId="4" xfId="0" applyFont="1" applyBorder="1" applyAlignment="1">
      <alignment horizontal="center" shrinkToFit="1"/>
    </xf>
    <xf numFmtId="0" fontId="10" fillId="0" borderId="3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wrapText="1" shrinkToFit="1"/>
    </xf>
    <xf numFmtId="0" fontId="90" fillId="0" borderId="4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10" fillId="2" borderId="0" xfId="0" applyFont="1" applyFill="1" applyAlignment="1">
      <alignment horizontal="center" vertical="center" shrinkToFit="1"/>
    </xf>
    <xf numFmtId="0" fontId="10" fillId="2" borderId="40" xfId="0" applyFont="1" applyFill="1" applyBorder="1" applyAlignment="1">
      <alignment horizontal="center" vertical="center" shrinkToFit="1"/>
    </xf>
    <xf numFmtId="0" fontId="86" fillId="0" borderId="3" xfId="0" applyFont="1" applyBorder="1" applyAlignment="1">
      <alignment horizontal="center" shrinkToFit="1"/>
    </xf>
    <xf numFmtId="0" fontId="10" fillId="0" borderId="4" xfId="0" applyFont="1" applyBorder="1" applyAlignment="1">
      <alignment horizont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60" fillId="0" borderId="26" xfId="0" applyFont="1" applyBorder="1" applyAlignment="1">
      <alignment horizontal="left" vertical="center" shrinkToFit="1"/>
    </xf>
    <xf numFmtId="0" fontId="31" fillId="2" borderId="2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0" fontId="62" fillId="0" borderId="22" xfId="0" applyFont="1" applyBorder="1" applyAlignment="1">
      <alignment shrinkToFit="1"/>
    </xf>
    <xf numFmtId="0" fontId="31" fillId="2" borderId="33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2" borderId="29" xfId="0" applyFont="1" applyFill="1" applyBorder="1" applyAlignment="1">
      <alignment horizontal="center" vertical="center" shrinkToFit="1"/>
    </xf>
    <xf numFmtId="0" fontId="42" fillId="5" borderId="22" xfId="12" applyFont="1" applyFill="1" applyBorder="1" applyAlignment="1">
      <alignment horizontal="center"/>
    </xf>
    <xf numFmtId="179" fontId="34" fillId="0" borderId="23" xfId="11" applyNumberFormat="1" applyFont="1" applyBorder="1" applyAlignment="1">
      <alignment horizontal="center" vertical="center"/>
    </xf>
    <xf numFmtId="179" fontId="34" fillId="0" borderId="29" xfId="11" applyNumberFormat="1" applyFont="1" applyBorder="1" applyAlignment="1">
      <alignment horizontal="center" vertical="center"/>
    </xf>
    <xf numFmtId="179" fontId="34" fillId="0" borderId="30" xfId="11" applyNumberFormat="1" applyFont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40" fillId="5" borderId="22" xfId="12" applyFont="1" applyFill="1" applyBorder="1" applyAlignment="1">
      <alignment horizontal="center" vertical="center"/>
    </xf>
    <xf numFmtId="0" fontId="40" fillId="5" borderId="22" xfId="5" applyFont="1" applyFill="1" applyBorder="1" applyAlignment="1">
      <alignment horizontal="center" vertical="center"/>
    </xf>
    <xf numFmtId="0" fontId="44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34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40" fillId="5" borderId="31" xfId="5" applyFont="1" applyFill="1" applyBorder="1" applyAlignment="1">
      <alignment horizontal="center" vertical="center"/>
    </xf>
    <xf numFmtId="0" fontId="40" fillId="5" borderId="33" xfId="5" applyFont="1" applyFill="1" applyBorder="1" applyAlignment="1">
      <alignment horizontal="center" vertical="center"/>
    </xf>
    <xf numFmtId="0" fontId="40" fillId="5" borderId="35" xfId="5" applyFont="1" applyFill="1" applyBorder="1" applyAlignment="1">
      <alignment horizontal="center" vertical="center"/>
    </xf>
    <xf numFmtId="0" fontId="40" fillId="5" borderId="23" xfId="5" applyFont="1" applyFill="1" applyBorder="1" applyAlignment="1">
      <alignment horizontal="center" vertical="center"/>
    </xf>
    <xf numFmtId="0" fontId="40" fillId="5" borderId="29" xfId="5" applyFont="1" applyFill="1" applyBorder="1" applyAlignment="1">
      <alignment horizontal="center" vertical="center"/>
    </xf>
    <xf numFmtId="0" fontId="40" fillId="5" borderId="30" xfId="5" applyFont="1" applyFill="1" applyBorder="1" applyAlignment="1">
      <alignment horizontal="center" vertical="center"/>
    </xf>
    <xf numFmtId="0" fontId="40" fillId="5" borderId="22" xfId="12" applyFont="1" applyFill="1" applyBorder="1" applyAlignment="1">
      <alignment horizontal="center" vertical="center" wrapText="1"/>
    </xf>
    <xf numFmtId="0" fontId="34" fillId="0" borderId="0" xfId="11" applyFont="1" applyAlignment="1">
      <alignment horizontal="center" vertical="center"/>
    </xf>
    <xf numFmtId="0" fontId="42" fillId="5" borderId="27" xfId="12" applyFont="1" applyFill="1" applyBorder="1" applyAlignment="1">
      <alignment horizontal="center"/>
    </xf>
    <xf numFmtId="0" fontId="42" fillId="5" borderId="28" xfId="12" applyFont="1" applyFill="1" applyBorder="1" applyAlignment="1">
      <alignment horizontal="center"/>
    </xf>
    <xf numFmtId="0" fontId="42" fillId="5" borderId="25" xfId="12" applyFont="1" applyFill="1" applyBorder="1" applyAlignment="1">
      <alignment horizontal="center"/>
    </xf>
    <xf numFmtId="0" fontId="11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9" xfId="0" applyFont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41" fillId="5" borderId="22" xfId="5" applyFont="1" applyFill="1" applyBorder="1" applyAlignment="1">
      <alignment horizontal="center"/>
    </xf>
    <xf numFmtId="186" fontId="29" fillId="0" borderId="22" xfId="0" applyNumberFormat="1" applyFont="1" applyBorder="1"/>
  </cellXfs>
  <cellStyles count="65">
    <cellStyle name="一般" xfId="0" builtinId="0"/>
    <cellStyle name="一般 10" xfId="44"/>
    <cellStyle name="一般 11" xfId="55"/>
    <cellStyle name="一般 2" xfId="1"/>
    <cellStyle name="一般 2 2 2" xfId="9"/>
    <cellStyle name="一般 2 2 30 2 2 30 2" xfId="4"/>
    <cellStyle name="一般 2 2 30 2 2 30 2 2" xfId="12"/>
    <cellStyle name="一般 2 2 30 2 2 30 2 3" xfId="25"/>
    <cellStyle name="一般 2 2 30 2 2 30 2 4" xfId="29"/>
    <cellStyle name="一般 2 2 30 2 2 30 2 4 2" xfId="39"/>
    <cellStyle name="一般 2 2 30 2 2 30 2 4 3" xfId="30"/>
    <cellStyle name="一般 2 2 30 2 2 30 2 4 3 2" xfId="40"/>
    <cellStyle name="一般 2 2 30 2 2 30 2 4 3 3" xfId="52"/>
    <cellStyle name="一般 2 2 30 2 2 30 2 4 3 4" xfId="63"/>
    <cellStyle name="一般 2 2 30 2 2 30 2 4 4" xfId="51"/>
    <cellStyle name="一般 2 2 30 2 2 30 2 4 5" xfId="62"/>
    <cellStyle name="一般 2 2 30 2 2 30 2 5" xfId="35"/>
    <cellStyle name="一般 2 2 30 2 2 30 2 6" xfId="47"/>
    <cellStyle name="一般 2 2 30 2 2 30 2 7" xfId="58"/>
    <cellStyle name="一般 2 2 30 2 3 2" xfId="6"/>
    <cellStyle name="一般 2 2 30 3 30" xfId="7"/>
    <cellStyle name="一般 2 2 30 3 30 4" xfId="21"/>
    <cellStyle name="一般 2 2 30 3 30 4 2" xfId="33"/>
    <cellStyle name="一般 2 2 30 3 30 4 3" xfId="45"/>
    <cellStyle name="一般 2 2 30 3 30 4 4" xfId="56"/>
    <cellStyle name="一般 2 2 4" xfId="16"/>
    <cellStyle name="一般 2 2 4 2" xfId="19"/>
    <cellStyle name="一般 2 2 4 3" xfId="43"/>
    <cellStyle name="一般 2 4 2" xfId="17"/>
    <cellStyle name="一般 3" xfId="11"/>
    <cellStyle name="一般 3 3 3 2" xfId="27"/>
    <cellStyle name="一般 3 3 3 2 2" xfId="37"/>
    <cellStyle name="一般 3 3 3 2 3" xfId="49"/>
    <cellStyle name="一般 3 3 3 2 4" xfId="60"/>
    <cellStyle name="一般 4" xfId="5"/>
    <cellStyle name="一般 5" xfId="15"/>
    <cellStyle name="一般 5 2" xfId="26"/>
    <cellStyle name="一般 5 3" xfId="36"/>
    <cellStyle name="一般 5 4" xfId="48"/>
    <cellStyle name="一般 5 5" xfId="59"/>
    <cellStyle name="一般 6" xfId="18"/>
    <cellStyle name="一般 7" xfId="20"/>
    <cellStyle name="一般 8" xfId="32"/>
    <cellStyle name="一般 9" xfId="42"/>
    <cellStyle name="千分位" xfId="54" builtinId="3"/>
    <cellStyle name="千分位 2" xfId="2"/>
    <cellStyle name="千分位 2 2" xfId="24"/>
    <cellStyle name="千分位 2 3" xfId="34"/>
    <cellStyle name="千分位 2 4" xfId="46"/>
    <cellStyle name="千分位 2 5" xfId="57"/>
    <cellStyle name="百分比" xfId="14" builtinId="5"/>
    <cellStyle name="百分比 2" xfId="8"/>
    <cellStyle name="百分比 2 2" xfId="10"/>
    <cellStyle name="百分比 2 2 2" xfId="23"/>
    <cellStyle name="百分比 2 3" xfId="22"/>
    <cellStyle name="百分比 3" xfId="3"/>
    <cellStyle name="百分比 4" xfId="13"/>
    <cellStyle name="百分比 5" xfId="31"/>
    <cellStyle name="百分比 6" xfId="41"/>
    <cellStyle name="百分比 6 4" xfId="28"/>
    <cellStyle name="百分比 6 4 2" xfId="38"/>
    <cellStyle name="百分比 6 4 3" xfId="50"/>
    <cellStyle name="百分比 6 4 4" xfId="61"/>
    <cellStyle name="百分比 7" xfId="53"/>
    <cellStyle name="百分比 8" xfId="6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26"/>
  <sheetViews>
    <sheetView view="pageBreakPreview" zoomScale="90" zoomScaleNormal="60" zoomScaleSheetLayoutView="90" workbookViewId="0">
      <selection activeCell="B4" sqref="B4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2" ht="15.75" customHeight="1">
      <c r="A1" s="299" t="s">
        <v>380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122"/>
    </row>
    <row r="2" spans="1:12" s="123" customFormat="1" ht="15.75" customHeight="1">
      <c r="A2" s="299"/>
      <c r="B2" s="299"/>
      <c r="C2" s="299"/>
      <c r="D2" s="299"/>
      <c r="E2" s="299"/>
      <c r="F2" s="299"/>
      <c r="G2" s="299"/>
      <c r="H2" s="299"/>
      <c r="I2" s="299"/>
      <c r="J2" s="299"/>
      <c r="K2" s="299"/>
    </row>
    <row r="3" spans="1:12" ht="21.6" customHeight="1">
      <c r="A3" s="137" t="s">
        <v>342</v>
      </c>
      <c r="B3" s="138">
        <v>10</v>
      </c>
      <c r="C3" s="137" t="s">
        <v>20</v>
      </c>
      <c r="D3" s="300" t="s">
        <v>538</v>
      </c>
      <c r="E3" s="301"/>
      <c r="F3" s="123"/>
      <c r="G3" s="132"/>
      <c r="H3" s="123"/>
      <c r="I3" s="123"/>
      <c r="J3" s="123"/>
      <c r="K3" s="123"/>
    </row>
    <row r="4" spans="1:12" ht="15.75" customHeight="1">
      <c r="A4" s="133" t="s">
        <v>204</v>
      </c>
      <c r="E4" s="125" t="s">
        <v>23</v>
      </c>
      <c r="G4" s="134" t="s">
        <v>132</v>
      </c>
      <c r="L4" s="122"/>
    </row>
    <row r="5" spans="1:12" s="126" customFormat="1" ht="15.75" customHeight="1">
      <c r="A5" s="145" t="s">
        <v>206</v>
      </c>
      <c r="B5" s="139" t="s">
        <v>22</v>
      </c>
      <c r="C5" s="139" t="s">
        <v>1</v>
      </c>
      <c r="D5" s="139" t="s">
        <v>2</v>
      </c>
      <c r="E5" s="139" t="s">
        <v>3</v>
      </c>
      <c r="G5" s="145" t="s">
        <v>206</v>
      </c>
      <c r="H5" s="139" t="s">
        <v>69</v>
      </c>
      <c r="I5" s="139" t="s">
        <v>22</v>
      </c>
      <c r="J5" s="139" t="s">
        <v>67</v>
      </c>
      <c r="K5" s="139" t="s">
        <v>3</v>
      </c>
      <c r="L5" s="127" t="s">
        <v>60</v>
      </c>
    </row>
    <row r="6" spans="1:12" ht="18" customHeight="1">
      <c r="A6" s="129" t="s">
        <v>24</v>
      </c>
      <c r="B6" s="140">
        <v>7674016.4100000001</v>
      </c>
      <c r="C6" s="140"/>
      <c r="D6" s="140">
        <f t="shared" ref="D6:D11" si="0">B6-C6</f>
        <v>7674016.4100000001</v>
      </c>
      <c r="E6" s="130"/>
      <c r="G6" s="129" t="s">
        <v>207</v>
      </c>
      <c r="H6" s="142">
        <v>109.4</v>
      </c>
      <c r="I6" s="142">
        <v>99.8</v>
      </c>
      <c r="J6" s="142"/>
      <c r="K6" s="143"/>
      <c r="L6" s="124" t="s">
        <v>203</v>
      </c>
    </row>
    <row r="7" spans="1:12" ht="18" customHeight="1">
      <c r="A7" s="129" t="s">
        <v>25</v>
      </c>
      <c r="B7" s="140">
        <v>157800</v>
      </c>
      <c r="C7" s="140"/>
      <c r="D7" s="140">
        <f t="shared" si="0"/>
        <v>157800</v>
      </c>
      <c r="E7" s="130"/>
      <c r="G7" s="129" t="s">
        <v>208</v>
      </c>
      <c r="H7" s="141">
        <v>0.8</v>
      </c>
      <c r="I7" s="141">
        <v>0.91200000000000003</v>
      </c>
      <c r="J7" s="141"/>
      <c r="K7" s="141"/>
      <c r="L7" s="124" t="s">
        <v>4</v>
      </c>
    </row>
    <row r="8" spans="1:12" ht="18" customHeight="1">
      <c r="A8" s="129" t="s">
        <v>5</v>
      </c>
      <c r="B8" s="140">
        <v>4819806</v>
      </c>
      <c r="C8" s="140"/>
      <c r="D8" s="140">
        <f>B8-C8</f>
        <v>4819806</v>
      </c>
      <c r="E8" s="130"/>
      <c r="G8" s="129" t="s">
        <v>209</v>
      </c>
      <c r="H8" s="141">
        <v>2.5000000000000001E-3</v>
      </c>
      <c r="I8" s="141">
        <v>8.9999999999999993E-3</v>
      </c>
      <c r="J8" s="141"/>
      <c r="K8" s="141"/>
      <c r="L8" s="124" t="s">
        <v>55</v>
      </c>
    </row>
    <row r="9" spans="1:12" ht="18" customHeight="1">
      <c r="A9" s="129" t="s">
        <v>6</v>
      </c>
      <c r="B9" s="141">
        <v>0.62806824255930926</v>
      </c>
      <c r="C9" s="141"/>
      <c r="D9" s="141">
        <f t="shared" si="0"/>
        <v>0.62806824255930926</v>
      </c>
      <c r="E9" s="141"/>
      <c r="G9" s="129" t="s">
        <v>210</v>
      </c>
      <c r="H9" s="141">
        <v>2.5000000000000001E-3</v>
      </c>
      <c r="I9" s="141">
        <v>1.0999999999999999E-2</v>
      </c>
      <c r="J9" s="141"/>
      <c r="K9" s="141"/>
      <c r="L9" s="124" t="s">
        <v>98</v>
      </c>
    </row>
    <row r="10" spans="1:12" ht="18" customHeight="1">
      <c r="A10" s="129" t="s">
        <v>64</v>
      </c>
      <c r="B10" s="140"/>
      <c r="C10" s="140"/>
      <c r="D10" s="140">
        <f t="shared" si="0"/>
        <v>0</v>
      </c>
      <c r="E10" s="130"/>
      <c r="G10" s="129" t="s">
        <v>211</v>
      </c>
      <c r="H10" s="141">
        <v>1</v>
      </c>
      <c r="I10" s="141">
        <v>0.42899999999999999</v>
      </c>
      <c r="J10" s="141"/>
      <c r="K10" s="141"/>
      <c r="L10" s="124" t="s">
        <v>7</v>
      </c>
    </row>
    <row r="11" spans="1:12" ht="18" customHeight="1">
      <c r="A11" s="129" t="s">
        <v>65</v>
      </c>
      <c r="B11" s="141"/>
      <c r="C11" s="141"/>
      <c r="D11" s="141">
        <f t="shared" si="0"/>
        <v>0</v>
      </c>
      <c r="E11" s="141"/>
      <c r="G11" s="129" t="s">
        <v>212</v>
      </c>
      <c r="H11" s="141">
        <v>1</v>
      </c>
      <c r="I11" s="141">
        <v>0.28599999999999998</v>
      </c>
      <c r="J11" s="141"/>
      <c r="K11" s="141"/>
      <c r="L11" s="124" t="s">
        <v>62</v>
      </c>
    </row>
    <row r="12" spans="1:12" ht="9.6" customHeight="1">
      <c r="L12" s="122"/>
    </row>
    <row r="13" spans="1:12" ht="15.75" customHeight="1">
      <c r="A13" s="133" t="s">
        <v>32</v>
      </c>
      <c r="G13" s="133" t="s">
        <v>147</v>
      </c>
      <c r="L13" s="122"/>
    </row>
    <row r="14" spans="1:12" s="128" customFormat="1" ht="12">
      <c r="A14" s="144"/>
      <c r="B14" s="144" t="s">
        <v>22</v>
      </c>
      <c r="C14" s="144" t="s">
        <v>66</v>
      </c>
      <c r="D14" s="144" t="s">
        <v>67</v>
      </c>
      <c r="E14" s="144" t="s">
        <v>68</v>
      </c>
      <c r="G14" s="144"/>
      <c r="H14" s="144" t="s">
        <v>22</v>
      </c>
      <c r="I14" s="144" t="s">
        <v>66</v>
      </c>
      <c r="J14" s="144" t="s">
        <v>67</v>
      </c>
      <c r="K14" s="144" t="s">
        <v>68</v>
      </c>
    </row>
    <row r="15" spans="1:12" ht="18" customHeight="1">
      <c r="A15" s="129" t="s">
        <v>226</v>
      </c>
      <c r="B15" s="140">
        <v>7050229</v>
      </c>
      <c r="C15" s="141">
        <f>IFERROR(B15/$B$6,"")</f>
        <v>0.91871435026029613</v>
      </c>
      <c r="D15" s="141"/>
      <c r="E15" s="141">
        <f>IFERROR(C15-D15,"")</f>
        <v>0.91871435026029613</v>
      </c>
      <c r="G15" s="129" t="s">
        <v>226</v>
      </c>
      <c r="H15" s="140"/>
      <c r="I15" s="141">
        <f t="shared" ref="I15:I17" si="1">IFERROR(H15/$B$7,"")</f>
        <v>0</v>
      </c>
      <c r="J15" s="141"/>
      <c r="K15" s="141">
        <f t="shared" ref="K15:K17" si="2">IFERROR(I15-J15,"")</f>
        <v>0</v>
      </c>
      <c r="L15" s="122"/>
    </row>
    <row r="16" spans="1:12" ht="18" customHeight="1">
      <c r="A16" s="129" t="s">
        <v>227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227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225</v>
      </c>
      <c r="B17" s="140">
        <v>623787</v>
      </c>
      <c r="C17" s="141">
        <f t="shared" si="3"/>
        <v>8.1285596312661523E-2</v>
      </c>
      <c r="D17" s="141"/>
      <c r="E17" s="141">
        <f t="shared" si="4"/>
        <v>8.1285596312661523E-2</v>
      </c>
      <c r="G17" s="129" t="s">
        <v>225</v>
      </c>
      <c r="H17" s="140"/>
      <c r="I17" s="141">
        <f t="shared" si="1"/>
        <v>0</v>
      </c>
      <c r="J17" s="141"/>
      <c r="K17" s="141">
        <f t="shared" si="2"/>
        <v>0</v>
      </c>
      <c r="L17" s="122"/>
    </row>
    <row r="18" spans="1:17" ht="15.75" customHeight="1">
      <c r="C18" s="135">
        <f>SUM(C15:C17)</f>
        <v>0.99999994657295765</v>
      </c>
      <c r="D18" s="135">
        <f>SUM(D15:D17)</f>
        <v>0</v>
      </c>
      <c r="I18" s="135">
        <f>SUM(I15:I17)</f>
        <v>0</v>
      </c>
      <c r="J18" s="135">
        <f>SUM(J15:J17)</f>
        <v>0</v>
      </c>
      <c r="L18" s="122"/>
    </row>
    <row r="19" spans="1:17" ht="9.6" customHeight="1">
      <c r="A19" s="136"/>
      <c r="L19" s="122"/>
    </row>
    <row r="20" spans="1:17" ht="15.75" customHeight="1">
      <c r="A20" s="133" t="s">
        <v>205</v>
      </c>
      <c r="L20" s="122"/>
    </row>
    <row r="21" spans="1:17" ht="15.75" customHeight="1">
      <c r="A21" s="129" t="s">
        <v>193</v>
      </c>
      <c r="B21" s="129" t="s">
        <v>22</v>
      </c>
      <c r="C21" s="129" t="s">
        <v>1</v>
      </c>
      <c r="D21" s="129" t="s">
        <v>2</v>
      </c>
      <c r="E21" s="129" t="s">
        <v>3</v>
      </c>
      <c r="L21" s="122"/>
    </row>
    <row r="22" spans="1:17" ht="18" customHeight="1">
      <c r="A22" s="129" t="s">
        <v>226</v>
      </c>
      <c r="B22" s="248">
        <v>97.6</v>
      </c>
      <c r="C22" s="130"/>
      <c r="D22" s="130">
        <v>0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227</v>
      </c>
      <c r="B23" s="130"/>
      <c r="C23" s="130"/>
      <c r="D23" s="130"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225</v>
      </c>
      <c r="B24" s="248">
        <v>112.5</v>
      </c>
      <c r="C24" s="130"/>
      <c r="D24" s="130">
        <v>0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I21" sqref="I21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4" ht="15.75" customHeight="1">
      <c r="A1" s="299" t="s">
        <v>379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122"/>
    </row>
    <row r="2" spans="1:14" s="123" customFormat="1" ht="15.75" customHeight="1">
      <c r="A2" s="299"/>
      <c r="B2" s="299"/>
      <c r="C2" s="299"/>
      <c r="D2" s="299"/>
      <c r="E2" s="299"/>
      <c r="F2" s="299"/>
      <c r="G2" s="299"/>
      <c r="H2" s="299"/>
      <c r="I2" s="299"/>
      <c r="J2" s="299"/>
      <c r="K2" s="299"/>
    </row>
    <row r="3" spans="1:14" ht="21.6" customHeight="1">
      <c r="A3" s="137" t="s">
        <v>342</v>
      </c>
      <c r="B3" s="138">
        <f>10</f>
        <v>10</v>
      </c>
      <c r="C3" s="223" t="s">
        <v>343</v>
      </c>
      <c r="D3" s="296" t="s">
        <v>573</v>
      </c>
      <c r="E3" s="137" t="s">
        <v>20</v>
      </c>
      <c r="F3" s="302" t="s">
        <v>447</v>
      </c>
      <c r="G3" s="301"/>
      <c r="H3" s="123"/>
      <c r="I3" s="132"/>
      <c r="J3" s="123"/>
      <c r="K3" s="123"/>
      <c r="M3" s="123"/>
      <c r="N3" s="123"/>
    </row>
    <row r="4" spans="1:14" ht="15.75" customHeight="1">
      <c r="A4" s="133" t="s">
        <v>204</v>
      </c>
      <c r="E4" s="125" t="s">
        <v>23</v>
      </c>
      <c r="G4" s="134" t="s">
        <v>132</v>
      </c>
      <c r="L4" s="122"/>
    </row>
    <row r="5" spans="1:14" s="126" customFormat="1" ht="15.75" customHeight="1">
      <c r="A5" s="145" t="s">
        <v>206</v>
      </c>
      <c r="B5" s="145" t="s">
        <v>345</v>
      </c>
      <c r="C5" s="145" t="s">
        <v>347</v>
      </c>
      <c r="D5" s="139" t="s">
        <v>2</v>
      </c>
      <c r="E5" s="139" t="s">
        <v>3</v>
      </c>
      <c r="G5" s="145" t="s">
        <v>206</v>
      </c>
      <c r="H5" s="139" t="s">
        <v>69</v>
      </c>
      <c r="I5" s="139" t="s">
        <v>344</v>
      </c>
      <c r="J5" s="139" t="s">
        <v>346</v>
      </c>
      <c r="K5" s="139" t="s">
        <v>3</v>
      </c>
      <c r="L5" s="127" t="s">
        <v>60</v>
      </c>
    </row>
    <row r="6" spans="1:14" ht="18" customHeight="1">
      <c r="A6" s="129" t="s">
        <v>24</v>
      </c>
      <c r="B6" s="140">
        <v>13981.9</v>
      </c>
      <c r="C6" s="140">
        <v>16941.8</v>
      </c>
      <c r="D6" s="140">
        <f t="shared" ref="D6:D11" si="0">B6-C6</f>
        <v>-2959.8999999999996</v>
      </c>
      <c r="E6" s="140">
        <v>13981.9</v>
      </c>
      <c r="G6" s="129" t="s">
        <v>207</v>
      </c>
      <c r="H6" s="142">
        <v>115.3</v>
      </c>
      <c r="I6" s="142">
        <v>101.8</v>
      </c>
      <c r="J6" s="142">
        <v>98.7</v>
      </c>
      <c r="K6" s="142">
        <v>101.8</v>
      </c>
      <c r="L6" s="124" t="s">
        <v>203</v>
      </c>
    </row>
    <row r="7" spans="1:14" ht="18" customHeight="1">
      <c r="A7" s="129" t="s">
        <v>25</v>
      </c>
      <c r="B7" s="140">
        <v>289645</v>
      </c>
      <c r="C7" s="140">
        <v>347276</v>
      </c>
      <c r="D7" s="140">
        <f t="shared" si="0"/>
        <v>-57631</v>
      </c>
      <c r="E7" s="140">
        <v>289645</v>
      </c>
      <c r="G7" s="129" t="s">
        <v>208</v>
      </c>
      <c r="H7" s="141">
        <v>0.8</v>
      </c>
      <c r="I7" s="141">
        <f>I6/H6</f>
        <v>0.88291413703382482</v>
      </c>
      <c r="J7" s="141">
        <v>0.86209999999999998</v>
      </c>
      <c r="K7" s="141">
        <v>0.88290000000000002</v>
      </c>
      <c r="L7" s="124" t="s">
        <v>4</v>
      </c>
    </row>
    <row r="8" spans="1:14" ht="18" customHeight="1">
      <c r="A8" s="129" t="s">
        <v>5</v>
      </c>
      <c r="B8" s="140">
        <v>8823.7999999999993</v>
      </c>
      <c r="C8" s="140">
        <v>10676.3</v>
      </c>
      <c r="D8" s="140">
        <f>B8-C8</f>
        <v>-1852.5</v>
      </c>
      <c r="E8" s="140">
        <v>8823.7999999999993</v>
      </c>
      <c r="G8" s="129" t="s">
        <v>209</v>
      </c>
      <c r="H8" s="141">
        <v>2.5000000000000001E-3</v>
      </c>
      <c r="I8" s="141">
        <v>0.01</v>
      </c>
      <c r="J8" s="141">
        <v>0.01</v>
      </c>
      <c r="K8" s="141">
        <v>0.01</v>
      </c>
      <c r="L8" s="124" t="s">
        <v>55</v>
      </c>
    </row>
    <row r="9" spans="1:14" ht="18" customHeight="1">
      <c r="A9" s="129" t="s">
        <v>6</v>
      </c>
      <c r="B9" s="141">
        <f>B8/B6</f>
        <v>0.6310873343393959</v>
      </c>
      <c r="C9" s="141">
        <f>C8/C6</f>
        <v>0.63017506994534223</v>
      </c>
      <c r="D9" s="141">
        <f t="shared" si="0"/>
        <v>9.1226439405367454E-4</v>
      </c>
      <c r="E9" s="141">
        <f>E8/E6</f>
        <v>0.6310873343393959</v>
      </c>
      <c r="G9" s="129" t="s">
        <v>210</v>
      </c>
      <c r="H9" s="141">
        <v>2.5000000000000001E-3</v>
      </c>
      <c r="I9" s="141">
        <v>4.0000000000000001E-3</v>
      </c>
      <c r="J9" s="141">
        <v>2E-3</v>
      </c>
      <c r="K9" s="141">
        <v>4.0000000000000001E-3</v>
      </c>
      <c r="L9" s="124" t="s">
        <v>98</v>
      </c>
    </row>
    <row r="10" spans="1:14" ht="18" customHeight="1">
      <c r="A10" s="129" t="s">
        <v>64</v>
      </c>
      <c r="B10" s="140"/>
      <c r="C10" s="140"/>
      <c r="D10" s="140">
        <f t="shared" si="0"/>
        <v>0</v>
      </c>
      <c r="E10" s="130"/>
      <c r="G10" s="129" t="s">
        <v>211</v>
      </c>
      <c r="H10" s="141">
        <v>1</v>
      </c>
      <c r="I10" s="141">
        <v>0.42899999999999999</v>
      </c>
      <c r="J10" s="141">
        <v>0.42899999999999999</v>
      </c>
      <c r="K10" s="141">
        <v>0.42899999999999999</v>
      </c>
      <c r="L10" s="124" t="s">
        <v>7</v>
      </c>
    </row>
    <row r="11" spans="1:14" ht="18" customHeight="1">
      <c r="A11" s="129" t="s">
        <v>65</v>
      </c>
      <c r="B11" s="141"/>
      <c r="C11" s="141"/>
      <c r="D11" s="141">
        <f t="shared" si="0"/>
        <v>0</v>
      </c>
      <c r="E11" s="141"/>
      <c r="G11" s="129" t="s">
        <v>212</v>
      </c>
      <c r="H11" s="141">
        <v>1</v>
      </c>
      <c r="I11" s="141">
        <v>0.7</v>
      </c>
      <c r="J11" s="141">
        <v>0.60299999999999998</v>
      </c>
      <c r="K11" s="141">
        <v>0.7</v>
      </c>
      <c r="L11" s="124" t="s">
        <v>62</v>
      </c>
    </row>
    <row r="12" spans="1:14" ht="9.6" customHeight="1">
      <c r="L12" s="122"/>
    </row>
    <row r="13" spans="1:14" ht="15.75" customHeight="1">
      <c r="A13" s="133" t="s">
        <v>32</v>
      </c>
      <c r="G13" s="133" t="s">
        <v>147</v>
      </c>
      <c r="L13" s="122"/>
    </row>
    <row r="14" spans="1:14" s="128" customFormat="1" ht="14.25">
      <c r="A14" s="144"/>
      <c r="B14" s="224" t="s">
        <v>345</v>
      </c>
      <c r="C14" s="144" t="s">
        <v>66</v>
      </c>
      <c r="D14" s="224" t="s">
        <v>348</v>
      </c>
      <c r="E14" s="144" t="s">
        <v>68</v>
      </c>
      <c r="G14" s="144"/>
      <c r="H14" s="224" t="s">
        <v>345</v>
      </c>
      <c r="I14" s="144" t="s">
        <v>66</v>
      </c>
      <c r="J14" s="224" t="s">
        <v>348</v>
      </c>
      <c r="K14" s="144" t="s">
        <v>68</v>
      </c>
    </row>
    <row r="15" spans="1:14" ht="18" customHeight="1">
      <c r="A15" s="129" t="s">
        <v>226</v>
      </c>
      <c r="B15" s="140">
        <v>12732.4</v>
      </c>
      <c r="C15" s="141">
        <f>IFERROR(B15/$B$6,"")</f>
        <v>0.91063446312732887</v>
      </c>
      <c r="D15" s="141">
        <v>0.91490000000000005</v>
      </c>
      <c r="E15" s="141">
        <f>IFERROR(C15-D15,"")</f>
        <v>-4.2655368726711718E-3</v>
      </c>
      <c r="G15" s="129" t="s">
        <v>226</v>
      </c>
      <c r="H15" s="140">
        <v>244446</v>
      </c>
      <c r="I15" s="141">
        <f>IFERROR(H15/$B$7,"")</f>
        <v>0.84395035301835009</v>
      </c>
      <c r="J15" s="141">
        <v>0.84970000000000001</v>
      </c>
      <c r="K15" s="141">
        <f t="shared" ref="K15:K17" si="1">IFERROR(I15-J15,"")</f>
        <v>-5.7496469816499252E-3</v>
      </c>
      <c r="L15" s="122"/>
    </row>
    <row r="16" spans="1:14" ht="18" customHeight="1">
      <c r="A16" s="129" t="s">
        <v>227</v>
      </c>
      <c r="B16" s="140"/>
      <c r="C16" s="141">
        <f t="shared" ref="C16:C17" si="2">IFERROR(B16/$B$6,"")</f>
        <v>0</v>
      </c>
      <c r="D16" s="141"/>
      <c r="E16" s="141">
        <f t="shared" ref="E16:E17" si="3">IFERROR(C16-D16,"")</f>
        <v>0</v>
      </c>
      <c r="G16" s="129" t="s">
        <v>227</v>
      </c>
      <c r="H16" s="140"/>
      <c r="I16" s="141">
        <f t="shared" ref="I16:I17" si="4">IFERROR(H16/$B$7,"")</f>
        <v>0</v>
      </c>
      <c r="J16" s="141"/>
      <c r="K16" s="141">
        <f t="shared" si="1"/>
        <v>0</v>
      </c>
      <c r="L16" s="122"/>
    </row>
    <row r="17" spans="1:17" ht="18" customHeight="1">
      <c r="A17" s="129" t="s">
        <v>225</v>
      </c>
      <c r="B17" s="140">
        <v>1249.5</v>
      </c>
      <c r="C17" s="141">
        <f t="shared" si="2"/>
        <v>8.9365536872671097E-2</v>
      </c>
      <c r="D17" s="141">
        <v>8.5099999999999995E-2</v>
      </c>
      <c r="E17" s="141">
        <f t="shared" si="3"/>
        <v>4.2655368726711024E-3</v>
      </c>
      <c r="G17" s="129" t="s">
        <v>225</v>
      </c>
      <c r="H17" s="140">
        <v>45199</v>
      </c>
      <c r="I17" s="141">
        <f t="shared" si="4"/>
        <v>0.15604964698164994</v>
      </c>
      <c r="J17" s="141">
        <v>0.15029999999999999</v>
      </c>
      <c r="K17" s="141">
        <f t="shared" si="1"/>
        <v>5.7496469816499529E-3</v>
      </c>
      <c r="L17" s="122"/>
    </row>
    <row r="18" spans="1:17" ht="15.75" customHeight="1">
      <c r="C18" s="135">
        <f>SUM(C15:C17)</f>
        <v>1</v>
      </c>
      <c r="D18" s="135">
        <f>SUM(D15:D17)</f>
        <v>1</v>
      </c>
      <c r="I18" s="135">
        <f>SUM(I15:I17)</f>
        <v>1</v>
      </c>
      <c r="J18" s="135">
        <f>SUM(J15:J17)</f>
        <v>1</v>
      </c>
      <c r="L18" s="122"/>
    </row>
    <row r="19" spans="1:17" ht="9.6" customHeight="1">
      <c r="A19" s="136"/>
      <c r="L19" s="122"/>
    </row>
    <row r="20" spans="1:17" ht="15.75" customHeight="1">
      <c r="A20" s="133" t="s">
        <v>205</v>
      </c>
      <c r="L20" s="122"/>
    </row>
    <row r="21" spans="1:17" ht="15.75" customHeight="1">
      <c r="A21" s="129" t="s">
        <v>193</v>
      </c>
      <c r="B21" s="225" t="s">
        <v>345</v>
      </c>
      <c r="C21" s="225" t="s">
        <v>347</v>
      </c>
      <c r="D21" s="129" t="s">
        <v>2</v>
      </c>
      <c r="E21" s="129" t="s">
        <v>3</v>
      </c>
      <c r="L21" s="122"/>
    </row>
    <row r="22" spans="1:17" ht="18" customHeight="1">
      <c r="A22" s="129" t="s">
        <v>226</v>
      </c>
      <c r="B22" s="130">
        <v>96.2</v>
      </c>
      <c r="C22" s="130">
        <v>94.5</v>
      </c>
      <c r="D22" s="130">
        <f>B22-C22</f>
        <v>1.7000000000000028</v>
      </c>
      <c r="E22" s="131">
        <v>96.2</v>
      </c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227</v>
      </c>
      <c r="B23" s="130"/>
      <c r="C23" s="130"/>
      <c r="D23" s="130">
        <f>B23-C23</f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225</v>
      </c>
      <c r="B24" s="130">
        <v>111.7</v>
      </c>
      <c r="C24" s="130">
        <v>110.5</v>
      </c>
      <c r="D24" s="130">
        <f>B24-C24</f>
        <v>1.2000000000000028</v>
      </c>
      <c r="E24" s="131">
        <v>111.7</v>
      </c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zoomScale="85" zoomScaleNormal="85" workbookViewId="0">
      <selection activeCell="L11" sqref="L11"/>
    </sheetView>
  </sheetViews>
  <sheetFormatPr defaultColWidth="8.85546875" defaultRowHeight="12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03" t="s">
        <v>128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</row>
    <row r="3" spans="2:23" s="82" customFormat="1" ht="23.45" customHeight="1">
      <c r="B3" s="307" t="s">
        <v>124</v>
      </c>
      <c r="C3" s="308" t="s">
        <v>121</v>
      </c>
      <c r="D3" s="309" t="s">
        <v>105</v>
      </c>
      <c r="E3" s="309"/>
      <c r="F3" s="306" t="s">
        <v>125</v>
      </c>
      <c r="G3" s="306"/>
      <c r="H3" s="306"/>
      <c r="I3" s="304" t="s">
        <v>126</v>
      </c>
      <c r="J3" s="304"/>
      <c r="K3" s="304"/>
      <c r="L3" s="305" t="s">
        <v>127</v>
      </c>
      <c r="M3" s="305"/>
      <c r="N3" s="305"/>
      <c r="O3" s="311" t="s">
        <v>129</v>
      </c>
      <c r="P3" s="311"/>
      <c r="Q3" s="311"/>
      <c r="R3" s="310" t="s">
        <v>130</v>
      </c>
      <c r="S3" s="310"/>
      <c r="T3" s="310"/>
      <c r="U3" s="311" t="s">
        <v>131</v>
      </c>
      <c r="V3" s="311"/>
      <c r="W3" s="311"/>
    </row>
    <row r="4" spans="2:23" s="82" customFormat="1" ht="23.45" customHeight="1">
      <c r="B4" s="307"/>
      <c r="C4" s="308"/>
      <c r="D4" s="309"/>
      <c r="E4" s="309"/>
      <c r="F4" s="80" t="s">
        <v>118</v>
      </c>
      <c r="G4" s="80" t="s">
        <v>122</v>
      </c>
      <c r="H4" s="80" t="s">
        <v>123</v>
      </c>
      <c r="I4" s="92" t="s">
        <v>118</v>
      </c>
      <c r="J4" s="92" t="s">
        <v>122</v>
      </c>
      <c r="K4" s="92" t="s">
        <v>123</v>
      </c>
      <c r="L4" s="91" t="s">
        <v>118</v>
      </c>
      <c r="M4" s="91" t="s">
        <v>122</v>
      </c>
      <c r="N4" s="91" t="s">
        <v>123</v>
      </c>
      <c r="O4" s="85" t="s">
        <v>118</v>
      </c>
      <c r="P4" s="85" t="s">
        <v>122</v>
      </c>
      <c r="Q4" s="85" t="s">
        <v>123</v>
      </c>
      <c r="R4" s="85" t="s">
        <v>118</v>
      </c>
      <c r="S4" s="85" t="s">
        <v>122</v>
      </c>
      <c r="T4" s="85" t="s">
        <v>123</v>
      </c>
      <c r="U4" s="85" t="s">
        <v>118</v>
      </c>
      <c r="V4" s="85" t="s">
        <v>122</v>
      </c>
      <c r="W4" s="85" t="s">
        <v>123</v>
      </c>
    </row>
    <row r="5" spans="2:23" ht="14.25">
      <c r="B5" s="321">
        <v>45937</v>
      </c>
      <c r="C5" s="320" t="s">
        <v>565</v>
      </c>
      <c r="D5" s="86">
        <v>45931</v>
      </c>
      <c r="E5" s="286" t="s">
        <v>114</v>
      </c>
      <c r="F5" s="87">
        <v>2824752.9699999997</v>
      </c>
      <c r="G5" s="315">
        <f>SUM(F5:F10)</f>
        <v>13981867.529999999</v>
      </c>
      <c r="H5" s="315">
        <f>SUM(F5:F35)</f>
        <v>13981867.529999999</v>
      </c>
      <c r="I5" s="264">
        <v>59618</v>
      </c>
      <c r="J5" s="322">
        <f>SUM(I5:I10)</f>
        <v>289645</v>
      </c>
      <c r="K5" s="319">
        <f>SUM(I5:I34)</f>
        <v>289645</v>
      </c>
      <c r="L5" s="87">
        <v>1783002</v>
      </c>
      <c r="M5" s="315">
        <f>SUM(L5:L10)</f>
        <v>8823754</v>
      </c>
      <c r="N5" s="316">
        <f>SUM(L5:L34)</f>
        <v>8823754</v>
      </c>
      <c r="O5" s="90">
        <f>L5/F5</f>
        <v>0.63120634580658574</v>
      </c>
      <c r="P5" s="314">
        <f>M5/G5</f>
        <v>0.63108550993402246</v>
      </c>
      <c r="Q5" s="312">
        <f>N5/H5</f>
        <v>0.63108550993402246</v>
      </c>
      <c r="S5" s="315">
        <f>SUM(R5:R10)</f>
        <v>0</v>
      </c>
      <c r="T5" s="312">
        <f>SUM(R5:R34)</f>
        <v>0</v>
      </c>
      <c r="U5" s="90">
        <f t="shared" ref="U5:U35" si="0">R5/F5</f>
        <v>0</v>
      </c>
      <c r="V5" s="316">
        <f>S5/G5</f>
        <v>0</v>
      </c>
      <c r="W5" s="313">
        <f>T5/H5</f>
        <v>0</v>
      </c>
    </row>
    <row r="6" spans="2:23" ht="14.25">
      <c r="B6" s="321"/>
      <c r="C6" s="320"/>
      <c r="D6" s="86">
        <v>45932</v>
      </c>
      <c r="E6" s="286" t="s">
        <v>115</v>
      </c>
      <c r="F6" s="87">
        <v>2491478.86</v>
      </c>
      <c r="G6" s="315"/>
      <c r="H6" s="315"/>
      <c r="I6" s="264">
        <v>51111</v>
      </c>
      <c r="J6" s="322"/>
      <c r="K6" s="319"/>
      <c r="L6" s="87">
        <v>1571350</v>
      </c>
      <c r="M6" s="315"/>
      <c r="N6" s="316"/>
      <c r="O6" s="90">
        <f>L6/F6</f>
        <v>0.63068967801717579</v>
      </c>
      <c r="P6" s="314"/>
      <c r="Q6" s="312"/>
      <c r="S6" s="315"/>
      <c r="T6" s="312"/>
      <c r="U6" s="90">
        <f t="shared" si="0"/>
        <v>0</v>
      </c>
      <c r="V6" s="316"/>
      <c r="W6" s="312"/>
    </row>
    <row r="7" spans="2:23" ht="14.25">
      <c r="B7" s="321"/>
      <c r="C7" s="320"/>
      <c r="D7" s="86">
        <v>45933</v>
      </c>
      <c r="E7" s="286" t="s">
        <v>116</v>
      </c>
      <c r="F7" s="87">
        <v>1927390.0100000002</v>
      </c>
      <c r="G7" s="315"/>
      <c r="H7" s="315"/>
      <c r="I7" s="264">
        <v>39570</v>
      </c>
      <c r="J7" s="322"/>
      <c r="K7" s="319"/>
      <c r="L7" s="87">
        <v>1216995</v>
      </c>
      <c r="M7" s="315"/>
      <c r="N7" s="316"/>
      <c r="O7" s="90">
        <f t="shared" ref="O7:O38" si="1">L7/F7</f>
        <v>0.63142124514799158</v>
      </c>
      <c r="P7" s="314"/>
      <c r="Q7" s="312"/>
      <c r="S7" s="315"/>
      <c r="T7" s="312"/>
      <c r="U7" s="90">
        <f t="shared" si="0"/>
        <v>0</v>
      </c>
      <c r="V7" s="316"/>
      <c r="W7" s="312"/>
    </row>
    <row r="8" spans="2:23" ht="14.25">
      <c r="B8" s="321"/>
      <c r="C8" s="320"/>
      <c r="D8" s="86">
        <v>45934</v>
      </c>
      <c r="E8" s="286" t="s">
        <v>117</v>
      </c>
      <c r="F8" s="87">
        <v>1927172.27</v>
      </c>
      <c r="G8" s="315"/>
      <c r="H8" s="315"/>
      <c r="I8" s="264">
        <v>39717</v>
      </c>
      <c r="J8" s="322"/>
      <c r="K8" s="319"/>
      <c r="L8" s="87">
        <v>1216147</v>
      </c>
      <c r="M8" s="315"/>
      <c r="N8" s="316"/>
      <c r="O8" s="90">
        <f t="shared" si="1"/>
        <v>0.63105256283082567</v>
      </c>
      <c r="P8" s="314"/>
      <c r="Q8" s="312"/>
      <c r="S8" s="315"/>
      <c r="T8" s="312"/>
      <c r="U8" s="90">
        <f t="shared" si="0"/>
        <v>0</v>
      </c>
      <c r="V8" s="316"/>
      <c r="W8" s="312"/>
    </row>
    <row r="9" spans="2:23" ht="14.25">
      <c r="B9" s="321"/>
      <c r="C9" s="320"/>
      <c r="D9" s="86">
        <v>45935</v>
      </c>
      <c r="E9" s="286" t="s">
        <v>118</v>
      </c>
      <c r="F9" s="87">
        <v>2140557.92</v>
      </c>
      <c r="G9" s="315"/>
      <c r="H9" s="315"/>
      <c r="I9" s="264">
        <v>44134</v>
      </c>
      <c r="J9" s="322"/>
      <c r="K9" s="319"/>
      <c r="L9" s="87">
        <v>1350695</v>
      </c>
      <c r="M9" s="315"/>
      <c r="N9" s="316"/>
      <c r="O9" s="90">
        <f t="shared" si="1"/>
        <v>0.63100137930395273</v>
      </c>
      <c r="P9" s="314"/>
      <c r="Q9" s="312"/>
      <c r="S9" s="315"/>
      <c r="T9" s="312"/>
      <c r="U9" s="90">
        <f t="shared" si="0"/>
        <v>0</v>
      </c>
      <c r="V9" s="316"/>
      <c r="W9" s="312"/>
    </row>
    <row r="10" spans="2:23">
      <c r="B10" s="321"/>
      <c r="C10" s="320"/>
      <c r="D10" s="86">
        <v>45936</v>
      </c>
      <c r="E10" s="86" t="s">
        <v>119</v>
      </c>
      <c r="F10" s="87">
        <v>2670515.5</v>
      </c>
      <c r="G10" s="315"/>
      <c r="H10" s="315"/>
      <c r="I10" s="264">
        <v>55495</v>
      </c>
      <c r="J10" s="322"/>
      <c r="K10" s="319"/>
      <c r="L10" s="87">
        <v>1685565</v>
      </c>
      <c r="M10" s="315"/>
      <c r="N10" s="316"/>
      <c r="O10" s="90">
        <f t="shared" si="1"/>
        <v>0.63117589094689774</v>
      </c>
      <c r="P10" s="314"/>
      <c r="Q10" s="312"/>
      <c r="S10" s="315"/>
      <c r="T10" s="312"/>
      <c r="U10" s="90">
        <f t="shared" si="0"/>
        <v>0</v>
      </c>
      <c r="V10" s="316"/>
      <c r="W10" s="312"/>
    </row>
    <row r="11" spans="2:23" ht="14.25">
      <c r="B11" s="321">
        <v>45944</v>
      </c>
      <c r="C11" s="320"/>
      <c r="D11" s="86">
        <v>45937</v>
      </c>
      <c r="E11" s="286" t="s">
        <v>120</v>
      </c>
      <c r="G11" s="315">
        <f>SUM(F11:F17)</f>
        <v>0</v>
      </c>
      <c r="H11" s="315"/>
      <c r="I11" s="264"/>
      <c r="J11" s="322">
        <f>SUM(I11:I17)</f>
        <v>0</v>
      </c>
      <c r="K11" s="319"/>
      <c r="L11" s="87"/>
      <c r="M11" s="315">
        <f>SUM(L11:L17)</f>
        <v>0</v>
      </c>
      <c r="N11" s="316"/>
      <c r="O11" s="90" t="e">
        <f t="shared" si="1"/>
        <v>#DIV/0!</v>
      </c>
      <c r="P11" s="314" t="e">
        <f>M11/G11</f>
        <v>#DIV/0!</v>
      </c>
      <c r="Q11" s="312"/>
      <c r="S11" s="315">
        <f>SUM(R11:R17)</f>
        <v>0</v>
      </c>
      <c r="T11" s="312"/>
      <c r="U11" s="90" t="e">
        <f t="shared" si="0"/>
        <v>#DIV/0!</v>
      </c>
      <c r="V11" s="316" t="e">
        <f>S11/G11</f>
        <v>#DIV/0!</v>
      </c>
      <c r="W11" s="312"/>
    </row>
    <row r="12" spans="2:23" ht="14.25">
      <c r="B12" s="321"/>
      <c r="C12" s="320"/>
      <c r="D12" s="86">
        <v>45938</v>
      </c>
      <c r="E12" s="286" t="s">
        <v>114</v>
      </c>
      <c r="G12" s="315"/>
      <c r="H12" s="315"/>
      <c r="I12" s="264"/>
      <c r="J12" s="322"/>
      <c r="K12" s="319"/>
      <c r="L12" s="87"/>
      <c r="M12" s="315"/>
      <c r="N12" s="316"/>
      <c r="O12" s="90" t="e">
        <f t="shared" si="1"/>
        <v>#DIV/0!</v>
      </c>
      <c r="P12" s="314"/>
      <c r="Q12" s="312"/>
      <c r="S12" s="315"/>
      <c r="T12" s="312"/>
      <c r="U12" s="90" t="e">
        <f t="shared" si="0"/>
        <v>#DIV/0!</v>
      </c>
      <c r="V12" s="316"/>
      <c r="W12" s="312"/>
    </row>
    <row r="13" spans="2:23" ht="14.25">
      <c r="B13" s="321"/>
      <c r="C13" s="320"/>
      <c r="D13" s="86">
        <v>45939</v>
      </c>
      <c r="E13" s="286" t="s">
        <v>115</v>
      </c>
      <c r="G13" s="315"/>
      <c r="H13" s="315"/>
      <c r="I13" s="264"/>
      <c r="J13" s="322"/>
      <c r="K13" s="319"/>
      <c r="L13" s="87"/>
      <c r="M13" s="315"/>
      <c r="N13" s="316"/>
      <c r="O13" s="90" t="e">
        <f t="shared" si="1"/>
        <v>#DIV/0!</v>
      </c>
      <c r="P13" s="314"/>
      <c r="Q13" s="312"/>
      <c r="S13" s="315"/>
      <c r="T13" s="312"/>
      <c r="U13" s="90" t="e">
        <f t="shared" si="0"/>
        <v>#DIV/0!</v>
      </c>
      <c r="V13" s="316"/>
      <c r="W13" s="312"/>
    </row>
    <row r="14" spans="2:23" ht="14.25">
      <c r="B14" s="321"/>
      <c r="C14" s="320"/>
      <c r="D14" s="86">
        <v>45940</v>
      </c>
      <c r="E14" s="286" t="s">
        <v>116</v>
      </c>
      <c r="G14" s="315"/>
      <c r="H14" s="315"/>
      <c r="I14" s="264"/>
      <c r="J14" s="322"/>
      <c r="K14" s="319"/>
      <c r="L14" s="87"/>
      <c r="M14" s="315"/>
      <c r="N14" s="316"/>
      <c r="O14" s="90" t="e">
        <f t="shared" si="1"/>
        <v>#DIV/0!</v>
      </c>
      <c r="P14" s="314"/>
      <c r="Q14" s="312"/>
      <c r="S14" s="315"/>
      <c r="T14" s="312"/>
      <c r="U14" s="90" t="e">
        <f t="shared" si="0"/>
        <v>#DIV/0!</v>
      </c>
      <c r="V14" s="316"/>
      <c r="W14" s="312"/>
    </row>
    <row r="15" spans="2:23" ht="14.25">
      <c r="B15" s="321"/>
      <c r="C15" s="320"/>
      <c r="D15" s="86">
        <v>45941</v>
      </c>
      <c r="E15" s="286" t="s">
        <v>117</v>
      </c>
      <c r="G15" s="315"/>
      <c r="H15" s="315"/>
      <c r="I15" s="264"/>
      <c r="J15" s="322"/>
      <c r="K15" s="319"/>
      <c r="L15" s="87"/>
      <c r="M15" s="315"/>
      <c r="N15" s="316"/>
      <c r="O15" s="90" t="e">
        <f t="shared" si="1"/>
        <v>#DIV/0!</v>
      </c>
      <c r="P15" s="314"/>
      <c r="Q15" s="312"/>
      <c r="S15" s="315"/>
      <c r="T15" s="312"/>
      <c r="U15" s="90" t="e">
        <f t="shared" si="0"/>
        <v>#DIV/0!</v>
      </c>
      <c r="V15" s="316"/>
      <c r="W15" s="312"/>
    </row>
    <row r="16" spans="2:23" ht="14.25">
      <c r="B16" s="321"/>
      <c r="C16" s="320"/>
      <c r="D16" s="86">
        <v>45942</v>
      </c>
      <c r="E16" s="286" t="s">
        <v>118</v>
      </c>
      <c r="G16" s="315"/>
      <c r="H16" s="315"/>
      <c r="I16" s="264"/>
      <c r="J16" s="322"/>
      <c r="K16" s="319"/>
      <c r="L16" s="87"/>
      <c r="M16" s="315"/>
      <c r="N16" s="316"/>
      <c r="O16" s="90" t="e">
        <f t="shared" si="1"/>
        <v>#DIV/0!</v>
      </c>
      <c r="P16" s="314"/>
      <c r="Q16" s="312"/>
      <c r="S16" s="315"/>
      <c r="T16" s="312"/>
      <c r="U16" s="90" t="e">
        <f t="shared" si="0"/>
        <v>#DIV/0!</v>
      </c>
      <c r="V16" s="316"/>
      <c r="W16" s="312"/>
    </row>
    <row r="17" spans="2:23">
      <c r="B17" s="321"/>
      <c r="C17" s="320"/>
      <c r="D17" s="86">
        <v>45943</v>
      </c>
      <c r="E17" s="86" t="s">
        <v>119</v>
      </c>
      <c r="G17" s="315"/>
      <c r="H17" s="315"/>
      <c r="I17" s="264"/>
      <c r="J17" s="322"/>
      <c r="K17" s="319"/>
      <c r="L17" s="87"/>
      <c r="M17" s="315"/>
      <c r="N17" s="316"/>
      <c r="O17" s="90" t="e">
        <f t="shared" si="1"/>
        <v>#DIV/0!</v>
      </c>
      <c r="P17" s="314"/>
      <c r="Q17" s="312"/>
      <c r="S17" s="315"/>
      <c r="T17" s="312"/>
      <c r="U17" s="90" t="e">
        <f t="shared" si="0"/>
        <v>#DIV/0!</v>
      </c>
      <c r="V17" s="316"/>
      <c r="W17" s="312"/>
    </row>
    <row r="18" spans="2:23" ht="14.25">
      <c r="B18" s="321">
        <v>45951</v>
      </c>
      <c r="C18" s="320"/>
      <c r="D18" s="86">
        <v>45944</v>
      </c>
      <c r="E18" s="286" t="s">
        <v>120</v>
      </c>
      <c r="G18" s="315">
        <f>SUM(F18:F24)</f>
        <v>0</v>
      </c>
      <c r="H18" s="315"/>
      <c r="I18" s="264"/>
      <c r="J18" s="322">
        <f>SUM(I18:I24)</f>
        <v>0</v>
      </c>
      <c r="K18" s="319"/>
      <c r="L18" s="87"/>
      <c r="M18" s="315">
        <f>SUM(L18:L24)</f>
        <v>0</v>
      </c>
      <c r="N18" s="316"/>
      <c r="O18" s="90" t="e">
        <f t="shared" si="1"/>
        <v>#DIV/0!</v>
      </c>
      <c r="P18" s="314" t="e">
        <f>M18/G18</f>
        <v>#DIV/0!</v>
      </c>
      <c r="Q18" s="312"/>
      <c r="S18" s="315">
        <f>SUM(R18:R24)</f>
        <v>0</v>
      </c>
      <c r="T18" s="312"/>
      <c r="U18" s="90" t="e">
        <f t="shared" si="0"/>
        <v>#DIV/0!</v>
      </c>
      <c r="V18" s="316" t="e">
        <f t="shared" ref="V18" si="2">S18/G18</f>
        <v>#DIV/0!</v>
      </c>
      <c r="W18" s="312"/>
    </row>
    <row r="19" spans="2:23" ht="14.25">
      <c r="B19" s="317"/>
      <c r="C19" s="320"/>
      <c r="D19" s="86">
        <v>45945</v>
      </c>
      <c r="E19" s="286" t="s">
        <v>114</v>
      </c>
      <c r="G19" s="315"/>
      <c r="H19" s="315"/>
      <c r="I19" s="264"/>
      <c r="J19" s="322"/>
      <c r="K19" s="319"/>
      <c r="L19" s="87"/>
      <c r="M19" s="315"/>
      <c r="N19" s="316"/>
      <c r="O19" s="90" t="e">
        <f t="shared" si="1"/>
        <v>#DIV/0!</v>
      </c>
      <c r="P19" s="314"/>
      <c r="Q19" s="312"/>
      <c r="S19" s="315"/>
      <c r="T19" s="312"/>
      <c r="U19" s="90" t="e">
        <f t="shared" si="0"/>
        <v>#DIV/0!</v>
      </c>
      <c r="V19" s="316"/>
      <c r="W19" s="312"/>
    </row>
    <row r="20" spans="2:23" ht="14.25">
      <c r="B20" s="317"/>
      <c r="C20" s="320"/>
      <c r="D20" s="86">
        <v>45946</v>
      </c>
      <c r="E20" s="286" t="s">
        <v>115</v>
      </c>
      <c r="G20" s="315"/>
      <c r="H20" s="315"/>
      <c r="I20" s="264"/>
      <c r="J20" s="322"/>
      <c r="K20" s="319"/>
      <c r="L20" s="87"/>
      <c r="M20" s="315"/>
      <c r="N20" s="316"/>
      <c r="O20" s="90" t="e">
        <f t="shared" si="1"/>
        <v>#DIV/0!</v>
      </c>
      <c r="P20" s="314"/>
      <c r="Q20" s="312"/>
      <c r="S20" s="315"/>
      <c r="T20" s="312"/>
      <c r="U20" s="90" t="e">
        <f t="shared" si="0"/>
        <v>#DIV/0!</v>
      </c>
      <c r="V20" s="316"/>
      <c r="W20" s="312"/>
    </row>
    <row r="21" spans="2:23" ht="14.25">
      <c r="B21" s="317"/>
      <c r="C21" s="320"/>
      <c r="D21" s="86">
        <v>45947</v>
      </c>
      <c r="E21" s="286" t="s">
        <v>116</v>
      </c>
      <c r="G21" s="315"/>
      <c r="H21" s="315"/>
      <c r="I21" s="264"/>
      <c r="J21" s="322"/>
      <c r="K21" s="319"/>
      <c r="L21" s="87"/>
      <c r="M21" s="315"/>
      <c r="N21" s="316"/>
      <c r="O21" s="90" t="e">
        <f t="shared" si="1"/>
        <v>#DIV/0!</v>
      </c>
      <c r="P21" s="314"/>
      <c r="Q21" s="312"/>
      <c r="S21" s="315"/>
      <c r="T21" s="312"/>
      <c r="U21" s="90" t="e">
        <f t="shared" si="0"/>
        <v>#DIV/0!</v>
      </c>
      <c r="V21" s="316"/>
      <c r="W21" s="312"/>
    </row>
    <row r="22" spans="2:23" ht="14.25">
      <c r="B22" s="317"/>
      <c r="C22" s="320"/>
      <c r="D22" s="86">
        <v>45948</v>
      </c>
      <c r="E22" s="286" t="s">
        <v>117</v>
      </c>
      <c r="G22" s="315"/>
      <c r="H22" s="315"/>
      <c r="I22" s="264"/>
      <c r="J22" s="322"/>
      <c r="K22" s="319"/>
      <c r="L22" s="87"/>
      <c r="M22" s="315"/>
      <c r="N22" s="316"/>
      <c r="O22" s="90" t="e">
        <f t="shared" si="1"/>
        <v>#DIV/0!</v>
      </c>
      <c r="P22" s="314"/>
      <c r="Q22" s="312"/>
      <c r="S22" s="315"/>
      <c r="T22" s="312"/>
      <c r="U22" s="90" t="e">
        <f t="shared" si="0"/>
        <v>#DIV/0!</v>
      </c>
      <c r="V22" s="316"/>
      <c r="W22" s="312"/>
    </row>
    <row r="23" spans="2:23" ht="14.25">
      <c r="B23" s="317"/>
      <c r="C23" s="320"/>
      <c r="D23" s="86">
        <v>45949</v>
      </c>
      <c r="E23" s="286" t="s">
        <v>118</v>
      </c>
      <c r="G23" s="315"/>
      <c r="H23" s="315"/>
      <c r="I23" s="264"/>
      <c r="J23" s="322"/>
      <c r="K23" s="319"/>
      <c r="L23" s="87"/>
      <c r="M23" s="315"/>
      <c r="N23" s="316"/>
      <c r="O23" s="90" t="e">
        <f t="shared" si="1"/>
        <v>#DIV/0!</v>
      </c>
      <c r="P23" s="314"/>
      <c r="Q23" s="312"/>
      <c r="S23" s="315"/>
      <c r="T23" s="312"/>
      <c r="U23" s="90" t="e">
        <f t="shared" si="0"/>
        <v>#DIV/0!</v>
      </c>
      <c r="V23" s="316"/>
      <c r="W23" s="312"/>
    </row>
    <row r="24" spans="2:23">
      <c r="B24" s="317"/>
      <c r="C24" s="320"/>
      <c r="D24" s="86">
        <v>45950</v>
      </c>
      <c r="E24" s="86" t="s">
        <v>119</v>
      </c>
      <c r="G24" s="315"/>
      <c r="H24" s="315"/>
      <c r="I24" s="264"/>
      <c r="J24" s="322"/>
      <c r="K24" s="319"/>
      <c r="L24" s="87"/>
      <c r="M24" s="315"/>
      <c r="N24" s="316"/>
      <c r="O24" s="90" t="e">
        <f t="shared" si="1"/>
        <v>#DIV/0!</v>
      </c>
      <c r="P24" s="314"/>
      <c r="Q24" s="312"/>
      <c r="S24" s="315"/>
      <c r="T24" s="312"/>
      <c r="U24" s="90" t="e">
        <f t="shared" si="0"/>
        <v>#DIV/0!</v>
      </c>
      <c r="V24" s="316"/>
      <c r="W24" s="312"/>
    </row>
    <row r="25" spans="2:23" ht="14.25">
      <c r="B25" s="321">
        <v>45958</v>
      </c>
      <c r="C25" s="320"/>
      <c r="D25" s="86">
        <v>45951</v>
      </c>
      <c r="E25" s="286" t="s">
        <v>120</v>
      </c>
      <c r="G25" s="315">
        <f>SUM(F25:F31)</f>
        <v>0</v>
      </c>
      <c r="H25" s="315"/>
      <c r="I25" s="264"/>
      <c r="J25" s="322">
        <f>SUM(I25:I31)</f>
        <v>0</v>
      </c>
      <c r="K25" s="319"/>
      <c r="L25" s="87"/>
      <c r="M25" s="315">
        <f>SUM(L25:L31)</f>
        <v>0</v>
      </c>
      <c r="N25" s="316"/>
      <c r="O25" s="90" t="e">
        <f t="shared" si="1"/>
        <v>#DIV/0!</v>
      </c>
      <c r="P25" s="314" t="e">
        <f t="shared" ref="P25" si="3">M25/G25</f>
        <v>#DIV/0!</v>
      </c>
      <c r="Q25" s="312"/>
      <c r="S25" s="315">
        <f>SUM(R25:R31)</f>
        <v>0</v>
      </c>
      <c r="T25" s="312"/>
      <c r="U25" s="90" t="e">
        <f t="shared" si="0"/>
        <v>#DIV/0!</v>
      </c>
      <c r="V25" s="316" t="e">
        <f t="shared" ref="V25" si="4">S25/G25</f>
        <v>#DIV/0!</v>
      </c>
      <c r="W25" s="312"/>
    </row>
    <row r="26" spans="2:23" ht="14.25">
      <c r="B26" s="317"/>
      <c r="C26" s="320"/>
      <c r="D26" s="86">
        <v>45952</v>
      </c>
      <c r="E26" s="286" t="s">
        <v>114</v>
      </c>
      <c r="G26" s="315"/>
      <c r="H26" s="315"/>
      <c r="I26" s="264"/>
      <c r="J26" s="322"/>
      <c r="K26" s="319"/>
      <c r="L26" s="87"/>
      <c r="M26" s="315"/>
      <c r="N26" s="316"/>
      <c r="O26" s="90" t="e">
        <f t="shared" si="1"/>
        <v>#DIV/0!</v>
      </c>
      <c r="P26" s="314"/>
      <c r="Q26" s="312"/>
      <c r="S26" s="315"/>
      <c r="T26" s="312"/>
      <c r="U26" s="90" t="e">
        <f t="shared" si="0"/>
        <v>#DIV/0!</v>
      </c>
      <c r="V26" s="316"/>
      <c r="W26" s="312"/>
    </row>
    <row r="27" spans="2:23" ht="14.25">
      <c r="B27" s="317"/>
      <c r="C27" s="320"/>
      <c r="D27" s="86">
        <v>45953</v>
      </c>
      <c r="E27" s="286" t="s">
        <v>115</v>
      </c>
      <c r="G27" s="315"/>
      <c r="H27" s="315"/>
      <c r="I27" s="264"/>
      <c r="J27" s="322"/>
      <c r="K27" s="319"/>
      <c r="L27" s="87"/>
      <c r="M27" s="315"/>
      <c r="N27" s="316"/>
      <c r="O27" s="90" t="e">
        <f t="shared" si="1"/>
        <v>#DIV/0!</v>
      </c>
      <c r="P27" s="314"/>
      <c r="Q27" s="312"/>
      <c r="S27" s="315"/>
      <c r="T27" s="312"/>
      <c r="U27" s="90" t="e">
        <f t="shared" si="0"/>
        <v>#DIV/0!</v>
      </c>
      <c r="V27" s="316"/>
      <c r="W27" s="312"/>
    </row>
    <row r="28" spans="2:23" ht="14.25">
      <c r="B28" s="317"/>
      <c r="C28" s="320"/>
      <c r="D28" s="86">
        <v>45954</v>
      </c>
      <c r="E28" s="286" t="s">
        <v>116</v>
      </c>
      <c r="G28" s="315"/>
      <c r="H28" s="315"/>
      <c r="I28" s="264"/>
      <c r="J28" s="322"/>
      <c r="K28" s="319"/>
      <c r="L28" s="87"/>
      <c r="M28" s="315"/>
      <c r="N28" s="316"/>
      <c r="O28" s="90" t="e">
        <f t="shared" si="1"/>
        <v>#DIV/0!</v>
      </c>
      <c r="P28" s="314"/>
      <c r="Q28" s="312"/>
      <c r="S28" s="315"/>
      <c r="T28" s="312"/>
      <c r="U28" s="90" t="e">
        <f t="shared" si="0"/>
        <v>#DIV/0!</v>
      </c>
      <c r="V28" s="316"/>
      <c r="W28" s="312"/>
    </row>
    <row r="29" spans="2:23" ht="14.25">
      <c r="B29" s="317"/>
      <c r="C29" s="320"/>
      <c r="D29" s="86">
        <v>45955</v>
      </c>
      <c r="E29" s="286" t="s">
        <v>117</v>
      </c>
      <c r="G29" s="315"/>
      <c r="H29" s="315"/>
      <c r="I29" s="264"/>
      <c r="J29" s="322"/>
      <c r="K29" s="319"/>
      <c r="L29" s="87"/>
      <c r="M29" s="315"/>
      <c r="N29" s="316"/>
      <c r="O29" s="90" t="e">
        <f t="shared" si="1"/>
        <v>#DIV/0!</v>
      </c>
      <c r="P29" s="314"/>
      <c r="Q29" s="312"/>
      <c r="S29" s="315"/>
      <c r="T29" s="312"/>
      <c r="U29" s="90" t="e">
        <f t="shared" si="0"/>
        <v>#DIV/0!</v>
      </c>
      <c r="V29" s="316"/>
      <c r="W29" s="312"/>
    </row>
    <row r="30" spans="2:23" ht="14.25">
      <c r="B30" s="317"/>
      <c r="C30" s="320"/>
      <c r="D30" s="86">
        <v>45956</v>
      </c>
      <c r="E30" s="286" t="s">
        <v>118</v>
      </c>
      <c r="G30" s="315"/>
      <c r="H30" s="315"/>
      <c r="I30" s="264"/>
      <c r="J30" s="322"/>
      <c r="K30" s="319"/>
      <c r="L30" s="87"/>
      <c r="M30" s="315"/>
      <c r="N30" s="316"/>
      <c r="O30" s="90" t="e">
        <f t="shared" si="1"/>
        <v>#DIV/0!</v>
      </c>
      <c r="P30" s="314"/>
      <c r="Q30" s="312"/>
      <c r="S30" s="315"/>
      <c r="T30" s="312"/>
      <c r="U30" s="90" t="e">
        <f t="shared" si="0"/>
        <v>#DIV/0!</v>
      </c>
      <c r="V30" s="316"/>
      <c r="W30" s="312"/>
    </row>
    <row r="31" spans="2:23">
      <c r="B31" s="317"/>
      <c r="C31" s="320"/>
      <c r="D31" s="86">
        <v>45957</v>
      </c>
      <c r="E31" s="86" t="s">
        <v>119</v>
      </c>
      <c r="G31" s="315"/>
      <c r="H31" s="315"/>
      <c r="I31" s="264"/>
      <c r="J31" s="322"/>
      <c r="K31" s="319"/>
      <c r="L31" s="87"/>
      <c r="M31" s="315"/>
      <c r="N31" s="316"/>
      <c r="O31" s="90" t="e">
        <f t="shared" si="1"/>
        <v>#DIV/0!</v>
      </c>
      <c r="P31" s="314"/>
      <c r="Q31" s="312"/>
      <c r="S31" s="315"/>
      <c r="T31" s="312"/>
      <c r="U31" s="90" t="e">
        <f t="shared" si="0"/>
        <v>#DIV/0!</v>
      </c>
      <c r="V31" s="316"/>
      <c r="W31" s="312"/>
    </row>
    <row r="32" spans="2:23" ht="14.25">
      <c r="B32" s="83"/>
      <c r="C32" s="320"/>
      <c r="D32" s="86">
        <v>45958</v>
      </c>
      <c r="E32" s="286" t="s">
        <v>120</v>
      </c>
      <c r="G32" s="290"/>
      <c r="H32" s="315"/>
      <c r="I32" s="264"/>
      <c r="J32" s="93"/>
      <c r="K32" s="319"/>
      <c r="L32" s="87"/>
      <c r="M32" s="87"/>
      <c r="N32" s="316"/>
      <c r="O32" s="90" t="e">
        <f t="shared" si="1"/>
        <v>#DIV/0!</v>
      </c>
      <c r="P32" s="87"/>
      <c r="Q32" s="312"/>
      <c r="S32" s="87"/>
      <c r="T32" s="312"/>
      <c r="U32" s="90" t="e">
        <f t="shared" si="0"/>
        <v>#DIV/0!</v>
      </c>
      <c r="V32" s="87"/>
      <c r="W32" s="312"/>
    </row>
    <row r="33" spans="2:23" ht="14.25">
      <c r="B33" s="83"/>
      <c r="C33" s="320"/>
      <c r="D33" s="86">
        <v>45959</v>
      </c>
      <c r="E33" s="286" t="s">
        <v>114</v>
      </c>
      <c r="G33" s="290"/>
      <c r="H33" s="315"/>
      <c r="I33" s="264"/>
      <c r="J33" s="93"/>
      <c r="K33" s="319"/>
      <c r="L33" s="87"/>
      <c r="M33" s="87"/>
      <c r="N33" s="316"/>
      <c r="O33" s="90" t="e">
        <f t="shared" si="1"/>
        <v>#DIV/0!</v>
      </c>
      <c r="P33" s="87"/>
      <c r="Q33" s="312"/>
      <c r="S33" s="87"/>
      <c r="T33" s="312"/>
      <c r="U33" s="90" t="e">
        <f t="shared" si="0"/>
        <v>#DIV/0!</v>
      </c>
      <c r="V33" s="87"/>
      <c r="W33" s="312"/>
    </row>
    <row r="34" spans="2:23" ht="14.25">
      <c r="B34" s="83"/>
      <c r="C34" s="320"/>
      <c r="D34" s="86">
        <v>45960</v>
      </c>
      <c r="E34" s="286" t="s">
        <v>115</v>
      </c>
      <c r="G34" s="290"/>
      <c r="H34" s="315"/>
      <c r="I34" s="264"/>
      <c r="J34" s="264"/>
      <c r="K34" s="319"/>
      <c r="L34" s="87"/>
      <c r="M34" s="87"/>
      <c r="N34" s="316"/>
      <c r="O34" s="90" t="e">
        <f t="shared" si="1"/>
        <v>#DIV/0!</v>
      </c>
      <c r="P34" s="87"/>
      <c r="Q34" s="312"/>
      <c r="S34" s="87"/>
      <c r="T34" s="312"/>
      <c r="U34" s="90" t="e">
        <f t="shared" si="0"/>
        <v>#DIV/0!</v>
      </c>
      <c r="V34" s="87"/>
      <c r="W34" s="312"/>
    </row>
    <row r="35" spans="2:23" ht="14.25">
      <c r="B35" s="83"/>
      <c r="C35" s="320"/>
      <c r="D35" s="86">
        <v>45961</v>
      </c>
      <c r="E35" s="286" t="s">
        <v>116</v>
      </c>
      <c r="H35" s="315"/>
      <c r="I35" s="264"/>
      <c r="J35" s="264"/>
      <c r="K35" s="319"/>
      <c r="L35" s="87"/>
      <c r="M35" s="87"/>
      <c r="N35" s="87"/>
      <c r="O35" s="90" t="e">
        <f t="shared" si="1"/>
        <v>#DIV/0!</v>
      </c>
      <c r="P35" s="87"/>
      <c r="Q35" s="87"/>
      <c r="S35" s="87"/>
      <c r="T35" s="87"/>
      <c r="U35" s="90" t="e">
        <f t="shared" si="0"/>
        <v>#DIV/0!</v>
      </c>
      <c r="V35" s="87"/>
      <c r="W35" s="312"/>
    </row>
    <row r="36" spans="2:23" ht="14.25">
      <c r="B36" s="83"/>
      <c r="D36" s="86"/>
      <c r="E36" s="286"/>
      <c r="I36" s="264"/>
      <c r="J36" s="264"/>
      <c r="K36" s="264"/>
      <c r="L36" s="87"/>
      <c r="M36" s="87"/>
      <c r="N36" s="87"/>
      <c r="O36" s="90" t="e">
        <f t="shared" si="1"/>
        <v>#DIV/0!</v>
      </c>
      <c r="P36" s="87"/>
      <c r="Q36" s="87"/>
      <c r="S36" s="87"/>
      <c r="T36" s="87"/>
      <c r="V36" s="87"/>
      <c r="W36" s="87"/>
    </row>
    <row r="37" spans="2:23">
      <c r="B37" s="317"/>
      <c r="D37" s="86"/>
      <c r="E37" s="86"/>
      <c r="G37" s="312">
        <f t="shared" ref="G37" si="5">SUM(F37:F43)</f>
        <v>0</v>
      </c>
      <c r="I37" s="264"/>
      <c r="J37" s="318">
        <f t="shared" ref="J37" si="6">SUM(I37:I43)</f>
        <v>0</v>
      </c>
      <c r="K37" s="264"/>
      <c r="L37" s="87"/>
      <c r="M37" s="312">
        <f t="shared" ref="M37" si="7">SUM(L37:L43)</f>
        <v>0</v>
      </c>
      <c r="N37" s="87"/>
      <c r="O37" s="90" t="e">
        <f t="shared" si="1"/>
        <v>#DIV/0!</v>
      </c>
      <c r="P37" s="312" t="e">
        <f t="shared" ref="P37" si="8">M37/G37</f>
        <v>#DIV/0!</v>
      </c>
      <c r="Q37" s="87"/>
      <c r="S37" s="312">
        <f t="shared" ref="S37" si="9">SUM(R37:R43)</f>
        <v>0</v>
      </c>
      <c r="T37" s="87"/>
      <c r="V37" s="312">
        <f t="shared" ref="V37" si="10">SUM(U37:U43)</f>
        <v>0</v>
      </c>
      <c r="W37" s="87"/>
    </row>
    <row r="38" spans="2:23">
      <c r="B38" s="317"/>
      <c r="D38" s="86"/>
      <c r="E38" s="86"/>
      <c r="G38" s="312"/>
      <c r="I38" s="264"/>
      <c r="J38" s="318"/>
      <c r="K38" s="264"/>
      <c r="L38" s="87"/>
      <c r="M38" s="312"/>
      <c r="N38" s="87"/>
      <c r="O38" s="90" t="e">
        <f t="shared" si="1"/>
        <v>#DIV/0!</v>
      </c>
      <c r="P38" s="312"/>
      <c r="Q38" s="87"/>
      <c r="S38" s="312"/>
      <c r="T38" s="87"/>
      <c r="V38" s="312"/>
      <c r="W38" s="87"/>
    </row>
    <row r="39" spans="2:23">
      <c r="B39" s="317"/>
      <c r="D39" s="86"/>
      <c r="E39" s="86"/>
      <c r="G39" s="312"/>
      <c r="I39" s="264"/>
      <c r="J39" s="318"/>
      <c r="K39" s="264"/>
      <c r="L39" s="87"/>
      <c r="M39" s="312"/>
      <c r="N39" s="87"/>
      <c r="O39" s="90" t="e">
        <f t="shared" ref="O39:O42" si="11">L39/F39</f>
        <v>#DIV/0!</v>
      </c>
      <c r="P39" s="312"/>
      <c r="Q39" s="87"/>
      <c r="S39" s="312"/>
      <c r="T39" s="87"/>
      <c r="V39" s="312"/>
      <c r="W39" s="87"/>
    </row>
    <row r="40" spans="2:23">
      <c r="B40" s="317"/>
      <c r="D40" s="86"/>
      <c r="E40" s="86"/>
      <c r="G40" s="312"/>
      <c r="I40" s="264"/>
      <c r="J40" s="318"/>
      <c r="K40" s="264"/>
      <c r="L40" s="87"/>
      <c r="M40" s="312"/>
      <c r="N40" s="87"/>
      <c r="O40" s="90" t="e">
        <f t="shared" si="11"/>
        <v>#DIV/0!</v>
      </c>
      <c r="P40" s="312"/>
      <c r="Q40" s="87"/>
      <c r="S40" s="312"/>
      <c r="T40" s="87"/>
      <c r="V40" s="312"/>
      <c r="W40" s="87"/>
    </row>
    <row r="41" spans="2:23">
      <c r="B41" s="317"/>
      <c r="D41" s="86"/>
      <c r="E41" s="86"/>
      <c r="G41" s="312"/>
      <c r="I41" s="264"/>
      <c r="J41" s="318"/>
      <c r="K41" s="264"/>
      <c r="L41" s="87"/>
      <c r="M41" s="312"/>
      <c r="N41" s="87"/>
      <c r="O41" s="90" t="e">
        <f t="shared" si="11"/>
        <v>#DIV/0!</v>
      </c>
      <c r="P41" s="312"/>
      <c r="Q41" s="87"/>
      <c r="S41" s="312"/>
      <c r="T41" s="87"/>
      <c r="V41" s="312"/>
      <c r="W41" s="87"/>
    </row>
    <row r="42" spans="2:23">
      <c r="B42" s="317"/>
      <c r="D42" s="86"/>
      <c r="E42" s="86"/>
      <c r="G42" s="312"/>
      <c r="I42" s="264"/>
      <c r="J42" s="318"/>
      <c r="K42" s="264"/>
      <c r="L42" s="87"/>
      <c r="M42" s="312"/>
      <c r="N42" s="87"/>
      <c r="O42" s="90" t="e">
        <f t="shared" si="11"/>
        <v>#DIV/0!</v>
      </c>
      <c r="P42" s="312"/>
      <c r="Q42" s="87"/>
      <c r="S42" s="312"/>
      <c r="T42" s="87"/>
      <c r="V42" s="312"/>
      <c r="W42" s="87"/>
    </row>
    <row r="43" spans="2:23">
      <c r="B43" s="317"/>
      <c r="D43" s="86"/>
      <c r="E43" s="86"/>
      <c r="G43" s="312"/>
      <c r="I43" s="264"/>
      <c r="J43" s="318"/>
      <c r="K43" s="264"/>
      <c r="L43" s="87"/>
      <c r="M43" s="312"/>
      <c r="N43" s="87"/>
      <c r="O43" s="90" t="e">
        <f>L43/F43</f>
        <v>#DIV/0!</v>
      </c>
      <c r="P43" s="312"/>
      <c r="Q43" s="87"/>
      <c r="S43" s="312"/>
      <c r="T43" s="87"/>
      <c r="V43" s="312"/>
      <c r="W43" s="87"/>
    </row>
  </sheetData>
  <mergeCells count="52">
    <mergeCell ref="V25:V31"/>
    <mergeCell ref="G5:G10"/>
    <mergeCell ref="G11:G17"/>
    <mergeCell ref="G18:G24"/>
    <mergeCell ref="G25:G31"/>
    <mergeCell ref="J5:J10"/>
    <mergeCell ref="J11:J17"/>
    <mergeCell ref="J18:J24"/>
    <mergeCell ref="J25:J31"/>
    <mergeCell ref="H5:H35"/>
    <mergeCell ref="B37:B43"/>
    <mergeCell ref="J37:J43"/>
    <mergeCell ref="G37:G43"/>
    <mergeCell ref="M37:M43"/>
    <mergeCell ref="Q5:Q34"/>
    <mergeCell ref="N5:N34"/>
    <mergeCell ref="M5:M10"/>
    <mergeCell ref="M11:M17"/>
    <mergeCell ref="M18:M24"/>
    <mergeCell ref="M25:M31"/>
    <mergeCell ref="K5:K35"/>
    <mergeCell ref="C5:C35"/>
    <mergeCell ref="B5:B10"/>
    <mergeCell ref="B11:B17"/>
    <mergeCell ref="B18:B24"/>
    <mergeCell ref="B25:B31"/>
    <mergeCell ref="V37:V43"/>
    <mergeCell ref="W5:W35"/>
    <mergeCell ref="P37:P43"/>
    <mergeCell ref="S37:S43"/>
    <mergeCell ref="T5:T34"/>
    <mergeCell ref="P5:P10"/>
    <mergeCell ref="P11:P17"/>
    <mergeCell ref="P18:P24"/>
    <mergeCell ref="P25:P31"/>
    <mergeCell ref="S5:S10"/>
    <mergeCell ref="S11:S17"/>
    <mergeCell ref="S18:S24"/>
    <mergeCell ref="S25:S31"/>
    <mergeCell ref="V5:V10"/>
    <mergeCell ref="V11:V17"/>
    <mergeCell ref="V18:V2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3"/>
  <sheetViews>
    <sheetView zoomScale="85" zoomScaleNormal="85" workbookViewId="0">
      <selection activeCell="P5" sqref="P5:P10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115.3</v>
      </c>
    </row>
    <row r="2" spans="2:23" ht="38.1" customHeight="1">
      <c r="B2" s="303" t="s">
        <v>133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</row>
    <row r="3" spans="2:23" s="71" customFormat="1" ht="23.45" customHeight="1">
      <c r="B3" s="307" t="s">
        <v>124</v>
      </c>
      <c r="C3" s="308" t="s">
        <v>121</v>
      </c>
      <c r="D3" s="309" t="s">
        <v>105</v>
      </c>
      <c r="E3" s="309"/>
      <c r="F3" s="325" t="s">
        <v>107</v>
      </c>
      <c r="G3" s="325"/>
      <c r="H3" s="325"/>
      <c r="I3" s="327" t="s">
        <v>108</v>
      </c>
      <c r="J3" s="327"/>
      <c r="K3" s="327"/>
      <c r="L3" s="326" t="s">
        <v>341</v>
      </c>
      <c r="M3" s="326"/>
      <c r="N3" s="326"/>
      <c r="O3" s="326" t="s">
        <v>106</v>
      </c>
      <c r="P3" s="326"/>
      <c r="Q3" s="326"/>
      <c r="R3" s="326" t="s">
        <v>109</v>
      </c>
      <c r="S3" s="326"/>
      <c r="T3" s="326"/>
      <c r="U3" s="326" t="s">
        <v>110</v>
      </c>
      <c r="V3" s="326"/>
      <c r="W3" s="326"/>
    </row>
    <row r="4" spans="2:23" ht="15.75">
      <c r="B4" s="307"/>
      <c r="C4" s="308"/>
      <c r="D4" s="309"/>
      <c r="E4" s="309"/>
      <c r="F4" s="85" t="s">
        <v>118</v>
      </c>
      <c r="G4" s="96" t="s">
        <v>134</v>
      </c>
      <c r="H4" s="96" t="s">
        <v>135</v>
      </c>
      <c r="I4" s="85" t="s">
        <v>118</v>
      </c>
      <c r="J4" s="95" t="s">
        <v>134</v>
      </c>
      <c r="K4" s="95" t="s">
        <v>135</v>
      </c>
      <c r="L4" s="85" t="s">
        <v>118</v>
      </c>
      <c r="M4" s="95" t="s">
        <v>134</v>
      </c>
      <c r="N4" s="95" t="s">
        <v>135</v>
      </c>
      <c r="O4" s="85" t="s">
        <v>118</v>
      </c>
      <c r="P4" s="95" t="s">
        <v>134</v>
      </c>
      <c r="Q4" s="95" t="s">
        <v>135</v>
      </c>
      <c r="R4" s="85" t="s">
        <v>118</v>
      </c>
      <c r="S4" s="95" t="s">
        <v>134</v>
      </c>
      <c r="T4" s="95" t="s">
        <v>135</v>
      </c>
      <c r="U4" s="85" t="s">
        <v>118</v>
      </c>
      <c r="V4" s="95" t="s">
        <v>134</v>
      </c>
      <c r="W4" s="95" t="s">
        <v>135</v>
      </c>
    </row>
    <row r="5" spans="2:23" ht="14.45" customHeight="1">
      <c r="B5" s="321">
        <v>45937</v>
      </c>
      <c r="C5" s="320" t="s">
        <v>565</v>
      </c>
      <c r="D5" s="86">
        <v>45931</v>
      </c>
      <c r="E5" s="286" t="s">
        <v>114</v>
      </c>
      <c r="F5" s="93">
        <v>105.8</v>
      </c>
      <c r="G5" s="319">
        <f>AVERAGE(F5:F10)</f>
        <v>101.83333333333333</v>
      </c>
      <c r="H5" s="319">
        <f>AVERAGE(F5:F35)</f>
        <v>101.83333333333333</v>
      </c>
      <c r="I5" s="90">
        <f>F5/$C$1</f>
        <v>0.91760624457935824</v>
      </c>
      <c r="J5" s="314">
        <f>AVERAGE(I5:I10)</f>
        <v>0.88320323793003752</v>
      </c>
      <c r="K5" s="314">
        <f>AVERAGE(I5:I35)</f>
        <v>0.17094256218000728</v>
      </c>
      <c r="L5" s="220">
        <v>1.48E-3</v>
      </c>
      <c r="M5" s="314">
        <f>AVERAGE(L5:L10)</f>
        <v>1.0189999999999999E-2</v>
      </c>
      <c r="N5" s="314">
        <f>AVERAGE(L5:L35)</f>
        <v>1.0189999999999999E-2</v>
      </c>
      <c r="O5" s="220">
        <v>4.3E-3</v>
      </c>
      <c r="P5" s="314">
        <f>AVERAGE(O5:O10)</f>
        <v>3.5499999999999998E-3</v>
      </c>
      <c r="Q5" s="314">
        <f>AVERAGE(O5:O35)</f>
        <v>3.5499999999999998E-3</v>
      </c>
      <c r="R5" s="220">
        <v>0.42899999999999999</v>
      </c>
      <c r="S5" s="314">
        <f>AVERAGE(R5:R10)</f>
        <v>0.42899999999999999</v>
      </c>
      <c r="T5" s="314">
        <f>AVERAGE(R5:R35)</f>
        <v>0.42899999999999999</v>
      </c>
      <c r="U5" s="220">
        <v>0.7</v>
      </c>
      <c r="V5" s="314">
        <f>AVERAGE(U5:U10)</f>
        <v>0.70000000000000007</v>
      </c>
      <c r="W5" s="314">
        <f>AVERAGE(U5:U35)</f>
        <v>0.70000000000000007</v>
      </c>
    </row>
    <row r="6" spans="2:23" ht="14.45" customHeight="1">
      <c r="B6" s="321"/>
      <c r="C6" s="317"/>
      <c r="D6" s="86">
        <v>45932</v>
      </c>
      <c r="E6" s="286" t="s">
        <v>115</v>
      </c>
      <c r="F6" s="93">
        <v>100.8</v>
      </c>
      <c r="G6" s="319"/>
      <c r="H6" s="319"/>
      <c r="I6" s="90">
        <f t="shared" ref="I6:I43" si="0">F6/$C$1</f>
        <v>0.87424111014744144</v>
      </c>
      <c r="J6" s="314"/>
      <c r="K6" s="314"/>
      <c r="L6" s="220">
        <v>7.9100000000000004E-3</v>
      </c>
      <c r="M6" s="314"/>
      <c r="N6" s="314"/>
      <c r="O6" s="220">
        <v>3.3E-3</v>
      </c>
      <c r="P6" s="314"/>
      <c r="Q6" s="314"/>
      <c r="R6" s="220">
        <v>0.42899999999999999</v>
      </c>
      <c r="S6" s="314"/>
      <c r="T6" s="314"/>
      <c r="U6" s="220">
        <v>0.7</v>
      </c>
      <c r="V6" s="314"/>
      <c r="W6" s="314"/>
    </row>
    <row r="7" spans="2:23" ht="14.45" customHeight="1">
      <c r="B7" s="321"/>
      <c r="C7" s="317"/>
      <c r="D7" s="86">
        <v>45933</v>
      </c>
      <c r="E7" s="286" t="s">
        <v>116</v>
      </c>
      <c r="F7" s="93">
        <v>99</v>
      </c>
      <c r="G7" s="319"/>
      <c r="H7" s="319"/>
      <c r="I7" s="90">
        <f t="shared" si="0"/>
        <v>0.85862966175195143</v>
      </c>
      <c r="J7" s="314"/>
      <c r="K7" s="314"/>
      <c r="L7" s="220">
        <v>8.6E-3</v>
      </c>
      <c r="M7" s="314"/>
      <c r="N7" s="314"/>
      <c r="O7" s="220">
        <v>2E-3</v>
      </c>
      <c r="P7" s="314"/>
      <c r="Q7" s="314"/>
      <c r="R7" s="220">
        <v>0.42899999999999999</v>
      </c>
      <c r="S7" s="314"/>
      <c r="T7" s="314"/>
      <c r="U7" s="220">
        <v>0.7</v>
      </c>
      <c r="V7" s="314"/>
      <c r="W7" s="314"/>
    </row>
    <row r="8" spans="2:23" ht="14.45" customHeight="1">
      <c r="B8" s="321"/>
      <c r="C8" s="317"/>
      <c r="D8" s="86">
        <v>45934</v>
      </c>
      <c r="E8" s="286" t="s">
        <v>117</v>
      </c>
      <c r="F8" s="93">
        <v>105.1</v>
      </c>
      <c r="G8" s="319"/>
      <c r="H8" s="319"/>
      <c r="I8" s="90">
        <f t="shared" si="0"/>
        <v>0.91153512575888984</v>
      </c>
      <c r="J8" s="314"/>
      <c r="K8" s="314"/>
      <c r="L8" s="220">
        <v>4.9199999999999999E-3</v>
      </c>
      <c r="M8" s="314"/>
      <c r="N8" s="314"/>
      <c r="O8" s="220">
        <v>4.7000000000000002E-3</v>
      </c>
      <c r="P8" s="314"/>
      <c r="Q8" s="314"/>
      <c r="R8" s="220">
        <v>0.42899999999999999</v>
      </c>
      <c r="S8" s="314"/>
      <c r="T8" s="314"/>
      <c r="U8" s="220">
        <v>0.7</v>
      </c>
      <c r="V8" s="314"/>
      <c r="W8" s="314"/>
    </row>
    <row r="9" spans="2:23" ht="14.45" customHeight="1">
      <c r="B9" s="321"/>
      <c r="C9" s="317"/>
      <c r="D9" s="86">
        <v>45935</v>
      </c>
      <c r="E9" s="286" t="s">
        <v>118</v>
      </c>
      <c r="F9" s="93">
        <v>100.7</v>
      </c>
      <c r="G9" s="319"/>
      <c r="H9" s="319"/>
      <c r="I9" s="90">
        <f t="shared" si="0"/>
        <v>0.87337380745880322</v>
      </c>
      <c r="J9" s="314"/>
      <c r="K9" s="314"/>
      <c r="L9" s="220">
        <v>8.3000000000000001E-3</v>
      </c>
      <c r="M9" s="314"/>
      <c r="N9" s="314"/>
      <c r="O9" s="220">
        <v>2.3E-3</v>
      </c>
      <c r="P9" s="314"/>
      <c r="Q9" s="314"/>
      <c r="R9" s="220">
        <v>0.42899999999999999</v>
      </c>
      <c r="S9" s="314"/>
      <c r="T9" s="314"/>
      <c r="U9" s="220">
        <v>0.7</v>
      </c>
      <c r="V9" s="314"/>
      <c r="W9" s="314"/>
    </row>
    <row r="10" spans="2:23" ht="14.45" customHeight="1">
      <c r="B10" s="321"/>
      <c r="C10" s="317"/>
      <c r="D10" s="86">
        <v>45936</v>
      </c>
      <c r="E10" s="86" t="s">
        <v>119</v>
      </c>
      <c r="F10" s="93">
        <v>99.6</v>
      </c>
      <c r="G10" s="319"/>
      <c r="H10" s="319"/>
      <c r="I10" s="90">
        <f t="shared" si="0"/>
        <v>0.8638334778837814</v>
      </c>
      <c r="J10" s="314"/>
      <c r="K10" s="314"/>
      <c r="L10" s="220">
        <v>2.9929999999999998E-2</v>
      </c>
      <c r="M10" s="314"/>
      <c r="N10" s="314"/>
      <c r="O10" s="220">
        <v>4.7000000000000002E-3</v>
      </c>
      <c r="P10" s="314"/>
      <c r="Q10" s="314"/>
      <c r="R10" s="220">
        <v>0.42899999999999999</v>
      </c>
      <c r="S10" s="314"/>
      <c r="T10" s="314"/>
      <c r="U10" s="220">
        <v>0.7</v>
      </c>
      <c r="V10" s="314"/>
      <c r="W10" s="314"/>
    </row>
    <row r="11" spans="2:23" ht="14.45" customHeight="1">
      <c r="B11" s="321">
        <v>45944</v>
      </c>
      <c r="C11" s="317"/>
      <c r="D11" s="86">
        <v>45937</v>
      </c>
      <c r="E11" s="286" t="s">
        <v>120</v>
      </c>
      <c r="F11" s="93"/>
      <c r="G11" s="319" t="e">
        <f>AVERAGE(F11:F17)</f>
        <v>#DIV/0!</v>
      </c>
      <c r="H11" s="319"/>
      <c r="I11" s="90">
        <f t="shared" si="0"/>
        <v>0</v>
      </c>
      <c r="J11" s="314">
        <f>AVERAGE(I11:I17)</f>
        <v>0</v>
      </c>
      <c r="K11" s="314"/>
      <c r="L11" s="220"/>
      <c r="M11" s="314" t="e">
        <f>AVERAGE(L11:L17)</f>
        <v>#DIV/0!</v>
      </c>
      <c r="N11" s="314"/>
      <c r="O11" s="220"/>
      <c r="P11" s="314" t="e">
        <f>AVERAGE(O11:O17)</f>
        <v>#DIV/0!</v>
      </c>
      <c r="Q11" s="314"/>
      <c r="R11" s="220"/>
      <c r="S11" s="314" t="e">
        <f>AVERAGE(R11:R17)</f>
        <v>#DIV/0!</v>
      </c>
      <c r="T11" s="314"/>
      <c r="U11" s="220"/>
      <c r="V11" s="314" t="e">
        <f>AVERAGE(U11:U17)</f>
        <v>#DIV/0!</v>
      </c>
      <c r="W11" s="314"/>
    </row>
    <row r="12" spans="2:23" ht="14.45" customHeight="1">
      <c r="B12" s="321"/>
      <c r="C12" s="317"/>
      <c r="D12" s="86">
        <v>45938</v>
      </c>
      <c r="E12" s="286" t="s">
        <v>114</v>
      </c>
      <c r="F12" s="93"/>
      <c r="G12" s="319"/>
      <c r="H12" s="319"/>
      <c r="I12" s="90">
        <f t="shared" si="0"/>
        <v>0</v>
      </c>
      <c r="J12" s="314"/>
      <c r="K12" s="314"/>
      <c r="L12" s="220"/>
      <c r="M12" s="314"/>
      <c r="N12" s="314"/>
      <c r="O12" s="220"/>
      <c r="P12" s="314"/>
      <c r="Q12" s="314"/>
      <c r="R12" s="220"/>
      <c r="S12" s="314"/>
      <c r="T12" s="314"/>
      <c r="U12" s="220"/>
      <c r="V12" s="314"/>
      <c r="W12" s="314"/>
    </row>
    <row r="13" spans="2:23" ht="14.45" customHeight="1">
      <c r="B13" s="321"/>
      <c r="C13" s="317"/>
      <c r="D13" s="86">
        <v>45939</v>
      </c>
      <c r="E13" s="286" t="s">
        <v>115</v>
      </c>
      <c r="F13" s="93"/>
      <c r="G13" s="319"/>
      <c r="H13" s="319"/>
      <c r="I13" s="90">
        <f t="shared" si="0"/>
        <v>0</v>
      </c>
      <c r="J13" s="314"/>
      <c r="K13" s="314"/>
      <c r="L13" s="220"/>
      <c r="M13" s="314"/>
      <c r="N13" s="314"/>
      <c r="O13" s="220"/>
      <c r="P13" s="314"/>
      <c r="Q13" s="314"/>
      <c r="R13" s="220"/>
      <c r="S13" s="314"/>
      <c r="T13" s="314"/>
      <c r="U13" s="220"/>
      <c r="V13" s="314"/>
      <c r="W13" s="314"/>
    </row>
    <row r="14" spans="2:23" ht="14.45" customHeight="1">
      <c r="B14" s="321"/>
      <c r="C14" s="317"/>
      <c r="D14" s="86">
        <v>45940</v>
      </c>
      <c r="E14" s="286" t="s">
        <v>116</v>
      </c>
      <c r="F14" s="93"/>
      <c r="G14" s="319"/>
      <c r="H14" s="319"/>
      <c r="I14" s="90">
        <f t="shared" si="0"/>
        <v>0</v>
      </c>
      <c r="J14" s="314"/>
      <c r="K14" s="314"/>
      <c r="L14" s="220"/>
      <c r="M14" s="314"/>
      <c r="N14" s="314"/>
      <c r="O14" s="220"/>
      <c r="P14" s="314"/>
      <c r="Q14" s="314"/>
      <c r="R14" s="220"/>
      <c r="S14" s="314"/>
      <c r="T14" s="314"/>
      <c r="U14" s="220"/>
      <c r="V14" s="314"/>
      <c r="W14" s="314"/>
    </row>
    <row r="15" spans="2:23" ht="14.45" customHeight="1">
      <c r="B15" s="321"/>
      <c r="C15" s="317"/>
      <c r="D15" s="86">
        <v>45941</v>
      </c>
      <c r="E15" s="286" t="s">
        <v>117</v>
      </c>
      <c r="F15" s="93"/>
      <c r="G15" s="319"/>
      <c r="H15" s="319"/>
      <c r="I15" s="90">
        <f t="shared" si="0"/>
        <v>0</v>
      </c>
      <c r="J15" s="314"/>
      <c r="K15" s="314"/>
      <c r="L15" s="220"/>
      <c r="M15" s="314"/>
      <c r="N15" s="314"/>
      <c r="O15" s="220"/>
      <c r="P15" s="314"/>
      <c r="Q15" s="314"/>
      <c r="R15" s="220"/>
      <c r="S15" s="314"/>
      <c r="T15" s="314"/>
      <c r="U15" s="220"/>
      <c r="V15" s="314"/>
      <c r="W15" s="314"/>
    </row>
    <row r="16" spans="2:23" ht="14.45" customHeight="1">
      <c r="B16" s="321"/>
      <c r="C16" s="317"/>
      <c r="D16" s="86">
        <v>45942</v>
      </c>
      <c r="E16" s="286" t="s">
        <v>118</v>
      </c>
      <c r="F16" s="93"/>
      <c r="G16" s="319"/>
      <c r="H16" s="319"/>
      <c r="I16" s="90">
        <f t="shared" si="0"/>
        <v>0</v>
      </c>
      <c r="J16" s="314"/>
      <c r="K16" s="314"/>
      <c r="L16" s="220"/>
      <c r="M16" s="314"/>
      <c r="N16" s="314"/>
      <c r="O16" s="220"/>
      <c r="P16" s="314"/>
      <c r="Q16" s="314"/>
      <c r="R16" s="220"/>
      <c r="S16" s="314"/>
      <c r="T16" s="314"/>
      <c r="U16" s="220"/>
      <c r="V16" s="314"/>
      <c r="W16" s="314"/>
    </row>
    <row r="17" spans="2:23" ht="14.45" customHeight="1">
      <c r="B17" s="321"/>
      <c r="C17" s="317"/>
      <c r="D17" s="86">
        <v>45943</v>
      </c>
      <c r="E17" s="86" t="s">
        <v>119</v>
      </c>
      <c r="F17" s="93"/>
      <c r="G17" s="319"/>
      <c r="H17" s="319"/>
      <c r="I17" s="90">
        <f t="shared" si="0"/>
        <v>0</v>
      </c>
      <c r="J17" s="314"/>
      <c r="K17" s="314"/>
      <c r="L17" s="220"/>
      <c r="M17" s="314"/>
      <c r="N17" s="314"/>
      <c r="O17" s="220"/>
      <c r="P17" s="314"/>
      <c r="Q17" s="314"/>
      <c r="R17" s="220"/>
      <c r="S17" s="314"/>
      <c r="T17" s="314"/>
      <c r="U17" s="220"/>
      <c r="V17" s="314"/>
      <c r="W17" s="314"/>
    </row>
    <row r="18" spans="2:23" ht="14.45" customHeight="1">
      <c r="B18" s="321">
        <v>45951</v>
      </c>
      <c r="C18" s="317"/>
      <c r="D18" s="86">
        <v>45944</v>
      </c>
      <c r="E18" s="286" t="s">
        <v>120</v>
      </c>
      <c r="F18" s="93"/>
      <c r="G18" s="319" t="e">
        <f t="shared" ref="G18" si="1">AVERAGE(F18:F24)</f>
        <v>#DIV/0!</v>
      </c>
      <c r="H18" s="319"/>
      <c r="I18" s="90">
        <f t="shared" si="0"/>
        <v>0</v>
      </c>
      <c r="J18" s="314">
        <f t="shared" ref="J18" si="2">AVERAGE(I18:I24)</f>
        <v>0</v>
      </c>
      <c r="K18" s="314"/>
      <c r="L18" s="220"/>
      <c r="M18" s="314" t="e">
        <f t="shared" ref="M18" si="3">AVERAGE(L18:L24)</f>
        <v>#DIV/0!</v>
      </c>
      <c r="N18" s="314"/>
      <c r="O18" s="220"/>
      <c r="P18" s="314" t="e">
        <f t="shared" ref="P18" si="4">AVERAGE(O18:O24)</f>
        <v>#DIV/0!</v>
      </c>
      <c r="Q18" s="314"/>
      <c r="R18" s="220"/>
      <c r="S18" s="314" t="e">
        <f t="shared" ref="S18" si="5">AVERAGE(R18:R24)</f>
        <v>#DIV/0!</v>
      </c>
      <c r="T18" s="314"/>
      <c r="U18" s="220"/>
      <c r="V18" s="314" t="e">
        <f t="shared" ref="V18" si="6">AVERAGE(U18:U24)</f>
        <v>#DIV/0!</v>
      </c>
      <c r="W18" s="314"/>
    </row>
    <row r="19" spans="2:23" ht="14.45" customHeight="1">
      <c r="B19" s="317"/>
      <c r="C19" s="317"/>
      <c r="D19" s="86">
        <v>45945</v>
      </c>
      <c r="E19" s="286" t="s">
        <v>114</v>
      </c>
      <c r="F19" s="93"/>
      <c r="G19" s="319"/>
      <c r="H19" s="319"/>
      <c r="I19" s="90">
        <f t="shared" si="0"/>
        <v>0</v>
      </c>
      <c r="J19" s="314"/>
      <c r="K19" s="314"/>
      <c r="L19" s="220"/>
      <c r="M19" s="314"/>
      <c r="N19" s="314"/>
      <c r="O19" s="220"/>
      <c r="P19" s="314"/>
      <c r="Q19" s="314"/>
      <c r="R19" s="220"/>
      <c r="S19" s="314"/>
      <c r="T19" s="314"/>
      <c r="U19" s="220"/>
      <c r="V19" s="314"/>
      <c r="W19" s="314"/>
    </row>
    <row r="20" spans="2:23" ht="14.45" customHeight="1">
      <c r="B20" s="317"/>
      <c r="C20" s="317"/>
      <c r="D20" s="86">
        <v>45946</v>
      </c>
      <c r="E20" s="286" t="s">
        <v>115</v>
      </c>
      <c r="F20" s="93"/>
      <c r="G20" s="319"/>
      <c r="H20" s="319"/>
      <c r="I20" s="90">
        <f t="shared" si="0"/>
        <v>0</v>
      </c>
      <c r="J20" s="314"/>
      <c r="K20" s="314"/>
      <c r="L20" s="220"/>
      <c r="M20" s="314"/>
      <c r="N20" s="314"/>
      <c r="O20" s="220"/>
      <c r="P20" s="314"/>
      <c r="Q20" s="314"/>
      <c r="R20" s="220"/>
      <c r="S20" s="314"/>
      <c r="T20" s="314"/>
      <c r="U20" s="220"/>
      <c r="V20" s="314"/>
      <c r="W20" s="314"/>
    </row>
    <row r="21" spans="2:23" ht="14.45" customHeight="1">
      <c r="B21" s="317"/>
      <c r="C21" s="317"/>
      <c r="D21" s="86">
        <v>45947</v>
      </c>
      <c r="E21" s="286" t="s">
        <v>116</v>
      </c>
      <c r="F21" s="93"/>
      <c r="G21" s="319"/>
      <c r="H21" s="319"/>
      <c r="I21" s="90">
        <f t="shared" si="0"/>
        <v>0</v>
      </c>
      <c r="J21" s="314"/>
      <c r="K21" s="314"/>
      <c r="L21" s="220"/>
      <c r="M21" s="314"/>
      <c r="N21" s="314"/>
      <c r="O21" s="220"/>
      <c r="P21" s="314"/>
      <c r="Q21" s="314"/>
      <c r="R21" s="220"/>
      <c r="S21" s="314"/>
      <c r="T21" s="314"/>
      <c r="U21" s="220"/>
      <c r="V21" s="314"/>
      <c r="W21" s="314"/>
    </row>
    <row r="22" spans="2:23" ht="14.45" customHeight="1">
      <c r="B22" s="317"/>
      <c r="C22" s="317"/>
      <c r="D22" s="86">
        <v>45948</v>
      </c>
      <c r="E22" s="286" t="s">
        <v>117</v>
      </c>
      <c r="F22" s="93"/>
      <c r="G22" s="319"/>
      <c r="H22" s="319"/>
      <c r="I22" s="90">
        <f t="shared" si="0"/>
        <v>0</v>
      </c>
      <c r="J22" s="314"/>
      <c r="K22" s="314"/>
      <c r="L22" s="220"/>
      <c r="M22" s="314"/>
      <c r="N22" s="314"/>
      <c r="O22" s="220"/>
      <c r="P22" s="314"/>
      <c r="Q22" s="314"/>
      <c r="R22" s="220"/>
      <c r="S22" s="314"/>
      <c r="T22" s="314"/>
      <c r="U22" s="220"/>
      <c r="V22" s="314"/>
      <c r="W22" s="314"/>
    </row>
    <row r="23" spans="2:23" ht="14.45" customHeight="1">
      <c r="B23" s="317"/>
      <c r="C23" s="317"/>
      <c r="D23" s="86">
        <v>45949</v>
      </c>
      <c r="E23" s="286" t="s">
        <v>118</v>
      </c>
      <c r="F23" s="93"/>
      <c r="G23" s="319"/>
      <c r="H23" s="319"/>
      <c r="I23" s="90">
        <f t="shared" si="0"/>
        <v>0</v>
      </c>
      <c r="J23" s="314"/>
      <c r="K23" s="314"/>
      <c r="L23" s="220"/>
      <c r="M23" s="314"/>
      <c r="N23" s="314"/>
      <c r="O23" s="220"/>
      <c r="P23" s="314"/>
      <c r="Q23" s="314"/>
      <c r="R23" s="220"/>
      <c r="S23" s="314"/>
      <c r="T23" s="314"/>
      <c r="U23" s="220"/>
      <c r="V23" s="314"/>
      <c r="W23" s="314"/>
    </row>
    <row r="24" spans="2:23" ht="14.45" customHeight="1">
      <c r="B24" s="317"/>
      <c r="C24" s="317"/>
      <c r="D24" s="86">
        <v>45950</v>
      </c>
      <c r="E24" s="86" t="s">
        <v>119</v>
      </c>
      <c r="F24" s="93"/>
      <c r="G24" s="319"/>
      <c r="H24" s="319"/>
      <c r="I24" s="90">
        <f t="shared" si="0"/>
        <v>0</v>
      </c>
      <c r="J24" s="314"/>
      <c r="K24" s="314"/>
      <c r="L24" s="220"/>
      <c r="M24" s="314"/>
      <c r="N24" s="314"/>
      <c r="O24" s="220"/>
      <c r="P24" s="314"/>
      <c r="Q24" s="314"/>
      <c r="R24" s="220"/>
      <c r="S24" s="314"/>
      <c r="T24" s="314"/>
      <c r="U24" s="220"/>
      <c r="V24" s="314"/>
      <c r="W24" s="314"/>
    </row>
    <row r="25" spans="2:23" ht="14.45" customHeight="1">
      <c r="B25" s="321">
        <v>45958</v>
      </c>
      <c r="C25" s="317"/>
      <c r="D25" s="86">
        <v>45951</v>
      </c>
      <c r="E25" s="286" t="s">
        <v>120</v>
      </c>
      <c r="F25" s="93"/>
      <c r="G25" s="319" t="e">
        <f t="shared" ref="G25" si="7">AVERAGE(F25:F31)</f>
        <v>#DIV/0!</v>
      </c>
      <c r="H25" s="319"/>
      <c r="I25" s="90">
        <f t="shared" si="0"/>
        <v>0</v>
      </c>
      <c r="J25" s="314">
        <f t="shared" ref="J25" si="8">AVERAGE(I25:I31)</f>
        <v>0</v>
      </c>
      <c r="K25" s="314"/>
      <c r="L25" s="220"/>
      <c r="M25" s="314" t="e">
        <f t="shared" ref="M25" si="9">AVERAGE(L25:L31)</f>
        <v>#DIV/0!</v>
      </c>
      <c r="N25" s="314"/>
      <c r="O25" s="220"/>
      <c r="P25" s="314" t="e">
        <f t="shared" ref="P25" si="10">AVERAGE(O25:O31)</f>
        <v>#DIV/0!</v>
      </c>
      <c r="Q25" s="314"/>
      <c r="R25" s="220"/>
      <c r="S25" s="314" t="e">
        <f t="shared" ref="S25" si="11">AVERAGE(R25:R31)</f>
        <v>#DIV/0!</v>
      </c>
      <c r="T25" s="314"/>
      <c r="U25" s="220"/>
      <c r="V25" s="314" t="e">
        <f t="shared" ref="V25" si="12">AVERAGE(U25:U31)</f>
        <v>#DIV/0!</v>
      </c>
      <c r="W25" s="314"/>
    </row>
    <row r="26" spans="2:23" ht="14.45" customHeight="1">
      <c r="B26" s="317"/>
      <c r="C26" s="317"/>
      <c r="D26" s="86">
        <v>45952</v>
      </c>
      <c r="E26" s="286" t="s">
        <v>114</v>
      </c>
      <c r="F26" s="93"/>
      <c r="G26" s="319"/>
      <c r="H26" s="319"/>
      <c r="I26" s="90">
        <f t="shared" si="0"/>
        <v>0</v>
      </c>
      <c r="J26" s="314"/>
      <c r="K26" s="314"/>
      <c r="L26" s="220"/>
      <c r="M26" s="314"/>
      <c r="N26" s="314"/>
      <c r="O26" s="220"/>
      <c r="P26" s="314"/>
      <c r="Q26" s="314"/>
      <c r="R26" s="220"/>
      <c r="S26" s="314"/>
      <c r="T26" s="314"/>
      <c r="U26" s="220"/>
      <c r="V26" s="314"/>
      <c r="W26" s="314"/>
    </row>
    <row r="27" spans="2:23" ht="14.45" customHeight="1">
      <c r="B27" s="317"/>
      <c r="C27" s="317"/>
      <c r="D27" s="86">
        <v>45953</v>
      </c>
      <c r="E27" s="286" t="s">
        <v>115</v>
      </c>
      <c r="F27" s="93"/>
      <c r="G27" s="319"/>
      <c r="H27" s="319"/>
      <c r="I27" s="90">
        <f t="shared" si="0"/>
        <v>0</v>
      </c>
      <c r="J27" s="314"/>
      <c r="K27" s="314"/>
      <c r="L27" s="220"/>
      <c r="M27" s="314"/>
      <c r="N27" s="314"/>
      <c r="O27" s="220"/>
      <c r="P27" s="314"/>
      <c r="Q27" s="314"/>
      <c r="R27" s="220"/>
      <c r="S27" s="314"/>
      <c r="T27" s="314"/>
      <c r="U27" s="220"/>
      <c r="V27" s="314"/>
      <c r="W27" s="314"/>
    </row>
    <row r="28" spans="2:23" ht="14.45" customHeight="1">
      <c r="B28" s="317"/>
      <c r="C28" s="317"/>
      <c r="D28" s="86">
        <v>45954</v>
      </c>
      <c r="E28" s="286" t="s">
        <v>116</v>
      </c>
      <c r="F28" s="93"/>
      <c r="G28" s="319"/>
      <c r="H28" s="319"/>
      <c r="I28" s="90">
        <f t="shared" si="0"/>
        <v>0</v>
      </c>
      <c r="J28" s="314"/>
      <c r="K28" s="314"/>
      <c r="L28" s="220"/>
      <c r="M28" s="314"/>
      <c r="N28" s="314"/>
      <c r="O28" s="220"/>
      <c r="P28" s="314"/>
      <c r="Q28" s="314"/>
      <c r="R28" s="220"/>
      <c r="S28" s="314"/>
      <c r="T28" s="314"/>
      <c r="U28" s="220"/>
      <c r="V28" s="314"/>
      <c r="W28" s="314"/>
    </row>
    <row r="29" spans="2:23" ht="14.45" customHeight="1">
      <c r="B29" s="317"/>
      <c r="C29" s="317"/>
      <c r="D29" s="86">
        <v>45955</v>
      </c>
      <c r="E29" s="286" t="s">
        <v>117</v>
      </c>
      <c r="F29" s="93"/>
      <c r="G29" s="319"/>
      <c r="H29" s="319"/>
      <c r="I29" s="90">
        <f t="shared" si="0"/>
        <v>0</v>
      </c>
      <c r="J29" s="314"/>
      <c r="K29" s="314"/>
      <c r="L29" s="220"/>
      <c r="M29" s="314"/>
      <c r="N29" s="314"/>
      <c r="O29" s="220"/>
      <c r="P29" s="314"/>
      <c r="Q29" s="314"/>
      <c r="R29" s="220"/>
      <c r="S29" s="314"/>
      <c r="T29" s="314"/>
      <c r="U29" s="220"/>
      <c r="V29" s="314"/>
      <c r="W29" s="314"/>
    </row>
    <row r="30" spans="2:23" ht="14.45" customHeight="1">
      <c r="B30" s="317"/>
      <c r="C30" s="317"/>
      <c r="D30" s="86">
        <v>45956</v>
      </c>
      <c r="E30" s="286" t="s">
        <v>118</v>
      </c>
      <c r="F30" s="93"/>
      <c r="G30" s="319"/>
      <c r="H30" s="319"/>
      <c r="I30" s="90">
        <f t="shared" si="0"/>
        <v>0</v>
      </c>
      <c r="J30" s="314"/>
      <c r="K30" s="314"/>
      <c r="L30" s="220"/>
      <c r="M30" s="314"/>
      <c r="N30" s="314"/>
      <c r="O30" s="220"/>
      <c r="P30" s="314"/>
      <c r="Q30" s="314"/>
      <c r="R30" s="220"/>
      <c r="S30" s="314"/>
      <c r="T30" s="314"/>
      <c r="U30" s="220"/>
      <c r="V30" s="314"/>
      <c r="W30" s="314"/>
    </row>
    <row r="31" spans="2:23" ht="14.45" customHeight="1">
      <c r="B31" s="317"/>
      <c r="C31" s="317"/>
      <c r="D31" s="86">
        <v>45957</v>
      </c>
      <c r="E31" s="86" t="s">
        <v>119</v>
      </c>
      <c r="F31" s="93"/>
      <c r="G31" s="319"/>
      <c r="H31" s="319"/>
      <c r="I31" s="90">
        <f t="shared" si="0"/>
        <v>0</v>
      </c>
      <c r="J31" s="314"/>
      <c r="K31" s="314"/>
      <c r="L31" s="220"/>
      <c r="M31" s="314"/>
      <c r="N31" s="314"/>
      <c r="O31" s="220"/>
      <c r="P31" s="314"/>
      <c r="Q31" s="314"/>
      <c r="R31" s="220"/>
      <c r="S31" s="314"/>
      <c r="T31" s="314"/>
      <c r="U31" s="220"/>
      <c r="V31" s="314"/>
      <c r="W31" s="314"/>
    </row>
    <row r="32" spans="2:23" ht="14.45" customHeight="1">
      <c r="B32" s="83"/>
      <c r="C32" s="317"/>
      <c r="D32" s="86">
        <v>45958</v>
      </c>
      <c r="E32" s="286" t="s">
        <v>120</v>
      </c>
      <c r="F32" s="93"/>
      <c r="G32" s="93"/>
      <c r="H32" s="319"/>
      <c r="I32" s="90">
        <f t="shared" si="0"/>
        <v>0</v>
      </c>
      <c r="J32" s="220"/>
      <c r="K32" s="314"/>
      <c r="L32" s="220"/>
      <c r="M32" s="220"/>
      <c r="N32" s="314"/>
      <c r="O32" s="220"/>
      <c r="P32" s="220"/>
      <c r="Q32" s="314"/>
      <c r="R32" s="220"/>
      <c r="S32" s="220"/>
      <c r="T32" s="314"/>
      <c r="U32" s="220"/>
      <c r="V32" s="220"/>
      <c r="W32" s="314"/>
    </row>
    <row r="33" spans="2:23" ht="14.45" customHeight="1">
      <c r="B33" s="83"/>
      <c r="C33" s="317"/>
      <c r="D33" s="86">
        <v>45959</v>
      </c>
      <c r="E33" s="286" t="s">
        <v>114</v>
      </c>
      <c r="F33" s="93"/>
      <c r="G33" s="93"/>
      <c r="H33" s="319"/>
      <c r="I33" s="90">
        <f t="shared" si="0"/>
        <v>0</v>
      </c>
      <c r="J33" s="220"/>
      <c r="K33" s="314"/>
      <c r="L33" s="220"/>
      <c r="M33" s="220"/>
      <c r="N33" s="314"/>
      <c r="O33" s="220"/>
      <c r="P33" s="220"/>
      <c r="Q33" s="314"/>
      <c r="R33" s="220"/>
      <c r="S33" s="220"/>
      <c r="T33" s="314"/>
      <c r="U33" s="220"/>
      <c r="V33" s="220"/>
      <c r="W33" s="314"/>
    </row>
    <row r="34" spans="2:23" ht="14.45" customHeight="1">
      <c r="B34" s="83"/>
      <c r="C34" s="317"/>
      <c r="D34" s="86">
        <v>45960</v>
      </c>
      <c r="E34" s="286" t="s">
        <v>115</v>
      </c>
      <c r="F34" s="93"/>
      <c r="G34" s="93"/>
      <c r="H34" s="319"/>
      <c r="I34" s="90">
        <f t="shared" si="0"/>
        <v>0</v>
      </c>
      <c r="J34" s="220"/>
      <c r="K34" s="314"/>
      <c r="L34" s="220"/>
      <c r="M34" s="220"/>
      <c r="N34" s="314"/>
      <c r="O34" s="220"/>
      <c r="P34" s="220"/>
      <c r="Q34" s="314"/>
      <c r="R34" s="220"/>
      <c r="S34" s="220"/>
      <c r="T34" s="314"/>
      <c r="U34" s="220"/>
      <c r="V34" s="220"/>
      <c r="W34" s="314"/>
    </row>
    <row r="35" spans="2:23" ht="14.25">
      <c r="B35" s="83"/>
      <c r="C35" s="317"/>
      <c r="D35" s="86">
        <v>45961</v>
      </c>
      <c r="E35" s="286" t="s">
        <v>116</v>
      </c>
      <c r="F35" s="93"/>
      <c r="G35" s="93"/>
      <c r="H35" s="319"/>
      <c r="I35" s="90">
        <f t="shared" si="0"/>
        <v>0</v>
      </c>
      <c r="J35" s="220"/>
      <c r="K35" s="314"/>
      <c r="L35" s="220"/>
      <c r="M35" s="220"/>
      <c r="N35" s="314"/>
      <c r="O35" s="220"/>
      <c r="P35" s="220"/>
      <c r="Q35" s="314"/>
      <c r="R35" s="220"/>
      <c r="S35" s="220"/>
      <c r="T35" s="314"/>
      <c r="U35" s="220"/>
      <c r="V35" s="220"/>
      <c r="W35" s="314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220"/>
      <c r="K36" s="87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</row>
    <row r="37" spans="2:23">
      <c r="B37" s="317"/>
      <c r="D37" s="86"/>
      <c r="E37" s="86"/>
      <c r="F37" s="93"/>
      <c r="G37" s="323" t="e">
        <f t="shared" ref="G37" si="13">AVERAGE(F37:F43)</f>
        <v>#DIV/0!</v>
      </c>
      <c r="H37" s="93"/>
      <c r="I37" s="90">
        <f t="shared" si="0"/>
        <v>0</v>
      </c>
      <c r="J37" s="328">
        <f t="shared" ref="J37" si="14">AVERAGE(I37:I43)</f>
        <v>0</v>
      </c>
      <c r="K37" s="87"/>
      <c r="L37" s="220"/>
      <c r="M37" s="328" t="e">
        <f t="shared" ref="M37" si="15">AVERAGE(L37:L43)</f>
        <v>#DIV/0!</v>
      </c>
      <c r="N37" s="220"/>
      <c r="O37" s="220"/>
      <c r="P37" s="328" t="e">
        <f t="shared" ref="P37" si="16">AVERAGE(O37:O43)</f>
        <v>#DIV/0!</v>
      </c>
      <c r="Q37" s="220"/>
      <c r="R37" s="220"/>
      <c r="S37" s="328" t="e">
        <f t="shared" ref="S37" si="17">AVERAGE(R37:R43)</f>
        <v>#DIV/0!</v>
      </c>
      <c r="T37" s="220"/>
      <c r="U37" s="220"/>
      <c r="V37" s="328" t="e">
        <f t="shared" ref="V37" si="18">AVERAGE(U37:U43)</f>
        <v>#DIV/0!</v>
      </c>
      <c r="W37" s="220"/>
    </row>
    <row r="38" spans="2:23">
      <c r="B38" s="317"/>
      <c r="D38" s="86"/>
      <c r="E38" s="86"/>
      <c r="F38" s="93"/>
      <c r="G38" s="323"/>
      <c r="H38" s="93"/>
      <c r="I38" s="90">
        <f t="shared" si="0"/>
        <v>0</v>
      </c>
      <c r="J38" s="328"/>
      <c r="K38" s="87"/>
      <c r="L38" s="220"/>
      <c r="M38" s="328"/>
      <c r="N38" s="220"/>
      <c r="O38" s="220"/>
      <c r="P38" s="328"/>
      <c r="Q38" s="220"/>
      <c r="R38" s="220"/>
      <c r="S38" s="328"/>
      <c r="T38" s="220"/>
      <c r="U38" s="220"/>
      <c r="V38" s="328"/>
      <c r="W38" s="220"/>
    </row>
    <row r="39" spans="2:23">
      <c r="B39" s="317"/>
      <c r="D39" s="86"/>
      <c r="E39" s="86"/>
      <c r="F39" s="93"/>
      <c r="G39" s="323"/>
      <c r="H39" s="93"/>
      <c r="I39" s="90">
        <f t="shared" si="0"/>
        <v>0</v>
      </c>
      <c r="J39" s="328"/>
      <c r="K39" s="87"/>
      <c r="L39" s="220"/>
      <c r="M39" s="328"/>
      <c r="N39" s="220"/>
      <c r="O39" s="220"/>
      <c r="P39" s="328"/>
      <c r="Q39" s="220"/>
      <c r="R39" s="220"/>
      <c r="S39" s="328"/>
      <c r="T39" s="220"/>
      <c r="U39" s="220"/>
      <c r="V39" s="328"/>
      <c r="W39" s="220"/>
    </row>
    <row r="40" spans="2:23">
      <c r="B40" s="317"/>
      <c r="D40" s="86"/>
      <c r="E40" s="86"/>
      <c r="F40" s="93"/>
      <c r="G40" s="323"/>
      <c r="H40" s="93"/>
      <c r="I40" s="90">
        <f t="shared" si="0"/>
        <v>0</v>
      </c>
      <c r="J40" s="328"/>
      <c r="K40" s="87"/>
      <c r="L40" s="220"/>
      <c r="M40" s="328"/>
      <c r="N40" s="220"/>
      <c r="O40" s="220"/>
      <c r="P40" s="328"/>
      <c r="Q40" s="220"/>
      <c r="R40" s="220"/>
      <c r="S40" s="328"/>
      <c r="T40" s="220"/>
      <c r="U40" s="220"/>
      <c r="V40" s="328"/>
      <c r="W40" s="220"/>
    </row>
    <row r="41" spans="2:23">
      <c r="B41" s="317"/>
      <c r="D41" s="86"/>
      <c r="E41" s="86"/>
      <c r="F41" s="93"/>
      <c r="G41" s="323"/>
      <c r="H41" s="93"/>
      <c r="I41" s="90">
        <f t="shared" si="0"/>
        <v>0</v>
      </c>
      <c r="J41" s="328"/>
      <c r="K41" s="87"/>
      <c r="L41" s="220"/>
      <c r="M41" s="328"/>
      <c r="N41" s="220"/>
      <c r="O41" s="220"/>
      <c r="P41" s="328"/>
      <c r="Q41" s="220"/>
      <c r="R41" s="220"/>
      <c r="S41" s="328"/>
      <c r="T41" s="220"/>
      <c r="U41" s="220"/>
      <c r="V41" s="328"/>
      <c r="W41" s="220"/>
    </row>
    <row r="42" spans="2:23">
      <c r="B42" s="317"/>
      <c r="D42" s="86"/>
      <c r="E42" s="86"/>
      <c r="F42" s="93"/>
      <c r="G42" s="323"/>
      <c r="H42" s="93"/>
      <c r="I42" s="90">
        <f t="shared" si="0"/>
        <v>0</v>
      </c>
      <c r="J42" s="328"/>
      <c r="K42" s="87"/>
      <c r="L42" s="220"/>
      <c r="M42" s="328"/>
      <c r="N42" s="220"/>
      <c r="O42" s="220"/>
      <c r="P42" s="328"/>
      <c r="Q42" s="220"/>
      <c r="R42" s="220"/>
      <c r="S42" s="328"/>
      <c r="T42" s="220"/>
      <c r="U42" s="220"/>
      <c r="V42" s="328"/>
      <c r="W42" s="220"/>
    </row>
    <row r="43" spans="2:23">
      <c r="B43" s="317"/>
      <c r="D43" s="86"/>
      <c r="E43" s="86"/>
      <c r="F43" s="93"/>
      <c r="G43" s="323"/>
      <c r="H43" s="93"/>
      <c r="I43" s="90">
        <f t="shared" si="0"/>
        <v>0</v>
      </c>
      <c r="J43" s="328"/>
      <c r="K43" s="87"/>
      <c r="L43" s="220"/>
      <c r="M43" s="328"/>
      <c r="N43" s="220"/>
      <c r="O43" s="220"/>
      <c r="P43" s="328"/>
      <c r="Q43" s="220"/>
      <c r="R43" s="220"/>
      <c r="S43" s="328"/>
      <c r="T43" s="220"/>
      <c r="U43" s="220"/>
      <c r="V43" s="328"/>
      <c r="W43" s="220"/>
    </row>
  </sheetData>
  <mergeCells count="52">
    <mergeCell ref="V5:V10"/>
    <mergeCell ref="W5:W35"/>
    <mergeCell ref="V11:V17"/>
    <mergeCell ref="V18:V24"/>
    <mergeCell ref="V25:V31"/>
    <mergeCell ref="P5:P10"/>
    <mergeCell ref="P11:P17"/>
    <mergeCell ref="P18:P24"/>
    <mergeCell ref="P25:P31"/>
    <mergeCell ref="T5:T35"/>
    <mergeCell ref="H5:H35"/>
    <mergeCell ref="M5:M10"/>
    <mergeCell ref="M11:M17"/>
    <mergeCell ref="M18:M24"/>
    <mergeCell ref="M25:M31"/>
    <mergeCell ref="K5:K35"/>
    <mergeCell ref="V37:V43"/>
    <mergeCell ref="J37:J43"/>
    <mergeCell ref="M37:M43"/>
    <mergeCell ref="O3:Q3"/>
    <mergeCell ref="P37:P43"/>
    <mergeCell ref="S37:S43"/>
    <mergeCell ref="Q5:Q35"/>
    <mergeCell ref="S5:S10"/>
    <mergeCell ref="S11:S17"/>
    <mergeCell ref="S18:S24"/>
    <mergeCell ref="S25:S31"/>
    <mergeCell ref="J5:J10"/>
    <mergeCell ref="J11:J17"/>
    <mergeCell ref="J18:J24"/>
    <mergeCell ref="J25:J31"/>
    <mergeCell ref="N5:N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B37:B43"/>
    <mergeCell ref="C5:C35"/>
    <mergeCell ref="G37:G43"/>
    <mergeCell ref="B5:B10"/>
    <mergeCell ref="B11:B17"/>
    <mergeCell ref="B18:B24"/>
    <mergeCell ref="B25:B31"/>
    <mergeCell ref="G5:G10"/>
    <mergeCell ref="G11:G17"/>
    <mergeCell ref="G18:G24"/>
    <mergeCell ref="G25:G31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zoomScale="85" zoomScaleNormal="85" workbookViewId="0">
      <selection activeCell="M7" sqref="M7:M12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03" t="s">
        <v>335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</row>
    <row r="3" spans="1:14" ht="25.35" customHeight="1">
      <c r="B3" s="334" t="s">
        <v>146</v>
      </c>
      <c r="C3" s="335" t="s">
        <v>143</v>
      </c>
      <c r="D3" s="336" t="s">
        <v>105</v>
      </c>
      <c r="E3" s="336"/>
      <c r="F3" s="337" t="s">
        <v>137</v>
      </c>
      <c r="G3" s="337"/>
      <c r="H3" s="337"/>
      <c r="I3" s="330" t="s">
        <v>111</v>
      </c>
      <c r="J3" s="331"/>
      <c r="K3" s="331"/>
      <c r="L3" s="331"/>
      <c r="M3" s="331"/>
      <c r="N3" s="332"/>
    </row>
    <row r="4" spans="1:14" ht="25.35" customHeight="1">
      <c r="B4" s="334"/>
      <c r="C4" s="335"/>
      <c r="D4" s="336"/>
      <c r="E4" s="336"/>
      <c r="F4" s="337"/>
      <c r="G4" s="337"/>
      <c r="H4" s="337"/>
      <c r="I4" s="333" t="s">
        <v>144</v>
      </c>
      <c r="J4" s="333"/>
      <c r="K4" s="333" t="s">
        <v>145</v>
      </c>
      <c r="L4" s="333"/>
      <c r="M4" s="333" t="s">
        <v>142</v>
      </c>
      <c r="N4" s="333"/>
    </row>
    <row r="5" spans="1:14" ht="25.35" customHeight="1">
      <c r="B5" s="334"/>
      <c r="C5" s="335"/>
      <c r="D5" s="336"/>
      <c r="E5" s="336"/>
      <c r="F5" s="329" t="s">
        <v>118</v>
      </c>
      <c r="G5" s="329" t="s">
        <v>122</v>
      </c>
      <c r="H5" s="329" t="s">
        <v>123</v>
      </c>
      <c r="I5" s="333" t="s">
        <v>136</v>
      </c>
      <c r="J5" s="333"/>
      <c r="K5" s="333" t="s">
        <v>136</v>
      </c>
      <c r="L5" s="333"/>
      <c r="M5" s="333" t="s">
        <v>136</v>
      </c>
      <c r="N5" s="333"/>
    </row>
    <row r="6" spans="1:14" s="82" customFormat="1" ht="23.45" customHeight="1">
      <c r="B6" s="334"/>
      <c r="C6" s="335"/>
      <c r="D6" s="336"/>
      <c r="E6" s="336"/>
      <c r="F6" s="329"/>
      <c r="G6" s="329"/>
      <c r="H6" s="329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</row>
    <row r="7" spans="1:14">
      <c r="B7" s="321">
        <v>45937</v>
      </c>
      <c r="C7" s="320" t="s">
        <v>565</v>
      </c>
      <c r="D7" s="86">
        <v>45931</v>
      </c>
      <c r="E7" s="286" t="s">
        <v>114</v>
      </c>
      <c r="F7" s="97">
        <f>SUM(I7,K7,M7)</f>
        <v>2824752.9699999997</v>
      </c>
      <c r="G7" s="315">
        <f>SUM(F7:F12)</f>
        <v>13981867.529999999</v>
      </c>
      <c r="H7" s="315">
        <f>SUM(F7:F37)</f>
        <v>13981867.529999999</v>
      </c>
      <c r="I7" s="100">
        <v>2501030.36</v>
      </c>
      <c r="J7" s="101">
        <f t="shared" ref="J7:J45" si="0">I7/F7</f>
        <v>0.88539790436966959</v>
      </c>
      <c r="K7" s="100"/>
      <c r="L7" s="101">
        <f t="shared" ref="L7:L45" si="1">K7/F7</f>
        <v>0</v>
      </c>
      <c r="M7" s="100">
        <v>323722.61</v>
      </c>
      <c r="N7" s="101">
        <f t="shared" ref="N7:N45" si="2">M7/F7</f>
        <v>0.11460209563033047</v>
      </c>
    </row>
    <row r="8" spans="1:14">
      <c r="B8" s="321"/>
      <c r="C8" s="317"/>
      <c r="D8" s="86">
        <v>45932</v>
      </c>
      <c r="E8" s="286" t="s">
        <v>115</v>
      </c>
      <c r="F8" s="97">
        <f t="shared" ref="F8:F45" si="3">SUM(I8,K8,M8)</f>
        <v>2491478.86</v>
      </c>
      <c r="G8" s="315"/>
      <c r="H8" s="315"/>
      <c r="I8" s="100">
        <v>2296406.0699999998</v>
      </c>
      <c r="J8" s="101">
        <f t="shared" si="0"/>
        <v>0.92170401558213499</v>
      </c>
      <c r="K8" s="100"/>
      <c r="L8" s="101">
        <f t="shared" si="1"/>
        <v>0</v>
      </c>
      <c r="M8" s="100">
        <v>195072.79</v>
      </c>
      <c r="N8" s="101">
        <f t="shared" si="2"/>
        <v>7.8295984417864992E-2</v>
      </c>
    </row>
    <row r="9" spans="1:14">
      <c r="B9" s="321"/>
      <c r="C9" s="317"/>
      <c r="D9" s="86">
        <v>45933</v>
      </c>
      <c r="E9" s="286" t="s">
        <v>116</v>
      </c>
      <c r="F9" s="97">
        <f t="shared" si="3"/>
        <v>1927390.0100000002</v>
      </c>
      <c r="G9" s="315"/>
      <c r="H9" s="315"/>
      <c r="I9" s="100">
        <v>1771863.62</v>
      </c>
      <c r="J9" s="101">
        <f t="shared" si="0"/>
        <v>0.91930725530739876</v>
      </c>
      <c r="K9" s="100"/>
      <c r="L9" s="101">
        <f t="shared" si="1"/>
        <v>0</v>
      </c>
      <c r="M9" s="100">
        <v>155526.39000000001</v>
      </c>
      <c r="N9" s="101">
        <f t="shared" si="2"/>
        <v>8.0692744692601154E-2</v>
      </c>
    </row>
    <row r="10" spans="1:14">
      <c r="B10" s="321"/>
      <c r="C10" s="317"/>
      <c r="D10" s="86">
        <v>45934</v>
      </c>
      <c r="E10" s="286" t="s">
        <v>117</v>
      </c>
      <c r="F10" s="97">
        <f t="shared" si="3"/>
        <v>1927172.27</v>
      </c>
      <c r="G10" s="315"/>
      <c r="H10" s="315"/>
      <c r="I10" s="100">
        <v>1766457.77</v>
      </c>
      <c r="J10" s="101">
        <f t="shared" si="0"/>
        <v>0.9166060541126404</v>
      </c>
      <c r="K10" s="100"/>
      <c r="L10" s="101">
        <f t="shared" si="1"/>
        <v>0</v>
      </c>
      <c r="M10" s="100">
        <v>160714.5</v>
      </c>
      <c r="N10" s="101">
        <f t="shared" si="2"/>
        <v>8.3393945887359613E-2</v>
      </c>
    </row>
    <row r="11" spans="1:14">
      <c r="B11" s="321"/>
      <c r="C11" s="317"/>
      <c r="D11" s="86">
        <v>45935</v>
      </c>
      <c r="E11" s="286" t="s">
        <v>118</v>
      </c>
      <c r="F11" s="97">
        <f t="shared" si="3"/>
        <v>2140557.92</v>
      </c>
      <c r="G11" s="315"/>
      <c r="H11" s="315"/>
      <c r="I11" s="100">
        <v>1964601.01</v>
      </c>
      <c r="J11" s="101">
        <f t="shared" si="0"/>
        <v>0.91779857561621137</v>
      </c>
      <c r="K11" s="100"/>
      <c r="L11" s="101">
        <f t="shared" si="1"/>
        <v>0</v>
      </c>
      <c r="M11" s="100">
        <v>175956.91</v>
      </c>
      <c r="N11" s="101">
        <f t="shared" si="2"/>
        <v>8.220142438378869E-2</v>
      </c>
    </row>
    <row r="12" spans="1:14" ht="12">
      <c r="B12" s="321"/>
      <c r="C12" s="317"/>
      <c r="D12" s="86">
        <v>45936</v>
      </c>
      <c r="E12" s="86" t="s">
        <v>119</v>
      </c>
      <c r="F12" s="97">
        <f t="shared" si="3"/>
        <v>2670515.5</v>
      </c>
      <c r="G12" s="315"/>
      <c r="H12" s="315"/>
      <c r="I12" s="100">
        <v>2432019.09</v>
      </c>
      <c r="J12" s="101">
        <f t="shared" si="0"/>
        <v>0.91069274452816318</v>
      </c>
      <c r="K12" s="100"/>
      <c r="L12" s="101">
        <f t="shared" si="1"/>
        <v>0</v>
      </c>
      <c r="M12" s="100">
        <v>238496.41</v>
      </c>
      <c r="N12" s="101">
        <f t="shared" si="2"/>
        <v>8.9307255471836808E-2</v>
      </c>
    </row>
    <row r="13" spans="1:14">
      <c r="B13" s="321">
        <v>45944</v>
      </c>
      <c r="C13" s="317"/>
      <c r="D13" s="86">
        <v>45937</v>
      </c>
      <c r="E13" s="286" t="s">
        <v>120</v>
      </c>
      <c r="F13" s="97">
        <f t="shared" si="3"/>
        <v>0</v>
      </c>
      <c r="G13" s="315">
        <f>SUM(F13:F19)</f>
        <v>0</v>
      </c>
      <c r="H13" s="315"/>
      <c r="I13" s="100"/>
      <c r="J13" s="101" t="e">
        <f t="shared" si="0"/>
        <v>#DIV/0!</v>
      </c>
      <c r="K13" s="100"/>
      <c r="L13" s="101" t="e">
        <f t="shared" si="1"/>
        <v>#DIV/0!</v>
      </c>
      <c r="M13" s="100"/>
      <c r="N13" s="101" t="e">
        <f t="shared" si="2"/>
        <v>#DIV/0!</v>
      </c>
    </row>
    <row r="14" spans="1:14">
      <c r="B14" s="321"/>
      <c r="C14" s="317"/>
      <c r="D14" s="86">
        <v>45938</v>
      </c>
      <c r="E14" s="286" t="s">
        <v>114</v>
      </c>
      <c r="F14" s="97">
        <f t="shared" si="3"/>
        <v>0</v>
      </c>
      <c r="G14" s="315"/>
      <c r="H14" s="315"/>
      <c r="I14" s="100"/>
      <c r="J14" s="101" t="e">
        <f t="shared" si="0"/>
        <v>#DIV/0!</v>
      </c>
      <c r="K14" s="100"/>
      <c r="L14" s="101" t="e">
        <f t="shared" si="1"/>
        <v>#DIV/0!</v>
      </c>
      <c r="M14" s="100"/>
      <c r="N14" s="101" t="e">
        <f t="shared" si="2"/>
        <v>#DIV/0!</v>
      </c>
    </row>
    <row r="15" spans="1:14">
      <c r="B15" s="321"/>
      <c r="C15" s="317"/>
      <c r="D15" s="86">
        <v>45939</v>
      </c>
      <c r="E15" s="286" t="s">
        <v>115</v>
      </c>
      <c r="F15" s="97">
        <f t="shared" si="3"/>
        <v>0</v>
      </c>
      <c r="G15" s="315"/>
      <c r="H15" s="315"/>
      <c r="I15" s="100"/>
      <c r="J15" s="101" t="e">
        <f t="shared" si="0"/>
        <v>#DIV/0!</v>
      </c>
      <c r="K15" s="100"/>
      <c r="L15" s="101" t="e">
        <f t="shared" si="1"/>
        <v>#DIV/0!</v>
      </c>
      <c r="M15" s="100"/>
      <c r="N15" s="101" t="e">
        <f t="shared" si="2"/>
        <v>#DIV/0!</v>
      </c>
    </row>
    <row r="16" spans="1:14">
      <c r="B16" s="321"/>
      <c r="C16" s="317"/>
      <c r="D16" s="86">
        <v>45940</v>
      </c>
      <c r="E16" s="286" t="s">
        <v>116</v>
      </c>
      <c r="F16" s="97">
        <f t="shared" si="3"/>
        <v>0</v>
      </c>
      <c r="G16" s="315"/>
      <c r="H16" s="315"/>
      <c r="I16" s="100"/>
      <c r="J16" s="101" t="e">
        <f t="shared" si="0"/>
        <v>#DIV/0!</v>
      </c>
      <c r="K16" s="100"/>
      <c r="L16" s="101" t="e">
        <f t="shared" si="1"/>
        <v>#DIV/0!</v>
      </c>
      <c r="M16" s="100"/>
      <c r="N16" s="101" t="e">
        <f t="shared" si="2"/>
        <v>#DIV/0!</v>
      </c>
    </row>
    <row r="17" spans="2:14">
      <c r="B17" s="321"/>
      <c r="C17" s="317"/>
      <c r="D17" s="86">
        <v>45941</v>
      </c>
      <c r="E17" s="286" t="s">
        <v>117</v>
      </c>
      <c r="F17" s="97">
        <f t="shared" si="3"/>
        <v>0</v>
      </c>
      <c r="G17" s="315"/>
      <c r="H17" s="315"/>
      <c r="I17" s="100"/>
      <c r="J17" s="101" t="e">
        <f t="shared" si="0"/>
        <v>#DIV/0!</v>
      </c>
      <c r="K17" s="100"/>
      <c r="L17" s="101" t="e">
        <f t="shared" si="1"/>
        <v>#DIV/0!</v>
      </c>
      <c r="M17" s="100"/>
      <c r="N17" s="101" t="e">
        <f t="shared" si="2"/>
        <v>#DIV/0!</v>
      </c>
    </row>
    <row r="18" spans="2:14">
      <c r="B18" s="321"/>
      <c r="C18" s="317"/>
      <c r="D18" s="86">
        <v>45942</v>
      </c>
      <c r="E18" s="286" t="s">
        <v>118</v>
      </c>
      <c r="F18" s="97">
        <f t="shared" si="3"/>
        <v>0</v>
      </c>
      <c r="G18" s="315"/>
      <c r="H18" s="315"/>
      <c r="I18" s="100"/>
      <c r="J18" s="101" t="e">
        <f t="shared" si="0"/>
        <v>#DIV/0!</v>
      </c>
      <c r="K18" s="100"/>
      <c r="L18" s="101" t="e">
        <f t="shared" si="1"/>
        <v>#DIV/0!</v>
      </c>
      <c r="M18" s="100"/>
      <c r="N18" s="101" t="e">
        <f t="shared" si="2"/>
        <v>#DIV/0!</v>
      </c>
    </row>
    <row r="19" spans="2:14" ht="12">
      <c r="B19" s="321"/>
      <c r="C19" s="317"/>
      <c r="D19" s="86">
        <v>45943</v>
      </c>
      <c r="E19" s="86" t="s">
        <v>119</v>
      </c>
      <c r="F19" s="97">
        <f t="shared" si="3"/>
        <v>0</v>
      </c>
      <c r="G19" s="315"/>
      <c r="H19" s="315"/>
      <c r="I19" s="100"/>
      <c r="J19" s="101" t="e">
        <f t="shared" si="0"/>
        <v>#DIV/0!</v>
      </c>
      <c r="K19" s="100"/>
      <c r="L19" s="101" t="e">
        <f t="shared" si="1"/>
        <v>#DIV/0!</v>
      </c>
      <c r="M19" s="100"/>
      <c r="N19" s="101" t="e">
        <f t="shared" si="2"/>
        <v>#DIV/0!</v>
      </c>
    </row>
    <row r="20" spans="2:14">
      <c r="B20" s="321">
        <v>45951</v>
      </c>
      <c r="C20" s="317"/>
      <c r="D20" s="86">
        <v>45944</v>
      </c>
      <c r="E20" s="286" t="s">
        <v>120</v>
      </c>
      <c r="F20" s="97">
        <f t="shared" si="3"/>
        <v>0</v>
      </c>
      <c r="G20" s="315">
        <f>SUM(F20:F26)</f>
        <v>0</v>
      </c>
      <c r="H20" s="315"/>
      <c r="I20" s="100"/>
      <c r="J20" s="101" t="e">
        <f t="shared" si="0"/>
        <v>#DIV/0!</v>
      </c>
      <c r="K20" s="100"/>
      <c r="L20" s="101" t="e">
        <f t="shared" si="1"/>
        <v>#DIV/0!</v>
      </c>
      <c r="M20" s="100"/>
      <c r="N20" s="101" t="e">
        <f t="shared" si="2"/>
        <v>#DIV/0!</v>
      </c>
    </row>
    <row r="21" spans="2:14">
      <c r="B21" s="317"/>
      <c r="C21" s="317"/>
      <c r="D21" s="86">
        <v>45945</v>
      </c>
      <c r="E21" s="286" t="s">
        <v>114</v>
      </c>
      <c r="F21" s="97">
        <f t="shared" si="3"/>
        <v>0</v>
      </c>
      <c r="G21" s="315"/>
      <c r="H21" s="315"/>
      <c r="I21" s="100"/>
      <c r="J21" s="101" t="e">
        <f t="shared" si="0"/>
        <v>#DIV/0!</v>
      </c>
      <c r="K21" s="100"/>
      <c r="L21" s="101" t="e">
        <f t="shared" si="1"/>
        <v>#DIV/0!</v>
      </c>
      <c r="M21" s="100"/>
      <c r="N21" s="101" t="e">
        <f t="shared" si="2"/>
        <v>#DIV/0!</v>
      </c>
    </row>
    <row r="22" spans="2:14">
      <c r="B22" s="317"/>
      <c r="C22" s="317"/>
      <c r="D22" s="86">
        <v>45946</v>
      </c>
      <c r="E22" s="286" t="s">
        <v>115</v>
      </c>
      <c r="F22" s="97">
        <f t="shared" si="3"/>
        <v>0</v>
      </c>
      <c r="G22" s="315"/>
      <c r="H22" s="315"/>
      <c r="I22" s="100"/>
      <c r="J22" s="101" t="e">
        <f t="shared" si="0"/>
        <v>#DIV/0!</v>
      </c>
      <c r="K22" s="100"/>
      <c r="L22" s="101" t="e">
        <f t="shared" si="1"/>
        <v>#DIV/0!</v>
      </c>
      <c r="M22" s="100"/>
      <c r="N22" s="101" t="e">
        <f t="shared" si="2"/>
        <v>#DIV/0!</v>
      </c>
    </row>
    <row r="23" spans="2:14">
      <c r="B23" s="317"/>
      <c r="C23" s="317"/>
      <c r="D23" s="86">
        <v>45947</v>
      </c>
      <c r="E23" s="286" t="s">
        <v>116</v>
      </c>
      <c r="F23" s="97">
        <f t="shared" si="3"/>
        <v>0</v>
      </c>
      <c r="G23" s="315"/>
      <c r="H23" s="315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>
      <c r="B24" s="317"/>
      <c r="C24" s="317"/>
      <c r="D24" s="86">
        <v>45948</v>
      </c>
      <c r="E24" s="286" t="s">
        <v>117</v>
      </c>
      <c r="F24" s="97">
        <f t="shared" si="3"/>
        <v>0</v>
      </c>
      <c r="G24" s="315"/>
      <c r="H24" s="315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>
      <c r="B25" s="317"/>
      <c r="C25" s="317"/>
      <c r="D25" s="86">
        <v>45949</v>
      </c>
      <c r="E25" s="286" t="s">
        <v>118</v>
      </c>
      <c r="F25" s="97">
        <f t="shared" si="3"/>
        <v>0</v>
      </c>
      <c r="G25" s="315"/>
      <c r="H25" s="315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 ht="12">
      <c r="B26" s="317"/>
      <c r="C26" s="317"/>
      <c r="D26" s="86">
        <v>45950</v>
      </c>
      <c r="E26" s="86" t="s">
        <v>119</v>
      </c>
      <c r="F26" s="97">
        <f t="shared" si="3"/>
        <v>0</v>
      </c>
      <c r="G26" s="315"/>
      <c r="H26" s="315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>
      <c r="B27" s="321">
        <v>45958</v>
      </c>
      <c r="C27" s="317"/>
      <c r="D27" s="86">
        <v>45951</v>
      </c>
      <c r="E27" s="286" t="s">
        <v>120</v>
      </c>
      <c r="F27" s="97">
        <f t="shared" si="3"/>
        <v>0</v>
      </c>
      <c r="G27" s="315">
        <f>SUM(F27:F33)</f>
        <v>0</v>
      </c>
      <c r="H27" s="315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>
      <c r="B28" s="317"/>
      <c r="C28" s="317"/>
      <c r="D28" s="86">
        <v>45952</v>
      </c>
      <c r="E28" s="286" t="s">
        <v>114</v>
      </c>
      <c r="F28" s="97">
        <f t="shared" si="3"/>
        <v>0</v>
      </c>
      <c r="G28" s="315"/>
      <c r="H28" s="315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>
      <c r="B29" s="317"/>
      <c r="C29" s="317"/>
      <c r="D29" s="86">
        <v>45953</v>
      </c>
      <c r="E29" s="286" t="s">
        <v>115</v>
      </c>
      <c r="F29" s="97">
        <f t="shared" si="3"/>
        <v>0</v>
      </c>
      <c r="G29" s="315"/>
      <c r="H29" s="315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>
      <c r="B30" s="317"/>
      <c r="C30" s="317"/>
      <c r="D30" s="86">
        <v>45954</v>
      </c>
      <c r="E30" s="286" t="s">
        <v>116</v>
      </c>
      <c r="F30" s="97">
        <f t="shared" si="3"/>
        <v>0</v>
      </c>
      <c r="G30" s="315"/>
      <c r="H30" s="315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>
      <c r="B31" s="317"/>
      <c r="C31" s="317"/>
      <c r="D31" s="86">
        <v>45955</v>
      </c>
      <c r="E31" s="286" t="s">
        <v>117</v>
      </c>
      <c r="F31" s="97">
        <f t="shared" si="3"/>
        <v>0</v>
      </c>
      <c r="G31" s="315"/>
      <c r="H31" s="315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>
      <c r="B32" s="317"/>
      <c r="C32" s="317"/>
      <c r="D32" s="86">
        <v>45956</v>
      </c>
      <c r="E32" s="286" t="s">
        <v>118</v>
      </c>
      <c r="F32" s="97">
        <f t="shared" si="3"/>
        <v>0</v>
      </c>
      <c r="G32" s="315"/>
      <c r="H32" s="315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2">
      <c r="B33" s="317"/>
      <c r="C33" s="317"/>
      <c r="D33" s="86">
        <v>45957</v>
      </c>
      <c r="E33" s="86" t="s">
        <v>119</v>
      </c>
      <c r="F33" s="97">
        <f t="shared" si="3"/>
        <v>0</v>
      </c>
      <c r="G33" s="315"/>
      <c r="H33" s="315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>
      <c r="B34" s="83"/>
      <c r="C34" s="317"/>
      <c r="D34" s="86">
        <v>45958</v>
      </c>
      <c r="E34" s="286" t="s">
        <v>120</v>
      </c>
      <c r="F34" s="97">
        <f t="shared" si="3"/>
        <v>0</v>
      </c>
      <c r="G34" s="290"/>
      <c r="H34" s="315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>
      <c r="B35" s="83"/>
      <c r="C35" s="317"/>
      <c r="D35" s="86">
        <v>45959</v>
      </c>
      <c r="E35" s="286" t="s">
        <v>114</v>
      </c>
      <c r="F35" s="97">
        <f t="shared" si="3"/>
        <v>0</v>
      </c>
      <c r="G35" s="290"/>
      <c r="H35" s="315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>
      <c r="B36" s="83"/>
      <c r="C36" s="317"/>
      <c r="D36" s="86">
        <v>45960</v>
      </c>
      <c r="E36" s="286" t="s">
        <v>115</v>
      </c>
      <c r="F36" s="97">
        <f t="shared" si="3"/>
        <v>0</v>
      </c>
      <c r="G36" s="290"/>
      <c r="H36" s="315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>
      <c r="B37" s="83"/>
      <c r="C37" s="317"/>
      <c r="D37" s="86">
        <v>45961</v>
      </c>
      <c r="E37" s="286" t="s">
        <v>116</v>
      </c>
      <c r="F37" s="97">
        <f t="shared" si="3"/>
        <v>0</v>
      </c>
      <c r="G37" s="87"/>
      <c r="H37" s="315"/>
      <c r="I37" s="100"/>
      <c r="J37" s="101" t="e">
        <f t="shared" si="0"/>
        <v>#DIV/0!</v>
      </c>
      <c r="K37" s="100"/>
      <c r="L37" s="101" t="e">
        <f t="shared" si="1"/>
        <v>#DIV/0!</v>
      </c>
      <c r="M37" s="100"/>
      <c r="N37" s="101" t="e">
        <f t="shared" si="2"/>
        <v>#DIV/0!</v>
      </c>
    </row>
    <row r="38" spans="2:14" ht="12">
      <c r="B38" s="83"/>
      <c r="C38" s="79"/>
      <c r="D38" s="86"/>
      <c r="E38" s="86"/>
      <c r="F38" s="97">
        <f t="shared" si="3"/>
        <v>0</v>
      </c>
      <c r="G38" s="97"/>
      <c r="H38" s="97"/>
      <c r="J38" s="101" t="e">
        <f t="shared" si="0"/>
        <v>#DIV/0!</v>
      </c>
      <c r="L38" s="101" t="e">
        <f t="shared" si="1"/>
        <v>#DIV/0!</v>
      </c>
      <c r="N38" s="101" t="e">
        <f t="shared" si="2"/>
        <v>#DIV/0!</v>
      </c>
    </row>
    <row r="39" spans="2:14" ht="12">
      <c r="B39" s="317"/>
      <c r="C39" s="79"/>
      <c r="D39" s="86"/>
      <c r="E39" s="86"/>
      <c r="F39" s="97">
        <f t="shared" si="3"/>
        <v>0</v>
      </c>
      <c r="G39" s="97">
        <f t="shared" ref="G39" si="4">SUM(F39:F45)</f>
        <v>0</v>
      </c>
      <c r="H39" s="97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 ht="12">
      <c r="B40" s="317"/>
      <c r="C40" s="79"/>
      <c r="D40" s="86"/>
      <c r="E40" s="86"/>
      <c r="F40" s="97">
        <f t="shared" si="3"/>
        <v>0</v>
      </c>
      <c r="G40" s="97"/>
      <c r="H40" s="97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 ht="12">
      <c r="B41" s="317"/>
      <c r="C41" s="79"/>
      <c r="D41" s="86"/>
      <c r="E41" s="86"/>
      <c r="F41" s="97">
        <f t="shared" si="3"/>
        <v>0</v>
      </c>
      <c r="G41" s="97"/>
      <c r="H41" s="97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2">
      <c r="B42" s="317"/>
      <c r="C42" s="79"/>
      <c r="D42" s="86"/>
      <c r="E42" s="86"/>
      <c r="F42" s="97">
        <f t="shared" si="3"/>
        <v>0</v>
      </c>
      <c r="G42" s="97"/>
      <c r="H42" s="97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 ht="12">
      <c r="B43" s="317"/>
      <c r="C43" s="79"/>
      <c r="D43" s="86"/>
      <c r="E43" s="86"/>
      <c r="F43" s="97">
        <f t="shared" si="3"/>
        <v>0</v>
      </c>
      <c r="G43" s="97"/>
      <c r="H43" s="97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 ht="12">
      <c r="B44" s="317"/>
      <c r="C44" s="79"/>
      <c r="D44" s="86"/>
      <c r="E44" s="86"/>
      <c r="F44" s="97">
        <f t="shared" si="3"/>
        <v>0</v>
      </c>
      <c r="G44" s="97"/>
      <c r="H44" s="97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 ht="12">
      <c r="B45" s="317"/>
      <c r="C45" s="79"/>
      <c r="D45" s="86"/>
      <c r="E45" s="86"/>
      <c r="F45" s="97">
        <f t="shared" si="3"/>
        <v>0</v>
      </c>
      <c r="G45" s="97"/>
      <c r="H45" s="97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6">
    <mergeCell ref="B2:N2"/>
    <mergeCell ref="B39:B45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  <mergeCell ref="H5:H6"/>
    <mergeCell ref="I3:N3"/>
    <mergeCell ref="B7:B12"/>
    <mergeCell ref="B13:B19"/>
    <mergeCell ref="B20:B26"/>
    <mergeCell ref="B27:B33"/>
    <mergeCell ref="G7:G12"/>
    <mergeCell ref="G13:G19"/>
    <mergeCell ref="G20:G26"/>
    <mergeCell ref="G27:G33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4"/>
  <sheetViews>
    <sheetView tabSelected="1" topLeftCell="A2" zoomScale="85" zoomScaleNormal="85" workbookViewId="0">
      <selection activeCell="R18" sqref="R18"/>
    </sheetView>
  </sheetViews>
  <sheetFormatPr defaultColWidth="8.85546875" defaultRowHeight="14.2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65" t="s">
        <v>336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</row>
    <row r="3" spans="1:14" ht="25.35" customHeight="1">
      <c r="B3" s="334" t="s">
        <v>146</v>
      </c>
      <c r="C3" s="335" t="s">
        <v>143</v>
      </c>
      <c r="D3" s="336" t="s">
        <v>105</v>
      </c>
      <c r="E3" s="336"/>
      <c r="F3" s="339" t="s">
        <v>148</v>
      </c>
      <c r="G3" s="340"/>
      <c r="H3" s="340"/>
      <c r="I3" s="342" t="s">
        <v>334</v>
      </c>
      <c r="J3" s="343"/>
      <c r="K3" s="343"/>
      <c r="L3" s="343"/>
      <c r="M3" s="343"/>
      <c r="N3" s="344"/>
    </row>
    <row r="4" spans="1:14" ht="25.35" customHeight="1">
      <c r="B4" s="334"/>
      <c r="C4" s="335"/>
      <c r="D4" s="336"/>
      <c r="E4" s="336"/>
      <c r="F4" s="340"/>
      <c r="G4" s="340"/>
      <c r="H4" s="340"/>
      <c r="I4" s="341" t="s">
        <v>144</v>
      </c>
      <c r="J4" s="341"/>
      <c r="K4" s="341" t="s">
        <v>145</v>
      </c>
      <c r="L4" s="341"/>
      <c r="M4" s="341" t="s">
        <v>142</v>
      </c>
      <c r="N4" s="341"/>
    </row>
    <row r="5" spans="1:14" ht="25.35" customHeight="1">
      <c r="B5" s="334"/>
      <c r="C5" s="335"/>
      <c r="D5" s="336"/>
      <c r="E5" s="336"/>
      <c r="F5" s="338" t="s">
        <v>118</v>
      </c>
      <c r="G5" s="338" t="s">
        <v>122</v>
      </c>
      <c r="H5" s="338" t="s">
        <v>123</v>
      </c>
      <c r="I5" s="341" t="s">
        <v>136</v>
      </c>
      <c r="J5" s="341"/>
      <c r="K5" s="341" t="s">
        <v>136</v>
      </c>
      <c r="L5" s="341"/>
      <c r="M5" s="341" t="s">
        <v>136</v>
      </c>
      <c r="N5" s="341"/>
    </row>
    <row r="6" spans="1:14" s="82" customFormat="1" ht="23.45" customHeight="1">
      <c r="B6" s="334"/>
      <c r="C6" s="335"/>
      <c r="D6" s="336"/>
      <c r="E6" s="336"/>
      <c r="F6" s="338"/>
      <c r="G6" s="338"/>
      <c r="H6" s="338"/>
      <c r="I6" s="105" t="s">
        <v>149</v>
      </c>
      <c r="J6" s="99" t="s">
        <v>113</v>
      </c>
      <c r="K6" s="105" t="s">
        <v>149</v>
      </c>
      <c r="L6" s="99" t="s">
        <v>113</v>
      </c>
      <c r="M6" s="105" t="s">
        <v>149</v>
      </c>
      <c r="N6" s="99" t="s">
        <v>113</v>
      </c>
    </row>
    <row r="7" spans="1:14">
      <c r="B7" s="321">
        <v>45937</v>
      </c>
      <c r="C7" s="320" t="s">
        <v>565</v>
      </c>
      <c r="D7" s="86">
        <v>45931</v>
      </c>
      <c r="E7" s="286" t="s">
        <v>114</v>
      </c>
      <c r="F7" s="264">
        <f>SUM(I7,K7,M7)</f>
        <v>59618</v>
      </c>
      <c r="G7" s="322">
        <f>SUM(F7:F12)</f>
        <v>289645</v>
      </c>
      <c r="H7" s="322">
        <f>SUM(F7:F37)</f>
        <v>289645</v>
      </c>
      <c r="I7" s="546">
        <v>47989</v>
      </c>
      <c r="J7" s="101">
        <f t="shared" ref="J7:J37" si="0">I7/F7</f>
        <v>0.80494146063269478</v>
      </c>
      <c r="K7" s="106"/>
      <c r="L7" s="101">
        <f t="shared" ref="L7:L37" si="1">K7/F7</f>
        <v>0</v>
      </c>
      <c r="M7" s="546">
        <v>11629</v>
      </c>
      <c r="N7" s="101">
        <f t="shared" ref="N7:N37" si="2">M7/F7</f>
        <v>0.19505853936730519</v>
      </c>
    </row>
    <row r="8" spans="1:14">
      <c r="B8" s="321"/>
      <c r="C8" s="317"/>
      <c r="D8" s="86">
        <v>45932</v>
      </c>
      <c r="E8" s="286" t="s">
        <v>115</v>
      </c>
      <c r="F8" s="264">
        <f t="shared" ref="F8:F37" si="3">SUM(I8,K8,M8)</f>
        <v>51111</v>
      </c>
      <c r="G8" s="322"/>
      <c r="H8" s="322"/>
      <c r="I8" s="546">
        <v>44028</v>
      </c>
      <c r="J8" s="101">
        <f t="shared" si="0"/>
        <v>0.86141926395492163</v>
      </c>
      <c r="K8" s="106"/>
      <c r="L8" s="101">
        <f t="shared" si="1"/>
        <v>0</v>
      </c>
      <c r="M8" s="546">
        <v>7083</v>
      </c>
      <c r="N8" s="101">
        <f t="shared" si="2"/>
        <v>0.13858073604507837</v>
      </c>
    </row>
    <row r="9" spans="1:14">
      <c r="B9" s="321"/>
      <c r="C9" s="317"/>
      <c r="D9" s="86">
        <v>45933</v>
      </c>
      <c r="E9" s="286" t="s">
        <v>116</v>
      </c>
      <c r="F9" s="264">
        <f t="shared" si="3"/>
        <v>39570</v>
      </c>
      <c r="G9" s="322"/>
      <c r="H9" s="322"/>
      <c r="I9" s="546">
        <v>33924</v>
      </c>
      <c r="J9" s="101">
        <f t="shared" si="0"/>
        <v>0.85731614859742233</v>
      </c>
      <c r="K9" s="106"/>
      <c r="L9" s="101">
        <f t="shared" si="1"/>
        <v>0</v>
      </c>
      <c r="M9" s="546">
        <v>5646</v>
      </c>
      <c r="N9" s="101">
        <f t="shared" si="2"/>
        <v>0.14268385140257772</v>
      </c>
    </row>
    <row r="10" spans="1:14">
      <c r="B10" s="321"/>
      <c r="C10" s="317"/>
      <c r="D10" s="86">
        <v>45934</v>
      </c>
      <c r="E10" s="286" t="s">
        <v>117</v>
      </c>
      <c r="F10" s="264">
        <f t="shared" si="3"/>
        <v>39717</v>
      </c>
      <c r="G10" s="322"/>
      <c r="H10" s="322"/>
      <c r="I10" s="546">
        <v>33895</v>
      </c>
      <c r="J10" s="101">
        <f t="shared" si="0"/>
        <v>0.85341289624090444</v>
      </c>
      <c r="K10" s="106"/>
      <c r="L10" s="101">
        <f t="shared" si="1"/>
        <v>0</v>
      </c>
      <c r="M10" s="546">
        <v>5822</v>
      </c>
      <c r="N10" s="101">
        <f t="shared" si="2"/>
        <v>0.14658710375909559</v>
      </c>
    </row>
    <row r="11" spans="1:14">
      <c r="B11" s="321"/>
      <c r="C11" s="317"/>
      <c r="D11" s="86">
        <v>45935</v>
      </c>
      <c r="E11" s="286" t="s">
        <v>118</v>
      </c>
      <c r="F11" s="264">
        <f t="shared" si="3"/>
        <v>44134</v>
      </c>
      <c r="G11" s="322"/>
      <c r="H11" s="322"/>
      <c r="I11" s="546">
        <v>37758</v>
      </c>
      <c r="J11" s="101">
        <f t="shared" si="0"/>
        <v>0.85553088321928672</v>
      </c>
      <c r="K11" s="106"/>
      <c r="L11" s="101">
        <f t="shared" si="1"/>
        <v>0</v>
      </c>
      <c r="M11" s="546">
        <v>6376</v>
      </c>
      <c r="N11" s="101">
        <f t="shared" si="2"/>
        <v>0.14446911678071328</v>
      </c>
    </row>
    <row r="12" spans="1:14" ht="12">
      <c r="B12" s="321"/>
      <c r="C12" s="317"/>
      <c r="D12" s="86">
        <v>45936</v>
      </c>
      <c r="E12" s="86" t="s">
        <v>119</v>
      </c>
      <c r="F12" s="264">
        <f t="shared" si="3"/>
        <v>55495</v>
      </c>
      <c r="G12" s="322"/>
      <c r="H12" s="322"/>
      <c r="I12" s="546">
        <v>46852</v>
      </c>
      <c r="J12" s="101">
        <f t="shared" si="0"/>
        <v>0.84425623930083793</v>
      </c>
      <c r="K12" s="106"/>
      <c r="L12" s="101">
        <f t="shared" si="1"/>
        <v>0</v>
      </c>
      <c r="M12" s="546">
        <v>8643</v>
      </c>
      <c r="N12" s="101">
        <f t="shared" si="2"/>
        <v>0.1557437606991621</v>
      </c>
    </row>
    <row r="13" spans="1:14">
      <c r="B13" s="321">
        <v>45944</v>
      </c>
      <c r="C13" s="317"/>
      <c r="D13" s="86">
        <v>45937</v>
      </c>
      <c r="E13" s="286" t="s">
        <v>120</v>
      </c>
      <c r="F13" s="264">
        <f t="shared" si="3"/>
        <v>0</v>
      </c>
      <c r="G13" s="322">
        <f>SUM(F13:F18)</f>
        <v>0</v>
      </c>
      <c r="H13" s="322"/>
      <c r="I13" s="106"/>
      <c r="J13" s="101" t="e">
        <f t="shared" si="0"/>
        <v>#DIV/0!</v>
      </c>
      <c r="K13" s="106"/>
      <c r="L13" s="101" t="e">
        <f t="shared" si="1"/>
        <v>#DIV/0!</v>
      </c>
      <c r="M13" s="106"/>
      <c r="N13" s="101" t="e">
        <f t="shared" si="2"/>
        <v>#DIV/0!</v>
      </c>
    </row>
    <row r="14" spans="1:14">
      <c r="B14" s="321"/>
      <c r="C14" s="317"/>
      <c r="D14" s="86">
        <v>45938</v>
      </c>
      <c r="E14" s="286" t="s">
        <v>114</v>
      </c>
      <c r="F14" s="264">
        <f t="shared" si="3"/>
        <v>0</v>
      </c>
      <c r="G14" s="322"/>
      <c r="H14" s="322"/>
      <c r="I14" s="106"/>
      <c r="J14" s="101" t="e">
        <f t="shared" si="0"/>
        <v>#DIV/0!</v>
      </c>
      <c r="K14" s="106"/>
      <c r="L14" s="101" t="e">
        <f t="shared" si="1"/>
        <v>#DIV/0!</v>
      </c>
      <c r="M14" s="106"/>
      <c r="N14" s="101" t="e">
        <f t="shared" si="2"/>
        <v>#DIV/0!</v>
      </c>
    </row>
    <row r="15" spans="1:14">
      <c r="B15" s="321"/>
      <c r="C15" s="317"/>
      <c r="D15" s="86">
        <v>45939</v>
      </c>
      <c r="E15" s="286" t="s">
        <v>115</v>
      </c>
      <c r="F15" s="264">
        <f t="shared" si="3"/>
        <v>0</v>
      </c>
      <c r="G15" s="322"/>
      <c r="H15" s="322"/>
      <c r="I15" s="106"/>
      <c r="J15" s="101" t="e">
        <f t="shared" si="0"/>
        <v>#DIV/0!</v>
      </c>
      <c r="K15" s="106"/>
      <c r="L15" s="101" t="e">
        <f t="shared" si="1"/>
        <v>#DIV/0!</v>
      </c>
      <c r="M15" s="106"/>
      <c r="N15" s="101" t="e">
        <f t="shared" si="2"/>
        <v>#DIV/0!</v>
      </c>
    </row>
    <row r="16" spans="1:14">
      <c r="B16" s="321"/>
      <c r="C16" s="317"/>
      <c r="D16" s="86">
        <v>45940</v>
      </c>
      <c r="E16" s="286" t="s">
        <v>116</v>
      </c>
      <c r="F16" s="264">
        <f t="shared" si="3"/>
        <v>0</v>
      </c>
      <c r="G16" s="322"/>
      <c r="H16" s="322"/>
      <c r="I16" s="106"/>
      <c r="J16" s="101" t="e">
        <f t="shared" si="0"/>
        <v>#DIV/0!</v>
      </c>
      <c r="K16" s="106"/>
      <c r="L16" s="101" t="e">
        <f t="shared" si="1"/>
        <v>#DIV/0!</v>
      </c>
      <c r="M16" s="106"/>
      <c r="N16" s="101" t="e">
        <f t="shared" si="2"/>
        <v>#DIV/0!</v>
      </c>
    </row>
    <row r="17" spans="2:14">
      <c r="B17" s="321"/>
      <c r="C17" s="317"/>
      <c r="D17" s="86">
        <v>45941</v>
      </c>
      <c r="E17" s="286" t="s">
        <v>117</v>
      </c>
      <c r="F17" s="264">
        <f t="shared" si="3"/>
        <v>0</v>
      </c>
      <c r="G17" s="322"/>
      <c r="H17" s="322"/>
      <c r="I17" s="106"/>
      <c r="J17" s="101" t="e">
        <f t="shared" si="0"/>
        <v>#DIV/0!</v>
      </c>
      <c r="K17" s="106"/>
      <c r="L17" s="101" t="e">
        <f t="shared" si="1"/>
        <v>#DIV/0!</v>
      </c>
      <c r="M17" s="106"/>
      <c r="N17" s="101" t="e">
        <f t="shared" si="2"/>
        <v>#DIV/0!</v>
      </c>
    </row>
    <row r="18" spans="2:14">
      <c r="B18" s="321"/>
      <c r="C18" s="317"/>
      <c r="D18" s="86">
        <v>45942</v>
      </c>
      <c r="E18" s="286" t="s">
        <v>118</v>
      </c>
      <c r="F18" s="264">
        <f t="shared" si="3"/>
        <v>0</v>
      </c>
      <c r="G18" s="322"/>
      <c r="H18" s="322"/>
      <c r="I18" s="106"/>
      <c r="J18" s="101" t="e">
        <f t="shared" si="0"/>
        <v>#DIV/0!</v>
      </c>
      <c r="K18" s="106"/>
      <c r="L18" s="101" t="e">
        <f t="shared" si="1"/>
        <v>#DIV/0!</v>
      </c>
      <c r="M18" s="106"/>
      <c r="N18" s="101" t="e">
        <f t="shared" si="2"/>
        <v>#DIV/0!</v>
      </c>
    </row>
    <row r="19" spans="2:14" ht="12">
      <c r="B19" s="321"/>
      <c r="C19" s="317"/>
      <c r="D19" s="86">
        <v>45943</v>
      </c>
      <c r="E19" s="86" t="s">
        <v>119</v>
      </c>
      <c r="F19" s="264">
        <f t="shared" si="3"/>
        <v>0</v>
      </c>
      <c r="G19" s="322"/>
      <c r="H19" s="322"/>
      <c r="I19" s="106"/>
      <c r="J19" s="101" t="e">
        <f t="shared" si="0"/>
        <v>#DIV/0!</v>
      </c>
      <c r="K19" s="106"/>
      <c r="L19" s="101" t="e">
        <f t="shared" si="1"/>
        <v>#DIV/0!</v>
      </c>
      <c r="M19" s="106"/>
      <c r="N19" s="101" t="e">
        <f t="shared" si="2"/>
        <v>#DIV/0!</v>
      </c>
    </row>
    <row r="20" spans="2:14">
      <c r="B20" s="321">
        <v>45951</v>
      </c>
      <c r="C20" s="317"/>
      <c r="D20" s="86">
        <v>45944</v>
      </c>
      <c r="E20" s="286" t="s">
        <v>120</v>
      </c>
      <c r="F20" s="264">
        <f t="shared" si="3"/>
        <v>0</v>
      </c>
      <c r="G20" s="322">
        <f t="shared" ref="G20" si="4">SUM(F20:F25)</f>
        <v>0</v>
      </c>
      <c r="H20" s="322"/>
      <c r="I20" s="106"/>
      <c r="J20" s="101" t="e">
        <f t="shared" si="0"/>
        <v>#DIV/0!</v>
      </c>
      <c r="K20" s="106"/>
      <c r="L20" s="101" t="e">
        <f t="shared" si="1"/>
        <v>#DIV/0!</v>
      </c>
      <c r="M20" s="106"/>
      <c r="N20" s="101" t="e">
        <f t="shared" si="2"/>
        <v>#DIV/0!</v>
      </c>
    </row>
    <row r="21" spans="2:14">
      <c r="B21" s="317"/>
      <c r="C21" s="317"/>
      <c r="D21" s="86">
        <v>45945</v>
      </c>
      <c r="E21" s="286" t="s">
        <v>114</v>
      </c>
      <c r="F21" s="264">
        <f t="shared" si="3"/>
        <v>0</v>
      </c>
      <c r="G21" s="322"/>
      <c r="H21" s="322"/>
      <c r="I21" s="106"/>
      <c r="J21" s="101" t="e">
        <f t="shared" si="0"/>
        <v>#DIV/0!</v>
      </c>
      <c r="K21" s="106"/>
      <c r="L21" s="101" t="e">
        <f t="shared" si="1"/>
        <v>#DIV/0!</v>
      </c>
      <c r="M21" s="106"/>
      <c r="N21" s="101" t="e">
        <f t="shared" si="2"/>
        <v>#DIV/0!</v>
      </c>
    </row>
    <row r="22" spans="2:14">
      <c r="B22" s="317"/>
      <c r="C22" s="317"/>
      <c r="D22" s="86">
        <v>45946</v>
      </c>
      <c r="E22" s="286" t="s">
        <v>115</v>
      </c>
      <c r="F22" s="264">
        <f t="shared" si="3"/>
        <v>0</v>
      </c>
      <c r="G22" s="322"/>
      <c r="H22" s="322"/>
      <c r="I22" s="106"/>
      <c r="J22" s="101" t="e">
        <f t="shared" si="0"/>
        <v>#DIV/0!</v>
      </c>
      <c r="K22" s="106"/>
      <c r="L22" s="101" t="e">
        <f t="shared" si="1"/>
        <v>#DIV/0!</v>
      </c>
      <c r="M22" s="106"/>
      <c r="N22" s="101" t="e">
        <f t="shared" si="2"/>
        <v>#DIV/0!</v>
      </c>
    </row>
    <row r="23" spans="2:14">
      <c r="B23" s="317"/>
      <c r="C23" s="317"/>
      <c r="D23" s="86">
        <v>45947</v>
      </c>
      <c r="E23" s="286" t="s">
        <v>116</v>
      </c>
      <c r="F23" s="264">
        <f t="shared" si="3"/>
        <v>0</v>
      </c>
      <c r="G23" s="322"/>
      <c r="H23" s="322"/>
      <c r="I23" s="106"/>
      <c r="J23" s="101" t="e">
        <f t="shared" si="0"/>
        <v>#DIV/0!</v>
      </c>
      <c r="K23" s="106"/>
      <c r="L23" s="101" t="e">
        <f t="shared" si="1"/>
        <v>#DIV/0!</v>
      </c>
      <c r="M23" s="106"/>
      <c r="N23" s="101" t="e">
        <f t="shared" si="2"/>
        <v>#DIV/0!</v>
      </c>
    </row>
    <row r="24" spans="2:14">
      <c r="B24" s="317"/>
      <c r="C24" s="317"/>
      <c r="D24" s="86">
        <v>45948</v>
      </c>
      <c r="E24" s="286" t="s">
        <v>117</v>
      </c>
      <c r="F24" s="264">
        <f t="shared" si="3"/>
        <v>0</v>
      </c>
      <c r="G24" s="322"/>
      <c r="H24" s="322"/>
      <c r="I24" s="106"/>
      <c r="J24" s="101" t="e">
        <f t="shared" si="0"/>
        <v>#DIV/0!</v>
      </c>
      <c r="K24" s="106"/>
      <c r="L24" s="101" t="e">
        <f t="shared" si="1"/>
        <v>#DIV/0!</v>
      </c>
      <c r="M24" s="106"/>
      <c r="N24" s="101" t="e">
        <f t="shared" si="2"/>
        <v>#DIV/0!</v>
      </c>
    </row>
    <row r="25" spans="2:14">
      <c r="B25" s="317"/>
      <c r="C25" s="317"/>
      <c r="D25" s="86">
        <v>45949</v>
      </c>
      <c r="E25" s="286" t="s">
        <v>118</v>
      </c>
      <c r="F25" s="264">
        <f t="shared" si="3"/>
        <v>0</v>
      </c>
      <c r="G25" s="322"/>
      <c r="H25" s="322"/>
      <c r="I25" s="106"/>
      <c r="J25" s="101" t="e">
        <f t="shared" si="0"/>
        <v>#DIV/0!</v>
      </c>
      <c r="K25" s="106"/>
      <c r="L25" s="101" t="e">
        <f t="shared" si="1"/>
        <v>#DIV/0!</v>
      </c>
      <c r="M25" s="106"/>
      <c r="N25" s="101" t="e">
        <f t="shared" si="2"/>
        <v>#DIV/0!</v>
      </c>
    </row>
    <row r="26" spans="2:14" ht="12">
      <c r="B26" s="317"/>
      <c r="C26" s="317"/>
      <c r="D26" s="86">
        <v>45950</v>
      </c>
      <c r="E26" s="86" t="s">
        <v>119</v>
      </c>
      <c r="F26" s="264">
        <f t="shared" si="3"/>
        <v>0</v>
      </c>
      <c r="G26" s="322"/>
      <c r="H26" s="322"/>
      <c r="I26" s="106"/>
      <c r="J26" s="101" t="e">
        <f t="shared" si="0"/>
        <v>#DIV/0!</v>
      </c>
      <c r="K26" s="106"/>
      <c r="L26" s="101" t="e">
        <f t="shared" si="1"/>
        <v>#DIV/0!</v>
      </c>
      <c r="M26" s="106"/>
      <c r="N26" s="101" t="e">
        <f t="shared" si="2"/>
        <v>#DIV/0!</v>
      </c>
    </row>
    <row r="27" spans="2:14">
      <c r="B27" s="321">
        <v>45958</v>
      </c>
      <c r="C27" s="317"/>
      <c r="D27" s="86">
        <v>45951</v>
      </c>
      <c r="E27" s="286" t="s">
        <v>120</v>
      </c>
      <c r="F27" s="264">
        <f t="shared" si="3"/>
        <v>0</v>
      </c>
      <c r="G27" s="322">
        <f t="shared" ref="G27" si="5">SUM(F27:F32)</f>
        <v>0</v>
      </c>
      <c r="H27" s="322"/>
      <c r="I27" s="106"/>
      <c r="J27" s="101" t="e">
        <f t="shared" si="0"/>
        <v>#DIV/0!</v>
      </c>
      <c r="K27" s="106"/>
      <c r="L27" s="101" t="e">
        <f t="shared" si="1"/>
        <v>#DIV/0!</v>
      </c>
      <c r="M27" s="106"/>
      <c r="N27" s="101" t="e">
        <f t="shared" si="2"/>
        <v>#DIV/0!</v>
      </c>
    </row>
    <row r="28" spans="2:14">
      <c r="B28" s="317"/>
      <c r="C28" s="317"/>
      <c r="D28" s="86">
        <v>45952</v>
      </c>
      <c r="E28" s="286" t="s">
        <v>114</v>
      </c>
      <c r="F28" s="264">
        <f t="shared" si="3"/>
        <v>0</v>
      </c>
      <c r="G28" s="322"/>
      <c r="H28" s="322"/>
      <c r="I28" s="106"/>
      <c r="J28" s="101" t="e">
        <f t="shared" si="0"/>
        <v>#DIV/0!</v>
      </c>
      <c r="K28" s="106"/>
      <c r="L28" s="101" t="e">
        <f t="shared" si="1"/>
        <v>#DIV/0!</v>
      </c>
      <c r="M28" s="106"/>
      <c r="N28" s="101" t="e">
        <f t="shared" si="2"/>
        <v>#DIV/0!</v>
      </c>
    </row>
    <row r="29" spans="2:14">
      <c r="B29" s="317"/>
      <c r="C29" s="317"/>
      <c r="D29" s="86">
        <v>45953</v>
      </c>
      <c r="E29" s="286" t="s">
        <v>115</v>
      </c>
      <c r="F29" s="264">
        <f t="shared" si="3"/>
        <v>0</v>
      </c>
      <c r="G29" s="322"/>
      <c r="H29" s="322"/>
      <c r="I29" s="106"/>
      <c r="J29" s="101" t="e">
        <f t="shared" si="0"/>
        <v>#DIV/0!</v>
      </c>
      <c r="K29" s="106"/>
      <c r="L29" s="101" t="e">
        <f t="shared" si="1"/>
        <v>#DIV/0!</v>
      </c>
      <c r="M29" s="106"/>
      <c r="N29" s="101" t="e">
        <f t="shared" si="2"/>
        <v>#DIV/0!</v>
      </c>
    </row>
    <row r="30" spans="2:14">
      <c r="B30" s="317"/>
      <c r="C30" s="317"/>
      <c r="D30" s="86">
        <v>45954</v>
      </c>
      <c r="E30" s="286" t="s">
        <v>116</v>
      </c>
      <c r="F30" s="264">
        <f t="shared" si="3"/>
        <v>0</v>
      </c>
      <c r="G30" s="322"/>
      <c r="H30" s="322"/>
      <c r="I30" s="106"/>
      <c r="J30" s="101" t="e">
        <f t="shared" si="0"/>
        <v>#DIV/0!</v>
      </c>
      <c r="K30" s="106"/>
      <c r="L30" s="101" t="e">
        <f t="shared" si="1"/>
        <v>#DIV/0!</v>
      </c>
      <c r="M30" s="106"/>
      <c r="N30" s="101" t="e">
        <f t="shared" si="2"/>
        <v>#DIV/0!</v>
      </c>
    </row>
    <row r="31" spans="2:14">
      <c r="B31" s="317"/>
      <c r="C31" s="317"/>
      <c r="D31" s="86">
        <v>45955</v>
      </c>
      <c r="E31" s="286" t="s">
        <v>117</v>
      </c>
      <c r="F31" s="264">
        <f t="shared" si="3"/>
        <v>0</v>
      </c>
      <c r="G31" s="322"/>
      <c r="H31" s="322"/>
      <c r="I31" s="106"/>
      <c r="J31" s="101" t="e">
        <f t="shared" si="0"/>
        <v>#DIV/0!</v>
      </c>
      <c r="K31" s="106"/>
      <c r="L31" s="101" t="e">
        <f t="shared" si="1"/>
        <v>#DIV/0!</v>
      </c>
      <c r="M31" s="106"/>
      <c r="N31" s="101" t="e">
        <f t="shared" si="2"/>
        <v>#DIV/0!</v>
      </c>
    </row>
    <row r="32" spans="2:14">
      <c r="B32" s="317"/>
      <c r="C32" s="317"/>
      <c r="D32" s="86">
        <v>45956</v>
      </c>
      <c r="E32" s="286" t="s">
        <v>118</v>
      </c>
      <c r="F32" s="264">
        <f t="shared" si="3"/>
        <v>0</v>
      </c>
      <c r="G32" s="322"/>
      <c r="H32" s="322"/>
      <c r="I32" s="106"/>
      <c r="J32" s="101" t="e">
        <f t="shared" si="0"/>
        <v>#DIV/0!</v>
      </c>
      <c r="K32" s="106"/>
      <c r="L32" s="101" t="e">
        <f t="shared" si="1"/>
        <v>#DIV/0!</v>
      </c>
      <c r="M32" s="106"/>
      <c r="N32" s="101" t="e">
        <f t="shared" si="2"/>
        <v>#DIV/0!</v>
      </c>
    </row>
    <row r="33" spans="2:14" ht="12">
      <c r="B33" s="317"/>
      <c r="C33" s="317"/>
      <c r="D33" s="86">
        <v>45957</v>
      </c>
      <c r="E33" s="86" t="s">
        <v>119</v>
      </c>
      <c r="F33" s="264">
        <f t="shared" si="3"/>
        <v>0</v>
      </c>
      <c r="G33" s="322"/>
      <c r="H33" s="322"/>
      <c r="I33" s="106"/>
      <c r="J33" s="101" t="e">
        <f t="shared" si="0"/>
        <v>#DIV/0!</v>
      </c>
      <c r="K33" s="106"/>
      <c r="L33" s="101" t="e">
        <f t="shared" si="1"/>
        <v>#DIV/0!</v>
      </c>
      <c r="M33" s="106"/>
      <c r="N33" s="101" t="e">
        <f t="shared" si="2"/>
        <v>#DIV/0!</v>
      </c>
    </row>
    <row r="34" spans="2:14">
      <c r="B34" s="83"/>
      <c r="C34" s="317"/>
      <c r="D34" s="86">
        <v>45958</v>
      </c>
      <c r="E34" s="286" t="s">
        <v>120</v>
      </c>
      <c r="F34" s="264">
        <f t="shared" si="3"/>
        <v>0</v>
      </c>
      <c r="G34" s="297"/>
      <c r="H34" s="322"/>
      <c r="I34" s="106"/>
      <c r="J34" s="101" t="e">
        <f t="shared" si="0"/>
        <v>#DIV/0!</v>
      </c>
      <c r="K34" s="106"/>
      <c r="L34" s="101" t="e">
        <f t="shared" si="1"/>
        <v>#DIV/0!</v>
      </c>
      <c r="M34" s="106"/>
      <c r="N34" s="101" t="e">
        <f t="shared" si="2"/>
        <v>#DIV/0!</v>
      </c>
    </row>
    <row r="35" spans="2:14">
      <c r="B35" s="83"/>
      <c r="C35" s="317"/>
      <c r="D35" s="86">
        <v>45959</v>
      </c>
      <c r="E35" s="286" t="s">
        <v>114</v>
      </c>
      <c r="F35" s="264">
        <f t="shared" si="3"/>
        <v>0</v>
      </c>
      <c r="G35" s="297"/>
      <c r="H35" s="322"/>
      <c r="I35" s="106"/>
      <c r="J35" s="101" t="e">
        <f t="shared" si="0"/>
        <v>#DIV/0!</v>
      </c>
      <c r="K35" s="106"/>
      <c r="L35" s="101" t="e">
        <f t="shared" si="1"/>
        <v>#DIV/0!</v>
      </c>
      <c r="M35" s="106"/>
      <c r="N35" s="101" t="e">
        <f t="shared" si="2"/>
        <v>#DIV/0!</v>
      </c>
    </row>
    <row r="36" spans="2:14">
      <c r="B36" s="83"/>
      <c r="C36" s="317"/>
      <c r="D36" s="86">
        <v>45960</v>
      </c>
      <c r="E36" s="286" t="s">
        <v>115</v>
      </c>
      <c r="F36" s="264">
        <f t="shared" si="3"/>
        <v>0</v>
      </c>
      <c r="G36" s="297"/>
      <c r="H36" s="322"/>
      <c r="I36" s="106"/>
      <c r="J36" s="101" t="e">
        <f t="shared" si="0"/>
        <v>#DIV/0!</v>
      </c>
      <c r="K36" s="106"/>
      <c r="L36" s="101" t="e">
        <f t="shared" si="1"/>
        <v>#DIV/0!</v>
      </c>
      <c r="M36" s="106"/>
      <c r="N36" s="101" t="e">
        <f t="shared" si="2"/>
        <v>#DIV/0!</v>
      </c>
    </row>
    <row r="37" spans="2:14">
      <c r="B37" s="83"/>
      <c r="C37" s="317"/>
      <c r="D37" s="86">
        <v>45961</v>
      </c>
      <c r="E37" s="286" t="s">
        <v>116</v>
      </c>
      <c r="F37" s="264">
        <f t="shared" si="3"/>
        <v>0</v>
      </c>
      <c r="G37" s="297"/>
      <c r="H37" s="322"/>
      <c r="I37" s="106"/>
      <c r="J37" s="101" t="e">
        <f t="shared" si="0"/>
        <v>#DIV/0!</v>
      </c>
      <c r="K37" s="106"/>
      <c r="L37" s="101" t="e">
        <f t="shared" si="1"/>
        <v>#DIV/0!</v>
      </c>
      <c r="M37" s="106"/>
      <c r="N37" s="101" t="e">
        <f t="shared" si="2"/>
        <v>#DIV/0!</v>
      </c>
    </row>
    <row r="38" spans="2:14" ht="12">
      <c r="B38" s="83"/>
      <c r="C38" s="79"/>
      <c r="D38" s="82"/>
      <c r="F38" s="88"/>
      <c r="G38" s="88"/>
      <c r="H38" s="88"/>
    </row>
    <row r="39" spans="2:14" ht="12">
      <c r="B39" s="83"/>
      <c r="C39" s="79"/>
      <c r="D39" s="82"/>
      <c r="F39" s="88"/>
      <c r="G39" s="88"/>
      <c r="H39" s="88"/>
    </row>
    <row r="40" spans="2:14" ht="12">
      <c r="B40" s="83"/>
      <c r="C40" s="79"/>
      <c r="D40" s="82"/>
      <c r="F40" s="88"/>
      <c r="G40" s="88"/>
      <c r="H40" s="88"/>
    </row>
    <row r="41" spans="2:14" ht="12">
      <c r="B41" s="83"/>
      <c r="C41" s="79"/>
      <c r="D41" s="82"/>
      <c r="F41" s="88"/>
      <c r="G41" s="88"/>
      <c r="H41" s="88"/>
    </row>
    <row r="42" spans="2:14" ht="12">
      <c r="B42" s="83"/>
      <c r="C42" s="79"/>
      <c r="D42" s="82"/>
    </row>
    <row r="43" spans="2:14" ht="12">
      <c r="B43" s="83"/>
      <c r="C43" s="79"/>
      <c r="D43" s="82"/>
    </row>
    <row r="44" spans="2:14" ht="12">
      <c r="B44" s="83"/>
      <c r="C44" s="79"/>
      <c r="D44" s="82"/>
    </row>
    <row r="45" spans="2:14" ht="12">
      <c r="B45" s="83"/>
      <c r="C45" s="79"/>
      <c r="D45" s="82"/>
    </row>
    <row r="46" spans="2:14" ht="12">
      <c r="B46" s="83"/>
      <c r="C46" s="79"/>
      <c r="D46" s="82"/>
    </row>
    <row r="47" spans="2:14" ht="12">
      <c r="B47" s="83"/>
      <c r="C47" s="79"/>
      <c r="D47" s="82"/>
    </row>
    <row r="48" spans="2:14" ht="12">
      <c r="B48" s="83"/>
      <c r="C48" s="79"/>
      <c r="D48" s="82"/>
    </row>
    <row r="49" spans="2:4" ht="12">
      <c r="B49" s="83"/>
      <c r="C49" s="79"/>
      <c r="D49" s="82"/>
    </row>
    <row r="50" spans="2:4" ht="12">
      <c r="B50" s="83"/>
      <c r="C50" s="79"/>
      <c r="D50" s="82"/>
    </row>
    <row r="51" spans="2:4" ht="12">
      <c r="B51" s="83"/>
      <c r="C51" s="79"/>
      <c r="D51" s="82"/>
    </row>
    <row r="52" spans="2:4" ht="12">
      <c r="B52" s="83"/>
      <c r="C52" s="79"/>
      <c r="D52" s="82"/>
    </row>
    <row r="53" spans="2:4" ht="12">
      <c r="B53" s="83"/>
      <c r="C53" s="79"/>
      <c r="D53" s="82"/>
    </row>
    <row r="54" spans="2:4" ht="12">
      <c r="B54" s="83"/>
      <c r="C54" s="79"/>
      <c r="D54" s="82"/>
    </row>
    <row r="55" spans="2:4" ht="12">
      <c r="B55" s="83"/>
      <c r="C55" s="79"/>
      <c r="D55" s="82"/>
    </row>
    <row r="56" spans="2:4" ht="12">
      <c r="B56" s="83"/>
      <c r="C56" s="79"/>
      <c r="D56" s="82"/>
    </row>
    <row r="57" spans="2:4" ht="12">
      <c r="B57" s="83"/>
      <c r="C57" s="79"/>
      <c r="D57" s="82"/>
    </row>
    <row r="58" spans="2:4" ht="12">
      <c r="B58" s="83"/>
      <c r="C58" s="79"/>
      <c r="D58" s="82"/>
    </row>
    <row r="59" spans="2:4" ht="12">
      <c r="B59" s="83"/>
      <c r="C59" s="79"/>
      <c r="D59" s="82"/>
    </row>
    <row r="60" spans="2:4" ht="12">
      <c r="B60" s="83"/>
      <c r="C60" s="79"/>
      <c r="D60" s="82"/>
    </row>
    <row r="61" spans="2:4" ht="12">
      <c r="B61" s="83"/>
      <c r="C61" s="79"/>
      <c r="D61" s="82"/>
    </row>
    <row r="62" spans="2:4" ht="12">
      <c r="B62" s="83"/>
      <c r="C62" s="79"/>
      <c r="D62" s="82"/>
    </row>
    <row r="63" spans="2:4" ht="12">
      <c r="B63" s="83"/>
      <c r="C63" s="79"/>
      <c r="D63" s="82"/>
    </row>
    <row r="64" spans="2:4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</sheetData>
  <mergeCells count="24">
    <mergeCell ref="I4:J4"/>
    <mergeCell ref="M4:N4"/>
    <mergeCell ref="I3:N3"/>
    <mergeCell ref="K4:L4"/>
    <mergeCell ref="K5:L5"/>
    <mergeCell ref="M5:N5"/>
    <mergeCell ref="I5:J5"/>
    <mergeCell ref="F5:F6"/>
    <mergeCell ref="C7:C37"/>
    <mergeCell ref="C3:C6"/>
    <mergeCell ref="G5:G6"/>
    <mergeCell ref="H5:H6"/>
    <mergeCell ref="F3:H4"/>
    <mergeCell ref="D3:E6"/>
    <mergeCell ref="G7:G12"/>
    <mergeCell ref="G13:G19"/>
    <mergeCell ref="G20:G26"/>
    <mergeCell ref="G27:G33"/>
    <mergeCell ref="H7:H37"/>
    <mergeCell ref="B3:B6"/>
    <mergeCell ref="B7:B12"/>
    <mergeCell ref="B13:B19"/>
    <mergeCell ref="B20:B26"/>
    <mergeCell ref="B27:B33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13"/>
  <sheetViews>
    <sheetView zoomScale="85" zoomScaleNormal="85" workbookViewId="0">
      <pane xSplit="4" topLeftCell="AB1" activePane="topRight" state="frozen"/>
      <selection pane="topRight" activeCell="M7" sqref="M7:M20"/>
    </sheetView>
  </sheetViews>
  <sheetFormatPr defaultColWidth="8.85546875" defaultRowHeight="12.75"/>
  <cols>
    <col min="1" max="1" width="5.5703125" style="270" customWidth="1"/>
    <col min="2" max="2" width="12.42578125" style="270" customWidth="1"/>
    <col min="3" max="3" width="8.85546875" style="269"/>
    <col min="4" max="4" width="26.42578125" style="269" customWidth="1"/>
    <col min="5" max="7" width="8.42578125" style="269" customWidth="1"/>
    <col min="8" max="8" width="11.140625" style="269" bestFit="1" customWidth="1"/>
    <col min="9" max="12" width="11.140625" style="269" customWidth="1"/>
    <col min="13" max="13" width="13.5703125" style="269" customWidth="1"/>
    <col min="14" max="14" width="9.85546875" style="269" customWidth="1"/>
    <col min="15" max="15" width="7.140625" style="269" customWidth="1"/>
    <col min="16" max="18" width="12.85546875" style="269" customWidth="1"/>
    <col min="19" max="19" width="5.42578125" style="269" customWidth="1"/>
    <col min="20" max="20" width="12.85546875" style="269" customWidth="1"/>
    <col min="21" max="23" width="12.85546875" style="270" customWidth="1"/>
    <col min="24" max="24" width="5.42578125" style="269" customWidth="1"/>
    <col min="25" max="28" width="12.85546875" style="270" customWidth="1"/>
    <col min="29" max="29" width="7.7109375" style="269" bestFit="1" customWidth="1"/>
    <col min="30" max="30" width="12.85546875" style="270" customWidth="1"/>
    <col min="31" max="33" width="12.5703125" style="270" customWidth="1"/>
    <col min="34" max="34" width="7.7109375" style="269" bestFit="1" customWidth="1"/>
    <col min="35" max="35" width="13" style="270" customWidth="1"/>
    <col min="36" max="38" width="12.5703125" style="270" customWidth="1"/>
    <col min="39" max="39" width="5.42578125" style="269" customWidth="1"/>
    <col min="40" max="40" width="13" style="270" customWidth="1"/>
    <col min="41" max="43" width="13.140625" style="270" customWidth="1"/>
    <col min="44" max="44" width="5.42578125" style="270" customWidth="1"/>
    <col min="45" max="48" width="13.140625" style="270" customWidth="1"/>
    <col min="49" max="49" width="5.42578125" style="270" customWidth="1"/>
    <col min="50" max="50" width="13.140625" style="270" customWidth="1"/>
    <col min="51" max="16384" width="8.85546875" style="270"/>
  </cols>
  <sheetData>
    <row r="1" spans="1:50" ht="21">
      <c r="A1" s="266"/>
      <c r="B1" s="267" t="s">
        <v>448</v>
      </c>
      <c r="C1" s="268">
        <f>AVERAGE(L7,L30,L53,L73,L96)</f>
        <v>96.176075718749047</v>
      </c>
    </row>
    <row r="2" spans="1:50" ht="15.75">
      <c r="A2" s="271"/>
      <c r="B2" s="347" t="s">
        <v>449</v>
      </c>
      <c r="C2" s="348"/>
      <c r="D2" s="348"/>
      <c r="E2" s="348"/>
      <c r="F2" s="348"/>
      <c r="G2" s="348"/>
      <c r="H2" s="348"/>
      <c r="I2" s="272"/>
      <c r="J2" s="272"/>
      <c r="K2" s="272"/>
      <c r="L2" s="272"/>
      <c r="M2" s="273"/>
      <c r="N2" s="350" t="s">
        <v>450</v>
      </c>
      <c r="O2" s="350" t="s">
        <v>451</v>
      </c>
      <c r="P2" s="345"/>
      <c r="Q2" s="346"/>
      <c r="R2" s="346"/>
      <c r="S2" s="346"/>
      <c r="T2" s="346"/>
      <c r="U2" s="345">
        <v>45931</v>
      </c>
      <c r="V2" s="346"/>
      <c r="W2" s="346"/>
      <c r="X2" s="346"/>
      <c r="Y2" s="346"/>
      <c r="Z2" s="345">
        <v>45932</v>
      </c>
      <c r="AA2" s="346"/>
      <c r="AB2" s="346"/>
      <c r="AC2" s="346"/>
      <c r="AD2" s="346"/>
      <c r="AE2" s="345">
        <v>45933</v>
      </c>
      <c r="AF2" s="346"/>
      <c r="AG2" s="346"/>
      <c r="AH2" s="346"/>
      <c r="AI2" s="346"/>
      <c r="AJ2" s="345">
        <v>45934</v>
      </c>
      <c r="AK2" s="346"/>
      <c r="AL2" s="346"/>
      <c r="AM2" s="346"/>
      <c r="AN2" s="346"/>
      <c r="AO2" s="345">
        <v>45935</v>
      </c>
      <c r="AP2" s="346"/>
      <c r="AQ2" s="346"/>
      <c r="AR2" s="346"/>
      <c r="AS2" s="346"/>
      <c r="AT2" s="345">
        <v>45936</v>
      </c>
      <c r="AU2" s="346"/>
      <c r="AV2" s="346"/>
      <c r="AW2" s="346"/>
      <c r="AX2" s="346"/>
    </row>
    <row r="3" spans="1:50" ht="15.75">
      <c r="A3" s="271"/>
      <c r="B3" s="349"/>
      <c r="C3" s="349"/>
      <c r="D3" s="349"/>
      <c r="E3" s="349"/>
      <c r="F3" s="349"/>
      <c r="G3" s="349"/>
      <c r="H3" s="349"/>
      <c r="I3" s="274"/>
      <c r="J3" s="274"/>
      <c r="K3" s="274"/>
      <c r="L3" s="274"/>
      <c r="M3" s="275"/>
      <c r="N3" s="351"/>
      <c r="O3" s="351"/>
      <c r="P3" s="345" t="s">
        <v>452</v>
      </c>
      <c r="Q3" s="346"/>
      <c r="R3" s="346"/>
      <c r="S3" s="346"/>
      <c r="T3" s="346"/>
      <c r="U3" s="345" t="s">
        <v>453</v>
      </c>
      <c r="V3" s="346"/>
      <c r="W3" s="346"/>
      <c r="X3" s="346"/>
      <c r="Y3" s="346"/>
      <c r="Z3" s="345" t="s">
        <v>454</v>
      </c>
      <c r="AA3" s="346"/>
      <c r="AB3" s="346"/>
      <c r="AC3" s="346"/>
      <c r="AD3" s="346"/>
      <c r="AE3" s="345" t="s">
        <v>455</v>
      </c>
      <c r="AF3" s="346"/>
      <c r="AG3" s="346"/>
      <c r="AH3" s="346"/>
      <c r="AI3" s="346"/>
      <c r="AJ3" s="345" t="s">
        <v>456</v>
      </c>
      <c r="AK3" s="346"/>
      <c r="AL3" s="346"/>
      <c r="AM3" s="346"/>
      <c r="AN3" s="346"/>
      <c r="AO3" s="345" t="s">
        <v>457</v>
      </c>
      <c r="AP3" s="346"/>
      <c r="AQ3" s="346"/>
      <c r="AR3" s="346"/>
      <c r="AS3" s="346"/>
      <c r="AT3" s="345" t="s">
        <v>458</v>
      </c>
      <c r="AU3" s="346"/>
      <c r="AV3" s="346"/>
      <c r="AW3" s="346"/>
      <c r="AX3" s="346"/>
    </row>
    <row r="4" spans="1:50">
      <c r="A4" s="271"/>
      <c r="B4" s="355" t="s">
        <v>459</v>
      </c>
      <c r="C4" s="360" t="s">
        <v>460</v>
      </c>
      <c r="D4" s="355"/>
      <c r="E4" s="355" t="s">
        <v>461</v>
      </c>
      <c r="F4" s="355"/>
      <c r="G4" s="355"/>
      <c r="H4" s="361" t="s">
        <v>462</v>
      </c>
      <c r="I4" s="355" t="s">
        <v>463</v>
      </c>
      <c r="J4" s="355"/>
      <c r="K4" s="355"/>
      <c r="L4" s="361" t="s">
        <v>462</v>
      </c>
      <c r="M4" s="350" t="s">
        <v>464</v>
      </c>
      <c r="N4" s="355"/>
      <c r="O4" s="355" t="s">
        <v>465</v>
      </c>
      <c r="P4" s="352" t="s">
        <v>466</v>
      </c>
      <c r="Q4" s="353"/>
      <c r="R4" s="353"/>
      <c r="S4" s="354"/>
      <c r="T4" s="355" t="s">
        <v>462</v>
      </c>
      <c r="U4" s="352" t="s">
        <v>466</v>
      </c>
      <c r="V4" s="353"/>
      <c r="W4" s="353"/>
      <c r="X4" s="354"/>
      <c r="Y4" s="355" t="s">
        <v>462</v>
      </c>
      <c r="Z4" s="352" t="s">
        <v>467</v>
      </c>
      <c r="AA4" s="353"/>
      <c r="AB4" s="353"/>
      <c r="AC4" s="354"/>
      <c r="AD4" s="355" t="s">
        <v>468</v>
      </c>
      <c r="AE4" s="352" t="s">
        <v>467</v>
      </c>
      <c r="AF4" s="353"/>
      <c r="AG4" s="353"/>
      <c r="AH4" s="354"/>
      <c r="AI4" s="355" t="s">
        <v>462</v>
      </c>
      <c r="AJ4" s="352" t="s">
        <v>466</v>
      </c>
      <c r="AK4" s="353"/>
      <c r="AL4" s="353"/>
      <c r="AM4" s="354"/>
      <c r="AN4" s="355" t="s">
        <v>468</v>
      </c>
      <c r="AO4" s="352" t="s">
        <v>466</v>
      </c>
      <c r="AP4" s="353"/>
      <c r="AQ4" s="353"/>
      <c r="AR4" s="354"/>
      <c r="AS4" s="355" t="s">
        <v>468</v>
      </c>
      <c r="AT4" s="352" t="s">
        <v>467</v>
      </c>
      <c r="AU4" s="353"/>
      <c r="AV4" s="353"/>
      <c r="AW4" s="354"/>
      <c r="AX4" s="355" t="s">
        <v>462</v>
      </c>
    </row>
    <row r="5" spans="1:50">
      <c r="A5" s="271"/>
      <c r="B5" s="355"/>
      <c r="C5" s="355"/>
      <c r="D5" s="355"/>
      <c r="E5" s="355" t="s">
        <v>469</v>
      </c>
      <c r="F5" s="355"/>
      <c r="G5" s="355"/>
      <c r="H5" s="362"/>
      <c r="I5" s="355" t="s">
        <v>469</v>
      </c>
      <c r="J5" s="355"/>
      <c r="K5" s="355"/>
      <c r="L5" s="362"/>
      <c r="M5" s="364"/>
      <c r="N5" s="355"/>
      <c r="O5" s="355"/>
      <c r="P5" s="352" t="s">
        <v>470</v>
      </c>
      <c r="Q5" s="353"/>
      <c r="R5" s="353"/>
      <c r="S5" s="354"/>
      <c r="T5" s="355"/>
      <c r="U5" s="352" t="s">
        <v>470</v>
      </c>
      <c r="V5" s="353"/>
      <c r="W5" s="353"/>
      <c r="X5" s="354"/>
      <c r="Y5" s="355"/>
      <c r="Z5" s="352" t="s">
        <v>470</v>
      </c>
      <c r="AA5" s="353"/>
      <c r="AB5" s="353"/>
      <c r="AC5" s="354"/>
      <c r="AD5" s="355"/>
      <c r="AE5" s="352" t="s">
        <v>470</v>
      </c>
      <c r="AF5" s="353"/>
      <c r="AG5" s="353"/>
      <c r="AH5" s="354"/>
      <c r="AI5" s="355"/>
      <c r="AJ5" s="352" t="s">
        <v>471</v>
      </c>
      <c r="AK5" s="353"/>
      <c r="AL5" s="353"/>
      <c r="AM5" s="354"/>
      <c r="AN5" s="355"/>
      <c r="AO5" s="352" t="s">
        <v>471</v>
      </c>
      <c r="AP5" s="353"/>
      <c r="AQ5" s="353"/>
      <c r="AR5" s="354"/>
      <c r="AS5" s="355"/>
      <c r="AT5" s="352" t="s">
        <v>470</v>
      </c>
      <c r="AU5" s="353"/>
      <c r="AV5" s="353"/>
      <c r="AW5" s="354"/>
      <c r="AX5" s="355"/>
    </row>
    <row r="6" spans="1:50">
      <c r="A6" s="276"/>
      <c r="B6" s="355"/>
      <c r="C6" s="355"/>
      <c r="D6" s="355"/>
      <c r="E6" s="277" t="s">
        <v>472</v>
      </c>
      <c r="F6" s="277" t="s">
        <v>473</v>
      </c>
      <c r="G6" s="277" t="s">
        <v>474</v>
      </c>
      <c r="H6" s="363"/>
      <c r="I6" s="277" t="s">
        <v>472</v>
      </c>
      <c r="J6" s="277" t="s">
        <v>473</v>
      </c>
      <c r="K6" s="277" t="s">
        <v>474</v>
      </c>
      <c r="L6" s="363"/>
      <c r="M6" s="351"/>
      <c r="N6" s="355"/>
      <c r="O6" s="355"/>
      <c r="P6" s="277" t="s">
        <v>472</v>
      </c>
      <c r="Q6" s="277" t="s">
        <v>473</v>
      </c>
      <c r="R6" s="277" t="s">
        <v>474</v>
      </c>
      <c r="S6" s="277" t="s">
        <v>464</v>
      </c>
      <c r="T6" s="355"/>
      <c r="U6" s="277" t="s">
        <v>472</v>
      </c>
      <c r="V6" s="277" t="s">
        <v>475</v>
      </c>
      <c r="W6" s="277" t="s">
        <v>474</v>
      </c>
      <c r="X6" s="277" t="s">
        <v>464</v>
      </c>
      <c r="Y6" s="355"/>
      <c r="Z6" s="277" t="s">
        <v>476</v>
      </c>
      <c r="AA6" s="277" t="s">
        <v>473</v>
      </c>
      <c r="AB6" s="277" t="s">
        <v>474</v>
      </c>
      <c r="AC6" s="277" t="s">
        <v>464</v>
      </c>
      <c r="AD6" s="355"/>
      <c r="AE6" s="277" t="s">
        <v>472</v>
      </c>
      <c r="AF6" s="277" t="s">
        <v>473</v>
      </c>
      <c r="AG6" s="277" t="s">
        <v>474</v>
      </c>
      <c r="AH6" s="277" t="s">
        <v>464</v>
      </c>
      <c r="AI6" s="355"/>
      <c r="AJ6" s="277" t="s">
        <v>472</v>
      </c>
      <c r="AK6" s="277" t="s">
        <v>475</v>
      </c>
      <c r="AL6" s="277" t="s">
        <v>474</v>
      </c>
      <c r="AM6" s="277" t="s">
        <v>464</v>
      </c>
      <c r="AN6" s="355"/>
      <c r="AO6" s="277" t="s">
        <v>476</v>
      </c>
      <c r="AP6" s="277" t="s">
        <v>473</v>
      </c>
      <c r="AQ6" s="277" t="s">
        <v>474</v>
      </c>
      <c r="AR6" s="277" t="s">
        <v>464</v>
      </c>
      <c r="AS6" s="355"/>
      <c r="AT6" s="277" t="s">
        <v>472</v>
      </c>
      <c r="AU6" s="277" t="s">
        <v>473</v>
      </c>
      <c r="AV6" s="277" t="s">
        <v>474</v>
      </c>
      <c r="AW6" s="277" t="s">
        <v>477</v>
      </c>
      <c r="AX6" s="355"/>
    </row>
    <row r="7" spans="1:50" ht="13.5">
      <c r="A7" s="271"/>
      <c r="B7" s="346" t="s">
        <v>139</v>
      </c>
      <c r="C7" s="278">
        <v>1</v>
      </c>
      <c r="D7" s="282" t="s">
        <v>408</v>
      </c>
      <c r="E7" s="279">
        <f>VLOOKUP(D7,'10產線配置圖'!$A$2:$C$25,2,0)</f>
        <v>12</v>
      </c>
      <c r="F7" s="279">
        <f>VLOOKUP(D7,'10產線配置圖'!$A$2:$C$25,3,0)</f>
        <v>2000</v>
      </c>
      <c r="G7" s="280">
        <f>F7/E7</f>
        <v>166.66666666666666</v>
      </c>
      <c r="H7" s="356">
        <f>AVERAGE(G7:G24)</f>
        <v>110.95404572085245</v>
      </c>
      <c r="I7" s="279">
        <f>AVERAGE(P7,U7,Z7,AE7,AJ7,AO7,AT7)</f>
        <v>12</v>
      </c>
      <c r="J7" s="279">
        <f>AVERAGE(Q7,V7,AA7,AF7,AK7,AP7,AU7)</f>
        <v>1795</v>
      </c>
      <c r="K7" s="280">
        <f>AVERAGE(W7,AB7,AG7,AL7,AQ7,AV7)</f>
        <v>149.58333333333331</v>
      </c>
      <c r="L7" s="356">
        <f>IFERROR(AVERAGE(K7:K24),"-")</f>
        <v>96.176075718749047</v>
      </c>
      <c r="M7" s="281">
        <f>RANK(K7, K$7:$K$24)</f>
        <v>1</v>
      </c>
      <c r="N7" s="355"/>
      <c r="O7" s="355"/>
      <c r="P7" s="279"/>
      <c r="Q7" s="279"/>
      <c r="R7" s="280" t="e">
        <f>Q7/P7</f>
        <v>#DIV/0!</v>
      </c>
      <c r="S7" s="278" t="e">
        <f>RANK(R7, R$7:R$24)</f>
        <v>#DIV/0!</v>
      </c>
      <c r="T7" s="359" t="e">
        <f>AVERAGE(R7:R24)</f>
        <v>#DIV/0!</v>
      </c>
      <c r="U7" s="279">
        <v>12</v>
      </c>
      <c r="V7" s="279">
        <v>1730</v>
      </c>
      <c r="W7" s="280">
        <f>V7/U7</f>
        <v>144.16666666666666</v>
      </c>
      <c r="X7" s="278">
        <f>RANK(W7, W$7:W$24)</f>
        <v>1</v>
      </c>
      <c r="Y7" s="359">
        <f>AVERAGE(W7:W24)</f>
        <v>94.697243320405079</v>
      </c>
      <c r="Z7" s="278">
        <v>12</v>
      </c>
      <c r="AA7" s="279">
        <v>1553</v>
      </c>
      <c r="AB7" s="280">
        <f>AA7/Z7</f>
        <v>129.41666666666666</v>
      </c>
      <c r="AC7" s="278">
        <f>RANK(AB7, AB$7:AB$24)</f>
        <v>3</v>
      </c>
      <c r="AD7" s="359">
        <f>AVERAGE(AB7:AB24)</f>
        <v>93.019607522496173</v>
      </c>
      <c r="AE7" s="279">
        <v>12</v>
      </c>
      <c r="AF7" s="279">
        <v>1948</v>
      </c>
      <c r="AG7" s="280">
        <f>AF7/AE7</f>
        <v>162.33333333333334</v>
      </c>
      <c r="AH7" s="278">
        <f>RANK(AG7, AG$7:AG$24)</f>
        <v>1</v>
      </c>
      <c r="AI7" s="359">
        <f>AVERAGE(AG7:AG24)</f>
        <v>97.42523329844758</v>
      </c>
      <c r="AJ7" s="279">
        <v>12</v>
      </c>
      <c r="AK7" s="279">
        <v>1899</v>
      </c>
      <c r="AL7" s="280">
        <f>AK7/AJ7</f>
        <v>158.25</v>
      </c>
      <c r="AM7" s="278">
        <f>RANK(AL7, AL$7:AL$24)</f>
        <v>1</v>
      </c>
      <c r="AN7" s="359">
        <f>AVERAGE(AL7:AL24)</f>
        <v>99.758353913557528</v>
      </c>
      <c r="AO7" s="279">
        <v>12</v>
      </c>
      <c r="AP7" s="279">
        <v>1820</v>
      </c>
      <c r="AQ7" s="280">
        <f>AP7/AO7</f>
        <v>151.66666666666666</v>
      </c>
      <c r="AR7" s="278">
        <f>RANK(AQ7, AQ$7:AQ$24)</f>
        <v>1</v>
      </c>
      <c r="AS7" s="359">
        <f>AVERAGE(AQ7:AQ24)</f>
        <v>98.443947204128193</v>
      </c>
      <c r="AT7" s="279">
        <v>12</v>
      </c>
      <c r="AU7" s="279">
        <v>1820</v>
      </c>
      <c r="AV7" s="280">
        <f>AU7/AT7</f>
        <v>151.66666666666666</v>
      </c>
      <c r="AW7" s="278">
        <f>RANK(AV7, AV$7:AV$24)</f>
        <v>1</v>
      </c>
      <c r="AX7" s="359">
        <f>AVERAGE(AV7:AV24)</f>
        <v>96.157873662285439</v>
      </c>
    </row>
    <row r="8" spans="1:50" ht="15" customHeight="1">
      <c r="A8" s="271"/>
      <c r="B8" s="346"/>
      <c r="C8" s="278">
        <v>2</v>
      </c>
      <c r="D8" s="278" t="s">
        <v>400</v>
      </c>
      <c r="E8" s="279">
        <f>VLOOKUP(D8,'10產線配置圖'!$A$2:$C$25,2,0)</f>
        <v>13</v>
      </c>
      <c r="F8" s="279">
        <f>VLOOKUP(D8,'10產線配置圖'!$A$2:$C$25,3,0)</f>
        <v>2000</v>
      </c>
      <c r="G8" s="280">
        <f t="shared" ref="G8:G12" si="0">F8/E8</f>
        <v>153.84615384615384</v>
      </c>
      <c r="H8" s="357"/>
      <c r="I8" s="279">
        <f t="shared" ref="I8:J16" si="1">AVERAGE(P8,U8,Z8,AE8,AJ8,AO8,AT8)</f>
        <v>13</v>
      </c>
      <c r="J8" s="279">
        <f t="shared" si="1"/>
        <v>1826.5</v>
      </c>
      <c r="K8" s="280">
        <f t="shared" ref="K8:K19" si="2">AVERAGE(W8,AB8,AG8,AL8,AQ8,AV8)</f>
        <v>140.5</v>
      </c>
      <c r="L8" s="357"/>
      <c r="M8" s="281">
        <f>RANK(K8, K$7:$K$24)</f>
        <v>2</v>
      </c>
      <c r="N8" s="355"/>
      <c r="O8" s="355"/>
      <c r="P8" s="279"/>
      <c r="Q8" s="279"/>
      <c r="R8" s="280" t="e">
        <f t="shared" ref="R8:R24" si="3">Q8/P8</f>
        <v>#DIV/0!</v>
      </c>
      <c r="S8" s="278" t="e">
        <f t="shared" ref="S8:S24" si="4">RANK(R8, R$7:R$24)</f>
        <v>#DIV/0!</v>
      </c>
      <c r="T8" s="359"/>
      <c r="U8" s="279">
        <v>13</v>
      </c>
      <c r="V8" s="279">
        <v>1829</v>
      </c>
      <c r="W8" s="280">
        <f t="shared" ref="W8:W20" si="5">V8/U8</f>
        <v>140.69230769230768</v>
      </c>
      <c r="X8" s="278">
        <f t="shared" ref="X8:X20" si="6">RANK(W8, W$7:W$24)</f>
        <v>2</v>
      </c>
      <c r="Y8" s="359"/>
      <c r="Z8" s="278">
        <v>13</v>
      </c>
      <c r="AA8" s="279">
        <v>1785</v>
      </c>
      <c r="AB8" s="280">
        <f t="shared" ref="AB8:AB20" si="7">AA8/Z8</f>
        <v>137.30769230769232</v>
      </c>
      <c r="AC8" s="278">
        <f t="shared" ref="AC8:AC20" si="8">RANK(AB8, AB$7:AB$24)</f>
        <v>2</v>
      </c>
      <c r="AD8" s="359"/>
      <c r="AE8" s="279">
        <v>13</v>
      </c>
      <c r="AF8" s="279">
        <v>1911</v>
      </c>
      <c r="AG8" s="280">
        <f t="shared" ref="AG8:AG16" si="9">AF8/AE8</f>
        <v>147</v>
      </c>
      <c r="AH8" s="278">
        <f t="shared" ref="AH8:AH20" si="10">RANK(AG8, AG$7:AG$24)</f>
        <v>2</v>
      </c>
      <c r="AI8" s="359"/>
      <c r="AJ8" s="279">
        <v>13</v>
      </c>
      <c r="AK8" s="279">
        <v>1758</v>
      </c>
      <c r="AL8" s="280">
        <f t="shared" ref="AL8:AL16" si="11">AK8/AJ8</f>
        <v>135.23076923076923</v>
      </c>
      <c r="AM8" s="278">
        <f t="shared" ref="AM8:AM19" si="12">RANK(AL8, AL$7:AL$24)</f>
        <v>3</v>
      </c>
      <c r="AN8" s="359"/>
      <c r="AO8" s="279">
        <v>13</v>
      </c>
      <c r="AP8" s="279">
        <v>1934</v>
      </c>
      <c r="AQ8" s="280">
        <f t="shared" ref="AQ8:AQ16" si="13">AP8/AO8</f>
        <v>148.76923076923077</v>
      </c>
      <c r="AR8" s="278">
        <f t="shared" ref="AR8:AR19" si="14">RANK(AQ8, AQ$7:AQ$24)</f>
        <v>2</v>
      </c>
      <c r="AS8" s="359"/>
      <c r="AT8" s="279">
        <v>13</v>
      </c>
      <c r="AU8" s="279">
        <v>1742</v>
      </c>
      <c r="AV8" s="280">
        <f t="shared" ref="AV8:AV19" si="15">AU8/AT8</f>
        <v>134</v>
      </c>
      <c r="AW8" s="278">
        <f t="shared" ref="AW8:AW19" si="16">RANK(AV8, AV$7:AV$24)</f>
        <v>2</v>
      </c>
      <c r="AX8" s="359"/>
    </row>
    <row r="9" spans="1:50">
      <c r="A9" s="271"/>
      <c r="B9" s="346"/>
      <c r="C9" s="278">
        <v>3</v>
      </c>
      <c r="D9" s="278" t="s">
        <v>401</v>
      </c>
      <c r="E9" s="279">
        <f>VLOOKUP(D9,'10產線配置圖'!$A$2:$C$25,2,0)</f>
        <v>16</v>
      </c>
      <c r="F9" s="279">
        <f>VLOOKUP(D9,'10產線配置圖'!$A$2:$C$25,3,0)</f>
        <v>1915</v>
      </c>
      <c r="G9" s="280">
        <f t="shared" si="0"/>
        <v>119.6875</v>
      </c>
      <c r="H9" s="357"/>
      <c r="I9" s="279">
        <f t="shared" si="1"/>
        <v>16</v>
      </c>
      <c r="J9" s="279">
        <f t="shared" si="1"/>
        <v>1579.5</v>
      </c>
      <c r="K9" s="280">
        <f t="shared" si="2"/>
        <v>98.71875</v>
      </c>
      <c r="L9" s="357"/>
      <c r="M9" s="281">
        <f>RANK(K9, K$7:$K$24)</f>
        <v>5</v>
      </c>
      <c r="N9" s="355"/>
      <c r="O9" s="355"/>
      <c r="P9" s="279"/>
      <c r="Q9" s="279"/>
      <c r="R9" s="280" t="e">
        <f t="shared" si="3"/>
        <v>#DIV/0!</v>
      </c>
      <c r="S9" s="278" t="e">
        <f t="shared" si="4"/>
        <v>#DIV/0!</v>
      </c>
      <c r="T9" s="359"/>
      <c r="U9" s="279">
        <v>16</v>
      </c>
      <c r="V9" s="279">
        <v>1557</v>
      </c>
      <c r="W9" s="280">
        <f t="shared" si="5"/>
        <v>97.3125</v>
      </c>
      <c r="X9" s="278">
        <f t="shared" si="6"/>
        <v>5</v>
      </c>
      <c r="Y9" s="359"/>
      <c r="Z9" s="278">
        <v>16</v>
      </c>
      <c r="AA9" s="279">
        <v>1657</v>
      </c>
      <c r="AB9" s="280">
        <f t="shared" si="7"/>
        <v>103.5625</v>
      </c>
      <c r="AC9" s="278">
        <f t="shared" si="8"/>
        <v>4</v>
      </c>
      <c r="AD9" s="359"/>
      <c r="AE9" s="279">
        <v>16</v>
      </c>
      <c r="AF9" s="279">
        <v>1620</v>
      </c>
      <c r="AG9" s="280">
        <f t="shared" si="9"/>
        <v>101.25</v>
      </c>
      <c r="AH9" s="278">
        <f t="shared" si="10"/>
        <v>6</v>
      </c>
      <c r="AI9" s="359"/>
      <c r="AJ9" s="279">
        <v>16</v>
      </c>
      <c r="AK9" s="279">
        <v>1538</v>
      </c>
      <c r="AL9" s="280">
        <f t="shared" si="11"/>
        <v>96.125</v>
      </c>
      <c r="AM9" s="278">
        <f t="shared" si="12"/>
        <v>5</v>
      </c>
      <c r="AN9" s="359"/>
      <c r="AO9" s="279">
        <v>16</v>
      </c>
      <c r="AP9" s="279">
        <v>1564</v>
      </c>
      <c r="AQ9" s="280">
        <f t="shared" si="13"/>
        <v>97.75</v>
      </c>
      <c r="AR9" s="278">
        <f t="shared" si="14"/>
        <v>5</v>
      </c>
      <c r="AS9" s="359"/>
      <c r="AT9" s="279">
        <v>16</v>
      </c>
      <c r="AU9" s="279">
        <v>1541</v>
      </c>
      <c r="AV9" s="280">
        <f t="shared" si="15"/>
        <v>96.3125</v>
      </c>
      <c r="AW9" s="278">
        <f t="shared" si="16"/>
        <v>5</v>
      </c>
      <c r="AX9" s="359"/>
    </row>
    <row r="10" spans="1:50">
      <c r="A10" s="271"/>
      <c r="B10" s="346"/>
      <c r="C10" s="278">
        <v>4</v>
      </c>
      <c r="D10" s="278" t="s">
        <v>402</v>
      </c>
      <c r="E10" s="279">
        <f>VLOOKUP(D10,'10產線配置圖'!$A$2:$C$25,2,0)</f>
        <v>18</v>
      </c>
      <c r="F10" s="279">
        <f>VLOOKUP(D10,'10產線配置圖'!$A$2:$C$25,3,0)</f>
        <v>1565</v>
      </c>
      <c r="G10" s="280">
        <f t="shared" si="0"/>
        <v>86.944444444444443</v>
      </c>
      <c r="H10" s="357"/>
      <c r="I10" s="279">
        <f t="shared" si="1"/>
        <v>18</v>
      </c>
      <c r="J10" s="279">
        <f t="shared" si="1"/>
        <v>1539.5</v>
      </c>
      <c r="K10" s="280">
        <f t="shared" si="2"/>
        <v>85.527777777777771</v>
      </c>
      <c r="L10" s="357"/>
      <c r="M10" s="281">
        <f>RANK(K10, K$7:$K$24)</f>
        <v>8</v>
      </c>
      <c r="N10" s="355"/>
      <c r="O10" s="355"/>
      <c r="P10" s="279"/>
      <c r="Q10" s="279"/>
      <c r="R10" s="280" t="e">
        <f t="shared" si="3"/>
        <v>#DIV/0!</v>
      </c>
      <c r="S10" s="278" t="e">
        <f t="shared" si="4"/>
        <v>#DIV/0!</v>
      </c>
      <c r="T10" s="359"/>
      <c r="U10" s="279">
        <v>18</v>
      </c>
      <c r="V10" s="279">
        <v>1515</v>
      </c>
      <c r="W10" s="280">
        <f t="shared" si="5"/>
        <v>84.166666666666671</v>
      </c>
      <c r="X10" s="278">
        <f t="shared" si="6"/>
        <v>8</v>
      </c>
      <c r="Y10" s="359"/>
      <c r="Z10" s="278">
        <v>18</v>
      </c>
      <c r="AA10" s="279">
        <v>1545</v>
      </c>
      <c r="AB10" s="280">
        <f t="shared" si="7"/>
        <v>85.833333333333329</v>
      </c>
      <c r="AC10" s="278">
        <f t="shared" si="8"/>
        <v>7</v>
      </c>
      <c r="AD10" s="359"/>
      <c r="AE10" s="279">
        <v>18</v>
      </c>
      <c r="AF10" s="279">
        <v>1561</v>
      </c>
      <c r="AG10" s="280">
        <f t="shared" si="9"/>
        <v>86.722222222222229</v>
      </c>
      <c r="AH10" s="278">
        <f t="shared" si="10"/>
        <v>7</v>
      </c>
      <c r="AI10" s="359"/>
      <c r="AJ10" s="279">
        <v>18</v>
      </c>
      <c r="AK10" s="279">
        <v>1564</v>
      </c>
      <c r="AL10" s="280">
        <f t="shared" si="11"/>
        <v>86.888888888888886</v>
      </c>
      <c r="AM10" s="278">
        <f t="shared" si="12"/>
        <v>8</v>
      </c>
      <c r="AN10" s="359"/>
      <c r="AO10" s="279">
        <v>18</v>
      </c>
      <c r="AP10" s="279">
        <v>1550</v>
      </c>
      <c r="AQ10" s="280">
        <f t="shared" si="13"/>
        <v>86.111111111111114</v>
      </c>
      <c r="AR10" s="278">
        <f t="shared" si="14"/>
        <v>9</v>
      </c>
      <c r="AS10" s="359"/>
      <c r="AT10" s="279">
        <v>18</v>
      </c>
      <c r="AU10" s="279">
        <v>1502</v>
      </c>
      <c r="AV10" s="280">
        <f t="shared" si="15"/>
        <v>83.444444444444443</v>
      </c>
      <c r="AW10" s="278">
        <f t="shared" si="16"/>
        <v>8</v>
      </c>
      <c r="AX10" s="359"/>
    </row>
    <row r="11" spans="1:50">
      <c r="A11" s="271"/>
      <c r="B11" s="346"/>
      <c r="C11" s="278">
        <v>5</v>
      </c>
      <c r="D11" s="278" t="s">
        <v>403</v>
      </c>
      <c r="E11" s="279">
        <f>VLOOKUP(D11,'10產線配置圖'!$A$2:$C$25,2,0)</f>
        <v>13</v>
      </c>
      <c r="F11" s="279">
        <f>VLOOKUP(D11,'10產線配置圖'!$A$2:$C$25,3,0)</f>
        <v>2000</v>
      </c>
      <c r="G11" s="280">
        <f t="shared" si="0"/>
        <v>153.84615384615384</v>
      </c>
      <c r="H11" s="357"/>
      <c r="I11" s="279">
        <f t="shared" si="1"/>
        <v>13.166666666666666</v>
      </c>
      <c r="J11" s="279">
        <f t="shared" si="1"/>
        <v>1775</v>
      </c>
      <c r="K11" s="280">
        <f t="shared" si="2"/>
        <v>134.91849816849819</v>
      </c>
      <c r="L11" s="357"/>
      <c r="M11" s="281">
        <f>RANK(K11, K$7:$K$24)</f>
        <v>3</v>
      </c>
      <c r="N11" s="355"/>
      <c r="O11" s="355"/>
      <c r="P11" s="279"/>
      <c r="Q11" s="279"/>
      <c r="R11" s="280" t="e">
        <f t="shared" si="3"/>
        <v>#DIV/0!</v>
      </c>
      <c r="S11" s="278" t="e">
        <f t="shared" si="4"/>
        <v>#DIV/0!</v>
      </c>
      <c r="T11" s="359"/>
      <c r="U11" s="279">
        <v>13</v>
      </c>
      <c r="V11" s="279">
        <v>1684</v>
      </c>
      <c r="W11" s="280">
        <f t="shared" si="5"/>
        <v>129.53846153846155</v>
      </c>
      <c r="X11" s="278">
        <f t="shared" si="6"/>
        <v>3</v>
      </c>
      <c r="Y11" s="359"/>
      <c r="Z11" s="278">
        <v>13</v>
      </c>
      <c r="AA11" s="279">
        <v>1900</v>
      </c>
      <c r="AB11" s="280">
        <f t="shared" si="7"/>
        <v>146.15384615384616</v>
      </c>
      <c r="AC11" s="278">
        <f t="shared" si="8"/>
        <v>1</v>
      </c>
      <c r="AD11" s="359"/>
      <c r="AE11" s="279">
        <v>13</v>
      </c>
      <c r="AF11" s="279">
        <v>1679</v>
      </c>
      <c r="AG11" s="280">
        <f t="shared" si="9"/>
        <v>129.15384615384616</v>
      </c>
      <c r="AH11" s="278">
        <f t="shared" si="10"/>
        <v>3</v>
      </c>
      <c r="AI11" s="359"/>
      <c r="AJ11" s="279">
        <v>13</v>
      </c>
      <c r="AK11" s="279">
        <v>1852</v>
      </c>
      <c r="AL11" s="280">
        <f t="shared" si="11"/>
        <v>142.46153846153845</v>
      </c>
      <c r="AM11" s="278">
        <f t="shared" si="12"/>
        <v>2</v>
      </c>
      <c r="AN11" s="359"/>
      <c r="AO11" s="279">
        <v>13</v>
      </c>
      <c r="AP11" s="279">
        <v>1766</v>
      </c>
      <c r="AQ11" s="280">
        <f t="shared" si="13"/>
        <v>135.84615384615384</v>
      </c>
      <c r="AR11" s="278">
        <f t="shared" si="14"/>
        <v>3</v>
      </c>
      <c r="AS11" s="359"/>
      <c r="AT11" s="279">
        <v>14</v>
      </c>
      <c r="AU11" s="279">
        <v>1769</v>
      </c>
      <c r="AV11" s="280">
        <f t="shared" si="15"/>
        <v>126.35714285714286</v>
      </c>
      <c r="AW11" s="278">
        <f t="shared" si="16"/>
        <v>4</v>
      </c>
      <c r="AX11" s="359"/>
    </row>
    <row r="12" spans="1:50">
      <c r="A12" s="271"/>
      <c r="B12" s="346"/>
      <c r="C12" s="278">
        <v>6</v>
      </c>
      <c r="D12" s="278" t="s">
        <v>421</v>
      </c>
      <c r="E12" s="279">
        <f>VLOOKUP(D12,'10產線配置圖'!$A$2:$C$25,2,0)</f>
        <v>14</v>
      </c>
      <c r="F12" s="279">
        <f>VLOOKUP(D12,'10產線配置圖'!$A$2:$C$25,3,0)</f>
        <v>1895</v>
      </c>
      <c r="G12" s="280">
        <f t="shared" si="0"/>
        <v>135.35714285714286</v>
      </c>
      <c r="H12" s="357"/>
      <c r="I12" s="279">
        <f t="shared" si="1"/>
        <v>14.166666666666666</v>
      </c>
      <c r="J12" s="279">
        <f t="shared" si="1"/>
        <v>1610</v>
      </c>
      <c r="K12" s="280">
        <f t="shared" si="2"/>
        <v>113.72222222222223</v>
      </c>
      <c r="L12" s="357"/>
      <c r="M12" s="281">
        <f>RANK(K12, K$7:$K$24)</f>
        <v>4</v>
      </c>
      <c r="N12" s="355"/>
      <c r="O12" s="355"/>
      <c r="P12" s="279"/>
      <c r="Q12" s="279"/>
      <c r="R12" s="280" t="e">
        <f t="shared" si="3"/>
        <v>#DIV/0!</v>
      </c>
      <c r="S12" s="278" t="e">
        <f t="shared" si="4"/>
        <v>#DIV/0!</v>
      </c>
      <c r="T12" s="359"/>
      <c r="U12" s="279">
        <v>15</v>
      </c>
      <c r="V12" s="279">
        <v>1610</v>
      </c>
      <c r="W12" s="280">
        <f t="shared" si="5"/>
        <v>107.33333333333333</v>
      </c>
      <c r="X12" s="278">
        <f t="shared" si="6"/>
        <v>4</v>
      </c>
      <c r="Y12" s="359"/>
      <c r="Z12" s="278">
        <v>14</v>
      </c>
      <c r="AA12" s="279">
        <v>1273</v>
      </c>
      <c r="AB12" s="280">
        <f t="shared" si="7"/>
        <v>90.928571428571431</v>
      </c>
      <c r="AC12" s="278">
        <f t="shared" si="8"/>
        <v>5</v>
      </c>
      <c r="AD12" s="359"/>
      <c r="AE12" s="279">
        <v>14</v>
      </c>
      <c r="AF12" s="279">
        <v>1556</v>
      </c>
      <c r="AG12" s="280">
        <f t="shared" si="9"/>
        <v>111.14285714285714</v>
      </c>
      <c r="AH12" s="278">
        <f t="shared" si="10"/>
        <v>4</v>
      </c>
      <c r="AI12" s="359"/>
      <c r="AJ12" s="279">
        <v>14</v>
      </c>
      <c r="AK12" s="279">
        <v>1734</v>
      </c>
      <c r="AL12" s="280">
        <f t="shared" si="11"/>
        <v>123.85714285714286</v>
      </c>
      <c r="AM12" s="278">
        <f t="shared" si="12"/>
        <v>4</v>
      </c>
      <c r="AN12" s="359"/>
      <c r="AO12" s="279">
        <v>14</v>
      </c>
      <c r="AP12" s="279">
        <v>1661</v>
      </c>
      <c r="AQ12" s="280">
        <f t="shared" si="13"/>
        <v>118.64285714285714</v>
      </c>
      <c r="AR12" s="278">
        <f t="shared" si="14"/>
        <v>4</v>
      </c>
      <c r="AS12" s="359"/>
      <c r="AT12" s="279">
        <v>14</v>
      </c>
      <c r="AU12" s="279">
        <v>1826</v>
      </c>
      <c r="AV12" s="280">
        <f t="shared" si="15"/>
        <v>130.42857142857142</v>
      </c>
      <c r="AW12" s="278">
        <f t="shared" si="16"/>
        <v>3</v>
      </c>
      <c r="AX12" s="359"/>
    </row>
    <row r="13" spans="1:50">
      <c r="A13" s="271"/>
      <c r="B13" s="346"/>
      <c r="C13" s="278">
        <v>7</v>
      </c>
      <c r="D13" s="278" t="s">
        <v>394</v>
      </c>
      <c r="E13" s="279">
        <f>VLOOKUP(D13,'10產線配置圖'!$A$2:$C$25,2,0)</f>
        <v>16</v>
      </c>
      <c r="F13" s="279">
        <f>VLOOKUP(D13,'10產線配置圖'!$A$2:$C$25,3,0)</f>
        <v>1429</v>
      </c>
      <c r="G13" s="280">
        <f t="shared" ref="G13" si="17">F13/E13</f>
        <v>89.3125</v>
      </c>
      <c r="H13" s="357"/>
      <c r="I13" s="279">
        <f t="shared" si="1"/>
        <v>15</v>
      </c>
      <c r="J13" s="279">
        <f t="shared" si="1"/>
        <v>970.33333333333337</v>
      </c>
      <c r="K13" s="280">
        <f t="shared" si="2"/>
        <v>65.029761904761912</v>
      </c>
      <c r="L13" s="357"/>
      <c r="M13" s="281">
        <f>RANK(K13, K$7:$K$24)</f>
        <v>14</v>
      </c>
      <c r="N13" s="355"/>
      <c r="O13" s="355"/>
      <c r="P13" s="279"/>
      <c r="Q13" s="279"/>
      <c r="R13" s="280" t="e">
        <f t="shared" si="3"/>
        <v>#DIV/0!</v>
      </c>
      <c r="S13" s="278" t="e">
        <f t="shared" si="4"/>
        <v>#DIV/0!</v>
      </c>
      <c r="T13" s="359"/>
      <c r="U13" s="279">
        <v>16</v>
      </c>
      <c r="V13" s="279">
        <v>1043</v>
      </c>
      <c r="W13" s="280">
        <f t="shared" si="5"/>
        <v>65.1875</v>
      </c>
      <c r="X13" s="278">
        <f t="shared" si="6"/>
        <v>14</v>
      </c>
      <c r="Y13" s="359"/>
      <c r="Z13" s="278">
        <v>14</v>
      </c>
      <c r="AA13" s="279">
        <v>924</v>
      </c>
      <c r="AB13" s="280">
        <f t="shared" si="7"/>
        <v>66</v>
      </c>
      <c r="AC13" s="278">
        <f t="shared" si="8"/>
        <v>14</v>
      </c>
      <c r="AD13" s="359"/>
      <c r="AE13" s="279">
        <v>14</v>
      </c>
      <c r="AF13" s="279">
        <v>895</v>
      </c>
      <c r="AG13" s="280">
        <f t="shared" si="9"/>
        <v>63.928571428571431</v>
      </c>
      <c r="AH13" s="278">
        <f t="shared" si="10"/>
        <v>13</v>
      </c>
      <c r="AI13" s="359"/>
      <c r="AJ13" s="279">
        <v>14</v>
      </c>
      <c r="AK13" s="279">
        <v>1127</v>
      </c>
      <c r="AL13" s="280">
        <f t="shared" si="11"/>
        <v>80.5</v>
      </c>
      <c r="AM13" s="278">
        <f t="shared" si="12"/>
        <v>10</v>
      </c>
      <c r="AN13" s="359"/>
      <c r="AO13" s="279">
        <v>16</v>
      </c>
      <c r="AP13" s="279">
        <v>1019</v>
      </c>
      <c r="AQ13" s="280">
        <f t="shared" si="13"/>
        <v>63.6875</v>
      </c>
      <c r="AR13" s="278">
        <f t="shared" si="14"/>
        <v>13</v>
      </c>
      <c r="AS13" s="359"/>
      <c r="AT13" s="279">
        <v>16</v>
      </c>
      <c r="AU13" s="279">
        <v>814</v>
      </c>
      <c r="AV13" s="280">
        <f t="shared" si="15"/>
        <v>50.875</v>
      </c>
      <c r="AW13" s="278">
        <f t="shared" si="16"/>
        <v>13</v>
      </c>
      <c r="AX13" s="359"/>
    </row>
    <row r="14" spans="1:50">
      <c r="A14" s="271"/>
      <c r="B14" s="346"/>
      <c r="C14" s="278">
        <v>8</v>
      </c>
      <c r="D14" s="278" t="s">
        <v>395</v>
      </c>
      <c r="E14" s="279">
        <f>VLOOKUP(D14,'10產線配置圖'!$A$2:$C$25,2,0)</f>
        <v>18</v>
      </c>
      <c r="F14" s="279">
        <f>VLOOKUP(D14,'10產線配置圖'!$A$2:$C$25,3,0)</f>
        <v>1500</v>
      </c>
      <c r="G14" s="280">
        <f t="shared" ref="G14:G19" si="18">F14/E14</f>
        <v>83.333333333333329</v>
      </c>
      <c r="H14" s="357"/>
      <c r="I14" s="279">
        <f t="shared" si="1"/>
        <v>15</v>
      </c>
      <c r="J14" s="279">
        <f t="shared" si="1"/>
        <v>1138</v>
      </c>
      <c r="K14" s="280">
        <f t="shared" si="2"/>
        <v>76.056417887667891</v>
      </c>
      <c r="L14" s="357"/>
      <c r="M14" s="281">
        <f>RANK(K14, K$7:$K$24)</f>
        <v>11</v>
      </c>
      <c r="N14" s="355"/>
      <c r="O14" s="355"/>
      <c r="P14" s="279"/>
      <c r="Q14" s="279"/>
      <c r="R14" s="280" t="e">
        <f t="shared" si="3"/>
        <v>#DIV/0!</v>
      </c>
      <c r="S14" s="278" t="e">
        <f t="shared" si="4"/>
        <v>#DIV/0!</v>
      </c>
      <c r="T14" s="359"/>
      <c r="U14" s="279">
        <v>16</v>
      </c>
      <c r="V14" s="279">
        <v>1301</v>
      </c>
      <c r="W14" s="280">
        <f t="shared" si="5"/>
        <v>81.3125</v>
      </c>
      <c r="X14" s="278">
        <f t="shared" si="6"/>
        <v>9</v>
      </c>
      <c r="Y14" s="359"/>
      <c r="Z14" s="278">
        <v>15</v>
      </c>
      <c r="AA14" s="279">
        <v>1092</v>
      </c>
      <c r="AB14" s="280">
        <f t="shared" si="7"/>
        <v>72.8</v>
      </c>
      <c r="AC14" s="278">
        <f t="shared" si="8"/>
        <v>12</v>
      </c>
      <c r="AD14" s="359"/>
      <c r="AE14" s="279">
        <v>13</v>
      </c>
      <c r="AF14" s="279">
        <v>1017</v>
      </c>
      <c r="AG14" s="280">
        <f t="shared" si="9"/>
        <v>78.230769230769226</v>
      </c>
      <c r="AH14" s="278">
        <f t="shared" si="10"/>
        <v>10</v>
      </c>
      <c r="AI14" s="359"/>
      <c r="AJ14" s="279">
        <v>15</v>
      </c>
      <c r="AK14" s="279">
        <v>1171</v>
      </c>
      <c r="AL14" s="280">
        <f t="shared" si="11"/>
        <v>78.066666666666663</v>
      </c>
      <c r="AM14" s="278">
        <f t="shared" si="12"/>
        <v>11</v>
      </c>
      <c r="AN14" s="359"/>
      <c r="AO14" s="279">
        <v>17</v>
      </c>
      <c r="AP14" s="279">
        <v>1156</v>
      </c>
      <c r="AQ14" s="280">
        <f t="shared" si="13"/>
        <v>68</v>
      </c>
      <c r="AR14" s="278">
        <f t="shared" si="14"/>
        <v>11</v>
      </c>
      <c r="AS14" s="359"/>
      <c r="AT14" s="279">
        <v>14</v>
      </c>
      <c r="AU14" s="279">
        <v>1091</v>
      </c>
      <c r="AV14" s="280">
        <f t="shared" si="15"/>
        <v>77.928571428571431</v>
      </c>
      <c r="AW14" s="278">
        <f t="shared" si="16"/>
        <v>10</v>
      </c>
      <c r="AX14" s="359"/>
    </row>
    <row r="15" spans="1:50">
      <c r="A15" s="271"/>
      <c r="B15" s="346"/>
      <c r="C15" s="278">
        <v>9</v>
      </c>
      <c r="D15" s="278" t="s">
        <v>404</v>
      </c>
      <c r="E15" s="279">
        <f>VLOOKUP(D15,'10產線配置圖'!$A$2:$C$25,2,0)</f>
        <v>18</v>
      </c>
      <c r="F15" s="279">
        <f>VLOOKUP(D15,'10產線配置圖'!$A$2:$C$25,3,0)</f>
        <v>1385</v>
      </c>
      <c r="G15" s="280">
        <f t="shared" si="18"/>
        <v>76.944444444444443</v>
      </c>
      <c r="H15" s="357"/>
      <c r="I15" s="279">
        <f t="shared" si="1"/>
        <v>17.166666666666668</v>
      </c>
      <c r="J15" s="279">
        <f t="shared" si="1"/>
        <v>1192.3333333333333</v>
      </c>
      <c r="K15" s="280">
        <f t="shared" si="2"/>
        <v>69.31797385620915</v>
      </c>
      <c r="L15" s="357"/>
      <c r="M15" s="281">
        <f>RANK(K15, K$7:$K$24)</f>
        <v>13</v>
      </c>
      <c r="N15" s="355"/>
      <c r="O15" s="355"/>
      <c r="P15" s="279"/>
      <c r="Q15" s="279"/>
      <c r="R15" s="280" t="e">
        <f t="shared" si="3"/>
        <v>#DIV/0!</v>
      </c>
      <c r="S15" s="278" t="e">
        <f t="shared" si="4"/>
        <v>#DIV/0!</v>
      </c>
      <c r="T15" s="359"/>
      <c r="U15" s="279">
        <v>17</v>
      </c>
      <c r="V15" s="279">
        <v>1290</v>
      </c>
      <c r="W15" s="280">
        <f t="shared" si="5"/>
        <v>75.882352941176464</v>
      </c>
      <c r="X15" s="278">
        <f t="shared" si="6"/>
        <v>12</v>
      </c>
      <c r="Y15" s="359"/>
      <c r="Z15" s="278">
        <v>18</v>
      </c>
      <c r="AA15" s="279">
        <v>1253</v>
      </c>
      <c r="AB15" s="280">
        <f t="shared" si="7"/>
        <v>69.611111111111114</v>
      </c>
      <c r="AC15" s="278">
        <f t="shared" si="8"/>
        <v>13</v>
      </c>
      <c r="AD15" s="359"/>
      <c r="AE15" s="279">
        <v>15</v>
      </c>
      <c r="AF15" s="279">
        <v>952</v>
      </c>
      <c r="AG15" s="280">
        <f t="shared" si="9"/>
        <v>63.466666666666669</v>
      </c>
      <c r="AH15" s="278">
        <f t="shared" si="10"/>
        <v>14</v>
      </c>
      <c r="AI15" s="359"/>
      <c r="AJ15" s="279">
        <v>18</v>
      </c>
      <c r="AK15" s="279">
        <v>1351</v>
      </c>
      <c r="AL15" s="280">
        <f t="shared" si="11"/>
        <v>75.055555555555557</v>
      </c>
      <c r="AM15" s="278">
        <f t="shared" si="12"/>
        <v>12</v>
      </c>
      <c r="AN15" s="359"/>
      <c r="AO15" s="279">
        <v>17</v>
      </c>
      <c r="AP15" s="279">
        <v>1123</v>
      </c>
      <c r="AQ15" s="280">
        <f t="shared" si="13"/>
        <v>66.058823529411768</v>
      </c>
      <c r="AR15" s="278">
        <f t="shared" si="14"/>
        <v>12</v>
      </c>
      <c r="AS15" s="359"/>
      <c r="AT15" s="279">
        <v>18</v>
      </c>
      <c r="AU15" s="279">
        <v>1185</v>
      </c>
      <c r="AV15" s="280">
        <f t="shared" si="15"/>
        <v>65.833333333333329</v>
      </c>
      <c r="AW15" s="278">
        <f t="shared" si="16"/>
        <v>12</v>
      </c>
      <c r="AX15" s="359"/>
    </row>
    <row r="16" spans="1:50">
      <c r="A16" s="271"/>
      <c r="B16" s="346"/>
      <c r="C16" s="278">
        <v>10</v>
      </c>
      <c r="D16" s="278" t="s">
        <v>443</v>
      </c>
      <c r="E16" s="279">
        <f>VLOOKUP(D16,'10產線配置圖'!$A$2:$C$25,2,0)</f>
        <v>17</v>
      </c>
      <c r="F16" s="279">
        <f>VLOOKUP(D16,'10產線配置圖'!$A$2:$C$25,3,0)</f>
        <v>1565</v>
      </c>
      <c r="G16" s="280">
        <f t="shared" si="18"/>
        <v>92.058823529411768</v>
      </c>
      <c r="H16" s="357"/>
      <c r="I16" s="279">
        <f t="shared" si="1"/>
        <v>16.5</v>
      </c>
      <c r="J16" s="279">
        <f t="shared" si="1"/>
        <v>1434.6666666666667</v>
      </c>
      <c r="K16" s="280">
        <f t="shared" si="2"/>
        <v>86.907475490196077</v>
      </c>
      <c r="L16" s="357"/>
      <c r="M16" s="281">
        <f>RANK(K16, K$7:$K$24)</f>
        <v>6</v>
      </c>
      <c r="N16" s="355"/>
      <c r="O16" s="355"/>
      <c r="P16" s="279"/>
      <c r="Q16" s="279"/>
      <c r="R16" s="280" t="e">
        <f t="shared" si="3"/>
        <v>#DIV/0!</v>
      </c>
      <c r="S16" s="278" t="e">
        <f t="shared" si="4"/>
        <v>#DIV/0!</v>
      </c>
      <c r="T16" s="359"/>
      <c r="U16" s="279">
        <v>16</v>
      </c>
      <c r="V16" s="279">
        <v>1373</v>
      </c>
      <c r="W16" s="280">
        <f t="shared" si="5"/>
        <v>85.8125</v>
      </c>
      <c r="X16" s="278">
        <f t="shared" si="6"/>
        <v>7</v>
      </c>
      <c r="Y16" s="359"/>
      <c r="Z16" s="278">
        <v>17</v>
      </c>
      <c r="AA16" s="279">
        <v>1478</v>
      </c>
      <c r="AB16" s="280">
        <f t="shared" si="7"/>
        <v>86.941176470588232</v>
      </c>
      <c r="AC16" s="278">
        <f t="shared" si="8"/>
        <v>6</v>
      </c>
      <c r="AD16" s="359"/>
      <c r="AE16" s="279">
        <v>16</v>
      </c>
      <c r="AF16" s="279">
        <v>1354</v>
      </c>
      <c r="AG16" s="280">
        <f t="shared" si="9"/>
        <v>84.625</v>
      </c>
      <c r="AH16" s="278">
        <f t="shared" si="10"/>
        <v>8</v>
      </c>
      <c r="AI16" s="359"/>
      <c r="AJ16" s="279">
        <v>16</v>
      </c>
      <c r="AK16" s="279">
        <v>1378</v>
      </c>
      <c r="AL16" s="280">
        <f t="shared" si="11"/>
        <v>86.125</v>
      </c>
      <c r="AM16" s="278">
        <f t="shared" si="12"/>
        <v>9</v>
      </c>
      <c r="AN16" s="359"/>
      <c r="AO16" s="279">
        <v>17</v>
      </c>
      <c r="AP16" s="279">
        <v>1551</v>
      </c>
      <c r="AQ16" s="280">
        <f t="shared" si="13"/>
        <v>91.235294117647058</v>
      </c>
      <c r="AR16" s="278">
        <f t="shared" si="14"/>
        <v>6</v>
      </c>
      <c r="AS16" s="359"/>
      <c r="AT16" s="279">
        <v>17</v>
      </c>
      <c r="AU16" s="279">
        <v>1474</v>
      </c>
      <c r="AV16" s="280">
        <f t="shared" si="15"/>
        <v>86.705882352941174</v>
      </c>
      <c r="AW16" s="278">
        <f t="shared" si="16"/>
        <v>6</v>
      </c>
      <c r="AX16" s="359"/>
    </row>
    <row r="17" spans="2:50">
      <c r="B17" s="346"/>
      <c r="C17" s="278">
        <v>11</v>
      </c>
      <c r="D17" s="278" t="s">
        <v>554</v>
      </c>
      <c r="E17" s="279">
        <f>VLOOKUP(D17,'10產線配置圖'!$A$2:$C$25,2,0)</f>
        <v>15</v>
      </c>
      <c r="F17" s="279">
        <f>VLOOKUP(D17,'10產線配置圖'!$A$2:$C$25,3,0)</f>
        <v>1800</v>
      </c>
      <c r="G17" s="280">
        <f t="shared" si="18"/>
        <v>120</v>
      </c>
      <c r="H17" s="357"/>
      <c r="I17" s="279">
        <f t="shared" ref="I17:I19" si="19">AVERAGE(P17,U17,Z17,AE17,AJ17,AO17,AT17)</f>
        <v>15.166666666666666</v>
      </c>
      <c r="J17" s="279">
        <f t="shared" ref="J17:J19" si="20">AVERAGE(Q17,V17,AA17,AF17,AK17,AP17,AU17)</f>
        <v>1200.5</v>
      </c>
      <c r="K17" s="280">
        <f t="shared" si="2"/>
        <v>79.046766591251881</v>
      </c>
      <c r="L17" s="357"/>
      <c r="M17" s="281">
        <f>RANK(K17, K$7:$K$24)</f>
        <v>10</v>
      </c>
      <c r="N17" s="355"/>
      <c r="O17" s="355"/>
      <c r="P17" s="278"/>
      <c r="Q17" s="278"/>
      <c r="R17" s="280" t="e">
        <f>Q17/P17</f>
        <v>#DIV/0!</v>
      </c>
      <c r="S17" s="278" t="e">
        <f t="shared" si="4"/>
        <v>#DIV/0!</v>
      </c>
      <c r="T17" s="359"/>
      <c r="U17" s="278">
        <v>15</v>
      </c>
      <c r="V17" s="278">
        <v>1164</v>
      </c>
      <c r="W17" s="278">
        <f>V17/U17</f>
        <v>77.599999999999994</v>
      </c>
      <c r="X17" s="278">
        <f t="shared" si="6"/>
        <v>11</v>
      </c>
      <c r="Y17" s="359"/>
      <c r="Z17" s="278">
        <v>15</v>
      </c>
      <c r="AA17" s="278">
        <v>1111</v>
      </c>
      <c r="AB17" s="280">
        <f>AA17/Z17</f>
        <v>74.066666666666663</v>
      </c>
      <c r="AC17" s="278">
        <f t="shared" si="8"/>
        <v>10</v>
      </c>
      <c r="AD17" s="359"/>
      <c r="AE17" s="278">
        <v>13</v>
      </c>
      <c r="AF17" s="278">
        <v>1054</v>
      </c>
      <c r="AG17" s="280">
        <f>AF17/AE17</f>
        <v>81.07692307692308</v>
      </c>
      <c r="AH17" s="278">
        <f t="shared" si="10"/>
        <v>9</v>
      </c>
      <c r="AI17" s="359"/>
      <c r="AJ17" s="278">
        <v>17</v>
      </c>
      <c r="AK17" s="278">
        <v>1478</v>
      </c>
      <c r="AL17" s="280">
        <f>AK17/AJ17</f>
        <v>86.941176470588232</v>
      </c>
      <c r="AM17" s="278">
        <f t="shared" si="12"/>
        <v>7</v>
      </c>
      <c r="AN17" s="359"/>
      <c r="AO17" s="278">
        <v>16</v>
      </c>
      <c r="AP17" s="278">
        <v>1233</v>
      </c>
      <c r="AQ17" s="280">
        <f>AP17/AO17</f>
        <v>77.0625</v>
      </c>
      <c r="AR17" s="278">
        <f t="shared" si="14"/>
        <v>10</v>
      </c>
      <c r="AS17" s="359"/>
      <c r="AT17" s="278">
        <v>15</v>
      </c>
      <c r="AU17" s="279">
        <v>1163</v>
      </c>
      <c r="AV17" s="280">
        <f t="shared" si="15"/>
        <v>77.533333333333331</v>
      </c>
      <c r="AW17" s="278">
        <f t="shared" si="16"/>
        <v>11</v>
      </c>
      <c r="AX17" s="359"/>
    </row>
    <row r="18" spans="2:50">
      <c r="B18" s="346"/>
      <c r="C18" s="278">
        <v>12</v>
      </c>
      <c r="D18" s="278" t="s">
        <v>555</v>
      </c>
      <c r="E18" s="279">
        <f>VLOOKUP(D18,'10產線配置圖'!$A$2:$C$25,2,0)</f>
        <v>18</v>
      </c>
      <c r="F18" s="279">
        <f>VLOOKUP(D18,'10產線配置圖'!$A$2:$C$25,3,0)</f>
        <v>1636</v>
      </c>
      <c r="G18" s="280">
        <f t="shared" si="18"/>
        <v>90.888888888888886</v>
      </c>
      <c r="H18" s="357"/>
      <c r="I18" s="278">
        <f t="shared" si="19"/>
        <v>16</v>
      </c>
      <c r="J18" s="279">
        <f t="shared" si="20"/>
        <v>1220.5</v>
      </c>
      <c r="K18" s="280">
        <f t="shared" si="2"/>
        <v>76.055596405228755</v>
      </c>
      <c r="L18" s="357"/>
      <c r="M18" s="281">
        <f>RANK(K18, K$7:$K$24)</f>
        <v>12</v>
      </c>
      <c r="N18" s="355"/>
      <c r="O18" s="355"/>
      <c r="P18" s="278"/>
      <c r="Q18" s="278"/>
      <c r="R18" s="280" t="e">
        <f t="shared" si="3"/>
        <v>#DIV/0!</v>
      </c>
      <c r="S18" s="278" t="e">
        <f t="shared" si="4"/>
        <v>#DIV/0!</v>
      </c>
      <c r="T18" s="359"/>
      <c r="U18" s="278">
        <v>15</v>
      </c>
      <c r="V18" s="278">
        <v>1176</v>
      </c>
      <c r="W18" s="278">
        <f t="shared" si="5"/>
        <v>78.400000000000006</v>
      </c>
      <c r="X18" s="278">
        <f t="shared" si="6"/>
        <v>10</v>
      </c>
      <c r="Y18" s="359"/>
      <c r="Z18" s="278">
        <v>18</v>
      </c>
      <c r="AA18" s="278">
        <v>1317</v>
      </c>
      <c r="AB18" s="280">
        <f t="shared" si="7"/>
        <v>73.166666666666671</v>
      </c>
      <c r="AC18" s="278">
        <f t="shared" si="8"/>
        <v>11</v>
      </c>
      <c r="AD18" s="359"/>
      <c r="AE18" s="278">
        <v>15</v>
      </c>
      <c r="AF18" s="278">
        <v>1114</v>
      </c>
      <c r="AG18" s="280">
        <f t="shared" ref="AG18:AG20" si="21">AF18/AE18</f>
        <v>74.266666666666666</v>
      </c>
      <c r="AH18" s="278">
        <f t="shared" si="10"/>
        <v>12</v>
      </c>
      <c r="AI18" s="359"/>
      <c r="AJ18" s="278">
        <v>15</v>
      </c>
      <c r="AK18" s="278">
        <v>893</v>
      </c>
      <c r="AL18" s="280">
        <f t="shared" ref="AL18:AL19" si="22">AK18/AJ18</f>
        <v>59.533333333333331</v>
      </c>
      <c r="AM18" s="278">
        <f t="shared" si="12"/>
        <v>13</v>
      </c>
      <c r="AN18" s="359"/>
      <c r="AO18" s="278">
        <v>17</v>
      </c>
      <c r="AP18" s="278">
        <v>1488</v>
      </c>
      <c r="AQ18" s="280">
        <f t="shared" ref="AQ18:AQ19" si="23">AP18/AO18</f>
        <v>87.529411764705884</v>
      </c>
      <c r="AR18" s="278">
        <f t="shared" si="14"/>
        <v>7</v>
      </c>
      <c r="AS18" s="359"/>
      <c r="AT18" s="278">
        <v>16</v>
      </c>
      <c r="AU18" s="278">
        <v>1335</v>
      </c>
      <c r="AV18" s="280">
        <f t="shared" si="15"/>
        <v>83.4375</v>
      </c>
      <c r="AW18" s="278">
        <f>RANK(AV18, AV$7:AV$24)</f>
        <v>9</v>
      </c>
      <c r="AX18" s="359"/>
    </row>
    <row r="19" spans="2:50">
      <c r="B19" s="346"/>
      <c r="C19" s="278">
        <v>13</v>
      </c>
      <c r="D19" s="278" t="s">
        <v>566</v>
      </c>
      <c r="E19" s="279">
        <f>VLOOKUP(D19,'10產線配置圖'!$A$2:$C$25,2,0)</f>
        <v>17</v>
      </c>
      <c r="F19" s="279">
        <f>VLOOKUP(D19,'10產線配置圖'!$A$2:$C$25,3,0)</f>
        <v>1500</v>
      </c>
      <c r="G19" s="280">
        <f t="shared" si="18"/>
        <v>88.235294117647058</v>
      </c>
      <c r="H19" s="357"/>
      <c r="I19" s="279">
        <f t="shared" si="19"/>
        <v>17.166666666666668</v>
      </c>
      <c r="J19" s="279">
        <f t="shared" si="20"/>
        <v>1447</v>
      </c>
      <c r="K19" s="280">
        <f t="shared" si="2"/>
        <v>84.374183006535944</v>
      </c>
      <c r="L19" s="357"/>
      <c r="M19" s="281">
        <f>RANK(K19, K$7:$K$24)</f>
        <v>9</v>
      </c>
      <c r="N19" s="355"/>
      <c r="O19" s="355"/>
      <c r="P19" s="278"/>
      <c r="Q19" s="278"/>
      <c r="R19" s="280" t="e">
        <f t="shared" si="3"/>
        <v>#DIV/0!</v>
      </c>
      <c r="S19" s="278" t="e">
        <f t="shared" si="4"/>
        <v>#DIV/0!</v>
      </c>
      <c r="T19" s="359"/>
      <c r="U19" s="278">
        <v>17</v>
      </c>
      <c r="V19" s="278">
        <v>1484</v>
      </c>
      <c r="W19" s="280">
        <f t="shared" si="5"/>
        <v>87.294117647058826</v>
      </c>
      <c r="X19" s="278">
        <f t="shared" si="6"/>
        <v>6</v>
      </c>
      <c r="Y19" s="359"/>
      <c r="Z19" s="278">
        <v>17</v>
      </c>
      <c r="AA19" s="278">
        <v>1400</v>
      </c>
      <c r="AB19" s="280">
        <f t="shared" si="7"/>
        <v>82.352941176470594</v>
      </c>
      <c r="AC19" s="278">
        <f t="shared" si="8"/>
        <v>9</v>
      </c>
      <c r="AD19" s="359"/>
      <c r="AE19" s="278">
        <v>18</v>
      </c>
      <c r="AF19" s="278">
        <v>1365</v>
      </c>
      <c r="AG19" s="280">
        <f t="shared" si="21"/>
        <v>75.833333333333329</v>
      </c>
      <c r="AH19" s="278">
        <f t="shared" si="10"/>
        <v>11</v>
      </c>
      <c r="AI19" s="359"/>
      <c r="AJ19" s="278">
        <v>17</v>
      </c>
      <c r="AK19" s="278">
        <v>1493</v>
      </c>
      <c r="AL19" s="280">
        <f t="shared" si="22"/>
        <v>87.82352941176471</v>
      </c>
      <c r="AM19" s="278">
        <f t="shared" si="12"/>
        <v>6</v>
      </c>
      <c r="AN19" s="359"/>
      <c r="AO19" s="278">
        <v>17</v>
      </c>
      <c r="AP19" s="278">
        <v>1486</v>
      </c>
      <c r="AQ19" s="280">
        <f t="shared" si="23"/>
        <v>87.411764705882348</v>
      </c>
      <c r="AR19" s="278">
        <f t="shared" si="14"/>
        <v>8</v>
      </c>
      <c r="AS19" s="359"/>
      <c r="AT19" s="278">
        <v>17</v>
      </c>
      <c r="AU19" s="278">
        <v>1454</v>
      </c>
      <c r="AV19" s="280">
        <f t="shared" si="15"/>
        <v>85.529411764705884</v>
      </c>
      <c r="AW19" s="278">
        <f t="shared" si="16"/>
        <v>7</v>
      </c>
      <c r="AX19" s="359"/>
    </row>
    <row r="20" spans="2:50">
      <c r="B20" s="346"/>
      <c r="C20" s="278">
        <v>14</v>
      </c>
      <c r="D20" s="278" t="s">
        <v>530</v>
      </c>
      <c r="E20" s="279">
        <f>VLOOKUP(D20,'10產線配置圖'!$A$2:$C$25,2,0)</f>
        <v>17</v>
      </c>
      <c r="F20" s="279">
        <f>VLOOKUP(D20,'10產線配置圖'!$A$2:$C$25,3,0)</f>
        <v>1636</v>
      </c>
      <c r="G20" s="280">
        <f t="shared" ref="G20" si="24">F20/E20</f>
        <v>96.235294117647058</v>
      </c>
      <c r="H20" s="357"/>
      <c r="I20" s="279">
        <f t="shared" ref="I20" si="25">AVERAGE(P20,U20,Z20,AE20,AJ20,AO20,AT20)</f>
        <v>14.666666666666666</v>
      </c>
      <c r="J20" s="279">
        <f t="shared" ref="J20" si="26">AVERAGE(Q20,V20,AA20,AF20,AK20,AP20,AU20)</f>
        <v>1254.3333333333333</v>
      </c>
      <c r="K20" s="280">
        <f t="shared" ref="K20" si="27">AVERAGE(W20,AB20,AG20,AL20,AQ20,AV20)</f>
        <v>86.706303418803415</v>
      </c>
      <c r="L20" s="357"/>
      <c r="M20" s="281">
        <f>RANK(K20, K$7:$K$24)</f>
        <v>7</v>
      </c>
      <c r="N20" s="355"/>
      <c r="O20" s="355"/>
      <c r="P20" s="278"/>
      <c r="Q20" s="278"/>
      <c r="R20" s="280" t="e">
        <f t="shared" si="3"/>
        <v>#DIV/0!</v>
      </c>
      <c r="S20" s="278" t="e">
        <f t="shared" si="4"/>
        <v>#DIV/0!</v>
      </c>
      <c r="T20" s="359"/>
      <c r="U20" s="278">
        <v>16</v>
      </c>
      <c r="V20" s="278">
        <v>1137</v>
      </c>
      <c r="W20" s="280">
        <f t="shared" si="5"/>
        <v>71.0625</v>
      </c>
      <c r="X20" s="278">
        <f t="shared" si="6"/>
        <v>13</v>
      </c>
      <c r="Y20" s="359"/>
      <c r="Z20" s="278">
        <v>15</v>
      </c>
      <c r="AA20" s="278">
        <v>1262</v>
      </c>
      <c r="AB20" s="280">
        <f t="shared" si="7"/>
        <v>84.13333333333334</v>
      </c>
      <c r="AC20" s="278">
        <f t="shared" si="8"/>
        <v>8</v>
      </c>
      <c r="AD20" s="359"/>
      <c r="AE20" s="278">
        <v>13</v>
      </c>
      <c r="AF20" s="278">
        <v>1364</v>
      </c>
      <c r="AG20" s="280">
        <f t="shared" si="21"/>
        <v>104.92307692307692</v>
      </c>
      <c r="AH20" s="278">
        <f t="shared" si="10"/>
        <v>5</v>
      </c>
      <c r="AI20" s="359"/>
      <c r="AJ20" s="278"/>
      <c r="AK20" s="278"/>
      <c r="AL20" s="280"/>
      <c r="AM20" s="278"/>
      <c r="AN20" s="359"/>
      <c r="AO20" s="278"/>
      <c r="AP20" s="278"/>
      <c r="AQ20" s="278"/>
      <c r="AR20" s="278"/>
      <c r="AS20" s="359"/>
      <c r="AT20" s="278"/>
      <c r="AU20" s="278"/>
      <c r="AV20" s="280"/>
      <c r="AW20" s="278"/>
      <c r="AX20" s="359"/>
    </row>
    <row r="21" spans="2:50">
      <c r="B21" s="346"/>
      <c r="C21" s="278">
        <v>15</v>
      </c>
      <c r="D21" s="278"/>
      <c r="E21" s="279"/>
      <c r="F21" s="279"/>
      <c r="G21" s="280"/>
      <c r="H21" s="357"/>
      <c r="I21" s="278"/>
      <c r="J21" s="278"/>
      <c r="K21" s="278"/>
      <c r="L21" s="357"/>
      <c r="M21" s="279"/>
      <c r="N21" s="355"/>
      <c r="O21" s="355"/>
      <c r="P21" s="278"/>
      <c r="Q21" s="278"/>
      <c r="R21" s="280" t="e">
        <f t="shared" si="3"/>
        <v>#DIV/0!</v>
      </c>
      <c r="S21" s="278" t="e">
        <f t="shared" si="4"/>
        <v>#DIV/0!</v>
      </c>
      <c r="T21" s="359"/>
      <c r="U21" s="278"/>
      <c r="V21" s="278"/>
      <c r="W21" s="280"/>
      <c r="X21" s="278"/>
      <c r="Y21" s="359"/>
      <c r="Z21" s="278"/>
      <c r="AA21" s="278"/>
      <c r="AB21" s="278"/>
      <c r="AC21" s="278"/>
      <c r="AD21" s="359"/>
      <c r="AE21" s="278"/>
      <c r="AF21" s="278"/>
      <c r="AG21" s="280"/>
      <c r="AH21" s="278"/>
      <c r="AI21" s="359"/>
      <c r="AJ21" s="278"/>
      <c r="AK21" s="278"/>
      <c r="AL21" s="278"/>
      <c r="AM21" s="278"/>
      <c r="AN21" s="359"/>
      <c r="AO21" s="278"/>
      <c r="AP21" s="278"/>
      <c r="AQ21" s="278"/>
      <c r="AR21" s="278"/>
      <c r="AS21" s="359"/>
      <c r="AT21" s="278"/>
      <c r="AU21" s="278"/>
      <c r="AV21" s="280"/>
      <c r="AW21" s="278"/>
      <c r="AX21" s="359"/>
    </row>
    <row r="22" spans="2:50">
      <c r="B22" s="346"/>
      <c r="C22" s="278">
        <v>16</v>
      </c>
      <c r="D22" s="278"/>
      <c r="E22" s="279"/>
      <c r="F22" s="279"/>
      <c r="G22" s="280"/>
      <c r="H22" s="357"/>
      <c r="I22" s="278"/>
      <c r="J22" s="278"/>
      <c r="K22" s="278"/>
      <c r="L22" s="357"/>
      <c r="M22" s="279"/>
      <c r="N22" s="355"/>
      <c r="O22" s="355"/>
      <c r="P22" s="278"/>
      <c r="Q22" s="278"/>
      <c r="R22" s="280" t="e">
        <f t="shared" ref="R22" si="28">Q22/P22</f>
        <v>#DIV/0!</v>
      </c>
      <c r="S22" s="278" t="e">
        <f t="shared" ref="S22" si="29">RANK(R22, R$7:R$24)</f>
        <v>#DIV/0!</v>
      </c>
      <c r="T22" s="359"/>
      <c r="U22" s="278"/>
      <c r="V22" s="278"/>
      <c r="W22" s="280"/>
      <c r="X22" s="278"/>
      <c r="Y22" s="359"/>
      <c r="Z22" s="278"/>
      <c r="AA22" s="278"/>
      <c r="AB22" s="278"/>
      <c r="AC22" s="278"/>
      <c r="AD22" s="359"/>
      <c r="AE22" s="278"/>
      <c r="AF22" s="278"/>
      <c r="AG22" s="280"/>
      <c r="AH22" s="278"/>
      <c r="AI22" s="359"/>
      <c r="AJ22" s="278"/>
      <c r="AK22" s="278"/>
      <c r="AL22" s="278"/>
      <c r="AM22" s="278"/>
      <c r="AN22" s="359"/>
      <c r="AO22" s="278"/>
      <c r="AP22" s="278"/>
      <c r="AQ22" s="278"/>
      <c r="AR22" s="278"/>
      <c r="AS22" s="359"/>
      <c r="AT22" s="278"/>
      <c r="AU22" s="278"/>
      <c r="AV22" s="278"/>
      <c r="AW22" s="278"/>
      <c r="AX22" s="359"/>
    </row>
    <row r="23" spans="2:50">
      <c r="B23" s="346"/>
      <c r="C23" s="278">
        <v>17</v>
      </c>
      <c r="D23" s="278"/>
      <c r="E23" s="279"/>
      <c r="F23" s="279"/>
      <c r="G23" s="280"/>
      <c r="H23" s="357"/>
      <c r="I23" s="278"/>
      <c r="J23" s="278"/>
      <c r="K23" s="278"/>
      <c r="L23" s="357"/>
      <c r="M23" s="279"/>
      <c r="N23" s="355"/>
      <c r="O23" s="355"/>
      <c r="P23" s="278"/>
      <c r="Q23" s="278"/>
      <c r="R23" s="280" t="e">
        <f t="shared" ref="R23" si="30">Q23/P23</f>
        <v>#DIV/0!</v>
      </c>
      <c r="S23" s="278" t="e">
        <f t="shared" ref="S23" si="31">RANK(R23, R$7:R$24)</f>
        <v>#DIV/0!</v>
      </c>
      <c r="T23" s="359"/>
      <c r="U23" s="278"/>
      <c r="V23" s="278"/>
      <c r="W23" s="280"/>
      <c r="X23" s="278"/>
      <c r="Y23" s="359"/>
      <c r="Z23" s="278"/>
      <c r="AA23" s="278"/>
      <c r="AB23" s="278"/>
      <c r="AC23" s="278"/>
      <c r="AD23" s="359"/>
      <c r="AE23" s="278"/>
      <c r="AF23" s="278"/>
      <c r="AG23" s="280"/>
      <c r="AH23" s="278"/>
      <c r="AI23" s="359"/>
      <c r="AJ23" s="278"/>
      <c r="AK23" s="278"/>
      <c r="AL23" s="278"/>
      <c r="AM23" s="278"/>
      <c r="AN23" s="359"/>
      <c r="AO23" s="278"/>
      <c r="AP23" s="278"/>
      <c r="AQ23" s="278"/>
      <c r="AR23" s="278"/>
      <c r="AS23" s="359"/>
      <c r="AT23" s="278"/>
      <c r="AU23" s="278"/>
      <c r="AV23" s="278"/>
      <c r="AW23" s="278"/>
      <c r="AX23" s="359"/>
    </row>
    <row r="24" spans="2:50">
      <c r="B24" s="346"/>
      <c r="C24" s="278">
        <v>18</v>
      </c>
      <c r="D24" s="278"/>
      <c r="E24" s="279"/>
      <c r="F24" s="279"/>
      <c r="G24" s="280"/>
      <c r="H24" s="358"/>
      <c r="I24" s="278"/>
      <c r="J24" s="278"/>
      <c r="K24" s="278"/>
      <c r="L24" s="358"/>
      <c r="M24" s="279"/>
      <c r="N24" s="355"/>
      <c r="O24" s="355"/>
      <c r="P24" s="278"/>
      <c r="Q24" s="278"/>
      <c r="R24" s="280" t="e">
        <f t="shared" si="3"/>
        <v>#DIV/0!</v>
      </c>
      <c r="S24" s="278" t="e">
        <f t="shared" si="4"/>
        <v>#DIV/0!</v>
      </c>
      <c r="T24" s="359"/>
      <c r="U24" s="278"/>
      <c r="V24" s="278"/>
      <c r="W24" s="280"/>
      <c r="X24" s="278"/>
      <c r="Y24" s="359"/>
      <c r="Z24" s="278"/>
      <c r="AA24" s="278"/>
      <c r="AB24" s="278"/>
      <c r="AC24" s="278"/>
      <c r="AD24" s="359"/>
      <c r="AE24" s="278"/>
      <c r="AF24" s="278"/>
      <c r="AG24" s="280"/>
      <c r="AH24" s="278"/>
      <c r="AI24" s="359"/>
      <c r="AJ24" s="278"/>
      <c r="AK24" s="278"/>
      <c r="AL24" s="278"/>
      <c r="AM24" s="278"/>
      <c r="AN24" s="359"/>
      <c r="AO24" s="278"/>
      <c r="AP24" s="278"/>
      <c r="AQ24" s="278"/>
      <c r="AR24" s="278"/>
      <c r="AS24" s="359"/>
      <c r="AT24" s="278"/>
      <c r="AU24" s="278"/>
      <c r="AV24" s="278"/>
      <c r="AW24" s="278"/>
      <c r="AX24" s="359"/>
    </row>
    <row r="25" spans="2:50" ht="15.75">
      <c r="B25" s="365" t="s">
        <v>449</v>
      </c>
      <c r="C25" s="366"/>
      <c r="D25" s="366"/>
      <c r="E25" s="366"/>
      <c r="F25" s="366"/>
      <c r="G25" s="366"/>
      <c r="H25" s="366"/>
      <c r="I25" s="272"/>
      <c r="J25" s="272"/>
      <c r="K25" s="272"/>
      <c r="L25" s="272"/>
      <c r="M25" s="273"/>
      <c r="N25" s="350" t="s">
        <v>450</v>
      </c>
      <c r="O25" s="350" t="s">
        <v>451</v>
      </c>
      <c r="P25" s="345">
        <v>45937</v>
      </c>
      <c r="Q25" s="346"/>
      <c r="R25" s="346"/>
      <c r="S25" s="346"/>
      <c r="T25" s="346"/>
      <c r="U25" s="345">
        <v>45938</v>
      </c>
      <c r="V25" s="346"/>
      <c r="W25" s="346"/>
      <c r="X25" s="346"/>
      <c r="Y25" s="346"/>
      <c r="Z25" s="345">
        <v>45939</v>
      </c>
      <c r="AA25" s="346"/>
      <c r="AB25" s="346"/>
      <c r="AC25" s="346"/>
      <c r="AD25" s="346"/>
      <c r="AE25" s="345">
        <v>45940</v>
      </c>
      <c r="AF25" s="346"/>
      <c r="AG25" s="346"/>
      <c r="AH25" s="346"/>
      <c r="AI25" s="346"/>
      <c r="AJ25" s="345">
        <v>45941</v>
      </c>
      <c r="AK25" s="346"/>
      <c r="AL25" s="346"/>
      <c r="AM25" s="346"/>
      <c r="AN25" s="346"/>
      <c r="AO25" s="345">
        <v>45942</v>
      </c>
      <c r="AP25" s="346"/>
      <c r="AQ25" s="346"/>
      <c r="AR25" s="346"/>
      <c r="AS25" s="346"/>
      <c r="AT25" s="345">
        <v>45943</v>
      </c>
      <c r="AU25" s="346"/>
      <c r="AV25" s="346"/>
      <c r="AW25" s="346"/>
      <c r="AX25" s="346"/>
    </row>
    <row r="26" spans="2:50" ht="15.75">
      <c r="B26" s="349"/>
      <c r="C26" s="349"/>
      <c r="D26" s="349"/>
      <c r="E26" s="349"/>
      <c r="F26" s="349"/>
      <c r="G26" s="349"/>
      <c r="H26" s="349"/>
      <c r="I26" s="274"/>
      <c r="J26" s="274"/>
      <c r="K26" s="274"/>
      <c r="L26" s="274"/>
      <c r="M26" s="275"/>
      <c r="N26" s="351"/>
      <c r="O26" s="351"/>
      <c r="P26" s="345" t="s">
        <v>478</v>
      </c>
      <c r="Q26" s="346"/>
      <c r="R26" s="346"/>
      <c r="S26" s="346"/>
      <c r="T26" s="346"/>
      <c r="U26" s="345" t="s">
        <v>453</v>
      </c>
      <c r="V26" s="346"/>
      <c r="W26" s="346"/>
      <c r="X26" s="346"/>
      <c r="Y26" s="346"/>
      <c r="Z26" s="345" t="s">
        <v>479</v>
      </c>
      <c r="AA26" s="346"/>
      <c r="AB26" s="346"/>
      <c r="AC26" s="346"/>
      <c r="AD26" s="346"/>
      <c r="AE26" s="345" t="s">
        <v>455</v>
      </c>
      <c r="AF26" s="346"/>
      <c r="AG26" s="346"/>
      <c r="AH26" s="346"/>
      <c r="AI26" s="346"/>
      <c r="AJ26" s="345" t="s">
        <v>480</v>
      </c>
      <c r="AK26" s="346"/>
      <c r="AL26" s="346"/>
      <c r="AM26" s="346"/>
      <c r="AN26" s="346"/>
      <c r="AO26" s="345" t="s">
        <v>481</v>
      </c>
      <c r="AP26" s="346"/>
      <c r="AQ26" s="346"/>
      <c r="AR26" s="346"/>
      <c r="AS26" s="346"/>
      <c r="AT26" s="345" t="s">
        <v>458</v>
      </c>
      <c r="AU26" s="346"/>
      <c r="AV26" s="346"/>
      <c r="AW26" s="346"/>
      <c r="AX26" s="346"/>
    </row>
    <row r="27" spans="2:50">
      <c r="B27" s="355" t="s">
        <v>459</v>
      </c>
      <c r="C27" s="360" t="s">
        <v>150</v>
      </c>
      <c r="D27" s="355"/>
      <c r="E27" s="355" t="s">
        <v>482</v>
      </c>
      <c r="F27" s="355"/>
      <c r="G27" s="355"/>
      <c r="H27" s="361" t="s">
        <v>468</v>
      </c>
      <c r="I27" s="355" t="s">
        <v>463</v>
      </c>
      <c r="J27" s="355"/>
      <c r="K27" s="355"/>
      <c r="L27" s="361" t="s">
        <v>462</v>
      </c>
      <c r="M27" s="350" t="s">
        <v>464</v>
      </c>
      <c r="N27" s="355"/>
      <c r="O27" s="355" t="s">
        <v>483</v>
      </c>
      <c r="P27" s="352" t="s">
        <v>467</v>
      </c>
      <c r="Q27" s="353"/>
      <c r="R27" s="353"/>
      <c r="S27" s="354"/>
      <c r="T27" s="355" t="s">
        <v>462</v>
      </c>
      <c r="U27" s="352" t="s">
        <v>466</v>
      </c>
      <c r="V27" s="353"/>
      <c r="W27" s="353"/>
      <c r="X27" s="354"/>
      <c r="Y27" s="355" t="s">
        <v>468</v>
      </c>
      <c r="Z27" s="352" t="s">
        <v>467</v>
      </c>
      <c r="AA27" s="353"/>
      <c r="AB27" s="353"/>
      <c r="AC27" s="354"/>
      <c r="AD27" s="355" t="s">
        <v>462</v>
      </c>
      <c r="AE27" s="352" t="s">
        <v>467</v>
      </c>
      <c r="AF27" s="353"/>
      <c r="AG27" s="353"/>
      <c r="AH27" s="354"/>
      <c r="AI27" s="355" t="s">
        <v>468</v>
      </c>
      <c r="AJ27" s="352" t="s">
        <v>466</v>
      </c>
      <c r="AK27" s="353"/>
      <c r="AL27" s="353"/>
      <c r="AM27" s="354"/>
      <c r="AN27" s="355" t="s">
        <v>468</v>
      </c>
      <c r="AO27" s="352" t="s">
        <v>466</v>
      </c>
      <c r="AP27" s="353"/>
      <c r="AQ27" s="353"/>
      <c r="AR27" s="354"/>
      <c r="AS27" s="355" t="s">
        <v>468</v>
      </c>
      <c r="AT27" s="352" t="s">
        <v>466</v>
      </c>
      <c r="AU27" s="353"/>
      <c r="AV27" s="353"/>
      <c r="AW27" s="354"/>
      <c r="AX27" s="355" t="s">
        <v>462</v>
      </c>
    </row>
    <row r="28" spans="2:50">
      <c r="B28" s="355"/>
      <c r="C28" s="355"/>
      <c r="D28" s="355"/>
      <c r="E28" s="355" t="s">
        <v>484</v>
      </c>
      <c r="F28" s="355"/>
      <c r="G28" s="355"/>
      <c r="H28" s="362"/>
      <c r="I28" s="355" t="s">
        <v>484</v>
      </c>
      <c r="J28" s="355"/>
      <c r="K28" s="355"/>
      <c r="L28" s="362"/>
      <c r="M28" s="364"/>
      <c r="N28" s="355"/>
      <c r="O28" s="355"/>
      <c r="P28" s="352" t="s">
        <v>470</v>
      </c>
      <c r="Q28" s="353"/>
      <c r="R28" s="353"/>
      <c r="S28" s="354"/>
      <c r="T28" s="355"/>
      <c r="U28" s="352" t="s">
        <v>471</v>
      </c>
      <c r="V28" s="353"/>
      <c r="W28" s="353"/>
      <c r="X28" s="354"/>
      <c r="Y28" s="355"/>
      <c r="Z28" s="352" t="s">
        <v>471</v>
      </c>
      <c r="AA28" s="353"/>
      <c r="AB28" s="353"/>
      <c r="AC28" s="354"/>
      <c r="AD28" s="355"/>
      <c r="AE28" s="352" t="s">
        <v>471</v>
      </c>
      <c r="AF28" s="353"/>
      <c r="AG28" s="353"/>
      <c r="AH28" s="354"/>
      <c r="AI28" s="355"/>
      <c r="AJ28" s="352" t="s">
        <v>471</v>
      </c>
      <c r="AK28" s="353"/>
      <c r="AL28" s="353"/>
      <c r="AM28" s="354"/>
      <c r="AN28" s="355"/>
      <c r="AO28" s="352" t="s">
        <v>471</v>
      </c>
      <c r="AP28" s="353"/>
      <c r="AQ28" s="353"/>
      <c r="AR28" s="354"/>
      <c r="AS28" s="355"/>
      <c r="AT28" s="352" t="s">
        <v>470</v>
      </c>
      <c r="AU28" s="353"/>
      <c r="AV28" s="353"/>
      <c r="AW28" s="354"/>
      <c r="AX28" s="355"/>
    </row>
    <row r="29" spans="2:50">
      <c r="B29" s="355"/>
      <c r="C29" s="355"/>
      <c r="D29" s="355"/>
      <c r="E29" s="277" t="s">
        <v>472</v>
      </c>
      <c r="F29" s="277" t="s">
        <v>473</v>
      </c>
      <c r="G29" s="277" t="s">
        <v>485</v>
      </c>
      <c r="H29" s="363"/>
      <c r="I29" s="277" t="s">
        <v>472</v>
      </c>
      <c r="J29" s="277" t="s">
        <v>473</v>
      </c>
      <c r="K29" s="277" t="s">
        <v>485</v>
      </c>
      <c r="L29" s="363"/>
      <c r="M29" s="351"/>
      <c r="N29" s="355"/>
      <c r="O29" s="355"/>
      <c r="P29" s="277" t="s">
        <v>476</v>
      </c>
      <c r="Q29" s="277" t="s">
        <v>473</v>
      </c>
      <c r="R29" s="277" t="s">
        <v>485</v>
      </c>
      <c r="S29" s="277" t="s">
        <v>477</v>
      </c>
      <c r="T29" s="355"/>
      <c r="U29" s="277" t="s">
        <v>476</v>
      </c>
      <c r="V29" s="277" t="s">
        <v>475</v>
      </c>
      <c r="W29" s="277" t="s">
        <v>474</v>
      </c>
      <c r="X29" s="277" t="s">
        <v>477</v>
      </c>
      <c r="Y29" s="355"/>
      <c r="Z29" s="277" t="s">
        <v>472</v>
      </c>
      <c r="AA29" s="277" t="s">
        <v>473</v>
      </c>
      <c r="AB29" s="277" t="s">
        <v>474</v>
      </c>
      <c r="AC29" s="277" t="s">
        <v>464</v>
      </c>
      <c r="AD29" s="355"/>
      <c r="AE29" s="277" t="s">
        <v>476</v>
      </c>
      <c r="AF29" s="277" t="s">
        <v>473</v>
      </c>
      <c r="AG29" s="277" t="s">
        <v>474</v>
      </c>
      <c r="AH29" s="277" t="s">
        <v>464</v>
      </c>
      <c r="AI29" s="355"/>
      <c r="AJ29" s="277" t="s">
        <v>476</v>
      </c>
      <c r="AK29" s="277" t="s">
        <v>473</v>
      </c>
      <c r="AL29" s="277" t="s">
        <v>485</v>
      </c>
      <c r="AM29" s="277" t="s">
        <v>464</v>
      </c>
      <c r="AN29" s="355"/>
      <c r="AO29" s="277" t="s">
        <v>472</v>
      </c>
      <c r="AP29" s="277" t="s">
        <v>475</v>
      </c>
      <c r="AQ29" s="277" t="s">
        <v>485</v>
      </c>
      <c r="AR29" s="277" t="s">
        <v>464</v>
      </c>
      <c r="AS29" s="355"/>
      <c r="AT29" s="277" t="s">
        <v>476</v>
      </c>
      <c r="AU29" s="277" t="s">
        <v>475</v>
      </c>
      <c r="AV29" s="277" t="s">
        <v>474</v>
      </c>
      <c r="AW29" s="277" t="s">
        <v>477</v>
      </c>
      <c r="AX29" s="355"/>
    </row>
    <row r="30" spans="2:50" ht="13.5">
      <c r="B30" s="346" t="s">
        <v>139</v>
      </c>
      <c r="C30" s="278">
        <v>1</v>
      </c>
      <c r="D30" s="282" t="s">
        <v>408</v>
      </c>
      <c r="E30" s="279">
        <f>VLOOKUP(D30,'10產線配置圖'!$A$2:$C$25,2,0)</f>
        <v>12</v>
      </c>
      <c r="F30" s="279">
        <f>VLOOKUP(D30,'10產線配置圖'!$A$2:$C$25,3,0)</f>
        <v>2000</v>
      </c>
      <c r="G30" s="280">
        <f>F30/E30</f>
        <v>166.66666666666666</v>
      </c>
      <c r="H30" s="356">
        <f>AVERAGE(G30:G47)</f>
        <v>110.95404572085245</v>
      </c>
      <c r="I30" s="279" t="e">
        <f>AVERAGE(P30,U30,Z30,AE30,AJ30,AO30,AT30)</f>
        <v>#DIV/0!</v>
      </c>
      <c r="J30" s="279" t="e">
        <f>AVERAGE(Q30,V30,AA30,AF30,AK30,AP30,AU30)</f>
        <v>#DIV/0!</v>
      </c>
      <c r="K30" s="280" t="e">
        <f>AVERAGE(R30,W30,AB30,AG30,AL30,AQ30,AV30)</f>
        <v>#DIV/0!</v>
      </c>
      <c r="L30" s="356" t="str">
        <f>IFERROR(AVERAGE(K30:K47),"-")</f>
        <v>-</v>
      </c>
      <c r="M30" s="281" t="e">
        <f>RANK(K30, K$30:$K$47)</f>
        <v>#DIV/0!</v>
      </c>
      <c r="N30" s="355"/>
      <c r="O30" s="355"/>
      <c r="P30" s="279"/>
      <c r="Q30" s="279"/>
      <c r="R30" s="280" t="e">
        <f>Q30/P30</f>
        <v>#DIV/0!</v>
      </c>
      <c r="S30" s="278" t="e">
        <f>RANK(R30,$R$30:$R$47)</f>
        <v>#DIV/0!</v>
      </c>
      <c r="T30" s="359" t="e">
        <f>AVERAGE(R30:R47)</f>
        <v>#DIV/0!</v>
      </c>
      <c r="U30" s="279"/>
      <c r="V30" s="279"/>
      <c r="W30" s="280" t="e">
        <f>V30/U30</f>
        <v>#DIV/0!</v>
      </c>
      <c r="X30" s="278" t="e">
        <f>RANK(W30, $W$30:$W$47)</f>
        <v>#DIV/0!</v>
      </c>
      <c r="Y30" s="359" t="e">
        <f>AVERAGE(W30:W47)</f>
        <v>#DIV/0!</v>
      </c>
      <c r="Z30" s="279"/>
      <c r="AA30" s="279"/>
      <c r="AB30" s="280" t="e">
        <f>AA30/Z30</f>
        <v>#DIV/0!</v>
      </c>
      <c r="AC30" s="278" t="e">
        <f>RANK(AB30, $AB$30:$AB$47)</f>
        <v>#DIV/0!</v>
      </c>
      <c r="AD30" s="359" t="e">
        <f>AVERAGE(AB30:AB47)</f>
        <v>#DIV/0!</v>
      </c>
      <c r="AE30" s="279"/>
      <c r="AF30" s="279"/>
      <c r="AG30" s="280" t="e">
        <f>AF30/AE30</f>
        <v>#DIV/0!</v>
      </c>
      <c r="AH30" s="278" t="e">
        <f>RANK(AG30, $AG$30:$AG$47)</f>
        <v>#DIV/0!</v>
      </c>
      <c r="AI30" s="359" t="e">
        <f>AVERAGE(AG30:AG47)</f>
        <v>#DIV/0!</v>
      </c>
      <c r="AJ30" s="279"/>
      <c r="AK30" s="279"/>
      <c r="AL30" s="280" t="e">
        <f>AK30/AJ30</f>
        <v>#DIV/0!</v>
      </c>
      <c r="AM30" s="278" t="e">
        <f>RANK(AL30, $AL$30:$AL$47)</f>
        <v>#DIV/0!</v>
      </c>
      <c r="AN30" s="359" t="e">
        <f>AVERAGE(AL30:AL47)</f>
        <v>#DIV/0!</v>
      </c>
      <c r="AO30" s="279"/>
      <c r="AP30" s="279"/>
      <c r="AQ30" s="280" t="e">
        <f>AP30/AO30</f>
        <v>#DIV/0!</v>
      </c>
      <c r="AR30" s="278" t="e">
        <f>RANK(AQ30,$AQ$30:$AQ$47)</f>
        <v>#DIV/0!</v>
      </c>
      <c r="AS30" s="359" t="e">
        <f>AVERAGE(AQ30:AQ47)</f>
        <v>#DIV/0!</v>
      </c>
      <c r="AT30" s="279"/>
      <c r="AU30" s="279"/>
      <c r="AV30" s="280" t="e">
        <f>AU30/AT30</f>
        <v>#DIV/0!</v>
      </c>
      <c r="AW30" s="278" t="e">
        <f>RANK(AV30, $AV$30:$AV$47)</f>
        <v>#DIV/0!</v>
      </c>
      <c r="AX30" s="359" t="e">
        <f>AVERAGE(AV30:AV47)</f>
        <v>#DIV/0!</v>
      </c>
    </row>
    <row r="31" spans="2:50">
      <c r="B31" s="346"/>
      <c r="C31" s="278">
        <v>2</v>
      </c>
      <c r="D31" s="278" t="s">
        <v>400</v>
      </c>
      <c r="E31" s="279">
        <f>VLOOKUP(D31,'10產線配置圖'!$A$2:$C$25,2,0)</f>
        <v>13</v>
      </c>
      <c r="F31" s="279">
        <f>VLOOKUP(D31,'10產線配置圖'!$A$2:$C$25,3,0)</f>
        <v>2000</v>
      </c>
      <c r="G31" s="280">
        <f t="shared" ref="G31:G40" si="32">F31/E31</f>
        <v>153.84615384615384</v>
      </c>
      <c r="H31" s="357"/>
      <c r="I31" s="279" t="e">
        <f t="shared" ref="I31:K44" si="33">AVERAGE(P31,U31,Z31,AE31,AJ31,AO31,AT31)</f>
        <v>#DIV/0!</v>
      </c>
      <c r="J31" s="279" t="e">
        <f t="shared" si="33"/>
        <v>#DIV/0!</v>
      </c>
      <c r="K31" s="280" t="e">
        <f t="shared" si="33"/>
        <v>#DIV/0!</v>
      </c>
      <c r="L31" s="357"/>
      <c r="M31" s="281" t="e">
        <f>RANK(K31, K$30:$K$47)</f>
        <v>#DIV/0!</v>
      </c>
      <c r="N31" s="355"/>
      <c r="O31" s="355"/>
      <c r="P31" s="279"/>
      <c r="Q31" s="279"/>
      <c r="R31" s="280" t="e">
        <f t="shared" ref="R31:R39" si="34">Q31/P31</f>
        <v>#DIV/0!</v>
      </c>
      <c r="S31" s="278" t="e">
        <f t="shared" ref="S31:S44" si="35">RANK(R31,$R$30:$R$47)</f>
        <v>#DIV/0!</v>
      </c>
      <c r="T31" s="359"/>
      <c r="U31" s="279"/>
      <c r="V31" s="279"/>
      <c r="W31" s="280" t="e">
        <f t="shared" ref="W31:W39" si="36">V31/U31</f>
        <v>#DIV/0!</v>
      </c>
      <c r="X31" s="278" t="e">
        <f t="shared" ref="X31:X44" si="37">RANK(W31, $W$30:$W$47)</f>
        <v>#DIV/0!</v>
      </c>
      <c r="Y31" s="359"/>
      <c r="Z31" s="279"/>
      <c r="AA31" s="279"/>
      <c r="AB31" s="280" t="e">
        <f t="shared" ref="AB31:AB39" si="38">AA31/Z31</f>
        <v>#DIV/0!</v>
      </c>
      <c r="AC31" s="278" t="e">
        <f t="shared" ref="AC31:AC44" si="39">RANK(AB31, $AB$30:$AB$47)</f>
        <v>#DIV/0!</v>
      </c>
      <c r="AD31" s="359"/>
      <c r="AE31" s="279"/>
      <c r="AF31" s="279"/>
      <c r="AG31" s="280" t="e">
        <f t="shared" ref="AG31:AG39" si="40">AF31/AE31</f>
        <v>#DIV/0!</v>
      </c>
      <c r="AH31" s="278" t="e">
        <f t="shared" ref="AH31:AH44" si="41">RANK(AG31, $AG$30:$AG$47)</f>
        <v>#DIV/0!</v>
      </c>
      <c r="AI31" s="359"/>
      <c r="AJ31" s="279"/>
      <c r="AK31" s="279"/>
      <c r="AL31" s="280" t="e">
        <f t="shared" ref="AL31:AL39" si="42">AK31/AJ31</f>
        <v>#DIV/0!</v>
      </c>
      <c r="AM31" s="278" t="e">
        <f t="shared" ref="AM31:AM44" si="43">RANK(AL31, $AL$30:$AL$47)</f>
        <v>#DIV/0!</v>
      </c>
      <c r="AN31" s="359"/>
      <c r="AO31" s="279"/>
      <c r="AP31" s="279"/>
      <c r="AQ31" s="280" t="e">
        <f t="shared" ref="AQ31:AQ39" si="44">AP31/AO31</f>
        <v>#DIV/0!</v>
      </c>
      <c r="AR31" s="278" t="e">
        <f t="shared" ref="AR31:AR45" si="45">RANK(AQ31,$AQ$30:$AQ$47)</f>
        <v>#DIV/0!</v>
      </c>
      <c r="AS31" s="359"/>
      <c r="AT31" s="279"/>
      <c r="AU31" s="279"/>
      <c r="AV31" s="280" t="e">
        <f t="shared" ref="AV31:AV39" si="46">AU31/AT31</f>
        <v>#DIV/0!</v>
      </c>
      <c r="AW31" s="278" t="e">
        <f t="shared" ref="AW31:AW44" si="47">RANK(AV31, $AV$30:$AV$47)</f>
        <v>#DIV/0!</v>
      </c>
      <c r="AX31" s="359"/>
    </row>
    <row r="32" spans="2:50">
      <c r="B32" s="346"/>
      <c r="C32" s="278">
        <v>3</v>
      </c>
      <c r="D32" s="278" t="s">
        <v>401</v>
      </c>
      <c r="E32" s="279">
        <f>VLOOKUP(D32,'10產線配置圖'!$A$2:$C$25,2,0)</f>
        <v>16</v>
      </c>
      <c r="F32" s="279">
        <f>VLOOKUP(D32,'10產線配置圖'!$A$2:$C$25,3,0)</f>
        <v>1915</v>
      </c>
      <c r="G32" s="280">
        <f t="shared" si="32"/>
        <v>119.6875</v>
      </c>
      <c r="H32" s="357"/>
      <c r="I32" s="279" t="e">
        <f t="shared" si="33"/>
        <v>#DIV/0!</v>
      </c>
      <c r="J32" s="279" t="e">
        <f t="shared" si="33"/>
        <v>#DIV/0!</v>
      </c>
      <c r="K32" s="280" t="e">
        <f t="shared" si="33"/>
        <v>#DIV/0!</v>
      </c>
      <c r="L32" s="357"/>
      <c r="M32" s="281" t="e">
        <f>RANK(K32, K$30:$K$47)</f>
        <v>#DIV/0!</v>
      </c>
      <c r="N32" s="355"/>
      <c r="O32" s="355"/>
      <c r="P32" s="279"/>
      <c r="Q32" s="279"/>
      <c r="R32" s="280" t="e">
        <f t="shared" si="34"/>
        <v>#DIV/0!</v>
      </c>
      <c r="S32" s="278" t="e">
        <f t="shared" si="35"/>
        <v>#DIV/0!</v>
      </c>
      <c r="T32" s="359"/>
      <c r="U32" s="279"/>
      <c r="V32" s="279"/>
      <c r="W32" s="280" t="e">
        <f t="shared" si="36"/>
        <v>#DIV/0!</v>
      </c>
      <c r="X32" s="278" t="e">
        <f t="shared" si="37"/>
        <v>#DIV/0!</v>
      </c>
      <c r="Y32" s="359"/>
      <c r="Z32" s="279"/>
      <c r="AA32" s="279"/>
      <c r="AB32" s="280" t="e">
        <f t="shared" si="38"/>
        <v>#DIV/0!</v>
      </c>
      <c r="AC32" s="278" t="e">
        <f t="shared" si="39"/>
        <v>#DIV/0!</v>
      </c>
      <c r="AD32" s="359"/>
      <c r="AE32" s="279"/>
      <c r="AF32" s="279"/>
      <c r="AG32" s="280" t="e">
        <f t="shared" si="40"/>
        <v>#DIV/0!</v>
      </c>
      <c r="AH32" s="278" t="e">
        <f t="shared" si="41"/>
        <v>#DIV/0!</v>
      </c>
      <c r="AI32" s="359"/>
      <c r="AJ32" s="279"/>
      <c r="AK32" s="279"/>
      <c r="AL32" s="280" t="e">
        <f t="shared" si="42"/>
        <v>#DIV/0!</v>
      </c>
      <c r="AM32" s="278" t="e">
        <f t="shared" si="43"/>
        <v>#DIV/0!</v>
      </c>
      <c r="AN32" s="359"/>
      <c r="AO32" s="279"/>
      <c r="AP32" s="279"/>
      <c r="AQ32" s="280" t="e">
        <f t="shared" si="44"/>
        <v>#DIV/0!</v>
      </c>
      <c r="AR32" s="278" t="e">
        <f t="shared" si="45"/>
        <v>#DIV/0!</v>
      </c>
      <c r="AS32" s="359"/>
      <c r="AT32" s="279"/>
      <c r="AU32" s="279"/>
      <c r="AV32" s="280" t="e">
        <f t="shared" si="46"/>
        <v>#DIV/0!</v>
      </c>
      <c r="AW32" s="278" t="e">
        <f t="shared" si="47"/>
        <v>#DIV/0!</v>
      </c>
      <c r="AX32" s="359"/>
    </row>
    <row r="33" spans="2:50">
      <c r="B33" s="346"/>
      <c r="C33" s="278">
        <v>4</v>
      </c>
      <c r="D33" s="278" t="s">
        <v>402</v>
      </c>
      <c r="E33" s="279">
        <f>VLOOKUP(D33,'10產線配置圖'!$A$2:$C$25,2,0)</f>
        <v>18</v>
      </c>
      <c r="F33" s="279">
        <f>VLOOKUP(D33,'10產線配置圖'!$A$2:$C$25,3,0)</f>
        <v>1565</v>
      </c>
      <c r="G33" s="280">
        <f t="shared" si="32"/>
        <v>86.944444444444443</v>
      </c>
      <c r="H33" s="357"/>
      <c r="I33" s="279" t="e">
        <f t="shared" si="33"/>
        <v>#DIV/0!</v>
      </c>
      <c r="J33" s="279" t="e">
        <f t="shared" si="33"/>
        <v>#DIV/0!</v>
      </c>
      <c r="K33" s="280" t="e">
        <f t="shared" si="33"/>
        <v>#DIV/0!</v>
      </c>
      <c r="L33" s="357"/>
      <c r="M33" s="281" t="e">
        <f>RANK(K33, K$30:$K$47)</f>
        <v>#DIV/0!</v>
      </c>
      <c r="N33" s="355"/>
      <c r="O33" s="355"/>
      <c r="P33" s="279"/>
      <c r="Q33" s="279"/>
      <c r="R33" s="280" t="e">
        <f t="shared" si="34"/>
        <v>#DIV/0!</v>
      </c>
      <c r="S33" s="278" t="e">
        <f t="shared" si="35"/>
        <v>#DIV/0!</v>
      </c>
      <c r="T33" s="359"/>
      <c r="U33" s="279"/>
      <c r="V33" s="279"/>
      <c r="W33" s="280" t="e">
        <f t="shared" si="36"/>
        <v>#DIV/0!</v>
      </c>
      <c r="X33" s="278" t="e">
        <f t="shared" si="37"/>
        <v>#DIV/0!</v>
      </c>
      <c r="Y33" s="359"/>
      <c r="Z33" s="279"/>
      <c r="AA33" s="279"/>
      <c r="AB33" s="280" t="e">
        <f t="shared" si="38"/>
        <v>#DIV/0!</v>
      </c>
      <c r="AC33" s="278" t="e">
        <f t="shared" si="39"/>
        <v>#DIV/0!</v>
      </c>
      <c r="AD33" s="359"/>
      <c r="AE33" s="279"/>
      <c r="AF33" s="279"/>
      <c r="AG33" s="280" t="e">
        <f t="shared" si="40"/>
        <v>#DIV/0!</v>
      </c>
      <c r="AH33" s="278" t="e">
        <f t="shared" si="41"/>
        <v>#DIV/0!</v>
      </c>
      <c r="AI33" s="359"/>
      <c r="AJ33" s="279"/>
      <c r="AK33" s="279"/>
      <c r="AL33" s="280" t="e">
        <f t="shared" si="42"/>
        <v>#DIV/0!</v>
      </c>
      <c r="AM33" s="278" t="e">
        <f t="shared" si="43"/>
        <v>#DIV/0!</v>
      </c>
      <c r="AN33" s="359"/>
      <c r="AO33" s="279"/>
      <c r="AP33" s="279"/>
      <c r="AQ33" s="280" t="e">
        <f t="shared" si="44"/>
        <v>#DIV/0!</v>
      </c>
      <c r="AR33" s="278" t="e">
        <f t="shared" si="45"/>
        <v>#DIV/0!</v>
      </c>
      <c r="AS33" s="359"/>
      <c r="AT33" s="279"/>
      <c r="AU33" s="279"/>
      <c r="AV33" s="280" t="e">
        <f t="shared" si="46"/>
        <v>#DIV/0!</v>
      </c>
      <c r="AW33" s="278" t="e">
        <f t="shared" si="47"/>
        <v>#DIV/0!</v>
      </c>
      <c r="AX33" s="359"/>
    </row>
    <row r="34" spans="2:50">
      <c r="B34" s="346"/>
      <c r="C34" s="278">
        <v>5</v>
      </c>
      <c r="D34" s="278" t="s">
        <v>403</v>
      </c>
      <c r="E34" s="279">
        <f>VLOOKUP(D34,'10產線配置圖'!$A$2:$C$25,2,0)</f>
        <v>13</v>
      </c>
      <c r="F34" s="279">
        <f>VLOOKUP(D34,'10產線配置圖'!$A$2:$C$25,3,0)</f>
        <v>2000</v>
      </c>
      <c r="G34" s="280">
        <f t="shared" si="32"/>
        <v>153.84615384615384</v>
      </c>
      <c r="H34" s="357"/>
      <c r="I34" s="279" t="e">
        <f t="shared" si="33"/>
        <v>#DIV/0!</v>
      </c>
      <c r="J34" s="279" t="e">
        <f t="shared" si="33"/>
        <v>#DIV/0!</v>
      </c>
      <c r="K34" s="280" t="e">
        <f t="shared" si="33"/>
        <v>#DIV/0!</v>
      </c>
      <c r="L34" s="357"/>
      <c r="M34" s="281" t="e">
        <f>RANK(K34, K$30:$K$47)</f>
        <v>#DIV/0!</v>
      </c>
      <c r="N34" s="355"/>
      <c r="O34" s="355"/>
      <c r="P34" s="279"/>
      <c r="Q34" s="279"/>
      <c r="R34" s="280" t="e">
        <f t="shared" si="34"/>
        <v>#DIV/0!</v>
      </c>
      <c r="S34" s="278" t="e">
        <f t="shared" si="35"/>
        <v>#DIV/0!</v>
      </c>
      <c r="T34" s="359"/>
      <c r="U34" s="279"/>
      <c r="V34" s="279"/>
      <c r="W34" s="280" t="e">
        <f t="shared" si="36"/>
        <v>#DIV/0!</v>
      </c>
      <c r="X34" s="278" t="e">
        <f t="shared" si="37"/>
        <v>#DIV/0!</v>
      </c>
      <c r="Y34" s="359"/>
      <c r="Z34" s="279"/>
      <c r="AA34" s="279"/>
      <c r="AB34" s="280" t="e">
        <f t="shared" si="38"/>
        <v>#DIV/0!</v>
      </c>
      <c r="AC34" s="278" t="e">
        <f t="shared" si="39"/>
        <v>#DIV/0!</v>
      </c>
      <c r="AD34" s="359"/>
      <c r="AE34" s="279"/>
      <c r="AF34" s="279"/>
      <c r="AG34" s="280" t="e">
        <f t="shared" si="40"/>
        <v>#DIV/0!</v>
      </c>
      <c r="AH34" s="278" t="e">
        <f t="shared" si="41"/>
        <v>#DIV/0!</v>
      </c>
      <c r="AI34" s="359"/>
      <c r="AJ34" s="279"/>
      <c r="AK34" s="279"/>
      <c r="AL34" s="280" t="e">
        <f t="shared" si="42"/>
        <v>#DIV/0!</v>
      </c>
      <c r="AM34" s="278" t="e">
        <f t="shared" si="43"/>
        <v>#DIV/0!</v>
      </c>
      <c r="AN34" s="359"/>
      <c r="AO34" s="279"/>
      <c r="AP34" s="279"/>
      <c r="AQ34" s="280" t="e">
        <f t="shared" si="44"/>
        <v>#DIV/0!</v>
      </c>
      <c r="AR34" s="278" t="e">
        <f t="shared" si="45"/>
        <v>#DIV/0!</v>
      </c>
      <c r="AS34" s="359"/>
      <c r="AT34" s="279"/>
      <c r="AU34" s="279"/>
      <c r="AV34" s="280" t="e">
        <f t="shared" si="46"/>
        <v>#DIV/0!</v>
      </c>
      <c r="AW34" s="278" t="e">
        <f t="shared" si="47"/>
        <v>#DIV/0!</v>
      </c>
      <c r="AX34" s="359"/>
    </row>
    <row r="35" spans="2:50">
      <c r="B35" s="346"/>
      <c r="C35" s="278">
        <v>6</v>
      </c>
      <c r="D35" s="278" t="s">
        <v>421</v>
      </c>
      <c r="E35" s="279">
        <f>VLOOKUP(D35,'10產線配置圖'!$A$2:$C$25,2,0)</f>
        <v>14</v>
      </c>
      <c r="F35" s="279">
        <f>VLOOKUP(D35,'10產線配置圖'!$A$2:$C$25,3,0)</f>
        <v>1895</v>
      </c>
      <c r="G35" s="280">
        <f t="shared" si="32"/>
        <v>135.35714285714286</v>
      </c>
      <c r="H35" s="357"/>
      <c r="I35" s="279" t="e">
        <f t="shared" si="33"/>
        <v>#DIV/0!</v>
      </c>
      <c r="J35" s="279" t="e">
        <f t="shared" si="33"/>
        <v>#DIV/0!</v>
      </c>
      <c r="K35" s="280" t="e">
        <f t="shared" si="33"/>
        <v>#DIV/0!</v>
      </c>
      <c r="L35" s="357"/>
      <c r="M35" s="281" t="e">
        <f>RANK(K35, K$30:$K$47)</f>
        <v>#DIV/0!</v>
      </c>
      <c r="N35" s="355"/>
      <c r="O35" s="355"/>
      <c r="P35" s="279"/>
      <c r="Q35" s="279"/>
      <c r="R35" s="280" t="e">
        <f>Q35/P35</f>
        <v>#DIV/0!</v>
      </c>
      <c r="S35" s="278" t="e">
        <f t="shared" si="35"/>
        <v>#DIV/0!</v>
      </c>
      <c r="T35" s="359"/>
      <c r="U35" s="279"/>
      <c r="V35" s="279"/>
      <c r="W35" s="280" t="e">
        <f t="shared" si="36"/>
        <v>#DIV/0!</v>
      </c>
      <c r="X35" s="278" t="e">
        <f t="shared" si="37"/>
        <v>#DIV/0!</v>
      </c>
      <c r="Y35" s="359"/>
      <c r="Z35" s="279"/>
      <c r="AA35" s="279"/>
      <c r="AB35" s="280" t="e">
        <f t="shared" si="38"/>
        <v>#DIV/0!</v>
      </c>
      <c r="AC35" s="278" t="e">
        <f t="shared" si="39"/>
        <v>#DIV/0!</v>
      </c>
      <c r="AD35" s="359"/>
      <c r="AE35" s="279"/>
      <c r="AF35" s="279"/>
      <c r="AG35" s="280" t="e">
        <f t="shared" si="40"/>
        <v>#DIV/0!</v>
      </c>
      <c r="AH35" s="278" t="e">
        <f t="shared" si="41"/>
        <v>#DIV/0!</v>
      </c>
      <c r="AI35" s="359"/>
      <c r="AJ35" s="279"/>
      <c r="AK35" s="279"/>
      <c r="AL35" s="280" t="e">
        <f t="shared" si="42"/>
        <v>#DIV/0!</v>
      </c>
      <c r="AM35" s="278" t="e">
        <f t="shared" si="43"/>
        <v>#DIV/0!</v>
      </c>
      <c r="AN35" s="359"/>
      <c r="AO35" s="279"/>
      <c r="AP35" s="279"/>
      <c r="AQ35" s="280" t="e">
        <f t="shared" si="44"/>
        <v>#DIV/0!</v>
      </c>
      <c r="AR35" s="278" t="e">
        <f t="shared" si="45"/>
        <v>#DIV/0!</v>
      </c>
      <c r="AS35" s="359"/>
      <c r="AT35" s="279"/>
      <c r="AU35" s="279"/>
      <c r="AV35" s="280" t="e">
        <f t="shared" si="46"/>
        <v>#DIV/0!</v>
      </c>
      <c r="AW35" s="278" t="e">
        <f t="shared" si="47"/>
        <v>#DIV/0!</v>
      </c>
      <c r="AX35" s="359"/>
    </row>
    <row r="36" spans="2:50">
      <c r="B36" s="346"/>
      <c r="C36" s="278">
        <v>7</v>
      </c>
      <c r="D36" s="278" t="s">
        <v>394</v>
      </c>
      <c r="E36" s="279">
        <f>VLOOKUP(D36,'10產線配置圖'!$A$2:$C$25,2,0)</f>
        <v>16</v>
      </c>
      <c r="F36" s="279">
        <f>VLOOKUP(D36,'10產線配置圖'!$A$2:$C$25,3,0)</f>
        <v>1429</v>
      </c>
      <c r="G36" s="280">
        <f t="shared" si="32"/>
        <v>89.3125</v>
      </c>
      <c r="H36" s="357"/>
      <c r="I36" s="279" t="e">
        <f t="shared" si="33"/>
        <v>#DIV/0!</v>
      </c>
      <c r="J36" s="279" t="e">
        <f t="shared" si="33"/>
        <v>#DIV/0!</v>
      </c>
      <c r="K36" s="280" t="e">
        <f t="shared" si="33"/>
        <v>#DIV/0!</v>
      </c>
      <c r="L36" s="357"/>
      <c r="M36" s="281" t="e">
        <f>RANK(K36, K$30:$K$47)</f>
        <v>#DIV/0!</v>
      </c>
      <c r="N36" s="355"/>
      <c r="O36" s="355"/>
      <c r="P36" s="279"/>
      <c r="Q36" s="279"/>
      <c r="R36" s="280" t="e">
        <f t="shared" si="34"/>
        <v>#DIV/0!</v>
      </c>
      <c r="S36" s="278" t="e">
        <f t="shared" si="35"/>
        <v>#DIV/0!</v>
      </c>
      <c r="T36" s="359"/>
      <c r="U36" s="279"/>
      <c r="V36" s="279"/>
      <c r="W36" s="280" t="e">
        <f t="shared" si="36"/>
        <v>#DIV/0!</v>
      </c>
      <c r="X36" s="278" t="e">
        <f t="shared" si="37"/>
        <v>#DIV/0!</v>
      </c>
      <c r="Y36" s="359"/>
      <c r="Z36" s="279"/>
      <c r="AA36" s="279"/>
      <c r="AB36" s="280" t="e">
        <f t="shared" si="38"/>
        <v>#DIV/0!</v>
      </c>
      <c r="AC36" s="278" t="e">
        <f t="shared" si="39"/>
        <v>#DIV/0!</v>
      </c>
      <c r="AD36" s="359"/>
      <c r="AE36" s="279"/>
      <c r="AF36" s="279"/>
      <c r="AG36" s="280" t="e">
        <f t="shared" si="40"/>
        <v>#DIV/0!</v>
      </c>
      <c r="AH36" s="278" t="e">
        <f t="shared" si="41"/>
        <v>#DIV/0!</v>
      </c>
      <c r="AI36" s="359"/>
      <c r="AJ36" s="279"/>
      <c r="AK36" s="279"/>
      <c r="AL36" s="280"/>
      <c r="AM36" s="278"/>
      <c r="AN36" s="359"/>
      <c r="AO36" s="279"/>
      <c r="AP36" s="279"/>
      <c r="AQ36" s="280"/>
      <c r="AR36" s="278"/>
      <c r="AS36" s="359"/>
      <c r="AT36" s="279"/>
      <c r="AU36" s="279"/>
      <c r="AV36" s="280"/>
      <c r="AW36" s="278"/>
      <c r="AX36" s="359"/>
    </row>
    <row r="37" spans="2:50">
      <c r="B37" s="346"/>
      <c r="C37" s="278">
        <v>8</v>
      </c>
      <c r="D37" s="278" t="s">
        <v>395</v>
      </c>
      <c r="E37" s="279">
        <f>VLOOKUP(D37,'10產線配置圖'!$A$2:$C$25,2,0)</f>
        <v>18</v>
      </c>
      <c r="F37" s="279">
        <f>VLOOKUP(D37,'10產線配置圖'!$A$2:$C$25,3,0)</f>
        <v>1500</v>
      </c>
      <c r="G37" s="280">
        <f t="shared" si="32"/>
        <v>83.333333333333329</v>
      </c>
      <c r="H37" s="357"/>
      <c r="I37" s="279" t="e">
        <f t="shared" si="33"/>
        <v>#DIV/0!</v>
      </c>
      <c r="J37" s="279" t="e">
        <f t="shared" si="33"/>
        <v>#DIV/0!</v>
      </c>
      <c r="K37" s="280" t="e">
        <f t="shared" si="33"/>
        <v>#DIV/0!</v>
      </c>
      <c r="L37" s="357"/>
      <c r="M37" s="281" t="e">
        <f>RANK(K37, K$30:$K$47)</f>
        <v>#DIV/0!</v>
      </c>
      <c r="N37" s="355"/>
      <c r="O37" s="355"/>
      <c r="P37" s="279"/>
      <c r="Q37" s="279"/>
      <c r="R37" s="280" t="e">
        <f t="shared" si="34"/>
        <v>#DIV/0!</v>
      </c>
      <c r="S37" s="278" t="e">
        <f t="shared" si="35"/>
        <v>#DIV/0!</v>
      </c>
      <c r="T37" s="359"/>
      <c r="U37" s="279"/>
      <c r="V37" s="279"/>
      <c r="W37" s="280" t="e">
        <f t="shared" si="36"/>
        <v>#DIV/0!</v>
      </c>
      <c r="X37" s="278" t="e">
        <f t="shared" si="37"/>
        <v>#DIV/0!</v>
      </c>
      <c r="Y37" s="359"/>
      <c r="Z37" s="279"/>
      <c r="AA37" s="279"/>
      <c r="AB37" s="280" t="e">
        <f t="shared" si="38"/>
        <v>#DIV/0!</v>
      </c>
      <c r="AC37" s="278" t="e">
        <f t="shared" si="39"/>
        <v>#DIV/0!</v>
      </c>
      <c r="AD37" s="359"/>
      <c r="AE37" s="279"/>
      <c r="AF37" s="279"/>
      <c r="AG37" s="280" t="e">
        <f t="shared" si="40"/>
        <v>#DIV/0!</v>
      </c>
      <c r="AH37" s="278" t="e">
        <f t="shared" si="41"/>
        <v>#DIV/0!</v>
      </c>
      <c r="AI37" s="359"/>
      <c r="AJ37" s="279"/>
      <c r="AK37" s="279"/>
      <c r="AL37" s="280" t="e">
        <f t="shared" si="42"/>
        <v>#DIV/0!</v>
      </c>
      <c r="AM37" s="278" t="e">
        <f t="shared" si="43"/>
        <v>#DIV/0!</v>
      </c>
      <c r="AN37" s="359"/>
      <c r="AO37" s="279"/>
      <c r="AP37" s="279"/>
      <c r="AQ37" s="280" t="e">
        <f t="shared" si="44"/>
        <v>#DIV/0!</v>
      </c>
      <c r="AR37" s="278" t="e">
        <f t="shared" si="45"/>
        <v>#DIV/0!</v>
      </c>
      <c r="AS37" s="359"/>
      <c r="AT37" s="279"/>
      <c r="AU37" s="279"/>
      <c r="AV37" s="280" t="e">
        <f t="shared" si="46"/>
        <v>#DIV/0!</v>
      </c>
      <c r="AW37" s="278" t="e">
        <f t="shared" si="47"/>
        <v>#DIV/0!</v>
      </c>
      <c r="AX37" s="359"/>
    </row>
    <row r="38" spans="2:50">
      <c r="B38" s="346"/>
      <c r="C38" s="278">
        <v>9</v>
      </c>
      <c r="D38" s="278" t="s">
        <v>404</v>
      </c>
      <c r="E38" s="279">
        <f>VLOOKUP(D38,'10產線配置圖'!$A$2:$C$25,2,0)</f>
        <v>18</v>
      </c>
      <c r="F38" s="279">
        <f>VLOOKUP(D38,'10產線配置圖'!$A$2:$C$25,3,0)</f>
        <v>1385</v>
      </c>
      <c r="G38" s="280">
        <f t="shared" si="32"/>
        <v>76.944444444444443</v>
      </c>
      <c r="H38" s="357"/>
      <c r="I38" s="279" t="e">
        <f t="shared" si="33"/>
        <v>#DIV/0!</v>
      </c>
      <c r="J38" s="279" t="e">
        <f t="shared" si="33"/>
        <v>#DIV/0!</v>
      </c>
      <c r="K38" s="280" t="e">
        <f t="shared" si="33"/>
        <v>#DIV/0!</v>
      </c>
      <c r="L38" s="357"/>
      <c r="M38" s="281" t="e">
        <f>RANK(K38, K$30:$K$47)</f>
        <v>#DIV/0!</v>
      </c>
      <c r="N38" s="355"/>
      <c r="O38" s="355"/>
      <c r="P38" s="279"/>
      <c r="Q38" s="279"/>
      <c r="R38" s="280" t="e">
        <f t="shared" si="34"/>
        <v>#DIV/0!</v>
      </c>
      <c r="S38" s="278" t="e">
        <f t="shared" si="35"/>
        <v>#DIV/0!</v>
      </c>
      <c r="T38" s="359"/>
      <c r="U38" s="279"/>
      <c r="V38" s="279"/>
      <c r="W38" s="280" t="e">
        <f t="shared" si="36"/>
        <v>#DIV/0!</v>
      </c>
      <c r="X38" s="278" t="e">
        <f t="shared" si="37"/>
        <v>#DIV/0!</v>
      </c>
      <c r="Y38" s="359"/>
      <c r="Z38" s="279"/>
      <c r="AA38" s="279"/>
      <c r="AB38" s="280" t="e">
        <f t="shared" si="38"/>
        <v>#DIV/0!</v>
      </c>
      <c r="AC38" s="278" t="e">
        <f t="shared" si="39"/>
        <v>#DIV/0!</v>
      </c>
      <c r="AD38" s="359"/>
      <c r="AE38" s="279"/>
      <c r="AF38" s="279"/>
      <c r="AG38" s="280" t="e">
        <f t="shared" si="40"/>
        <v>#DIV/0!</v>
      </c>
      <c r="AH38" s="278" t="e">
        <f t="shared" si="41"/>
        <v>#DIV/0!</v>
      </c>
      <c r="AI38" s="359"/>
      <c r="AJ38" s="279"/>
      <c r="AK38" s="279"/>
      <c r="AL38" s="280" t="e">
        <f t="shared" si="42"/>
        <v>#DIV/0!</v>
      </c>
      <c r="AM38" s="278" t="e">
        <f t="shared" si="43"/>
        <v>#DIV/0!</v>
      </c>
      <c r="AN38" s="359"/>
      <c r="AO38" s="279"/>
      <c r="AP38" s="279"/>
      <c r="AQ38" s="280" t="e">
        <f t="shared" si="44"/>
        <v>#DIV/0!</v>
      </c>
      <c r="AR38" s="278" t="e">
        <f t="shared" si="45"/>
        <v>#DIV/0!</v>
      </c>
      <c r="AS38" s="359"/>
      <c r="AT38" s="279"/>
      <c r="AU38" s="279"/>
      <c r="AV38" s="280" t="e">
        <f t="shared" si="46"/>
        <v>#DIV/0!</v>
      </c>
      <c r="AW38" s="278" t="e">
        <f t="shared" si="47"/>
        <v>#DIV/0!</v>
      </c>
      <c r="AX38" s="359"/>
    </row>
    <row r="39" spans="2:50">
      <c r="B39" s="346"/>
      <c r="C39" s="278">
        <v>10</v>
      </c>
      <c r="D39" s="278" t="s">
        <v>443</v>
      </c>
      <c r="E39" s="279">
        <f>VLOOKUP(D39,'10產線配置圖'!$A$2:$C$25,2,0)</f>
        <v>17</v>
      </c>
      <c r="F39" s="279">
        <f>VLOOKUP(D39,'10產線配置圖'!$A$2:$C$25,3,0)</f>
        <v>1565</v>
      </c>
      <c r="G39" s="280">
        <f t="shared" si="32"/>
        <v>92.058823529411768</v>
      </c>
      <c r="H39" s="357"/>
      <c r="I39" s="279" t="e">
        <f t="shared" si="33"/>
        <v>#DIV/0!</v>
      </c>
      <c r="J39" s="279" t="e">
        <f t="shared" si="33"/>
        <v>#DIV/0!</v>
      </c>
      <c r="K39" s="280" t="e">
        <f t="shared" si="33"/>
        <v>#DIV/0!</v>
      </c>
      <c r="L39" s="357"/>
      <c r="M39" s="281" t="e">
        <f>RANK(K39, K$30:$K$47)</f>
        <v>#DIV/0!</v>
      </c>
      <c r="N39" s="355"/>
      <c r="O39" s="355"/>
      <c r="P39" s="279"/>
      <c r="Q39" s="279"/>
      <c r="R39" s="280" t="e">
        <f t="shared" si="34"/>
        <v>#DIV/0!</v>
      </c>
      <c r="S39" s="278" t="e">
        <f t="shared" si="35"/>
        <v>#DIV/0!</v>
      </c>
      <c r="T39" s="359"/>
      <c r="U39" s="279"/>
      <c r="V39" s="279"/>
      <c r="W39" s="280" t="e">
        <f t="shared" si="36"/>
        <v>#DIV/0!</v>
      </c>
      <c r="X39" s="278" t="e">
        <f t="shared" si="37"/>
        <v>#DIV/0!</v>
      </c>
      <c r="Y39" s="359"/>
      <c r="Z39" s="279"/>
      <c r="AA39" s="279"/>
      <c r="AB39" s="280" t="e">
        <f t="shared" si="38"/>
        <v>#DIV/0!</v>
      </c>
      <c r="AC39" s="278" t="e">
        <f t="shared" si="39"/>
        <v>#DIV/0!</v>
      </c>
      <c r="AD39" s="359"/>
      <c r="AE39" s="279"/>
      <c r="AF39" s="279"/>
      <c r="AG39" s="280" t="e">
        <f t="shared" si="40"/>
        <v>#DIV/0!</v>
      </c>
      <c r="AH39" s="278" t="e">
        <f t="shared" si="41"/>
        <v>#DIV/0!</v>
      </c>
      <c r="AI39" s="359"/>
      <c r="AJ39" s="279"/>
      <c r="AK39" s="279"/>
      <c r="AL39" s="280" t="e">
        <f t="shared" si="42"/>
        <v>#DIV/0!</v>
      </c>
      <c r="AM39" s="278" t="e">
        <f t="shared" si="43"/>
        <v>#DIV/0!</v>
      </c>
      <c r="AN39" s="359"/>
      <c r="AO39" s="279"/>
      <c r="AP39" s="279"/>
      <c r="AQ39" s="280" t="e">
        <f t="shared" si="44"/>
        <v>#DIV/0!</v>
      </c>
      <c r="AR39" s="278" t="e">
        <f t="shared" si="45"/>
        <v>#DIV/0!</v>
      </c>
      <c r="AS39" s="359"/>
      <c r="AT39" s="279"/>
      <c r="AU39" s="279"/>
      <c r="AV39" s="280" t="e">
        <f t="shared" si="46"/>
        <v>#DIV/0!</v>
      </c>
      <c r="AW39" s="278" t="e">
        <f t="shared" si="47"/>
        <v>#DIV/0!</v>
      </c>
      <c r="AX39" s="359"/>
    </row>
    <row r="40" spans="2:50">
      <c r="B40" s="346"/>
      <c r="C40" s="278">
        <v>11</v>
      </c>
      <c r="D40" s="278" t="s">
        <v>530</v>
      </c>
      <c r="E40" s="279">
        <f>VLOOKUP(D40,'10產線配置圖'!$A$2:$C$25,2,0)</f>
        <v>17</v>
      </c>
      <c r="F40" s="279">
        <f>VLOOKUP(D40,'10產線配置圖'!$A$2:$C$25,3,0)</f>
        <v>1636</v>
      </c>
      <c r="G40" s="280">
        <f t="shared" si="32"/>
        <v>96.235294117647058</v>
      </c>
      <c r="H40" s="357"/>
      <c r="I40" s="279" t="e">
        <f t="shared" si="33"/>
        <v>#DIV/0!</v>
      </c>
      <c r="J40" s="279" t="e">
        <f t="shared" si="33"/>
        <v>#DIV/0!</v>
      </c>
      <c r="K40" s="280" t="e">
        <f t="shared" si="33"/>
        <v>#DIV/0!</v>
      </c>
      <c r="L40" s="357"/>
      <c r="M40" s="281" t="e">
        <f>RANK(K40, K$30:$K$47)</f>
        <v>#DIV/0!</v>
      </c>
      <c r="N40" s="355"/>
      <c r="O40" s="355"/>
      <c r="P40" s="278"/>
      <c r="Q40" s="278"/>
      <c r="R40" s="280" t="e">
        <f>Q40/P40</f>
        <v>#DIV/0!</v>
      </c>
      <c r="S40" s="278" t="e">
        <f t="shared" si="35"/>
        <v>#DIV/0!</v>
      </c>
      <c r="T40" s="359"/>
      <c r="U40" s="278"/>
      <c r="V40" s="278"/>
      <c r="W40" s="280" t="e">
        <f>V40/U40</f>
        <v>#DIV/0!</v>
      </c>
      <c r="X40" s="278" t="e">
        <f t="shared" si="37"/>
        <v>#DIV/0!</v>
      </c>
      <c r="Y40" s="359"/>
      <c r="Z40" s="278"/>
      <c r="AA40" s="278"/>
      <c r="AB40" s="280" t="e">
        <f>AA40/Z40</f>
        <v>#DIV/0!</v>
      </c>
      <c r="AC40" s="278" t="e">
        <f t="shared" si="39"/>
        <v>#DIV/0!</v>
      </c>
      <c r="AD40" s="359"/>
      <c r="AE40" s="278"/>
      <c r="AF40" s="278"/>
      <c r="AG40" s="280" t="e">
        <f>AF40/AE40</f>
        <v>#DIV/0!</v>
      </c>
      <c r="AH40" s="278" t="e">
        <f t="shared" si="41"/>
        <v>#DIV/0!</v>
      </c>
      <c r="AI40" s="359"/>
      <c r="AJ40" s="278"/>
      <c r="AK40" s="278"/>
      <c r="AL40" s="280" t="e">
        <f>AK40/AJ40</f>
        <v>#DIV/0!</v>
      </c>
      <c r="AM40" s="278" t="e">
        <f t="shared" si="43"/>
        <v>#DIV/0!</v>
      </c>
      <c r="AN40" s="359"/>
      <c r="AO40" s="278"/>
      <c r="AP40" s="278"/>
      <c r="AQ40" s="280" t="e">
        <f>AP40/AO40</f>
        <v>#DIV/0!</v>
      </c>
      <c r="AR40" s="278" t="e">
        <f t="shared" si="45"/>
        <v>#DIV/0!</v>
      </c>
      <c r="AS40" s="359"/>
      <c r="AT40" s="278"/>
      <c r="AU40" s="278"/>
      <c r="AV40" s="280" t="e">
        <f>AU40/AT40</f>
        <v>#DIV/0!</v>
      </c>
      <c r="AW40" s="278" t="e">
        <f t="shared" si="47"/>
        <v>#DIV/0!</v>
      </c>
      <c r="AX40" s="359"/>
    </row>
    <row r="41" spans="2:50">
      <c r="B41" s="346"/>
      <c r="C41" s="278">
        <v>12</v>
      </c>
      <c r="D41" s="278" t="s">
        <v>554</v>
      </c>
      <c r="E41" s="279">
        <f>VLOOKUP(D41,'10產線配置圖'!$A$2:$C$25,2,0)</f>
        <v>15</v>
      </c>
      <c r="F41" s="279">
        <f>VLOOKUP(D41,'10產線配置圖'!$A$2:$C$25,3,0)</f>
        <v>1800</v>
      </c>
      <c r="G41" s="280">
        <f t="shared" ref="G41:G43" si="48">F41/E41</f>
        <v>120</v>
      </c>
      <c r="H41" s="357"/>
      <c r="I41" s="279" t="e">
        <f t="shared" si="33"/>
        <v>#DIV/0!</v>
      </c>
      <c r="J41" s="279" t="e">
        <f t="shared" si="33"/>
        <v>#DIV/0!</v>
      </c>
      <c r="K41" s="280" t="e">
        <f t="shared" si="33"/>
        <v>#DIV/0!</v>
      </c>
      <c r="L41" s="357"/>
      <c r="M41" s="281" t="e">
        <f>RANK(K41, K$30:$K$47)</f>
        <v>#DIV/0!</v>
      </c>
      <c r="N41" s="355"/>
      <c r="O41" s="355"/>
      <c r="P41" s="278"/>
      <c r="Q41" s="278"/>
      <c r="R41" s="280" t="e">
        <f t="shared" ref="R41:R44" si="49">Q41/P41</f>
        <v>#DIV/0!</v>
      </c>
      <c r="S41" s="278" t="e">
        <f t="shared" si="35"/>
        <v>#DIV/0!</v>
      </c>
      <c r="T41" s="359"/>
      <c r="U41" s="278"/>
      <c r="V41" s="278"/>
      <c r="W41" s="280" t="e">
        <f t="shared" ref="W41:W44" si="50">V41/U41</f>
        <v>#DIV/0!</v>
      </c>
      <c r="X41" s="278" t="e">
        <f t="shared" si="37"/>
        <v>#DIV/0!</v>
      </c>
      <c r="Y41" s="359"/>
      <c r="Z41" s="278"/>
      <c r="AA41" s="278"/>
      <c r="AB41" s="280" t="e">
        <f t="shared" ref="AB41:AB43" si="51">AA41/Z41</f>
        <v>#DIV/0!</v>
      </c>
      <c r="AC41" s="278" t="e">
        <f t="shared" si="39"/>
        <v>#DIV/0!</v>
      </c>
      <c r="AD41" s="359"/>
      <c r="AE41" s="278"/>
      <c r="AF41" s="278"/>
      <c r="AG41" s="280" t="e">
        <f t="shared" ref="AG41:AG44" si="52">AF41/AE41</f>
        <v>#DIV/0!</v>
      </c>
      <c r="AH41" s="278" t="e">
        <f t="shared" si="41"/>
        <v>#DIV/0!</v>
      </c>
      <c r="AI41" s="359"/>
      <c r="AJ41" s="278"/>
      <c r="AK41" s="278"/>
      <c r="AL41" s="280" t="e">
        <f t="shared" ref="AL41:AL43" si="53">AK41/AJ41</f>
        <v>#DIV/0!</v>
      </c>
      <c r="AM41" s="278" t="e">
        <f t="shared" si="43"/>
        <v>#DIV/0!</v>
      </c>
      <c r="AN41" s="359"/>
      <c r="AO41" s="278"/>
      <c r="AP41" s="278"/>
      <c r="AQ41" s="280" t="e">
        <f t="shared" ref="AQ41:AQ43" si="54">AP41/AO41</f>
        <v>#DIV/0!</v>
      </c>
      <c r="AR41" s="278" t="e">
        <f t="shared" si="45"/>
        <v>#DIV/0!</v>
      </c>
      <c r="AS41" s="359"/>
      <c r="AT41" s="278"/>
      <c r="AU41" s="278"/>
      <c r="AV41" s="280" t="e">
        <f t="shared" ref="AV41:AV43" si="55">AU41/AT41</f>
        <v>#DIV/0!</v>
      </c>
      <c r="AW41" s="278" t="e">
        <f t="shared" si="47"/>
        <v>#DIV/0!</v>
      </c>
      <c r="AX41" s="359"/>
    </row>
    <row r="42" spans="2:50">
      <c r="B42" s="346"/>
      <c r="C42" s="278">
        <v>13</v>
      </c>
      <c r="D42" s="278" t="s">
        <v>555</v>
      </c>
      <c r="E42" s="279">
        <f>VLOOKUP(D42,'10產線配置圖'!$A$2:$C$25,2,0)</f>
        <v>18</v>
      </c>
      <c r="F42" s="279">
        <f>VLOOKUP(D42,'10產線配置圖'!$A$2:$C$25,3,0)</f>
        <v>1636</v>
      </c>
      <c r="G42" s="280">
        <f t="shared" si="48"/>
        <v>90.888888888888886</v>
      </c>
      <c r="H42" s="357"/>
      <c r="I42" s="279" t="e">
        <f t="shared" si="33"/>
        <v>#DIV/0!</v>
      </c>
      <c r="J42" s="279" t="e">
        <f t="shared" si="33"/>
        <v>#DIV/0!</v>
      </c>
      <c r="K42" s="280" t="e">
        <f t="shared" si="33"/>
        <v>#DIV/0!</v>
      </c>
      <c r="L42" s="357"/>
      <c r="M42" s="281" t="e">
        <f>RANK(K42, K$30:$K$47)</f>
        <v>#DIV/0!</v>
      </c>
      <c r="N42" s="355"/>
      <c r="O42" s="355"/>
      <c r="P42" s="278"/>
      <c r="Q42" s="278"/>
      <c r="R42" s="280" t="e">
        <f t="shared" si="49"/>
        <v>#DIV/0!</v>
      </c>
      <c r="S42" s="278" t="e">
        <f t="shared" si="35"/>
        <v>#DIV/0!</v>
      </c>
      <c r="T42" s="359"/>
      <c r="U42" s="278"/>
      <c r="V42" s="278"/>
      <c r="W42" s="280" t="e">
        <f t="shared" si="50"/>
        <v>#DIV/0!</v>
      </c>
      <c r="X42" s="278" t="e">
        <f t="shared" si="37"/>
        <v>#DIV/0!</v>
      </c>
      <c r="Y42" s="359"/>
      <c r="Z42" s="278"/>
      <c r="AA42" s="278"/>
      <c r="AB42" s="280" t="e">
        <f t="shared" si="51"/>
        <v>#DIV/0!</v>
      </c>
      <c r="AC42" s="278" t="e">
        <f t="shared" si="39"/>
        <v>#DIV/0!</v>
      </c>
      <c r="AD42" s="359"/>
      <c r="AE42" s="278"/>
      <c r="AF42" s="278"/>
      <c r="AG42" s="280" t="e">
        <f t="shared" si="52"/>
        <v>#DIV/0!</v>
      </c>
      <c r="AH42" s="278" t="e">
        <f t="shared" si="41"/>
        <v>#DIV/0!</v>
      </c>
      <c r="AI42" s="359"/>
      <c r="AJ42" s="278"/>
      <c r="AK42" s="278"/>
      <c r="AL42" s="280" t="e">
        <f t="shared" si="53"/>
        <v>#DIV/0!</v>
      </c>
      <c r="AM42" s="278" t="e">
        <f t="shared" si="43"/>
        <v>#DIV/0!</v>
      </c>
      <c r="AN42" s="359"/>
      <c r="AO42" s="278"/>
      <c r="AP42" s="278"/>
      <c r="AQ42" s="280" t="e">
        <f t="shared" si="54"/>
        <v>#DIV/0!</v>
      </c>
      <c r="AR42" s="278" t="e">
        <f t="shared" si="45"/>
        <v>#DIV/0!</v>
      </c>
      <c r="AS42" s="359"/>
      <c r="AT42" s="278"/>
      <c r="AU42" s="278"/>
      <c r="AV42" s="280" t="e">
        <f t="shared" si="55"/>
        <v>#DIV/0!</v>
      </c>
      <c r="AW42" s="278" t="e">
        <f t="shared" si="47"/>
        <v>#DIV/0!</v>
      </c>
      <c r="AX42" s="359"/>
    </row>
    <row r="43" spans="2:50">
      <c r="B43" s="346"/>
      <c r="C43" s="278">
        <v>14</v>
      </c>
      <c r="D43" s="278" t="s">
        <v>566</v>
      </c>
      <c r="E43" s="279">
        <f>VLOOKUP(D43,'10產線配置圖'!$A$2:$C$25,2,0)</f>
        <v>17</v>
      </c>
      <c r="F43" s="279">
        <f>VLOOKUP(D43,'10產線配置圖'!$A$2:$C$25,3,0)</f>
        <v>1500</v>
      </c>
      <c r="G43" s="280">
        <f t="shared" si="48"/>
        <v>88.235294117647058</v>
      </c>
      <c r="H43" s="357"/>
      <c r="I43" s="279" t="e">
        <f t="shared" si="33"/>
        <v>#DIV/0!</v>
      </c>
      <c r="J43" s="279" t="e">
        <f t="shared" si="33"/>
        <v>#DIV/0!</v>
      </c>
      <c r="K43" s="280" t="e">
        <f t="shared" si="33"/>
        <v>#DIV/0!</v>
      </c>
      <c r="L43" s="357"/>
      <c r="M43" s="281" t="e">
        <f>RANK(K43, K$30:$K$47)</f>
        <v>#DIV/0!</v>
      </c>
      <c r="N43" s="355"/>
      <c r="O43" s="355"/>
      <c r="P43" s="278"/>
      <c r="Q43" s="278"/>
      <c r="R43" s="280" t="e">
        <f t="shared" si="49"/>
        <v>#DIV/0!</v>
      </c>
      <c r="S43" s="278" t="e">
        <f t="shared" si="35"/>
        <v>#DIV/0!</v>
      </c>
      <c r="T43" s="359"/>
      <c r="U43" s="278"/>
      <c r="V43" s="278"/>
      <c r="W43" s="280" t="e">
        <f t="shared" si="50"/>
        <v>#DIV/0!</v>
      </c>
      <c r="X43" s="278" t="e">
        <f t="shared" si="37"/>
        <v>#DIV/0!</v>
      </c>
      <c r="Y43" s="359"/>
      <c r="Z43" s="278"/>
      <c r="AA43" s="278"/>
      <c r="AB43" s="280" t="e">
        <f t="shared" si="51"/>
        <v>#DIV/0!</v>
      </c>
      <c r="AC43" s="278" t="e">
        <f t="shared" si="39"/>
        <v>#DIV/0!</v>
      </c>
      <c r="AD43" s="359"/>
      <c r="AE43" s="278"/>
      <c r="AF43" s="278"/>
      <c r="AG43" s="280" t="e">
        <f t="shared" si="52"/>
        <v>#DIV/0!</v>
      </c>
      <c r="AH43" s="278" t="e">
        <f t="shared" si="41"/>
        <v>#DIV/0!</v>
      </c>
      <c r="AI43" s="359"/>
      <c r="AJ43" s="278"/>
      <c r="AK43" s="278"/>
      <c r="AL43" s="280" t="e">
        <f t="shared" si="53"/>
        <v>#DIV/0!</v>
      </c>
      <c r="AM43" s="278" t="e">
        <f t="shared" si="43"/>
        <v>#DIV/0!</v>
      </c>
      <c r="AN43" s="359"/>
      <c r="AO43" s="278"/>
      <c r="AP43" s="278"/>
      <c r="AQ43" s="280" t="e">
        <f t="shared" si="54"/>
        <v>#DIV/0!</v>
      </c>
      <c r="AR43" s="278" t="e">
        <f t="shared" si="45"/>
        <v>#DIV/0!</v>
      </c>
      <c r="AS43" s="359"/>
      <c r="AT43" s="278"/>
      <c r="AU43" s="278"/>
      <c r="AV43" s="280" t="e">
        <f t="shared" si="55"/>
        <v>#DIV/0!</v>
      </c>
      <c r="AW43" s="278" t="e">
        <f t="shared" si="47"/>
        <v>#DIV/0!</v>
      </c>
      <c r="AX43" s="359"/>
    </row>
    <row r="44" spans="2:50">
      <c r="B44" s="346"/>
      <c r="C44" s="278">
        <v>15</v>
      </c>
      <c r="D44" s="278"/>
      <c r="E44" s="279"/>
      <c r="F44" s="279"/>
      <c r="G44" s="280"/>
      <c r="H44" s="357"/>
      <c r="I44" s="278" t="e">
        <f t="shared" si="33"/>
        <v>#DIV/0!</v>
      </c>
      <c r="J44" s="279" t="e">
        <f t="shared" si="33"/>
        <v>#DIV/0!</v>
      </c>
      <c r="K44" s="280" t="e">
        <f t="shared" si="33"/>
        <v>#DIV/0!</v>
      </c>
      <c r="L44" s="357"/>
      <c r="M44" s="279" t="e">
        <f>RANK(K44, K$30:$K$47)</f>
        <v>#DIV/0!</v>
      </c>
      <c r="N44" s="355"/>
      <c r="O44" s="355"/>
      <c r="P44" s="278"/>
      <c r="Q44" s="278"/>
      <c r="R44" s="280" t="e">
        <f t="shared" si="49"/>
        <v>#DIV/0!</v>
      </c>
      <c r="S44" s="278" t="e">
        <f t="shared" si="35"/>
        <v>#DIV/0!</v>
      </c>
      <c r="T44" s="359"/>
      <c r="U44" s="278"/>
      <c r="V44" s="278"/>
      <c r="W44" s="280" t="e">
        <f t="shared" si="50"/>
        <v>#DIV/0!</v>
      </c>
      <c r="X44" s="278" t="e">
        <f t="shared" si="37"/>
        <v>#DIV/0!</v>
      </c>
      <c r="Y44" s="359"/>
      <c r="Z44" s="278"/>
      <c r="AA44" s="278"/>
      <c r="AB44" s="280" t="e">
        <f t="shared" ref="AB44" si="56">AA44/Z44</f>
        <v>#DIV/0!</v>
      </c>
      <c r="AC44" s="278" t="e">
        <f t="shared" si="39"/>
        <v>#DIV/0!</v>
      </c>
      <c r="AD44" s="359"/>
      <c r="AE44" s="278"/>
      <c r="AF44" s="278"/>
      <c r="AG44" s="280" t="e">
        <f t="shared" si="52"/>
        <v>#DIV/0!</v>
      </c>
      <c r="AH44" s="278" t="e">
        <f t="shared" si="41"/>
        <v>#DIV/0!</v>
      </c>
      <c r="AI44" s="359"/>
      <c r="AJ44" s="278"/>
      <c r="AK44" s="278"/>
      <c r="AL44" s="280" t="e">
        <f t="shared" ref="AL44" si="57">AK44/AJ44</f>
        <v>#DIV/0!</v>
      </c>
      <c r="AM44" s="278" t="e">
        <f t="shared" si="43"/>
        <v>#DIV/0!</v>
      </c>
      <c r="AN44" s="359"/>
      <c r="AO44" s="278"/>
      <c r="AP44" s="278"/>
      <c r="AQ44" s="280" t="e">
        <f t="shared" ref="AQ44:AQ45" si="58">AP44/AO44</f>
        <v>#DIV/0!</v>
      </c>
      <c r="AR44" s="278" t="e">
        <f t="shared" si="45"/>
        <v>#DIV/0!</v>
      </c>
      <c r="AS44" s="359"/>
      <c r="AT44" s="278"/>
      <c r="AU44" s="278"/>
      <c r="AV44" s="280" t="e">
        <f t="shared" ref="AV44" si="59">AU44/AT44</f>
        <v>#DIV/0!</v>
      </c>
      <c r="AW44" s="278" t="e">
        <f t="shared" si="47"/>
        <v>#DIV/0!</v>
      </c>
      <c r="AX44" s="359"/>
    </row>
    <row r="45" spans="2:50">
      <c r="B45" s="346"/>
      <c r="C45" s="278">
        <v>16</v>
      </c>
      <c r="D45" s="278"/>
      <c r="E45" s="279"/>
      <c r="F45" s="279"/>
      <c r="G45" s="280"/>
      <c r="H45" s="357"/>
      <c r="I45" s="278"/>
      <c r="J45" s="278"/>
      <c r="K45" s="278"/>
      <c r="L45" s="357"/>
      <c r="M45" s="279"/>
      <c r="N45" s="355"/>
      <c r="O45" s="355"/>
      <c r="P45" s="278"/>
      <c r="Q45" s="278"/>
      <c r="R45" s="278"/>
      <c r="S45" s="278"/>
      <c r="T45" s="359"/>
      <c r="U45" s="278"/>
      <c r="V45" s="278"/>
      <c r="W45" s="280"/>
      <c r="X45" s="278"/>
      <c r="Y45" s="359"/>
      <c r="Z45" s="278"/>
      <c r="AA45" s="278"/>
      <c r="AB45" s="278"/>
      <c r="AC45" s="278"/>
      <c r="AD45" s="359"/>
      <c r="AE45" s="278"/>
      <c r="AF45" s="278"/>
      <c r="AG45" s="278"/>
      <c r="AH45" s="278"/>
      <c r="AI45" s="359"/>
      <c r="AJ45" s="278"/>
      <c r="AK45" s="278"/>
      <c r="AL45" s="278"/>
      <c r="AM45" s="278"/>
      <c r="AN45" s="359"/>
      <c r="AO45" s="278"/>
      <c r="AP45" s="278"/>
      <c r="AQ45" s="280" t="e">
        <f t="shared" si="58"/>
        <v>#DIV/0!</v>
      </c>
      <c r="AR45" s="278" t="e">
        <f t="shared" si="45"/>
        <v>#DIV/0!</v>
      </c>
      <c r="AS45" s="359"/>
      <c r="AT45" s="278"/>
      <c r="AU45" s="278"/>
      <c r="AV45" s="280"/>
      <c r="AW45" s="278"/>
      <c r="AX45" s="359"/>
    </row>
    <row r="46" spans="2:50">
      <c r="B46" s="346"/>
      <c r="C46" s="278">
        <v>17</v>
      </c>
      <c r="D46" s="278"/>
      <c r="E46" s="278"/>
      <c r="F46" s="278"/>
      <c r="G46" s="278"/>
      <c r="H46" s="357"/>
      <c r="I46" s="278"/>
      <c r="J46" s="278"/>
      <c r="K46" s="278"/>
      <c r="L46" s="357"/>
      <c r="M46" s="279"/>
      <c r="N46" s="355"/>
      <c r="O46" s="355"/>
      <c r="P46" s="278"/>
      <c r="Q46" s="278"/>
      <c r="R46" s="278"/>
      <c r="S46" s="278"/>
      <c r="T46" s="359"/>
      <c r="U46" s="278"/>
      <c r="V46" s="278"/>
      <c r="W46" s="280"/>
      <c r="X46" s="278"/>
      <c r="Y46" s="359"/>
      <c r="Z46" s="278"/>
      <c r="AA46" s="278"/>
      <c r="AB46" s="278"/>
      <c r="AC46" s="278"/>
      <c r="AD46" s="359"/>
      <c r="AE46" s="278"/>
      <c r="AF46" s="278"/>
      <c r="AG46" s="278"/>
      <c r="AH46" s="278"/>
      <c r="AI46" s="359"/>
      <c r="AJ46" s="278"/>
      <c r="AK46" s="278"/>
      <c r="AL46" s="278"/>
      <c r="AM46" s="278"/>
      <c r="AN46" s="359"/>
      <c r="AO46" s="278"/>
      <c r="AP46" s="278"/>
      <c r="AQ46" s="278"/>
      <c r="AR46" s="278"/>
      <c r="AS46" s="359"/>
      <c r="AT46" s="278"/>
      <c r="AU46" s="278"/>
      <c r="AV46" s="280"/>
      <c r="AW46" s="278"/>
      <c r="AX46" s="359"/>
    </row>
    <row r="47" spans="2:50">
      <c r="B47" s="346"/>
      <c r="C47" s="278">
        <v>18</v>
      </c>
      <c r="D47" s="278"/>
      <c r="E47" s="278"/>
      <c r="F47" s="278"/>
      <c r="G47" s="278"/>
      <c r="H47" s="358"/>
      <c r="I47" s="278"/>
      <c r="J47" s="278"/>
      <c r="K47" s="278"/>
      <c r="L47" s="358"/>
      <c r="M47" s="279"/>
      <c r="N47" s="355"/>
      <c r="O47" s="355"/>
      <c r="P47" s="278"/>
      <c r="Q47" s="278"/>
      <c r="R47" s="278"/>
      <c r="S47" s="278"/>
      <c r="T47" s="359"/>
      <c r="U47" s="278"/>
      <c r="V47" s="278"/>
      <c r="W47" s="280"/>
      <c r="X47" s="278"/>
      <c r="Y47" s="359"/>
      <c r="Z47" s="278"/>
      <c r="AA47" s="278"/>
      <c r="AB47" s="278"/>
      <c r="AC47" s="278"/>
      <c r="AD47" s="359"/>
      <c r="AE47" s="278"/>
      <c r="AF47" s="278"/>
      <c r="AG47" s="278"/>
      <c r="AH47" s="278"/>
      <c r="AI47" s="359"/>
      <c r="AJ47" s="278"/>
      <c r="AK47" s="278"/>
      <c r="AL47" s="278"/>
      <c r="AM47" s="278"/>
      <c r="AN47" s="359"/>
      <c r="AO47" s="278"/>
      <c r="AP47" s="278"/>
      <c r="AQ47" s="278"/>
      <c r="AR47" s="278"/>
      <c r="AS47" s="359"/>
      <c r="AT47" s="278"/>
      <c r="AU47" s="278"/>
      <c r="AV47" s="280"/>
      <c r="AW47" s="278"/>
      <c r="AX47" s="359"/>
    </row>
    <row r="48" spans="2:50" ht="15.75">
      <c r="B48" s="365" t="s">
        <v>449</v>
      </c>
      <c r="C48" s="366"/>
      <c r="D48" s="366"/>
      <c r="E48" s="366"/>
      <c r="F48" s="366"/>
      <c r="G48" s="366"/>
      <c r="H48" s="366"/>
      <c r="I48" s="283"/>
      <c r="J48" s="272"/>
      <c r="K48" s="283"/>
      <c r="L48" s="283"/>
      <c r="M48" s="273"/>
      <c r="N48" s="350" t="s">
        <v>450</v>
      </c>
      <c r="O48" s="350" t="s">
        <v>451</v>
      </c>
      <c r="P48" s="345">
        <v>45944</v>
      </c>
      <c r="Q48" s="346"/>
      <c r="R48" s="346"/>
      <c r="S48" s="346"/>
      <c r="T48" s="346"/>
      <c r="U48" s="345">
        <v>45945</v>
      </c>
      <c r="V48" s="346"/>
      <c r="W48" s="346"/>
      <c r="X48" s="346"/>
      <c r="Y48" s="346"/>
      <c r="Z48" s="345">
        <v>45946</v>
      </c>
      <c r="AA48" s="346"/>
      <c r="AB48" s="346"/>
      <c r="AC48" s="346"/>
      <c r="AD48" s="346"/>
      <c r="AE48" s="345">
        <v>45947</v>
      </c>
      <c r="AF48" s="346"/>
      <c r="AG48" s="346"/>
      <c r="AH48" s="346"/>
      <c r="AI48" s="346"/>
      <c r="AJ48" s="345">
        <v>45948</v>
      </c>
      <c r="AK48" s="346"/>
      <c r="AL48" s="346"/>
      <c r="AM48" s="346"/>
      <c r="AN48" s="346"/>
      <c r="AO48" s="345">
        <v>45949</v>
      </c>
      <c r="AP48" s="346"/>
      <c r="AQ48" s="346"/>
      <c r="AR48" s="346"/>
      <c r="AS48" s="346"/>
      <c r="AT48" s="345">
        <v>45950</v>
      </c>
      <c r="AU48" s="346"/>
      <c r="AV48" s="346"/>
      <c r="AW48" s="346"/>
      <c r="AX48" s="346"/>
    </row>
    <row r="49" spans="2:50" ht="15.75">
      <c r="B49" s="349"/>
      <c r="C49" s="349"/>
      <c r="D49" s="349"/>
      <c r="E49" s="349"/>
      <c r="F49" s="349"/>
      <c r="G49" s="349"/>
      <c r="H49" s="349"/>
      <c r="I49" s="274"/>
      <c r="J49" s="274"/>
      <c r="K49" s="274"/>
      <c r="L49" s="274"/>
      <c r="M49" s="275"/>
      <c r="N49" s="351"/>
      <c r="O49" s="351"/>
      <c r="P49" s="345" t="s">
        <v>452</v>
      </c>
      <c r="Q49" s="346"/>
      <c r="R49" s="346"/>
      <c r="S49" s="346"/>
      <c r="T49" s="346"/>
      <c r="U49" s="345" t="s">
        <v>453</v>
      </c>
      <c r="V49" s="346"/>
      <c r="W49" s="346"/>
      <c r="X49" s="346"/>
      <c r="Y49" s="346"/>
      <c r="Z49" s="345" t="s">
        <v>454</v>
      </c>
      <c r="AA49" s="346"/>
      <c r="AB49" s="346"/>
      <c r="AC49" s="346"/>
      <c r="AD49" s="346"/>
      <c r="AE49" s="345" t="s">
        <v>455</v>
      </c>
      <c r="AF49" s="346"/>
      <c r="AG49" s="346"/>
      <c r="AH49" s="346"/>
      <c r="AI49" s="346"/>
      <c r="AJ49" s="345" t="s">
        <v>480</v>
      </c>
      <c r="AK49" s="346"/>
      <c r="AL49" s="346"/>
      <c r="AM49" s="346"/>
      <c r="AN49" s="346"/>
      <c r="AO49" s="345" t="s">
        <v>457</v>
      </c>
      <c r="AP49" s="346"/>
      <c r="AQ49" s="346"/>
      <c r="AR49" s="346"/>
      <c r="AS49" s="346"/>
      <c r="AT49" s="345" t="s">
        <v>458</v>
      </c>
      <c r="AU49" s="346"/>
      <c r="AV49" s="346"/>
      <c r="AW49" s="346"/>
      <c r="AX49" s="346"/>
    </row>
    <row r="50" spans="2:50">
      <c r="B50" s="355" t="s">
        <v>459</v>
      </c>
      <c r="C50" s="355" t="s">
        <v>460</v>
      </c>
      <c r="D50" s="355"/>
      <c r="E50" s="355" t="s">
        <v>461</v>
      </c>
      <c r="F50" s="355"/>
      <c r="G50" s="355"/>
      <c r="H50" s="361" t="s">
        <v>462</v>
      </c>
      <c r="I50" s="355" t="s">
        <v>463</v>
      </c>
      <c r="J50" s="355"/>
      <c r="K50" s="355"/>
      <c r="L50" s="361" t="s">
        <v>462</v>
      </c>
      <c r="M50" s="350" t="s">
        <v>464</v>
      </c>
      <c r="N50" s="355"/>
      <c r="O50" s="355" t="s">
        <v>465</v>
      </c>
      <c r="P50" s="352" t="s">
        <v>466</v>
      </c>
      <c r="Q50" s="353"/>
      <c r="R50" s="353"/>
      <c r="S50" s="354"/>
      <c r="T50" s="355" t="s">
        <v>468</v>
      </c>
      <c r="U50" s="352" t="s">
        <v>466</v>
      </c>
      <c r="V50" s="353"/>
      <c r="W50" s="353"/>
      <c r="X50" s="354"/>
      <c r="Y50" s="355" t="s">
        <v>462</v>
      </c>
      <c r="Z50" s="352" t="s">
        <v>466</v>
      </c>
      <c r="AA50" s="353"/>
      <c r="AB50" s="353"/>
      <c r="AC50" s="354"/>
      <c r="AD50" s="355" t="s">
        <v>462</v>
      </c>
      <c r="AE50" s="352" t="s">
        <v>466</v>
      </c>
      <c r="AF50" s="353"/>
      <c r="AG50" s="353"/>
      <c r="AH50" s="354"/>
      <c r="AI50" s="355" t="s">
        <v>462</v>
      </c>
      <c r="AJ50" s="352" t="s">
        <v>466</v>
      </c>
      <c r="AK50" s="353"/>
      <c r="AL50" s="353"/>
      <c r="AM50" s="354"/>
      <c r="AN50" s="355" t="s">
        <v>462</v>
      </c>
      <c r="AO50" s="352" t="s">
        <v>466</v>
      </c>
      <c r="AP50" s="353"/>
      <c r="AQ50" s="353"/>
      <c r="AR50" s="354"/>
      <c r="AS50" s="355" t="s">
        <v>462</v>
      </c>
      <c r="AT50" s="352" t="s">
        <v>466</v>
      </c>
      <c r="AU50" s="353"/>
      <c r="AV50" s="353"/>
      <c r="AW50" s="354"/>
      <c r="AX50" s="355" t="s">
        <v>462</v>
      </c>
    </row>
    <row r="51" spans="2:50">
      <c r="B51" s="355"/>
      <c r="C51" s="355"/>
      <c r="D51" s="355"/>
      <c r="E51" s="355" t="s">
        <v>469</v>
      </c>
      <c r="F51" s="355"/>
      <c r="G51" s="355"/>
      <c r="H51" s="362"/>
      <c r="I51" s="355" t="s">
        <v>484</v>
      </c>
      <c r="J51" s="355"/>
      <c r="K51" s="355"/>
      <c r="L51" s="362"/>
      <c r="M51" s="364"/>
      <c r="N51" s="355"/>
      <c r="O51" s="355"/>
      <c r="P51" s="352" t="s">
        <v>471</v>
      </c>
      <c r="Q51" s="353"/>
      <c r="R51" s="353"/>
      <c r="S51" s="354"/>
      <c r="T51" s="355"/>
      <c r="U51" s="352" t="s">
        <v>470</v>
      </c>
      <c r="V51" s="353"/>
      <c r="W51" s="353"/>
      <c r="X51" s="354"/>
      <c r="Y51" s="355"/>
      <c r="Z51" s="352" t="s">
        <v>470</v>
      </c>
      <c r="AA51" s="353"/>
      <c r="AB51" s="353"/>
      <c r="AC51" s="354"/>
      <c r="AD51" s="355"/>
      <c r="AE51" s="352" t="s">
        <v>470</v>
      </c>
      <c r="AF51" s="353"/>
      <c r="AG51" s="353"/>
      <c r="AH51" s="354"/>
      <c r="AI51" s="355"/>
      <c r="AJ51" s="352" t="s">
        <v>470</v>
      </c>
      <c r="AK51" s="353"/>
      <c r="AL51" s="353"/>
      <c r="AM51" s="354"/>
      <c r="AN51" s="355"/>
      <c r="AO51" s="352" t="s">
        <v>470</v>
      </c>
      <c r="AP51" s="353"/>
      <c r="AQ51" s="353"/>
      <c r="AR51" s="354"/>
      <c r="AS51" s="355"/>
      <c r="AT51" s="352" t="s">
        <v>470</v>
      </c>
      <c r="AU51" s="353"/>
      <c r="AV51" s="353"/>
      <c r="AW51" s="354"/>
      <c r="AX51" s="355"/>
    </row>
    <row r="52" spans="2:50">
      <c r="B52" s="355"/>
      <c r="C52" s="355"/>
      <c r="D52" s="355"/>
      <c r="E52" s="277" t="s">
        <v>476</v>
      </c>
      <c r="F52" s="277" t="s">
        <v>473</v>
      </c>
      <c r="G52" s="277" t="s">
        <v>485</v>
      </c>
      <c r="H52" s="363"/>
      <c r="I52" s="277" t="s">
        <v>472</v>
      </c>
      <c r="J52" s="277" t="s">
        <v>475</v>
      </c>
      <c r="K52" s="277" t="s">
        <v>474</v>
      </c>
      <c r="L52" s="363"/>
      <c r="M52" s="351"/>
      <c r="N52" s="355"/>
      <c r="O52" s="355"/>
      <c r="P52" s="277" t="s">
        <v>472</v>
      </c>
      <c r="Q52" s="277" t="s">
        <v>473</v>
      </c>
      <c r="R52" s="277" t="s">
        <v>474</v>
      </c>
      <c r="S52" s="277" t="s">
        <v>464</v>
      </c>
      <c r="T52" s="355"/>
      <c r="U52" s="277" t="s">
        <v>476</v>
      </c>
      <c r="V52" s="277" t="s">
        <v>473</v>
      </c>
      <c r="W52" s="277" t="s">
        <v>474</v>
      </c>
      <c r="X52" s="277" t="s">
        <v>464</v>
      </c>
      <c r="Y52" s="355"/>
      <c r="Z52" s="277" t="s">
        <v>472</v>
      </c>
      <c r="AA52" s="277" t="s">
        <v>473</v>
      </c>
      <c r="AB52" s="277" t="s">
        <v>474</v>
      </c>
      <c r="AC52" s="277" t="s">
        <v>464</v>
      </c>
      <c r="AD52" s="355"/>
      <c r="AE52" s="277" t="s">
        <v>472</v>
      </c>
      <c r="AF52" s="277" t="s">
        <v>473</v>
      </c>
      <c r="AG52" s="277" t="s">
        <v>485</v>
      </c>
      <c r="AH52" s="277" t="s">
        <v>464</v>
      </c>
      <c r="AI52" s="355"/>
      <c r="AJ52" s="277" t="s">
        <v>472</v>
      </c>
      <c r="AK52" s="277" t="s">
        <v>473</v>
      </c>
      <c r="AL52" s="277" t="s">
        <v>474</v>
      </c>
      <c r="AM52" s="277" t="s">
        <v>464</v>
      </c>
      <c r="AN52" s="355"/>
      <c r="AO52" s="277" t="s">
        <v>476</v>
      </c>
      <c r="AP52" s="277" t="s">
        <v>473</v>
      </c>
      <c r="AQ52" s="277" t="s">
        <v>474</v>
      </c>
      <c r="AR52" s="277" t="s">
        <v>464</v>
      </c>
      <c r="AS52" s="355"/>
      <c r="AT52" s="277" t="s">
        <v>472</v>
      </c>
      <c r="AU52" s="277" t="s">
        <v>473</v>
      </c>
      <c r="AV52" s="277" t="s">
        <v>474</v>
      </c>
      <c r="AW52" s="277" t="s">
        <v>464</v>
      </c>
      <c r="AX52" s="355"/>
    </row>
    <row r="53" spans="2:50" ht="13.5">
      <c r="B53" s="346" t="s">
        <v>139</v>
      </c>
      <c r="C53" s="278">
        <v>1</v>
      </c>
      <c r="D53" s="282" t="s">
        <v>408</v>
      </c>
      <c r="E53" s="279">
        <f>VLOOKUP(D53,'10產線配置圖'!$A$2:$C$25,2,0)</f>
        <v>12</v>
      </c>
      <c r="F53" s="279">
        <f>VLOOKUP(D53,'10產線配置圖'!$A$2:$C$25,3,0)</f>
        <v>2000</v>
      </c>
      <c r="G53" s="280">
        <f>F53/E53</f>
        <v>166.66666666666666</v>
      </c>
      <c r="H53" s="356">
        <f>AVERAGE(G53:G67)</f>
        <v>114.02113246230893</v>
      </c>
      <c r="I53" s="279" t="e">
        <f>AVERAGE(P53,U53,Z53,AE53,AJ53,AO53,AT53)</f>
        <v>#DIV/0!</v>
      </c>
      <c r="J53" s="279" t="e">
        <f>AVERAGE(Q53,V53,AA53,AF53,AK53,AP53,AU53)</f>
        <v>#DIV/0!</v>
      </c>
      <c r="K53" s="280" t="e">
        <f>AVERAGE(R53,W53,AB53,AG53,AL53,AQ53,AV53)</f>
        <v>#DIV/0!</v>
      </c>
      <c r="L53" s="356" t="str">
        <f>IFERROR(AVERAGE(K53:K67),"-")</f>
        <v>-</v>
      </c>
      <c r="M53" s="279" t="e">
        <f>RANK(K53, K$53:$K$67)</f>
        <v>#DIV/0!</v>
      </c>
      <c r="N53" s="355"/>
      <c r="O53" s="355"/>
      <c r="P53" s="279"/>
      <c r="Q53" s="279"/>
      <c r="R53" s="280" t="e">
        <f>Q53/P53</f>
        <v>#DIV/0!</v>
      </c>
      <c r="S53" s="278" t="e">
        <f>RANK(R53, $R$53:$R$67)</f>
        <v>#DIV/0!</v>
      </c>
      <c r="T53" s="359" t="e">
        <f>AVERAGE(R53:R67)</f>
        <v>#DIV/0!</v>
      </c>
      <c r="U53" s="279"/>
      <c r="V53" s="279"/>
      <c r="W53" s="280" t="e">
        <f>V53/U53</f>
        <v>#DIV/0!</v>
      </c>
      <c r="X53" s="278" t="e">
        <f>RANK(W53,$W$53:$W$67)</f>
        <v>#DIV/0!</v>
      </c>
      <c r="Y53" s="359" t="e">
        <f>AVERAGE(W53:W67)</f>
        <v>#DIV/0!</v>
      </c>
      <c r="Z53" s="279"/>
      <c r="AA53" s="279"/>
      <c r="AB53" s="280" t="e">
        <f>AA53/Z53</f>
        <v>#DIV/0!</v>
      </c>
      <c r="AC53" s="278" t="e">
        <f>RANK(AB53, $AB$53:$AB$67)</f>
        <v>#DIV/0!</v>
      </c>
      <c r="AD53" s="359" t="e">
        <f>AVERAGE(AB53:AB67)</f>
        <v>#DIV/0!</v>
      </c>
      <c r="AE53" s="279"/>
      <c r="AF53" s="279"/>
      <c r="AG53" s="280" t="e">
        <f>AF53/AE53</f>
        <v>#DIV/0!</v>
      </c>
      <c r="AH53" s="278" t="e">
        <f>RANK(AG53, $AG$53:$AG$67)</f>
        <v>#DIV/0!</v>
      </c>
      <c r="AI53" s="359" t="e">
        <f>AVERAGE(AG53:AG67)</f>
        <v>#DIV/0!</v>
      </c>
      <c r="AJ53" s="279"/>
      <c r="AK53" s="279"/>
      <c r="AL53" s="280" t="e">
        <f>AK53/AJ53</f>
        <v>#DIV/0!</v>
      </c>
      <c r="AM53" s="278" t="e">
        <f>RANK(AL53,$AL$53:$AL$67)</f>
        <v>#DIV/0!</v>
      </c>
      <c r="AN53" s="359" t="e">
        <f>AVERAGE(AL53:AL67)</f>
        <v>#DIV/0!</v>
      </c>
      <c r="AO53" s="279"/>
      <c r="AP53" s="279"/>
      <c r="AQ53" s="280" t="e">
        <f>AP53/AO53</f>
        <v>#DIV/0!</v>
      </c>
      <c r="AR53" s="278" t="e">
        <f>RANK(AQ53,$AQ$53:$AQ$67)</f>
        <v>#DIV/0!</v>
      </c>
      <c r="AS53" s="359" t="e">
        <f>AVERAGE(AQ53:AQ67)</f>
        <v>#DIV/0!</v>
      </c>
      <c r="AT53" s="279"/>
      <c r="AU53" s="279"/>
      <c r="AV53" s="280" t="e">
        <f>AU53/AT53</f>
        <v>#DIV/0!</v>
      </c>
      <c r="AW53" s="278" t="e">
        <f>RANK(AV53,$AV$53:$AV$67)</f>
        <v>#DIV/0!</v>
      </c>
      <c r="AX53" s="359" t="e">
        <f>AVERAGE(AV53:AV67)</f>
        <v>#DIV/0!</v>
      </c>
    </row>
    <row r="54" spans="2:50">
      <c r="B54" s="346"/>
      <c r="C54" s="278">
        <v>2</v>
      </c>
      <c r="D54" s="278" t="s">
        <v>400</v>
      </c>
      <c r="E54" s="279">
        <f>VLOOKUP(D54,'10產線配置圖'!$A$2:$C$25,2,0)</f>
        <v>13</v>
      </c>
      <c r="F54" s="279">
        <f>VLOOKUP(D54,'10產線配置圖'!$A$2:$C$25,3,0)</f>
        <v>2000</v>
      </c>
      <c r="G54" s="280">
        <f t="shared" ref="G54:G63" si="60">F54/E54</f>
        <v>153.84615384615384</v>
      </c>
      <c r="H54" s="357"/>
      <c r="I54" s="279" t="e">
        <f t="shared" ref="I54:K67" si="61">AVERAGE(P54,U54,Z54,AE54,AJ54,AO54,AT54)</f>
        <v>#DIV/0!</v>
      </c>
      <c r="J54" s="279" t="e">
        <f t="shared" si="61"/>
        <v>#DIV/0!</v>
      </c>
      <c r="K54" s="280" t="e">
        <f t="shared" si="61"/>
        <v>#DIV/0!</v>
      </c>
      <c r="L54" s="357"/>
      <c r="M54" s="279" t="e">
        <f>RANK(K54, K$53:$K$67)</f>
        <v>#DIV/0!</v>
      </c>
      <c r="N54" s="355"/>
      <c r="O54" s="355"/>
      <c r="P54" s="279"/>
      <c r="Q54" s="279"/>
      <c r="R54" s="280" t="e">
        <f t="shared" ref="R54:R62" si="62">Q54/P54</f>
        <v>#DIV/0!</v>
      </c>
      <c r="S54" s="278" t="e">
        <f t="shared" ref="S54:S66" si="63">RANK(R54, $R$53:$R$67)</f>
        <v>#DIV/0!</v>
      </c>
      <c r="T54" s="359"/>
      <c r="U54" s="279"/>
      <c r="V54" s="279"/>
      <c r="W54" s="280" t="e">
        <f t="shared" ref="W54:W62" si="64">V54/U54</f>
        <v>#DIV/0!</v>
      </c>
      <c r="X54" s="278" t="e">
        <f t="shared" ref="X54:X65" si="65">RANK(W54,$W$53:$W$67)</f>
        <v>#DIV/0!</v>
      </c>
      <c r="Y54" s="359"/>
      <c r="Z54" s="279"/>
      <c r="AA54" s="279"/>
      <c r="AB54" s="280" t="e">
        <f t="shared" ref="AB54:AB62" si="66">AA54/Z54</f>
        <v>#DIV/0!</v>
      </c>
      <c r="AC54" s="278" t="e">
        <f t="shared" ref="AC54:AC67" si="67">RANK(AB54, $AB$53:$AB$67)</f>
        <v>#DIV/0!</v>
      </c>
      <c r="AD54" s="359"/>
      <c r="AE54" s="279"/>
      <c r="AF54" s="279"/>
      <c r="AG54" s="280" t="e">
        <f t="shared" ref="AG54:AG62" si="68">AF54/AE54</f>
        <v>#DIV/0!</v>
      </c>
      <c r="AH54" s="278" t="e">
        <f t="shared" ref="AH54:AH67" si="69">RANK(AG54, $AG$53:$AG$67)</f>
        <v>#DIV/0!</v>
      </c>
      <c r="AI54" s="359"/>
      <c r="AJ54" s="279"/>
      <c r="AK54" s="279"/>
      <c r="AL54" s="280" t="e">
        <f t="shared" ref="AL54:AL62" si="70">AK54/AJ54</f>
        <v>#DIV/0!</v>
      </c>
      <c r="AM54" s="278" t="e">
        <f t="shared" ref="AM54:AM67" si="71">RANK(AL54,$AL$53:$AL$67)</f>
        <v>#DIV/0!</v>
      </c>
      <c r="AN54" s="359"/>
      <c r="AO54" s="279"/>
      <c r="AP54" s="279"/>
      <c r="AQ54" s="280" t="e">
        <f t="shared" ref="AQ54:AQ62" si="72">AP54/AO54</f>
        <v>#DIV/0!</v>
      </c>
      <c r="AR54" s="278" t="e">
        <f t="shared" ref="AR54:AR67" si="73">RANK(AQ54,$AQ$53:$AQ$67)</f>
        <v>#DIV/0!</v>
      </c>
      <c r="AS54" s="359"/>
      <c r="AT54" s="279"/>
      <c r="AU54" s="279"/>
      <c r="AV54" s="280" t="e">
        <f t="shared" ref="AV54:AV62" si="74">AU54/AT54</f>
        <v>#DIV/0!</v>
      </c>
      <c r="AW54" s="278" t="e">
        <f t="shared" ref="AW54:AW67" si="75">RANK(AV54,$AV$53:$AV$67)</f>
        <v>#DIV/0!</v>
      </c>
      <c r="AX54" s="359"/>
    </row>
    <row r="55" spans="2:50">
      <c r="B55" s="346"/>
      <c r="C55" s="278">
        <v>3</v>
      </c>
      <c r="D55" s="278" t="s">
        <v>401</v>
      </c>
      <c r="E55" s="279">
        <f>VLOOKUP(D55,'10產線配置圖'!$A$2:$C$25,2,0)</f>
        <v>16</v>
      </c>
      <c r="F55" s="279">
        <f>VLOOKUP(D55,'10產線配置圖'!$A$2:$C$25,3,0)</f>
        <v>1915</v>
      </c>
      <c r="G55" s="280">
        <f t="shared" si="60"/>
        <v>119.6875</v>
      </c>
      <c r="H55" s="357"/>
      <c r="I55" s="279" t="e">
        <f t="shared" si="61"/>
        <v>#DIV/0!</v>
      </c>
      <c r="J55" s="279" t="e">
        <f t="shared" si="61"/>
        <v>#DIV/0!</v>
      </c>
      <c r="K55" s="280" t="e">
        <f t="shared" si="61"/>
        <v>#DIV/0!</v>
      </c>
      <c r="L55" s="357"/>
      <c r="M55" s="279" t="e">
        <f>RANK(K55, K$53:$K$67)</f>
        <v>#DIV/0!</v>
      </c>
      <c r="N55" s="355"/>
      <c r="O55" s="355"/>
      <c r="P55" s="279"/>
      <c r="Q55" s="279"/>
      <c r="R55" s="280" t="e">
        <f t="shared" si="62"/>
        <v>#DIV/0!</v>
      </c>
      <c r="S55" s="278" t="e">
        <f t="shared" si="63"/>
        <v>#DIV/0!</v>
      </c>
      <c r="T55" s="359"/>
      <c r="U55" s="279"/>
      <c r="V55" s="279"/>
      <c r="W55" s="280" t="e">
        <f t="shared" si="64"/>
        <v>#DIV/0!</v>
      </c>
      <c r="X55" s="278" t="e">
        <f t="shared" si="65"/>
        <v>#DIV/0!</v>
      </c>
      <c r="Y55" s="359"/>
      <c r="Z55" s="279"/>
      <c r="AA55" s="279"/>
      <c r="AB55" s="280" t="e">
        <f t="shared" si="66"/>
        <v>#DIV/0!</v>
      </c>
      <c r="AC55" s="278" t="e">
        <f t="shared" si="67"/>
        <v>#DIV/0!</v>
      </c>
      <c r="AD55" s="359"/>
      <c r="AE55" s="279"/>
      <c r="AF55" s="279"/>
      <c r="AG55" s="280" t="e">
        <f t="shared" si="68"/>
        <v>#DIV/0!</v>
      </c>
      <c r="AH55" s="278" t="e">
        <f t="shared" si="69"/>
        <v>#DIV/0!</v>
      </c>
      <c r="AI55" s="359"/>
      <c r="AJ55" s="279"/>
      <c r="AK55" s="279"/>
      <c r="AL55" s="280" t="e">
        <f t="shared" si="70"/>
        <v>#DIV/0!</v>
      </c>
      <c r="AM55" s="278" t="e">
        <f t="shared" si="71"/>
        <v>#DIV/0!</v>
      </c>
      <c r="AN55" s="359"/>
      <c r="AO55" s="279"/>
      <c r="AP55" s="279"/>
      <c r="AQ55" s="280" t="e">
        <f t="shared" si="72"/>
        <v>#DIV/0!</v>
      </c>
      <c r="AR55" s="278" t="e">
        <f t="shared" si="73"/>
        <v>#DIV/0!</v>
      </c>
      <c r="AS55" s="359"/>
      <c r="AT55" s="279"/>
      <c r="AU55" s="279"/>
      <c r="AV55" s="280" t="e">
        <f t="shared" si="74"/>
        <v>#DIV/0!</v>
      </c>
      <c r="AW55" s="278" t="e">
        <f t="shared" si="75"/>
        <v>#DIV/0!</v>
      </c>
      <c r="AX55" s="359"/>
    </row>
    <row r="56" spans="2:50">
      <c r="B56" s="346"/>
      <c r="C56" s="278">
        <v>4</v>
      </c>
      <c r="D56" s="278" t="s">
        <v>402</v>
      </c>
      <c r="E56" s="279">
        <f>VLOOKUP(D56,'10產線配置圖'!$A$2:$C$25,2,0)</f>
        <v>18</v>
      </c>
      <c r="F56" s="279">
        <f>VLOOKUP(D56,'10產線配置圖'!$A$2:$C$25,3,0)</f>
        <v>1565</v>
      </c>
      <c r="G56" s="280">
        <f t="shared" si="60"/>
        <v>86.944444444444443</v>
      </c>
      <c r="H56" s="357"/>
      <c r="I56" s="279" t="e">
        <f t="shared" si="61"/>
        <v>#DIV/0!</v>
      </c>
      <c r="J56" s="279" t="e">
        <f t="shared" si="61"/>
        <v>#DIV/0!</v>
      </c>
      <c r="K56" s="280" t="e">
        <f t="shared" si="61"/>
        <v>#DIV/0!</v>
      </c>
      <c r="L56" s="357"/>
      <c r="M56" s="279" t="e">
        <f>RANK(K56, K$53:$K$67)</f>
        <v>#DIV/0!</v>
      </c>
      <c r="N56" s="355"/>
      <c r="O56" s="355"/>
      <c r="P56" s="279"/>
      <c r="Q56" s="279"/>
      <c r="R56" s="280" t="e">
        <f t="shared" si="62"/>
        <v>#DIV/0!</v>
      </c>
      <c r="S56" s="278" t="e">
        <f t="shared" si="63"/>
        <v>#DIV/0!</v>
      </c>
      <c r="T56" s="359"/>
      <c r="U56" s="279"/>
      <c r="V56" s="279"/>
      <c r="W56" s="280" t="e">
        <f t="shared" si="64"/>
        <v>#DIV/0!</v>
      </c>
      <c r="X56" s="278" t="e">
        <f t="shared" si="65"/>
        <v>#DIV/0!</v>
      </c>
      <c r="Y56" s="359"/>
      <c r="Z56" s="279"/>
      <c r="AA56" s="279"/>
      <c r="AB56" s="280" t="e">
        <f t="shared" si="66"/>
        <v>#DIV/0!</v>
      </c>
      <c r="AC56" s="278" t="e">
        <f t="shared" si="67"/>
        <v>#DIV/0!</v>
      </c>
      <c r="AD56" s="359"/>
      <c r="AE56" s="279"/>
      <c r="AF56" s="279"/>
      <c r="AG56" s="280" t="e">
        <f t="shared" si="68"/>
        <v>#DIV/0!</v>
      </c>
      <c r="AH56" s="278" t="e">
        <f t="shared" si="69"/>
        <v>#DIV/0!</v>
      </c>
      <c r="AI56" s="359"/>
      <c r="AJ56" s="279"/>
      <c r="AK56" s="279"/>
      <c r="AL56" s="280" t="e">
        <f t="shared" si="70"/>
        <v>#DIV/0!</v>
      </c>
      <c r="AM56" s="278" t="e">
        <f t="shared" si="71"/>
        <v>#DIV/0!</v>
      </c>
      <c r="AN56" s="359"/>
      <c r="AO56" s="279"/>
      <c r="AP56" s="279"/>
      <c r="AQ56" s="280" t="e">
        <f t="shared" si="72"/>
        <v>#DIV/0!</v>
      </c>
      <c r="AR56" s="278" t="e">
        <f t="shared" si="73"/>
        <v>#DIV/0!</v>
      </c>
      <c r="AS56" s="359"/>
      <c r="AT56" s="279"/>
      <c r="AU56" s="279"/>
      <c r="AV56" s="280" t="e">
        <f t="shared" si="74"/>
        <v>#DIV/0!</v>
      </c>
      <c r="AW56" s="278" t="e">
        <f t="shared" si="75"/>
        <v>#DIV/0!</v>
      </c>
      <c r="AX56" s="359"/>
    </row>
    <row r="57" spans="2:50">
      <c r="B57" s="346"/>
      <c r="C57" s="278">
        <v>5</v>
      </c>
      <c r="D57" s="278" t="s">
        <v>403</v>
      </c>
      <c r="E57" s="279">
        <f>VLOOKUP(D57,'10產線配置圖'!$A$2:$C$25,2,0)</f>
        <v>13</v>
      </c>
      <c r="F57" s="279">
        <f>VLOOKUP(D57,'10產線配置圖'!$A$2:$C$25,3,0)</f>
        <v>2000</v>
      </c>
      <c r="G57" s="280">
        <f t="shared" si="60"/>
        <v>153.84615384615384</v>
      </c>
      <c r="H57" s="357"/>
      <c r="I57" s="279" t="e">
        <f t="shared" si="61"/>
        <v>#DIV/0!</v>
      </c>
      <c r="J57" s="279" t="e">
        <f t="shared" si="61"/>
        <v>#DIV/0!</v>
      </c>
      <c r="K57" s="280" t="e">
        <f t="shared" si="61"/>
        <v>#DIV/0!</v>
      </c>
      <c r="L57" s="357"/>
      <c r="M57" s="279" t="e">
        <f>RANK(K57, K$53:$K$67)</f>
        <v>#DIV/0!</v>
      </c>
      <c r="N57" s="355"/>
      <c r="O57" s="355"/>
      <c r="P57" s="279"/>
      <c r="Q57" s="279"/>
      <c r="R57" s="280" t="e">
        <f t="shared" si="62"/>
        <v>#DIV/0!</v>
      </c>
      <c r="S57" s="278" t="e">
        <f t="shared" si="63"/>
        <v>#DIV/0!</v>
      </c>
      <c r="T57" s="359"/>
      <c r="U57" s="279"/>
      <c r="V57" s="279"/>
      <c r="W57" s="280" t="e">
        <f t="shared" si="64"/>
        <v>#DIV/0!</v>
      </c>
      <c r="X57" s="278" t="e">
        <f t="shared" si="65"/>
        <v>#DIV/0!</v>
      </c>
      <c r="Y57" s="359"/>
      <c r="Z57" s="279"/>
      <c r="AA57" s="279"/>
      <c r="AB57" s="280" t="e">
        <f t="shared" si="66"/>
        <v>#DIV/0!</v>
      </c>
      <c r="AC57" s="278" t="e">
        <f t="shared" si="67"/>
        <v>#DIV/0!</v>
      </c>
      <c r="AD57" s="359"/>
      <c r="AE57" s="279"/>
      <c r="AF57" s="279"/>
      <c r="AG57" s="280" t="e">
        <f t="shared" si="68"/>
        <v>#DIV/0!</v>
      </c>
      <c r="AH57" s="278" t="e">
        <f t="shared" si="69"/>
        <v>#DIV/0!</v>
      </c>
      <c r="AI57" s="359"/>
      <c r="AJ57" s="279"/>
      <c r="AK57" s="279"/>
      <c r="AL57" s="280" t="e">
        <f t="shared" si="70"/>
        <v>#DIV/0!</v>
      </c>
      <c r="AM57" s="278" t="e">
        <f t="shared" si="71"/>
        <v>#DIV/0!</v>
      </c>
      <c r="AN57" s="359"/>
      <c r="AO57" s="279"/>
      <c r="AP57" s="279"/>
      <c r="AQ57" s="280" t="e">
        <f t="shared" si="72"/>
        <v>#DIV/0!</v>
      </c>
      <c r="AR57" s="278" t="e">
        <f t="shared" si="73"/>
        <v>#DIV/0!</v>
      </c>
      <c r="AS57" s="359"/>
      <c r="AT57" s="279"/>
      <c r="AU57" s="279"/>
      <c r="AV57" s="280" t="e">
        <f t="shared" si="74"/>
        <v>#DIV/0!</v>
      </c>
      <c r="AW57" s="278" t="e">
        <f t="shared" si="75"/>
        <v>#DIV/0!</v>
      </c>
      <c r="AX57" s="359"/>
    </row>
    <row r="58" spans="2:50">
      <c r="B58" s="346"/>
      <c r="C58" s="278">
        <v>6</v>
      </c>
      <c r="D58" s="278" t="s">
        <v>421</v>
      </c>
      <c r="E58" s="279">
        <f>VLOOKUP(D58,'10產線配置圖'!$A$2:$C$25,2,0)</f>
        <v>14</v>
      </c>
      <c r="F58" s="279">
        <f>VLOOKUP(D58,'10產線配置圖'!$A$2:$C$25,3,0)</f>
        <v>1895</v>
      </c>
      <c r="G58" s="280">
        <f t="shared" si="60"/>
        <v>135.35714285714286</v>
      </c>
      <c r="H58" s="357"/>
      <c r="I58" s="279" t="e">
        <f t="shared" si="61"/>
        <v>#DIV/0!</v>
      </c>
      <c r="J58" s="279" t="e">
        <f t="shared" si="61"/>
        <v>#DIV/0!</v>
      </c>
      <c r="K58" s="280" t="e">
        <f t="shared" si="61"/>
        <v>#DIV/0!</v>
      </c>
      <c r="L58" s="357"/>
      <c r="M58" s="279" t="e">
        <f>RANK(K58, K$53:$K$67)</f>
        <v>#DIV/0!</v>
      </c>
      <c r="N58" s="355"/>
      <c r="O58" s="355"/>
      <c r="P58" s="279"/>
      <c r="Q58" s="279"/>
      <c r="R58" s="280" t="e">
        <f t="shared" si="62"/>
        <v>#DIV/0!</v>
      </c>
      <c r="S58" s="278" t="e">
        <f t="shared" si="63"/>
        <v>#DIV/0!</v>
      </c>
      <c r="T58" s="359"/>
      <c r="U58" s="279"/>
      <c r="V58" s="279"/>
      <c r="W58" s="280" t="e">
        <f t="shared" si="64"/>
        <v>#DIV/0!</v>
      </c>
      <c r="X58" s="278" t="e">
        <f t="shared" si="65"/>
        <v>#DIV/0!</v>
      </c>
      <c r="Y58" s="359"/>
      <c r="Z58" s="279"/>
      <c r="AA58" s="279"/>
      <c r="AB58" s="280" t="e">
        <f t="shared" si="66"/>
        <v>#DIV/0!</v>
      </c>
      <c r="AC58" s="278" t="e">
        <f t="shared" si="67"/>
        <v>#DIV/0!</v>
      </c>
      <c r="AD58" s="359"/>
      <c r="AE58" s="279"/>
      <c r="AF58" s="279"/>
      <c r="AG58" s="280" t="e">
        <f t="shared" si="68"/>
        <v>#DIV/0!</v>
      </c>
      <c r="AH58" s="278" t="e">
        <f t="shared" si="69"/>
        <v>#DIV/0!</v>
      </c>
      <c r="AI58" s="359"/>
      <c r="AJ58" s="279"/>
      <c r="AK58" s="279"/>
      <c r="AL58" s="280" t="e">
        <f t="shared" si="70"/>
        <v>#DIV/0!</v>
      </c>
      <c r="AM58" s="278" t="e">
        <f t="shared" si="71"/>
        <v>#DIV/0!</v>
      </c>
      <c r="AN58" s="359"/>
      <c r="AO58" s="279"/>
      <c r="AP58" s="279"/>
      <c r="AQ58" s="280" t="e">
        <f t="shared" si="72"/>
        <v>#DIV/0!</v>
      </c>
      <c r="AR58" s="278" t="e">
        <f t="shared" si="73"/>
        <v>#DIV/0!</v>
      </c>
      <c r="AS58" s="359"/>
      <c r="AT58" s="279"/>
      <c r="AU58" s="279"/>
      <c r="AV58" s="280" t="e">
        <f t="shared" si="74"/>
        <v>#DIV/0!</v>
      </c>
      <c r="AW58" s="278" t="e">
        <f t="shared" si="75"/>
        <v>#DIV/0!</v>
      </c>
      <c r="AX58" s="359"/>
    </row>
    <row r="59" spans="2:50">
      <c r="B59" s="346"/>
      <c r="C59" s="278">
        <v>7</v>
      </c>
      <c r="D59" s="278" t="s">
        <v>394</v>
      </c>
      <c r="E59" s="279">
        <f>VLOOKUP(D59,'10產線配置圖'!$A$2:$C$25,2,0)</f>
        <v>16</v>
      </c>
      <c r="F59" s="279">
        <f>VLOOKUP(D59,'10產線配置圖'!$A$2:$C$25,3,0)</f>
        <v>1429</v>
      </c>
      <c r="G59" s="280">
        <f t="shared" si="60"/>
        <v>89.3125</v>
      </c>
      <c r="H59" s="357"/>
      <c r="I59" s="279"/>
      <c r="J59" s="279"/>
      <c r="K59" s="280"/>
      <c r="L59" s="357"/>
      <c r="M59" s="279"/>
      <c r="N59" s="355"/>
      <c r="O59" s="355"/>
      <c r="P59" s="279"/>
      <c r="Q59" s="279"/>
      <c r="R59" s="280"/>
      <c r="S59" s="278"/>
      <c r="T59" s="359"/>
      <c r="U59" s="279"/>
      <c r="V59" s="279"/>
      <c r="W59" s="280"/>
      <c r="X59" s="278"/>
      <c r="Y59" s="359"/>
      <c r="Z59" s="279"/>
      <c r="AA59" s="279"/>
      <c r="AB59" s="280"/>
      <c r="AC59" s="278"/>
      <c r="AD59" s="359"/>
      <c r="AE59" s="279"/>
      <c r="AF59" s="279"/>
      <c r="AG59" s="280"/>
      <c r="AH59" s="278"/>
      <c r="AI59" s="359"/>
      <c r="AJ59" s="279"/>
      <c r="AK59" s="279"/>
      <c r="AL59" s="280"/>
      <c r="AM59" s="278"/>
      <c r="AN59" s="359"/>
      <c r="AO59" s="279"/>
      <c r="AP59" s="279"/>
      <c r="AQ59" s="280"/>
      <c r="AR59" s="278"/>
      <c r="AS59" s="359"/>
      <c r="AT59" s="279"/>
      <c r="AU59" s="279"/>
      <c r="AV59" s="280"/>
      <c r="AW59" s="278"/>
      <c r="AX59" s="359"/>
    </row>
    <row r="60" spans="2:50">
      <c r="B60" s="346"/>
      <c r="C60" s="278">
        <v>8</v>
      </c>
      <c r="D60" s="278" t="s">
        <v>395</v>
      </c>
      <c r="E60" s="279">
        <f>VLOOKUP(D60,'10產線配置圖'!$A$2:$C$25,2,0)</f>
        <v>18</v>
      </c>
      <c r="F60" s="279">
        <f>VLOOKUP(D60,'10產線配置圖'!$A$2:$C$25,3,0)</f>
        <v>1500</v>
      </c>
      <c r="G60" s="280">
        <f t="shared" si="60"/>
        <v>83.333333333333329</v>
      </c>
      <c r="H60" s="357"/>
      <c r="I60" s="279" t="e">
        <f t="shared" si="61"/>
        <v>#DIV/0!</v>
      </c>
      <c r="J60" s="279" t="e">
        <f t="shared" si="61"/>
        <v>#DIV/0!</v>
      </c>
      <c r="K60" s="280" t="e">
        <f t="shared" si="61"/>
        <v>#DIV/0!</v>
      </c>
      <c r="L60" s="357"/>
      <c r="M60" s="279" t="e">
        <f>RANK(K60, K$53:$K$67)</f>
        <v>#DIV/0!</v>
      </c>
      <c r="N60" s="355"/>
      <c r="O60" s="355"/>
      <c r="P60" s="279"/>
      <c r="Q60" s="279"/>
      <c r="R60" s="280" t="e">
        <f t="shared" si="62"/>
        <v>#DIV/0!</v>
      </c>
      <c r="S60" s="278" t="e">
        <f t="shared" si="63"/>
        <v>#DIV/0!</v>
      </c>
      <c r="T60" s="359"/>
      <c r="U60" s="279"/>
      <c r="V60" s="279"/>
      <c r="W60" s="280" t="e">
        <f t="shared" si="64"/>
        <v>#DIV/0!</v>
      </c>
      <c r="X60" s="278" t="e">
        <f t="shared" si="65"/>
        <v>#DIV/0!</v>
      </c>
      <c r="Y60" s="359"/>
      <c r="Z60" s="279"/>
      <c r="AA60" s="279"/>
      <c r="AB60" s="280" t="e">
        <f t="shared" si="66"/>
        <v>#DIV/0!</v>
      </c>
      <c r="AC60" s="278" t="e">
        <f t="shared" si="67"/>
        <v>#DIV/0!</v>
      </c>
      <c r="AD60" s="359"/>
      <c r="AE60" s="279"/>
      <c r="AF60" s="279"/>
      <c r="AG60" s="280" t="e">
        <f t="shared" si="68"/>
        <v>#DIV/0!</v>
      </c>
      <c r="AH60" s="278" t="e">
        <f t="shared" si="69"/>
        <v>#DIV/0!</v>
      </c>
      <c r="AI60" s="359"/>
      <c r="AJ60" s="279"/>
      <c r="AK60" s="279"/>
      <c r="AL60" s="280" t="e">
        <f t="shared" si="70"/>
        <v>#DIV/0!</v>
      </c>
      <c r="AM60" s="278" t="e">
        <f t="shared" si="71"/>
        <v>#DIV/0!</v>
      </c>
      <c r="AN60" s="359"/>
      <c r="AO60" s="279"/>
      <c r="AP60" s="279"/>
      <c r="AQ60" s="280" t="e">
        <f t="shared" si="72"/>
        <v>#DIV/0!</v>
      </c>
      <c r="AR60" s="278" t="e">
        <f t="shared" si="73"/>
        <v>#DIV/0!</v>
      </c>
      <c r="AS60" s="359"/>
      <c r="AT60" s="279"/>
      <c r="AU60" s="279"/>
      <c r="AV60" s="280" t="e">
        <f t="shared" si="74"/>
        <v>#DIV/0!</v>
      </c>
      <c r="AW60" s="278" t="e">
        <f t="shared" si="75"/>
        <v>#DIV/0!</v>
      </c>
      <c r="AX60" s="359"/>
    </row>
    <row r="61" spans="2:50">
      <c r="B61" s="346"/>
      <c r="C61" s="278">
        <v>9</v>
      </c>
      <c r="D61" s="278" t="s">
        <v>404</v>
      </c>
      <c r="E61" s="279">
        <f>VLOOKUP(D61,'10產線配置圖'!$A$2:$C$25,2,0)</f>
        <v>18</v>
      </c>
      <c r="F61" s="279">
        <f>VLOOKUP(D61,'10產線配置圖'!$A$2:$C$25,3,0)</f>
        <v>1385</v>
      </c>
      <c r="G61" s="280">
        <f t="shared" si="60"/>
        <v>76.944444444444443</v>
      </c>
      <c r="H61" s="357"/>
      <c r="I61" s="279" t="e">
        <f t="shared" si="61"/>
        <v>#DIV/0!</v>
      </c>
      <c r="J61" s="279" t="e">
        <f t="shared" si="61"/>
        <v>#DIV/0!</v>
      </c>
      <c r="K61" s="280" t="e">
        <f t="shared" si="61"/>
        <v>#DIV/0!</v>
      </c>
      <c r="L61" s="357"/>
      <c r="M61" s="279" t="e">
        <f>RANK(K61, K$53:$K$67)</f>
        <v>#DIV/0!</v>
      </c>
      <c r="N61" s="355"/>
      <c r="O61" s="355"/>
      <c r="P61" s="279"/>
      <c r="Q61" s="279"/>
      <c r="R61" s="280" t="e">
        <f t="shared" si="62"/>
        <v>#DIV/0!</v>
      </c>
      <c r="S61" s="278" t="e">
        <f t="shared" si="63"/>
        <v>#DIV/0!</v>
      </c>
      <c r="T61" s="359"/>
      <c r="U61" s="279"/>
      <c r="V61" s="279"/>
      <c r="W61" s="280" t="e">
        <f t="shared" si="64"/>
        <v>#DIV/0!</v>
      </c>
      <c r="X61" s="278" t="e">
        <f t="shared" si="65"/>
        <v>#DIV/0!</v>
      </c>
      <c r="Y61" s="359"/>
      <c r="Z61" s="279"/>
      <c r="AA61" s="279"/>
      <c r="AB61" s="280" t="e">
        <f t="shared" si="66"/>
        <v>#DIV/0!</v>
      </c>
      <c r="AC61" s="278" t="e">
        <f t="shared" si="67"/>
        <v>#DIV/0!</v>
      </c>
      <c r="AD61" s="359"/>
      <c r="AE61" s="279"/>
      <c r="AF61" s="279"/>
      <c r="AG61" s="280" t="e">
        <f t="shared" si="68"/>
        <v>#DIV/0!</v>
      </c>
      <c r="AH61" s="278" t="e">
        <f t="shared" si="69"/>
        <v>#DIV/0!</v>
      </c>
      <c r="AI61" s="359"/>
      <c r="AJ61" s="279"/>
      <c r="AK61" s="279"/>
      <c r="AL61" s="280" t="e">
        <f t="shared" si="70"/>
        <v>#DIV/0!</v>
      </c>
      <c r="AM61" s="278" t="e">
        <f t="shared" si="71"/>
        <v>#DIV/0!</v>
      </c>
      <c r="AN61" s="359"/>
      <c r="AO61" s="279"/>
      <c r="AP61" s="279"/>
      <c r="AQ61" s="280" t="e">
        <f t="shared" si="72"/>
        <v>#DIV/0!</v>
      </c>
      <c r="AR61" s="278" t="e">
        <f t="shared" si="73"/>
        <v>#DIV/0!</v>
      </c>
      <c r="AS61" s="359"/>
      <c r="AT61" s="279"/>
      <c r="AU61" s="279"/>
      <c r="AV61" s="280" t="e">
        <f t="shared" si="74"/>
        <v>#DIV/0!</v>
      </c>
      <c r="AW61" s="278" t="e">
        <f t="shared" si="75"/>
        <v>#DIV/0!</v>
      </c>
      <c r="AX61" s="359"/>
    </row>
    <row r="62" spans="2:50">
      <c r="B62" s="346"/>
      <c r="C62" s="278">
        <v>10</v>
      </c>
      <c r="D62" s="278" t="s">
        <v>443</v>
      </c>
      <c r="E62" s="279">
        <f>VLOOKUP(D62,'10產線配置圖'!$A$2:$C$25,2,0)</f>
        <v>17</v>
      </c>
      <c r="F62" s="279">
        <f>VLOOKUP(D62,'10產線配置圖'!$A$2:$C$25,3,0)</f>
        <v>1565</v>
      </c>
      <c r="G62" s="280">
        <f t="shared" si="60"/>
        <v>92.058823529411768</v>
      </c>
      <c r="H62" s="357"/>
      <c r="I62" s="279" t="e">
        <f t="shared" si="61"/>
        <v>#DIV/0!</v>
      </c>
      <c r="J62" s="279" t="e">
        <f t="shared" si="61"/>
        <v>#DIV/0!</v>
      </c>
      <c r="K62" s="280" t="e">
        <f t="shared" si="61"/>
        <v>#DIV/0!</v>
      </c>
      <c r="L62" s="357"/>
      <c r="M62" s="279" t="e">
        <f>RANK(K62, K$53:$K$67)</f>
        <v>#DIV/0!</v>
      </c>
      <c r="N62" s="355"/>
      <c r="O62" s="355"/>
      <c r="P62" s="279"/>
      <c r="Q62" s="279"/>
      <c r="R62" s="280" t="e">
        <f t="shared" si="62"/>
        <v>#DIV/0!</v>
      </c>
      <c r="S62" s="278" t="e">
        <f t="shared" si="63"/>
        <v>#DIV/0!</v>
      </c>
      <c r="T62" s="359"/>
      <c r="U62" s="279"/>
      <c r="V62" s="279"/>
      <c r="W62" s="280" t="e">
        <f t="shared" si="64"/>
        <v>#DIV/0!</v>
      </c>
      <c r="X62" s="278" t="e">
        <f t="shared" si="65"/>
        <v>#DIV/0!</v>
      </c>
      <c r="Y62" s="359"/>
      <c r="Z62" s="279"/>
      <c r="AA62" s="279"/>
      <c r="AB62" s="280" t="e">
        <f t="shared" si="66"/>
        <v>#DIV/0!</v>
      </c>
      <c r="AC62" s="278" t="e">
        <f t="shared" si="67"/>
        <v>#DIV/0!</v>
      </c>
      <c r="AD62" s="359"/>
      <c r="AE62" s="279"/>
      <c r="AF62" s="279"/>
      <c r="AG62" s="280" t="e">
        <f t="shared" si="68"/>
        <v>#DIV/0!</v>
      </c>
      <c r="AH62" s="278" t="e">
        <f t="shared" si="69"/>
        <v>#DIV/0!</v>
      </c>
      <c r="AI62" s="359"/>
      <c r="AJ62" s="279"/>
      <c r="AK62" s="279"/>
      <c r="AL62" s="280" t="e">
        <f t="shared" si="70"/>
        <v>#DIV/0!</v>
      </c>
      <c r="AM62" s="278" t="e">
        <f t="shared" si="71"/>
        <v>#DIV/0!</v>
      </c>
      <c r="AN62" s="359"/>
      <c r="AO62" s="279"/>
      <c r="AP62" s="279"/>
      <c r="AQ62" s="280" t="e">
        <f t="shared" si="72"/>
        <v>#DIV/0!</v>
      </c>
      <c r="AR62" s="278" t="e">
        <f t="shared" si="73"/>
        <v>#DIV/0!</v>
      </c>
      <c r="AS62" s="359"/>
      <c r="AT62" s="279"/>
      <c r="AU62" s="279"/>
      <c r="AV62" s="280" t="e">
        <f t="shared" si="74"/>
        <v>#DIV/0!</v>
      </c>
      <c r="AW62" s="278" t="e">
        <f t="shared" si="75"/>
        <v>#DIV/0!</v>
      </c>
      <c r="AX62" s="359"/>
    </row>
    <row r="63" spans="2:50">
      <c r="B63" s="346"/>
      <c r="C63" s="278">
        <v>11</v>
      </c>
      <c r="D63" s="278" t="s">
        <v>530</v>
      </c>
      <c r="E63" s="279">
        <f>VLOOKUP(D63,'10產線配置圖'!$A$2:$C$25,2,0)</f>
        <v>17</v>
      </c>
      <c r="F63" s="279">
        <f>VLOOKUP(D63,'10產線配置圖'!$A$2:$C$25,3,0)</f>
        <v>1636</v>
      </c>
      <c r="G63" s="280">
        <f t="shared" si="60"/>
        <v>96.235294117647058</v>
      </c>
      <c r="H63" s="357"/>
      <c r="I63" s="279" t="e">
        <f t="shared" si="61"/>
        <v>#DIV/0!</v>
      </c>
      <c r="J63" s="279" t="e">
        <f t="shared" si="61"/>
        <v>#DIV/0!</v>
      </c>
      <c r="K63" s="280" t="e">
        <f t="shared" si="61"/>
        <v>#DIV/0!</v>
      </c>
      <c r="L63" s="357"/>
      <c r="M63" s="279" t="e">
        <f>RANK(K63, K$53:$K$67)</f>
        <v>#DIV/0!</v>
      </c>
      <c r="N63" s="355"/>
      <c r="O63" s="355"/>
      <c r="P63" s="278"/>
      <c r="Q63" s="278"/>
      <c r="R63" s="280" t="e">
        <f>Q63/P63</f>
        <v>#DIV/0!</v>
      </c>
      <c r="S63" s="278" t="e">
        <f t="shared" si="63"/>
        <v>#DIV/0!</v>
      </c>
      <c r="T63" s="359"/>
      <c r="U63" s="278"/>
      <c r="V63" s="278"/>
      <c r="W63" s="280" t="e">
        <f>V63/U63</f>
        <v>#DIV/0!</v>
      </c>
      <c r="X63" s="278" t="e">
        <f t="shared" si="65"/>
        <v>#DIV/0!</v>
      </c>
      <c r="Y63" s="359"/>
      <c r="Z63" s="278"/>
      <c r="AA63" s="278"/>
      <c r="AB63" s="280" t="e">
        <f>AA63/Z63</f>
        <v>#DIV/0!</v>
      </c>
      <c r="AC63" s="278" t="e">
        <f t="shared" si="67"/>
        <v>#DIV/0!</v>
      </c>
      <c r="AD63" s="359"/>
      <c r="AE63" s="278"/>
      <c r="AF63" s="278"/>
      <c r="AG63" s="280" t="e">
        <f>AF63/AE63</f>
        <v>#DIV/0!</v>
      </c>
      <c r="AH63" s="278" t="e">
        <f t="shared" si="69"/>
        <v>#DIV/0!</v>
      </c>
      <c r="AI63" s="359"/>
      <c r="AJ63" s="278"/>
      <c r="AK63" s="278"/>
      <c r="AL63" s="280" t="e">
        <f>AK63/AJ63</f>
        <v>#DIV/0!</v>
      </c>
      <c r="AM63" s="278" t="e">
        <f t="shared" si="71"/>
        <v>#DIV/0!</v>
      </c>
      <c r="AN63" s="359"/>
      <c r="AO63" s="278"/>
      <c r="AP63" s="278"/>
      <c r="AQ63" s="280" t="e">
        <f>AP63/AO63</f>
        <v>#DIV/0!</v>
      </c>
      <c r="AR63" s="278" t="e">
        <f t="shared" si="73"/>
        <v>#DIV/0!</v>
      </c>
      <c r="AS63" s="359"/>
      <c r="AT63" s="278"/>
      <c r="AU63" s="278"/>
      <c r="AV63" s="280" t="e">
        <f>AU63/AT63</f>
        <v>#DIV/0!</v>
      </c>
      <c r="AW63" s="278" t="e">
        <f t="shared" si="75"/>
        <v>#DIV/0!</v>
      </c>
      <c r="AX63" s="359"/>
    </row>
    <row r="64" spans="2:50">
      <c r="B64" s="346"/>
      <c r="C64" s="278">
        <v>12</v>
      </c>
      <c r="D64" s="278"/>
      <c r="E64" s="279"/>
      <c r="F64" s="279"/>
      <c r="G64" s="280"/>
      <c r="H64" s="357"/>
      <c r="I64" s="279" t="e">
        <f t="shared" si="61"/>
        <v>#DIV/0!</v>
      </c>
      <c r="J64" s="279" t="e">
        <f t="shared" si="61"/>
        <v>#DIV/0!</v>
      </c>
      <c r="K64" s="280" t="e">
        <f t="shared" si="61"/>
        <v>#DIV/0!</v>
      </c>
      <c r="L64" s="357"/>
      <c r="M64" s="279" t="e">
        <f>RANK(K64, K$53:$K$67)</f>
        <v>#DIV/0!</v>
      </c>
      <c r="N64" s="355"/>
      <c r="O64" s="355"/>
      <c r="P64" s="278"/>
      <c r="Q64" s="278"/>
      <c r="R64" s="280" t="e">
        <f t="shared" ref="R64:R67" si="76">Q64/P64</f>
        <v>#DIV/0!</v>
      </c>
      <c r="S64" s="278" t="e">
        <f t="shared" si="63"/>
        <v>#DIV/0!</v>
      </c>
      <c r="T64" s="359"/>
      <c r="U64" s="278"/>
      <c r="V64" s="279"/>
      <c r="W64" s="280" t="e">
        <f t="shared" ref="W64:W67" si="77">V64/U64</f>
        <v>#DIV/0!</v>
      </c>
      <c r="X64" s="278" t="e">
        <f t="shared" si="65"/>
        <v>#DIV/0!</v>
      </c>
      <c r="Y64" s="359"/>
      <c r="Z64" s="278"/>
      <c r="AA64" s="279"/>
      <c r="AB64" s="280" t="e">
        <f t="shared" ref="AB64:AB67" si="78">AA64/Z64</f>
        <v>#DIV/0!</v>
      </c>
      <c r="AC64" s="278" t="e">
        <f t="shared" si="67"/>
        <v>#DIV/0!</v>
      </c>
      <c r="AD64" s="359"/>
      <c r="AE64" s="278"/>
      <c r="AF64" s="278"/>
      <c r="AG64" s="280" t="e">
        <f t="shared" ref="AG64:AG67" si="79">AF64/AE64</f>
        <v>#DIV/0!</v>
      </c>
      <c r="AH64" s="278" t="e">
        <f t="shared" si="69"/>
        <v>#DIV/0!</v>
      </c>
      <c r="AI64" s="359"/>
      <c r="AJ64" s="278"/>
      <c r="AK64" s="278"/>
      <c r="AL64" s="280" t="e">
        <f t="shared" ref="AL64:AL67" si="80">AK64/AJ64</f>
        <v>#DIV/0!</v>
      </c>
      <c r="AM64" s="278" t="e">
        <f t="shared" si="71"/>
        <v>#DIV/0!</v>
      </c>
      <c r="AN64" s="359"/>
      <c r="AO64" s="278"/>
      <c r="AP64" s="278"/>
      <c r="AQ64" s="280" t="e">
        <f t="shared" ref="AQ64:AQ67" si="81">AP64/AO64</f>
        <v>#DIV/0!</v>
      </c>
      <c r="AR64" s="278" t="e">
        <f t="shared" si="73"/>
        <v>#DIV/0!</v>
      </c>
      <c r="AS64" s="359"/>
      <c r="AT64" s="278"/>
      <c r="AU64" s="278"/>
      <c r="AV64" s="280" t="e">
        <f t="shared" ref="AV64:AV67" si="82">AU64/AT64</f>
        <v>#DIV/0!</v>
      </c>
      <c r="AW64" s="278" t="e">
        <f t="shared" si="75"/>
        <v>#DIV/0!</v>
      </c>
      <c r="AX64" s="359"/>
    </row>
    <row r="65" spans="2:50">
      <c r="B65" s="346"/>
      <c r="C65" s="278">
        <v>13</v>
      </c>
      <c r="D65" s="278"/>
      <c r="E65" s="279"/>
      <c r="F65" s="279"/>
      <c r="G65" s="280"/>
      <c r="H65" s="357"/>
      <c r="I65" s="279" t="e">
        <f t="shared" si="61"/>
        <v>#DIV/0!</v>
      </c>
      <c r="J65" s="279" t="e">
        <f t="shared" si="61"/>
        <v>#DIV/0!</v>
      </c>
      <c r="K65" s="280" t="e">
        <f t="shared" si="61"/>
        <v>#DIV/0!</v>
      </c>
      <c r="L65" s="357"/>
      <c r="M65" s="279" t="e">
        <f>RANK(K65, K$53:$K$67)</f>
        <v>#DIV/0!</v>
      </c>
      <c r="N65" s="355"/>
      <c r="O65" s="355"/>
      <c r="P65" s="278"/>
      <c r="Q65" s="278"/>
      <c r="R65" s="280" t="e">
        <f t="shared" si="76"/>
        <v>#DIV/0!</v>
      </c>
      <c r="S65" s="278" t="e">
        <f t="shared" si="63"/>
        <v>#DIV/0!</v>
      </c>
      <c r="T65" s="359"/>
      <c r="U65" s="278"/>
      <c r="V65" s="279"/>
      <c r="W65" s="280" t="e">
        <f t="shared" si="77"/>
        <v>#DIV/0!</v>
      </c>
      <c r="X65" s="278" t="e">
        <f t="shared" si="65"/>
        <v>#DIV/0!</v>
      </c>
      <c r="Y65" s="359"/>
      <c r="Z65" s="278"/>
      <c r="AA65" s="278"/>
      <c r="AB65" s="280" t="e">
        <f t="shared" si="78"/>
        <v>#DIV/0!</v>
      </c>
      <c r="AC65" s="278" t="e">
        <f t="shared" si="67"/>
        <v>#DIV/0!</v>
      </c>
      <c r="AD65" s="359"/>
      <c r="AE65" s="278"/>
      <c r="AF65" s="278"/>
      <c r="AG65" s="280" t="e">
        <f t="shared" si="79"/>
        <v>#DIV/0!</v>
      </c>
      <c r="AH65" s="278" t="e">
        <f t="shared" si="69"/>
        <v>#DIV/0!</v>
      </c>
      <c r="AI65" s="359"/>
      <c r="AJ65" s="278"/>
      <c r="AK65" s="278"/>
      <c r="AL65" s="280" t="e">
        <f t="shared" si="80"/>
        <v>#DIV/0!</v>
      </c>
      <c r="AM65" s="278" t="e">
        <f t="shared" si="71"/>
        <v>#DIV/0!</v>
      </c>
      <c r="AN65" s="359"/>
      <c r="AO65" s="278"/>
      <c r="AP65" s="278"/>
      <c r="AQ65" s="280" t="e">
        <f t="shared" si="81"/>
        <v>#DIV/0!</v>
      </c>
      <c r="AR65" s="278" t="e">
        <f t="shared" si="73"/>
        <v>#DIV/0!</v>
      </c>
      <c r="AS65" s="359"/>
      <c r="AT65" s="278"/>
      <c r="AU65" s="278"/>
      <c r="AV65" s="280" t="e">
        <f t="shared" si="82"/>
        <v>#DIV/0!</v>
      </c>
      <c r="AW65" s="278" t="e">
        <f t="shared" si="75"/>
        <v>#DIV/0!</v>
      </c>
      <c r="AX65" s="359"/>
    </row>
    <row r="66" spans="2:50">
      <c r="B66" s="346"/>
      <c r="C66" s="278">
        <v>14</v>
      </c>
      <c r="D66" s="278"/>
      <c r="E66" s="279"/>
      <c r="F66" s="279"/>
      <c r="G66" s="280"/>
      <c r="H66" s="357"/>
      <c r="I66" s="279" t="e">
        <f t="shared" si="61"/>
        <v>#DIV/0!</v>
      </c>
      <c r="J66" s="279" t="e">
        <f t="shared" si="61"/>
        <v>#DIV/0!</v>
      </c>
      <c r="K66" s="280" t="e">
        <f t="shared" si="61"/>
        <v>#DIV/0!</v>
      </c>
      <c r="L66" s="357"/>
      <c r="M66" s="279" t="e">
        <f>RANK(K66, K$53:$K$67)</f>
        <v>#DIV/0!</v>
      </c>
      <c r="N66" s="355"/>
      <c r="O66" s="355"/>
      <c r="P66" s="278"/>
      <c r="Q66" s="278"/>
      <c r="R66" s="280" t="e">
        <f t="shared" si="76"/>
        <v>#DIV/0!</v>
      </c>
      <c r="S66" s="278" t="e">
        <f t="shared" si="63"/>
        <v>#DIV/0!</v>
      </c>
      <c r="T66" s="359"/>
      <c r="U66" s="278"/>
      <c r="V66" s="278"/>
      <c r="W66" s="280" t="e">
        <f t="shared" si="77"/>
        <v>#DIV/0!</v>
      </c>
      <c r="X66" s="278" t="e">
        <f>RANK(W66,$W$53:$W$67)</f>
        <v>#DIV/0!</v>
      </c>
      <c r="Y66" s="359"/>
      <c r="Z66" s="278"/>
      <c r="AA66" s="278"/>
      <c r="AB66" s="280" t="e">
        <f t="shared" si="78"/>
        <v>#DIV/0!</v>
      </c>
      <c r="AC66" s="278" t="e">
        <f>RANK(AB66, $AB$53:$AB$67)</f>
        <v>#DIV/0!</v>
      </c>
      <c r="AD66" s="359"/>
      <c r="AE66" s="278"/>
      <c r="AF66" s="278"/>
      <c r="AG66" s="280" t="e">
        <f t="shared" si="79"/>
        <v>#DIV/0!</v>
      </c>
      <c r="AH66" s="278" t="e">
        <f t="shared" si="69"/>
        <v>#DIV/0!</v>
      </c>
      <c r="AI66" s="359"/>
      <c r="AJ66" s="278"/>
      <c r="AK66" s="278"/>
      <c r="AL66" s="280" t="e">
        <f t="shared" si="80"/>
        <v>#DIV/0!</v>
      </c>
      <c r="AM66" s="278" t="e">
        <f t="shared" si="71"/>
        <v>#DIV/0!</v>
      </c>
      <c r="AN66" s="359"/>
      <c r="AO66" s="278"/>
      <c r="AP66" s="278"/>
      <c r="AQ66" s="280" t="e">
        <f t="shared" si="81"/>
        <v>#DIV/0!</v>
      </c>
      <c r="AR66" s="278" t="e">
        <f t="shared" si="73"/>
        <v>#DIV/0!</v>
      </c>
      <c r="AS66" s="359"/>
      <c r="AT66" s="278"/>
      <c r="AU66" s="278"/>
      <c r="AV66" s="280" t="e">
        <f t="shared" si="82"/>
        <v>#DIV/0!</v>
      </c>
      <c r="AW66" s="278" t="e">
        <f t="shared" si="75"/>
        <v>#DIV/0!</v>
      </c>
      <c r="AX66" s="359"/>
    </row>
    <row r="67" spans="2:50">
      <c r="B67" s="346"/>
      <c r="C67" s="278">
        <v>15</v>
      </c>
      <c r="D67" s="278"/>
      <c r="E67" s="278"/>
      <c r="F67" s="278"/>
      <c r="G67" s="280"/>
      <c r="H67" s="358"/>
      <c r="I67" s="278" t="e">
        <f t="shared" si="61"/>
        <v>#DIV/0!</v>
      </c>
      <c r="J67" s="279" t="e">
        <f t="shared" si="61"/>
        <v>#DIV/0!</v>
      </c>
      <c r="K67" s="280" t="e">
        <f t="shared" si="61"/>
        <v>#DIV/0!</v>
      </c>
      <c r="L67" s="358"/>
      <c r="M67" s="279" t="e">
        <f>RANK(K67, K$53:$K$67)</f>
        <v>#DIV/0!</v>
      </c>
      <c r="N67" s="355"/>
      <c r="O67" s="355"/>
      <c r="P67" s="278"/>
      <c r="Q67" s="278"/>
      <c r="R67" s="280" t="e">
        <f t="shared" si="76"/>
        <v>#DIV/0!</v>
      </c>
      <c r="S67" s="278" t="e">
        <f>RANK(R67, $R$53:$R$67)</f>
        <v>#DIV/0!</v>
      </c>
      <c r="T67" s="359"/>
      <c r="U67" s="278"/>
      <c r="V67" s="278"/>
      <c r="W67" s="280" t="e">
        <f t="shared" si="77"/>
        <v>#DIV/0!</v>
      </c>
      <c r="X67" s="278" t="e">
        <f>RANK(W67,$W$53:$W$67)</f>
        <v>#DIV/0!</v>
      </c>
      <c r="Y67" s="359"/>
      <c r="Z67" s="278"/>
      <c r="AA67" s="278"/>
      <c r="AB67" s="280" t="e">
        <f t="shared" si="78"/>
        <v>#DIV/0!</v>
      </c>
      <c r="AC67" s="278" t="e">
        <f t="shared" si="67"/>
        <v>#DIV/0!</v>
      </c>
      <c r="AD67" s="359"/>
      <c r="AE67" s="278"/>
      <c r="AF67" s="278"/>
      <c r="AG67" s="280" t="e">
        <f t="shared" si="79"/>
        <v>#DIV/0!</v>
      </c>
      <c r="AH67" s="278" t="e">
        <f t="shared" si="69"/>
        <v>#DIV/0!</v>
      </c>
      <c r="AI67" s="359"/>
      <c r="AJ67" s="278"/>
      <c r="AK67" s="278"/>
      <c r="AL67" s="280" t="e">
        <f t="shared" si="80"/>
        <v>#DIV/0!</v>
      </c>
      <c r="AM67" s="278" t="e">
        <f t="shared" si="71"/>
        <v>#DIV/0!</v>
      </c>
      <c r="AN67" s="359"/>
      <c r="AO67" s="278"/>
      <c r="AP67" s="278"/>
      <c r="AQ67" s="280" t="e">
        <f t="shared" si="81"/>
        <v>#DIV/0!</v>
      </c>
      <c r="AR67" s="278" t="e">
        <f t="shared" si="73"/>
        <v>#DIV/0!</v>
      </c>
      <c r="AS67" s="359"/>
      <c r="AT67" s="278"/>
      <c r="AU67" s="278"/>
      <c r="AV67" s="280" t="e">
        <f t="shared" si="82"/>
        <v>#DIV/0!</v>
      </c>
      <c r="AW67" s="278" t="e">
        <f t="shared" si="75"/>
        <v>#DIV/0!</v>
      </c>
      <c r="AX67" s="359"/>
    </row>
    <row r="68" spans="2:50" ht="15.75">
      <c r="B68" s="367" t="s">
        <v>449</v>
      </c>
      <c r="C68" s="348"/>
      <c r="D68" s="348"/>
      <c r="E68" s="348"/>
      <c r="F68" s="348"/>
      <c r="G68" s="348"/>
      <c r="H68" s="348"/>
      <c r="I68" s="283"/>
      <c r="J68" s="283"/>
      <c r="K68" s="283"/>
      <c r="L68" s="283"/>
      <c r="M68" s="284"/>
      <c r="N68" s="350" t="s">
        <v>486</v>
      </c>
      <c r="O68" s="350" t="s">
        <v>451</v>
      </c>
      <c r="P68" s="345">
        <v>45951</v>
      </c>
      <c r="Q68" s="346"/>
      <c r="R68" s="346"/>
      <c r="S68" s="346"/>
      <c r="T68" s="346"/>
      <c r="U68" s="345">
        <v>45952</v>
      </c>
      <c r="V68" s="346"/>
      <c r="W68" s="346"/>
      <c r="X68" s="346"/>
      <c r="Y68" s="346"/>
      <c r="Z68" s="345">
        <v>45953</v>
      </c>
      <c r="AA68" s="346"/>
      <c r="AB68" s="346"/>
      <c r="AC68" s="346"/>
      <c r="AD68" s="346"/>
      <c r="AE68" s="345">
        <v>45954</v>
      </c>
      <c r="AF68" s="346"/>
      <c r="AG68" s="346"/>
      <c r="AH68" s="346"/>
      <c r="AI68" s="346"/>
      <c r="AJ68" s="345">
        <v>45955</v>
      </c>
      <c r="AK68" s="346"/>
      <c r="AL68" s="346"/>
      <c r="AM68" s="346"/>
      <c r="AN68" s="346"/>
      <c r="AO68" s="345">
        <v>45956</v>
      </c>
      <c r="AP68" s="346"/>
      <c r="AQ68" s="346"/>
      <c r="AR68" s="346"/>
      <c r="AS68" s="346"/>
      <c r="AT68" s="345">
        <v>45957</v>
      </c>
      <c r="AU68" s="346"/>
      <c r="AV68" s="346"/>
      <c r="AW68" s="346"/>
      <c r="AX68" s="346"/>
    </row>
    <row r="69" spans="2:50" ht="15.75">
      <c r="B69" s="349"/>
      <c r="C69" s="349"/>
      <c r="D69" s="349"/>
      <c r="E69" s="349"/>
      <c r="F69" s="349"/>
      <c r="G69" s="349"/>
      <c r="H69" s="349"/>
      <c r="I69" s="274"/>
      <c r="J69" s="274"/>
      <c r="K69" s="274"/>
      <c r="L69" s="274"/>
      <c r="M69" s="275"/>
      <c r="N69" s="351"/>
      <c r="O69" s="351"/>
      <c r="P69" s="345" t="s">
        <v>452</v>
      </c>
      <c r="Q69" s="346"/>
      <c r="R69" s="346"/>
      <c r="S69" s="346"/>
      <c r="T69" s="346"/>
      <c r="U69" s="345" t="s">
        <v>487</v>
      </c>
      <c r="V69" s="346"/>
      <c r="W69" s="346"/>
      <c r="X69" s="346"/>
      <c r="Y69" s="346"/>
      <c r="Z69" s="345" t="s">
        <v>479</v>
      </c>
      <c r="AA69" s="346"/>
      <c r="AB69" s="346"/>
      <c r="AC69" s="346"/>
      <c r="AD69" s="346"/>
      <c r="AE69" s="345" t="s">
        <v>488</v>
      </c>
      <c r="AF69" s="346"/>
      <c r="AG69" s="346"/>
      <c r="AH69" s="346"/>
      <c r="AI69" s="346"/>
      <c r="AJ69" s="345" t="s">
        <v>480</v>
      </c>
      <c r="AK69" s="346"/>
      <c r="AL69" s="346"/>
      <c r="AM69" s="346"/>
      <c r="AN69" s="346"/>
      <c r="AO69" s="345" t="s">
        <v>481</v>
      </c>
      <c r="AP69" s="346"/>
      <c r="AQ69" s="346"/>
      <c r="AR69" s="346"/>
      <c r="AS69" s="346"/>
      <c r="AT69" s="345" t="s">
        <v>458</v>
      </c>
      <c r="AU69" s="346"/>
      <c r="AV69" s="346"/>
      <c r="AW69" s="346"/>
      <c r="AX69" s="346"/>
    </row>
    <row r="70" spans="2:50">
      <c r="B70" s="355" t="s">
        <v>489</v>
      </c>
      <c r="C70" s="360" t="s">
        <v>150</v>
      </c>
      <c r="D70" s="355"/>
      <c r="E70" s="355" t="s">
        <v>482</v>
      </c>
      <c r="F70" s="355"/>
      <c r="G70" s="355"/>
      <c r="H70" s="361" t="s">
        <v>468</v>
      </c>
      <c r="I70" s="355" t="s">
        <v>491</v>
      </c>
      <c r="J70" s="355"/>
      <c r="K70" s="355"/>
      <c r="L70" s="361" t="s">
        <v>468</v>
      </c>
      <c r="M70" s="374" t="s">
        <v>170</v>
      </c>
      <c r="N70" s="350"/>
      <c r="O70" s="350" t="s">
        <v>483</v>
      </c>
      <c r="P70" s="352" t="s">
        <v>466</v>
      </c>
      <c r="Q70" s="353"/>
      <c r="R70" s="353"/>
      <c r="S70" s="354"/>
      <c r="T70" s="355" t="s">
        <v>468</v>
      </c>
      <c r="U70" s="352" t="s">
        <v>467</v>
      </c>
      <c r="V70" s="353"/>
      <c r="W70" s="353"/>
      <c r="X70" s="354"/>
      <c r="Y70" s="355" t="s">
        <v>468</v>
      </c>
      <c r="Z70" s="352" t="s">
        <v>467</v>
      </c>
      <c r="AA70" s="353"/>
      <c r="AB70" s="353"/>
      <c r="AC70" s="354"/>
      <c r="AD70" s="355" t="s">
        <v>468</v>
      </c>
      <c r="AE70" s="352" t="s">
        <v>467</v>
      </c>
      <c r="AF70" s="353"/>
      <c r="AG70" s="353"/>
      <c r="AH70" s="354"/>
      <c r="AI70" s="355" t="s">
        <v>462</v>
      </c>
      <c r="AJ70" s="352" t="s">
        <v>467</v>
      </c>
      <c r="AK70" s="353"/>
      <c r="AL70" s="353"/>
      <c r="AM70" s="354"/>
      <c r="AN70" s="355" t="s">
        <v>462</v>
      </c>
      <c r="AO70" s="352" t="s">
        <v>467</v>
      </c>
      <c r="AP70" s="353"/>
      <c r="AQ70" s="353"/>
      <c r="AR70" s="354"/>
      <c r="AS70" s="355" t="s">
        <v>462</v>
      </c>
      <c r="AT70" s="352" t="s">
        <v>467</v>
      </c>
      <c r="AU70" s="353"/>
      <c r="AV70" s="353"/>
      <c r="AW70" s="354"/>
      <c r="AX70" s="355" t="s">
        <v>468</v>
      </c>
    </row>
    <row r="71" spans="2:50">
      <c r="B71" s="355"/>
      <c r="C71" s="355"/>
      <c r="D71" s="355"/>
      <c r="E71" s="355" t="s">
        <v>484</v>
      </c>
      <c r="F71" s="355"/>
      <c r="G71" s="355"/>
      <c r="H71" s="362"/>
      <c r="I71" s="355" t="s">
        <v>484</v>
      </c>
      <c r="J71" s="355"/>
      <c r="K71" s="355"/>
      <c r="L71" s="362"/>
      <c r="M71" s="364"/>
      <c r="N71" s="364"/>
      <c r="O71" s="364"/>
      <c r="P71" s="352" t="s">
        <v>471</v>
      </c>
      <c r="Q71" s="353"/>
      <c r="R71" s="353"/>
      <c r="S71" s="354"/>
      <c r="T71" s="355"/>
      <c r="U71" s="352" t="s">
        <v>471</v>
      </c>
      <c r="V71" s="353"/>
      <c r="W71" s="353"/>
      <c r="X71" s="354"/>
      <c r="Y71" s="355"/>
      <c r="Z71" s="352" t="s">
        <v>471</v>
      </c>
      <c r="AA71" s="353"/>
      <c r="AB71" s="353"/>
      <c r="AC71" s="354"/>
      <c r="AD71" s="355"/>
      <c r="AE71" s="352" t="s">
        <v>471</v>
      </c>
      <c r="AF71" s="353"/>
      <c r="AG71" s="353"/>
      <c r="AH71" s="354"/>
      <c r="AI71" s="355"/>
      <c r="AJ71" s="352" t="s">
        <v>471</v>
      </c>
      <c r="AK71" s="353"/>
      <c r="AL71" s="353"/>
      <c r="AM71" s="354"/>
      <c r="AN71" s="355"/>
      <c r="AO71" s="352" t="s">
        <v>471</v>
      </c>
      <c r="AP71" s="353"/>
      <c r="AQ71" s="353"/>
      <c r="AR71" s="354"/>
      <c r="AS71" s="355"/>
      <c r="AT71" s="352" t="s">
        <v>471</v>
      </c>
      <c r="AU71" s="353"/>
      <c r="AV71" s="353"/>
      <c r="AW71" s="354"/>
      <c r="AX71" s="355"/>
    </row>
    <row r="72" spans="2:50">
      <c r="B72" s="355"/>
      <c r="C72" s="355"/>
      <c r="D72" s="355"/>
      <c r="E72" s="277" t="s">
        <v>476</v>
      </c>
      <c r="F72" s="277" t="s">
        <v>475</v>
      </c>
      <c r="G72" s="277" t="s">
        <v>485</v>
      </c>
      <c r="H72" s="363"/>
      <c r="I72" s="277" t="s">
        <v>472</v>
      </c>
      <c r="J72" s="277" t="s">
        <v>475</v>
      </c>
      <c r="K72" s="277" t="s">
        <v>485</v>
      </c>
      <c r="L72" s="363"/>
      <c r="M72" s="351"/>
      <c r="N72" s="364"/>
      <c r="O72" s="364"/>
      <c r="P72" s="277" t="s">
        <v>476</v>
      </c>
      <c r="Q72" s="277" t="s">
        <v>473</v>
      </c>
      <c r="R72" s="277" t="s">
        <v>485</v>
      </c>
      <c r="S72" s="277" t="s">
        <v>464</v>
      </c>
      <c r="T72" s="355"/>
      <c r="U72" s="277" t="s">
        <v>472</v>
      </c>
      <c r="V72" s="277" t="s">
        <v>475</v>
      </c>
      <c r="W72" s="277" t="s">
        <v>485</v>
      </c>
      <c r="X72" s="277" t="s">
        <v>477</v>
      </c>
      <c r="Y72" s="355"/>
      <c r="Z72" s="277" t="s">
        <v>472</v>
      </c>
      <c r="AA72" s="277" t="s">
        <v>475</v>
      </c>
      <c r="AB72" s="277" t="s">
        <v>485</v>
      </c>
      <c r="AC72" s="277" t="s">
        <v>464</v>
      </c>
      <c r="AD72" s="355"/>
      <c r="AE72" s="277" t="s">
        <v>476</v>
      </c>
      <c r="AF72" s="277" t="s">
        <v>473</v>
      </c>
      <c r="AG72" s="277" t="s">
        <v>485</v>
      </c>
      <c r="AH72" s="277" t="s">
        <v>477</v>
      </c>
      <c r="AI72" s="355"/>
      <c r="AJ72" s="277" t="s">
        <v>472</v>
      </c>
      <c r="AK72" s="277" t="s">
        <v>475</v>
      </c>
      <c r="AL72" s="277" t="s">
        <v>485</v>
      </c>
      <c r="AM72" s="277" t="s">
        <v>477</v>
      </c>
      <c r="AN72" s="355"/>
      <c r="AO72" s="277" t="s">
        <v>472</v>
      </c>
      <c r="AP72" s="277" t="s">
        <v>475</v>
      </c>
      <c r="AQ72" s="277" t="s">
        <v>485</v>
      </c>
      <c r="AR72" s="277" t="s">
        <v>477</v>
      </c>
      <c r="AS72" s="355"/>
      <c r="AT72" s="277" t="s">
        <v>476</v>
      </c>
      <c r="AU72" s="277" t="s">
        <v>473</v>
      </c>
      <c r="AV72" s="277" t="s">
        <v>485</v>
      </c>
      <c r="AW72" s="277" t="s">
        <v>477</v>
      </c>
      <c r="AX72" s="355"/>
    </row>
    <row r="73" spans="2:50" ht="13.5">
      <c r="B73" s="368" t="s">
        <v>139</v>
      </c>
      <c r="C73" s="278">
        <v>1</v>
      </c>
      <c r="D73" s="282" t="s">
        <v>408</v>
      </c>
      <c r="E73" s="279">
        <f>VLOOKUP(D73,'10產線配置圖'!$A$2:$C$30,2,0)</f>
        <v>12</v>
      </c>
      <c r="F73" s="279">
        <f>VLOOKUP(D73,'10產線配置圖'!$A$2:$C$30,3,0)</f>
        <v>2000</v>
      </c>
      <c r="G73" s="280">
        <f>F73/E73</f>
        <v>166.66666666666666</v>
      </c>
      <c r="H73" s="371">
        <f>AVERAGE(G73:G87)</f>
        <v>114.02113246230893</v>
      </c>
      <c r="I73" s="279" t="e">
        <f>AVERAGE(P73,U73,Z73,AE73,AJ73,AO73,AT73)</f>
        <v>#DIV/0!</v>
      </c>
      <c r="J73" s="279" t="e">
        <f>AVERAGE(Q73,V73,AA73,AF73,AK73,AP73,AU73)</f>
        <v>#DIV/0!</v>
      </c>
      <c r="K73" s="280" t="e">
        <f>AVERAGE(R73,W73,AB73,AG73,AL73,AQ73,AV73)</f>
        <v>#DIV/0!</v>
      </c>
      <c r="L73" s="371" t="str">
        <f>IFERROR(AVERAGE(K73:K90),"-")</f>
        <v>-</v>
      </c>
      <c r="M73" s="279" t="e">
        <f>RANK(K73, $K$73:$K$90)</f>
        <v>#DIV/0!</v>
      </c>
      <c r="N73" s="364"/>
      <c r="O73" s="364"/>
      <c r="P73" s="279"/>
      <c r="Q73" s="279"/>
      <c r="R73" s="182" t="e">
        <f>Q73/P73</f>
        <v>#DIV/0!</v>
      </c>
      <c r="S73" s="110" t="e">
        <f>RANK(R73, $R$73:$R$90)</f>
        <v>#DIV/0!</v>
      </c>
      <c r="T73" s="371" t="e">
        <f>AVERAGE(R73:R90)</f>
        <v>#DIV/0!</v>
      </c>
      <c r="U73" s="279"/>
      <c r="V73" s="279"/>
      <c r="W73" s="280" t="e">
        <f>V73/U73</f>
        <v>#DIV/0!</v>
      </c>
      <c r="X73" s="278" t="e">
        <f>RANK(W73, $W$73:$W$90)</f>
        <v>#DIV/0!</v>
      </c>
      <c r="Y73" s="371" t="e">
        <f>AVERAGE(W73:W90)</f>
        <v>#DIV/0!</v>
      </c>
      <c r="Z73" s="279"/>
      <c r="AA73" s="279"/>
      <c r="AB73" s="280" t="e">
        <f>AA73/Z73</f>
        <v>#DIV/0!</v>
      </c>
      <c r="AC73" s="278" t="e">
        <f>RANK(AB73, $AB$73:$AB$90)</f>
        <v>#DIV/0!</v>
      </c>
      <c r="AD73" s="371" t="e">
        <f>AVERAGE(AB73:AB90)</f>
        <v>#DIV/0!</v>
      </c>
      <c r="AE73" s="279"/>
      <c r="AF73" s="279"/>
      <c r="AG73" s="280" t="e">
        <f>AF73/AE73</f>
        <v>#DIV/0!</v>
      </c>
      <c r="AH73" s="278" t="e">
        <f>RANK(AG73, $AG$73:$AG$90)</f>
        <v>#DIV/0!</v>
      </c>
      <c r="AI73" s="371" t="e">
        <f>AVERAGE(AG73:AG90)</f>
        <v>#DIV/0!</v>
      </c>
      <c r="AJ73" s="279"/>
      <c r="AK73" s="279"/>
      <c r="AL73" s="280" t="e">
        <f>AK73/AJ73</f>
        <v>#DIV/0!</v>
      </c>
      <c r="AM73" s="278" t="e">
        <f>RANK(AL73, $AL$73:$AL$90)</f>
        <v>#DIV/0!</v>
      </c>
      <c r="AN73" s="371" t="e">
        <f>AVERAGE(AL73:AL90)</f>
        <v>#DIV/0!</v>
      </c>
      <c r="AO73" s="279"/>
      <c r="AP73" s="279"/>
      <c r="AQ73" s="280" t="e">
        <f>AP73/AO73</f>
        <v>#DIV/0!</v>
      </c>
      <c r="AR73" s="278" t="e">
        <f>RANK(AQ73, $AQ$73:$AQ$90)</f>
        <v>#DIV/0!</v>
      </c>
      <c r="AS73" s="371" t="e">
        <f>AVERAGE(AQ73:AQ90)</f>
        <v>#DIV/0!</v>
      </c>
      <c r="AT73" s="279"/>
      <c r="AU73" s="279"/>
      <c r="AV73" s="280" t="e">
        <f>AU73/AT73</f>
        <v>#DIV/0!</v>
      </c>
      <c r="AW73" s="278" t="e">
        <f>RANK(AV73, $AV$73:$AV$90)</f>
        <v>#DIV/0!</v>
      </c>
      <c r="AX73" s="371" t="e">
        <f>AVERAGE(AV73:AV90)</f>
        <v>#DIV/0!</v>
      </c>
    </row>
    <row r="74" spans="2:50">
      <c r="B74" s="369"/>
      <c r="C74" s="278">
        <v>2</v>
      </c>
      <c r="D74" s="278" t="s">
        <v>400</v>
      </c>
      <c r="E74" s="279">
        <f>VLOOKUP(D74,'10產線配置圖'!$A$2:$C$30,2,0)</f>
        <v>13</v>
      </c>
      <c r="F74" s="279">
        <f>VLOOKUP(D74,'10產線配置圖'!$A$2:$C$30,3,0)</f>
        <v>2000</v>
      </c>
      <c r="G74" s="280">
        <f t="shared" ref="G74:G83" si="83">F74/E74</f>
        <v>153.84615384615384</v>
      </c>
      <c r="H74" s="372"/>
      <c r="I74" s="279" t="e">
        <f t="shared" ref="I74:K82" si="84">AVERAGE(P74,U74,Z74,AE74,AJ74,AO74,AT74)</f>
        <v>#DIV/0!</v>
      </c>
      <c r="J74" s="279" t="e">
        <f t="shared" si="84"/>
        <v>#DIV/0!</v>
      </c>
      <c r="K74" s="280" t="e">
        <f t="shared" si="84"/>
        <v>#DIV/0!</v>
      </c>
      <c r="L74" s="372"/>
      <c r="M74" s="279" t="e">
        <f t="shared" ref="M74:M89" si="85">RANK(K74, $K$73:$K$90)</f>
        <v>#DIV/0!</v>
      </c>
      <c r="N74" s="364"/>
      <c r="O74" s="364"/>
      <c r="P74" s="279"/>
      <c r="Q74" s="279"/>
      <c r="R74" s="182" t="e">
        <f t="shared" ref="R74:R82" si="86">Q74/P74</f>
        <v>#DIV/0!</v>
      </c>
      <c r="S74" s="110" t="e">
        <f t="shared" ref="S74:S89" si="87">RANK(R74, $R$73:$R$90)</f>
        <v>#DIV/0!</v>
      </c>
      <c r="T74" s="372"/>
      <c r="U74" s="279"/>
      <c r="V74" s="279"/>
      <c r="W74" s="280" t="e">
        <f t="shared" ref="W74:W82" si="88">V74/U74</f>
        <v>#DIV/0!</v>
      </c>
      <c r="X74" s="278" t="e">
        <f t="shared" ref="X74:X89" si="89">RANK(W74, $W$73:$W$90)</f>
        <v>#DIV/0!</v>
      </c>
      <c r="Y74" s="372"/>
      <c r="Z74" s="279"/>
      <c r="AA74" s="279"/>
      <c r="AB74" s="280" t="e">
        <f t="shared" ref="AB74:AB82" si="90">AA74/Z74</f>
        <v>#DIV/0!</v>
      </c>
      <c r="AC74" s="278" t="e">
        <f t="shared" ref="AC74:AC89" si="91">RANK(AB74, $AB$73:$AB$90)</f>
        <v>#DIV/0!</v>
      </c>
      <c r="AD74" s="372"/>
      <c r="AE74" s="279"/>
      <c r="AF74" s="279"/>
      <c r="AG74" s="280" t="e">
        <f t="shared" ref="AG74:AG82" si="92">AF74/AE74</f>
        <v>#DIV/0!</v>
      </c>
      <c r="AH74" s="278" t="e">
        <f t="shared" ref="AH74:AH89" si="93">RANK(AG74, $AG$73:$AG$90)</f>
        <v>#DIV/0!</v>
      </c>
      <c r="AI74" s="372"/>
      <c r="AJ74" s="279"/>
      <c r="AK74" s="279"/>
      <c r="AL74" s="280" t="e">
        <f t="shared" ref="AL74:AL82" si="94">AK74/AJ74</f>
        <v>#DIV/0!</v>
      </c>
      <c r="AM74" s="278" t="e">
        <f t="shared" ref="AM74:AM89" si="95">RANK(AL74, $AL$73:$AL$90)</f>
        <v>#DIV/0!</v>
      </c>
      <c r="AN74" s="372"/>
      <c r="AO74" s="279"/>
      <c r="AP74" s="279"/>
      <c r="AQ74" s="280" t="e">
        <f t="shared" ref="AQ74:AQ82" si="96">AP74/AO74</f>
        <v>#DIV/0!</v>
      </c>
      <c r="AR74" s="278" t="e">
        <f t="shared" ref="AR74:AR89" si="97">RANK(AQ74, $AQ$73:$AQ$90)</f>
        <v>#DIV/0!</v>
      </c>
      <c r="AS74" s="372"/>
      <c r="AT74" s="279"/>
      <c r="AU74" s="279"/>
      <c r="AV74" s="280" t="e">
        <f t="shared" ref="AV74:AV82" si="98">AU74/AT74</f>
        <v>#DIV/0!</v>
      </c>
      <c r="AW74" s="278" t="e">
        <f t="shared" ref="AW74:AW89" si="99">RANK(AV74, $AV$73:$AV$90)</f>
        <v>#DIV/0!</v>
      </c>
      <c r="AX74" s="372"/>
    </row>
    <row r="75" spans="2:50">
      <c r="B75" s="369"/>
      <c r="C75" s="278">
        <v>3</v>
      </c>
      <c r="D75" s="278" t="s">
        <v>401</v>
      </c>
      <c r="E75" s="279">
        <f>VLOOKUP(D75,'10產線配置圖'!$A$2:$C$30,2,0)</f>
        <v>16</v>
      </c>
      <c r="F75" s="279">
        <f>VLOOKUP(D75,'10產線配置圖'!$A$2:$C$30,3,0)</f>
        <v>1915</v>
      </c>
      <c r="G75" s="280">
        <f t="shared" si="83"/>
        <v>119.6875</v>
      </c>
      <c r="H75" s="372"/>
      <c r="I75" s="279" t="e">
        <f t="shared" si="84"/>
        <v>#DIV/0!</v>
      </c>
      <c r="J75" s="279" t="e">
        <f t="shared" si="84"/>
        <v>#DIV/0!</v>
      </c>
      <c r="K75" s="280" t="e">
        <f t="shared" si="84"/>
        <v>#DIV/0!</v>
      </c>
      <c r="L75" s="372"/>
      <c r="M75" s="279" t="e">
        <f t="shared" si="85"/>
        <v>#DIV/0!</v>
      </c>
      <c r="N75" s="364"/>
      <c r="O75" s="364"/>
      <c r="P75" s="279"/>
      <c r="Q75" s="279"/>
      <c r="R75" s="182" t="e">
        <f t="shared" si="86"/>
        <v>#DIV/0!</v>
      </c>
      <c r="S75" s="110" t="e">
        <f t="shared" si="87"/>
        <v>#DIV/0!</v>
      </c>
      <c r="T75" s="372"/>
      <c r="U75" s="279"/>
      <c r="V75" s="279"/>
      <c r="W75" s="280" t="e">
        <f t="shared" si="88"/>
        <v>#DIV/0!</v>
      </c>
      <c r="X75" s="278" t="e">
        <f t="shared" si="89"/>
        <v>#DIV/0!</v>
      </c>
      <c r="Y75" s="372"/>
      <c r="Z75" s="279"/>
      <c r="AA75" s="279"/>
      <c r="AB75" s="280" t="e">
        <f t="shared" si="90"/>
        <v>#DIV/0!</v>
      </c>
      <c r="AC75" s="278" t="e">
        <f t="shared" si="91"/>
        <v>#DIV/0!</v>
      </c>
      <c r="AD75" s="372"/>
      <c r="AE75" s="279"/>
      <c r="AF75" s="279"/>
      <c r="AG75" s="280" t="e">
        <f t="shared" si="92"/>
        <v>#DIV/0!</v>
      </c>
      <c r="AH75" s="278" t="e">
        <f t="shared" si="93"/>
        <v>#DIV/0!</v>
      </c>
      <c r="AI75" s="372"/>
      <c r="AJ75" s="279"/>
      <c r="AK75" s="279"/>
      <c r="AL75" s="280" t="e">
        <f t="shared" si="94"/>
        <v>#DIV/0!</v>
      </c>
      <c r="AM75" s="278" t="e">
        <f t="shared" si="95"/>
        <v>#DIV/0!</v>
      </c>
      <c r="AN75" s="372"/>
      <c r="AO75" s="279"/>
      <c r="AP75" s="279"/>
      <c r="AQ75" s="280" t="e">
        <f t="shared" si="96"/>
        <v>#DIV/0!</v>
      </c>
      <c r="AR75" s="278" t="e">
        <f t="shared" si="97"/>
        <v>#DIV/0!</v>
      </c>
      <c r="AS75" s="372"/>
      <c r="AT75" s="279"/>
      <c r="AU75" s="279"/>
      <c r="AV75" s="280" t="e">
        <f t="shared" si="98"/>
        <v>#DIV/0!</v>
      </c>
      <c r="AW75" s="278" t="e">
        <f t="shared" si="99"/>
        <v>#DIV/0!</v>
      </c>
      <c r="AX75" s="372"/>
    </row>
    <row r="76" spans="2:50">
      <c r="B76" s="369"/>
      <c r="C76" s="278">
        <v>4</v>
      </c>
      <c r="D76" s="278" t="s">
        <v>402</v>
      </c>
      <c r="E76" s="279">
        <f>VLOOKUP(D76,'10產線配置圖'!$A$2:$C$30,2,0)</f>
        <v>18</v>
      </c>
      <c r="F76" s="279">
        <f>VLOOKUP(D76,'10產線配置圖'!$A$2:$C$30,3,0)</f>
        <v>1565</v>
      </c>
      <c r="G76" s="280">
        <f t="shared" si="83"/>
        <v>86.944444444444443</v>
      </c>
      <c r="H76" s="372"/>
      <c r="I76" s="279" t="e">
        <f t="shared" si="84"/>
        <v>#DIV/0!</v>
      </c>
      <c r="J76" s="279" t="e">
        <f t="shared" si="84"/>
        <v>#DIV/0!</v>
      </c>
      <c r="K76" s="280" t="e">
        <f t="shared" si="84"/>
        <v>#DIV/0!</v>
      </c>
      <c r="L76" s="372"/>
      <c r="M76" s="279" t="e">
        <f t="shared" si="85"/>
        <v>#DIV/0!</v>
      </c>
      <c r="N76" s="364"/>
      <c r="O76" s="364"/>
      <c r="P76" s="279"/>
      <c r="Q76" s="279"/>
      <c r="R76" s="182" t="e">
        <f t="shared" si="86"/>
        <v>#DIV/0!</v>
      </c>
      <c r="S76" s="110" t="e">
        <f t="shared" si="87"/>
        <v>#DIV/0!</v>
      </c>
      <c r="T76" s="372"/>
      <c r="U76" s="279"/>
      <c r="V76" s="279"/>
      <c r="W76" s="280" t="e">
        <f t="shared" si="88"/>
        <v>#DIV/0!</v>
      </c>
      <c r="X76" s="278" t="e">
        <f t="shared" si="89"/>
        <v>#DIV/0!</v>
      </c>
      <c r="Y76" s="372"/>
      <c r="Z76" s="279"/>
      <c r="AA76" s="279"/>
      <c r="AB76" s="280" t="e">
        <f t="shared" si="90"/>
        <v>#DIV/0!</v>
      </c>
      <c r="AC76" s="278" t="e">
        <f t="shared" si="91"/>
        <v>#DIV/0!</v>
      </c>
      <c r="AD76" s="372"/>
      <c r="AE76" s="279"/>
      <c r="AF76" s="279"/>
      <c r="AG76" s="280" t="e">
        <f t="shared" si="92"/>
        <v>#DIV/0!</v>
      </c>
      <c r="AH76" s="278" t="e">
        <f t="shared" si="93"/>
        <v>#DIV/0!</v>
      </c>
      <c r="AI76" s="372"/>
      <c r="AJ76" s="279"/>
      <c r="AK76" s="279"/>
      <c r="AL76" s="280" t="e">
        <f t="shared" si="94"/>
        <v>#DIV/0!</v>
      </c>
      <c r="AM76" s="278" t="e">
        <f t="shared" si="95"/>
        <v>#DIV/0!</v>
      </c>
      <c r="AN76" s="372"/>
      <c r="AO76" s="279"/>
      <c r="AP76" s="279"/>
      <c r="AQ76" s="280" t="e">
        <f t="shared" si="96"/>
        <v>#DIV/0!</v>
      </c>
      <c r="AR76" s="278" t="e">
        <f t="shared" si="97"/>
        <v>#DIV/0!</v>
      </c>
      <c r="AS76" s="372"/>
      <c r="AT76" s="279"/>
      <c r="AU76" s="279"/>
      <c r="AV76" s="280" t="e">
        <f t="shared" si="98"/>
        <v>#DIV/0!</v>
      </c>
      <c r="AW76" s="278" t="e">
        <f t="shared" si="99"/>
        <v>#DIV/0!</v>
      </c>
      <c r="AX76" s="372"/>
    </row>
    <row r="77" spans="2:50">
      <c r="B77" s="369"/>
      <c r="C77" s="278">
        <v>5</v>
      </c>
      <c r="D77" s="278" t="s">
        <v>403</v>
      </c>
      <c r="E77" s="279">
        <f>VLOOKUP(D77,'10產線配置圖'!$A$2:$C$30,2,0)</f>
        <v>13</v>
      </c>
      <c r="F77" s="279">
        <f>VLOOKUP(D77,'10產線配置圖'!$A$2:$C$30,3,0)</f>
        <v>2000</v>
      </c>
      <c r="G77" s="280">
        <f t="shared" si="83"/>
        <v>153.84615384615384</v>
      </c>
      <c r="H77" s="372"/>
      <c r="I77" s="279" t="e">
        <f t="shared" si="84"/>
        <v>#DIV/0!</v>
      </c>
      <c r="J77" s="279" t="e">
        <f t="shared" si="84"/>
        <v>#DIV/0!</v>
      </c>
      <c r="K77" s="280" t="e">
        <f t="shared" si="84"/>
        <v>#DIV/0!</v>
      </c>
      <c r="L77" s="372"/>
      <c r="M77" s="279" t="e">
        <f t="shared" si="85"/>
        <v>#DIV/0!</v>
      </c>
      <c r="N77" s="364"/>
      <c r="O77" s="364"/>
      <c r="P77" s="279"/>
      <c r="Q77" s="279"/>
      <c r="R77" s="182" t="e">
        <f t="shared" si="86"/>
        <v>#DIV/0!</v>
      </c>
      <c r="S77" s="110" t="e">
        <f t="shared" si="87"/>
        <v>#DIV/0!</v>
      </c>
      <c r="T77" s="372"/>
      <c r="U77" s="279"/>
      <c r="V77" s="279"/>
      <c r="W77" s="280" t="e">
        <f t="shared" si="88"/>
        <v>#DIV/0!</v>
      </c>
      <c r="X77" s="278" t="e">
        <f t="shared" si="89"/>
        <v>#DIV/0!</v>
      </c>
      <c r="Y77" s="372"/>
      <c r="Z77" s="279"/>
      <c r="AA77" s="279"/>
      <c r="AB77" s="280" t="e">
        <f t="shared" si="90"/>
        <v>#DIV/0!</v>
      </c>
      <c r="AC77" s="278" t="e">
        <f t="shared" si="91"/>
        <v>#DIV/0!</v>
      </c>
      <c r="AD77" s="372"/>
      <c r="AE77" s="279"/>
      <c r="AF77" s="279"/>
      <c r="AG77" s="280" t="e">
        <f t="shared" si="92"/>
        <v>#DIV/0!</v>
      </c>
      <c r="AH77" s="278" t="e">
        <f t="shared" si="93"/>
        <v>#DIV/0!</v>
      </c>
      <c r="AI77" s="372"/>
      <c r="AJ77" s="279"/>
      <c r="AK77" s="279"/>
      <c r="AL77" s="280" t="e">
        <f t="shared" si="94"/>
        <v>#DIV/0!</v>
      </c>
      <c r="AM77" s="278" t="e">
        <f t="shared" si="95"/>
        <v>#DIV/0!</v>
      </c>
      <c r="AN77" s="372"/>
      <c r="AO77" s="279"/>
      <c r="AP77" s="279"/>
      <c r="AQ77" s="280" t="e">
        <f t="shared" si="96"/>
        <v>#DIV/0!</v>
      </c>
      <c r="AR77" s="278" t="e">
        <f t="shared" si="97"/>
        <v>#DIV/0!</v>
      </c>
      <c r="AS77" s="372"/>
      <c r="AT77" s="279"/>
      <c r="AU77" s="279"/>
      <c r="AV77" s="280" t="e">
        <f t="shared" si="98"/>
        <v>#DIV/0!</v>
      </c>
      <c r="AW77" s="278" t="e">
        <f t="shared" si="99"/>
        <v>#DIV/0!</v>
      </c>
      <c r="AX77" s="372"/>
    </row>
    <row r="78" spans="2:50">
      <c r="B78" s="369"/>
      <c r="C78" s="278">
        <v>6</v>
      </c>
      <c r="D78" s="278" t="s">
        <v>421</v>
      </c>
      <c r="E78" s="279">
        <f>VLOOKUP(D78,'10產線配置圖'!$A$2:$C$30,2,0)</f>
        <v>14</v>
      </c>
      <c r="F78" s="279">
        <f>VLOOKUP(D78,'10產線配置圖'!$A$2:$C$30,3,0)</f>
        <v>1895</v>
      </c>
      <c r="G78" s="280">
        <f t="shared" si="83"/>
        <v>135.35714285714286</v>
      </c>
      <c r="H78" s="372"/>
      <c r="I78" s="279" t="e">
        <f t="shared" si="84"/>
        <v>#DIV/0!</v>
      </c>
      <c r="J78" s="279" t="e">
        <f t="shared" si="84"/>
        <v>#DIV/0!</v>
      </c>
      <c r="K78" s="280" t="e">
        <f t="shared" si="84"/>
        <v>#DIV/0!</v>
      </c>
      <c r="L78" s="372"/>
      <c r="M78" s="279" t="e">
        <f t="shared" si="85"/>
        <v>#DIV/0!</v>
      </c>
      <c r="N78" s="364"/>
      <c r="O78" s="364"/>
      <c r="P78" s="279"/>
      <c r="Q78" s="279"/>
      <c r="R78" s="182" t="e">
        <f t="shared" si="86"/>
        <v>#DIV/0!</v>
      </c>
      <c r="S78" s="110" t="e">
        <f t="shared" si="87"/>
        <v>#DIV/0!</v>
      </c>
      <c r="T78" s="372"/>
      <c r="U78" s="279"/>
      <c r="V78" s="279"/>
      <c r="W78" s="280" t="e">
        <f t="shared" si="88"/>
        <v>#DIV/0!</v>
      </c>
      <c r="X78" s="278" t="e">
        <f t="shared" si="89"/>
        <v>#DIV/0!</v>
      </c>
      <c r="Y78" s="372"/>
      <c r="Z78" s="279"/>
      <c r="AA78" s="279"/>
      <c r="AB78" s="280" t="e">
        <f t="shared" si="90"/>
        <v>#DIV/0!</v>
      </c>
      <c r="AC78" s="278" t="e">
        <f t="shared" si="91"/>
        <v>#DIV/0!</v>
      </c>
      <c r="AD78" s="372"/>
      <c r="AE78" s="279"/>
      <c r="AF78" s="279"/>
      <c r="AG78" s="280" t="e">
        <f t="shared" si="92"/>
        <v>#DIV/0!</v>
      </c>
      <c r="AH78" s="278" t="e">
        <f t="shared" si="93"/>
        <v>#DIV/0!</v>
      </c>
      <c r="AI78" s="372"/>
      <c r="AJ78" s="279"/>
      <c r="AK78" s="279"/>
      <c r="AL78" s="280" t="e">
        <f t="shared" si="94"/>
        <v>#DIV/0!</v>
      </c>
      <c r="AM78" s="278" t="e">
        <f t="shared" si="95"/>
        <v>#DIV/0!</v>
      </c>
      <c r="AN78" s="372"/>
      <c r="AO78" s="279"/>
      <c r="AP78" s="279"/>
      <c r="AQ78" s="280" t="e">
        <f t="shared" si="96"/>
        <v>#DIV/0!</v>
      </c>
      <c r="AR78" s="278" t="e">
        <f t="shared" si="97"/>
        <v>#DIV/0!</v>
      </c>
      <c r="AS78" s="372"/>
      <c r="AT78" s="279"/>
      <c r="AU78" s="279"/>
      <c r="AV78" s="280" t="e">
        <f t="shared" si="98"/>
        <v>#DIV/0!</v>
      </c>
      <c r="AW78" s="278" t="e">
        <f t="shared" si="99"/>
        <v>#DIV/0!</v>
      </c>
      <c r="AX78" s="372"/>
    </row>
    <row r="79" spans="2:50">
      <c r="B79" s="369"/>
      <c r="C79" s="278">
        <v>7</v>
      </c>
      <c r="D79" s="278" t="s">
        <v>394</v>
      </c>
      <c r="E79" s="279">
        <f>VLOOKUP(D79,'10產線配置圖'!$A$2:$C$30,2,0)</f>
        <v>16</v>
      </c>
      <c r="F79" s="279">
        <f>VLOOKUP(D79,'10產線配置圖'!$A$2:$C$30,3,0)</f>
        <v>1429</v>
      </c>
      <c r="G79" s="280">
        <f t="shared" si="83"/>
        <v>89.3125</v>
      </c>
      <c r="H79" s="372"/>
      <c r="I79" s="279"/>
      <c r="J79" s="279"/>
      <c r="K79" s="280"/>
      <c r="L79" s="372"/>
      <c r="M79" s="279"/>
      <c r="N79" s="364"/>
      <c r="O79" s="364"/>
      <c r="P79" s="279"/>
      <c r="Q79" s="279"/>
      <c r="R79" s="182"/>
      <c r="S79" s="110"/>
      <c r="T79" s="372"/>
      <c r="U79" s="279"/>
      <c r="V79" s="279"/>
      <c r="W79" s="280"/>
      <c r="X79" s="278"/>
      <c r="Y79" s="372"/>
      <c r="Z79" s="279"/>
      <c r="AA79" s="279"/>
      <c r="AB79" s="280"/>
      <c r="AC79" s="278"/>
      <c r="AD79" s="372"/>
      <c r="AE79" s="279"/>
      <c r="AF79" s="279"/>
      <c r="AG79" s="280"/>
      <c r="AH79" s="278"/>
      <c r="AI79" s="372"/>
      <c r="AJ79" s="279"/>
      <c r="AK79" s="279"/>
      <c r="AL79" s="280"/>
      <c r="AM79" s="278"/>
      <c r="AN79" s="372"/>
      <c r="AO79" s="279"/>
      <c r="AP79" s="279"/>
      <c r="AQ79" s="280"/>
      <c r="AR79" s="278"/>
      <c r="AS79" s="372"/>
      <c r="AT79" s="279"/>
      <c r="AU79" s="279"/>
      <c r="AV79" s="280"/>
      <c r="AW79" s="278"/>
      <c r="AX79" s="372"/>
    </row>
    <row r="80" spans="2:50">
      <c r="B80" s="369"/>
      <c r="C80" s="278">
        <v>8</v>
      </c>
      <c r="D80" s="278" t="s">
        <v>395</v>
      </c>
      <c r="E80" s="279">
        <f>VLOOKUP(D80,'10產線配置圖'!$A$2:$C$30,2,0)</f>
        <v>18</v>
      </c>
      <c r="F80" s="279">
        <f>VLOOKUP(D80,'10產線配置圖'!$A$2:$C$30,3,0)</f>
        <v>1500</v>
      </c>
      <c r="G80" s="280">
        <f t="shared" si="83"/>
        <v>83.333333333333329</v>
      </c>
      <c r="H80" s="372"/>
      <c r="I80" s="279" t="e">
        <f t="shared" si="84"/>
        <v>#DIV/0!</v>
      </c>
      <c r="J80" s="279" t="e">
        <f t="shared" si="84"/>
        <v>#DIV/0!</v>
      </c>
      <c r="K80" s="280" t="e">
        <f t="shared" si="84"/>
        <v>#DIV/0!</v>
      </c>
      <c r="L80" s="372"/>
      <c r="M80" s="279" t="e">
        <f t="shared" si="85"/>
        <v>#DIV/0!</v>
      </c>
      <c r="N80" s="364"/>
      <c r="O80" s="364"/>
      <c r="P80" s="279"/>
      <c r="Q80" s="279"/>
      <c r="R80" s="182" t="e">
        <f t="shared" si="86"/>
        <v>#DIV/0!</v>
      </c>
      <c r="S80" s="110" t="e">
        <f t="shared" si="87"/>
        <v>#DIV/0!</v>
      </c>
      <c r="T80" s="372"/>
      <c r="U80" s="279"/>
      <c r="V80" s="279"/>
      <c r="W80" s="280" t="e">
        <f t="shared" si="88"/>
        <v>#DIV/0!</v>
      </c>
      <c r="X80" s="278" t="e">
        <f t="shared" si="89"/>
        <v>#DIV/0!</v>
      </c>
      <c r="Y80" s="372"/>
      <c r="Z80" s="279"/>
      <c r="AA80" s="279"/>
      <c r="AB80" s="280" t="e">
        <f t="shared" si="90"/>
        <v>#DIV/0!</v>
      </c>
      <c r="AC80" s="278" t="e">
        <f t="shared" si="91"/>
        <v>#DIV/0!</v>
      </c>
      <c r="AD80" s="372"/>
      <c r="AE80" s="279"/>
      <c r="AF80" s="279"/>
      <c r="AG80" s="280" t="e">
        <f t="shared" si="92"/>
        <v>#DIV/0!</v>
      </c>
      <c r="AH80" s="278" t="e">
        <f t="shared" si="93"/>
        <v>#DIV/0!</v>
      </c>
      <c r="AI80" s="372"/>
      <c r="AJ80" s="279"/>
      <c r="AK80" s="279"/>
      <c r="AL80" s="280" t="e">
        <f t="shared" si="94"/>
        <v>#DIV/0!</v>
      </c>
      <c r="AM80" s="278" t="e">
        <f t="shared" si="95"/>
        <v>#DIV/0!</v>
      </c>
      <c r="AN80" s="372"/>
      <c r="AO80" s="279"/>
      <c r="AP80" s="279"/>
      <c r="AQ80" s="280" t="e">
        <f t="shared" si="96"/>
        <v>#DIV/0!</v>
      </c>
      <c r="AR80" s="278" t="e">
        <f t="shared" si="97"/>
        <v>#DIV/0!</v>
      </c>
      <c r="AS80" s="372"/>
      <c r="AT80" s="279"/>
      <c r="AU80" s="279"/>
      <c r="AV80" s="280" t="e">
        <f t="shared" si="98"/>
        <v>#DIV/0!</v>
      </c>
      <c r="AW80" s="278" t="e">
        <f t="shared" si="99"/>
        <v>#DIV/0!</v>
      </c>
      <c r="AX80" s="372"/>
    </row>
    <row r="81" spans="2:50">
      <c r="B81" s="369"/>
      <c r="C81" s="278">
        <v>9</v>
      </c>
      <c r="D81" s="278" t="s">
        <v>404</v>
      </c>
      <c r="E81" s="279">
        <f>VLOOKUP(D81,'10產線配置圖'!$A$2:$C$30,2,0)</f>
        <v>18</v>
      </c>
      <c r="F81" s="279">
        <f>VLOOKUP(D81,'10產線配置圖'!$A$2:$C$30,3,0)</f>
        <v>1385</v>
      </c>
      <c r="G81" s="280">
        <f t="shared" si="83"/>
        <v>76.944444444444443</v>
      </c>
      <c r="H81" s="372"/>
      <c r="I81" s="279" t="e">
        <f t="shared" si="84"/>
        <v>#DIV/0!</v>
      </c>
      <c r="J81" s="279" t="e">
        <f t="shared" si="84"/>
        <v>#DIV/0!</v>
      </c>
      <c r="K81" s="280" t="e">
        <f t="shared" si="84"/>
        <v>#DIV/0!</v>
      </c>
      <c r="L81" s="372"/>
      <c r="M81" s="279" t="e">
        <f t="shared" si="85"/>
        <v>#DIV/0!</v>
      </c>
      <c r="N81" s="364"/>
      <c r="O81" s="364"/>
      <c r="P81" s="279"/>
      <c r="Q81" s="279"/>
      <c r="R81" s="182" t="e">
        <f t="shared" si="86"/>
        <v>#DIV/0!</v>
      </c>
      <c r="S81" s="110" t="e">
        <f t="shared" si="87"/>
        <v>#DIV/0!</v>
      </c>
      <c r="T81" s="372"/>
      <c r="U81" s="279"/>
      <c r="V81" s="279"/>
      <c r="W81" s="280" t="e">
        <f t="shared" si="88"/>
        <v>#DIV/0!</v>
      </c>
      <c r="X81" s="278" t="e">
        <f t="shared" si="89"/>
        <v>#DIV/0!</v>
      </c>
      <c r="Y81" s="372"/>
      <c r="Z81" s="279"/>
      <c r="AA81" s="279"/>
      <c r="AB81" s="280" t="e">
        <f t="shared" si="90"/>
        <v>#DIV/0!</v>
      </c>
      <c r="AC81" s="278" t="e">
        <f t="shared" si="91"/>
        <v>#DIV/0!</v>
      </c>
      <c r="AD81" s="372"/>
      <c r="AE81" s="279"/>
      <c r="AF81" s="279"/>
      <c r="AG81" s="280" t="e">
        <f t="shared" si="92"/>
        <v>#DIV/0!</v>
      </c>
      <c r="AH81" s="278" t="e">
        <f t="shared" si="93"/>
        <v>#DIV/0!</v>
      </c>
      <c r="AI81" s="372"/>
      <c r="AJ81" s="279"/>
      <c r="AK81" s="279"/>
      <c r="AL81" s="280" t="e">
        <f t="shared" si="94"/>
        <v>#DIV/0!</v>
      </c>
      <c r="AM81" s="278" t="e">
        <f t="shared" si="95"/>
        <v>#DIV/0!</v>
      </c>
      <c r="AN81" s="372"/>
      <c r="AO81" s="279"/>
      <c r="AP81" s="279"/>
      <c r="AQ81" s="280" t="e">
        <f t="shared" si="96"/>
        <v>#DIV/0!</v>
      </c>
      <c r="AR81" s="278" t="e">
        <f t="shared" si="97"/>
        <v>#DIV/0!</v>
      </c>
      <c r="AS81" s="372"/>
      <c r="AT81" s="279"/>
      <c r="AU81" s="279"/>
      <c r="AV81" s="280" t="e">
        <f t="shared" si="98"/>
        <v>#DIV/0!</v>
      </c>
      <c r="AW81" s="278" t="e">
        <f t="shared" si="99"/>
        <v>#DIV/0!</v>
      </c>
      <c r="AX81" s="372"/>
    </row>
    <row r="82" spans="2:50">
      <c r="B82" s="369"/>
      <c r="C82" s="278">
        <v>10</v>
      </c>
      <c r="D82" s="278" t="s">
        <v>443</v>
      </c>
      <c r="E82" s="279">
        <f>VLOOKUP(D82,'10產線配置圖'!$A$2:$C$30,2,0)</f>
        <v>17</v>
      </c>
      <c r="F82" s="279">
        <f>VLOOKUP(D82,'10產線配置圖'!$A$2:$C$30,3,0)</f>
        <v>1565</v>
      </c>
      <c r="G82" s="280">
        <f t="shared" si="83"/>
        <v>92.058823529411768</v>
      </c>
      <c r="H82" s="372"/>
      <c r="I82" s="279" t="e">
        <f t="shared" si="84"/>
        <v>#DIV/0!</v>
      </c>
      <c r="J82" s="279" t="e">
        <f t="shared" si="84"/>
        <v>#DIV/0!</v>
      </c>
      <c r="K82" s="280" t="e">
        <f t="shared" si="84"/>
        <v>#DIV/0!</v>
      </c>
      <c r="L82" s="372"/>
      <c r="M82" s="279" t="e">
        <f t="shared" si="85"/>
        <v>#DIV/0!</v>
      </c>
      <c r="N82" s="364"/>
      <c r="O82" s="364"/>
      <c r="P82" s="279"/>
      <c r="Q82" s="279"/>
      <c r="R82" s="182" t="e">
        <f t="shared" si="86"/>
        <v>#DIV/0!</v>
      </c>
      <c r="S82" s="110" t="e">
        <f t="shared" si="87"/>
        <v>#DIV/0!</v>
      </c>
      <c r="T82" s="372"/>
      <c r="U82" s="279"/>
      <c r="V82" s="279"/>
      <c r="W82" s="280" t="e">
        <f t="shared" si="88"/>
        <v>#DIV/0!</v>
      </c>
      <c r="X82" s="278" t="e">
        <f t="shared" si="89"/>
        <v>#DIV/0!</v>
      </c>
      <c r="Y82" s="372"/>
      <c r="Z82" s="279"/>
      <c r="AA82" s="279"/>
      <c r="AB82" s="280" t="e">
        <f t="shared" si="90"/>
        <v>#DIV/0!</v>
      </c>
      <c r="AC82" s="278" t="e">
        <f t="shared" si="91"/>
        <v>#DIV/0!</v>
      </c>
      <c r="AD82" s="372"/>
      <c r="AE82" s="279"/>
      <c r="AF82" s="279"/>
      <c r="AG82" s="280" t="e">
        <f t="shared" si="92"/>
        <v>#DIV/0!</v>
      </c>
      <c r="AH82" s="278" t="e">
        <f t="shared" si="93"/>
        <v>#DIV/0!</v>
      </c>
      <c r="AI82" s="372"/>
      <c r="AJ82" s="279"/>
      <c r="AK82" s="279"/>
      <c r="AL82" s="280" t="e">
        <f t="shared" si="94"/>
        <v>#DIV/0!</v>
      </c>
      <c r="AM82" s="278" t="e">
        <f t="shared" si="95"/>
        <v>#DIV/0!</v>
      </c>
      <c r="AN82" s="372"/>
      <c r="AO82" s="279"/>
      <c r="AP82" s="279"/>
      <c r="AQ82" s="280" t="e">
        <f t="shared" si="96"/>
        <v>#DIV/0!</v>
      </c>
      <c r="AR82" s="278" t="e">
        <f t="shared" si="97"/>
        <v>#DIV/0!</v>
      </c>
      <c r="AS82" s="372"/>
      <c r="AT82" s="279"/>
      <c r="AU82" s="279"/>
      <c r="AV82" s="280" t="e">
        <f t="shared" si="98"/>
        <v>#DIV/0!</v>
      </c>
      <c r="AW82" s="278" t="e">
        <f t="shared" si="99"/>
        <v>#DIV/0!</v>
      </c>
      <c r="AX82" s="372"/>
    </row>
    <row r="83" spans="2:50">
      <c r="B83" s="369"/>
      <c r="C83" s="278">
        <v>11</v>
      </c>
      <c r="D83" s="278" t="s">
        <v>530</v>
      </c>
      <c r="E83" s="279">
        <f>VLOOKUP(D83,'10產線配置圖'!$A$2:$C$30,2,0)</f>
        <v>17</v>
      </c>
      <c r="F83" s="279">
        <f>VLOOKUP(D83,'10產線配置圖'!$A$2:$C$30,3,0)</f>
        <v>1636</v>
      </c>
      <c r="G83" s="280">
        <f t="shared" si="83"/>
        <v>96.235294117647058</v>
      </c>
      <c r="H83" s="372"/>
      <c r="I83" s="279" t="e">
        <f t="shared" ref="I83:I86" si="100">AVERAGE(P83,U83,Z83,AE83,AJ83,AO83,AT83)</f>
        <v>#DIV/0!</v>
      </c>
      <c r="J83" s="279" t="e">
        <f t="shared" ref="J83:J86" si="101">AVERAGE(Q83,V83,AA83,AF83,AK83,AP83,AU83)</f>
        <v>#DIV/0!</v>
      </c>
      <c r="K83" s="280" t="e">
        <f t="shared" ref="K83:K86" si="102">AVERAGE(R83,W83,AB83,AG83,AL83,AQ83,AV83)</f>
        <v>#DIV/0!</v>
      </c>
      <c r="L83" s="372"/>
      <c r="M83" s="279" t="e">
        <f t="shared" si="85"/>
        <v>#DIV/0!</v>
      </c>
      <c r="N83" s="364"/>
      <c r="O83" s="364"/>
      <c r="P83" s="278"/>
      <c r="Q83" s="278"/>
      <c r="R83" s="182" t="e">
        <f>Q83/P83</f>
        <v>#DIV/0!</v>
      </c>
      <c r="S83" s="110" t="e">
        <f t="shared" si="87"/>
        <v>#DIV/0!</v>
      </c>
      <c r="T83" s="372"/>
      <c r="U83" s="278"/>
      <c r="V83" s="278"/>
      <c r="W83" s="280" t="e">
        <f>V83/U83</f>
        <v>#DIV/0!</v>
      </c>
      <c r="X83" s="278" t="e">
        <f t="shared" si="89"/>
        <v>#DIV/0!</v>
      </c>
      <c r="Y83" s="372"/>
      <c r="Z83" s="278"/>
      <c r="AA83" s="278"/>
      <c r="AB83" s="280" t="e">
        <f>AA83/Z83</f>
        <v>#DIV/0!</v>
      </c>
      <c r="AC83" s="278" t="e">
        <f t="shared" si="91"/>
        <v>#DIV/0!</v>
      </c>
      <c r="AD83" s="372"/>
      <c r="AE83" s="278"/>
      <c r="AF83" s="278"/>
      <c r="AG83" s="280" t="e">
        <f>AF83/AE83</f>
        <v>#DIV/0!</v>
      </c>
      <c r="AH83" s="278" t="e">
        <f t="shared" si="93"/>
        <v>#DIV/0!</v>
      </c>
      <c r="AI83" s="372"/>
      <c r="AJ83" s="278"/>
      <c r="AK83" s="278"/>
      <c r="AL83" s="280" t="e">
        <f>AK83/AJ83</f>
        <v>#DIV/0!</v>
      </c>
      <c r="AM83" s="278" t="e">
        <f t="shared" si="95"/>
        <v>#DIV/0!</v>
      </c>
      <c r="AN83" s="372"/>
      <c r="AO83" s="278"/>
      <c r="AP83" s="278"/>
      <c r="AQ83" s="280" t="e">
        <f>AP83/AO83</f>
        <v>#DIV/0!</v>
      </c>
      <c r="AR83" s="278" t="e">
        <f t="shared" si="97"/>
        <v>#DIV/0!</v>
      </c>
      <c r="AS83" s="372"/>
      <c r="AT83" s="278"/>
      <c r="AU83" s="278"/>
      <c r="AV83" s="280" t="e">
        <f>AU83/AT83</f>
        <v>#DIV/0!</v>
      </c>
      <c r="AW83" s="278" t="e">
        <f t="shared" si="99"/>
        <v>#DIV/0!</v>
      </c>
      <c r="AX83" s="372"/>
    </row>
    <row r="84" spans="2:50">
      <c r="B84" s="369"/>
      <c r="C84" s="278">
        <v>12</v>
      </c>
      <c r="D84" s="278"/>
      <c r="E84" s="279"/>
      <c r="F84" s="279"/>
      <c r="G84" s="280"/>
      <c r="H84" s="372"/>
      <c r="I84" s="279" t="e">
        <f t="shared" si="100"/>
        <v>#DIV/0!</v>
      </c>
      <c r="J84" s="279" t="e">
        <f t="shared" si="101"/>
        <v>#DIV/0!</v>
      </c>
      <c r="K84" s="280" t="e">
        <f t="shared" si="102"/>
        <v>#DIV/0!</v>
      </c>
      <c r="L84" s="372"/>
      <c r="M84" s="279" t="e">
        <f t="shared" si="85"/>
        <v>#DIV/0!</v>
      </c>
      <c r="N84" s="364"/>
      <c r="O84" s="364"/>
      <c r="P84" s="278"/>
      <c r="Q84" s="278"/>
      <c r="R84" s="182" t="e">
        <f t="shared" ref="R84:R89" si="103">Q84/P84</f>
        <v>#DIV/0!</v>
      </c>
      <c r="S84" s="110" t="e">
        <f t="shared" si="87"/>
        <v>#DIV/0!</v>
      </c>
      <c r="T84" s="372"/>
      <c r="U84" s="278"/>
      <c r="V84" s="278"/>
      <c r="W84" s="280" t="e">
        <f t="shared" ref="W84:W89" si="104">V84/U84</f>
        <v>#DIV/0!</v>
      </c>
      <c r="X84" s="278" t="e">
        <f t="shared" si="89"/>
        <v>#DIV/0!</v>
      </c>
      <c r="Y84" s="372"/>
      <c r="Z84" s="278"/>
      <c r="AA84" s="278"/>
      <c r="AB84" s="280" t="e">
        <f t="shared" ref="AB84:AB89" si="105">AA84/Z84</f>
        <v>#DIV/0!</v>
      </c>
      <c r="AC84" s="278" t="e">
        <f t="shared" si="91"/>
        <v>#DIV/0!</v>
      </c>
      <c r="AD84" s="372"/>
      <c r="AE84" s="278"/>
      <c r="AF84" s="278"/>
      <c r="AG84" s="280" t="e">
        <f>AF84/AE84</f>
        <v>#DIV/0!</v>
      </c>
      <c r="AH84" s="278" t="e">
        <f t="shared" si="93"/>
        <v>#DIV/0!</v>
      </c>
      <c r="AI84" s="372"/>
      <c r="AJ84" s="278"/>
      <c r="AK84" s="278"/>
      <c r="AL84" s="280" t="e">
        <f>AK84/AJ84</f>
        <v>#DIV/0!</v>
      </c>
      <c r="AM84" s="278" t="e">
        <f t="shared" si="95"/>
        <v>#DIV/0!</v>
      </c>
      <c r="AN84" s="372"/>
      <c r="AO84" s="278"/>
      <c r="AP84" s="278"/>
      <c r="AQ84" s="280" t="e">
        <f>AP84/AO84</f>
        <v>#DIV/0!</v>
      </c>
      <c r="AR84" s="278" t="e">
        <f t="shared" ref="AR84" si="106">RANK(AQ84, $AQ$73:$AQ$90)</f>
        <v>#DIV/0!</v>
      </c>
      <c r="AS84" s="372"/>
      <c r="AT84" s="278"/>
      <c r="AU84" s="278"/>
      <c r="AV84" s="280" t="e">
        <f t="shared" ref="AV84:AV89" si="107">AU84/AT84</f>
        <v>#DIV/0!</v>
      </c>
      <c r="AW84" s="278" t="e">
        <f t="shared" si="99"/>
        <v>#DIV/0!</v>
      </c>
      <c r="AX84" s="372"/>
    </row>
    <row r="85" spans="2:50">
      <c r="B85" s="369"/>
      <c r="C85" s="278">
        <v>13</v>
      </c>
      <c r="D85" s="278"/>
      <c r="E85" s="279"/>
      <c r="F85" s="279"/>
      <c r="G85" s="280"/>
      <c r="H85" s="372"/>
      <c r="I85" s="279" t="e">
        <f t="shared" si="100"/>
        <v>#DIV/0!</v>
      </c>
      <c r="J85" s="279" t="e">
        <f t="shared" si="101"/>
        <v>#DIV/0!</v>
      </c>
      <c r="K85" s="280" t="e">
        <f t="shared" si="102"/>
        <v>#DIV/0!</v>
      </c>
      <c r="L85" s="372"/>
      <c r="M85" s="279" t="e">
        <f t="shared" si="85"/>
        <v>#DIV/0!</v>
      </c>
      <c r="N85" s="364"/>
      <c r="O85" s="364"/>
      <c r="P85" s="278"/>
      <c r="Q85" s="278"/>
      <c r="R85" s="182" t="e">
        <f t="shared" si="103"/>
        <v>#DIV/0!</v>
      </c>
      <c r="S85" s="110" t="e">
        <f t="shared" si="87"/>
        <v>#DIV/0!</v>
      </c>
      <c r="T85" s="372"/>
      <c r="U85" s="278"/>
      <c r="V85" s="278"/>
      <c r="W85" s="280" t="e">
        <f t="shared" si="104"/>
        <v>#DIV/0!</v>
      </c>
      <c r="X85" s="278" t="e">
        <f t="shared" si="89"/>
        <v>#DIV/0!</v>
      </c>
      <c r="Y85" s="372"/>
      <c r="Z85" s="278"/>
      <c r="AA85" s="278"/>
      <c r="AB85" s="280" t="e">
        <f t="shared" si="105"/>
        <v>#DIV/0!</v>
      </c>
      <c r="AC85" s="278" t="e">
        <f t="shared" si="91"/>
        <v>#DIV/0!</v>
      </c>
      <c r="AD85" s="372"/>
      <c r="AE85" s="278"/>
      <c r="AF85" s="278"/>
      <c r="AG85" s="280" t="e">
        <f t="shared" ref="AG85:AG87" si="108">AF85/AE85</f>
        <v>#DIV/0!</v>
      </c>
      <c r="AH85" s="278" t="e">
        <f t="shared" si="93"/>
        <v>#DIV/0!</v>
      </c>
      <c r="AI85" s="372"/>
      <c r="AJ85" s="278"/>
      <c r="AK85" s="278"/>
      <c r="AL85" s="280" t="e">
        <f t="shared" ref="AL85:AL87" si="109">AK85/AJ85</f>
        <v>#DIV/0!</v>
      </c>
      <c r="AM85" s="278" t="e">
        <f t="shared" si="95"/>
        <v>#DIV/0!</v>
      </c>
      <c r="AN85" s="372"/>
      <c r="AO85" s="278"/>
      <c r="AP85" s="278"/>
      <c r="AQ85" s="280" t="e">
        <f t="shared" ref="AQ85:AQ87" si="110">AP85/AO85</f>
        <v>#DIV/0!</v>
      </c>
      <c r="AR85" s="278" t="e">
        <f t="shared" si="97"/>
        <v>#DIV/0!</v>
      </c>
      <c r="AS85" s="372"/>
      <c r="AT85" s="278"/>
      <c r="AU85" s="278"/>
      <c r="AV85" s="280" t="e">
        <f t="shared" si="107"/>
        <v>#DIV/0!</v>
      </c>
      <c r="AW85" s="278" t="e">
        <f t="shared" si="99"/>
        <v>#DIV/0!</v>
      </c>
      <c r="AX85" s="372"/>
    </row>
    <row r="86" spans="2:50">
      <c r="B86" s="369"/>
      <c r="C86" s="278">
        <v>14</v>
      </c>
      <c r="D86" s="278"/>
      <c r="E86" s="279"/>
      <c r="F86" s="279"/>
      <c r="G86" s="280"/>
      <c r="H86" s="372"/>
      <c r="I86" s="279" t="e">
        <f t="shared" si="100"/>
        <v>#DIV/0!</v>
      </c>
      <c r="J86" s="279" t="e">
        <f t="shared" si="101"/>
        <v>#DIV/0!</v>
      </c>
      <c r="K86" s="280" t="e">
        <f t="shared" si="102"/>
        <v>#DIV/0!</v>
      </c>
      <c r="L86" s="372"/>
      <c r="M86" s="279" t="e">
        <f t="shared" si="85"/>
        <v>#DIV/0!</v>
      </c>
      <c r="N86" s="364"/>
      <c r="O86" s="364"/>
      <c r="P86" s="278"/>
      <c r="Q86" s="278"/>
      <c r="R86" s="278" t="e">
        <f t="shared" si="103"/>
        <v>#DIV/0!</v>
      </c>
      <c r="S86" s="110" t="e">
        <f t="shared" si="87"/>
        <v>#DIV/0!</v>
      </c>
      <c r="T86" s="372"/>
      <c r="U86" s="278"/>
      <c r="V86" s="278"/>
      <c r="W86" s="280" t="e">
        <f t="shared" si="104"/>
        <v>#DIV/0!</v>
      </c>
      <c r="X86" s="278" t="e">
        <f t="shared" si="89"/>
        <v>#DIV/0!</v>
      </c>
      <c r="Y86" s="372"/>
      <c r="Z86" s="278"/>
      <c r="AA86" s="278"/>
      <c r="AB86" s="280" t="e">
        <f t="shared" si="105"/>
        <v>#DIV/0!</v>
      </c>
      <c r="AC86" s="278" t="e">
        <f t="shared" si="91"/>
        <v>#DIV/0!</v>
      </c>
      <c r="AD86" s="372"/>
      <c r="AE86" s="278"/>
      <c r="AF86" s="278"/>
      <c r="AG86" s="280" t="e">
        <f t="shared" si="108"/>
        <v>#DIV/0!</v>
      </c>
      <c r="AH86" s="278" t="e">
        <f t="shared" si="93"/>
        <v>#DIV/0!</v>
      </c>
      <c r="AI86" s="372"/>
      <c r="AJ86" s="278"/>
      <c r="AK86" s="278"/>
      <c r="AL86" s="280" t="e">
        <f t="shared" si="109"/>
        <v>#DIV/0!</v>
      </c>
      <c r="AM86" s="278" t="e">
        <f t="shared" si="95"/>
        <v>#DIV/0!</v>
      </c>
      <c r="AN86" s="372"/>
      <c r="AO86" s="278"/>
      <c r="AP86" s="278"/>
      <c r="AQ86" s="280" t="e">
        <f t="shared" si="110"/>
        <v>#DIV/0!</v>
      </c>
      <c r="AR86" s="278" t="e">
        <f t="shared" si="97"/>
        <v>#DIV/0!</v>
      </c>
      <c r="AS86" s="372"/>
      <c r="AT86" s="278"/>
      <c r="AU86" s="278"/>
      <c r="AV86" s="280" t="e">
        <f t="shared" si="107"/>
        <v>#DIV/0!</v>
      </c>
      <c r="AW86" s="278" t="e">
        <f t="shared" si="99"/>
        <v>#DIV/0!</v>
      </c>
      <c r="AX86" s="372"/>
    </row>
    <row r="87" spans="2:50">
      <c r="B87" s="369"/>
      <c r="C87" s="278">
        <v>15</v>
      </c>
      <c r="D87" s="278"/>
      <c r="E87" s="279"/>
      <c r="F87" s="279"/>
      <c r="G87" s="280"/>
      <c r="H87" s="372"/>
      <c r="I87" s="279" t="e">
        <f t="shared" ref="I87" si="111">AVERAGE(P87,U87,Z87,AE87,AJ87,AO87,AT87)</f>
        <v>#DIV/0!</v>
      </c>
      <c r="J87" s="279" t="e">
        <f t="shared" ref="J87" si="112">AVERAGE(Q87,V87,AA87,AF87,AK87,AP87,AU87)</f>
        <v>#DIV/0!</v>
      </c>
      <c r="K87" s="280" t="e">
        <f t="shared" ref="K87" si="113">AVERAGE(R87,W87,AB87,AG87,AL87,AQ87,AV87)</f>
        <v>#DIV/0!</v>
      </c>
      <c r="L87" s="372"/>
      <c r="M87" s="279" t="e">
        <f t="shared" si="85"/>
        <v>#DIV/0!</v>
      </c>
      <c r="N87" s="364"/>
      <c r="O87" s="364"/>
      <c r="P87" s="278"/>
      <c r="Q87" s="278"/>
      <c r="R87" s="182" t="e">
        <f t="shared" si="103"/>
        <v>#DIV/0!</v>
      </c>
      <c r="S87" s="110" t="e">
        <f t="shared" si="87"/>
        <v>#DIV/0!</v>
      </c>
      <c r="T87" s="372"/>
      <c r="U87" s="278"/>
      <c r="V87" s="278"/>
      <c r="W87" s="280" t="e">
        <f t="shared" si="104"/>
        <v>#DIV/0!</v>
      </c>
      <c r="X87" s="278" t="e">
        <f t="shared" si="89"/>
        <v>#DIV/0!</v>
      </c>
      <c r="Y87" s="372"/>
      <c r="Z87" s="278"/>
      <c r="AA87" s="278"/>
      <c r="AB87" s="280" t="e">
        <f t="shared" si="105"/>
        <v>#DIV/0!</v>
      </c>
      <c r="AC87" s="278" t="e">
        <f t="shared" si="91"/>
        <v>#DIV/0!</v>
      </c>
      <c r="AD87" s="372"/>
      <c r="AE87" s="278"/>
      <c r="AF87" s="278"/>
      <c r="AG87" s="280" t="e">
        <f t="shared" si="108"/>
        <v>#DIV/0!</v>
      </c>
      <c r="AH87" s="278" t="e">
        <f t="shared" si="93"/>
        <v>#DIV/0!</v>
      </c>
      <c r="AI87" s="372"/>
      <c r="AJ87" s="278"/>
      <c r="AK87" s="278"/>
      <c r="AL87" s="280" t="e">
        <f t="shared" si="109"/>
        <v>#DIV/0!</v>
      </c>
      <c r="AM87" s="278" t="e">
        <f t="shared" si="95"/>
        <v>#DIV/0!</v>
      </c>
      <c r="AN87" s="372"/>
      <c r="AO87" s="278"/>
      <c r="AP87" s="278"/>
      <c r="AQ87" s="280" t="e">
        <f t="shared" si="110"/>
        <v>#DIV/0!</v>
      </c>
      <c r="AR87" s="278" t="e">
        <f t="shared" si="97"/>
        <v>#DIV/0!</v>
      </c>
      <c r="AS87" s="372"/>
      <c r="AT87" s="278"/>
      <c r="AU87" s="278"/>
      <c r="AV87" s="280" t="e">
        <f t="shared" si="107"/>
        <v>#DIV/0!</v>
      </c>
      <c r="AW87" s="278" t="e">
        <f t="shared" si="99"/>
        <v>#DIV/0!</v>
      </c>
      <c r="AX87" s="372"/>
    </row>
    <row r="88" spans="2:50">
      <c r="B88" s="369"/>
      <c r="C88" s="278">
        <v>16</v>
      </c>
      <c r="D88" s="278"/>
      <c r="E88" s="279"/>
      <c r="F88" s="279"/>
      <c r="G88" s="280"/>
      <c r="H88" s="372"/>
      <c r="I88" s="279" t="e">
        <f t="shared" ref="I88:I89" si="114">AVERAGE(P88,U88,Z88,AE88,AJ88,AO88,AT88)</f>
        <v>#DIV/0!</v>
      </c>
      <c r="J88" s="279" t="e">
        <f t="shared" ref="J88:J89" si="115">AVERAGE(Q88,V88,AA88,AF88,AK88,AP88,AU88)</f>
        <v>#DIV/0!</v>
      </c>
      <c r="K88" s="280" t="e">
        <f t="shared" ref="K88:K89" si="116">AVERAGE(R88,W88,AB88,AG88,AL88,AQ88,AV88)</f>
        <v>#DIV/0!</v>
      </c>
      <c r="L88" s="372"/>
      <c r="M88" s="279" t="e">
        <f t="shared" si="85"/>
        <v>#DIV/0!</v>
      </c>
      <c r="N88" s="364"/>
      <c r="O88" s="364"/>
      <c r="P88" s="278"/>
      <c r="Q88" s="278"/>
      <c r="R88" s="182" t="e">
        <f t="shared" si="103"/>
        <v>#DIV/0!</v>
      </c>
      <c r="S88" s="110" t="e">
        <f t="shared" si="87"/>
        <v>#DIV/0!</v>
      </c>
      <c r="T88" s="372"/>
      <c r="U88" s="278"/>
      <c r="V88" s="278"/>
      <c r="W88" s="280" t="e">
        <f t="shared" si="104"/>
        <v>#DIV/0!</v>
      </c>
      <c r="X88" s="278" t="e">
        <f t="shared" si="89"/>
        <v>#DIV/0!</v>
      </c>
      <c r="Y88" s="372"/>
      <c r="Z88" s="278"/>
      <c r="AA88" s="278"/>
      <c r="AB88" s="280" t="e">
        <f t="shared" si="105"/>
        <v>#DIV/0!</v>
      </c>
      <c r="AC88" s="278" t="e">
        <f t="shared" si="91"/>
        <v>#DIV/0!</v>
      </c>
      <c r="AD88" s="372"/>
      <c r="AE88" s="278"/>
      <c r="AF88" s="278"/>
      <c r="AG88" s="280" t="e">
        <f t="shared" ref="AG88:AG89" si="117">AF88/AE88</f>
        <v>#DIV/0!</v>
      </c>
      <c r="AH88" s="278" t="e">
        <f t="shared" si="93"/>
        <v>#DIV/0!</v>
      </c>
      <c r="AI88" s="372"/>
      <c r="AJ88" s="278"/>
      <c r="AK88" s="278"/>
      <c r="AL88" s="280" t="e">
        <f t="shared" ref="AL88:AL89" si="118">AK88/AJ88</f>
        <v>#DIV/0!</v>
      </c>
      <c r="AM88" s="278" t="e">
        <f t="shared" si="95"/>
        <v>#DIV/0!</v>
      </c>
      <c r="AN88" s="372"/>
      <c r="AO88" s="278"/>
      <c r="AP88" s="278"/>
      <c r="AQ88" s="280" t="e">
        <f t="shared" ref="AQ88:AQ89" si="119">AP88/AO88</f>
        <v>#DIV/0!</v>
      </c>
      <c r="AR88" s="278" t="e">
        <f t="shared" si="97"/>
        <v>#DIV/0!</v>
      </c>
      <c r="AS88" s="372"/>
      <c r="AT88" s="278"/>
      <c r="AU88" s="278"/>
      <c r="AV88" s="280" t="e">
        <f t="shared" si="107"/>
        <v>#DIV/0!</v>
      </c>
      <c r="AW88" s="278" t="e">
        <f t="shared" si="99"/>
        <v>#DIV/0!</v>
      </c>
      <c r="AX88" s="372"/>
    </row>
    <row r="89" spans="2:50">
      <c r="B89" s="369"/>
      <c r="C89" s="278">
        <v>17</v>
      </c>
      <c r="D89" s="278"/>
      <c r="E89" s="279"/>
      <c r="F89" s="279"/>
      <c r="G89" s="280"/>
      <c r="H89" s="372"/>
      <c r="I89" s="279" t="e">
        <f t="shared" si="114"/>
        <v>#DIV/0!</v>
      </c>
      <c r="J89" s="279" t="e">
        <f t="shared" si="115"/>
        <v>#DIV/0!</v>
      </c>
      <c r="K89" s="280" t="e">
        <f t="shared" si="116"/>
        <v>#DIV/0!</v>
      </c>
      <c r="L89" s="372"/>
      <c r="M89" s="279" t="e">
        <f t="shared" si="85"/>
        <v>#DIV/0!</v>
      </c>
      <c r="N89" s="364"/>
      <c r="O89" s="364"/>
      <c r="P89" s="278"/>
      <c r="Q89" s="278"/>
      <c r="R89" s="182" t="e">
        <f t="shared" si="103"/>
        <v>#DIV/0!</v>
      </c>
      <c r="S89" s="110" t="e">
        <f t="shared" si="87"/>
        <v>#DIV/0!</v>
      </c>
      <c r="T89" s="372"/>
      <c r="U89" s="278"/>
      <c r="V89" s="278"/>
      <c r="W89" s="280" t="e">
        <f t="shared" si="104"/>
        <v>#DIV/0!</v>
      </c>
      <c r="X89" s="278" t="e">
        <f t="shared" si="89"/>
        <v>#DIV/0!</v>
      </c>
      <c r="Y89" s="372"/>
      <c r="Z89" s="278"/>
      <c r="AA89" s="278"/>
      <c r="AB89" s="280" t="e">
        <f t="shared" si="105"/>
        <v>#DIV/0!</v>
      </c>
      <c r="AC89" s="278" t="e">
        <f t="shared" si="91"/>
        <v>#DIV/0!</v>
      </c>
      <c r="AD89" s="372"/>
      <c r="AE89" s="278"/>
      <c r="AF89" s="278"/>
      <c r="AG89" s="280" t="e">
        <f t="shared" si="117"/>
        <v>#DIV/0!</v>
      </c>
      <c r="AH89" s="278" t="e">
        <f t="shared" si="93"/>
        <v>#DIV/0!</v>
      </c>
      <c r="AI89" s="372"/>
      <c r="AJ89" s="278"/>
      <c r="AK89" s="278"/>
      <c r="AL89" s="280" t="e">
        <f t="shared" si="118"/>
        <v>#DIV/0!</v>
      </c>
      <c r="AM89" s="278" t="e">
        <f t="shared" si="95"/>
        <v>#DIV/0!</v>
      </c>
      <c r="AN89" s="372"/>
      <c r="AO89" s="278"/>
      <c r="AP89" s="278"/>
      <c r="AQ89" s="280" t="e">
        <f t="shared" si="119"/>
        <v>#DIV/0!</v>
      </c>
      <c r="AR89" s="278" t="e">
        <f t="shared" si="97"/>
        <v>#DIV/0!</v>
      </c>
      <c r="AS89" s="372"/>
      <c r="AT89" s="278"/>
      <c r="AU89" s="278"/>
      <c r="AV89" s="280" t="e">
        <f t="shared" si="107"/>
        <v>#DIV/0!</v>
      </c>
      <c r="AW89" s="278" t="e">
        <f t="shared" si="99"/>
        <v>#DIV/0!</v>
      </c>
      <c r="AX89" s="372"/>
    </row>
    <row r="90" spans="2:50">
      <c r="B90" s="370"/>
      <c r="C90" s="278">
        <v>18</v>
      </c>
      <c r="D90" s="278"/>
      <c r="E90" s="279"/>
      <c r="F90" s="279"/>
      <c r="G90" s="280"/>
      <c r="H90" s="372"/>
      <c r="I90" s="278"/>
      <c r="J90" s="278"/>
      <c r="K90" s="278"/>
      <c r="L90" s="373"/>
      <c r="M90" s="279"/>
      <c r="N90" s="351"/>
      <c r="O90" s="351"/>
      <c r="P90" s="278"/>
      <c r="Q90" s="278"/>
      <c r="R90" s="182"/>
      <c r="S90" s="110"/>
      <c r="T90" s="373"/>
      <c r="U90" s="278"/>
      <c r="V90" s="278"/>
      <c r="W90" s="280"/>
      <c r="X90" s="278"/>
      <c r="Y90" s="373"/>
      <c r="Z90" s="278"/>
      <c r="AA90" s="278"/>
      <c r="AB90" s="280"/>
      <c r="AC90" s="278"/>
      <c r="AD90" s="373"/>
      <c r="AE90" s="278"/>
      <c r="AF90" s="278"/>
      <c r="AG90" s="280"/>
      <c r="AH90" s="278"/>
      <c r="AI90" s="373"/>
      <c r="AJ90" s="278"/>
      <c r="AK90" s="278"/>
      <c r="AL90" s="280"/>
      <c r="AM90" s="278"/>
      <c r="AN90" s="373"/>
      <c r="AO90" s="278"/>
      <c r="AP90" s="278"/>
      <c r="AQ90" s="280"/>
      <c r="AR90" s="278"/>
      <c r="AS90" s="373"/>
      <c r="AT90" s="278"/>
      <c r="AU90" s="278"/>
      <c r="AV90" s="280"/>
      <c r="AW90" s="278"/>
      <c r="AX90" s="373"/>
    </row>
    <row r="91" spans="2:50" ht="15.75">
      <c r="B91" s="367" t="s">
        <v>449</v>
      </c>
      <c r="C91" s="348"/>
      <c r="D91" s="348"/>
      <c r="E91" s="348"/>
      <c r="F91" s="348"/>
      <c r="G91" s="348"/>
      <c r="H91" s="348"/>
      <c r="I91" s="283"/>
      <c r="J91" s="283"/>
      <c r="K91" s="283"/>
      <c r="L91" s="283"/>
      <c r="M91" s="284"/>
      <c r="N91" s="350" t="s">
        <v>450</v>
      </c>
      <c r="O91" s="350" t="s">
        <v>451</v>
      </c>
      <c r="P91" s="345">
        <v>45958</v>
      </c>
      <c r="Q91" s="346"/>
      <c r="R91" s="346"/>
      <c r="S91" s="346"/>
      <c r="T91" s="346"/>
      <c r="U91" s="345">
        <v>45959</v>
      </c>
      <c r="V91" s="346"/>
      <c r="W91" s="346"/>
      <c r="X91" s="346"/>
      <c r="Y91" s="346"/>
      <c r="Z91" s="345">
        <v>45960</v>
      </c>
      <c r="AA91" s="346"/>
      <c r="AB91" s="346"/>
      <c r="AC91" s="346"/>
      <c r="AD91" s="346"/>
      <c r="AE91" s="345">
        <v>45961</v>
      </c>
      <c r="AF91" s="346"/>
      <c r="AG91" s="346"/>
      <c r="AH91" s="346"/>
      <c r="AI91" s="346"/>
      <c r="AJ91" s="345"/>
      <c r="AK91" s="346"/>
      <c r="AL91" s="346"/>
      <c r="AM91" s="346"/>
      <c r="AN91" s="346"/>
      <c r="AO91" s="345"/>
      <c r="AP91" s="346"/>
      <c r="AQ91" s="346"/>
      <c r="AR91" s="346"/>
      <c r="AS91" s="346"/>
      <c r="AT91" s="345"/>
      <c r="AU91" s="346"/>
      <c r="AV91" s="346"/>
      <c r="AW91" s="346"/>
      <c r="AX91" s="346"/>
    </row>
    <row r="92" spans="2:50" ht="15.75">
      <c r="B92" s="349"/>
      <c r="C92" s="349"/>
      <c r="D92" s="349"/>
      <c r="E92" s="349"/>
      <c r="F92" s="349"/>
      <c r="G92" s="349"/>
      <c r="H92" s="349"/>
      <c r="I92" s="274"/>
      <c r="J92" s="274"/>
      <c r="K92" s="274"/>
      <c r="L92" s="274"/>
      <c r="M92" s="275"/>
      <c r="N92" s="351"/>
      <c r="O92" s="351"/>
      <c r="P92" s="345" t="s">
        <v>452</v>
      </c>
      <c r="Q92" s="346"/>
      <c r="R92" s="346"/>
      <c r="S92" s="346"/>
      <c r="T92" s="346"/>
      <c r="U92" s="345" t="s">
        <v>453</v>
      </c>
      <c r="V92" s="346"/>
      <c r="W92" s="346"/>
      <c r="X92" s="346"/>
      <c r="Y92" s="346"/>
      <c r="Z92" s="345" t="s">
        <v>454</v>
      </c>
      <c r="AA92" s="346"/>
      <c r="AB92" s="346"/>
      <c r="AC92" s="346"/>
      <c r="AD92" s="346"/>
      <c r="AE92" s="345" t="s">
        <v>455</v>
      </c>
      <c r="AF92" s="346"/>
      <c r="AG92" s="346"/>
      <c r="AH92" s="346"/>
      <c r="AI92" s="346"/>
      <c r="AJ92" s="345" t="s">
        <v>480</v>
      </c>
      <c r="AK92" s="346"/>
      <c r="AL92" s="346"/>
      <c r="AM92" s="346"/>
      <c r="AN92" s="346"/>
      <c r="AO92" s="345" t="s">
        <v>481</v>
      </c>
      <c r="AP92" s="346"/>
      <c r="AQ92" s="346"/>
      <c r="AR92" s="346"/>
      <c r="AS92" s="346"/>
      <c r="AT92" s="345" t="s">
        <v>458</v>
      </c>
      <c r="AU92" s="346"/>
      <c r="AV92" s="346"/>
      <c r="AW92" s="346"/>
      <c r="AX92" s="346"/>
    </row>
    <row r="93" spans="2:50">
      <c r="B93" s="355" t="s">
        <v>489</v>
      </c>
      <c r="C93" s="355" t="s">
        <v>460</v>
      </c>
      <c r="D93" s="355"/>
      <c r="E93" s="355" t="s">
        <v>461</v>
      </c>
      <c r="F93" s="355"/>
      <c r="G93" s="355"/>
      <c r="H93" s="361" t="s">
        <v>468</v>
      </c>
      <c r="I93" s="355" t="s">
        <v>463</v>
      </c>
      <c r="J93" s="355"/>
      <c r="K93" s="355"/>
      <c r="L93" s="361" t="s">
        <v>468</v>
      </c>
      <c r="M93" s="350" t="s">
        <v>464</v>
      </c>
      <c r="N93" s="350"/>
      <c r="O93" s="350" t="s">
        <v>160</v>
      </c>
      <c r="P93" s="352" t="s">
        <v>466</v>
      </c>
      <c r="Q93" s="353"/>
      <c r="R93" s="353"/>
      <c r="S93" s="354"/>
      <c r="T93" s="355" t="s">
        <v>462</v>
      </c>
      <c r="U93" s="352" t="s">
        <v>467</v>
      </c>
      <c r="V93" s="353"/>
      <c r="W93" s="353"/>
      <c r="X93" s="354"/>
      <c r="Y93" s="355" t="s">
        <v>468</v>
      </c>
      <c r="Z93" s="352" t="s">
        <v>467</v>
      </c>
      <c r="AA93" s="353"/>
      <c r="AB93" s="353"/>
      <c r="AC93" s="354"/>
      <c r="AD93" s="355" t="s">
        <v>462</v>
      </c>
      <c r="AE93" s="352" t="s">
        <v>467</v>
      </c>
      <c r="AF93" s="353"/>
      <c r="AG93" s="353"/>
      <c r="AH93" s="354"/>
      <c r="AI93" s="355" t="s">
        <v>468</v>
      </c>
      <c r="AJ93" s="352" t="s">
        <v>466</v>
      </c>
      <c r="AK93" s="353"/>
      <c r="AL93" s="353"/>
      <c r="AM93" s="354"/>
      <c r="AN93" s="355" t="s">
        <v>462</v>
      </c>
      <c r="AO93" s="352" t="s">
        <v>466</v>
      </c>
      <c r="AP93" s="353"/>
      <c r="AQ93" s="353"/>
      <c r="AR93" s="354"/>
      <c r="AS93" s="355" t="s">
        <v>468</v>
      </c>
      <c r="AT93" s="352" t="s">
        <v>466</v>
      </c>
      <c r="AU93" s="353"/>
      <c r="AV93" s="353"/>
      <c r="AW93" s="354"/>
      <c r="AX93" s="355" t="s">
        <v>462</v>
      </c>
    </row>
    <row r="94" spans="2:50">
      <c r="B94" s="355"/>
      <c r="C94" s="355"/>
      <c r="D94" s="355"/>
      <c r="E94" s="355" t="s">
        <v>484</v>
      </c>
      <c r="F94" s="355"/>
      <c r="G94" s="355"/>
      <c r="H94" s="362"/>
      <c r="I94" s="355" t="s">
        <v>469</v>
      </c>
      <c r="J94" s="355"/>
      <c r="K94" s="355"/>
      <c r="L94" s="362"/>
      <c r="M94" s="364"/>
      <c r="N94" s="364"/>
      <c r="O94" s="364"/>
      <c r="P94" s="352" t="s">
        <v>471</v>
      </c>
      <c r="Q94" s="353"/>
      <c r="R94" s="353"/>
      <c r="S94" s="354"/>
      <c r="T94" s="355"/>
      <c r="U94" s="352" t="s">
        <v>470</v>
      </c>
      <c r="V94" s="353"/>
      <c r="W94" s="353"/>
      <c r="X94" s="354"/>
      <c r="Y94" s="355"/>
      <c r="Z94" s="352" t="s">
        <v>470</v>
      </c>
      <c r="AA94" s="353"/>
      <c r="AB94" s="353"/>
      <c r="AC94" s="354"/>
      <c r="AD94" s="355"/>
      <c r="AE94" s="352" t="s">
        <v>471</v>
      </c>
      <c r="AF94" s="353"/>
      <c r="AG94" s="353"/>
      <c r="AH94" s="354"/>
      <c r="AI94" s="355"/>
      <c r="AJ94" s="352" t="s">
        <v>470</v>
      </c>
      <c r="AK94" s="353"/>
      <c r="AL94" s="353"/>
      <c r="AM94" s="354"/>
      <c r="AN94" s="355"/>
      <c r="AO94" s="352" t="s">
        <v>470</v>
      </c>
      <c r="AP94" s="353"/>
      <c r="AQ94" s="353"/>
      <c r="AR94" s="354"/>
      <c r="AS94" s="355"/>
      <c r="AT94" s="352" t="s">
        <v>470</v>
      </c>
      <c r="AU94" s="353"/>
      <c r="AV94" s="353"/>
      <c r="AW94" s="354"/>
      <c r="AX94" s="355"/>
    </row>
    <row r="95" spans="2:50">
      <c r="B95" s="355"/>
      <c r="C95" s="355"/>
      <c r="D95" s="355"/>
      <c r="E95" s="277" t="s">
        <v>472</v>
      </c>
      <c r="F95" s="277" t="s">
        <v>475</v>
      </c>
      <c r="G95" s="277" t="s">
        <v>474</v>
      </c>
      <c r="H95" s="363"/>
      <c r="I95" s="277" t="s">
        <v>472</v>
      </c>
      <c r="J95" s="277" t="s">
        <v>473</v>
      </c>
      <c r="K95" s="277" t="s">
        <v>474</v>
      </c>
      <c r="L95" s="363"/>
      <c r="M95" s="351"/>
      <c r="N95" s="364"/>
      <c r="O95" s="364"/>
      <c r="P95" s="277" t="s">
        <v>472</v>
      </c>
      <c r="Q95" s="277" t="s">
        <v>475</v>
      </c>
      <c r="R95" s="277" t="s">
        <v>474</v>
      </c>
      <c r="S95" s="277" t="s">
        <v>464</v>
      </c>
      <c r="T95" s="355"/>
      <c r="U95" s="277" t="s">
        <v>472</v>
      </c>
      <c r="V95" s="277" t="s">
        <v>475</v>
      </c>
      <c r="W95" s="277" t="s">
        <v>474</v>
      </c>
      <c r="X95" s="277" t="s">
        <v>464</v>
      </c>
      <c r="Y95" s="355"/>
      <c r="Z95" s="277" t="s">
        <v>476</v>
      </c>
      <c r="AA95" s="277" t="s">
        <v>473</v>
      </c>
      <c r="AB95" s="277" t="s">
        <v>485</v>
      </c>
      <c r="AC95" s="277" t="s">
        <v>464</v>
      </c>
      <c r="AD95" s="355"/>
      <c r="AE95" s="277" t="s">
        <v>472</v>
      </c>
      <c r="AF95" s="277" t="s">
        <v>475</v>
      </c>
      <c r="AG95" s="277" t="s">
        <v>474</v>
      </c>
      <c r="AH95" s="277" t="s">
        <v>477</v>
      </c>
      <c r="AI95" s="355"/>
      <c r="AJ95" s="277" t="s">
        <v>476</v>
      </c>
      <c r="AK95" s="277" t="s">
        <v>473</v>
      </c>
      <c r="AL95" s="277" t="s">
        <v>474</v>
      </c>
      <c r="AM95" s="277" t="s">
        <v>464</v>
      </c>
      <c r="AN95" s="355"/>
      <c r="AO95" s="277" t="s">
        <v>472</v>
      </c>
      <c r="AP95" s="277" t="s">
        <v>475</v>
      </c>
      <c r="AQ95" s="277" t="s">
        <v>474</v>
      </c>
      <c r="AR95" s="277" t="s">
        <v>464</v>
      </c>
      <c r="AS95" s="355"/>
      <c r="AT95" s="277" t="s">
        <v>472</v>
      </c>
      <c r="AU95" s="277" t="s">
        <v>475</v>
      </c>
      <c r="AV95" s="277" t="s">
        <v>474</v>
      </c>
      <c r="AW95" s="277" t="s">
        <v>464</v>
      </c>
      <c r="AX95" s="355"/>
    </row>
    <row r="96" spans="2:50" ht="13.5">
      <c r="B96" s="375" t="s">
        <v>139</v>
      </c>
      <c r="C96" s="278">
        <v>1</v>
      </c>
      <c r="D96" s="282" t="s">
        <v>408</v>
      </c>
      <c r="E96" s="279">
        <f>VLOOKUP(D96,'10產線配置圖'!$A$2:$C$30,2,0)</f>
        <v>12</v>
      </c>
      <c r="F96" s="279">
        <f>VLOOKUP(D96,'10產線配置圖'!$A$2:$C$30,3,0)</f>
        <v>2000</v>
      </c>
      <c r="G96" s="280">
        <v>166.66666666666666</v>
      </c>
      <c r="H96" s="371">
        <f>AVERAGE(G96:G110)</f>
        <v>113.9398642293379</v>
      </c>
      <c r="I96" s="279" t="e">
        <f>AVERAGE(P96,U96,Z96,AE96,AJ96,AO96,AT96)</f>
        <v>#DIV/0!</v>
      </c>
      <c r="J96" s="279" t="e">
        <f>AVERAGE(Q96,V96,AA96,AF96,AK96,AP96,AU96)</f>
        <v>#DIV/0!</v>
      </c>
      <c r="K96" s="280" t="e">
        <f>AVERAGE(R96,W96,AB96,AG96,AL96,AQ96,AV96)</f>
        <v>#DIV/0!</v>
      </c>
      <c r="L96" s="371" t="str">
        <f>IFERROR(AVERAGE(K96:K113),"-")</f>
        <v>-</v>
      </c>
      <c r="M96" s="279" t="e">
        <f>RANK(K96, K$96:$K$113)</f>
        <v>#DIV/0!</v>
      </c>
      <c r="N96" s="364"/>
      <c r="O96" s="364"/>
      <c r="P96" s="279"/>
      <c r="Q96" s="279"/>
      <c r="R96" s="280" t="e">
        <f>Q96/P96</f>
        <v>#DIV/0!</v>
      </c>
      <c r="S96" s="278" t="e">
        <f>RANK(R96,$R$96:$R$113)</f>
        <v>#DIV/0!</v>
      </c>
      <c r="T96" s="371" t="e">
        <f>AVERAGE(R96:R113)</f>
        <v>#DIV/0!</v>
      </c>
      <c r="U96" s="279"/>
      <c r="V96" s="279"/>
      <c r="W96" s="280" t="e">
        <f>V96/U96</f>
        <v>#DIV/0!</v>
      </c>
      <c r="X96" s="278" t="e">
        <f>RANK(W96,$W$96:$W$113)</f>
        <v>#DIV/0!</v>
      </c>
      <c r="Y96" s="371" t="e">
        <f>AVERAGE(W96:W113)</f>
        <v>#DIV/0!</v>
      </c>
      <c r="Z96" s="279"/>
      <c r="AA96" s="279"/>
      <c r="AB96" s="280" t="e">
        <f>AA96/Z96</f>
        <v>#DIV/0!</v>
      </c>
      <c r="AC96" s="278" t="e">
        <f>RANK(AB96, $AB$96:$AB$113)</f>
        <v>#DIV/0!</v>
      </c>
      <c r="AD96" s="371" t="e">
        <f>AVERAGE(AB96:AB113)</f>
        <v>#DIV/0!</v>
      </c>
      <c r="AE96" s="279"/>
      <c r="AF96" s="279"/>
      <c r="AG96" s="280" t="e">
        <f>AF96/AE96</f>
        <v>#DIV/0!</v>
      </c>
      <c r="AH96" s="278" t="e">
        <f>RANK(AG96,$AG$96:$AG$113)</f>
        <v>#DIV/0!</v>
      </c>
      <c r="AI96" s="371" t="e">
        <f>AVERAGE(AG96:AG113)</f>
        <v>#DIV/0!</v>
      </c>
      <c r="AJ96" s="279"/>
      <c r="AK96" s="279"/>
      <c r="AL96" s="280" t="e">
        <f>AK96/AJ96</f>
        <v>#DIV/0!</v>
      </c>
      <c r="AM96" s="278" t="e">
        <f>RANK(AL96,$AL$96:$AL$113)</f>
        <v>#DIV/0!</v>
      </c>
      <c r="AN96" s="371" t="e">
        <f>AVERAGE(AL96:AL113)</f>
        <v>#DIV/0!</v>
      </c>
      <c r="AO96" s="278"/>
      <c r="AP96" s="278"/>
      <c r="AQ96" s="280" t="e">
        <f>AP96/AO96</f>
        <v>#DIV/0!</v>
      </c>
      <c r="AR96" s="278" t="e">
        <f>RANK(AQ96,$AQ$96:$AQ$113)</f>
        <v>#DIV/0!</v>
      </c>
      <c r="AS96" s="371" t="e">
        <f>AVERAGE(AQ96:AQ113)</f>
        <v>#DIV/0!</v>
      </c>
      <c r="AT96" s="278"/>
      <c r="AU96" s="278"/>
      <c r="AV96" s="280" t="e">
        <f>AU96/AT96</f>
        <v>#DIV/0!</v>
      </c>
      <c r="AW96" s="278" t="e">
        <f>RANK(AV96,$AV$96:$AV$113)</f>
        <v>#DIV/0!</v>
      </c>
      <c r="AX96" s="371" t="e">
        <f>AVERAGE(AV96:AV113)</f>
        <v>#DIV/0!</v>
      </c>
    </row>
    <row r="97" spans="1:50">
      <c r="B97" s="376"/>
      <c r="C97" s="278">
        <v>2</v>
      </c>
      <c r="D97" s="278" t="s">
        <v>400</v>
      </c>
      <c r="E97" s="279">
        <f>VLOOKUP(D97,'10產線配置圖'!$A$2:$C$30,2,0)</f>
        <v>13</v>
      </c>
      <c r="F97" s="279">
        <f>VLOOKUP(D97,'10產線配置圖'!$A$2:$C$30,3,0)</f>
        <v>2000</v>
      </c>
      <c r="G97" s="280">
        <v>153.84615384615384</v>
      </c>
      <c r="H97" s="372"/>
      <c r="I97" s="279" t="e">
        <f t="shared" ref="I97:I111" si="120">AVERAGE(P97,U97,Z97,AE97,AJ97,AO97,AT97)</f>
        <v>#DIV/0!</v>
      </c>
      <c r="J97" s="279" t="e">
        <f t="shared" ref="J97:J111" si="121">AVERAGE(Q97,V97,AA97,AF97,AK97,AP97,AU97)</f>
        <v>#DIV/0!</v>
      </c>
      <c r="K97" s="280" t="e">
        <f t="shared" ref="K97:K112" si="122">AVERAGE(R97,W97,AB97,AG97,AL97,AQ97,AV97)</f>
        <v>#DIV/0!</v>
      </c>
      <c r="L97" s="372"/>
      <c r="M97" s="279" t="e">
        <f>RANK(K97, K$96:$K$113)</f>
        <v>#DIV/0!</v>
      </c>
      <c r="N97" s="364"/>
      <c r="O97" s="364"/>
      <c r="P97" s="279"/>
      <c r="Q97" s="279"/>
      <c r="R97" s="280" t="e">
        <f t="shared" ref="R97:R110" si="123">Q97/P97</f>
        <v>#DIV/0!</v>
      </c>
      <c r="S97" s="278" t="e">
        <f t="shared" ref="S97:S112" si="124">RANK(R97,$R$96:$R$113)</f>
        <v>#DIV/0!</v>
      </c>
      <c r="T97" s="372"/>
      <c r="U97" s="279"/>
      <c r="V97" s="279"/>
      <c r="W97" s="280" t="e">
        <f t="shared" ref="W97:W112" si="125">V97/U97</f>
        <v>#DIV/0!</v>
      </c>
      <c r="X97" s="278" t="e">
        <f t="shared" ref="X97:X112" si="126">RANK(W97,$W$96:$W$113)</f>
        <v>#DIV/0!</v>
      </c>
      <c r="Y97" s="372"/>
      <c r="Z97" s="279"/>
      <c r="AA97" s="279"/>
      <c r="AB97" s="280" t="e">
        <f t="shared" ref="AB97:AB111" si="127">AA97/Z97</f>
        <v>#DIV/0!</v>
      </c>
      <c r="AC97" s="278" t="e">
        <f t="shared" ref="AC97:AC111" si="128">RANK(AB97, $AB$96:$AB$113)</f>
        <v>#DIV/0!</v>
      </c>
      <c r="AD97" s="372"/>
      <c r="AE97" s="279"/>
      <c r="AF97" s="279"/>
      <c r="AG97" s="280" t="e">
        <f t="shared" ref="AG97:AG111" si="129">AF97/AE97</f>
        <v>#DIV/0!</v>
      </c>
      <c r="AH97" s="278" t="e">
        <f t="shared" ref="AH97:AH111" si="130">RANK(AG97,$AG$96:$AG$113)</f>
        <v>#DIV/0!</v>
      </c>
      <c r="AI97" s="372"/>
      <c r="AJ97" s="279"/>
      <c r="AK97" s="279"/>
      <c r="AL97" s="280" t="e">
        <f t="shared" ref="AL97:AL111" si="131">AK97/AJ97</f>
        <v>#DIV/0!</v>
      </c>
      <c r="AM97" s="278" t="e">
        <f t="shared" ref="AM97:AM111" si="132">RANK(AL97,$AL$96:$AL$113)</f>
        <v>#DIV/0!</v>
      </c>
      <c r="AN97" s="372"/>
      <c r="AO97" s="278"/>
      <c r="AP97" s="278"/>
      <c r="AQ97" s="280" t="e">
        <f t="shared" ref="AQ97:AQ105" si="133">AP97/AO97</f>
        <v>#DIV/0!</v>
      </c>
      <c r="AR97" s="278" t="e">
        <f t="shared" ref="AR97:AR112" si="134">RANK(AQ97,$AQ$96:$AQ$113)</f>
        <v>#DIV/0!</v>
      </c>
      <c r="AS97" s="372"/>
      <c r="AT97" s="278"/>
      <c r="AU97" s="278"/>
      <c r="AV97" s="280" t="e">
        <f t="shared" ref="AV97:AV104" si="135">AU97/AT97</f>
        <v>#DIV/0!</v>
      </c>
      <c r="AW97" s="278" t="e">
        <f t="shared" ref="AW97:AW112" si="136">RANK(AV97,$AV$96:$AV$113)</f>
        <v>#DIV/0!</v>
      </c>
      <c r="AX97" s="372"/>
    </row>
    <row r="98" spans="1:50">
      <c r="B98" s="376"/>
      <c r="C98" s="278">
        <v>3</v>
      </c>
      <c r="D98" s="278" t="s">
        <v>401</v>
      </c>
      <c r="E98" s="279">
        <f>VLOOKUP(D98,'10產線配置圖'!$A$2:$C$30,2,0)</f>
        <v>16</v>
      </c>
      <c r="F98" s="279">
        <f>VLOOKUP(D98,'10產線配置圖'!$A$2:$C$30,3,0)</f>
        <v>1915</v>
      </c>
      <c r="G98" s="280">
        <v>119.6875</v>
      </c>
      <c r="H98" s="372"/>
      <c r="I98" s="279" t="e">
        <f t="shared" si="120"/>
        <v>#DIV/0!</v>
      </c>
      <c r="J98" s="279" t="e">
        <f t="shared" si="121"/>
        <v>#DIV/0!</v>
      </c>
      <c r="K98" s="280" t="e">
        <f t="shared" si="122"/>
        <v>#DIV/0!</v>
      </c>
      <c r="L98" s="372"/>
      <c r="M98" s="279" t="e">
        <f>RANK(K98, K$96:$K$113)</f>
        <v>#DIV/0!</v>
      </c>
      <c r="N98" s="364"/>
      <c r="O98" s="364"/>
      <c r="P98" s="279"/>
      <c r="Q98" s="279"/>
      <c r="R98" s="280" t="e">
        <f t="shared" si="123"/>
        <v>#DIV/0!</v>
      </c>
      <c r="S98" s="278" t="e">
        <f t="shared" si="124"/>
        <v>#DIV/0!</v>
      </c>
      <c r="T98" s="372"/>
      <c r="U98" s="279"/>
      <c r="V98" s="279"/>
      <c r="W98" s="280" t="e">
        <f t="shared" si="125"/>
        <v>#DIV/0!</v>
      </c>
      <c r="X98" s="278" t="e">
        <f t="shared" si="126"/>
        <v>#DIV/0!</v>
      </c>
      <c r="Y98" s="372"/>
      <c r="Z98" s="279"/>
      <c r="AA98" s="279"/>
      <c r="AB98" s="280" t="e">
        <f>AA98/Z98</f>
        <v>#DIV/0!</v>
      </c>
      <c r="AC98" s="278" t="e">
        <f t="shared" si="128"/>
        <v>#DIV/0!</v>
      </c>
      <c r="AD98" s="372"/>
      <c r="AE98" s="279"/>
      <c r="AF98" s="279"/>
      <c r="AG98" s="280" t="e">
        <f t="shared" si="129"/>
        <v>#DIV/0!</v>
      </c>
      <c r="AH98" s="278" t="e">
        <f t="shared" si="130"/>
        <v>#DIV/0!</v>
      </c>
      <c r="AI98" s="372"/>
      <c r="AJ98" s="279"/>
      <c r="AK98" s="279"/>
      <c r="AL98" s="280" t="e">
        <f t="shared" si="131"/>
        <v>#DIV/0!</v>
      </c>
      <c r="AM98" s="278" t="e">
        <f t="shared" si="132"/>
        <v>#DIV/0!</v>
      </c>
      <c r="AN98" s="372"/>
      <c r="AO98" s="278"/>
      <c r="AP98" s="278"/>
      <c r="AQ98" s="280" t="e">
        <f t="shared" si="133"/>
        <v>#DIV/0!</v>
      </c>
      <c r="AR98" s="278" t="e">
        <f t="shared" si="134"/>
        <v>#DIV/0!</v>
      </c>
      <c r="AS98" s="372"/>
      <c r="AT98" s="278"/>
      <c r="AU98" s="278"/>
      <c r="AV98" s="280" t="e">
        <f t="shared" si="135"/>
        <v>#DIV/0!</v>
      </c>
      <c r="AW98" s="278" t="e">
        <f t="shared" si="136"/>
        <v>#DIV/0!</v>
      </c>
      <c r="AX98" s="372"/>
    </row>
    <row r="99" spans="1:50">
      <c r="A99" s="270">
        <v>18</v>
      </c>
      <c r="B99" s="376"/>
      <c r="C99" s="278">
        <v>4</v>
      </c>
      <c r="D99" s="278" t="s">
        <v>402</v>
      </c>
      <c r="E99" s="279">
        <f>VLOOKUP(D99,'10產線配置圖'!$A$2:$C$30,2,0)</f>
        <v>18</v>
      </c>
      <c r="F99" s="279">
        <f>VLOOKUP(D99,'10產線配置圖'!$A$2:$C$30,3,0)</f>
        <v>1565</v>
      </c>
      <c r="G99" s="280">
        <v>86.944444444444443</v>
      </c>
      <c r="H99" s="372"/>
      <c r="I99" s="279" t="e">
        <f t="shared" si="120"/>
        <v>#DIV/0!</v>
      </c>
      <c r="J99" s="279" t="e">
        <f t="shared" si="121"/>
        <v>#DIV/0!</v>
      </c>
      <c r="K99" s="280" t="e">
        <f t="shared" si="122"/>
        <v>#DIV/0!</v>
      </c>
      <c r="L99" s="372"/>
      <c r="M99" s="279" t="e">
        <f>RANK(K99, K$96:$K$113)</f>
        <v>#DIV/0!</v>
      </c>
      <c r="N99" s="364"/>
      <c r="O99" s="364"/>
      <c r="P99" s="279"/>
      <c r="Q99" s="279"/>
      <c r="R99" s="280" t="e">
        <f t="shared" si="123"/>
        <v>#DIV/0!</v>
      </c>
      <c r="S99" s="278" t="e">
        <f t="shared" si="124"/>
        <v>#DIV/0!</v>
      </c>
      <c r="T99" s="372"/>
      <c r="U99" s="279"/>
      <c r="V99" s="279"/>
      <c r="W99" s="280" t="e">
        <f t="shared" si="125"/>
        <v>#DIV/0!</v>
      </c>
      <c r="X99" s="278" t="e">
        <f t="shared" si="126"/>
        <v>#DIV/0!</v>
      </c>
      <c r="Y99" s="372"/>
      <c r="Z99" s="279"/>
      <c r="AA99" s="279"/>
      <c r="AB99" s="280" t="e">
        <f t="shared" si="127"/>
        <v>#DIV/0!</v>
      </c>
      <c r="AC99" s="278" t="e">
        <f t="shared" si="128"/>
        <v>#DIV/0!</v>
      </c>
      <c r="AD99" s="372"/>
      <c r="AE99" s="279"/>
      <c r="AF99" s="279"/>
      <c r="AG99" s="280" t="e">
        <f t="shared" si="129"/>
        <v>#DIV/0!</v>
      </c>
      <c r="AH99" s="278" t="e">
        <f t="shared" si="130"/>
        <v>#DIV/0!</v>
      </c>
      <c r="AI99" s="372"/>
      <c r="AJ99" s="279"/>
      <c r="AK99" s="279"/>
      <c r="AL99" s="280" t="e">
        <f t="shared" si="131"/>
        <v>#DIV/0!</v>
      </c>
      <c r="AM99" s="278" t="e">
        <f t="shared" si="132"/>
        <v>#DIV/0!</v>
      </c>
      <c r="AN99" s="372"/>
      <c r="AO99" s="278"/>
      <c r="AP99" s="278"/>
      <c r="AQ99" s="280" t="e">
        <f t="shared" si="133"/>
        <v>#DIV/0!</v>
      </c>
      <c r="AR99" s="278" t="e">
        <f t="shared" si="134"/>
        <v>#DIV/0!</v>
      </c>
      <c r="AS99" s="372"/>
      <c r="AT99" s="278"/>
      <c r="AU99" s="278"/>
      <c r="AV99" s="280" t="e">
        <f t="shared" si="135"/>
        <v>#DIV/0!</v>
      </c>
      <c r="AW99" s="278" t="e">
        <f t="shared" si="136"/>
        <v>#DIV/0!</v>
      </c>
      <c r="AX99" s="372"/>
    </row>
    <row r="100" spans="1:50">
      <c r="B100" s="376"/>
      <c r="C100" s="278">
        <v>5</v>
      </c>
      <c r="D100" s="278" t="s">
        <v>403</v>
      </c>
      <c r="E100" s="279">
        <f>VLOOKUP(D100,'10產線配置圖'!$A$2:$C$30,2,0)</f>
        <v>13</v>
      </c>
      <c r="F100" s="279">
        <f>VLOOKUP(D100,'10產線配置圖'!$A$2:$C$30,3,0)</f>
        <v>2000</v>
      </c>
      <c r="G100" s="280">
        <v>153.84615384615384</v>
      </c>
      <c r="H100" s="372"/>
      <c r="I100" s="279" t="e">
        <f t="shared" si="120"/>
        <v>#DIV/0!</v>
      </c>
      <c r="J100" s="279" t="e">
        <f t="shared" si="121"/>
        <v>#DIV/0!</v>
      </c>
      <c r="K100" s="280" t="e">
        <f t="shared" si="122"/>
        <v>#DIV/0!</v>
      </c>
      <c r="L100" s="372"/>
      <c r="M100" s="279" t="e">
        <f>RANK(K100, K$96:$K$113)</f>
        <v>#DIV/0!</v>
      </c>
      <c r="N100" s="364"/>
      <c r="O100" s="364"/>
      <c r="P100" s="279"/>
      <c r="Q100" s="279"/>
      <c r="R100" s="280" t="e">
        <f t="shared" si="123"/>
        <v>#DIV/0!</v>
      </c>
      <c r="S100" s="278" t="e">
        <f t="shared" si="124"/>
        <v>#DIV/0!</v>
      </c>
      <c r="T100" s="372"/>
      <c r="U100" s="279"/>
      <c r="V100" s="279"/>
      <c r="W100" s="280" t="e">
        <f t="shared" si="125"/>
        <v>#DIV/0!</v>
      </c>
      <c r="X100" s="278" t="e">
        <f t="shared" si="126"/>
        <v>#DIV/0!</v>
      </c>
      <c r="Y100" s="372"/>
      <c r="Z100" s="279"/>
      <c r="AA100" s="279"/>
      <c r="AB100" s="280" t="e">
        <f t="shared" si="127"/>
        <v>#DIV/0!</v>
      </c>
      <c r="AC100" s="278" t="e">
        <f t="shared" si="128"/>
        <v>#DIV/0!</v>
      </c>
      <c r="AD100" s="372"/>
      <c r="AE100" s="279"/>
      <c r="AF100" s="279"/>
      <c r="AG100" s="280" t="e">
        <f t="shared" si="129"/>
        <v>#DIV/0!</v>
      </c>
      <c r="AH100" s="278" t="e">
        <f t="shared" si="130"/>
        <v>#DIV/0!</v>
      </c>
      <c r="AI100" s="372"/>
      <c r="AJ100" s="279"/>
      <c r="AK100" s="279"/>
      <c r="AL100" s="280" t="e">
        <f t="shared" si="131"/>
        <v>#DIV/0!</v>
      </c>
      <c r="AM100" s="278" t="e">
        <f t="shared" si="132"/>
        <v>#DIV/0!</v>
      </c>
      <c r="AN100" s="372"/>
      <c r="AO100" s="278"/>
      <c r="AP100" s="278"/>
      <c r="AQ100" s="280" t="e">
        <f t="shared" si="133"/>
        <v>#DIV/0!</v>
      </c>
      <c r="AR100" s="278" t="e">
        <f t="shared" si="134"/>
        <v>#DIV/0!</v>
      </c>
      <c r="AS100" s="372"/>
      <c r="AT100" s="278"/>
      <c r="AU100" s="278"/>
      <c r="AV100" s="280" t="e">
        <f t="shared" si="135"/>
        <v>#DIV/0!</v>
      </c>
      <c r="AW100" s="278" t="e">
        <f t="shared" si="136"/>
        <v>#DIV/0!</v>
      </c>
      <c r="AX100" s="372"/>
    </row>
    <row r="101" spans="1:50">
      <c r="B101" s="376"/>
      <c r="C101" s="278">
        <v>6</v>
      </c>
      <c r="D101" s="278" t="s">
        <v>421</v>
      </c>
      <c r="E101" s="279">
        <f>VLOOKUP(D101,'10產線配置圖'!$A$2:$C$30,2,0)</f>
        <v>14</v>
      </c>
      <c r="F101" s="279">
        <f>VLOOKUP(D101,'10產線配置圖'!$A$2:$C$30,3,0)</f>
        <v>1895</v>
      </c>
      <c r="G101" s="280">
        <v>118.4375</v>
      </c>
      <c r="H101" s="372"/>
      <c r="I101" s="279" t="e">
        <f t="shared" si="120"/>
        <v>#DIV/0!</v>
      </c>
      <c r="J101" s="279" t="e">
        <f t="shared" si="121"/>
        <v>#DIV/0!</v>
      </c>
      <c r="K101" s="280" t="e">
        <f t="shared" si="122"/>
        <v>#DIV/0!</v>
      </c>
      <c r="L101" s="372"/>
      <c r="M101" s="279" t="e">
        <f>RANK(K101, K$96:$K$113)</f>
        <v>#DIV/0!</v>
      </c>
      <c r="N101" s="364"/>
      <c r="O101" s="364"/>
      <c r="P101" s="279"/>
      <c r="Q101" s="279"/>
      <c r="R101" s="280" t="e">
        <f t="shared" si="123"/>
        <v>#DIV/0!</v>
      </c>
      <c r="S101" s="278" t="e">
        <f t="shared" si="124"/>
        <v>#DIV/0!</v>
      </c>
      <c r="T101" s="372"/>
      <c r="U101" s="279"/>
      <c r="V101" s="279"/>
      <c r="W101" s="280" t="e">
        <f t="shared" si="125"/>
        <v>#DIV/0!</v>
      </c>
      <c r="X101" s="278" t="e">
        <f t="shared" si="126"/>
        <v>#DIV/0!</v>
      </c>
      <c r="Y101" s="372"/>
      <c r="Z101" s="279"/>
      <c r="AA101" s="279"/>
      <c r="AB101" s="280" t="e">
        <f t="shared" si="127"/>
        <v>#DIV/0!</v>
      </c>
      <c r="AC101" s="278" t="e">
        <f t="shared" si="128"/>
        <v>#DIV/0!</v>
      </c>
      <c r="AD101" s="372"/>
      <c r="AE101" s="279"/>
      <c r="AF101" s="279"/>
      <c r="AG101" s="280" t="e">
        <f t="shared" si="129"/>
        <v>#DIV/0!</v>
      </c>
      <c r="AH101" s="278" t="e">
        <f t="shared" si="130"/>
        <v>#DIV/0!</v>
      </c>
      <c r="AI101" s="372"/>
      <c r="AJ101" s="279"/>
      <c r="AK101" s="279"/>
      <c r="AL101" s="280" t="e">
        <f t="shared" si="131"/>
        <v>#DIV/0!</v>
      </c>
      <c r="AM101" s="278" t="e">
        <f t="shared" si="132"/>
        <v>#DIV/0!</v>
      </c>
      <c r="AN101" s="372"/>
      <c r="AO101" s="278"/>
      <c r="AP101" s="278"/>
      <c r="AQ101" s="280" t="e">
        <f t="shared" si="133"/>
        <v>#DIV/0!</v>
      </c>
      <c r="AR101" s="278" t="e">
        <f t="shared" si="134"/>
        <v>#DIV/0!</v>
      </c>
      <c r="AS101" s="372"/>
      <c r="AT101" s="278"/>
      <c r="AU101" s="278"/>
      <c r="AV101" s="280" t="e">
        <f t="shared" si="135"/>
        <v>#DIV/0!</v>
      </c>
      <c r="AW101" s="278" t="e">
        <f t="shared" si="136"/>
        <v>#DIV/0!</v>
      </c>
      <c r="AX101" s="372"/>
    </row>
    <row r="102" spans="1:50">
      <c r="B102" s="376"/>
      <c r="C102" s="278">
        <v>7</v>
      </c>
      <c r="D102" s="278" t="s">
        <v>394</v>
      </c>
      <c r="E102" s="279">
        <f>VLOOKUP(D102,'10產線配置圖'!$A$2:$C$30,2,0)</f>
        <v>16</v>
      </c>
      <c r="F102" s="279">
        <f>VLOOKUP(D102,'10產線配置圖'!$A$2:$C$30,3,0)</f>
        <v>1429</v>
      </c>
      <c r="G102" s="280">
        <v>97</v>
      </c>
      <c r="H102" s="372"/>
      <c r="I102" s="279"/>
      <c r="J102" s="279"/>
      <c r="K102" s="280"/>
      <c r="L102" s="372"/>
      <c r="M102" s="279"/>
      <c r="N102" s="364"/>
      <c r="O102" s="364"/>
      <c r="P102" s="279"/>
      <c r="Q102" s="279"/>
      <c r="R102" s="280"/>
      <c r="S102" s="278"/>
      <c r="T102" s="372"/>
      <c r="U102" s="279"/>
      <c r="V102" s="279"/>
      <c r="W102" s="280"/>
      <c r="X102" s="278"/>
      <c r="Y102" s="372"/>
      <c r="Z102" s="279"/>
      <c r="AA102" s="279"/>
      <c r="AB102" s="280"/>
      <c r="AC102" s="278"/>
      <c r="AD102" s="372"/>
      <c r="AE102" s="279"/>
      <c r="AF102" s="279"/>
      <c r="AG102" s="280"/>
      <c r="AH102" s="278"/>
      <c r="AI102" s="372"/>
      <c r="AJ102" s="279"/>
      <c r="AK102" s="279"/>
      <c r="AL102" s="280"/>
      <c r="AM102" s="278"/>
      <c r="AN102" s="372"/>
      <c r="AO102" s="278"/>
      <c r="AP102" s="278"/>
      <c r="AQ102" s="280"/>
      <c r="AR102" s="278"/>
      <c r="AS102" s="372"/>
      <c r="AT102" s="278"/>
      <c r="AU102" s="278"/>
      <c r="AV102" s="280"/>
      <c r="AW102" s="278"/>
      <c r="AX102" s="372"/>
    </row>
    <row r="103" spans="1:50">
      <c r="B103" s="376"/>
      <c r="C103" s="278">
        <v>8</v>
      </c>
      <c r="D103" s="278" t="s">
        <v>395</v>
      </c>
      <c r="E103" s="279">
        <f>VLOOKUP(D103,'10產線配置圖'!$A$2:$C$30,2,0)</f>
        <v>18</v>
      </c>
      <c r="F103" s="279">
        <f>VLOOKUP(D103,'10產線配置圖'!$A$2:$C$30,3,0)</f>
        <v>1500</v>
      </c>
      <c r="G103" s="280">
        <v>104.33333333333333</v>
      </c>
      <c r="H103" s="372"/>
      <c r="I103" s="279" t="e">
        <f t="shared" si="120"/>
        <v>#DIV/0!</v>
      </c>
      <c r="J103" s="279" t="e">
        <f t="shared" si="121"/>
        <v>#DIV/0!</v>
      </c>
      <c r="K103" s="280" t="e">
        <f t="shared" si="122"/>
        <v>#DIV/0!</v>
      </c>
      <c r="L103" s="372"/>
      <c r="M103" s="279" t="e">
        <f>RANK(K103, K$96:$K$113)</f>
        <v>#DIV/0!</v>
      </c>
      <c r="N103" s="364"/>
      <c r="O103" s="364"/>
      <c r="P103" s="279"/>
      <c r="Q103" s="279"/>
      <c r="R103" s="280" t="e">
        <f t="shared" si="123"/>
        <v>#DIV/0!</v>
      </c>
      <c r="S103" s="278" t="e">
        <f t="shared" si="124"/>
        <v>#DIV/0!</v>
      </c>
      <c r="T103" s="372"/>
      <c r="U103" s="279"/>
      <c r="V103" s="279"/>
      <c r="W103" s="280" t="e">
        <f t="shared" si="125"/>
        <v>#DIV/0!</v>
      </c>
      <c r="X103" s="278" t="e">
        <f t="shared" si="126"/>
        <v>#DIV/0!</v>
      </c>
      <c r="Y103" s="372"/>
      <c r="Z103" s="279"/>
      <c r="AA103" s="279"/>
      <c r="AB103" s="280" t="e">
        <f t="shared" si="127"/>
        <v>#DIV/0!</v>
      </c>
      <c r="AC103" s="278" t="e">
        <f t="shared" si="128"/>
        <v>#DIV/0!</v>
      </c>
      <c r="AD103" s="372"/>
      <c r="AE103" s="279"/>
      <c r="AF103" s="279"/>
      <c r="AG103" s="280" t="e">
        <f t="shared" si="129"/>
        <v>#DIV/0!</v>
      </c>
      <c r="AH103" s="278" t="e">
        <f t="shared" si="130"/>
        <v>#DIV/0!</v>
      </c>
      <c r="AI103" s="372"/>
      <c r="AJ103" s="279"/>
      <c r="AK103" s="279"/>
      <c r="AL103" s="280" t="e">
        <f t="shared" si="131"/>
        <v>#DIV/0!</v>
      </c>
      <c r="AM103" s="278" t="e">
        <f t="shared" si="132"/>
        <v>#DIV/0!</v>
      </c>
      <c r="AN103" s="372"/>
      <c r="AO103" s="278"/>
      <c r="AP103" s="278"/>
      <c r="AQ103" s="280" t="e">
        <f t="shared" si="133"/>
        <v>#DIV/0!</v>
      </c>
      <c r="AR103" s="278" t="e">
        <f t="shared" si="134"/>
        <v>#DIV/0!</v>
      </c>
      <c r="AS103" s="372"/>
      <c r="AT103" s="278"/>
      <c r="AU103" s="278"/>
      <c r="AV103" s="280" t="e">
        <f t="shared" si="135"/>
        <v>#DIV/0!</v>
      </c>
      <c r="AW103" s="278" t="e">
        <f t="shared" si="136"/>
        <v>#DIV/0!</v>
      </c>
      <c r="AX103" s="372"/>
    </row>
    <row r="104" spans="1:50">
      <c r="B104" s="376"/>
      <c r="C104" s="278">
        <v>9</v>
      </c>
      <c r="D104" s="278" t="s">
        <v>404</v>
      </c>
      <c r="E104" s="279">
        <f>VLOOKUP(D104,'10產線配置圖'!$A$2:$C$30,2,0)</f>
        <v>18</v>
      </c>
      <c r="F104" s="279">
        <f>VLOOKUP(D104,'10產線配置圖'!$A$2:$C$30,3,0)</f>
        <v>1385</v>
      </c>
      <c r="G104" s="280">
        <v>86.875</v>
      </c>
      <c r="H104" s="372"/>
      <c r="I104" s="279" t="e">
        <f t="shared" si="120"/>
        <v>#DIV/0!</v>
      </c>
      <c r="J104" s="279" t="e">
        <f t="shared" si="121"/>
        <v>#DIV/0!</v>
      </c>
      <c r="K104" s="280" t="e">
        <f t="shared" si="122"/>
        <v>#DIV/0!</v>
      </c>
      <c r="L104" s="372"/>
      <c r="M104" s="279" t="e">
        <f>RANK(K104, K$96:$K$113)</f>
        <v>#DIV/0!</v>
      </c>
      <c r="N104" s="364"/>
      <c r="O104" s="364"/>
      <c r="P104" s="279"/>
      <c r="Q104" s="279"/>
      <c r="R104" s="280" t="e">
        <f t="shared" si="123"/>
        <v>#DIV/0!</v>
      </c>
      <c r="S104" s="278" t="e">
        <f t="shared" si="124"/>
        <v>#DIV/0!</v>
      </c>
      <c r="T104" s="372"/>
      <c r="U104" s="279"/>
      <c r="V104" s="279"/>
      <c r="W104" s="280" t="e">
        <f t="shared" si="125"/>
        <v>#DIV/0!</v>
      </c>
      <c r="X104" s="278" t="e">
        <f t="shared" si="126"/>
        <v>#DIV/0!</v>
      </c>
      <c r="Y104" s="372"/>
      <c r="Z104" s="279"/>
      <c r="AA104" s="279"/>
      <c r="AB104" s="280" t="e">
        <f t="shared" si="127"/>
        <v>#DIV/0!</v>
      </c>
      <c r="AC104" s="278" t="e">
        <f t="shared" si="128"/>
        <v>#DIV/0!</v>
      </c>
      <c r="AD104" s="372"/>
      <c r="AE104" s="279"/>
      <c r="AF104" s="279"/>
      <c r="AG104" s="280" t="e">
        <f t="shared" si="129"/>
        <v>#DIV/0!</v>
      </c>
      <c r="AH104" s="278" t="e">
        <f t="shared" si="130"/>
        <v>#DIV/0!</v>
      </c>
      <c r="AI104" s="372"/>
      <c r="AJ104" s="279"/>
      <c r="AK104" s="279"/>
      <c r="AL104" s="280" t="e">
        <f t="shared" si="131"/>
        <v>#DIV/0!</v>
      </c>
      <c r="AM104" s="278" t="e">
        <f t="shared" si="132"/>
        <v>#DIV/0!</v>
      </c>
      <c r="AN104" s="372"/>
      <c r="AO104" s="278"/>
      <c r="AP104" s="278"/>
      <c r="AQ104" s="280" t="e">
        <f t="shared" si="133"/>
        <v>#DIV/0!</v>
      </c>
      <c r="AR104" s="278" t="e">
        <f t="shared" si="134"/>
        <v>#DIV/0!</v>
      </c>
      <c r="AS104" s="372"/>
      <c r="AT104" s="278"/>
      <c r="AU104" s="278"/>
      <c r="AV104" s="280" t="e">
        <f t="shared" si="135"/>
        <v>#DIV/0!</v>
      </c>
      <c r="AW104" s="278" t="e">
        <f t="shared" si="136"/>
        <v>#DIV/0!</v>
      </c>
      <c r="AX104" s="372"/>
    </row>
    <row r="105" spans="1:50">
      <c r="B105" s="376"/>
      <c r="C105" s="278">
        <v>10</v>
      </c>
      <c r="D105" s="278" t="s">
        <v>443</v>
      </c>
      <c r="E105" s="279">
        <f>VLOOKUP(D105,'10產線配置圖'!$A$2:$C$30,2,0)</f>
        <v>17</v>
      </c>
      <c r="F105" s="279">
        <f>VLOOKUP(D105,'10產線配置圖'!$A$2:$C$30,3,0)</f>
        <v>1565</v>
      </c>
      <c r="G105" s="280">
        <v>82.368421052631575</v>
      </c>
      <c r="H105" s="372"/>
      <c r="I105" s="279" t="e">
        <f t="shared" si="120"/>
        <v>#DIV/0!</v>
      </c>
      <c r="J105" s="279" t="e">
        <f t="shared" si="121"/>
        <v>#DIV/0!</v>
      </c>
      <c r="K105" s="280" t="e">
        <f t="shared" si="122"/>
        <v>#DIV/0!</v>
      </c>
      <c r="L105" s="372"/>
      <c r="M105" s="279" t="e">
        <f>RANK(K105, K$96:$K$113)</f>
        <v>#DIV/0!</v>
      </c>
      <c r="N105" s="364"/>
      <c r="O105" s="364"/>
      <c r="P105" s="279"/>
      <c r="Q105" s="279"/>
      <c r="R105" s="280" t="e">
        <f t="shared" si="123"/>
        <v>#DIV/0!</v>
      </c>
      <c r="S105" s="278" t="e">
        <f t="shared" si="124"/>
        <v>#DIV/0!</v>
      </c>
      <c r="T105" s="372"/>
      <c r="U105" s="279"/>
      <c r="V105" s="279"/>
      <c r="W105" s="280" t="e">
        <f t="shared" si="125"/>
        <v>#DIV/0!</v>
      </c>
      <c r="X105" s="278" t="e">
        <f t="shared" si="126"/>
        <v>#DIV/0!</v>
      </c>
      <c r="Y105" s="372"/>
      <c r="Z105" s="279"/>
      <c r="AA105" s="279"/>
      <c r="AB105" s="280" t="e">
        <f t="shared" si="127"/>
        <v>#DIV/0!</v>
      </c>
      <c r="AC105" s="278" t="e">
        <f t="shared" si="128"/>
        <v>#DIV/0!</v>
      </c>
      <c r="AD105" s="372"/>
      <c r="AE105" s="279"/>
      <c r="AF105" s="279"/>
      <c r="AG105" s="280" t="e">
        <f t="shared" si="129"/>
        <v>#DIV/0!</v>
      </c>
      <c r="AH105" s="278" t="e">
        <f t="shared" si="130"/>
        <v>#DIV/0!</v>
      </c>
      <c r="AI105" s="372"/>
      <c r="AJ105" s="279"/>
      <c r="AK105" s="279"/>
      <c r="AL105" s="280" t="e">
        <f t="shared" si="131"/>
        <v>#DIV/0!</v>
      </c>
      <c r="AM105" s="278" t="e">
        <f t="shared" si="132"/>
        <v>#DIV/0!</v>
      </c>
      <c r="AN105" s="372"/>
      <c r="AO105" s="278"/>
      <c r="AP105" s="278"/>
      <c r="AQ105" s="280" t="e">
        <f t="shared" si="133"/>
        <v>#DIV/0!</v>
      </c>
      <c r="AR105" s="278" t="e">
        <f t="shared" si="134"/>
        <v>#DIV/0!</v>
      </c>
      <c r="AS105" s="372"/>
      <c r="AT105" s="278"/>
      <c r="AU105" s="278"/>
      <c r="AV105" s="280"/>
      <c r="AW105" s="278"/>
      <c r="AX105" s="372"/>
    </row>
    <row r="106" spans="1:50">
      <c r="B106" s="376"/>
      <c r="C106" s="278">
        <v>11</v>
      </c>
      <c r="D106" s="278" t="s">
        <v>530</v>
      </c>
      <c r="E106" s="279">
        <f>VLOOKUP(D106,'10產線配置圖'!$A$2:$C$30,2,0)</f>
        <v>17</v>
      </c>
      <c r="F106" s="279">
        <f>VLOOKUP(D106,'10產線配置圖'!$A$2:$C$30,3,0)</f>
        <v>1636</v>
      </c>
      <c r="G106" s="280">
        <v>83.333333333333329</v>
      </c>
      <c r="H106" s="372"/>
      <c r="I106" s="279" t="e">
        <f t="shared" si="120"/>
        <v>#DIV/0!</v>
      </c>
      <c r="J106" s="279" t="e">
        <f t="shared" si="121"/>
        <v>#DIV/0!</v>
      </c>
      <c r="K106" s="280" t="e">
        <f t="shared" si="122"/>
        <v>#DIV/0!</v>
      </c>
      <c r="L106" s="372"/>
      <c r="M106" s="279" t="e">
        <f>RANK(K106, K$96:$K$113)</f>
        <v>#DIV/0!</v>
      </c>
      <c r="N106" s="364"/>
      <c r="O106" s="364"/>
      <c r="P106" s="278"/>
      <c r="Q106" s="278"/>
      <c r="R106" s="280" t="e">
        <f t="shared" si="123"/>
        <v>#DIV/0!</v>
      </c>
      <c r="S106" s="278" t="e">
        <f t="shared" si="124"/>
        <v>#DIV/0!</v>
      </c>
      <c r="T106" s="372"/>
      <c r="U106" s="278"/>
      <c r="V106" s="278"/>
      <c r="W106" s="280" t="e">
        <f t="shared" si="125"/>
        <v>#DIV/0!</v>
      </c>
      <c r="X106" s="278" t="e">
        <f t="shared" si="126"/>
        <v>#DIV/0!</v>
      </c>
      <c r="Y106" s="372"/>
      <c r="Z106" s="278"/>
      <c r="AA106" s="278"/>
      <c r="AB106" s="280" t="e">
        <f t="shared" si="127"/>
        <v>#DIV/0!</v>
      </c>
      <c r="AC106" s="278" t="e">
        <f t="shared" si="128"/>
        <v>#DIV/0!</v>
      </c>
      <c r="AD106" s="372"/>
      <c r="AE106" s="278"/>
      <c r="AF106" s="278"/>
      <c r="AG106" s="280" t="e">
        <f t="shared" si="129"/>
        <v>#DIV/0!</v>
      </c>
      <c r="AH106" s="278" t="e">
        <f t="shared" si="130"/>
        <v>#DIV/0!</v>
      </c>
      <c r="AI106" s="372"/>
      <c r="AJ106" s="278"/>
      <c r="AK106" s="278"/>
      <c r="AL106" s="280" t="e">
        <f t="shared" si="131"/>
        <v>#DIV/0!</v>
      </c>
      <c r="AM106" s="278" t="e">
        <f t="shared" si="132"/>
        <v>#DIV/0!</v>
      </c>
      <c r="AN106" s="372"/>
      <c r="AO106" s="278"/>
      <c r="AP106" s="278"/>
      <c r="AQ106" s="280" t="e">
        <f>AP106/AO106</f>
        <v>#DIV/0!</v>
      </c>
      <c r="AR106" s="278" t="e">
        <f t="shared" si="134"/>
        <v>#DIV/0!</v>
      </c>
      <c r="AS106" s="372"/>
      <c r="AT106" s="278"/>
      <c r="AU106" s="278"/>
      <c r="AV106" s="280" t="e">
        <f>AU106/AT106</f>
        <v>#DIV/0!</v>
      </c>
      <c r="AW106" s="278" t="e">
        <f t="shared" si="136"/>
        <v>#DIV/0!</v>
      </c>
      <c r="AX106" s="372"/>
    </row>
    <row r="107" spans="1:50">
      <c r="B107" s="376"/>
      <c r="C107" s="278">
        <v>12</v>
      </c>
      <c r="D107" s="278"/>
      <c r="E107" s="279"/>
      <c r="F107" s="279"/>
      <c r="G107" s="280"/>
      <c r="H107" s="372"/>
      <c r="I107" s="279" t="e">
        <f t="shared" ref="I107" si="137">AVERAGE(P107,U107,Z107,AE107,AJ107,AO107,AT107)</f>
        <v>#DIV/0!</v>
      </c>
      <c r="J107" s="279" t="e">
        <f t="shared" ref="J107" si="138">AVERAGE(Q107,V107,AA107,AF107,AK107,AP107,AU107)</f>
        <v>#DIV/0!</v>
      </c>
      <c r="K107" s="280" t="e">
        <f t="shared" si="122"/>
        <v>#DIV/0!</v>
      </c>
      <c r="L107" s="372"/>
      <c r="M107" s="279" t="e">
        <f>RANK(K107, K$96:$K$113)</f>
        <v>#DIV/0!</v>
      </c>
      <c r="N107" s="364"/>
      <c r="O107" s="364"/>
      <c r="P107" s="278"/>
      <c r="Q107" s="278"/>
      <c r="R107" s="280" t="e">
        <f t="shared" ref="R107" si="139">Q107/P107</f>
        <v>#DIV/0!</v>
      </c>
      <c r="S107" s="278" t="e">
        <f t="shared" ref="S107" si="140">RANK(R107,$R$96:$R$113)</f>
        <v>#DIV/0!</v>
      </c>
      <c r="T107" s="372"/>
      <c r="U107" s="278"/>
      <c r="V107" s="278"/>
      <c r="W107" s="280" t="e">
        <f t="shared" ref="W107" si="141">V107/U107</f>
        <v>#DIV/0!</v>
      </c>
      <c r="X107" s="278" t="e">
        <f t="shared" ref="X107" si="142">RANK(W107,$W$96:$W$113)</f>
        <v>#DIV/0!</v>
      </c>
      <c r="Y107" s="372"/>
      <c r="Z107" s="278"/>
      <c r="AA107" s="278"/>
      <c r="AB107" s="280" t="e">
        <f t="shared" ref="AB107" si="143">AA107/Z107</f>
        <v>#DIV/0!</v>
      </c>
      <c r="AC107" s="278" t="e">
        <f t="shared" ref="AC107" si="144">RANK(AB107, $AB$96:$AB$113)</f>
        <v>#DIV/0!</v>
      </c>
      <c r="AD107" s="372"/>
      <c r="AE107" s="278"/>
      <c r="AF107" s="278"/>
      <c r="AG107" s="280" t="e">
        <f t="shared" ref="AG107" si="145">AF107/AE107</f>
        <v>#DIV/0!</v>
      </c>
      <c r="AH107" s="278" t="e">
        <f t="shared" ref="AH107" si="146">RANK(AG107,$AG$96:$AG$113)</f>
        <v>#DIV/0!</v>
      </c>
      <c r="AI107" s="372"/>
      <c r="AJ107" s="278"/>
      <c r="AK107" s="278"/>
      <c r="AL107" s="280" t="e">
        <f t="shared" ref="AL107" si="147">AK107/AJ107</f>
        <v>#DIV/0!</v>
      </c>
      <c r="AM107" s="278" t="e">
        <f t="shared" ref="AM107" si="148">RANK(AL107,$AL$96:$AL$113)</f>
        <v>#DIV/0!</v>
      </c>
      <c r="AN107" s="372"/>
      <c r="AO107" s="278"/>
      <c r="AP107" s="278"/>
      <c r="AQ107" s="280" t="e">
        <f t="shared" ref="AQ107:AQ112" si="149">AP107/AO107</f>
        <v>#DIV/0!</v>
      </c>
      <c r="AR107" s="278" t="e">
        <f t="shared" si="134"/>
        <v>#DIV/0!</v>
      </c>
      <c r="AS107" s="372"/>
      <c r="AT107" s="278"/>
      <c r="AU107" s="278"/>
      <c r="AV107" s="280" t="e">
        <f t="shared" ref="AV107:AV112" si="150">AU107/AT107</f>
        <v>#DIV/0!</v>
      </c>
      <c r="AW107" s="278" t="e">
        <f t="shared" si="136"/>
        <v>#DIV/0!</v>
      </c>
      <c r="AX107" s="372"/>
    </row>
    <row r="108" spans="1:50">
      <c r="B108" s="376"/>
      <c r="C108" s="278">
        <v>13</v>
      </c>
      <c r="D108" s="278"/>
      <c r="E108" s="279"/>
      <c r="F108" s="279"/>
      <c r="G108" s="280"/>
      <c r="H108" s="372"/>
      <c r="I108" s="279" t="e">
        <f t="shared" si="120"/>
        <v>#DIV/0!</v>
      </c>
      <c r="J108" s="279" t="e">
        <f t="shared" si="121"/>
        <v>#DIV/0!</v>
      </c>
      <c r="K108" s="280" t="e">
        <f t="shared" si="122"/>
        <v>#DIV/0!</v>
      </c>
      <c r="L108" s="372"/>
      <c r="M108" s="279" t="e">
        <f>RANK(K108, K$96:$K$113)</f>
        <v>#DIV/0!</v>
      </c>
      <c r="N108" s="364"/>
      <c r="O108" s="364"/>
      <c r="P108" s="278"/>
      <c r="Q108" s="278"/>
      <c r="R108" s="280" t="e">
        <f t="shared" si="123"/>
        <v>#DIV/0!</v>
      </c>
      <c r="S108" s="278" t="e">
        <f t="shared" si="124"/>
        <v>#DIV/0!</v>
      </c>
      <c r="T108" s="372"/>
      <c r="U108" s="278"/>
      <c r="V108" s="278"/>
      <c r="W108" s="280" t="e">
        <f t="shared" si="125"/>
        <v>#DIV/0!</v>
      </c>
      <c r="X108" s="278" t="e">
        <f t="shared" si="126"/>
        <v>#DIV/0!</v>
      </c>
      <c r="Y108" s="372"/>
      <c r="Z108" s="278"/>
      <c r="AA108" s="278"/>
      <c r="AB108" s="280" t="e">
        <f t="shared" si="127"/>
        <v>#DIV/0!</v>
      </c>
      <c r="AC108" s="278" t="e">
        <f t="shared" si="128"/>
        <v>#DIV/0!</v>
      </c>
      <c r="AD108" s="372"/>
      <c r="AE108" s="278"/>
      <c r="AF108" s="278"/>
      <c r="AG108" s="280" t="e">
        <f t="shared" si="129"/>
        <v>#DIV/0!</v>
      </c>
      <c r="AH108" s="278" t="e">
        <f t="shared" si="130"/>
        <v>#DIV/0!</v>
      </c>
      <c r="AI108" s="372"/>
      <c r="AJ108" s="278"/>
      <c r="AK108" s="278"/>
      <c r="AL108" s="280" t="e">
        <f t="shared" si="131"/>
        <v>#DIV/0!</v>
      </c>
      <c r="AM108" s="278" t="e">
        <f t="shared" si="132"/>
        <v>#DIV/0!</v>
      </c>
      <c r="AN108" s="372"/>
      <c r="AO108" s="278"/>
      <c r="AP108" s="278"/>
      <c r="AQ108" s="280" t="e">
        <f t="shared" si="149"/>
        <v>#DIV/0!</v>
      </c>
      <c r="AR108" s="278" t="e">
        <f t="shared" si="134"/>
        <v>#DIV/0!</v>
      </c>
      <c r="AS108" s="372"/>
      <c r="AT108" s="278"/>
      <c r="AU108" s="278"/>
      <c r="AV108" s="280" t="e">
        <f t="shared" si="150"/>
        <v>#DIV/0!</v>
      </c>
      <c r="AW108" s="278" t="e">
        <f t="shared" si="136"/>
        <v>#DIV/0!</v>
      </c>
      <c r="AX108" s="372"/>
    </row>
    <row r="109" spans="1:50">
      <c r="B109" s="376"/>
      <c r="C109" s="278">
        <v>14</v>
      </c>
      <c r="D109" s="278"/>
      <c r="E109" s="279"/>
      <c r="F109" s="279"/>
      <c r="G109" s="280"/>
      <c r="H109" s="372"/>
      <c r="I109" s="279" t="e">
        <f t="shared" si="120"/>
        <v>#DIV/0!</v>
      </c>
      <c r="J109" s="279" t="e">
        <f t="shared" si="121"/>
        <v>#DIV/0!</v>
      </c>
      <c r="K109" s="280" t="e">
        <f t="shared" si="122"/>
        <v>#DIV/0!</v>
      </c>
      <c r="L109" s="372"/>
      <c r="M109" s="279" t="e">
        <f>RANK(K109, K$96:$K$113)</f>
        <v>#DIV/0!</v>
      </c>
      <c r="N109" s="364"/>
      <c r="O109" s="364"/>
      <c r="P109" s="278"/>
      <c r="Q109" s="278"/>
      <c r="R109" s="280" t="e">
        <f t="shared" si="123"/>
        <v>#DIV/0!</v>
      </c>
      <c r="S109" s="278" t="e">
        <f t="shared" si="124"/>
        <v>#DIV/0!</v>
      </c>
      <c r="T109" s="372"/>
      <c r="U109" s="278"/>
      <c r="V109" s="278"/>
      <c r="W109" s="280" t="e">
        <f t="shared" si="125"/>
        <v>#DIV/0!</v>
      </c>
      <c r="X109" s="278" t="e">
        <f t="shared" si="126"/>
        <v>#DIV/0!</v>
      </c>
      <c r="Y109" s="372"/>
      <c r="Z109" s="278"/>
      <c r="AA109" s="278"/>
      <c r="AB109" s="280" t="e">
        <f t="shared" si="127"/>
        <v>#DIV/0!</v>
      </c>
      <c r="AC109" s="278" t="e">
        <f t="shared" si="128"/>
        <v>#DIV/0!</v>
      </c>
      <c r="AD109" s="372"/>
      <c r="AE109" s="278"/>
      <c r="AF109" s="278"/>
      <c r="AG109" s="280" t="e">
        <f t="shared" si="129"/>
        <v>#DIV/0!</v>
      </c>
      <c r="AH109" s="278" t="e">
        <f t="shared" si="130"/>
        <v>#DIV/0!</v>
      </c>
      <c r="AI109" s="372"/>
      <c r="AJ109" s="278"/>
      <c r="AK109" s="278"/>
      <c r="AL109" s="280" t="e">
        <f t="shared" si="131"/>
        <v>#DIV/0!</v>
      </c>
      <c r="AM109" s="278" t="e">
        <f t="shared" si="132"/>
        <v>#DIV/0!</v>
      </c>
      <c r="AN109" s="372"/>
      <c r="AO109" s="278"/>
      <c r="AP109" s="278"/>
      <c r="AQ109" s="280" t="e">
        <f t="shared" si="149"/>
        <v>#DIV/0!</v>
      </c>
      <c r="AR109" s="278" t="e">
        <f t="shared" si="134"/>
        <v>#DIV/0!</v>
      </c>
      <c r="AS109" s="372"/>
      <c r="AT109" s="278"/>
      <c r="AU109" s="278"/>
      <c r="AV109" s="280" t="e">
        <f t="shared" si="150"/>
        <v>#DIV/0!</v>
      </c>
      <c r="AW109" s="278" t="e">
        <f t="shared" si="136"/>
        <v>#DIV/0!</v>
      </c>
      <c r="AX109" s="372"/>
    </row>
    <row r="110" spans="1:50">
      <c r="B110" s="376"/>
      <c r="C110" s="278">
        <v>15</v>
      </c>
      <c r="D110" s="278"/>
      <c r="E110" s="279"/>
      <c r="F110" s="279"/>
      <c r="G110" s="280"/>
      <c r="H110" s="372"/>
      <c r="I110" s="279" t="e">
        <f t="shared" si="120"/>
        <v>#DIV/0!</v>
      </c>
      <c r="J110" s="279" t="e">
        <f t="shared" si="121"/>
        <v>#DIV/0!</v>
      </c>
      <c r="K110" s="280" t="e">
        <f t="shared" si="122"/>
        <v>#DIV/0!</v>
      </c>
      <c r="L110" s="372"/>
      <c r="M110" s="279" t="e">
        <f>RANK(K110, K$96:$K$113)</f>
        <v>#DIV/0!</v>
      </c>
      <c r="N110" s="364"/>
      <c r="O110" s="364"/>
      <c r="P110" s="278"/>
      <c r="Q110" s="278"/>
      <c r="R110" s="280" t="e">
        <f t="shared" si="123"/>
        <v>#DIV/0!</v>
      </c>
      <c r="S110" s="278" t="e">
        <f t="shared" si="124"/>
        <v>#DIV/0!</v>
      </c>
      <c r="T110" s="372"/>
      <c r="U110" s="278"/>
      <c r="V110" s="278"/>
      <c r="W110" s="280" t="e">
        <f t="shared" si="125"/>
        <v>#DIV/0!</v>
      </c>
      <c r="X110" s="278" t="e">
        <f t="shared" si="126"/>
        <v>#DIV/0!</v>
      </c>
      <c r="Y110" s="372"/>
      <c r="Z110" s="278"/>
      <c r="AA110" s="278"/>
      <c r="AB110" s="280" t="e">
        <f t="shared" si="127"/>
        <v>#DIV/0!</v>
      </c>
      <c r="AC110" s="278" t="e">
        <f t="shared" si="128"/>
        <v>#DIV/0!</v>
      </c>
      <c r="AD110" s="372"/>
      <c r="AE110" s="278"/>
      <c r="AF110" s="278"/>
      <c r="AG110" s="280" t="e">
        <f t="shared" si="129"/>
        <v>#DIV/0!</v>
      </c>
      <c r="AH110" s="278" t="e">
        <f t="shared" si="130"/>
        <v>#DIV/0!</v>
      </c>
      <c r="AI110" s="372"/>
      <c r="AJ110" s="278"/>
      <c r="AK110" s="278"/>
      <c r="AL110" s="280" t="e">
        <f t="shared" si="131"/>
        <v>#DIV/0!</v>
      </c>
      <c r="AM110" s="278" t="e">
        <f t="shared" si="132"/>
        <v>#DIV/0!</v>
      </c>
      <c r="AN110" s="372"/>
      <c r="AO110" s="278"/>
      <c r="AP110" s="278"/>
      <c r="AQ110" s="280" t="e">
        <f t="shared" si="149"/>
        <v>#DIV/0!</v>
      </c>
      <c r="AR110" s="278" t="e">
        <f t="shared" si="134"/>
        <v>#DIV/0!</v>
      </c>
      <c r="AS110" s="372"/>
      <c r="AT110" s="278"/>
      <c r="AU110" s="278"/>
      <c r="AV110" s="280" t="e">
        <f t="shared" si="150"/>
        <v>#DIV/0!</v>
      </c>
      <c r="AW110" s="278" t="e">
        <f t="shared" si="136"/>
        <v>#DIV/0!</v>
      </c>
      <c r="AX110" s="372"/>
    </row>
    <row r="111" spans="1:50">
      <c r="B111" s="376"/>
      <c r="C111" s="278">
        <v>16</v>
      </c>
      <c r="D111" s="278"/>
      <c r="E111" s="279"/>
      <c r="F111" s="279"/>
      <c r="G111" s="280"/>
      <c r="H111" s="372"/>
      <c r="I111" s="279" t="e">
        <f t="shared" si="120"/>
        <v>#DIV/0!</v>
      </c>
      <c r="J111" s="279" t="e">
        <f t="shared" si="121"/>
        <v>#DIV/0!</v>
      </c>
      <c r="K111" s="280" t="e">
        <f t="shared" si="122"/>
        <v>#DIV/0!</v>
      </c>
      <c r="L111" s="372"/>
      <c r="M111" s="279" t="e">
        <f>RANK(K111, K$96:$K$113)</f>
        <v>#DIV/0!</v>
      </c>
      <c r="N111" s="364"/>
      <c r="O111" s="364"/>
      <c r="P111" s="278"/>
      <c r="Q111" s="278"/>
      <c r="R111" s="280" t="e">
        <f>Q111/P111</f>
        <v>#DIV/0!</v>
      </c>
      <c r="S111" s="278" t="e">
        <f t="shared" si="124"/>
        <v>#DIV/0!</v>
      </c>
      <c r="T111" s="372"/>
      <c r="U111" s="278"/>
      <c r="V111" s="278"/>
      <c r="W111" s="280" t="e">
        <f t="shared" si="125"/>
        <v>#DIV/0!</v>
      </c>
      <c r="X111" s="278" t="e">
        <f t="shared" si="126"/>
        <v>#DIV/0!</v>
      </c>
      <c r="Y111" s="372"/>
      <c r="Z111" s="278"/>
      <c r="AA111" s="278"/>
      <c r="AB111" s="280" t="e">
        <f t="shared" si="127"/>
        <v>#DIV/0!</v>
      </c>
      <c r="AC111" s="278" t="e">
        <f t="shared" si="128"/>
        <v>#DIV/0!</v>
      </c>
      <c r="AD111" s="372"/>
      <c r="AE111" s="278"/>
      <c r="AF111" s="278"/>
      <c r="AG111" s="280" t="e">
        <f t="shared" si="129"/>
        <v>#DIV/0!</v>
      </c>
      <c r="AH111" s="278" t="e">
        <f t="shared" si="130"/>
        <v>#DIV/0!</v>
      </c>
      <c r="AI111" s="372"/>
      <c r="AJ111" s="278"/>
      <c r="AK111" s="278"/>
      <c r="AL111" s="280" t="e">
        <f t="shared" si="131"/>
        <v>#DIV/0!</v>
      </c>
      <c r="AM111" s="278" t="e">
        <f t="shared" si="132"/>
        <v>#DIV/0!</v>
      </c>
      <c r="AN111" s="372"/>
      <c r="AO111" s="278"/>
      <c r="AP111" s="278"/>
      <c r="AQ111" s="280" t="e">
        <f t="shared" si="149"/>
        <v>#DIV/0!</v>
      </c>
      <c r="AR111" s="278" t="e">
        <f t="shared" si="134"/>
        <v>#DIV/0!</v>
      </c>
      <c r="AS111" s="372"/>
      <c r="AT111" s="278"/>
      <c r="AU111" s="278"/>
      <c r="AV111" s="280" t="e">
        <f t="shared" si="150"/>
        <v>#DIV/0!</v>
      </c>
      <c r="AW111" s="278" t="e">
        <f t="shared" si="136"/>
        <v>#DIV/0!</v>
      </c>
      <c r="AX111" s="372"/>
    </row>
    <row r="112" spans="1:50">
      <c r="B112" s="376"/>
      <c r="C112" s="278">
        <v>17</v>
      </c>
      <c r="D112" s="278"/>
      <c r="E112" s="279"/>
      <c r="F112" s="279"/>
      <c r="G112" s="280"/>
      <c r="H112" s="372"/>
      <c r="I112" s="279" t="e">
        <f t="shared" ref="I112" si="151">AVERAGE(P112,U112,Z112,AE112,AJ112,AO112,AT112)</f>
        <v>#DIV/0!</v>
      </c>
      <c r="J112" s="279" t="e">
        <f t="shared" ref="J112" si="152">AVERAGE(Q112,V112,AA112,AF112,AK112,AP112,AU112)</f>
        <v>#DIV/0!</v>
      </c>
      <c r="K112" s="280" t="e">
        <f t="shared" si="122"/>
        <v>#DIV/0!</v>
      </c>
      <c r="L112" s="372"/>
      <c r="M112" s="279" t="e">
        <f>RANK(K112, K$96:$K$113)</f>
        <v>#DIV/0!</v>
      </c>
      <c r="N112" s="364"/>
      <c r="O112" s="364"/>
      <c r="P112" s="278"/>
      <c r="Q112" s="278"/>
      <c r="R112" s="280" t="e">
        <f>Q112/P112</f>
        <v>#DIV/0!</v>
      </c>
      <c r="S112" s="278" t="e">
        <f t="shared" si="124"/>
        <v>#DIV/0!</v>
      </c>
      <c r="T112" s="372"/>
      <c r="U112" s="278"/>
      <c r="V112" s="278"/>
      <c r="W112" s="280" t="e">
        <f t="shared" si="125"/>
        <v>#DIV/0!</v>
      </c>
      <c r="X112" s="278" t="e">
        <f t="shared" si="126"/>
        <v>#DIV/0!</v>
      </c>
      <c r="Y112" s="372"/>
      <c r="Z112" s="278"/>
      <c r="AA112" s="278"/>
      <c r="AB112" s="280" t="e">
        <f t="shared" ref="AB112" si="153">AA112/Z112</f>
        <v>#DIV/0!</v>
      </c>
      <c r="AC112" s="278" t="e">
        <f t="shared" ref="AC112" si="154">RANK(AB112, $AB$96:$AB$113)</f>
        <v>#DIV/0!</v>
      </c>
      <c r="AD112" s="372"/>
      <c r="AE112" s="278"/>
      <c r="AF112" s="278"/>
      <c r="AG112" s="280" t="e">
        <f t="shared" ref="AG112" si="155">AF112/AE112</f>
        <v>#DIV/0!</v>
      </c>
      <c r="AH112" s="278" t="e">
        <f t="shared" ref="AH112" si="156">RANK(AG112,$AG$96:$AG$113)</f>
        <v>#DIV/0!</v>
      </c>
      <c r="AI112" s="372"/>
      <c r="AJ112" s="278"/>
      <c r="AK112" s="278"/>
      <c r="AL112" s="280" t="e">
        <f t="shared" ref="AL112" si="157">AK112/AJ112</f>
        <v>#DIV/0!</v>
      </c>
      <c r="AM112" s="278" t="e">
        <f t="shared" ref="AM112" si="158">RANK(AL112,$AL$96:$AL$113)</f>
        <v>#DIV/0!</v>
      </c>
      <c r="AN112" s="372"/>
      <c r="AO112" s="278"/>
      <c r="AP112" s="278"/>
      <c r="AQ112" s="280" t="e">
        <f t="shared" si="149"/>
        <v>#DIV/0!</v>
      </c>
      <c r="AR112" s="278" t="e">
        <f t="shared" si="134"/>
        <v>#DIV/0!</v>
      </c>
      <c r="AS112" s="372"/>
      <c r="AT112" s="278"/>
      <c r="AU112" s="278"/>
      <c r="AV112" s="280" t="e">
        <f t="shared" si="150"/>
        <v>#DIV/0!</v>
      </c>
      <c r="AW112" s="278" t="e">
        <f t="shared" si="136"/>
        <v>#DIV/0!</v>
      </c>
      <c r="AX112" s="372"/>
    </row>
    <row r="113" spans="2:50">
      <c r="B113" s="376"/>
      <c r="C113" s="278">
        <v>18</v>
      </c>
      <c r="D113" s="278"/>
      <c r="E113" s="278"/>
      <c r="F113" s="278"/>
      <c r="G113" s="278"/>
      <c r="H113" s="372"/>
      <c r="I113" s="278"/>
      <c r="J113" s="278"/>
      <c r="K113" s="278"/>
      <c r="L113" s="373"/>
      <c r="M113" s="279"/>
      <c r="N113" s="351"/>
      <c r="O113" s="351"/>
      <c r="P113" s="278"/>
      <c r="Q113" s="278"/>
      <c r="R113" s="278"/>
      <c r="S113" s="278"/>
      <c r="T113" s="373"/>
      <c r="U113" s="278"/>
      <c r="V113" s="278"/>
      <c r="W113" s="280"/>
      <c r="X113" s="278"/>
      <c r="Y113" s="373"/>
      <c r="Z113" s="278"/>
      <c r="AA113" s="278"/>
      <c r="AB113" s="280"/>
      <c r="AC113" s="278"/>
      <c r="AD113" s="373"/>
      <c r="AE113" s="278"/>
      <c r="AF113" s="278"/>
      <c r="AG113" s="280"/>
      <c r="AH113" s="278"/>
      <c r="AI113" s="373"/>
      <c r="AJ113" s="278"/>
      <c r="AK113" s="278"/>
      <c r="AL113" s="280"/>
      <c r="AM113" s="278"/>
      <c r="AN113" s="373"/>
      <c r="AO113" s="278"/>
      <c r="AP113" s="278"/>
      <c r="AQ113" s="280"/>
      <c r="AR113" s="278"/>
      <c r="AS113" s="373"/>
      <c r="AT113" s="278"/>
      <c r="AU113" s="278"/>
      <c r="AV113" s="280"/>
      <c r="AW113" s="278"/>
      <c r="AX113" s="373"/>
    </row>
  </sheetData>
  <mergeCells count="295"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6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D23:D24 D46:D47 D89:D90 D112:D113</xm:sqref>
        </x14:dataValidation>
        <x14:dataValidation type="list" allowBlank="1" showInputMessage="1" showErrorMessage="1">
          <x14:formula1>
            <xm:f>'10產線配置圖'!$A$2:$A$23</xm:f>
          </x14:formula1>
          <xm:sqref>D30:D44 D96:D110 D53:D67 D73:D87 D7:D21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topLeftCell="A57" zoomScaleNormal="100" workbookViewId="0">
      <selection activeCell="P67" sqref="P67:S7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8"/>
      <c r="B1" s="226" t="s">
        <v>349</v>
      </c>
      <c r="C1" s="107" t="e">
        <f>AVERAGE(L7,L27,L47,L67,L87)</f>
        <v>#DIV/0!</v>
      </c>
    </row>
    <row r="2" spans="1:50" ht="15.75">
      <c r="A2" s="83"/>
      <c r="B2" s="379" t="s">
        <v>169</v>
      </c>
      <c r="C2" s="380"/>
      <c r="D2" s="380"/>
      <c r="E2" s="380"/>
      <c r="F2" s="380"/>
      <c r="G2" s="380"/>
      <c r="H2" s="380"/>
      <c r="I2" s="183"/>
      <c r="J2" s="183"/>
      <c r="K2" s="183"/>
      <c r="L2" s="183"/>
      <c r="M2" s="179"/>
      <c r="N2" s="382" t="s">
        <v>161</v>
      </c>
      <c r="O2" s="382" t="s">
        <v>105</v>
      </c>
      <c r="P2" s="377"/>
      <c r="Q2" s="378"/>
      <c r="R2" s="378"/>
      <c r="S2" s="378"/>
      <c r="T2" s="378"/>
      <c r="U2" s="377"/>
      <c r="V2" s="378"/>
      <c r="W2" s="378"/>
      <c r="X2" s="378"/>
      <c r="Y2" s="378"/>
      <c r="Z2" s="377"/>
      <c r="AA2" s="378"/>
      <c r="AB2" s="378"/>
      <c r="AC2" s="378"/>
      <c r="AD2" s="378"/>
      <c r="AE2" s="377">
        <v>45870</v>
      </c>
      <c r="AF2" s="378"/>
      <c r="AG2" s="378"/>
      <c r="AH2" s="378"/>
      <c r="AI2" s="378"/>
      <c r="AJ2" s="377">
        <v>45871</v>
      </c>
      <c r="AK2" s="378"/>
      <c r="AL2" s="378"/>
      <c r="AM2" s="378"/>
      <c r="AN2" s="378"/>
      <c r="AO2" s="377">
        <v>45872</v>
      </c>
      <c r="AP2" s="378"/>
      <c r="AQ2" s="378"/>
      <c r="AR2" s="378"/>
      <c r="AS2" s="378"/>
      <c r="AT2" s="377">
        <v>45873</v>
      </c>
      <c r="AU2" s="378"/>
      <c r="AV2" s="378"/>
      <c r="AW2" s="378"/>
      <c r="AX2" s="378"/>
    </row>
    <row r="3" spans="1:50" ht="15.75">
      <c r="A3" s="83"/>
      <c r="B3" s="381"/>
      <c r="C3" s="381"/>
      <c r="D3" s="381"/>
      <c r="E3" s="381"/>
      <c r="F3" s="381"/>
      <c r="G3" s="381"/>
      <c r="H3" s="381"/>
      <c r="I3" s="180"/>
      <c r="J3" s="180"/>
      <c r="K3" s="180"/>
      <c r="L3" s="180"/>
      <c r="M3" s="181"/>
      <c r="N3" s="383"/>
      <c r="O3" s="383"/>
      <c r="P3" s="377" t="s">
        <v>163</v>
      </c>
      <c r="Q3" s="378"/>
      <c r="R3" s="378"/>
      <c r="S3" s="378"/>
      <c r="T3" s="378"/>
      <c r="U3" s="377" t="s">
        <v>164</v>
      </c>
      <c r="V3" s="378"/>
      <c r="W3" s="378"/>
      <c r="X3" s="378"/>
      <c r="Y3" s="378"/>
      <c r="Z3" s="377" t="s">
        <v>165</v>
      </c>
      <c r="AA3" s="378"/>
      <c r="AB3" s="378"/>
      <c r="AC3" s="378"/>
      <c r="AD3" s="378"/>
      <c r="AE3" s="377" t="s">
        <v>162</v>
      </c>
      <c r="AF3" s="378"/>
      <c r="AG3" s="378"/>
      <c r="AH3" s="378"/>
      <c r="AI3" s="378"/>
      <c r="AJ3" s="377" t="s">
        <v>166</v>
      </c>
      <c r="AK3" s="378"/>
      <c r="AL3" s="378"/>
      <c r="AM3" s="378"/>
      <c r="AN3" s="378"/>
      <c r="AO3" s="377" t="s">
        <v>167</v>
      </c>
      <c r="AP3" s="378"/>
      <c r="AQ3" s="378"/>
      <c r="AR3" s="378"/>
      <c r="AS3" s="378"/>
      <c r="AT3" s="377" t="s">
        <v>168</v>
      </c>
      <c r="AU3" s="378"/>
      <c r="AV3" s="378"/>
      <c r="AW3" s="378"/>
      <c r="AX3" s="378"/>
    </row>
    <row r="4" spans="1:50">
      <c r="A4" s="83"/>
      <c r="B4" s="387" t="s">
        <v>158</v>
      </c>
      <c r="C4" s="387" t="s">
        <v>150</v>
      </c>
      <c r="D4" s="387"/>
      <c r="E4" s="387" t="s">
        <v>152</v>
      </c>
      <c r="F4" s="387"/>
      <c r="G4" s="387"/>
      <c r="H4" s="393" t="s">
        <v>159</v>
      </c>
      <c r="I4" s="387" t="s">
        <v>224</v>
      </c>
      <c r="J4" s="387"/>
      <c r="K4" s="387"/>
      <c r="L4" s="393" t="s">
        <v>159</v>
      </c>
      <c r="M4" s="382" t="s">
        <v>170</v>
      </c>
      <c r="N4" s="387"/>
      <c r="O4" s="387" t="s">
        <v>160</v>
      </c>
      <c r="P4" s="384" t="s">
        <v>155</v>
      </c>
      <c r="Q4" s="385"/>
      <c r="R4" s="385"/>
      <c r="S4" s="386"/>
      <c r="T4" s="387" t="s">
        <v>159</v>
      </c>
      <c r="U4" s="384" t="s">
        <v>155</v>
      </c>
      <c r="V4" s="385"/>
      <c r="W4" s="385"/>
      <c r="X4" s="386"/>
      <c r="Y4" s="387" t="s">
        <v>159</v>
      </c>
      <c r="Z4" s="384" t="s">
        <v>155</v>
      </c>
      <c r="AA4" s="385"/>
      <c r="AB4" s="385"/>
      <c r="AC4" s="386"/>
      <c r="AD4" s="387" t="s">
        <v>159</v>
      </c>
      <c r="AE4" s="384" t="s">
        <v>155</v>
      </c>
      <c r="AF4" s="385"/>
      <c r="AG4" s="385"/>
      <c r="AH4" s="386"/>
      <c r="AI4" s="387" t="s">
        <v>159</v>
      </c>
      <c r="AJ4" s="384" t="s">
        <v>155</v>
      </c>
      <c r="AK4" s="385"/>
      <c r="AL4" s="385"/>
      <c r="AM4" s="386"/>
      <c r="AN4" s="387" t="s">
        <v>159</v>
      </c>
      <c r="AO4" s="384" t="s">
        <v>155</v>
      </c>
      <c r="AP4" s="385"/>
      <c r="AQ4" s="385"/>
      <c r="AR4" s="386"/>
      <c r="AS4" s="387" t="s">
        <v>159</v>
      </c>
      <c r="AT4" s="384" t="s">
        <v>155</v>
      </c>
      <c r="AU4" s="385"/>
      <c r="AV4" s="385"/>
      <c r="AW4" s="386"/>
      <c r="AX4" s="387" t="s">
        <v>159</v>
      </c>
    </row>
    <row r="5" spans="1:50">
      <c r="A5" s="83"/>
      <c r="B5" s="387"/>
      <c r="C5" s="387"/>
      <c r="D5" s="387"/>
      <c r="E5" s="387" t="s">
        <v>151</v>
      </c>
      <c r="F5" s="387"/>
      <c r="G5" s="387"/>
      <c r="H5" s="394"/>
      <c r="I5" s="387" t="s">
        <v>151</v>
      </c>
      <c r="J5" s="387"/>
      <c r="K5" s="387"/>
      <c r="L5" s="394"/>
      <c r="M5" s="396"/>
      <c r="N5" s="387"/>
      <c r="O5" s="387"/>
      <c r="P5" s="384" t="s">
        <v>156</v>
      </c>
      <c r="Q5" s="385"/>
      <c r="R5" s="385"/>
      <c r="S5" s="386"/>
      <c r="T5" s="387"/>
      <c r="U5" s="384" t="s">
        <v>156</v>
      </c>
      <c r="V5" s="385"/>
      <c r="W5" s="385"/>
      <c r="X5" s="386"/>
      <c r="Y5" s="387"/>
      <c r="Z5" s="384" t="s">
        <v>156</v>
      </c>
      <c r="AA5" s="385"/>
      <c r="AB5" s="385"/>
      <c r="AC5" s="386"/>
      <c r="AD5" s="387"/>
      <c r="AE5" s="384" t="s">
        <v>156</v>
      </c>
      <c r="AF5" s="385"/>
      <c r="AG5" s="385"/>
      <c r="AH5" s="386"/>
      <c r="AI5" s="387"/>
      <c r="AJ5" s="384" t="s">
        <v>156</v>
      </c>
      <c r="AK5" s="385"/>
      <c r="AL5" s="385"/>
      <c r="AM5" s="386"/>
      <c r="AN5" s="387"/>
      <c r="AO5" s="384" t="s">
        <v>156</v>
      </c>
      <c r="AP5" s="385"/>
      <c r="AQ5" s="385"/>
      <c r="AR5" s="386"/>
      <c r="AS5" s="387"/>
      <c r="AT5" s="384" t="s">
        <v>156</v>
      </c>
      <c r="AU5" s="385"/>
      <c r="AV5" s="385"/>
      <c r="AW5" s="386"/>
      <c r="AX5" s="387"/>
    </row>
    <row r="6" spans="1:50">
      <c r="A6" s="81"/>
      <c r="B6" s="387"/>
      <c r="C6" s="387"/>
      <c r="D6" s="387"/>
      <c r="E6" s="109" t="s">
        <v>153</v>
      </c>
      <c r="F6" s="109" t="s">
        <v>154</v>
      </c>
      <c r="G6" s="109" t="s">
        <v>157</v>
      </c>
      <c r="H6" s="395"/>
      <c r="I6" s="109" t="s">
        <v>153</v>
      </c>
      <c r="J6" s="109" t="s">
        <v>154</v>
      </c>
      <c r="K6" s="109" t="s">
        <v>157</v>
      </c>
      <c r="L6" s="395"/>
      <c r="M6" s="383"/>
      <c r="N6" s="387"/>
      <c r="O6" s="387"/>
      <c r="P6" s="109" t="s">
        <v>153</v>
      </c>
      <c r="Q6" s="109" t="s">
        <v>154</v>
      </c>
      <c r="R6" s="109" t="s">
        <v>157</v>
      </c>
      <c r="S6" s="109" t="s">
        <v>170</v>
      </c>
      <c r="T6" s="387"/>
      <c r="U6" s="109" t="s">
        <v>153</v>
      </c>
      <c r="V6" s="109" t="s">
        <v>154</v>
      </c>
      <c r="W6" s="109" t="s">
        <v>157</v>
      </c>
      <c r="X6" s="109" t="s">
        <v>170</v>
      </c>
      <c r="Y6" s="387"/>
      <c r="Z6" s="109" t="s">
        <v>153</v>
      </c>
      <c r="AA6" s="109" t="s">
        <v>154</v>
      </c>
      <c r="AB6" s="109" t="s">
        <v>157</v>
      </c>
      <c r="AC6" s="109" t="s">
        <v>170</v>
      </c>
      <c r="AD6" s="387"/>
      <c r="AE6" s="109" t="s">
        <v>153</v>
      </c>
      <c r="AF6" s="109" t="s">
        <v>154</v>
      </c>
      <c r="AG6" s="109" t="s">
        <v>157</v>
      </c>
      <c r="AH6" s="109" t="s">
        <v>170</v>
      </c>
      <c r="AI6" s="387"/>
      <c r="AJ6" s="109" t="s">
        <v>153</v>
      </c>
      <c r="AK6" s="109" t="s">
        <v>154</v>
      </c>
      <c r="AL6" s="109" t="s">
        <v>157</v>
      </c>
      <c r="AM6" s="109" t="s">
        <v>170</v>
      </c>
      <c r="AN6" s="387"/>
      <c r="AO6" s="109" t="s">
        <v>153</v>
      </c>
      <c r="AP6" s="109" t="s">
        <v>154</v>
      </c>
      <c r="AQ6" s="109" t="s">
        <v>157</v>
      </c>
      <c r="AR6" s="109" t="s">
        <v>170</v>
      </c>
      <c r="AS6" s="387"/>
      <c r="AT6" s="109" t="s">
        <v>153</v>
      </c>
      <c r="AU6" s="109" t="s">
        <v>154</v>
      </c>
      <c r="AV6" s="109" t="s">
        <v>157</v>
      </c>
      <c r="AW6" s="109" t="s">
        <v>170</v>
      </c>
      <c r="AX6" s="387"/>
    </row>
    <row r="7" spans="1:50">
      <c r="A7" s="83"/>
      <c r="B7" s="388" t="s">
        <v>381</v>
      </c>
      <c r="C7" s="110">
        <v>1</v>
      </c>
      <c r="D7" s="110"/>
      <c r="E7" s="184"/>
      <c r="F7" s="110"/>
      <c r="G7" s="182"/>
      <c r="H7" s="389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389" t="e">
        <f>AVERAGE(K7:K21)</f>
        <v>#DIV/0!</v>
      </c>
      <c r="M7" s="212" t="e">
        <f>RANK(K7, K$7:$K$21)</f>
        <v>#DIV/0!</v>
      </c>
      <c r="N7" s="387"/>
      <c r="O7" s="387"/>
      <c r="P7" s="184"/>
      <c r="Q7" s="184"/>
      <c r="R7" s="182"/>
      <c r="S7" s="110" t="e">
        <f>RANK(R7, R$7:R$21)</f>
        <v>#N/A</v>
      </c>
      <c r="T7" s="392" t="e">
        <f>AVERAGE(R7:R21)</f>
        <v>#DIV/0!</v>
      </c>
      <c r="U7" s="184"/>
      <c r="V7" s="184"/>
      <c r="W7" s="182"/>
      <c r="X7" s="110" t="e">
        <f>RANK(W7, W$7:W$21)</f>
        <v>#N/A</v>
      </c>
      <c r="Y7" s="392" t="e">
        <f>AVERAGE(W7:W21)</f>
        <v>#DIV/0!</v>
      </c>
      <c r="Z7" s="110"/>
      <c r="AA7" s="184"/>
      <c r="AB7" s="182"/>
      <c r="AC7" s="110" t="e">
        <f>RANK(AB7, AB$7:AB$21)</f>
        <v>#N/A</v>
      </c>
      <c r="AD7" s="392" t="e">
        <f>AVERAGE(AB7:AB21)</f>
        <v>#DIV/0!</v>
      </c>
      <c r="AE7" s="184"/>
      <c r="AF7" s="184"/>
      <c r="AG7" s="182"/>
      <c r="AH7" s="110" t="e">
        <f>RANK(AG7, AG$7:AG$21)</f>
        <v>#N/A</v>
      </c>
      <c r="AI7" s="392" t="e">
        <f>AVERAGE(AG7:AG21)</f>
        <v>#DIV/0!</v>
      </c>
      <c r="AJ7" s="110"/>
      <c r="AK7" s="184"/>
      <c r="AL7" s="182"/>
      <c r="AM7" s="110" t="e">
        <f>RANK(AL7, AL$7:AL$21)</f>
        <v>#N/A</v>
      </c>
      <c r="AN7" s="392" t="e">
        <f>AVERAGE(AL7:AL21)</f>
        <v>#DIV/0!</v>
      </c>
      <c r="AO7" s="110"/>
      <c r="AP7" s="184"/>
      <c r="AQ7" s="182"/>
      <c r="AR7" s="110" t="e">
        <f>RANK(AQ7, AQ$7:AQ$21)</f>
        <v>#N/A</v>
      </c>
      <c r="AS7" s="392" t="e">
        <f>AVERAGE(AQ7:AQ21)</f>
        <v>#DIV/0!</v>
      </c>
      <c r="AT7" s="110"/>
      <c r="AU7" s="184"/>
      <c r="AV7" s="182"/>
      <c r="AW7" s="110" t="e">
        <f>RANK(AV7, AV$7:AV$21)</f>
        <v>#N/A</v>
      </c>
      <c r="AX7" s="392" t="e">
        <f>AVERAGE(AV7:AV21)</f>
        <v>#DIV/0!</v>
      </c>
    </row>
    <row r="8" spans="1:50" ht="15" customHeight="1">
      <c r="A8" s="83"/>
      <c r="B8" s="378"/>
      <c r="C8" s="110">
        <v>2</v>
      </c>
      <c r="D8" s="110"/>
      <c r="E8" s="184"/>
      <c r="F8" s="110"/>
      <c r="G8" s="182"/>
      <c r="H8" s="390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390"/>
      <c r="M8" s="212" t="e">
        <f>RANK(K8, K$7:$K$21)</f>
        <v>#DIV/0!</v>
      </c>
      <c r="N8" s="387"/>
      <c r="O8" s="387"/>
      <c r="P8" s="184"/>
      <c r="Q8" s="184"/>
      <c r="R8" s="182"/>
      <c r="S8" s="110" t="e">
        <f t="shared" ref="S8:S21" si="1">RANK(R8, R$7:R$21)</f>
        <v>#N/A</v>
      </c>
      <c r="T8" s="392"/>
      <c r="U8" s="184"/>
      <c r="V8" s="184"/>
      <c r="W8" s="182"/>
      <c r="X8" s="110" t="e">
        <f t="shared" ref="X8:X21" si="2">RANK(W8, W$7:W$21)</f>
        <v>#N/A</v>
      </c>
      <c r="Y8" s="392"/>
      <c r="Z8" s="110"/>
      <c r="AA8" s="184"/>
      <c r="AB8" s="182"/>
      <c r="AC8" s="110" t="e">
        <f t="shared" ref="AC8:AC21" si="3">RANK(AB8, AB$7:AB$21)</f>
        <v>#N/A</v>
      </c>
      <c r="AD8" s="392"/>
      <c r="AE8" s="184"/>
      <c r="AF8" s="184"/>
      <c r="AG8" s="182"/>
      <c r="AH8" s="110" t="e">
        <f t="shared" ref="AH8:AH21" si="4">RANK(AG8, AG$7:AG$21)</f>
        <v>#N/A</v>
      </c>
      <c r="AI8" s="392"/>
      <c r="AJ8" s="110"/>
      <c r="AK8" s="184"/>
      <c r="AL8" s="182"/>
      <c r="AM8" s="110" t="e">
        <f t="shared" ref="AM8:AM21" si="5">RANK(AL8, AL$7:AL$21)</f>
        <v>#N/A</v>
      </c>
      <c r="AN8" s="392"/>
      <c r="AO8" s="110"/>
      <c r="AP8" s="184"/>
      <c r="AQ8" s="182"/>
      <c r="AR8" s="110" t="e">
        <f t="shared" ref="AR8:AR21" si="6">RANK(AQ8, AQ$7:AQ$21)</f>
        <v>#N/A</v>
      </c>
      <c r="AS8" s="392"/>
      <c r="AT8" s="110"/>
      <c r="AU8" s="184"/>
      <c r="AV8" s="182"/>
      <c r="AW8" s="110" t="e">
        <f t="shared" ref="AW8:AW21" si="7">RANK(AV8, AV$7:AV$21)</f>
        <v>#N/A</v>
      </c>
      <c r="AX8" s="392"/>
    </row>
    <row r="9" spans="1:50">
      <c r="A9" s="83"/>
      <c r="B9" s="378"/>
      <c r="C9" s="110">
        <v>3</v>
      </c>
      <c r="D9" s="110"/>
      <c r="E9" s="184"/>
      <c r="F9" s="110"/>
      <c r="G9" s="182"/>
      <c r="H9" s="390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390"/>
      <c r="M9" s="212" t="e">
        <f>RANK(K9, K$7:$K$21)</f>
        <v>#DIV/0!</v>
      </c>
      <c r="N9" s="387"/>
      <c r="O9" s="387"/>
      <c r="P9" s="184"/>
      <c r="Q9" s="184"/>
      <c r="R9" s="182"/>
      <c r="S9" s="110" t="e">
        <f t="shared" si="1"/>
        <v>#N/A</v>
      </c>
      <c r="T9" s="392"/>
      <c r="U9" s="184"/>
      <c r="V9" s="184"/>
      <c r="W9" s="182"/>
      <c r="X9" s="110" t="e">
        <f t="shared" si="2"/>
        <v>#N/A</v>
      </c>
      <c r="Y9" s="392"/>
      <c r="Z9" s="110"/>
      <c r="AA9" s="184"/>
      <c r="AB9" s="182"/>
      <c r="AC9" s="110" t="e">
        <f t="shared" si="3"/>
        <v>#N/A</v>
      </c>
      <c r="AD9" s="392"/>
      <c r="AE9" s="184"/>
      <c r="AF9" s="184"/>
      <c r="AG9" s="182"/>
      <c r="AH9" s="110" t="e">
        <f t="shared" si="4"/>
        <v>#N/A</v>
      </c>
      <c r="AI9" s="392"/>
      <c r="AJ9" s="110"/>
      <c r="AK9" s="184"/>
      <c r="AL9" s="182"/>
      <c r="AM9" s="110" t="e">
        <f t="shared" si="5"/>
        <v>#N/A</v>
      </c>
      <c r="AN9" s="392"/>
      <c r="AO9" s="110"/>
      <c r="AP9" s="184"/>
      <c r="AQ9" s="182"/>
      <c r="AR9" s="110" t="e">
        <f t="shared" si="6"/>
        <v>#N/A</v>
      </c>
      <c r="AS9" s="392"/>
      <c r="AT9" s="110"/>
      <c r="AU9" s="184"/>
      <c r="AV9" s="182"/>
      <c r="AW9" s="110" t="e">
        <f t="shared" si="7"/>
        <v>#N/A</v>
      </c>
      <c r="AX9" s="392"/>
    </row>
    <row r="10" spans="1:50">
      <c r="A10" s="83"/>
      <c r="B10" s="378"/>
      <c r="C10" s="110">
        <v>4</v>
      </c>
      <c r="D10" s="110"/>
      <c r="E10" s="184"/>
      <c r="F10" s="110"/>
      <c r="G10" s="182"/>
      <c r="H10" s="390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390"/>
      <c r="M10" s="212" t="e">
        <f>RANK(K10, K$7:$K$21)</f>
        <v>#DIV/0!</v>
      </c>
      <c r="N10" s="387"/>
      <c r="O10" s="387"/>
      <c r="P10" s="184"/>
      <c r="Q10" s="184"/>
      <c r="R10" s="182"/>
      <c r="S10" s="110" t="e">
        <f t="shared" si="1"/>
        <v>#N/A</v>
      </c>
      <c r="T10" s="392"/>
      <c r="U10" s="184"/>
      <c r="V10" s="184"/>
      <c r="W10" s="182"/>
      <c r="X10" s="110" t="e">
        <f t="shared" si="2"/>
        <v>#N/A</v>
      </c>
      <c r="Y10" s="392"/>
      <c r="Z10" s="110"/>
      <c r="AA10" s="184"/>
      <c r="AB10" s="182"/>
      <c r="AC10" s="110" t="e">
        <f t="shared" si="3"/>
        <v>#N/A</v>
      </c>
      <c r="AD10" s="392"/>
      <c r="AE10" s="184"/>
      <c r="AF10" s="184"/>
      <c r="AG10" s="182"/>
      <c r="AH10" s="110" t="e">
        <f t="shared" si="4"/>
        <v>#N/A</v>
      </c>
      <c r="AI10" s="392"/>
      <c r="AJ10" s="110"/>
      <c r="AK10" s="184"/>
      <c r="AL10" s="182"/>
      <c r="AM10" s="110" t="e">
        <f t="shared" si="5"/>
        <v>#N/A</v>
      </c>
      <c r="AN10" s="392"/>
      <c r="AO10" s="110"/>
      <c r="AP10" s="184"/>
      <c r="AQ10" s="182"/>
      <c r="AR10" s="110" t="e">
        <f t="shared" si="6"/>
        <v>#N/A</v>
      </c>
      <c r="AS10" s="392"/>
      <c r="AT10" s="110"/>
      <c r="AU10" s="184"/>
      <c r="AV10" s="182"/>
      <c r="AW10" s="110" t="e">
        <f t="shared" si="7"/>
        <v>#N/A</v>
      </c>
      <c r="AX10" s="392"/>
    </row>
    <row r="11" spans="1:50">
      <c r="A11" s="83"/>
      <c r="B11" s="378"/>
      <c r="C11" s="110">
        <v>5</v>
      </c>
      <c r="D11" s="110"/>
      <c r="E11" s="184"/>
      <c r="F11" s="110"/>
      <c r="G11" s="182"/>
      <c r="H11" s="390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390"/>
      <c r="M11" s="212" t="e">
        <f>RANK(K11, K$7:$K$21)</f>
        <v>#DIV/0!</v>
      </c>
      <c r="N11" s="387"/>
      <c r="O11" s="387"/>
      <c r="P11" s="184"/>
      <c r="Q11" s="184"/>
      <c r="R11" s="182"/>
      <c r="S11" s="110" t="e">
        <f t="shared" si="1"/>
        <v>#N/A</v>
      </c>
      <c r="T11" s="392"/>
      <c r="U11" s="184"/>
      <c r="V11" s="184"/>
      <c r="W11" s="182"/>
      <c r="X11" s="110" t="e">
        <f t="shared" si="2"/>
        <v>#N/A</v>
      </c>
      <c r="Y11" s="392"/>
      <c r="Z11" s="110"/>
      <c r="AA11" s="184"/>
      <c r="AB11" s="182"/>
      <c r="AC11" s="110" t="e">
        <f t="shared" si="3"/>
        <v>#N/A</v>
      </c>
      <c r="AD11" s="392"/>
      <c r="AE11" s="184"/>
      <c r="AF11" s="184"/>
      <c r="AG11" s="182"/>
      <c r="AH11" s="110" t="e">
        <f t="shared" si="4"/>
        <v>#N/A</v>
      </c>
      <c r="AI11" s="392"/>
      <c r="AJ11" s="110"/>
      <c r="AK11" s="184"/>
      <c r="AL11" s="182"/>
      <c r="AM11" s="110" t="e">
        <f t="shared" si="5"/>
        <v>#N/A</v>
      </c>
      <c r="AN11" s="392"/>
      <c r="AO11" s="110"/>
      <c r="AP11" s="184"/>
      <c r="AQ11" s="182"/>
      <c r="AR11" s="110" t="e">
        <f t="shared" si="6"/>
        <v>#N/A</v>
      </c>
      <c r="AS11" s="392"/>
      <c r="AT11" s="110"/>
      <c r="AU11" s="184"/>
      <c r="AV11" s="182"/>
      <c r="AW11" s="110" t="e">
        <f t="shared" si="7"/>
        <v>#N/A</v>
      </c>
      <c r="AX11" s="392"/>
    </row>
    <row r="12" spans="1:50">
      <c r="A12" s="83"/>
      <c r="B12" s="378"/>
      <c r="C12" s="110">
        <v>6</v>
      </c>
      <c r="D12" s="110"/>
      <c r="E12" s="184"/>
      <c r="F12" s="110"/>
      <c r="G12" s="182"/>
      <c r="H12" s="390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390"/>
      <c r="M12" s="212" t="e">
        <f>RANK(K12, K$7:$K$21)</f>
        <v>#DIV/0!</v>
      </c>
      <c r="N12" s="387"/>
      <c r="O12" s="387"/>
      <c r="P12" s="184"/>
      <c r="Q12" s="184"/>
      <c r="R12" s="182"/>
      <c r="S12" s="110" t="e">
        <f t="shared" si="1"/>
        <v>#N/A</v>
      </c>
      <c r="T12" s="392"/>
      <c r="U12" s="184"/>
      <c r="V12" s="184"/>
      <c r="W12" s="182"/>
      <c r="X12" s="110" t="e">
        <f t="shared" si="2"/>
        <v>#N/A</v>
      </c>
      <c r="Y12" s="392"/>
      <c r="Z12" s="110"/>
      <c r="AA12" s="184"/>
      <c r="AB12" s="182"/>
      <c r="AC12" s="110" t="e">
        <f t="shared" si="3"/>
        <v>#N/A</v>
      </c>
      <c r="AD12" s="392"/>
      <c r="AE12" s="184"/>
      <c r="AF12" s="184"/>
      <c r="AG12" s="182"/>
      <c r="AH12" s="110" t="e">
        <f t="shared" si="4"/>
        <v>#N/A</v>
      </c>
      <c r="AI12" s="392"/>
      <c r="AJ12" s="110"/>
      <c r="AK12" s="184"/>
      <c r="AL12" s="182"/>
      <c r="AM12" s="110" t="e">
        <f t="shared" si="5"/>
        <v>#N/A</v>
      </c>
      <c r="AN12" s="392"/>
      <c r="AO12" s="110"/>
      <c r="AP12" s="184"/>
      <c r="AQ12" s="182"/>
      <c r="AR12" s="110" t="e">
        <f t="shared" si="6"/>
        <v>#N/A</v>
      </c>
      <c r="AS12" s="392"/>
      <c r="AT12" s="110"/>
      <c r="AU12" s="184"/>
      <c r="AV12" s="182"/>
      <c r="AW12" s="110" t="e">
        <f t="shared" si="7"/>
        <v>#N/A</v>
      </c>
      <c r="AX12" s="392"/>
    </row>
    <row r="13" spans="1:50">
      <c r="A13" s="83"/>
      <c r="B13" s="378"/>
      <c r="C13" s="110">
        <v>7</v>
      </c>
      <c r="D13" s="110"/>
      <c r="E13" s="184"/>
      <c r="F13" s="110"/>
      <c r="G13" s="182"/>
      <c r="H13" s="390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390"/>
      <c r="M13" s="212" t="e">
        <f>RANK(K13, K$7:$K$21)</f>
        <v>#DIV/0!</v>
      </c>
      <c r="N13" s="387"/>
      <c r="O13" s="387"/>
      <c r="P13" s="184"/>
      <c r="Q13" s="184"/>
      <c r="R13" s="182"/>
      <c r="S13" s="110" t="e">
        <f t="shared" si="1"/>
        <v>#N/A</v>
      </c>
      <c r="T13" s="392"/>
      <c r="U13" s="184"/>
      <c r="V13" s="184"/>
      <c r="W13" s="182"/>
      <c r="X13" s="110" t="e">
        <f t="shared" si="2"/>
        <v>#N/A</v>
      </c>
      <c r="Y13" s="392"/>
      <c r="Z13" s="110"/>
      <c r="AA13" s="184"/>
      <c r="AB13" s="182"/>
      <c r="AC13" s="110" t="e">
        <f t="shared" si="3"/>
        <v>#N/A</v>
      </c>
      <c r="AD13" s="392"/>
      <c r="AE13" s="184"/>
      <c r="AF13" s="184"/>
      <c r="AG13" s="182"/>
      <c r="AH13" s="110" t="e">
        <f t="shared" si="4"/>
        <v>#N/A</v>
      </c>
      <c r="AI13" s="392"/>
      <c r="AJ13" s="110"/>
      <c r="AK13" s="184"/>
      <c r="AL13" s="182"/>
      <c r="AM13" s="110" t="e">
        <f t="shared" si="5"/>
        <v>#N/A</v>
      </c>
      <c r="AN13" s="392"/>
      <c r="AO13" s="110"/>
      <c r="AP13" s="184"/>
      <c r="AQ13" s="182"/>
      <c r="AR13" s="110" t="e">
        <f t="shared" si="6"/>
        <v>#N/A</v>
      </c>
      <c r="AS13" s="392"/>
      <c r="AT13" s="110"/>
      <c r="AU13" s="184"/>
      <c r="AV13" s="182"/>
      <c r="AW13" s="110" t="e">
        <f t="shared" si="7"/>
        <v>#N/A</v>
      </c>
      <c r="AX13" s="392"/>
    </row>
    <row r="14" spans="1:50">
      <c r="A14" s="83"/>
      <c r="B14" s="378"/>
      <c r="C14" s="110">
        <v>8</v>
      </c>
      <c r="D14" s="110"/>
      <c r="E14" s="184"/>
      <c r="F14" s="110"/>
      <c r="G14" s="182"/>
      <c r="H14" s="390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390"/>
      <c r="M14" s="212" t="e">
        <f>RANK(K14, K$7:$K$21)</f>
        <v>#DIV/0!</v>
      </c>
      <c r="N14" s="387"/>
      <c r="O14" s="387"/>
      <c r="P14" s="184"/>
      <c r="Q14" s="184"/>
      <c r="R14" s="182"/>
      <c r="S14" s="110" t="e">
        <f t="shared" si="1"/>
        <v>#N/A</v>
      </c>
      <c r="T14" s="392"/>
      <c r="U14" s="184"/>
      <c r="V14" s="184"/>
      <c r="W14" s="182"/>
      <c r="X14" s="110" t="e">
        <f t="shared" si="2"/>
        <v>#N/A</v>
      </c>
      <c r="Y14" s="392"/>
      <c r="Z14" s="110"/>
      <c r="AA14" s="184"/>
      <c r="AB14" s="182"/>
      <c r="AC14" s="110" t="e">
        <f t="shared" si="3"/>
        <v>#N/A</v>
      </c>
      <c r="AD14" s="392"/>
      <c r="AE14" s="184"/>
      <c r="AF14" s="184"/>
      <c r="AG14" s="182"/>
      <c r="AH14" s="110" t="e">
        <f t="shared" si="4"/>
        <v>#N/A</v>
      </c>
      <c r="AI14" s="392"/>
      <c r="AJ14" s="110"/>
      <c r="AK14" s="184"/>
      <c r="AL14" s="182"/>
      <c r="AM14" s="110" t="e">
        <f t="shared" si="5"/>
        <v>#N/A</v>
      </c>
      <c r="AN14" s="392"/>
      <c r="AO14" s="110"/>
      <c r="AP14" s="184"/>
      <c r="AQ14" s="182"/>
      <c r="AR14" s="110" t="e">
        <f t="shared" si="6"/>
        <v>#N/A</v>
      </c>
      <c r="AS14" s="392"/>
      <c r="AT14" s="110"/>
      <c r="AU14" s="184"/>
      <c r="AV14" s="182"/>
      <c r="AW14" s="110" t="e">
        <f t="shared" si="7"/>
        <v>#N/A</v>
      </c>
      <c r="AX14" s="392"/>
    </row>
    <row r="15" spans="1:50">
      <c r="A15" s="83"/>
      <c r="B15" s="378"/>
      <c r="C15" s="110">
        <v>9</v>
      </c>
      <c r="D15" s="110"/>
      <c r="E15" s="184"/>
      <c r="F15" s="110"/>
      <c r="G15" s="182"/>
      <c r="H15" s="390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390"/>
      <c r="M15" s="212" t="e">
        <f>RANK(K15, K$7:$K$21)</f>
        <v>#DIV/0!</v>
      </c>
      <c r="N15" s="387"/>
      <c r="O15" s="387"/>
      <c r="P15" s="184"/>
      <c r="Q15" s="184"/>
      <c r="R15" s="182"/>
      <c r="S15" s="110" t="e">
        <f t="shared" si="1"/>
        <v>#N/A</v>
      </c>
      <c r="T15" s="392"/>
      <c r="U15" s="184"/>
      <c r="V15" s="184"/>
      <c r="W15" s="182"/>
      <c r="X15" s="110" t="e">
        <f t="shared" si="2"/>
        <v>#N/A</v>
      </c>
      <c r="Y15" s="392"/>
      <c r="Z15" s="110"/>
      <c r="AA15" s="184"/>
      <c r="AB15" s="182"/>
      <c r="AC15" s="110" t="e">
        <f t="shared" si="3"/>
        <v>#N/A</v>
      </c>
      <c r="AD15" s="392"/>
      <c r="AE15" s="184"/>
      <c r="AF15" s="184"/>
      <c r="AG15" s="182"/>
      <c r="AH15" s="110" t="e">
        <f t="shared" si="4"/>
        <v>#N/A</v>
      </c>
      <c r="AI15" s="392"/>
      <c r="AJ15" s="110"/>
      <c r="AK15" s="184"/>
      <c r="AL15" s="182"/>
      <c r="AM15" s="110" t="e">
        <f t="shared" si="5"/>
        <v>#N/A</v>
      </c>
      <c r="AN15" s="392"/>
      <c r="AO15" s="110"/>
      <c r="AP15" s="184"/>
      <c r="AQ15" s="182"/>
      <c r="AR15" s="110" t="e">
        <f t="shared" si="6"/>
        <v>#N/A</v>
      </c>
      <c r="AS15" s="392"/>
      <c r="AT15" s="110"/>
      <c r="AU15" s="184"/>
      <c r="AV15" s="182"/>
      <c r="AW15" s="110" t="e">
        <f t="shared" si="7"/>
        <v>#N/A</v>
      </c>
      <c r="AX15" s="392"/>
    </row>
    <row r="16" spans="1:50">
      <c r="A16" s="83"/>
      <c r="B16" s="378"/>
      <c r="C16" s="110">
        <v>10</v>
      </c>
      <c r="D16" s="110"/>
      <c r="E16" s="184"/>
      <c r="F16" s="110"/>
      <c r="G16" s="182"/>
      <c r="H16" s="390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390"/>
      <c r="M16" s="212" t="e">
        <f>RANK(K16, K$7:$K$21)</f>
        <v>#DIV/0!</v>
      </c>
      <c r="N16" s="387"/>
      <c r="O16" s="387"/>
      <c r="P16" s="184"/>
      <c r="Q16" s="184"/>
      <c r="R16" s="182"/>
      <c r="S16" s="110" t="e">
        <f t="shared" si="1"/>
        <v>#N/A</v>
      </c>
      <c r="T16" s="392"/>
      <c r="U16" s="184"/>
      <c r="V16" s="184"/>
      <c r="W16" s="182"/>
      <c r="X16" s="110" t="e">
        <f t="shared" si="2"/>
        <v>#N/A</v>
      </c>
      <c r="Y16" s="392"/>
      <c r="Z16" s="110"/>
      <c r="AA16" s="184"/>
      <c r="AB16" s="182"/>
      <c r="AC16" s="110" t="e">
        <f t="shared" si="3"/>
        <v>#N/A</v>
      </c>
      <c r="AD16" s="392"/>
      <c r="AE16" s="184"/>
      <c r="AF16" s="184"/>
      <c r="AG16" s="182"/>
      <c r="AH16" s="110" t="e">
        <f t="shared" si="4"/>
        <v>#N/A</v>
      </c>
      <c r="AI16" s="392"/>
      <c r="AJ16" s="110"/>
      <c r="AK16" s="184"/>
      <c r="AL16" s="182"/>
      <c r="AM16" s="110" t="e">
        <f t="shared" si="5"/>
        <v>#N/A</v>
      </c>
      <c r="AN16" s="392"/>
      <c r="AO16" s="110"/>
      <c r="AP16" s="184"/>
      <c r="AQ16" s="182"/>
      <c r="AR16" s="110" t="e">
        <f t="shared" si="6"/>
        <v>#N/A</v>
      </c>
      <c r="AS16" s="392"/>
      <c r="AT16" s="110"/>
      <c r="AU16" s="184"/>
      <c r="AV16" s="182"/>
      <c r="AW16" s="110" t="e">
        <f t="shared" si="7"/>
        <v>#N/A</v>
      </c>
      <c r="AX16" s="392"/>
    </row>
    <row r="17" spans="2:50">
      <c r="B17" s="378"/>
      <c r="C17" s="110">
        <v>11</v>
      </c>
      <c r="D17" s="110"/>
      <c r="E17" s="110"/>
      <c r="F17" s="110"/>
      <c r="G17" s="110"/>
      <c r="H17" s="390"/>
      <c r="I17" s="110"/>
      <c r="J17" s="110"/>
      <c r="K17" s="110"/>
      <c r="L17" s="390"/>
      <c r="M17" s="212" t="e">
        <f>RANK(K17, K$7:$K$21)</f>
        <v>#DIV/0!</v>
      </c>
      <c r="N17" s="387"/>
      <c r="O17" s="387"/>
      <c r="P17" s="110"/>
      <c r="Q17" s="110"/>
      <c r="R17" s="110"/>
      <c r="S17" s="110" t="e">
        <f t="shared" si="1"/>
        <v>#N/A</v>
      </c>
      <c r="T17" s="392"/>
      <c r="U17" s="110"/>
      <c r="V17" s="110"/>
      <c r="W17" s="110"/>
      <c r="X17" s="110" t="e">
        <f t="shared" si="2"/>
        <v>#N/A</v>
      </c>
      <c r="Y17" s="392"/>
      <c r="Z17" s="110"/>
      <c r="AA17" s="110"/>
      <c r="AB17" s="110"/>
      <c r="AC17" s="110" t="e">
        <f t="shared" si="3"/>
        <v>#N/A</v>
      </c>
      <c r="AD17" s="392"/>
      <c r="AE17" s="110"/>
      <c r="AF17" s="110"/>
      <c r="AG17" s="110"/>
      <c r="AH17" s="110" t="e">
        <f t="shared" si="4"/>
        <v>#N/A</v>
      </c>
      <c r="AI17" s="392"/>
      <c r="AJ17" s="110"/>
      <c r="AK17" s="110"/>
      <c r="AL17" s="110"/>
      <c r="AM17" s="110" t="e">
        <f t="shared" si="5"/>
        <v>#N/A</v>
      </c>
      <c r="AN17" s="392"/>
      <c r="AO17" s="110"/>
      <c r="AP17" s="110"/>
      <c r="AQ17" s="110"/>
      <c r="AR17" s="110" t="e">
        <f t="shared" si="6"/>
        <v>#N/A</v>
      </c>
      <c r="AS17" s="392"/>
      <c r="AT17" s="110"/>
      <c r="AU17" s="110"/>
      <c r="AV17" s="110"/>
      <c r="AW17" s="110" t="e">
        <f t="shared" si="7"/>
        <v>#N/A</v>
      </c>
      <c r="AX17" s="392"/>
    </row>
    <row r="18" spans="2:50">
      <c r="B18" s="378"/>
      <c r="C18" s="110">
        <v>12</v>
      </c>
      <c r="D18" s="110"/>
      <c r="E18" s="110"/>
      <c r="F18" s="110"/>
      <c r="G18" s="110"/>
      <c r="H18" s="390"/>
      <c r="I18" s="110"/>
      <c r="J18" s="110"/>
      <c r="K18" s="110"/>
      <c r="L18" s="390"/>
      <c r="M18" s="212" t="e">
        <f>RANK(K18, K$7:$K$21)</f>
        <v>#DIV/0!</v>
      </c>
      <c r="N18" s="387"/>
      <c r="O18" s="387"/>
      <c r="P18" s="110"/>
      <c r="Q18" s="110"/>
      <c r="R18" s="110"/>
      <c r="S18" s="110" t="e">
        <f t="shared" si="1"/>
        <v>#N/A</v>
      </c>
      <c r="T18" s="392"/>
      <c r="U18" s="110"/>
      <c r="V18" s="110"/>
      <c r="W18" s="110"/>
      <c r="X18" s="110" t="e">
        <f t="shared" si="2"/>
        <v>#N/A</v>
      </c>
      <c r="Y18" s="392"/>
      <c r="Z18" s="110"/>
      <c r="AA18" s="110"/>
      <c r="AB18" s="110"/>
      <c r="AC18" s="110" t="e">
        <f t="shared" si="3"/>
        <v>#N/A</v>
      </c>
      <c r="AD18" s="392"/>
      <c r="AE18" s="110"/>
      <c r="AF18" s="110"/>
      <c r="AG18" s="110"/>
      <c r="AH18" s="110" t="e">
        <f t="shared" si="4"/>
        <v>#N/A</v>
      </c>
      <c r="AI18" s="392"/>
      <c r="AJ18" s="110"/>
      <c r="AK18" s="110"/>
      <c r="AL18" s="110"/>
      <c r="AM18" s="110" t="e">
        <f t="shared" si="5"/>
        <v>#N/A</v>
      </c>
      <c r="AN18" s="392"/>
      <c r="AO18" s="110"/>
      <c r="AP18" s="110"/>
      <c r="AQ18" s="110"/>
      <c r="AR18" s="110" t="e">
        <f t="shared" si="6"/>
        <v>#N/A</v>
      </c>
      <c r="AS18" s="392"/>
      <c r="AT18" s="110"/>
      <c r="AU18" s="110"/>
      <c r="AV18" s="110"/>
      <c r="AW18" s="110" t="e">
        <f t="shared" si="7"/>
        <v>#N/A</v>
      </c>
      <c r="AX18" s="392"/>
    </row>
    <row r="19" spans="2:50">
      <c r="B19" s="378"/>
      <c r="C19" s="110">
        <v>13</v>
      </c>
      <c r="D19" s="110"/>
      <c r="E19" s="110"/>
      <c r="F19" s="110"/>
      <c r="G19" s="110"/>
      <c r="H19" s="390"/>
      <c r="I19" s="110"/>
      <c r="J19" s="110"/>
      <c r="K19" s="110"/>
      <c r="L19" s="390"/>
      <c r="M19" s="212" t="e">
        <f>RANK(K19, K$7:$K$21)</f>
        <v>#DIV/0!</v>
      </c>
      <c r="N19" s="387"/>
      <c r="O19" s="387"/>
      <c r="P19" s="110"/>
      <c r="Q19" s="110"/>
      <c r="R19" s="110"/>
      <c r="S19" s="110" t="e">
        <f t="shared" si="1"/>
        <v>#N/A</v>
      </c>
      <c r="T19" s="392"/>
      <c r="U19" s="110"/>
      <c r="V19" s="110"/>
      <c r="W19" s="110"/>
      <c r="X19" s="110" t="e">
        <f t="shared" si="2"/>
        <v>#N/A</v>
      </c>
      <c r="Y19" s="392"/>
      <c r="Z19" s="110"/>
      <c r="AA19" s="110"/>
      <c r="AB19" s="110"/>
      <c r="AC19" s="110" t="e">
        <f t="shared" si="3"/>
        <v>#N/A</v>
      </c>
      <c r="AD19" s="392"/>
      <c r="AE19" s="110"/>
      <c r="AF19" s="110"/>
      <c r="AG19" s="110"/>
      <c r="AH19" s="110" t="e">
        <f t="shared" si="4"/>
        <v>#N/A</v>
      </c>
      <c r="AI19" s="392"/>
      <c r="AJ19" s="110"/>
      <c r="AK19" s="110"/>
      <c r="AL19" s="110"/>
      <c r="AM19" s="110" t="e">
        <f t="shared" si="5"/>
        <v>#N/A</v>
      </c>
      <c r="AN19" s="392"/>
      <c r="AO19" s="110"/>
      <c r="AP19" s="110"/>
      <c r="AQ19" s="110"/>
      <c r="AR19" s="110" t="e">
        <f t="shared" si="6"/>
        <v>#N/A</v>
      </c>
      <c r="AS19" s="392"/>
      <c r="AT19" s="110"/>
      <c r="AU19" s="110"/>
      <c r="AV19" s="110"/>
      <c r="AW19" s="110" t="e">
        <f t="shared" si="7"/>
        <v>#N/A</v>
      </c>
      <c r="AX19" s="392"/>
    </row>
    <row r="20" spans="2:50">
      <c r="B20" s="378"/>
      <c r="C20" s="110">
        <v>14</v>
      </c>
      <c r="D20" s="110"/>
      <c r="E20" s="110"/>
      <c r="F20" s="110"/>
      <c r="G20" s="110"/>
      <c r="H20" s="390"/>
      <c r="I20" s="110"/>
      <c r="J20" s="110"/>
      <c r="K20" s="110"/>
      <c r="L20" s="390"/>
      <c r="M20" s="212" t="e">
        <f>RANK(K20, K$7:$K$21)</f>
        <v>#DIV/0!</v>
      </c>
      <c r="N20" s="387"/>
      <c r="O20" s="387"/>
      <c r="P20" s="110"/>
      <c r="Q20" s="110"/>
      <c r="R20" s="110"/>
      <c r="S20" s="110" t="e">
        <f t="shared" si="1"/>
        <v>#N/A</v>
      </c>
      <c r="T20" s="392"/>
      <c r="U20" s="110"/>
      <c r="V20" s="110"/>
      <c r="W20" s="110"/>
      <c r="X20" s="110" t="e">
        <f t="shared" si="2"/>
        <v>#N/A</v>
      </c>
      <c r="Y20" s="392"/>
      <c r="Z20" s="110"/>
      <c r="AA20" s="110"/>
      <c r="AB20" s="110"/>
      <c r="AC20" s="110" t="e">
        <f t="shared" si="3"/>
        <v>#N/A</v>
      </c>
      <c r="AD20" s="392"/>
      <c r="AE20" s="110"/>
      <c r="AF20" s="110"/>
      <c r="AG20" s="110"/>
      <c r="AH20" s="110" t="e">
        <f t="shared" si="4"/>
        <v>#N/A</v>
      </c>
      <c r="AI20" s="392"/>
      <c r="AJ20" s="110"/>
      <c r="AK20" s="110"/>
      <c r="AL20" s="110"/>
      <c r="AM20" s="110" t="e">
        <f t="shared" si="5"/>
        <v>#N/A</v>
      </c>
      <c r="AN20" s="392"/>
      <c r="AO20" s="110"/>
      <c r="AP20" s="110"/>
      <c r="AQ20" s="110"/>
      <c r="AR20" s="110" t="e">
        <f t="shared" si="6"/>
        <v>#N/A</v>
      </c>
      <c r="AS20" s="392"/>
      <c r="AT20" s="110"/>
      <c r="AU20" s="110"/>
      <c r="AV20" s="110"/>
      <c r="AW20" s="110" t="e">
        <f t="shared" si="7"/>
        <v>#N/A</v>
      </c>
      <c r="AX20" s="392"/>
    </row>
    <row r="21" spans="2:50">
      <c r="B21" s="378"/>
      <c r="C21" s="110">
        <v>15</v>
      </c>
      <c r="D21" s="110"/>
      <c r="E21" s="110"/>
      <c r="F21" s="110"/>
      <c r="G21" s="110"/>
      <c r="H21" s="391"/>
      <c r="I21" s="110"/>
      <c r="J21" s="110"/>
      <c r="K21" s="110"/>
      <c r="L21" s="391"/>
      <c r="M21" s="184" t="e">
        <f>RANK(K21, K$7:$K$21)</f>
        <v>#DIV/0!</v>
      </c>
      <c r="N21" s="387"/>
      <c r="O21" s="387"/>
      <c r="P21" s="110"/>
      <c r="Q21" s="110"/>
      <c r="R21" s="110"/>
      <c r="S21" s="110" t="e">
        <f t="shared" si="1"/>
        <v>#N/A</v>
      </c>
      <c r="T21" s="392"/>
      <c r="U21" s="110"/>
      <c r="V21" s="110"/>
      <c r="W21" s="110"/>
      <c r="X21" s="110" t="e">
        <f t="shared" si="2"/>
        <v>#N/A</v>
      </c>
      <c r="Y21" s="392"/>
      <c r="Z21" s="110"/>
      <c r="AA21" s="110"/>
      <c r="AB21" s="110"/>
      <c r="AC21" s="110" t="e">
        <f t="shared" si="3"/>
        <v>#N/A</v>
      </c>
      <c r="AD21" s="392"/>
      <c r="AE21" s="110"/>
      <c r="AF21" s="110"/>
      <c r="AG21" s="110"/>
      <c r="AH21" s="110" t="e">
        <f t="shared" si="4"/>
        <v>#N/A</v>
      </c>
      <c r="AI21" s="392"/>
      <c r="AJ21" s="110"/>
      <c r="AK21" s="110"/>
      <c r="AL21" s="110"/>
      <c r="AM21" s="110" t="e">
        <f t="shared" si="5"/>
        <v>#N/A</v>
      </c>
      <c r="AN21" s="392"/>
      <c r="AO21" s="110"/>
      <c r="AP21" s="110"/>
      <c r="AQ21" s="110"/>
      <c r="AR21" s="110" t="e">
        <f t="shared" si="6"/>
        <v>#N/A</v>
      </c>
      <c r="AS21" s="392"/>
      <c r="AT21" s="110"/>
      <c r="AU21" s="110"/>
      <c r="AV21" s="110"/>
      <c r="AW21" s="110" t="e">
        <f t="shared" si="7"/>
        <v>#N/A</v>
      </c>
      <c r="AX21" s="392"/>
    </row>
    <row r="22" spans="2:50" ht="15.75">
      <c r="B22" s="397" t="s">
        <v>169</v>
      </c>
      <c r="C22" s="398"/>
      <c r="D22" s="398"/>
      <c r="E22" s="398"/>
      <c r="F22" s="398"/>
      <c r="G22" s="398"/>
      <c r="H22" s="398"/>
      <c r="I22" s="183"/>
      <c r="J22" s="183"/>
      <c r="K22" s="183"/>
      <c r="L22" s="183"/>
      <c r="M22" s="179"/>
      <c r="N22" s="382" t="s">
        <v>161</v>
      </c>
      <c r="O22" s="382" t="s">
        <v>105</v>
      </c>
      <c r="P22" s="377">
        <v>45874</v>
      </c>
      <c r="Q22" s="378"/>
      <c r="R22" s="378"/>
      <c r="S22" s="378"/>
      <c r="T22" s="378"/>
      <c r="U22" s="377">
        <v>45875</v>
      </c>
      <c r="V22" s="378"/>
      <c r="W22" s="378"/>
      <c r="X22" s="378"/>
      <c r="Y22" s="378"/>
      <c r="Z22" s="377">
        <v>45876</v>
      </c>
      <c r="AA22" s="378"/>
      <c r="AB22" s="378"/>
      <c r="AC22" s="378"/>
      <c r="AD22" s="378"/>
      <c r="AE22" s="377">
        <v>45877</v>
      </c>
      <c r="AF22" s="378"/>
      <c r="AG22" s="378"/>
      <c r="AH22" s="378"/>
      <c r="AI22" s="378"/>
      <c r="AJ22" s="377">
        <v>45878</v>
      </c>
      <c r="AK22" s="378"/>
      <c r="AL22" s="378"/>
      <c r="AM22" s="378"/>
      <c r="AN22" s="378"/>
      <c r="AO22" s="377">
        <v>45879</v>
      </c>
      <c r="AP22" s="378"/>
      <c r="AQ22" s="378"/>
      <c r="AR22" s="378"/>
      <c r="AS22" s="378"/>
      <c r="AT22" s="377">
        <v>45880</v>
      </c>
      <c r="AU22" s="378"/>
      <c r="AV22" s="378"/>
      <c r="AW22" s="378"/>
      <c r="AX22" s="378"/>
    </row>
    <row r="23" spans="2:50" ht="15.75">
      <c r="B23" s="381"/>
      <c r="C23" s="381"/>
      <c r="D23" s="381"/>
      <c r="E23" s="381"/>
      <c r="F23" s="381"/>
      <c r="G23" s="381"/>
      <c r="H23" s="381"/>
      <c r="I23" s="180"/>
      <c r="J23" s="180"/>
      <c r="K23" s="180"/>
      <c r="L23" s="180"/>
      <c r="M23" s="181"/>
      <c r="N23" s="383"/>
      <c r="O23" s="383"/>
      <c r="P23" s="377" t="s">
        <v>163</v>
      </c>
      <c r="Q23" s="378"/>
      <c r="R23" s="378"/>
      <c r="S23" s="378"/>
      <c r="T23" s="378"/>
      <c r="U23" s="377" t="s">
        <v>164</v>
      </c>
      <c r="V23" s="378"/>
      <c r="W23" s="378"/>
      <c r="X23" s="378"/>
      <c r="Y23" s="378"/>
      <c r="Z23" s="377" t="s">
        <v>165</v>
      </c>
      <c r="AA23" s="378"/>
      <c r="AB23" s="378"/>
      <c r="AC23" s="378"/>
      <c r="AD23" s="378"/>
      <c r="AE23" s="377" t="s">
        <v>162</v>
      </c>
      <c r="AF23" s="378"/>
      <c r="AG23" s="378"/>
      <c r="AH23" s="378"/>
      <c r="AI23" s="378"/>
      <c r="AJ23" s="377" t="s">
        <v>166</v>
      </c>
      <c r="AK23" s="378"/>
      <c r="AL23" s="378"/>
      <c r="AM23" s="378"/>
      <c r="AN23" s="378"/>
      <c r="AO23" s="377" t="s">
        <v>167</v>
      </c>
      <c r="AP23" s="378"/>
      <c r="AQ23" s="378"/>
      <c r="AR23" s="378"/>
      <c r="AS23" s="378"/>
      <c r="AT23" s="377" t="s">
        <v>168</v>
      </c>
      <c r="AU23" s="378"/>
      <c r="AV23" s="378"/>
      <c r="AW23" s="378"/>
      <c r="AX23" s="378"/>
    </row>
    <row r="24" spans="2:50">
      <c r="B24" s="387" t="s">
        <v>158</v>
      </c>
      <c r="C24" s="387" t="s">
        <v>150</v>
      </c>
      <c r="D24" s="387"/>
      <c r="E24" s="387" t="s">
        <v>152</v>
      </c>
      <c r="F24" s="387"/>
      <c r="G24" s="387"/>
      <c r="H24" s="393" t="s">
        <v>159</v>
      </c>
      <c r="I24" s="387" t="s">
        <v>224</v>
      </c>
      <c r="J24" s="387"/>
      <c r="K24" s="387"/>
      <c r="L24" s="393" t="s">
        <v>159</v>
      </c>
      <c r="M24" s="382" t="s">
        <v>170</v>
      </c>
      <c r="N24" s="387"/>
      <c r="O24" s="387" t="s">
        <v>160</v>
      </c>
      <c r="P24" s="384" t="s">
        <v>155</v>
      </c>
      <c r="Q24" s="385"/>
      <c r="R24" s="385"/>
      <c r="S24" s="386"/>
      <c r="T24" s="387" t="s">
        <v>159</v>
      </c>
      <c r="U24" s="384" t="s">
        <v>155</v>
      </c>
      <c r="V24" s="385"/>
      <c r="W24" s="385"/>
      <c r="X24" s="386"/>
      <c r="Y24" s="387" t="s">
        <v>159</v>
      </c>
      <c r="Z24" s="384" t="s">
        <v>155</v>
      </c>
      <c r="AA24" s="385"/>
      <c r="AB24" s="385"/>
      <c r="AC24" s="386"/>
      <c r="AD24" s="387" t="s">
        <v>159</v>
      </c>
      <c r="AE24" s="384" t="s">
        <v>155</v>
      </c>
      <c r="AF24" s="385"/>
      <c r="AG24" s="385"/>
      <c r="AH24" s="386"/>
      <c r="AI24" s="387" t="s">
        <v>159</v>
      </c>
      <c r="AJ24" s="384" t="s">
        <v>155</v>
      </c>
      <c r="AK24" s="385"/>
      <c r="AL24" s="385"/>
      <c r="AM24" s="386"/>
      <c r="AN24" s="387" t="s">
        <v>159</v>
      </c>
      <c r="AO24" s="384" t="s">
        <v>155</v>
      </c>
      <c r="AP24" s="385"/>
      <c r="AQ24" s="385"/>
      <c r="AR24" s="386"/>
      <c r="AS24" s="387" t="s">
        <v>159</v>
      </c>
      <c r="AT24" s="384" t="s">
        <v>155</v>
      </c>
      <c r="AU24" s="385"/>
      <c r="AV24" s="385"/>
      <c r="AW24" s="386"/>
      <c r="AX24" s="387" t="s">
        <v>159</v>
      </c>
    </row>
    <row r="25" spans="2:50">
      <c r="B25" s="387"/>
      <c r="C25" s="387"/>
      <c r="D25" s="387"/>
      <c r="E25" s="387" t="s">
        <v>151</v>
      </c>
      <c r="F25" s="387"/>
      <c r="G25" s="387"/>
      <c r="H25" s="394"/>
      <c r="I25" s="387" t="s">
        <v>151</v>
      </c>
      <c r="J25" s="387"/>
      <c r="K25" s="387"/>
      <c r="L25" s="394"/>
      <c r="M25" s="396"/>
      <c r="N25" s="387"/>
      <c r="O25" s="387"/>
      <c r="P25" s="384" t="s">
        <v>156</v>
      </c>
      <c r="Q25" s="385"/>
      <c r="R25" s="385"/>
      <c r="S25" s="386"/>
      <c r="T25" s="387"/>
      <c r="U25" s="384" t="s">
        <v>156</v>
      </c>
      <c r="V25" s="385"/>
      <c r="W25" s="385"/>
      <c r="X25" s="386"/>
      <c r="Y25" s="387"/>
      <c r="Z25" s="384" t="s">
        <v>156</v>
      </c>
      <c r="AA25" s="385"/>
      <c r="AB25" s="385"/>
      <c r="AC25" s="386"/>
      <c r="AD25" s="387"/>
      <c r="AE25" s="384" t="s">
        <v>156</v>
      </c>
      <c r="AF25" s="385"/>
      <c r="AG25" s="385"/>
      <c r="AH25" s="386"/>
      <c r="AI25" s="387"/>
      <c r="AJ25" s="384" t="s">
        <v>156</v>
      </c>
      <c r="AK25" s="385"/>
      <c r="AL25" s="385"/>
      <c r="AM25" s="386"/>
      <c r="AN25" s="387"/>
      <c r="AO25" s="384" t="s">
        <v>156</v>
      </c>
      <c r="AP25" s="385"/>
      <c r="AQ25" s="385"/>
      <c r="AR25" s="386"/>
      <c r="AS25" s="387"/>
      <c r="AT25" s="384" t="s">
        <v>156</v>
      </c>
      <c r="AU25" s="385"/>
      <c r="AV25" s="385"/>
      <c r="AW25" s="386"/>
      <c r="AX25" s="387"/>
    </row>
    <row r="26" spans="2:50">
      <c r="B26" s="387"/>
      <c r="C26" s="387"/>
      <c r="D26" s="387"/>
      <c r="E26" s="109" t="s">
        <v>153</v>
      </c>
      <c r="F26" s="109" t="s">
        <v>154</v>
      </c>
      <c r="G26" s="109" t="s">
        <v>157</v>
      </c>
      <c r="H26" s="395"/>
      <c r="I26" s="109" t="s">
        <v>153</v>
      </c>
      <c r="J26" s="109" t="s">
        <v>154</v>
      </c>
      <c r="K26" s="109" t="s">
        <v>157</v>
      </c>
      <c r="L26" s="395"/>
      <c r="M26" s="383"/>
      <c r="N26" s="387"/>
      <c r="O26" s="387"/>
      <c r="P26" s="109" t="s">
        <v>153</v>
      </c>
      <c r="Q26" s="109" t="s">
        <v>154</v>
      </c>
      <c r="R26" s="109" t="s">
        <v>157</v>
      </c>
      <c r="S26" s="109" t="s">
        <v>170</v>
      </c>
      <c r="T26" s="387"/>
      <c r="U26" s="109" t="s">
        <v>153</v>
      </c>
      <c r="V26" s="109" t="s">
        <v>154</v>
      </c>
      <c r="W26" s="109" t="s">
        <v>157</v>
      </c>
      <c r="X26" s="109" t="s">
        <v>170</v>
      </c>
      <c r="Y26" s="387"/>
      <c r="Z26" s="109" t="s">
        <v>153</v>
      </c>
      <c r="AA26" s="109" t="s">
        <v>154</v>
      </c>
      <c r="AB26" s="109" t="s">
        <v>157</v>
      </c>
      <c r="AC26" s="109" t="s">
        <v>170</v>
      </c>
      <c r="AD26" s="387"/>
      <c r="AE26" s="109" t="s">
        <v>153</v>
      </c>
      <c r="AF26" s="109" t="s">
        <v>154</v>
      </c>
      <c r="AG26" s="109" t="s">
        <v>157</v>
      </c>
      <c r="AH26" s="109" t="s">
        <v>170</v>
      </c>
      <c r="AI26" s="387"/>
      <c r="AJ26" s="109" t="s">
        <v>153</v>
      </c>
      <c r="AK26" s="109" t="s">
        <v>154</v>
      </c>
      <c r="AL26" s="109" t="s">
        <v>157</v>
      </c>
      <c r="AM26" s="109" t="s">
        <v>170</v>
      </c>
      <c r="AN26" s="387"/>
      <c r="AO26" s="109" t="s">
        <v>153</v>
      </c>
      <c r="AP26" s="109" t="s">
        <v>154</v>
      </c>
      <c r="AQ26" s="109" t="s">
        <v>157</v>
      </c>
      <c r="AR26" s="109" t="s">
        <v>170</v>
      </c>
      <c r="AS26" s="387"/>
      <c r="AT26" s="109" t="s">
        <v>153</v>
      </c>
      <c r="AU26" s="109" t="s">
        <v>154</v>
      </c>
      <c r="AV26" s="109" t="s">
        <v>157</v>
      </c>
      <c r="AW26" s="109" t="s">
        <v>170</v>
      </c>
      <c r="AX26" s="387"/>
    </row>
    <row r="27" spans="2:50">
      <c r="B27" s="387" t="s">
        <v>267</v>
      </c>
      <c r="C27" s="110">
        <v>1</v>
      </c>
      <c r="D27" s="110"/>
      <c r="E27" s="110"/>
      <c r="F27" s="110"/>
      <c r="G27" s="110"/>
      <c r="H27" s="399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389" t="e">
        <f>AVERAGE(K27:K41)</f>
        <v>#DIV/0!</v>
      </c>
      <c r="M27" s="212" t="e">
        <f>RANK(K27, K$27:$K$41)</f>
        <v>#DIV/0!</v>
      </c>
      <c r="N27" s="387"/>
      <c r="O27" s="387"/>
      <c r="P27" s="110"/>
      <c r="Q27" s="110"/>
      <c r="R27" s="110"/>
      <c r="S27" s="110"/>
      <c r="T27" s="378" t="e">
        <f>AVERAGE(R27:R41)</f>
        <v>#DIV/0!</v>
      </c>
      <c r="U27" s="110"/>
      <c r="V27" s="110"/>
      <c r="W27" s="110"/>
      <c r="X27" s="110"/>
      <c r="Y27" s="378" t="e">
        <f>AVERAGE(W27:W41)</f>
        <v>#DIV/0!</v>
      </c>
      <c r="Z27" s="110"/>
      <c r="AA27" s="110"/>
      <c r="AB27" s="110"/>
      <c r="AC27" s="110"/>
      <c r="AD27" s="378" t="e">
        <f>AVERAGE(AB27:AB41)</f>
        <v>#DIV/0!</v>
      </c>
      <c r="AE27" s="110"/>
      <c r="AF27" s="110"/>
      <c r="AG27" s="110"/>
      <c r="AH27" s="110"/>
      <c r="AI27" s="378" t="e">
        <f>AVERAGE(AG27:AG41)</f>
        <v>#DIV/0!</v>
      </c>
      <c r="AJ27" s="110"/>
      <c r="AK27" s="110"/>
      <c r="AL27" s="110"/>
      <c r="AM27" s="110"/>
      <c r="AN27" s="378" t="e">
        <f>AVERAGE(AL27:AL41)</f>
        <v>#DIV/0!</v>
      </c>
      <c r="AO27" s="110"/>
      <c r="AP27" s="110"/>
      <c r="AQ27" s="110"/>
      <c r="AR27" s="110"/>
      <c r="AS27" s="378" t="e">
        <f>AVERAGE(AQ27:AQ41)</f>
        <v>#DIV/0!</v>
      </c>
      <c r="AT27" s="110"/>
      <c r="AU27" s="110"/>
      <c r="AV27" s="110"/>
      <c r="AW27" s="110"/>
      <c r="AX27" s="378" t="e">
        <f>AVERAGE(AV27:AV41)</f>
        <v>#DIV/0!</v>
      </c>
    </row>
    <row r="28" spans="2:50">
      <c r="B28" s="378"/>
      <c r="C28" s="110">
        <v>2</v>
      </c>
      <c r="D28" s="110"/>
      <c r="E28" s="110"/>
      <c r="F28" s="110"/>
      <c r="G28" s="110"/>
      <c r="H28" s="400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390"/>
      <c r="M28" s="212" t="e">
        <f>RANK(K28, K$27:$K$41)</f>
        <v>#DIV/0!</v>
      </c>
      <c r="N28" s="387"/>
      <c r="O28" s="387"/>
      <c r="P28" s="110"/>
      <c r="Q28" s="110"/>
      <c r="R28" s="110"/>
      <c r="S28" s="110"/>
      <c r="T28" s="378"/>
      <c r="U28" s="110"/>
      <c r="V28" s="110"/>
      <c r="W28" s="110"/>
      <c r="X28" s="110"/>
      <c r="Y28" s="378"/>
      <c r="Z28" s="110"/>
      <c r="AA28" s="110"/>
      <c r="AB28" s="110"/>
      <c r="AC28" s="110"/>
      <c r="AD28" s="378"/>
      <c r="AE28" s="110"/>
      <c r="AF28" s="110"/>
      <c r="AG28" s="110"/>
      <c r="AH28" s="110"/>
      <c r="AI28" s="378"/>
      <c r="AJ28" s="110"/>
      <c r="AK28" s="110"/>
      <c r="AL28" s="110"/>
      <c r="AM28" s="110"/>
      <c r="AN28" s="378"/>
      <c r="AO28" s="110"/>
      <c r="AP28" s="110"/>
      <c r="AQ28" s="110"/>
      <c r="AR28" s="110"/>
      <c r="AS28" s="378"/>
      <c r="AT28" s="110"/>
      <c r="AU28" s="110"/>
      <c r="AV28" s="110"/>
      <c r="AW28" s="110"/>
      <c r="AX28" s="378"/>
    </row>
    <row r="29" spans="2:50">
      <c r="B29" s="378"/>
      <c r="C29" s="110">
        <v>3</v>
      </c>
      <c r="D29" s="110"/>
      <c r="E29" s="110"/>
      <c r="F29" s="110"/>
      <c r="G29" s="110"/>
      <c r="H29" s="400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390"/>
      <c r="M29" s="212" t="e">
        <f>RANK(K29, K$27:$K$41)</f>
        <v>#DIV/0!</v>
      </c>
      <c r="N29" s="387"/>
      <c r="O29" s="387"/>
      <c r="P29" s="110"/>
      <c r="Q29" s="110"/>
      <c r="R29" s="110"/>
      <c r="S29" s="110"/>
      <c r="T29" s="378"/>
      <c r="U29" s="110"/>
      <c r="V29" s="110"/>
      <c r="W29" s="110"/>
      <c r="X29" s="110"/>
      <c r="Y29" s="378"/>
      <c r="Z29" s="110"/>
      <c r="AA29" s="110"/>
      <c r="AB29" s="110"/>
      <c r="AC29" s="110"/>
      <c r="AD29" s="378"/>
      <c r="AE29" s="110"/>
      <c r="AF29" s="110"/>
      <c r="AG29" s="110"/>
      <c r="AH29" s="110"/>
      <c r="AI29" s="378"/>
      <c r="AJ29" s="110"/>
      <c r="AK29" s="110"/>
      <c r="AL29" s="110"/>
      <c r="AM29" s="110"/>
      <c r="AN29" s="378"/>
      <c r="AO29" s="110"/>
      <c r="AP29" s="110"/>
      <c r="AQ29" s="110"/>
      <c r="AR29" s="110"/>
      <c r="AS29" s="378"/>
      <c r="AT29" s="110"/>
      <c r="AU29" s="110"/>
      <c r="AV29" s="110"/>
      <c r="AW29" s="110"/>
      <c r="AX29" s="378"/>
    </row>
    <row r="30" spans="2:50">
      <c r="B30" s="378"/>
      <c r="C30" s="110">
        <v>4</v>
      </c>
      <c r="D30" s="110"/>
      <c r="E30" s="110"/>
      <c r="F30" s="110"/>
      <c r="G30" s="110"/>
      <c r="H30" s="400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390"/>
      <c r="M30" s="212" t="e">
        <f>RANK(K30, K$27:$K$41)</f>
        <v>#DIV/0!</v>
      </c>
      <c r="N30" s="387"/>
      <c r="O30" s="387"/>
      <c r="P30" s="110"/>
      <c r="Q30" s="110"/>
      <c r="R30" s="110"/>
      <c r="S30" s="110"/>
      <c r="T30" s="378"/>
      <c r="U30" s="110"/>
      <c r="V30" s="110"/>
      <c r="W30" s="110"/>
      <c r="X30" s="110"/>
      <c r="Y30" s="378"/>
      <c r="Z30" s="110"/>
      <c r="AA30" s="110"/>
      <c r="AB30" s="110"/>
      <c r="AC30" s="110"/>
      <c r="AD30" s="378"/>
      <c r="AE30" s="110"/>
      <c r="AF30" s="110"/>
      <c r="AG30" s="110"/>
      <c r="AH30" s="110"/>
      <c r="AI30" s="378"/>
      <c r="AJ30" s="110"/>
      <c r="AK30" s="110"/>
      <c r="AL30" s="110"/>
      <c r="AM30" s="110"/>
      <c r="AN30" s="378"/>
      <c r="AO30" s="110"/>
      <c r="AP30" s="110"/>
      <c r="AQ30" s="110"/>
      <c r="AR30" s="110"/>
      <c r="AS30" s="378"/>
      <c r="AT30" s="110"/>
      <c r="AU30" s="110"/>
      <c r="AV30" s="110"/>
      <c r="AW30" s="110"/>
      <c r="AX30" s="378"/>
    </row>
    <row r="31" spans="2:50">
      <c r="B31" s="378"/>
      <c r="C31" s="110">
        <v>5</v>
      </c>
      <c r="D31" s="110"/>
      <c r="E31" s="110"/>
      <c r="F31" s="110"/>
      <c r="G31" s="110"/>
      <c r="H31" s="400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390"/>
      <c r="M31" s="212" t="e">
        <f>RANK(K31, K$27:$K$41)</f>
        <v>#DIV/0!</v>
      </c>
      <c r="N31" s="387"/>
      <c r="O31" s="387"/>
      <c r="P31" s="110"/>
      <c r="Q31" s="110"/>
      <c r="R31" s="110"/>
      <c r="S31" s="110"/>
      <c r="T31" s="378"/>
      <c r="U31" s="110"/>
      <c r="V31" s="110"/>
      <c r="W31" s="110"/>
      <c r="X31" s="110"/>
      <c r="Y31" s="378"/>
      <c r="Z31" s="110"/>
      <c r="AA31" s="110"/>
      <c r="AB31" s="110"/>
      <c r="AC31" s="110"/>
      <c r="AD31" s="378"/>
      <c r="AE31" s="110"/>
      <c r="AF31" s="110"/>
      <c r="AG31" s="110"/>
      <c r="AH31" s="110"/>
      <c r="AI31" s="378"/>
      <c r="AJ31" s="110"/>
      <c r="AK31" s="110"/>
      <c r="AL31" s="110"/>
      <c r="AM31" s="110"/>
      <c r="AN31" s="378"/>
      <c r="AO31" s="110"/>
      <c r="AP31" s="110"/>
      <c r="AQ31" s="110"/>
      <c r="AR31" s="110"/>
      <c r="AS31" s="378"/>
      <c r="AT31" s="110"/>
      <c r="AU31" s="110"/>
      <c r="AV31" s="110"/>
      <c r="AW31" s="110"/>
      <c r="AX31" s="378"/>
    </row>
    <row r="32" spans="2:50">
      <c r="B32" s="378"/>
      <c r="C32" s="110">
        <v>6</v>
      </c>
      <c r="D32" s="110"/>
      <c r="E32" s="110"/>
      <c r="F32" s="110"/>
      <c r="G32" s="110"/>
      <c r="H32" s="400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390"/>
      <c r="M32" s="212" t="e">
        <f>RANK(K32, K$27:$K$41)</f>
        <v>#DIV/0!</v>
      </c>
      <c r="N32" s="387"/>
      <c r="O32" s="387"/>
      <c r="P32" s="110"/>
      <c r="Q32" s="110"/>
      <c r="R32" s="110"/>
      <c r="S32" s="110"/>
      <c r="T32" s="378"/>
      <c r="U32" s="110"/>
      <c r="V32" s="110"/>
      <c r="W32" s="110"/>
      <c r="X32" s="110"/>
      <c r="Y32" s="378"/>
      <c r="Z32" s="110"/>
      <c r="AA32" s="110"/>
      <c r="AB32" s="110"/>
      <c r="AC32" s="110"/>
      <c r="AD32" s="378"/>
      <c r="AE32" s="110"/>
      <c r="AF32" s="110"/>
      <c r="AG32" s="110"/>
      <c r="AH32" s="110"/>
      <c r="AI32" s="378"/>
      <c r="AJ32" s="110"/>
      <c r="AK32" s="110"/>
      <c r="AL32" s="110"/>
      <c r="AM32" s="110"/>
      <c r="AN32" s="378"/>
      <c r="AO32" s="110"/>
      <c r="AP32" s="110"/>
      <c r="AQ32" s="110"/>
      <c r="AR32" s="110"/>
      <c r="AS32" s="378"/>
      <c r="AT32" s="110"/>
      <c r="AU32" s="110"/>
      <c r="AV32" s="110"/>
      <c r="AW32" s="110"/>
      <c r="AX32" s="378"/>
    </row>
    <row r="33" spans="2:50">
      <c r="B33" s="378"/>
      <c r="C33" s="110">
        <v>7</v>
      </c>
      <c r="D33" s="110"/>
      <c r="E33" s="110"/>
      <c r="F33" s="110"/>
      <c r="G33" s="110"/>
      <c r="H33" s="400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390"/>
      <c r="M33" s="212" t="e">
        <f>RANK(K33, K$27:$K$41)</f>
        <v>#DIV/0!</v>
      </c>
      <c r="N33" s="387"/>
      <c r="O33" s="387"/>
      <c r="P33" s="110"/>
      <c r="Q33" s="110"/>
      <c r="R33" s="110"/>
      <c r="S33" s="110"/>
      <c r="T33" s="378"/>
      <c r="U33" s="110"/>
      <c r="V33" s="110"/>
      <c r="W33" s="110"/>
      <c r="X33" s="110"/>
      <c r="Y33" s="378"/>
      <c r="Z33" s="110"/>
      <c r="AA33" s="110"/>
      <c r="AB33" s="110"/>
      <c r="AC33" s="110"/>
      <c r="AD33" s="378"/>
      <c r="AE33" s="110"/>
      <c r="AF33" s="110"/>
      <c r="AG33" s="110"/>
      <c r="AH33" s="110"/>
      <c r="AI33" s="378"/>
      <c r="AJ33" s="110"/>
      <c r="AK33" s="110"/>
      <c r="AL33" s="110"/>
      <c r="AM33" s="110"/>
      <c r="AN33" s="378"/>
      <c r="AO33" s="110"/>
      <c r="AP33" s="110"/>
      <c r="AQ33" s="110"/>
      <c r="AR33" s="110"/>
      <c r="AS33" s="378"/>
      <c r="AT33" s="110"/>
      <c r="AU33" s="110"/>
      <c r="AV33" s="110"/>
      <c r="AW33" s="110"/>
      <c r="AX33" s="378"/>
    </row>
    <row r="34" spans="2:50">
      <c r="B34" s="378"/>
      <c r="C34" s="110">
        <v>8</v>
      </c>
      <c r="D34" s="110"/>
      <c r="E34" s="110"/>
      <c r="F34" s="110"/>
      <c r="G34" s="110"/>
      <c r="H34" s="400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390"/>
      <c r="M34" s="212" t="e">
        <f>RANK(K34, K$27:$K$41)</f>
        <v>#DIV/0!</v>
      </c>
      <c r="N34" s="387"/>
      <c r="O34" s="387"/>
      <c r="P34" s="110"/>
      <c r="Q34" s="110"/>
      <c r="R34" s="110"/>
      <c r="S34" s="110"/>
      <c r="T34" s="378"/>
      <c r="U34" s="110"/>
      <c r="V34" s="110"/>
      <c r="W34" s="110"/>
      <c r="X34" s="110"/>
      <c r="Y34" s="378"/>
      <c r="Z34" s="110"/>
      <c r="AA34" s="110"/>
      <c r="AB34" s="110"/>
      <c r="AC34" s="110"/>
      <c r="AD34" s="378"/>
      <c r="AE34" s="110"/>
      <c r="AF34" s="110"/>
      <c r="AG34" s="110"/>
      <c r="AH34" s="110"/>
      <c r="AI34" s="378"/>
      <c r="AJ34" s="110"/>
      <c r="AK34" s="110"/>
      <c r="AL34" s="110"/>
      <c r="AM34" s="110"/>
      <c r="AN34" s="378"/>
      <c r="AO34" s="110"/>
      <c r="AP34" s="110"/>
      <c r="AQ34" s="110"/>
      <c r="AR34" s="110"/>
      <c r="AS34" s="378"/>
      <c r="AT34" s="110"/>
      <c r="AU34" s="110"/>
      <c r="AV34" s="110"/>
      <c r="AW34" s="110"/>
      <c r="AX34" s="378"/>
    </row>
    <row r="35" spans="2:50">
      <c r="B35" s="378"/>
      <c r="C35" s="110">
        <v>9</v>
      </c>
      <c r="D35" s="110"/>
      <c r="E35" s="110"/>
      <c r="F35" s="110"/>
      <c r="G35" s="110"/>
      <c r="H35" s="400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390"/>
      <c r="M35" s="212" t="e">
        <f>RANK(K35, K$27:$K$41)</f>
        <v>#DIV/0!</v>
      </c>
      <c r="N35" s="387"/>
      <c r="O35" s="387"/>
      <c r="P35" s="110"/>
      <c r="Q35" s="110"/>
      <c r="R35" s="110"/>
      <c r="S35" s="110"/>
      <c r="T35" s="378"/>
      <c r="U35" s="110"/>
      <c r="V35" s="110"/>
      <c r="W35" s="110"/>
      <c r="X35" s="110"/>
      <c r="Y35" s="378"/>
      <c r="Z35" s="110"/>
      <c r="AA35" s="110"/>
      <c r="AB35" s="110"/>
      <c r="AC35" s="110"/>
      <c r="AD35" s="378"/>
      <c r="AE35" s="110"/>
      <c r="AF35" s="110"/>
      <c r="AG35" s="110"/>
      <c r="AH35" s="110"/>
      <c r="AI35" s="378"/>
      <c r="AJ35" s="110"/>
      <c r="AK35" s="110"/>
      <c r="AL35" s="110"/>
      <c r="AM35" s="110"/>
      <c r="AN35" s="378"/>
      <c r="AO35" s="110"/>
      <c r="AP35" s="110"/>
      <c r="AQ35" s="110"/>
      <c r="AR35" s="110"/>
      <c r="AS35" s="378"/>
      <c r="AT35" s="110"/>
      <c r="AU35" s="110"/>
      <c r="AV35" s="110"/>
      <c r="AW35" s="110"/>
      <c r="AX35" s="378"/>
    </row>
    <row r="36" spans="2:50">
      <c r="B36" s="378"/>
      <c r="C36" s="110">
        <v>10</v>
      </c>
      <c r="D36" s="110"/>
      <c r="E36" s="110"/>
      <c r="F36" s="110"/>
      <c r="G36" s="110"/>
      <c r="H36" s="400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390"/>
      <c r="M36" s="212" t="e">
        <f>RANK(K36, K$27:$K$41)</f>
        <v>#DIV/0!</v>
      </c>
      <c r="N36" s="387"/>
      <c r="O36" s="387"/>
      <c r="P36" s="110"/>
      <c r="Q36" s="110"/>
      <c r="R36" s="110"/>
      <c r="S36" s="110"/>
      <c r="T36" s="378"/>
      <c r="U36" s="110"/>
      <c r="V36" s="110"/>
      <c r="W36" s="110"/>
      <c r="X36" s="110"/>
      <c r="Y36" s="378"/>
      <c r="Z36" s="110"/>
      <c r="AA36" s="110"/>
      <c r="AB36" s="110"/>
      <c r="AC36" s="110"/>
      <c r="AD36" s="378"/>
      <c r="AE36" s="110"/>
      <c r="AF36" s="110"/>
      <c r="AG36" s="110"/>
      <c r="AH36" s="110"/>
      <c r="AI36" s="378"/>
      <c r="AJ36" s="110"/>
      <c r="AK36" s="110"/>
      <c r="AL36" s="110"/>
      <c r="AM36" s="110"/>
      <c r="AN36" s="378"/>
      <c r="AO36" s="110"/>
      <c r="AP36" s="110"/>
      <c r="AQ36" s="110"/>
      <c r="AR36" s="110"/>
      <c r="AS36" s="378"/>
      <c r="AT36" s="110"/>
      <c r="AU36" s="110"/>
      <c r="AV36" s="110"/>
      <c r="AW36" s="110"/>
      <c r="AX36" s="378"/>
    </row>
    <row r="37" spans="2:50">
      <c r="B37" s="378"/>
      <c r="C37" s="110">
        <v>11</v>
      </c>
      <c r="D37" s="110"/>
      <c r="E37" s="110"/>
      <c r="F37" s="110"/>
      <c r="G37" s="110"/>
      <c r="H37" s="400"/>
      <c r="I37" s="110"/>
      <c r="J37" s="110"/>
      <c r="K37" s="110"/>
      <c r="L37" s="390"/>
      <c r="M37" s="212" t="e">
        <f>RANK(K37, K$27:$K$41)</f>
        <v>#DIV/0!</v>
      </c>
      <c r="N37" s="387"/>
      <c r="O37" s="387"/>
      <c r="P37" s="110"/>
      <c r="Q37" s="110"/>
      <c r="R37" s="110"/>
      <c r="S37" s="110"/>
      <c r="T37" s="378"/>
      <c r="U37" s="110"/>
      <c r="V37" s="110"/>
      <c r="W37" s="110"/>
      <c r="X37" s="110"/>
      <c r="Y37" s="378"/>
      <c r="Z37" s="110"/>
      <c r="AA37" s="110"/>
      <c r="AB37" s="110"/>
      <c r="AC37" s="110"/>
      <c r="AD37" s="378"/>
      <c r="AE37" s="110"/>
      <c r="AF37" s="110"/>
      <c r="AG37" s="110"/>
      <c r="AH37" s="110"/>
      <c r="AI37" s="378"/>
      <c r="AJ37" s="110"/>
      <c r="AK37" s="110"/>
      <c r="AL37" s="110"/>
      <c r="AM37" s="110"/>
      <c r="AN37" s="378"/>
      <c r="AO37" s="110"/>
      <c r="AP37" s="110"/>
      <c r="AQ37" s="110"/>
      <c r="AR37" s="110"/>
      <c r="AS37" s="378"/>
      <c r="AT37" s="110"/>
      <c r="AU37" s="110"/>
      <c r="AV37" s="110"/>
      <c r="AW37" s="110"/>
      <c r="AX37" s="378"/>
    </row>
    <row r="38" spans="2:50">
      <c r="B38" s="378"/>
      <c r="C38" s="110">
        <v>12</v>
      </c>
      <c r="D38" s="110"/>
      <c r="E38" s="110"/>
      <c r="F38" s="110"/>
      <c r="G38" s="110"/>
      <c r="H38" s="400"/>
      <c r="I38" s="110"/>
      <c r="J38" s="110"/>
      <c r="K38" s="110"/>
      <c r="L38" s="390"/>
      <c r="M38" s="212" t="e">
        <f>RANK(K38, K$27:$K$41)</f>
        <v>#DIV/0!</v>
      </c>
      <c r="N38" s="387"/>
      <c r="O38" s="387"/>
      <c r="P38" s="110"/>
      <c r="Q38" s="110"/>
      <c r="R38" s="110"/>
      <c r="S38" s="110"/>
      <c r="T38" s="378"/>
      <c r="U38" s="110"/>
      <c r="V38" s="110"/>
      <c r="W38" s="110"/>
      <c r="X38" s="110"/>
      <c r="Y38" s="378"/>
      <c r="Z38" s="110"/>
      <c r="AA38" s="110"/>
      <c r="AB38" s="110"/>
      <c r="AC38" s="110"/>
      <c r="AD38" s="378"/>
      <c r="AE38" s="110"/>
      <c r="AF38" s="110"/>
      <c r="AG38" s="110"/>
      <c r="AH38" s="110"/>
      <c r="AI38" s="378"/>
      <c r="AJ38" s="110"/>
      <c r="AK38" s="110"/>
      <c r="AL38" s="110"/>
      <c r="AM38" s="110"/>
      <c r="AN38" s="378"/>
      <c r="AO38" s="110"/>
      <c r="AP38" s="110"/>
      <c r="AQ38" s="110"/>
      <c r="AR38" s="110"/>
      <c r="AS38" s="378"/>
      <c r="AT38" s="110"/>
      <c r="AU38" s="110"/>
      <c r="AV38" s="110"/>
      <c r="AW38" s="110"/>
      <c r="AX38" s="378"/>
    </row>
    <row r="39" spans="2:50">
      <c r="B39" s="378"/>
      <c r="C39" s="110">
        <v>13</v>
      </c>
      <c r="D39" s="110"/>
      <c r="E39" s="110"/>
      <c r="F39" s="110"/>
      <c r="G39" s="110"/>
      <c r="H39" s="400"/>
      <c r="I39" s="110"/>
      <c r="J39" s="110"/>
      <c r="K39" s="110"/>
      <c r="L39" s="390"/>
      <c r="M39" s="212" t="e">
        <f>RANK(K39, K$27:$K$41)</f>
        <v>#DIV/0!</v>
      </c>
      <c r="N39" s="387"/>
      <c r="O39" s="387"/>
      <c r="P39" s="110"/>
      <c r="Q39" s="110"/>
      <c r="R39" s="110"/>
      <c r="S39" s="110"/>
      <c r="T39" s="378"/>
      <c r="U39" s="110"/>
      <c r="V39" s="110"/>
      <c r="W39" s="110"/>
      <c r="X39" s="110"/>
      <c r="Y39" s="378"/>
      <c r="Z39" s="110"/>
      <c r="AA39" s="110"/>
      <c r="AB39" s="110"/>
      <c r="AC39" s="110"/>
      <c r="AD39" s="378"/>
      <c r="AE39" s="110"/>
      <c r="AF39" s="110"/>
      <c r="AG39" s="110"/>
      <c r="AH39" s="110"/>
      <c r="AI39" s="378"/>
      <c r="AJ39" s="110"/>
      <c r="AK39" s="110"/>
      <c r="AL39" s="110"/>
      <c r="AM39" s="110"/>
      <c r="AN39" s="378"/>
      <c r="AO39" s="110"/>
      <c r="AP39" s="110"/>
      <c r="AQ39" s="110"/>
      <c r="AR39" s="110"/>
      <c r="AS39" s="378"/>
      <c r="AT39" s="110"/>
      <c r="AU39" s="110"/>
      <c r="AV39" s="110"/>
      <c r="AW39" s="110"/>
      <c r="AX39" s="378"/>
    </row>
    <row r="40" spans="2:50">
      <c r="B40" s="378"/>
      <c r="C40" s="110">
        <v>14</v>
      </c>
      <c r="D40" s="110"/>
      <c r="E40" s="110"/>
      <c r="F40" s="110"/>
      <c r="G40" s="110"/>
      <c r="H40" s="400"/>
      <c r="I40" s="110"/>
      <c r="J40" s="110"/>
      <c r="K40" s="110"/>
      <c r="L40" s="390"/>
      <c r="M40" s="212" t="e">
        <f>RANK(K40, K$27:$K$41)</f>
        <v>#DIV/0!</v>
      </c>
      <c r="N40" s="387"/>
      <c r="O40" s="387"/>
      <c r="P40" s="110"/>
      <c r="Q40" s="110"/>
      <c r="R40" s="110"/>
      <c r="S40" s="110"/>
      <c r="T40" s="378"/>
      <c r="U40" s="110"/>
      <c r="V40" s="110"/>
      <c r="W40" s="110"/>
      <c r="X40" s="110"/>
      <c r="Y40" s="378"/>
      <c r="Z40" s="110"/>
      <c r="AA40" s="110"/>
      <c r="AB40" s="110"/>
      <c r="AC40" s="110"/>
      <c r="AD40" s="378"/>
      <c r="AE40" s="110"/>
      <c r="AF40" s="110"/>
      <c r="AG40" s="110"/>
      <c r="AH40" s="110"/>
      <c r="AI40" s="378"/>
      <c r="AJ40" s="110"/>
      <c r="AK40" s="110"/>
      <c r="AL40" s="110"/>
      <c r="AM40" s="110"/>
      <c r="AN40" s="378"/>
      <c r="AO40" s="110"/>
      <c r="AP40" s="110"/>
      <c r="AQ40" s="110"/>
      <c r="AR40" s="110"/>
      <c r="AS40" s="378"/>
      <c r="AT40" s="110"/>
      <c r="AU40" s="110"/>
      <c r="AV40" s="110"/>
      <c r="AW40" s="110"/>
      <c r="AX40" s="378"/>
    </row>
    <row r="41" spans="2:50">
      <c r="B41" s="378"/>
      <c r="C41" s="110">
        <v>15</v>
      </c>
      <c r="D41" s="110"/>
      <c r="E41" s="110"/>
      <c r="F41" s="110"/>
      <c r="G41" s="110"/>
      <c r="H41" s="401"/>
      <c r="I41" s="110"/>
      <c r="J41" s="110"/>
      <c r="K41" s="110"/>
      <c r="L41" s="391"/>
      <c r="M41" s="184" t="e">
        <f>RANK(K41, K$27:$K$41)</f>
        <v>#DIV/0!</v>
      </c>
      <c r="N41" s="387"/>
      <c r="O41" s="387"/>
      <c r="P41" s="110"/>
      <c r="Q41" s="110"/>
      <c r="R41" s="110"/>
      <c r="S41" s="110"/>
      <c r="T41" s="378"/>
      <c r="U41" s="110"/>
      <c r="V41" s="110"/>
      <c r="W41" s="110"/>
      <c r="X41" s="110"/>
      <c r="Y41" s="378"/>
      <c r="Z41" s="110"/>
      <c r="AA41" s="110"/>
      <c r="AB41" s="110"/>
      <c r="AC41" s="110"/>
      <c r="AD41" s="378"/>
      <c r="AE41" s="110"/>
      <c r="AF41" s="110"/>
      <c r="AG41" s="110"/>
      <c r="AH41" s="110"/>
      <c r="AI41" s="378"/>
      <c r="AJ41" s="110"/>
      <c r="AK41" s="110"/>
      <c r="AL41" s="110"/>
      <c r="AM41" s="110"/>
      <c r="AN41" s="378"/>
      <c r="AO41" s="110"/>
      <c r="AP41" s="110"/>
      <c r="AQ41" s="110"/>
      <c r="AR41" s="110"/>
      <c r="AS41" s="378"/>
      <c r="AT41" s="110"/>
      <c r="AU41" s="110"/>
      <c r="AV41" s="110"/>
      <c r="AW41" s="110"/>
      <c r="AX41" s="378"/>
    </row>
    <row r="42" spans="2:50" ht="15.75">
      <c r="B42" s="397" t="s">
        <v>169</v>
      </c>
      <c r="C42" s="398"/>
      <c r="D42" s="398"/>
      <c r="E42" s="398"/>
      <c r="F42" s="398"/>
      <c r="G42" s="398"/>
      <c r="H42" s="398"/>
      <c r="I42" s="214"/>
      <c r="J42" s="183"/>
      <c r="K42" s="214"/>
      <c r="L42" s="214"/>
      <c r="M42" s="179"/>
      <c r="N42" s="382" t="s">
        <v>161</v>
      </c>
      <c r="O42" s="382" t="s">
        <v>105</v>
      </c>
      <c r="P42" s="377">
        <v>45881</v>
      </c>
      <c r="Q42" s="378"/>
      <c r="R42" s="378"/>
      <c r="S42" s="378"/>
      <c r="T42" s="378"/>
      <c r="U42" s="377">
        <v>45882</v>
      </c>
      <c r="V42" s="378"/>
      <c r="W42" s="378"/>
      <c r="X42" s="378"/>
      <c r="Y42" s="378"/>
      <c r="Z42" s="377">
        <v>45883</v>
      </c>
      <c r="AA42" s="378"/>
      <c r="AB42" s="378"/>
      <c r="AC42" s="378"/>
      <c r="AD42" s="378"/>
      <c r="AE42" s="377">
        <v>45884</v>
      </c>
      <c r="AF42" s="378"/>
      <c r="AG42" s="378"/>
      <c r="AH42" s="378"/>
      <c r="AI42" s="378"/>
      <c r="AJ42" s="377">
        <v>45885</v>
      </c>
      <c r="AK42" s="378"/>
      <c r="AL42" s="378"/>
      <c r="AM42" s="378"/>
      <c r="AN42" s="378"/>
      <c r="AO42" s="377">
        <v>45886</v>
      </c>
      <c r="AP42" s="378"/>
      <c r="AQ42" s="378"/>
      <c r="AR42" s="378"/>
      <c r="AS42" s="378"/>
      <c r="AT42" s="377">
        <v>45887</v>
      </c>
      <c r="AU42" s="378"/>
      <c r="AV42" s="378"/>
      <c r="AW42" s="378"/>
      <c r="AX42" s="378"/>
    </row>
    <row r="43" spans="2:50" ht="15.75">
      <c r="B43" s="381"/>
      <c r="C43" s="381"/>
      <c r="D43" s="381"/>
      <c r="E43" s="381"/>
      <c r="F43" s="381"/>
      <c r="G43" s="381"/>
      <c r="H43" s="381"/>
      <c r="I43" s="180"/>
      <c r="J43" s="180"/>
      <c r="K43" s="180"/>
      <c r="L43" s="180"/>
      <c r="M43" s="181"/>
      <c r="N43" s="383"/>
      <c r="O43" s="383"/>
      <c r="P43" s="377" t="s">
        <v>163</v>
      </c>
      <c r="Q43" s="378"/>
      <c r="R43" s="378"/>
      <c r="S43" s="378"/>
      <c r="T43" s="378"/>
      <c r="U43" s="377" t="s">
        <v>164</v>
      </c>
      <c r="V43" s="378"/>
      <c r="W43" s="378"/>
      <c r="X43" s="378"/>
      <c r="Y43" s="378"/>
      <c r="Z43" s="377" t="s">
        <v>165</v>
      </c>
      <c r="AA43" s="378"/>
      <c r="AB43" s="378"/>
      <c r="AC43" s="378"/>
      <c r="AD43" s="378"/>
      <c r="AE43" s="377" t="s">
        <v>162</v>
      </c>
      <c r="AF43" s="378"/>
      <c r="AG43" s="378"/>
      <c r="AH43" s="378"/>
      <c r="AI43" s="378"/>
      <c r="AJ43" s="377" t="s">
        <v>166</v>
      </c>
      <c r="AK43" s="378"/>
      <c r="AL43" s="378"/>
      <c r="AM43" s="378"/>
      <c r="AN43" s="378"/>
      <c r="AO43" s="377" t="s">
        <v>167</v>
      </c>
      <c r="AP43" s="378"/>
      <c r="AQ43" s="378"/>
      <c r="AR43" s="378"/>
      <c r="AS43" s="378"/>
      <c r="AT43" s="377" t="s">
        <v>168</v>
      </c>
      <c r="AU43" s="378"/>
      <c r="AV43" s="378"/>
      <c r="AW43" s="378"/>
      <c r="AX43" s="378"/>
    </row>
    <row r="44" spans="2:50">
      <c r="B44" s="387" t="s">
        <v>158</v>
      </c>
      <c r="C44" s="387" t="s">
        <v>150</v>
      </c>
      <c r="D44" s="387"/>
      <c r="E44" s="387" t="s">
        <v>152</v>
      </c>
      <c r="F44" s="387"/>
      <c r="G44" s="387"/>
      <c r="H44" s="393" t="s">
        <v>159</v>
      </c>
      <c r="I44" s="387" t="s">
        <v>224</v>
      </c>
      <c r="J44" s="387"/>
      <c r="K44" s="387"/>
      <c r="L44" s="393" t="s">
        <v>159</v>
      </c>
      <c r="M44" s="382" t="s">
        <v>170</v>
      </c>
      <c r="N44" s="387"/>
      <c r="O44" s="387" t="s">
        <v>160</v>
      </c>
      <c r="P44" s="384" t="s">
        <v>155</v>
      </c>
      <c r="Q44" s="385"/>
      <c r="R44" s="385"/>
      <c r="S44" s="386"/>
      <c r="T44" s="387" t="s">
        <v>159</v>
      </c>
      <c r="U44" s="384" t="s">
        <v>155</v>
      </c>
      <c r="V44" s="385"/>
      <c r="W44" s="385"/>
      <c r="X44" s="386"/>
      <c r="Y44" s="387" t="s">
        <v>159</v>
      </c>
      <c r="Z44" s="384" t="s">
        <v>155</v>
      </c>
      <c r="AA44" s="385"/>
      <c r="AB44" s="385"/>
      <c r="AC44" s="386"/>
      <c r="AD44" s="387" t="s">
        <v>159</v>
      </c>
      <c r="AE44" s="384" t="s">
        <v>155</v>
      </c>
      <c r="AF44" s="385"/>
      <c r="AG44" s="385"/>
      <c r="AH44" s="386"/>
      <c r="AI44" s="387" t="s">
        <v>159</v>
      </c>
      <c r="AJ44" s="384" t="s">
        <v>155</v>
      </c>
      <c r="AK44" s="385"/>
      <c r="AL44" s="385"/>
      <c r="AM44" s="386"/>
      <c r="AN44" s="387" t="s">
        <v>159</v>
      </c>
      <c r="AO44" s="384" t="s">
        <v>155</v>
      </c>
      <c r="AP44" s="385"/>
      <c r="AQ44" s="385"/>
      <c r="AR44" s="386"/>
      <c r="AS44" s="387" t="s">
        <v>159</v>
      </c>
      <c r="AT44" s="384" t="s">
        <v>155</v>
      </c>
      <c r="AU44" s="385"/>
      <c r="AV44" s="385"/>
      <c r="AW44" s="386"/>
      <c r="AX44" s="387" t="s">
        <v>159</v>
      </c>
    </row>
    <row r="45" spans="2:50">
      <c r="B45" s="387"/>
      <c r="C45" s="387"/>
      <c r="D45" s="387"/>
      <c r="E45" s="387" t="s">
        <v>151</v>
      </c>
      <c r="F45" s="387"/>
      <c r="G45" s="387"/>
      <c r="H45" s="394"/>
      <c r="I45" s="387" t="s">
        <v>151</v>
      </c>
      <c r="J45" s="387"/>
      <c r="K45" s="387"/>
      <c r="L45" s="394"/>
      <c r="M45" s="396"/>
      <c r="N45" s="387"/>
      <c r="O45" s="387"/>
      <c r="P45" s="384" t="s">
        <v>156</v>
      </c>
      <c r="Q45" s="385"/>
      <c r="R45" s="385"/>
      <c r="S45" s="386"/>
      <c r="T45" s="387"/>
      <c r="U45" s="384" t="s">
        <v>156</v>
      </c>
      <c r="V45" s="385"/>
      <c r="W45" s="385"/>
      <c r="X45" s="386"/>
      <c r="Y45" s="387"/>
      <c r="Z45" s="384" t="s">
        <v>156</v>
      </c>
      <c r="AA45" s="385"/>
      <c r="AB45" s="385"/>
      <c r="AC45" s="386"/>
      <c r="AD45" s="387"/>
      <c r="AE45" s="384" t="s">
        <v>156</v>
      </c>
      <c r="AF45" s="385"/>
      <c r="AG45" s="385"/>
      <c r="AH45" s="386"/>
      <c r="AI45" s="387"/>
      <c r="AJ45" s="384" t="s">
        <v>156</v>
      </c>
      <c r="AK45" s="385"/>
      <c r="AL45" s="385"/>
      <c r="AM45" s="386"/>
      <c r="AN45" s="387"/>
      <c r="AO45" s="384" t="s">
        <v>156</v>
      </c>
      <c r="AP45" s="385"/>
      <c r="AQ45" s="385"/>
      <c r="AR45" s="386"/>
      <c r="AS45" s="387"/>
      <c r="AT45" s="384" t="s">
        <v>156</v>
      </c>
      <c r="AU45" s="385"/>
      <c r="AV45" s="385"/>
      <c r="AW45" s="386"/>
      <c r="AX45" s="387"/>
    </row>
    <row r="46" spans="2:50">
      <c r="B46" s="387"/>
      <c r="C46" s="387"/>
      <c r="D46" s="387"/>
      <c r="E46" s="109" t="s">
        <v>153</v>
      </c>
      <c r="F46" s="109" t="s">
        <v>154</v>
      </c>
      <c r="G46" s="109" t="s">
        <v>157</v>
      </c>
      <c r="H46" s="395"/>
      <c r="I46" s="109" t="s">
        <v>153</v>
      </c>
      <c r="J46" s="109" t="s">
        <v>154</v>
      </c>
      <c r="K46" s="109" t="s">
        <v>157</v>
      </c>
      <c r="L46" s="395"/>
      <c r="M46" s="383"/>
      <c r="N46" s="387"/>
      <c r="O46" s="387"/>
      <c r="P46" s="109" t="s">
        <v>153</v>
      </c>
      <c r="Q46" s="109" t="s">
        <v>154</v>
      </c>
      <c r="R46" s="109" t="s">
        <v>157</v>
      </c>
      <c r="S46" s="109" t="s">
        <v>170</v>
      </c>
      <c r="T46" s="387"/>
      <c r="U46" s="109" t="s">
        <v>153</v>
      </c>
      <c r="V46" s="109" t="s">
        <v>154</v>
      </c>
      <c r="W46" s="109" t="s">
        <v>157</v>
      </c>
      <c r="X46" s="109" t="s">
        <v>170</v>
      </c>
      <c r="Y46" s="387"/>
      <c r="Z46" s="109" t="s">
        <v>153</v>
      </c>
      <c r="AA46" s="109" t="s">
        <v>154</v>
      </c>
      <c r="AB46" s="109" t="s">
        <v>157</v>
      </c>
      <c r="AC46" s="109" t="s">
        <v>170</v>
      </c>
      <c r="AD46" s="387"/>
      <c r="AE46" s="109" t="s">
        <v>153</v>
      </c>
      <c r="AF46" s="109" t="s">
        <v>154</v>
      </c>
      <c r="AG46" s="109" t="s">
        <v>157</v>
      </c>
      <c r="AH46" s="109" t="s">
        <v>170</v>
      </c>
      <c r="AI46" s="387"/>
      <c r="AJ46" s="109" t="s">
        <v>153</v>
      </c>
      <c r="AK46" s="109" t="s">
        <v>154</v>
      </c>
      <c r="AL46" s="109" t="s">
        <v>157</v>
      </c>
      <c r="AM46" s="109" t="s">
        <v>170</v>
      </c>
      <c r="AN46" s="387"/>
      <c r="AO46" s="109" t="s">
        <v>153</v>
      </c>
      <c r="AP46" s="109" t="s">
        <v>154</v>
      </c>
      <c r="AQ46" s="109" t="s">
        <v>157</v>
      </c>
      <c r="AR46" s="109" t="s">
        <v>170</v>
      </c>
      <c r="AS46" s="387"/>
      <c r="AT46" s="109" t="s">
        <v>153</v>
      </c>
      <c r="AU46" s="109" t="s">
        <v>154</v>
      </c>
      <c r="AV46" s="109" t="s">
        <v>157</v>
      </c>
      <c r="AW46" s="109" t="s">
        <v>170</v>
      </c>
      <c r="AX46" s="387"/>
    </row>
    <row r="47" spans="2:50">
      <c r="B47" s="387" t="s">
        <v>267</v>
      </c>
      <c r="C47" s="110">
        <v>1</v>
      </c>
      <c r="D47" s="110"/>
      <c r="E47" s="110"/>
      <c r="F47" s="110"/>
      <c r="G47" s="110"/>
      <c r="H47" s="399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389" t="e">
        <f>AVERAGE(K47:K61)</f>
        <v>#DIV/0!</v>
      </c>
      <c r="M47" s="184" t="e">
        <f>RANK(K47, K$47:$K$61)</f>
        <v>#DIV/0!</v>
      </c>
      <c r="N47" s="387"/>
      <c r="O47" s="387"/>
      <c r="P47" s="110"/>
      <c r="Q47" s="110"/>
      <c r="R47" s="110"/>
      <c r="S47" s="110"/>
      <c r="T47" s="378" t="e">
        <f>AVERAGE(R47:R61)</f>
        <v>#DIV/0!</v>
      </c>
      <c r="U47" s="110"/>
      <c r="V47" s="110"/>
      <c r="W47" s="110"/>
      <c r="X47" s="110"/>
      <c r="Y47" s="378" t="e">
        <f>AVERAGE(W47:W61)</f>
        <v>#DIV/0!</v>
      </c>
      <c r="Z47" s="110"/>
      <c r="AA47" s="110"/>
      <c r="AB47" s="110"/>
      <c r="AC47" s="110"/>
      <c r="AD47" s="378" t="e">
        <f>AVERAGE(AB47:AB61)</f>
        <v>#DIV/0!</v>
      </c>
      <c r="AE47" s="110"/>
      <c r="AF47" s="110"/>
      <c r="AG47" s="110"/>
      <c r="AH47" s="110"/>
      <c r="AI47" s="378" t="e">
        <f>AVERAGE(AG47:AG61)</f>
        <v>#DIV/0!</v>
      </c>
      <c r="AJ47" s="110"/>
      <c r="AK47" s="110"/>
      <c r="AL47" s="110"/>
      <c r="AM47" s="110"/>
      <c r="AN47" s="378" t="e">
        <f>AVERAGE(AL47:AL61)</f>
        <v>#DIV/0!</v>
      </c>
      <c r="AO47" s="110"/>
      <c r="AP47" s="110"/>
      <c r="AQ47" s="110"/>
      <c r="AR47" s="110"/>
      <c r="AS47" s="378" t="e">
        <f>AVERAGE(AQ47:AQ61)</f>
        <v>#DIV/0!</v>
      </c>
      <c r="AT47" s="110"/>
      <c r="AU47" s="110"/>
      <c r="AV47" s="110"/>
      <c r="AW47" s="110"/>
      <c r="AX47" s="378" t="e">
        <f>AVERAGE(AV47:AV61)</f>
        <v>#DIV/0!</v>
      </c>
    </row>
    <row r="48" spans="2:50">
      <c r="B48" s="378"/>
      <c r="C48" s="110">
        <v>2</v>
      </c>
      <c r="D48" s="110"/>
      <c r="E48" s="110"/>
      <c r="F48" s="110"/>
      <c r="G48" s="110"/>
      <c r="H48" s="400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390"/>
      <c r="M48" s="184" t="e">
        <f>RANK(K48, K$47:$K$61)</f>
        <v>#DIV/0!</v>
      </c>
      <c r="N48" s="387"/>
      <c r="O48" s="387"/>
      <c r="P48" s="110"/>
      <c r="Q48" s="110"/>
      <c r="R48" s="110"/>
      <c r="S48" s="110"/>
      <c r="T48" s="378"/>
      <c r="U48" s="110"/>
      <c r="V48" s="110"/>
      <c r="W48" s="110"/>
      <c r="X48" s="110"/>
      <c r="Y48" s="378"/>
      <c r="Z48" s="110"/>
      <c r="AA48" s="110"/>
      <c r="AB48" s="110"/>
      <c r="AC48" s="110"/>
      <c r="AD48" s="378"/>
      <c r="AE48" s="110"/>
      <c r="AF48" s="110"/>
      <c r="AG48" s="110"/>
      <c r="AH48" s="110"/>
      <c r="AI48" s="378"/>
      <c r="AJ48" s="110"/>
      <c r="AK48" s="110"/>
      <c r="AL48" s="110"/>
      <c r="AM48" s="110"/>
      <c r="AN48" s="378"/>
      <c r="AO48" s="110"/>
      <c r="AP48" s="110"/>
      <c r="AQ48" s="110"/>
      <c r="AR48" s="110"/>
      <c r="AS48" s="378"/>
      <c r="AT48" s="110"/>
      <c r="AU48" s="110"/>
      <c r="AV48" s="110"/>
      <c r="AW48" s="110"/>
      <c r="AX48" s="378"/>
    </row>
    <row r="49" spans="2:50">
      <c r="B49" s="378"/>
      <c r="C49" s="110">
        <v>3</v>
      </c>
      <c r="D49" s="110"/>
      <c r="E49" s="110"/>
      <c r="F49" s="110"/>
      <c r="G49" s="110"/>
      <c r="H49" s="400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390"/>
      <c r="M49" s="184" t="e">
        <f>RANK(K49, K$47:$K$61)</f>
        <v>#DIV/0!</v>
      </c>
      <c r="N49" s="387"/>
      <c r="O49" s="387"/>
      <c r="P49" s="110"/>
      <c r="Q49" s="110"/>
      <c r="R49" s="110"/>
      <c r="S49" s="110"/>
      <c r="T49" s="378"/>
      <c r="U49" s="110"/>
      <c r="V49" s="110"/>
      <c r="W49" s="110"/>
      <c r="X49" s="110"/>
      <c r="Y49" s="378"/>
      <c r="Z49" s="110"/>
      <c r="AA49" s="110"/>
      <c r="AB49" s="110"/>
      <c r="AC49" s="110"/>
      <c r="AD49" s="378"/>
      <c r="AE49" s="110"/>
      <c r="AF49" s="110"/>
      <c r="AG49" s="110"/>
      <c r="AH49" s="110"/>
      <c r="AI49" s="378"/>
      <c r="AJ49" s="110"/>
      <c r="AK49" s="110"/>
      <c r="AL49" s="110"/>
      <c r="AM49" s="110"/>
      <c r="AN49" s="378"/>
      <c r="AO49" s="110"/>
      <c r="AP49" s="110"/>
      <c r="AQ49" s="110"/>
      <c r="AR49" s="110"/>
      <c r="AS49" s="378"/>
      <c r="AT49" s="110"/>
      <c r="AU49" s="110"/>
      <c r="AV49" s="110"/>
      <c r="AW49" s="110"/>
      <c r="AX49" s="378"/>
    </row>
    <row r="50" spans="2:50">
      <c r="B50" s="378"/>
      <c r="C50" s="110">
        <v>4</v>
      </c>
      <c r="D50" s="110"/>
      <c r="E50" s="110"/>
      <c r="F50" s="110"/>
      <c r="G50" s="110"/>
      <c r="H50" s="400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390"/>
      <c r="M50" s="184" t="e">
        <f>RANK(K50, K$47:$K$61)</f>
        <v>#DIV/0!</v>
      </c>
      <c r="N50" s="387"/>
      <c r="O50" s="387"/>
      <c r="P50" s="110"/>
      <c r="Q50" s="110"/>
      <c r="R50" s="110"/>
      <c r="S50" s="110"/>
      <c r="T50" s="378"/>
      <c r="U50" s="110"/>
      <c r="V50" s="110"/>
      <c r="W50" s="110"/>
      <c r="X50" s="110"/>
      <c r="Y50" s="378"/>
      <c r="Z50" s="110"/>
      <c r="AA50" s="110"/>
      <c r="AB50" s="110"/>
      <c r="AC50" s="110"/>
      <c r="AD50" s="378"/>
      <c r="AE50" s="110"/>
      <c r="AF50" s="110"/>
      <c r="AG50" s="110"/>
      <c r="AH50" s="110"/>
      <c r="AI50" s="378"/>
      <c r="AJ50" s="110"/>
      <c r="AK50" s="110"/>
      <c r="AL50" s="110"/>
      <c r="AM50" s="110"/>
      <c r="AN50" s="378"/>
      <c r="AO50" s="110"/>
      <c r="AP50" s="110"/>
      <c r="AQ50" s="110"/>
      <c r="AR50" s="110"/>
      <c r="AS50" s="378"/>
      <c r="AT50" s="110"/>
      <c r="AU50" s="110"/>
      <c r="AV50" s="110"/>
      <c r="AW50" s="110"/>
      <c r="AX50" s="378"/>
    </row>
    <row r="51" spans="2:50">
      <c r="B51" s="378"/>
      <c r="C51" s="110">
        <v>5</v>
      </c>
      <c r="D51" s="110"/>
      <c r="E51" s="110"/>
      <c r="F51" s="110"/>
      <c r="G51" s="110"/>
      <c r="H51" s="400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390"/>
      <c r="M51" s="184" t="e">
        <f>RANK(K51, K$47:$K$61)</f>
        <v>#DIV/0!</v>
      </c>
      <c r="N51" s="387"/>
      <c r="O51" s="387"/>
      <c r="P51" s="110"/>
      <c r="Q51" s="110"/>
      <c r="R51" s="110"/>
      <c r="S51" s="110"/>
      <c r="T51" s="378"/>
      <c r="U51" s="110"/>
      <c r="V51" s="110"/>
      <c r="W51" s="110"/>
      <c r="X51" s="110"/>
      <c r="Y51" s="378"/>
      <c r="Z51" s="110"/>
      <c r="AA51" s="110"/>
      <c r="AB51" s="110"/>
      <c r="AC51" s="110"/>
      <c r="AD51" s="378"/>
      <c r="AE51" s="110"/>
      <c r="AF51" s="110"/>
      <c r="AG51" s="110"/>
      <c r="AH51" s="110"/>
      <c r="AI51" s="378"/>
      <c r="AJ51" s="110"/>
      <c r="AK51" s="110"/>
      <c r="AL51" s="110"/>
      <c r="AM51" s="110"/>
      <c r="AN51" s="378"/>
      <c r="AO51" s="110"/>
      <c r="AP51" s="110"/>
      <c r="AQ51" s="110"/>
      <c r="AR51" s="110"/>
      <c r="AS51" s="378"/>
      <c r="AT51" s="110"/>
      <c r="AU51" s="110"/>
      <c r="AV51" s="110"/>
      <c r="AW51" s="110"/>
      <c r="AX51" s="378"/>
    </row>
    <row r="52" spans="2:50">
      <c r="B52" s="378"/>
      <c r="C52" s="110">
        <v>6</v>
      </c>
      <c r="D52" s="110"/>
      <c r="E52" s="110"/>
      <c r="F52" s="110"/>
      <c r="G52" s="110"/>
      <c r="H52" s="400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390"/>
      <c r="M52" s="184" t="e">
        <f>RANK(K52, K$47:$K$61)</f>
        <v>#DIV/0!</v>
      </c>
      <c r="N52" s="387"/>
      <c r="O52" s="387"/>
      <c r="P52" s="110"/>
      <c r="Q52" s="110"/>
      <c r="R52" s="110"/>
      <c r="S52" s="110"/>
      <c r="T52" s="378"/>
      <c r="U52" s="110"/>
      <c r="V52" s="110"/>
      <c r="W52" s="110"/>
      <c r="X52" s="110"/>
      <c r="Y52" s="378"/>
      <c r="Z52" s="110"/>
      <c r="AA52" s="110"/>
      <c r="AB52" s="110"/>
      <c r="AC52" s="110"/>
      <c r="AD52" s="378"/>
      <c r="AE52" s="110"/>
      <c r="AF52" s="110"/>
      <c r="AG52" s="110"/>
      <c r="AH52" s="110"/>
      <c r="AI52" s="378"/>
      <c r="AJ52" s="110"/>
      <c r="AK52" s="110"/>
      <c r="AL52" s="110"/>
      <c r="AM52" s="110"/>
      <c r="AN52" s="378"/>
      <c r="AO52" s="110"/>
      <c r="AP52" s="110"/>
      <c r="AQ52" s="110"/>
      <c r="AR52" s="110"/>
      <c r="AS52" s="378"/>
      <c r="AT52" s="110"/>
      <c r="AU52" s="110"/>
      <c r="AV52" s="110"/>
      <c r="AW52" s="110"/>
      <c r="AX52" s="378"/>
    </row>
    <row r="53" spans="2:50">
      <c r="B53" s="378"/>
      <c r="C53" s="110">
        <v>7</v>
      </c>
      <c r="D53" s="110"/>
      <c r="E53" s="110"/>
      <c r="F53" s="110"/>
      <c r="G53" s="110"/>
      <c r="H53" s="400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390"/>
      <c r="M53" s="184" t="e">
        <f>RANK(K53, K$47:$K$61)</f>
        <v>#DIV/0!</v>
      </c>
      <c r="N53" s="387"/>
      <c r="O53" s="387"/>
      <c r="P53" s="110"/>
      <c r="Q53" s="110"/>
      <c r="R53" s="110"/>
      <c r="S53" s="110"/>
      <c r="T53" s="378"/>
      <c r="U53" s="110"/>
      <c r="V53" s="110"/>
      <c r="W53" s="110"/>
      <c r="X53" s="110"/>
      <c r="Y53" s="378"/>
      <c r="Z53" s="110"/>
      <c r="AA53" s="110"/>
      <c r="AB53" s="110"/>
      <c r="AC53" s="110"/>
      <c r="AD53" s="378"/>
      <c r="AE53" s="110"/>
      <c r="AF53" s="110"/>
      <c r="AG53" s="110"/>
      <c r="AH53" s="110"/>
      <c r="AI53" s="378"/>
      <c r="AJ53" s="110"/>
      <c r="AK53" s="110"/>
      <c r="AL53" s="110"/>
      <c r="AM53" s="110"/>
      <c r="AN53" s="378"/>
      <c r="AO53" s="110"/>
      <c r="AP53" s="110"/>
      <c r="AQ53" s="110"/>
      <c r="AR53" s="110"/>
      <c r="AS53" s="378"/>
      <c r="AT53" s="110"/>
      <c r="AU53" s="110"/>
      <c r="AV53" s="110"/>
      <c r="AW53" s="110"/>
      <c r="AX53" s="378"/>
    </row>
    <row r="54" spans="2:50">
      <c r="B54" s="378"/>
      <c r="C54" s="110">
        <v>8</v>
      </c>
      <c r="D54" s="110"/>
      <c r="E54" s="110"/>
      <c r="F54" s="110"/>
      <c r="G54" s="110"/>
      <c r="H54" s="400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390"/>
      <c r="M54" s="184" t="e">
        <f>RANK(K54, K$47:$K$61)</f>
        <v>#DIV/0!</v>
      </c>
      <c r="N54" s="387"/>
      <c r="O54" s="387"/>
      <c r="P54" s="110"/>
      <c r="Q54" s="110"/>
      <c r="R54" s="110"/>
      <c r="S54" s="110"/>
      <c r="T54" s="378"/>
      <c r="U54" s="110"/>
      <c r="V54" s="110"/>
      <c r="W54" s="110"/>
      <c r="X54" s="110"/>
      <c r="Y54" s="378"/>
      <c r="Z54" s="110"/>
      <c r="AA54" s="110"/>
      <c r="AB54" s="110"/>
      <c r="AC54" s="110"/>
      <c r="AD54" s="378"/>
      <c r="AE54" s="110"/>
      <c r="AF54" s="110"/>
      <c r="AG54" s="110"/>
      <c r="AH54" s="110"/>
      <c r="AI54" s="378"/>
      <c r="AJ54" s="110"/>
      <c r="AK54" s="110"/>
      <c r="AL54" s="110"/>
      <c r="AM54" s="110"/>
      <c r="AN54" s="378"/>
      <c r="AO54" s="110"/>
      <c r="AP54" s="110"/>
      <c r="AQ54" s="110"/>
      <c r="AR54" s="110"/>
      <c r="AS54" s="378"/>
      <c r="AT54" s="110"/>
      <c r="AU54" s="110"/>
      <c r="AV54" s="110"/>
      <c r="AW54" s="110"/>
      <c r="AX54" s="378"/>
    </row>
    <row r="55" spans="2:50">
      <c r="B55" s="378"/>
      <c r="C55" s="110">
        <v>9</v>
      </c>
      <c r="D55" s="110"/>
      <c r="E55" s="110"/>
      <c r="F55" s="110"/>
      <c r="G55" s="110"/>
      <c r="H55" s="400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390"/>
      <c r="M55" s="184" t="e">
        <f>RANK(K55, K$47:$K$61)</f>
        <v>#DIV/0!</v>
      </c>
      <c r="N55" s="387"/>
      <c r="O55" s="387"/>
      <c r="P55" s="110"/>
      <c r="Q55" s="110"/>
      <c r="R55" s="110"/>
      <c r="S55" s="110"/>
      <c r="T55" s="378"/>
      <c r="U55" s="110"/>
      <c r="V55" s="110"/>
      <c r="W55" s="110"/>
      <c r="X55" s="110"/>
      <c r="Y55" s="378"/>
      <c r="Z55" s="110"/>
      <c r="AA55" s="110"/>
      <c r="AB55" s="110"/>
      <c r="AC55" s="110"/>
      <c r="AD55" s="378"/>
      <c r="AE55" s="110"/>
      <c r="AF55" s="110"/>
      <c r="AG55" s="110"/>
      <c r="AH55" s="110"/>
      <c r="AI55" s="378"/>
      <c r="AJ55" s="110"/>
      <c r="AK55" s="110"/>
      <c r="AL55" s="110"/>
      <c r="AM55" s="110"/>
      <c r="AN55" s="378"/>
      <c r="AO55" s="110"/>
      <c r="AP55" s="110"/>
      <c r="AQ55" s="110"/>
      <c r="AR55" s="110"/>
      <c r="AS55" s="378"/>
      <c r="AT55" s="110"/>
      <c r="AU55" s="110"/>
      <c r="AV55" s="110"/>
      <c r="AW55" s="110"/>
      <c r="AX55" s="378"/>
    </row>
    <row r="56" spans="2:50">
      <c r="B56" s="378"/>
      <c r="C56" s="110">
        <v>10</v>
      </c>
      <c r="D56" s="110"/>
      <c r="E56" s="110"/>
      <c r="F56" s="110"/>
      <c r="G56" s="110"/>
      <c r="H56" s="400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390"/>
      <c r="M56" s="184" t="e">
        <f>RANK(K56, K$47:$K$61)</f>
        <v>#DIV/0!</v>
      </c>
      <c r="N56" s="387"/>
      <c r="O56" s="387"/>
      <c r="P56" s="110"/>
      <c r="Q56" s="110"/>
      <c r="R56" s="110"/>
      <c r="S56" s="110"/>
      <c r="T56" s="378"/>
      <c r="U56" s="110"/>
      <c r="V56" s="110"/>
      <c r="W56" s="110"/>
      <c r="X56" s="110"/>
      <c r="Y56" s="378"/>
      <c r="Z56" s="110"/>
      <c r="AA56" s="110"/>
      <c r="AB56" s="110"/>
      <c r="AC56" s="110"/>
      <c r="AD56" s="378"/>
      <c r="AE56" s="110"/>
      <c r="AF56" s="110"/>
      <c r="AG56" s="110"/>
      <c r="AH56" s="110"/>
      <c r="AI56" s="378"/>
      <c r="AJ56" s="110"/>
      <c r="AK56" s="110"/>
      <c r="AL56" s="110"/>
      <c r="AM56" s="110"/>
      <c r="AN56" s="378"/>
      <c r="AO56" s="110"/>
      <c r="AP56" s="110"/>
      <c r="AQ56" s="110"/>
      <c r="AR56" s="110"/>
      <c r="AS56" s="378"/>
      <c r="AT56" s="110"/>
      <c r="AU56" s="110"/>
      <c r="AV56" s="110"/>
      <c r="AW56" s="110"/>
      <c r="AX56" s="378"/>
    </row>
    <row r="57" spans="2:50">
      <c r="B57" s="378"/>
      <c r="C57" s="110">
        <v>11</v>
      </c>
      <c r="D57" s="110"/>
      <c r="E57" s="110"/>
      <c r="F57" s="110"/>
      <c r="G57" s="110"/>
      <c r="H57" s="400"/>
      <c r="I57" s="110"/>
      <c r="J57" s="110"/>
      <c r="K57" s="110"/>
      <c r="L57" s="390"/>
      <c r="M57" s="184" t="e">
        <f>RANK(K57, K$47:$K$61)</f>
        <v>#DIV/0!</v>
      </c>
      <c r="N57" s="387"/>
      <c r="O57" s="387"/>
      <c r="P57" s="110"/>
      <c r="Q57" s="110"/>
      <c r="R57" s="110"/>
      <c r="S57" s="110"/>
      <c r="T57" s="378"/>
      <c r="U57" s="110"/>
      <c r="V57" s="110"/>
      <c r="W57" s="110"/>
      <c r="X57" s="110"/>
      <c r="Y57" s="378"/>
      <c r="Z57" s="110"/>
      <c r="AA57" s="110"/>
      <c r="AB57" s="110"/>
      <c r="AC57" s="110"/>
      <c r="AD57" s="378"/>
      <c r="AE57" s="110"/>
      <c r="AF57" s="110"/>
      <c r="AG57" s="110"/>
      <c r="AH57" s="110"/>
      <c r="AI57" s="378"/>
      <c r="AJ57" s="110"/>
      <c r="AK57" s="110"/>
      <c r="AL57" s="110"/>
      <c r="AM57" s="110"/>
      <c r="AN57" s="378"/>
      <c r="AO57" s="110"/>
      <c r="AP57" s="110"/>
      <c r="AQ57" s="110"/>
      <c r="AR57" s="110"/>
      <c r="AS57" s="378"/>
      <c r="AT57" s="110"/>
      <c r="AU57" s="110"/>
      <c r="AV57" s="110"/>
      <c r="AW57" s="110"/>
      <c r="AX57" s="378"/>
    </row>
    <row r="58" spans="2:50">
      <c r="B58" s="378"/>
      <c r="C58" s="110">
        <v>12</v>
      </c>
      <c r="D58" s="110"/>
      <c r="E58" s="110"/>
      <c r="F58" s="110"/>
      <c r="G58" s="110"/>
      <c r="H58" s="400"/>
      <c r="I58" s="110"/>
      <c r="J58" s="110"/>
      <c r="K58" s="110"/>
      <c r="L58" s="390"/>
      <c r="M58" s="184" t="e">
        <f>RANK(K58, K$47:$K$61)</f>
        <v>#DIV/0!</v>
      </c>
      <c r="N58" s="387"/>
      <c r="O58" s="387"/>
      <c r="P58" s="110"/>
      <c r="Q58" s="110"/>
      <c r="R58" s="110"/>
      <c r="S58" s="110"/>
      <c r="T58" s="378"/>
      <c r="U58" s="110"/>
      <c r="V58" s="110"/>
      <c r="W58" s="110"/>
      <c r="X58" s="110"/>
      <c r="Y58" s="378"/>
      <c r="Z58" s="110"/>
      <c r="AA58" s="110"/>
      <c r="AB58" s="110"/>
      <c r="AC58" s="110"/>
      <c r="AD58" s="378"/>
      <c r="AE58" s="110"/>
      <c r="AF58" s="110"/>
      <c r="AG58" s="110"/>
      <c r="AH58" s="110"/>
      <c r="AI58" s="378"/>
      <c r="AJ58" s="110"/>
      <c r="AK58" s="110"/>
      <c r="AL58" s="110"/>
      <c r="AM58" s="110"/>
      <c r="AN58" s="378"/>
      <c r="AO58" s="110"/>
      <c r="AP58" s="110"/>
      <c r="AQ58" s="110"/>
      <c r="AR58" s="110"/>
      <c r="AS58" s="378"/>
      <c r="AT58" s="110"/>
      <c r="AU58" s="110"/>
      <c r="AV58" s="110"/>
      <c r="AW58" s="110"/>
      <c r="AX58" s="378"/>
    </row>
    <row r="59" spans="2:50">
      <c r="B59" s="378"/>
      <c r="C59" s="110">
        <v>13</v>
      </c>
      <c r="D59" s="110"/>
      <c r="E59" s="110"/>
      <c r="F59" s="110"/>
      <c r="G59" s="110"/>
      <c r="H59" s="400"/>
      <c r="I59" s="110"/>
      <c r="J59" s="110"/>
      <c r="K59" s="110"/>
      <c r="L59" s="390"/>
      <c r="M59" s="184" t="e">
        <f>RANK(K59, K$47:$K$61)</f>
        <v>#DIV/0!</v>
      </c>
      <c r="N59" s="387"/>
      <c r="O59" s="387"/>
      <c r="P59" s="110"/>
      <c r="Q59" s="110"/>
      <c r="R59" s="110"/>
      <c r="S59" s="110"/>
      <c r="T59" s="378"/>
      <c r="U59" s="110"/>
      <c r="V59" s="110"/>
      <c r="W59" s="110"/>
      <c r="X59" s="110"/>
      <c r="Y59" s="378"/>
      <c r="Z59" s="110"/>
      <c r="AA59" s="110"/>
      <c r="AB59" s="110"/>
      <c r="AC59" s="110"/>
      <c r="AD59" s="378"/>
      <c r="AE59" s="110"/>
      <c r="AF59" s="110"/>
      <c r="AG59" s="110"/>
      <c r="AH59" s="110"/>
      <c r="AI59" s="378"/>
      <c r="AJ59" s="110"/>
      <c r="AK59" s="110"/>
      <c r="AL59" s="110"/>
      <c r="AM59" s="110"/>
      <c r="AN59" s="378"/>
      <c r="AO59" s="110"/>
      <c r="AP59" s="110"/>
      <c r="AQ59" s="110"/>
      <c r="AR59" s="110"/>
      <c r="AS59" s="378"/>
      <c r="AT59" s="110"/>
      <c r="AU59" s="110"/>
      <c r="AV59" s="110"/>
      <c r="AW59" s="110"/>
      <c r="AX59" s="378"/>
    </row>
    <row r="60" spans="2:50">
      <c r="B60" s="378"/>
      <c r="C60" s="110">
        <v>14</v>
      </c>
      <c r="D60" s="110"/>
      <c r="E60" s="110"/>
      <c r="F60" s="110"/>
      <c r="G60" s="110"/>
      <c r="H60" s="400"/>
      <c r="I60" s="110"/>
      <c r="J60" s="110"/>
      <c r="K60" s="110"/>
      <c r="L60" s="390"/>
      <c r="M60" s="184" t="e">
        <f>RANK(K60, K$47:$K$61)</f>
        <v>#DIV/0!</v>
      </c>
      <c r="N60" s="387"/>
      <c r="O60" s="387"/>
      <c r="P60" s="110"/>
      <c r="Q60" s="110"/>
      <c r="R60" s="110"/>
      <c r="S60" s="110"/>
      <c r="T60" s="378"/>
      <c r="U60" s="110"/>
      <c r="V60" s="110"/>
      <c r="W60" s="110"/>
      <c r="X60" s="110"/>
      <c r="Y60" s="378"/>
      <c r="Z60" s="110"/>
      <c r="AA60" s="110"/>
      <c r="AB60" s="110"/>
      <c r="AC60" s="110"/>
      <c r="AD60" s="378"/>
      <c r="AE60" s="110"/>
      <c r="AF60" s="110"/>
      <c r="AG60" s="110"/>
      <c r="AH60" s="110"/>
      <c r="AI60" s="378"/>
      <c r="AJ60" s="110"/>
      <c r="AK60" s="110"/>
      <c r="AL60" s="110"/>
      <c r="AM60" s="110"/>
      <c r="AN60" s="378"/>
      <c r="AO60" s="110"/>
      <c r="AP60" s="110"/>
      <c r="AQ60" s="110"/>
      <c r="AR60" s="110"/>
      <c r="AS60" s="378"/>
      <c r="AT60" s="110"/>
      <c r="AU60" s="110"/>
      <c r="AV60" s="110"/>
      <c r="AW60" s="110"/>
      <c r="AX60" s="378"/>
    </row>
    <row r="61" spans="2:50">
      <c r="B61" s="378"/>
      <c r="C61" s="110">
        <v>15</v>
      </c>
      <c r="D61" s="110"/>
      <c r="E61" s="110"/>
      <c r="F61" s="110"/>
      <c r="G61" s="110"/>
      <c r="H61" s="401"/>
      <c r="I61" s="110"/>
      <c r="J61" s="110"/>
      <c r="K61" s="110"/>
      <c r="L61" s="391"/>
      <c r="M61" s="184" t="e">
        <f>RANK(K61, K$47:$K$61)</f>
        <v>#DIV/0!</v>
      </c>
      <c r="N61" s="387"/>
      <c r="O61" s="387"/>
      <c r="P61" s="110"/>
      <c r="Q61" s="110"/>
      <c r="R61" s="110"/>
      <c r="S61" s="110"/>
      <c r="T61" s="378"/>
      <c r="U61" s="110"/>
      <c r="V61" s="110"/>
      <c r="W61" s="110"/>
      <c r="X61" s="110"/>
      <c r="Y61" s="378"/>
      <c r="Z61" s="110"/>
      <c r="AA61" s="110"/>
      <c r="AB61" s="110"/>
      <c r="AC61" s="110"/>
      <c r="AD61" s="378"/>
      <c r="AE61" s="110"/>
      <c r="AF61" s="110"/>
      <c r="AG61" s="110"/>
      <c r="AH61" s="110"/>
      <c r="AI61" s="378"/>
      <c r="AJ61" s="110"/>
      <c r="AK61" s="110"/>
      <c r="AL61" s="110"/>
      <c r="AM61" s="110"/>
      <c r="AN61" s="378"/>
      <c r="AO61" s="110"/>
      <c r="AP61" s="110"/>
      <c r="AQ61" s="110"/>
      <c r="AR61" s="110"/>
      <c r="AS61" s="378"/>
      <c r="AT61" s="110"/>
      <c r="AU61" s="110"/>
      <c r="AV61" s="110"/>
      <c r="AW61" s="110"/>
      <c r="AX61" s="378"/>
    </row>
    <row r="62" spans="2:50" ht="15.75">
      <c r="B62" s="379" t="s">
        <v>169</v>
      </c>
      <c r="C62" s="380"/>
      <c r="D62" s="380"/>
      <c r="E62" s="380"/>
      <c r="F62" s="380"/>
      <c r="G62" s="380"/>
      <c r="H62" s="380"/>
      <c r="I62" s="214"/>
      <c r="J62" s="214"/>
      <c r="K62" s="214"/>
      <c r="L62" s="214"/>
      <c r="M62" s="213"/>
      <c r="N62" s="382" t="s">
        <v>161</v>
      </c>
      <c r="O62" s="382" t="s">
        <v>105</v>
      </c>
      <c r="P62" s="377">
        <v>45888</v>
      </c>
      <c r="Q62" s="378"/>
      <c r="R62" s="378"/>
      <c r="S62" s="378"/>
      <c r="T62" s="378"/>
      <c r="U62" s="377">
        <v>45889</v>
      </c>
      <c r="V62" s="378"/>
      <c r="W62" s="378"/>
      <c r="X62" s="378"/>
      <c r="Y62" s="378"/>
      <c r="Z62" s="377">
        <v>45890</v>
      </c>
      <c r="AA62" s="378"/>
      <c r="AB62" s="378"/>
      <c r="AC62" s="378"/>
      <c r="AD62" s="378"/>
      <c r="AE62" s="377">
        <v>45891</v>
      </c>
      <c r="AF62" s="378"/>
      <c r="AG62" s="378"/>
      <c r="AH62" s="378"/>
      <c r="AI62" s="378"/>
      <c r="AJ62" s="377">
        <v>45892</v>
      </c>
      <c r="AK62" s="378"/>
      <c r="AL62" s="378"/>
      <c r="AM62" s="378"/>
      <c r="AN62" s="378"/>
      <c r="AO62" s="377">
        <v>45893</v>
      </c>
      <c r="AP62" s="378"/>
      <c r="AQ62" s="378"/>
      <c r="AR62" s="378"/>
      <c r="AS62" s="378"/>
      <c r="AT62" s="377">
        <v>45894</v>
      </c>
      <c r="AU62" s="378"/>
      <c r="AV62" s="378"/>
      <c r="AW62" s="378"/>
      <c r="AX62" s="378"/>
    </row>
    <row r="63" spans="2:50" ht="15.75">
      <c r="B63" s="381"/>
      <c r="C63" s="381"/>
      <c r="D63" s="381"/>
      <c r="E63" s="381"/>
      <c r="F63" s="381"/>
      <c r="G63" s="381"/>
      <c r="H63" s="381"/>
      <c r="I63" s="180"/>
      <c r="J63" s="180"/>
      <c r="K63" s="180"/>
      <c r="L63" s="180"/>
      <c r="M63" s="181"/>
      <c r="N63" s="383"/>
      <c r="O63" s="383"/>
      <c r="P63" s="377" t="s">
        <v>163</v>
      </c>
      <c r="Q63" s="378"/>
      <c r="R63" s="378"/>
      <c r="S63" s="378"/>
      <c r="T63" s="378"/>
      <c r="U63" s="377" t="s">
        <v>164</v>
      </c>
      <c r="V63" s="378"/>
      <c r="W63" s="378"/>
      <c r="X63" s="378"/>
      <c r="Y63" s="378"/>
      <c r="Z63" s="377" t="s">
        <v>165</v>
      </c>
      <c r="AA63" s="378"/>
      <c r="AB63" s="378"/>
      <c r="AC63" s="378"/>
      <c r="AD63" s="378"/>
      <c r="AE63" s="377" t="s">
        <v>162</v>
      </c>
      <c r="AF63" s="378"/>
      <c r="AG63" s="378"/>
      <c r="AH63" s="378"/>
      <c r="AI63" s="378"/>
      <c r="AJ63" s="377" t="s">
        <v>166</v>
      </c>
      <c r="AK63" s="378"/>
      <c r="AL63" s="378"/>
      <c r="AM63" s="378"/>
      <c r="AN63" s="378"/>
      <c r="AO63" s="377" t="s">
        <v>167</v>
      </c>
      <c r="AP63" s="378"/>
      <c r="AQ63" s="378"/>
      <c r="AR63" s="378"/>
      <c r="AS63" s="378"/>
      <c r="AT63" s="377" t="s">
        <v>168</v>
      </c>
      <c r="AU63" s="378"/>
      <c r="AV63" s="378"/>
      <c r="AW63" s="378"/>
      <c r="AX63" s="378"/>
    </row>
    <row r="64" spans="2:50">
      <c r="B64" s="387" t="s">
        <v>158</v>
      </c>
      <c r="C64" s="387" t="s">
        <v>150</v>
      </c>
      <c r="D64" s="387"/>
      <c r="E64" s="387" t="s">
        <v>152</v>
      </c>
      <c r="F64" s="387"/>
      <c r="G64" s="387"/>
      <c r="H64" s="393" t="s">
        <v>159</v>
      </c>
      <c r="I64" s="387" t="s">
        <v>224</v>
      </c>
      <c r="J64" s="387"/>
      <c r="K64" s="387"/>
      <c r="L64" s="393" t="s">
        <v>159</v>
      </c>
      <c r="M64" s="382" t="s">
        <v>170</v>
      </c>
      <c r="N64" s="387"/>
      <c r="O64" s="387" t="s">
        <v>160</v>
      </c>
      <c r="P64" s="384" t="s">
        <v>155</v>
      </c>
      <c r="Q64" s="385"/>
      <c r="R64" s="385"/>
      <c r="S64" s="386"/>
      <c r="T64" s="387" t="s">
        <v>159</v>
      </c>
      <c r="U64" s="384" t="s">
        <v>155</v>
      </c>
      <c r="V64" s="385"/>
      <c r="W64" s="385"/>
      <c r="X64" s="386"/>
      <c r="Y64" s="387" t="s">
        <v>159</v>
      </c>
      <c r="Z64" s="384" t="s">
        <v>155</v>
      </c>
      <c r="AA64" s="385"/>
      <c r="AB64" s="385"/>
      <c r="AC64" s="386"/>
      <c r="AD64" s="387" t="s">
        <v>159</v>
      </c>
      <c r="AE64" s="384" t="s">
        <v>155</v>
      </c>
      <c r="AF64" s="385"/>
      <c r="AG64" s="385"/>
      <c r="AH64" s="386"/>
      <c r="AI64" s="387" t="s">
        <v>159</v>
      </c>
      <c r="AJ64" s="384" t="s">
        <v>155</v>
      </c>
      <c r="AK64" s="385"/>
      <c r="AL64" s="385"/>
      <c r="AM64" s="386"/>
      <c r="AN64" s="387" t="s">
        <v>159</v>
      </c>
      <c r="AO64" s="384" t="s">
        <v>155</v>
      </c>
      <c r="AP64" s="385"/>
      <c r="AQ64" s="385"/>
      <c r="AR64" s="386"/>
      <c r="AS64" s="387" t="s">
        <v>159</v>
      </c>
      <c r="AT64" s="384" t="s">
        <v>155</v>
      </c>
      <c r="AU64" s="385"/>
      <c r="AV64" s="385"/>
      <c r="AW64" s="386"/>
      <c r="AX64" s="387" t="s">
        <v>159</v>
      </c>
    </row>
    <row r="65" spans="2:50">
      <c r="B65" s="387"/>
      <c r="C65" s="387"/>
      <c r="D65" s="387"/>
      <c r="E65" s="387" t="s">
        <v>151</v>
      </c>
      <c r="F65" s="387"/>
      <c r="G65" s="387"/>
      <c r="H65" s="394"/>
      <c r="I65" s="387" t="s">
        <v>151</v>
      </c>
      <c r="J65" s="387"/>
      <c r="K65" s="387"/>
      <c r="L65" s="394"/>
      <c r="M65" s="396"/>
      <c r="N65" s="387"/>
      <c r="O65" s="387"/>
      <c r="P65" s="384" t="s">
        <v>156</v>
      </c>
      <c r="Q65" s="385"/>
      <c r="R65" s="385"/>
      <c r="S65" s="386"/>
      <c r="T65" s="387"/>
      <c r="U65" s="384" t="s">
        <v>156</v>
      </c>
      <c r="V65" s="385"/>
      <c r="W65" s="385"/>
      <c r="X65" s="386"/>
      <c r="Y65" s="387"/>
      <c r="Z65" s="384" t="s">
        <v>156</v>
      </c>
      <c r="AA65" s="385"/>
      <c r="AB65" s="385"/>
      <c r="AC65" s="386"/>
      <c r="AD65" s="387"/>
      <c r="AE65" s="384" t="s">
        <v>156</v>
      </c>
      <c r="AF65" s="385"/>
      <c r="AG65" s="385"/>
      <c r="AH65" s="386"/>
      <c r="AI65" s="387"/>
      <c r="AJ65" s="384" t="s">
        <v>156</v>
      </c>
      <c r="AK65" s="385"/>
      <c r="AL65" s="385"/>
      <c r="AM65" s="386"/>
      <c r="AN65" s="387"/>
      <c r="AO65" s="384" t="s">
        <v>156</v>
      </c>
      <c r="AP65" s="385"/>
      <c r="AQ65" s="385"/>
      <c r="AR65" s="386"/>
      <c r="AS65" s="387"/>
      <c r="AT65" s="384" t="s">
        <v>156</v>
      </c>
      <c r="AU65" s="385"/>
      <c r="AV65" s="385"/>
      <c r="AW65" s="386"/>
      <c r="AX65" s="387"/>
    </row>
    <row r="66" spans="2:50">
      <c r="B66" s="387"/>
      <c r="C66" s="387"/>
      <c r="D66" s="387"/>
      <c r="E66" s="109" t="s">
        <v>153</v>
      </c>
      <c r="F66" s="109" t="s">
        <v>154</v>
      </c>
      <c r="G66" s="109" t="s">
        <v>157</v>
      </c>
      <c r="H66" s="395"/>
      <c r="I66" s="109" t="s">
        <v>153</v>
      </c>
      <c r="J66" s="109" t="s">
        <v>154</v>
      </c>
      <c r="K66" s="109" t="s">
        <v>157</v>
      </c>
      <c r="L66" s="395"/>
      <c r="M66" s="383"/>
      <c r="N66" s="387"/>
      <c r="O66" s="387"/>
      <c r="P66" s="109" t="s">
        <v>153</v>
      </c>
      <c r="Q66" s="109" t="s">
        <v>154</v>
      </c>
      <c r="R66" s="109" t="s">
        <v>157</v>
      </c>
      <c r="S66" s="109" t="s">
        <v>170</v>
      </c>
      <c r="T66" s="387"/>
      <c r="U66" s="109" t="s">
        <v>153</v>
      </c>
      <c r="V66" s="109" t="s">
        <v>154</v>
      </c>
      <c r="W66" s="109" t="s">
        <v>157</v>
      </c>
      <c r="X66" s="109" t="s">
        <v>170</v>
      </c>
      <c r="Y66" s="387"/>
      <c r="Z66" s="109" t="s">
        <v>153</v>
      </c>
      <c r="AA66" s="109" t="s">
        <v>154</v>
      </c>
      <c r="AB66" s="109" t="s">
        <v>157</v>
      </c>
      <c r="AC66" s="109" t="s">
        <v>170</v>
      </c>
      <c r="AD66" s="387"/>
      <c r="AE66" s="109" t="s">
        <v>153</v>
      </c>
      <c r="AF66" s="109" t="s">
        <v>154</v>
      </c>
      <c r="AG66" s="109" t="s">
        <v>157</v>
      </c>
      <c r="AH66" s="109" t="s">
        <v>170</v>
      </c>
      <c r="AI66" s="387"/>
      <c r="AJ66" s="109" t="s">
        <v>153</v>
      </c>
      <c r="AK66" s="109" t="s">
        <v>154</v>
      </c>
      <c r="AL66" s="109" t="s">
        <v>157</v>
      </c>
      <c r="AM66" s="109" t="s">
        <v>170</v>
      </c>
      <c r="AN66" s="387"/>
      <c r="AO66" s="109" t="s">
        <v>153</v>
      </c>
      <c r="AP66" s="109" t="s">
        <v>154</v>
      </c>
      <c r="AQ66" s="109" t="s">
        <v>157</v>
      </c>
      <c r="AR66" s="109" t="s">
        <v>170</v>
      </c>
      <c r="AS66" s="387"/>
      <c r="AT66" s="109" t="s">
        <v>153</v>
      </c>
      <c r="AU66" s="109" t="s">
        <v>154</v>
      </c>
      <c r="AV66" s="109" t="s">
        <v>157</v>
      </c>
      <c r="AW66" s="109" t="s">
        <v>170</v>
      </c>
      <c r="AX66" s="387"/>
    </row>
    <row r="67" spans="2:50" ht="13.5">
      <c r="B67" s="387" t="s">
        <v>267</v>
      </c>
      <c r="C67" s="110">
        <v>1</v>
      </c>
      <c r="D67" s="285"/>
      <c r="E67" s="184"/>
      <c r="F67" s="184"/>
      <c r="G67" s="182"/>
      <c r="H67" s="389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389" t="e">
        <f>AVERAGE(K67:K81)</f>
        <v>#DIV/0!</v>
      </c>
      <c r="M67" s="184" t="e">
        <f>RANK(K67, K$67:$K$81)</f>
        <v>#DIV/0!</v>
      </c>
      <c r="N67" s="387"/>
      <c r="O67" s="387"/>
      <c r="P67" s="110"/>
      <c r="Q67" s="110"/>
      <c r="R67" s="182"/>
      <c r="S67" s="110"/>
      <c r="T67" s="389" t="e">
        <f>AVERAGE(R67:R81)</f>
        <v>#DIV/0!</v>
      </c>
      <c r="U67" s="110"/>
      <c r="V67" s="110"/>
      <c r="W67" s="110"/>
      <c r="X67" s="110"/>
      <c r="Y67" s="378" t="e">
        <f>AVERAGE(W67:W81)</f>
        <v>#DIV/0!</v>
      </c>
      <c r="Z67" s="110"/>
      <c r="AA67" s="110"/>
      <c r="AB67" s="110"/>
      <c r="AC67" s="110"/>
      <c r="AD67" s="378" t="e">
        <f>AVERAGE(AB67:AB81)</f>
        <v>#DIV/0!</v>
      </c>
      <c r="AE67" s="110"/>
      <c r="AF67" s="110"/>
      <c r="AG67" s="110"/>
      <c r="AH67" s="110"/>
      <c r="AI67" s="378" t="e">
        <f>AVERAGE(AG67:AG81)</f>
        <v>#DIV/0!</v>
      </c>
      <c r="AJ67" s="110"/>
      <c r="AK67" s="110"/>
      <c r="AL67" s="110"/>
      <c r="AM67" s="110"/>
      <c r="AN67" s="378" t="e">
        <f>AVERAGE(AL67:AL81)</f>
        <v>#DIV/0!</v>
      </c>
      <c r="AO67" s="110"/>
      <c r="AP67" s="110"/>
      <c r="AQ67" s="110"/>
      <c r="AR67" s="110"/>
      <c r="AS67" s="378" t="e">
        <f>AVERAGE(AQ67:AQ81)</f>
        <v>#DIV/0!</v>
      </c>
      <c r="AT67" s="110"/>
      <c r="AU67" s="110"/>
      <c r="AV67" s="110"/>
      <c r="AW67" s="110"/>
      <c r="AX67" s="378" t="e">
        <f>AVERAGE(AV67:AV81)</f>
        <v>#DIV/0!</v>
      </c>
    </row>
    <row r="68" spans="2:50">
      <c r="B68" s="378"/>
      <c r="C68" s="110">
        <v>2</v>
      </c>
      <c r="D68" s="110"/>
      <c r="E68" s="184"/>
      <c r="F68" s="184"/>
      <c r="G68" s="182"/>
      <c r="H68" s="390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390"/>
      <c r="M68" s="184" t="e">
        <f>RANK(K68, K$67:$K$81)</f>
        <v>#DIV/0!</v>
      </c>
      <c r="N68" s="387"/>
      <c r="O68" s="387"/>
      <c r="P68" s="110"/>
      <c r="Q68" s="110"/>
      <c r="R68" s="182"/>
      <c r="S68" s="110"/>
      <c r="T68" s="390"/>
      <c r="U68" s="110"/>
      <c r="V68" s="110"/>
      <c r="W68" s="110"/>
      <c r="X68" s="110"/>
      <c r="Y68" s="378"/>
      <c r="Z68" s="110"/>
      <c r="AA68" s="110"/>
      <c r="AB68" s="110"/>
      <c r="AC68" s="110"/>
      <c r="AD68" s="378"/>
      <c r="AE68" s="110"/>
      <c r="AF68" s="110"/>
      <c r="AG68" s="110"/>
      <c r="AH68" s="110"/>
      <c r="AI68" s="378"/>
      <c r="AJ68" s="110"/>
      <c r="AK68" s="110"/>
      <c r="AL68" s="110"/>
      <c r="AM68" s="110"/>
      <c r="AN68" s="378"/>
      <c r="AO68" s="110"/>
      <c r="AP68" s="110"/>
      <c r="AQ68" s="110"/>
      <c r="AR68" s="110"/>
      <c r="AS68" s="378"/>
      <c r="AT68" s="110"/>
      <c r="AU68" s="110"/>
      <c r="AV68" s="110"/>
      <c r="AW68" s="110"/>
      <c r="AX68" s="378"/>
    </row>
    <row r="69" spans="2:50">
      <c r="B69" s="378"/>
      <c r="C69" s="110">
        <v>3</v>
      </c>
      <c r="D69" s="110"/>
      <c r="E69" s="184"/>
      <c r="F69" s="184"/>
      <c r="G69" s="182"/>
      <c r="H69" s="390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390"/>
      <c r="M69" s="184" t="e">
        <f>RANK(K69, K$67:$K$81)</f>
        <v>#DIV/0!</v>
      </c>
      <c r="N69" s="387"/>
      <c r="O69" s="387"/>
      <c r="P69" s="110"/>
      <c r="Q69" s="110"/>
      <c r="R69" s="182"/>
      <c r="S69" s="110"/>
      <c r="T69" s="390"/>
      <c r="U69" s="110"/>
      <c r="V69" s="110"/>
      <c r="W69" s="110"/>
      <c r="X69" s="110"/>
      <c r="Y69" s="378"/>
      <c r="Z69" s="110"/>
      <c r="AA69" s="110"/>
      <c r="AB69" s="110"/>
      <c r="AC69" s="110"/>
      <c r="AD69" s="378"/>
      <c r="AE69" s="110"/>
      <c r="AF69" s="110"/>
      <c r="AG69" s="110"/>
      <c r="AH69" s="110"/>
      <c r="AI69" s="378"/>
      <c r="AJ69" s="110"/>
      <c r="AK69" s="110"/>
      <c r="AL69" s="110"/>
      <c r="AM69" s="110"/>
      <c r="AN69" s="378"/>
      <c r="AO69" s="110"/>
      <c r="AP69" s="110"/>
      <c r="AQ69" s="110"/>
      <c r="AR69" s="110"/>
      <c r="AS69" s="378"/>
      <c r="AT69" s="110"/>
      <c r="AU69" s="110"/>
      <c r="AV69" s="110"/>
      <c r="AW69" s="110"/>
      <c r="AX69" s="378"/>
    </row>
    <row r="70" spans="2:50">
      <c r="B70" s="378"/>
      <c r="C70" s="110">
        <v>4</v>
      </c>
      <c r="D70" s="110"/>
      <c r="E70" s="184"/>
      <c r="F70" s="184"/>
      <c r="G70" s="182"/>
      <c r="H70" s="390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390"/>
      <c r="M70" s="184" t="e">
        <f>RANK(K70, K$67:$K$81)</f>
        <v>#DIV/0!</v>
      </c>
      <c r="N70" s="387"/>
      <c r="O70" s="387"/>
      <c r="P70" s="110"/>
      <c r="Q70" s="110"/>
      <c r="R70" s="182"/>
      <c r="S70" s="110"/>
      <c r="T70" s="390"/>
      <c r="U70" s="110"/>
      <c r="V70" s="110"/>
      <c r="W70" s="110"/>
      <c r="X70" s="110"/>
      <c r="Y70" s="378"/>
      <c r="Z70" s="110"/>
      <c r="AA70" s="110"/>
      <c r="AB70" s="110"/>
      <c r="AC70" s="110"/>
      <c r="AD70" s="378"/>
      <c r="AE70" s="110"/>
      <c r="AF70" s="110"/>
      <c r="AG70" s="110"/>
      <c r="AH70" s="110"/>
      <c r="AI70" s="378"/>
      <c r="AJ70" s="110"/>
      <c r="AK70" s="110"/>
      <c r="AL70" s="110"/>
      <c r="AM70" s="110"/>
      <c r="AN70" s="378"/>
      <c r="AO70" s="110"/>
      <c r="AP70" s="110"/>
      <c r="AQ70" s="110"/>
      <c r="AR70" s="110"/>
      <c r="AS70" s="378"/>
      <c r="AT70" s="110"/>
      <c r="AU70" s="110"/>
      <c r="AV70" s="110"/>
      <c r="AW70" s="110"/>
      <c r="AX70" s="378"/>
    </row>
    <row r="71" spans="2:50">
      <c r="B71" s="378"/>
      <c r="C71" s="110">
        <v>5</v>
      </c>
      <c r="D71" s="110"/>
      <c r="E71" s="184"/>
      <c r="F71" s="184"/>
      <c r="G71" s="182"/>
      <c r="H71" s="390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390"/>
      <c r="M71" s="184" t="e">
        <f>RANK(K71, K$67:$K$81)</f>
        <v>#DIV/0!</v>
      </c>
      <c r="N71" s="387"/>
      <c r="O71" s="387"/>
      <c r="P71" s="110"/>
      <c r="Q71" s="110"/>
      <c r="R71" s="182"/>
      <c r="S71" s="110"/>
      <c r="T71" s="390"/>
      <c r="U71" s="110"/>
      <c r="V71" s="110"/>
      <c r="W71" s="110"/>
      <c r="X71" s="110"/>
      <c r="Y71" s="378"/>
      <c r="Z71" s="110"/>
      <c r="AA71" s="110"/>
      <c r="AB71" s="110"/>
      <c r="AC71" s="110"/>
      <c r="AD71" s="378"/>
      <c r="AE71" s="110"/>
      <c r="AF71" s="110"/>
      <c r="AG71" s="110"/>
      <c r="AH71" s="110"/>
      <c r="AI71" s="378"/>
      <c r="AJ71" s="110"/>
      <c r="AK71" s="110"/>
      <c r="AL71" s="110"/>
      <c r="AM71" s="110"/>
      <c r="AN71" s="378"/>
      <c r="AO71" s="110"/>
      <c r="AP71" s="110"/>
      <c r="AQ71" s="110"/>
      <c r="AR71" s="110"/>
      <c r="AS71" s="378"/>
      <c r="AT71" s="110"/>
      <c r="AU71" s="110"/>
      <c r="AV71" s="110"/>
      <c r="AW71" s="110"/>
      <c r="AX71" s="378"/>
    </row>
    <row r="72" spans="2:50">
      <c r="B72" s="378"/>
      <c r="C72" s="110">
        <v>6</v>
      </c>
      <c r="D72" s="110"/>
      <c r="E72" s="184"/>
      <c r="F72" s="184"/>
      <c r="G72" s="182"/>
      <c r="H72" s="390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390"/>
      <c r="M72" s="184" t="e">
        <f>RANK(K72, K$67:$K$81)</f>
        <v>#DIV/0!</v>
      </c>
      <c r="N72" s="387"/>
      <c r="O72" s="387"/>
      <c r="P72" s="110"/>
      <c r="Q72" s="110"/>
      <c r="R72" s="182"/>
      <c r="S72" s="110"/>
      <c r="T72" s="390"/>
      <c r="U72" s="110"/>
      <c r="V72" s="110"/>
      <c r="W72" s="110"/>
      <c r="X72" s="110"/>
      <c r="Y72" s="378"/>
      <c r="Z72" s="110"/>
      <c r="AA72" s="110"/>
      <c r="AB72" s="110"/>
      <c r="AC72" s="110"/>
      <c r="AD72" s="378"/>
      <c r="AE72" s="110"/>
      <c r="AF72" s="110"/>
      <c r="AG72" s="110"/>
      <c r="AH72" s="110"/>
      <c r="AI72" s="378"/>
      <c r="AJ72" s="110"/>
      <c r="AK72" s="110"/>
      <c r="AL72" s="110"/>
      <c r="AM72" s="110"/>
      <c r="AN72" s="378"/>
      <c r="AO72" s="110"/>
      <c r="AP72" s="110"/>
      <c r="AQ72" s="110"/>
      <c r="AR72" s="110"/>
      <c r="AS72" s="378"/>
      <c r="AT72" s="110"/>
      <c r="AU72" s="110"/>
      <c r="AV72" s="110"/>
      <c r="AW72" s="110"/>
      <c r="AX72" s="378"/>
    </row>
    <row r="73" spans="2:50">
      <c r="B73" s="378"/>
      <c r="C73" s="110">
        <v>7</v>
      </c>
      <c r="D73" s="110"/>
      <c r="E73" s="184"/>
      <c r="F73" s="184"/>
      <c r="G73" s="182"/>
      <c r="H73" s="390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390"/>
      <c r="M73" s="184" t="e">
        <f>RANK(K73, K$67:$K$81)</f>
        <v>#DIV/0!</v>
      </c>
      <c r="N73" s="387"/>
      <c r="O73" s="387"/>
      <c r="P73" s="110"/>
      <c r="Q73" s="110"/>
      <c r="R73" s="182"/>
      <c r="S73" s="110"/>
      <c r="T73" s="390"/>
      <c r="U73" s="110"/>
      <c r="V73" s="110"/>
      <c r="W73" s="110"/>
      <c r="X73" s="110"/>
      <c r="Y73" s="378"/>
      <c r="Z73" s="110"/>
      <c r="AA73" s="110"/>
      <c r="AB73" s="110"/>
      <c r="AC73" s="110"/>
      <c r="AD73" s="378"/>
      <c r="AE73" s="110"/>
      <c r="AF73" s="110"/>
      <c r="AG73" s="110"/>
      <c r="AH73" s="110"/>
      <c r="AI73" s="378"/>
      <c r="AJ73" s="110"/>
      <c r="AK73" s="110"/>
      <c r="AL73" s="110"/>
      <c r="AM73" s="110"/>
      <c r="AN73" s="378"/>
      <c r="AO73" s="110"/>
      <c r="AP73" s="110"/>
      <c r="AQ73" s="110"/>
      <c r="AR73" s="110"/>
      <c r="AS73" s="378"/>
      <c r="AT73" s="110"/>
      <c r="AU73" s="110"/>
      <c r="AV73" s="110"/>
      <c r="AW73" s="110"/>
      <c r="AX73" s="378"/>
    </row>
    <row r="74" spans="2:50">
      <c r="B74" s="378"/>
      <c r="C74" s="110">
        <v>8</v>
      </c>
      <c r="D74" s="110"/>
      <c r="E74" s="184"/>
      <c r="F74" s="184"/>
      <c r="G74" s="182"/>
      <c r="H74" s="390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390"/>
      <c r="M74" s="184" t="e">
        <f>RANK(K74, K$67:$K$81)</f>
        <v>#DIV/0!</v>
      </c>
      <c r="N74" s="387"/>
      <c r="O74" s="387"/>
      <c r="P74" s="110"/>
      <c r="Q74" s="110"/>
      <c r="R74" s="182"/>
      <c r="S74" s="110"/>
      <c r="T74" s="390"/>
      <c r="U74" s="110"/>
      <c r="V74" s="110"/>
      <c r="W74" s="110"/>
      <c r="X74" s="110"/>
      <c r="Y74" s="378"/>
      <c r="Z74" s="110"/>
      <c r="AA74" s="110"/>
      <c r="AB74" s="110"/>
      <c r="AC74" s="110"/>
      <c r="AD74" s="378"/>
      <c r="AE74" s="110"/>
      <c r="AF74" s="110"/>
      <c r="AG74" s="110"/>
      <c r="AH74" s="110"/>
      <c r="AI74" s="378"/>
      <c r="AJ74" s="110"/>
      <c r="AK74" s="110"/>
      <c r="AL74" s="110"/>
      <c r="AM74" s="110"/>
      <c r="AN74" s="378"/>
      <c r="AO74" s="110"/>
      <c r="AP74" s="110"/>
      <c r="AQ74" s="110"/>
      <c r="AR74" s="110"/>
      <c r="AS74" s="378"/>
      <c r="AT74" s="110"/>
      <c r="AU74" s="110"/>
      <c r="AV74" s="110"/>
      <c r="AW74" s="110"/>
      <c r="AX74" s="378"/>
    </row>
    <row r="75" spans="2:50">
      <c r="B75" s="378"/>
      <c r="C75" s="110">
        <v>9</v>
      </c>
      <c r="D75" s="110"/>
      <c r="E75" s="184"/>
      <c r="F75" s="184"/>
      <c r="G75" s="182"/>
      <c r="H75" s="390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390"/>
      <c r="M75" s="184" t="e">
        <f>RANK(K75, K$67:$K$81)</f>
        <v>#DIV/0!</v>
      </c>
      <c r="N75" s="387"/>
      <c r="O75" s="387"/>
      <c r="P75" s="110"/>
      <c r="Q75" s="110"/>
      <c r="R75" s="182"/>
      <c r="S75" s="110"/>
      <c r="T75" s="390"/>
      <c r="U75" s="110"/>
      <c r="V75" s="110"/>
      <c r="W75" s="110"/>
      <c r="X75" s="110"/>
      <c r="Y75" s="378"/>
      <c r="Z75" s="110"/>
      <c r="AA75" s="110"/>
      <c r="AB75" s="110"/>
      <c r="AC75" s="110"/>
      <c r="AD75" s="378"/>
      <c r="AE75" s="110"/>
      <c r="AF75" s="110"/>
      <c r="AG75" s="110"/>
      <c r="AH75" s="110"/>
      <c r="AI75" s="378"/>
      <c r="AJ75" s="110"/>
      <c r="AK75" s="110"/>
      <c r="AL75" s="110"/>
      <c r="AM75" s="110"/>
      <c r="AN75" s="378"/>
      <c r="AO75" s="110"/>
      <c r="AP75" s="110"/>
      <c r="AQ75" s="110"/>
      <c r="AR75" s="110"/>
      <c r="AS75" s="378"/>
      <c r="AT75" s="110"/>
      <c r="AU75" s="110"/>
      <c r="AV75" s="110"/>
      <c r="AW75" s="110"/>
      <c r="AX75" s="378"/>
    </row>
    <row r="76" spans="2:50">
      <c r="B76" s="378"/>
      <c r="C76" s="110">
        <v>10</v>
      </c>
      <c r="D76" s="110"/>
      <c r="E76" s="184"/>
      <c r="F76" s="184"/>
      <c r="G76" s="182"/>
      <c r="H76" s="390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390"/>
      <c r="M76" s="184" t="e">
        <f>RANK(K76, K$67:$K$81)</f>
        <v>#DIV/0!</v>
      </c>
      <c r="N76" s="387"/>
      <c r="O76" s="387"/>
      <c r="P76" s="110"/>
      <c r="Q76" s="110"/>
      <c r="R76" s="182"/>
      <c r="S76" s="110"/>
      <c r="T76" s="390"/>
      <c r="U76" s="110"/>
      <c r="V76" s="110"/>
      <c r="W76" s="110"/>
      <c r="X76" s="110"/>
      <c r="Y76" s="378"/>
      <c r="Z76" s="110"/>
      <c r="AA76" s="110"/>
      <c r="AB76" s="110"/>
      <c r="AC76" s="110"/>
      <c r="AD76" s="378"/>
      <c r="AE76" s="110"/>
      <c r="AF76" s="110"/>
      <c r="AG76" s="110"/>
      <c r="AH76" s="110"/>
      <c r="AI76" s="378"/>
      <c r="AJ76" s="110"/>
      <c r="AK76" s="110"/>
      <c r="AL76" s="110"/>
      <c r="AM76" s="110"/>
      <c r="AN76" s="378"/>
      <c r="AO76" s="110"/>
      <c r="AP76" s="110"/>
      <c r="AQ76" s="110"/>
      <c r="AR76" s="110"/>
      <c r="AS76" s="378"/>
      <c r="AT76" s="110"/>
      <c r="AU76" s="110"/>
      <c r="AV76" s="110"/>
      <c r="AW76" s="110"/>
      <c r="AX76" s="378"/>
    </row>
    <row r="77" spans="2:50">
      <c r="B77" s="378"/>
      <c r="C77" s="110">
        <v>11</v>
      </c>
      <c r="D77" s="110"/>
      <c r="E77" s="184"/>
      <c r="F77" s="184"/>
      <c r="G77" s="182"/>
      <c r="H77" s="390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390"/>
      <c r="M77" s="184" t="e">
        <f>RANK(K77, K$67:$K$81)</f>
        <v>#DIV/0!</v>
      </c>
      <c r="N77" s="387"/>
      <c r="O77" s="387"/>
      <c r="P77" s="110"/>
      <c r="Q77" s="110"/>
      <c r="R77" s="182"/>
      <c r="S77" s="110"/>
      <c r="T77" s="390"/>
      <c r="U77" s="110"/>
      <c r="V77" s="110"/>
      <c r="W77" s="110"/>
      <c r="X77" s="110"/>
      <c r="Y77" s="378"/>
      <c r="Z77" s="110"/>
      <c r="AA77" s="110"/>
      <c r="AB77" s="110"/>
      <c r="AC77" s="110"/>
      <c r="AD77" s="378"/>
      <c r="AE77" s="110"/>
      <c r="AF77" s="110"/>
      <c r="AG77" s="110"/>
      <c r="AH77" s="110"/>
      <c r="AI77" s="378"/>
      <c r="AJ77" s="110"/>
      <c r="AK77" s="110"/>
      <c r="AL77" s="110"/>
      <c r="AM77" s="110"/>
      <c r="AN77" s="378"/>
      <c r="AO77" s="110"/>
      <c r="AP77" s="110"/>
      <c r="AQ77" s="110"/>
      <c r="AR77" s="110"/>
      <c r="AS77" s="378"/>
      <c r="AT77" s="110"/>
      <c r="AU77" s="110"/>
      <c r="AV77" s="110"/>
      <c r="AW77" s="110"/>
      <c r="AX77" s="378"/>
    </row>
    <row r="78" spans="2:50">
      <c r="B78" s="378"/>
      <c r="C78" s="110">
        <v>12</v>
      </c>
      <c r="D78" s="110"/>
      <c r="E78" s="184"/>
      <c r="F78" s="184"/>
      <c r="G78" s="182"/>
      <c r="H78" s="390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390"/>
      <c r="M78" s="184" t="e">
        <f>RANK(K78, K$67:$K$81)</f>
        <v>#DIV/0!</v>
      </c>
      <c r="N78" s="387"/>
      <c r="O78" s="387"/>
      <c r="P78" s="110"/>
      <c r="Q78" s="110"/>
      <c r="R78" s="182"/>
      <c r="S78" s="110"/>
      <c r="T78" s="390"/>
      <c r="U78" s="110"/>
      <c r="V78" s="110"/>
      <c r="W78" s="110"/>
      <c r="X78" s="110"/>
      <c r="Y78" s="378"/>
      <c r="Z78" s="110"/>
      <c r="AA78" s="110"/>
      <c r="AB78" s="110"/>
      <c r="AC78" s="110"/>
      <c r="AD78" s="378"/>
      <c r="AE78" s="110"/>
      <c r="AF78" s="110"/>
      <c r="AG78" s="110"/>
      <c r="AH78" s="110"/>
      <c r="AI78" s="378"/>
      <c r="AJ78" s="110"/>
      <c r="AK78" s="110"/>
      <c r="AL78" s="110"/>
      <c r="AM78" s="110"/>
      <c r="AN78" s="378"/>
      <c r="AO78" s="110"/>
      <c r="AP78" s="110"/>
      <c r="AQ78" s="110"/>
      <c r="AR78" s="110"/>
      <c r="AS78" s="378"/>
      <c r="AT78" s="110"/>
      <c r="AU78" s="110"/>
      <c r="AV78" s="110"/>
      <c r="AW78" s="110"/>
      <c r="AX78" s="378"/>
    </row>
    <row r="79" spans="2:50">
      <c r="B79" s="378"/>
      <c r="C79" s="110">
        <v>13</v>
      </c>
      <c r="D79" s="110"/>
      <c r="E79" s="184"/>
      <c r="F79" s="184"/>
      <c r="G79" s="182"/>
      <c r="H79" s="390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390"/>
      <c r="M79" s="184" t="e">
        <f>RANK(K79, K$67:$K$81)</f>
        <v>#DIV/0!</v>
      </c>
      <c r="N79" s="387"/>
      <c r="O79" s="387"/>
      <c r="P79" s="110"/>
      <c r="Q79" s="110"/>
      <c r="R79" s="182"/>
      <c r="S79" s="110"/>
      <c r="T79" s="390"/>
      <c r="U79" s="110"/>
      <c r="V79" s="110"/>
      <c r="W79" s="110"/>
      <c r="X79" s="110"/>
      <c r="Y79" s="378"/>
      <c r="Z79" s="110"/>
      <c r="AA79" s="110"/>
      <c r="AB79" s="110"/>
      <c r="AC79" s="110"/>
      <c r="AD79" s="378"/>
      <c r="AE79" s="110"/>
      <c r="AF79" s="110"/>
      <c r="AG79" s="110"/>
      <c r="AH79" s="110"/>
      <c r="AI79" s="378"/>
      <c r="AJ79" s="110"/>
      <c r="AK79" s="110"/>
      <c r="AL79" s="110"/>
      <c r="AM79" s="110"/>
      <c r="AN79" s="378"/>
      <c r="AO79" s="110"/>
      <c r="AP79" s="110"/>
      <c r="AQ79" s="110"/>
      <c r="AR79" s="110"/>
      <c r="AS79" s="378"/>
      <c r="AT79" s="110"/>
      <c r="AU79" s="110"/>
      <c r="AV79" s="110"/>
      <c r="AW79" s="110"/>
      <c r="AX79" s="378"/>
    </row>
    <row r="80" spans="2:50">
      <c r="B80" s="378"/>
      <c r="C80" s="110">
        <v>14</v>
      </c>
      <c r="D80" s="110"/>
      <c r="E80" s="184"/>
      <c r="F80" s="184"/>
      <c r="G80" s="182"/>
      <c r="H80" s="390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390"/>
      <c r="M80" s="184" t="e">
        <f>RANK(K80, K$67:$K$81)</f>
        <v>#DIV/0!</v>
      </c>
      <c r="N80" s="387"/>
      <c r="O80" s="387"/>
      <c r="P80" s="110"/>
      <c r="Q80" s="110"/>
      <c r="R80" s="110"/>
      <c r="S80" s="110"/>
      <c r="T80" s="390"/>
      <c r="U80" s="110"/>
      <c r="V80" s="110"/>
      <c r="W80" s="110"/>
      <c r="X80" s="110"/>
      <c r="Y80" s="378"/>
      <c r="Z80" s="110"/>
      <c r="AA80" s="110"/>
      <c r="AB80" s="110"/>
      <c r="AC80" s="110"/>
      <c r="AD80" s="378"/>
      <c r="AE80" s="110"/>
      <c r="AF80" s="110"/>
      <c r="AG80" s="110"/>
      <c r="AH80" s="110"/>
      <c r="AI80" s="378"/>
      <c r="AJ80" s="110"/>
      <c r="AK80" s="110"/>
      <c r="AL80" s="110"/>
      <c r="AM80" s="110"/>
      <c r="AN80" s="378"/>
      <c r="AO80" s="110"/>
      <c r="AP80" s="110"/>
      <c r="AQ80" s="110"/>
      <c r="AR80" s="110"/>
      <c r="AS80" s="378"/>
      <c r="AT80" s="110"/>
      <c r="AU80" s="110"/>
      <c r="AV80" s="110"/>
      <c r="AW80" s="110"/>
      <c r="AX80" s="378"/>
    </row>
    <row r="81" spans="2:50">
      <c r="B81" s="378"/>
      <c r="C81" s="110">
        <v>15</v>
      </c>
      <c r="D81" s="110"/>
      <c r="E81" s="110"/>
      <c r="F81" s="110"/>
      <c r="G81" s="110"/>
      <c r="H81" s="391"/>
      <c r="I81" s="110"/>
      <c r="J81" s="110"/>
      <c r="K81" s="110"/>
      <c r="L81" s="391"/>
      <c r="M81" s="184" t="e">
        <f>RANK(K81, K$67:$K$81)</f>
        <v>#DIV/0!</v>
      </c>
      <c r="N81" s="387"/>
      <c r="O81" s="387"/>
      <c r="P81" s="110"/>
      <c r="Q81" s="110"/>
      <c r="R81" s="110"/>
      <c r="S81" s="110"/>
      <c r="T81" s="391"/>
      <c r="U81" s="110"/>
      <c r="V81" s="110"/>
      <c r="W81" s="110"/>
      <c r="X81" s="110"/>
      <c r="Y81" s="378"/>
      <c r="Z81" s="110"/>
      <c r="AA81" s="110"/>
      <c r="AB81" s="110"/>
      <c r="AC81" s="110"/>
      <c r="AD81" s="378"/>
      <c r="AE81" s="110"/>
      <c r="AF81" s="110"/>
      <c r="AG81" s="110"/>
      <c r="AH81" s="110"/>
      <c r="AI81" s="378"/>
      <c r="AJ81" s="110"/>
      <c r="AK81" s="110"/>
      <c r="AL81" s="110"/>
      <c r="AM81" s="110"/>
      <c r="AN81" s="378"/>
      <c r="AO81" s="110"/>
      <c r="AP81" s="110"/>
      <c r="AQ81" s="110"/>
      <c r="AR81" s="110"/>
      <c r="AS81" s="378"/>
      <c r="AT81" s="110"/>
      <c r="AU81" s="110"/>
      <c r="AV81" s="110"/>
      <c r="AW81" s="110"/>
      <c r="AX81" s="378"/>
    </row>
    <row r="82" spans="2:50" ht="15.75">
      <c r="B82" s="379" t="s">
        <v>169</v>
      </c>
      <c r="C82" s="380"/>
      <c r="D82" s="380"/>
      <c r="E82" s="380"/>
      <c r="F82" s="380"/>
      <c r="G82" s="380"/>
      <c r="H82" s="380"/>
      <c r="I82" s="214"/>
      <c r="J82" s="214"/>
      <c r="K82" s="214"/>
      <c r="L82" s="214"/>
      <c r="M82" s="213"/>
      <c r="N82" s="382" t="s">
        <v>161</v>
      </c>
      <c r="O82" s="382" t="s">
        <v>105</v>
      </c>
      <c r="P82" s="377">
        <v>45895</v>
      </c>
      <c r="Q82" s="378"/>
      <c r="R82" s="378"/>
      <c r="S82" s="378"/>
      <c r="T82" s="378"/>
      <c r="U82" s="377">
        <v>45896</v>
      </c>
      <c r="V82" s="378"/>
      <c r="W82" s="378"/>
      <c r="X82" s="378"/>
      <c r="Y82" s="378"/>
      <c r="Z82" s="377">
        <v>45897</v>
      </c>
      <c r="AA82" s="378"/>
      <c r="AB82" s="378"/>
      <c r="AC82" s="378"/>
      <c r="AD82" s="378"/>
      <c r="AE82" s="377">
        <v>45898</v>
      </c>
      <c r="AF82" s="378"/>
      <c r="AG82" s="378"/>
      <c r="AH82" s="378"/>
      <c r="AI82" s="378"/>
      <c r="AJ82" s="377">
        <v>45899</v>
      </c>
      <c r="AK82" s="378"/>
      <c r="AL82" s="378"/>
      <c r="AM82" s="378"/>
      <c r="AN82" s="378"/>
      <c r="AO82" s="377">
        <v>45900</v>
      </c>
      <c r="AP82" s="378"/>
      <c r="AQ82" s="378"/>
      <c r="AR82" s="378"/>
      <c r="AS82" s="378"/>
      <c r="AT82" s="377"/>
      <c r="AU82" s="378"/>
      <c r="AV82" s="378"/>
      <c r="AW82" s="378"/>
      <c r="AX82" s="378"/>
    </row>
    <row r="83" spans="2:50" ht="15.75">
      <c r="B83" s="381"/>
      <c r="C83" s="381"/>
      <c r="D83" s="381"/>
      <c r="E83" s="381"/>
      <c r="F83" s="381"/>
      <c r="G83" s="381"/>
      <c r="H83" s="381"/>
      <c r="I83" s="180"/>
      <c r="J83" s="180"/>
      <c r="K83" s="180"/>
      <c r="L83" s="180"/>
      <c r="M83" s="181"/>
      <c r="N83" s="383"/>
      <c r="O83" s="383"/>
      <c r="P83" s="377" t="s">
        <v>163</v>
      </c>
      <c r="Q83" s="378"/>
      <c r="R83" s="378"/>
      <c r="S83" s="378"/>
      <c r="T83" s="378"/>
      <c r="U83" s="377" t="s">
        <v>164</v>
      </c>
      <c r="V83" s="378"/>
      <c r="W83" s="378"/>
      <c r="X83" s="378"/>
      <c r="Y83" s="378"/>
      <c r="Z83" s="377" t="s">
        <v>165</v>
      </c>
      <c r="AA83" s="378"/>
      <c r="AB83" s="378"/>
      <c r="AC83" s="378"/>
      <c r="AD83" s="378"/>
      <c r="AE83" s="377" t="s">
        <v>162</v>
      </c>
      <c r="AF83" s="378"/>
      <c r="AG83" s="378"/>
      <c r="AH83" s="378"/>
      <c r="AI83" s="378"/>
      <c r="AJ83" s="377" t="s">
        <v>166</v>
      </c>
      <c r="AK83" s="378"/>
      <c r="AL83" s="378"/>
      <c r="AM83" s="378"/>
      <c r="AN83" s="378"/>
      <c r="AO83" s="377" t="s">
        <v>167</v>
      </c>
      <c r="AP83" s="378"/>
      <c r="AQ83" s="378"/>
      <c r="AR83" s="378"/>
      <c r="AS83" s="378"/>
      <c r="AT83" s="377" t="s">
        <v>168</v>
      </c>
      <c r="AU83" s="378"/>
      <c r="AV83" s="378"/>
      <c r="AW83" s="378"/>
      <c r="AX83" s="378"/>
    </row>
    <row r="84" spans="2:50">
      <c r="B84" s="387" t="s">
        <v>158</v>
      </c>
      <c r="C84" s="387" t="s">
        <v>150</v>
      </c>
      <c r="D84" s="387"/>
      <c r="E84" s="387" t="s">
        <v>152</v>
      </c>
      <c r="F84" s="387"/>
      <c r="G84" s="387"/>
      <c r="H84" s="393" t="s">
        <v>159</v>
      </c>
      <c r="I84" s="387" t="s">
        <v>224</v>
      </c>
      <c r="J84" s="387"/>
      <c r="K84" s="387"/>
      <c r="L84" s="393" t="s">
        <v>159</v>
      </c>
      <c r="M84" s="382" t="s">
        <v>170</v>
      </c>
      <c r="N84" s="387"/>
      <c r="O84" s="387" t="s">
        <v>160</v>
      </c>
      <c r="P84" s="384" t="s">
        <v>155</v>
      </c>
      <c r="Q84" s="385"/>
      <c r="R84" s="385"/>
      <c r="S84" s="386"/>
      <c r="T84" s="387" t="s">
        <v>159</v>
      </c>
      <c r="U84" s="384" t="s">
        <v>155</v>
      </c>
      <c r="V84" s="385"/>
      <c r="W84" s="385"/>
      <c r="X84" s="386"/>
      <c r="Y84" s="387" t="s">
        <v>159</v>
      </c>
      <c r="Z84" s="384" t="s">
        <v>155</v>
      </c>
      <c r="AA84" s="385"/>
      <c r="AB84" s="385"/>
      <c r="AC84" s="386"/>
      <c r="AD84" s="387" t="s">
        <v>159</v>
      </c>
      <c r="AE84" s="384" t="s">
        <v>155</v>
      </c>
      <c r="AF84" s="385"/>
      <c r="AG84" s="385"/>
      <c r="AH84" s="386"/>
      <c r="AI84" s="387" t="s">
        <v>159</v>
      </c>
      <c r="AJ84" s="384" t="s">
        <v>155</v>
      </c>
      <c r="AK84" s="385"/>
      <c r="AL84" s="385"/>
      <c r="AM84" s="386"/>
      <c r="AN84" s="387" t="s">
        <v>159</v>
      </c>
      <c r="AO84" s="384" t="s">
        <v>155</v>
      </c>
      <c r="AP84" s="385"/>
      <c r="AQ84" s="385"/>
      <c r="AR84" s="386"/>
      <c r="AS84" s="387" t="s">
        <v>159</v>
      </c>
      <c r="AT84" s="384" t="s">
        <v>155</v>
      </c>
      <c r="AU84" s="385"/>
      <c r="AV84" s="385"/>
      <c r="AW84" s="386"/>
      <c r="AX84" s="387" t="s">
        <v>159</v>
      </c>
    </row>
    <row r="85" spans="2:50">
      <c r="B85" s="387"/>
      <c r="C85" s="387"/>
      <c r="D85" s="387"/>
      <c r="E85" s="387" t="s">
        <v>151</v>
      </c>
      <c r="F85" s="387"/>
      <c r="G85" s="387"/>
      <c r="H85" s="394"/>
      <c r="I85" s="387" t="s">
        <v>151</v>
      </c>
      <c r="J85" s="387"/>
      <c r="K85" s="387"/>
      <c r="L85" s="394"/>
      <c r="M85" s="396"/>
      <c r="N85" s="387"/>
      <c r="O85" s="387"/>
      <c r="P85" s="384" t="s">
        <v>156</v>
      </c>
      <c r="Q85" s="385"/>
      <c r="R85" s="385"/>
      <c r="S85" s="386"/>
      <c r="T85" s="387"/>
      <c r="U85" s="384" t="s">
        <v>156</v>
      </c>
      <c r="V85" s="385"/>
      <c r="W85" s="385"/>
      <c r="X85" s="386"/>
      <c r="Y85" s="387"/>
      <c r="Z85" s="384" t="s">
        <v>156</v>
      </c>
      <c r="AA85" s="385"/>
      <c r="AB85" s="385"/>
      <c r="AC85" s="386"/>
      <c r="AD85" s="387"/>
      <c r="AE85" s="384" t="s">
        <v>156</v>
      </c>
      <c r="AF85" s="385"/>
      <c r="AG85" s="385"/>
      <c r="AH85" s="386"/>
      <c r="AI85" s="387"/>
      <c r="AJ85" s="384" t="s">
        <v>156</v>
      </c>
      <c r="AK85" s="385"/>
      <c r="AL85" s="385"/>
      <c r="AM85" s="386"/>
      <c r="AN85" s="387"/>
      <c r="AO85" s="384" t="s">
        <v>156</v>
      </c>
      <c r="AP85" s="385"/>
      <c r="AQ85" s="385"/>
      <c r="AR85" s="386"/>
      <c r="AS85" s="387"/>
      <c r="AT85" s="384" t="s">
        <v>156</v>
      </c>
      <c r="AU85" s="385"/>
      <c r="AV85" s="385"/>
      <c r="AW85" s="386"/>
      <c r="AX85" s="387"/>
    </row>
    <row r="86" spans="2:50">
      <c r="B86" s="387"/>
      <c r="C86" s="387"/>
      <c r="D86" s="387"/>
      <c r="E86" s="109" t="s">
        <v>153</v>
      </c>
      <c r="F86" s="109" t="s">
        <v>154</v>
      </c>
      <c r="G86" s="109" t="s">
        <v>157</v>
      </c>
      <c r="H86" s="395"/>
      <c r="I86" s="109" t="s">
        <v>153</v>
      </c>
      <c r="J86" s="109" t="s">
        <v>154</v>
      </c>
      <c r="K86" s="109" t="s">
        <v>157</v>
      </c>
      <c r="L86" s="395"/>
      <c r="M86" s="383"/>
      <c r="N86" s="387"/>
      <c r="O86" s="387"/>
      <c r="P86" s="109" t="s">
        <v>153</v>
      </c>
      <c r="Q86" s="109" t="s">
        <v>154</v>
      </c>
      <c r="R86" s="109" t="s">
        <v>157</v>
      </c>
      <c r="S86" s="109" t="s">
        <v>170</v>
      </c>
      <c r="T86" s="387"/>
      <c r="U86" s="109" t="s">
        <v>153</v>
      </c>
      <c r="V86" s="109" t="s">
        <v>154</v>
      </c>
      <c r="W86" s="109" t="s">
        <v>157</v>
      </c>
      <c r="X86" s="109" t="s">
        <v>170</v>
      </c>
      <c r="Y86" s="387"/>
      <c r="Z86" s="109" t="s">
        <v>153</v>
      </c>
      <c r="AA86" s="109" t="s">
        <v>154</v>
      </c>
      <c r="AB86" s="109" t="s">
        <v>157</v>
      </c>
      <c r="AC86" s="109" t="s">
        <v>170</v>
      </c>
      <c r="AD86" s="387"/>
      <c r="AE86" s="109" t="s">
        <v>153</v>
      </c>
      <c r="AF86" s="109" t="s">
        <v>154</v>
      </c>
      <c r="AG86" s="109" t="s">
        <v>157</v>
      </c>
      <c r="AH86" s="109" t="s">
        <v>170</v>
      </c>
      <c r="AI86" s="387"/>
      <c r="AJ86" s="109" t="s">
        <v>153</v>
      </c>
      <c r="AK86" s="109" t="s">
        <v>154</v>
      </c>
      <c r="AL86" s="109" t="s">
        <v>157</v>
      </c>
      <c r="AM86" s="109" t="s">
        <v>170</v>
      </c>
      <c r="AN86" s="387"/>
      <c r="AO86" s="109" t="s">
        <v>153</v>
      </c>
      <c r="AP86" s="109" t="s">
        <v>154</v>
      </c>
      <c r="AQ86" s="109" t="s">
        <v>157</v>
      </c>
      <c r="AR86" s="109" t="s">
        <v>170</v>
      </c>
      <c r="AS86" s="387"/>
      <c r="AT86" s="109" t="s">
        <v>153</v>
      </c>
      <c r="AU86" s="109" t="s">
        <v>154</v>
      </c>
      <c r="AV86" s="109" t="s">
        <v>157</v>
      </c>
      <c r="AW86" s="109" t="s">
        <v>170</v>
      </c>
      <c r="AX86" s="387"/>
    </row>
    <row r="87" spans="2:50">
      <c r="B87" s="387" t="s">
        <v>267</v>
      </c>
      <c r="C87" s="110">
        <v>1</v>
      </c>
      <c r="D87" s="110"/>
      <c r="E87" s="110"/>
      <c r="F87" s="110"/>
      <c r="G87" s="110"/>
      <c r="H87" s="399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389" t="e">
        <f>AVERAGE(K87:K101)</f>
        <v>#DIV/0!</v>
      </c>
      <c r="M87" s="184" t="e">
        <f>RANK(K87, K$87:$K$101)</f>
        <v>#DIV/0!</v>
      </c>
      <c r="N87" s="387"/>
      <c r="O87" s="387"/>
      <c r="P87" s="110"/>
      <c r="Q87" s="110"/>
      <c r="R87" s="110"/>
      <c r="S87" s="110"/>
      <c r="T87" s="378" t="e">
        <f>AVERAGE(R87:R101)</f>
        <v>#DIV/0!</v>
      </c>
      <c r="U87" s="110"/>
      <c r="V87" s="110"/>
      <c r="W87" s="110"/>
      <c r="X87" s="110"/>
      <c r="Y87" s="378" t="e">
        <f>AVERAGE(W87:W101)</f>
        <v>#DIV/0!</v>
      </c>
      <c r="Z87" s="110"/>
      <c r="AA87" s="110"/>
      <c r="AB87" s="110"/>
      <c r="AC87" s="110"/>
      <c r="AD87" s="378" t="e">
        <f>AVERAGE(AB87:AB101)</f>
        <v>#DIV/0!</v>
      </c>
      <c r="AE87" s="110"/>
      <c r="AF87" s="110"/>
      <c r="AG87" s="110"/>
      <c r="AH87" s="110"/>
      <c r="AI87" s="378" t="e">
        <f>AVERAGE(AG87:AG101)</f>
        <v>#DIV/0!</v>
      </c>
      <c r="AJ87" s="110"/>
      <c r="AK87" s="110"/>
      <c r="AL87" s="110"/>
      <c r="AM87" s="110"/>
      <c r="AN87" s="378" t="e">
        <f>AVERAGE(AL87:AL101)</f>
        <v>#DIV/0!</v>
      </c>
      <c r="AO87" s="110"/>
      <c r="AP87" s="110"/>
      <c r="AQ87" s="110"/>
      <c r="AR87" s="110"/>
      <c r="AS87" s="378" t="e">
        <f>AVERAGE(AQ87:AQ101)</f>
        <v>#DIV/0!</v>
      </c>
      <c r="AT87" s="110"/>
      <c r="AU87" s="110"/>
      <c r="AV87" s="110"/>
      <c r="AW87" s="110"/>
      <c r="AX87" s="378" t="e">
        <f>AVERAGE(AV87:AV101)</f>
        <v>#DIV/0!</v>
      </c>
    </row>
    <row r="88" spans="2:50">
      <c r="B88" s="378"/>
      <c r="C88" s="110">
        <v>2</v>
      </c>
      <c r="D88" s="110"/>
      <c r="E88" s="110"/>
      <c r="F88" s="110"/>
      <c r="G88" s="110"/>
      <c r="H88" s="400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390"/>
      <c r="M88" s="184" t="e">
        <f>RANK(K88, K$87:$K$101)</f>
        <v>#DIV/0!</v>
      </c>
      <c r="N88" s="387"/>
      <c r="O88" s="387"/>
      <c r="P88" s="110"/>
      <c r="Q88" s="110"/>
      <c r="R88" s="110"/>
      <c r="S88" s="110"/>
      <c r="T88" s="378"/>
      <c r="U88" s="110"/>
      <c r="V88" s="110"/>
      <c r="W88" s="110"/>
      <c r="X88" s="110"/>
      <c r="Y88" s="378"/>
      <c r="Z88" s="110"/>
      <c r="AA88" s="110"/>
      <c r="AB88" s="110"/>
      <c r="AC88" s="110"/>
      <c r="AD88" s="378"/>
      <c r="AE88" s="110"/>
      <c r="AF88" s="110"/>
      <c r="AG88" s="110"/>
      <c r="AH88" s="110"/>
      <c r="AI88" s="378"/>
      <c r="AJ88" s="110"/>
      <c r="AK88" s="110"/>
      <c r="AL88" s="110"/>
      <c r="AM88" s="110"/>
      <c r="AN88" s="378"/>
      <c r="AO88" s="110"/>
      <c r="AP88" s="110"/>
      <c r="AQ88" s="110"/>
      <c r="AR88" s="110"/>
      <c r="AS88" s="378"/>
      <c r="AT88" s="110"/>
      <c r="AU88" s="110"/>
      <c r="AV88" s="110"/>
      <c r="AW88" s="110"/>
      <c r="AX88" s="378"/>
    </row>
    <row r="89" spans="2:50">
      <c r="B89" s="378"/>
      <c r="C89" s="110">
        <v>3</v>
      </c>
      <c r="D89" s="110"/>
      <c r="E89" s="110"/>
      <c r="F89" s="110"/>
      <c r="G89" s="110"/>
      <c r="H89" s="400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390"/>
      <c r="M89" s="184" t="e">
        <f>RANK(K89, K$87:$K$101)</f>
        <v>#DIV/0!</v>
      </c>
      <c r="N89" s="387"/>
      <c r="O89" s="387"/>
      <c r="P89" s="110"/>
      <c r="Q89" s="110"/>
      <c r="R89" s="110"/>
      <c r="S89" s="110"/>
      <c r="T89" s="378"/>
      <c r="U89" s="110"/>
      <c r="V89" s="110"/>
      <c r="W89" s="110"/>
      <c r="X89" s="110"/>
      <c r="Y89" s="378"/>
      <c r="Z89" s="110"/>
      <c r="AA89" s="110"/>
      <c r="AB89" s="110"/>
      <c r="AC89" s="110"/>
      <c r="AD89" s="378"/>
      <c r="AE89" s="110"/>
      <c r="AF89" s="110"/>
      <c r="AG89" s="110"/>
      <c r="AH89" s="110"/>
      <c r="AI89" s="378"/>
      <c r="AJ89" s="110"/>
      <c r="AK89" s="110"/>
      <c r="AL89" s="110"/>
      <c r="AM89" s="110"/>
      <c r="AN89" s="378"/>
      <c r="AO89" s="110"/>
      <c r="AP89" s="110"/>
      <c r="AQ89" s="110"/>
      <c r="AR89" s="110"/>
      <c r="AS89" s="378"/>
      <c r="AT89" s="110"/>
      <c r="AU89" s="110"/>
      <c r="AV89" s="110"/>
      <c r="AW89" s="110"/>
      <c r="AX89" s="378"/>
    </row>
    <row r="90" spans="2:50">
      <c r="B90" s="378"/>
      <c r="C90" s="110">
        <v>4</v>
      </c>
      <c r="D90" s="110"/>
      <c r="E90" s="110"/>
      <c r="F90" s="110"/>
      <c r="G90" s="110"/>
      <c r="H90" s="400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390"/>
      <c r="M90" s="184" t="e">
        <f>RANK(K90, K$87:$K$101)</f>
        <v>#DIV/0!</v>
      </c>
      <c r="N90" s="387"/>
      <c r="O90" s="387"/>
      <c r="P90" s="110"/>
      <c r="Q90" s="110"/>
      <c r="R90" s="110"/>
      <c r="S90" s="110"/>
      <c r="T90" s="378"/>
      <c r="U90" s="110"/>
      <c r="V90" s="110"/>
      <c r="W90" s="110"/>
      <c r="X90" s="110"/>
      <c r="Y90" s="378"/>
      <c r="Z90" s="110"/>
      <c r="AA90" s="110"/>
      <c r="AB90" s="110"/>
      <c r="AC90" s="110"/>
      <c r="AD90" s="378"/>
      <c r="AE90" s="110"/>
      <c r="AF90" s="110"/>
      <c r="AG90" s="110"/>
      <c r="AH90" s="110"/>
      <c r="AI90" s="378"/>
      <c r="AJ90" s="110"/>
      <c r="AK90" s="110"/>
      <c r="AL90" s="110"/>
      <c r="AM90" s="110"/>
      <c r="AN90" s="378"/>
      <c r="AO90" s="110"/>
      <c r="AP90" s="110"/>
      <c r="AQ90" s="110"/>
      <c r="AR90" s="110"/>
      <c r="AS90" s="378"/>
      <c r="AT90" s="110"/>
      <c r="AU90" s="110"/>
      <c r="AV90" s="110"/>
      <c r="AW90" s="110"/>
      <c r="AX90" s="378"/>
    </row>
    <row r="91" spans="2:50">
      <c r="B91" s="378"/>
      <c r="C91" s="110">
        <v>5</v>
      </c>
      <c r="D91" s="110"/>
      <c r="E91" s="110"/>
      <c r="F91" s="110"/>
      <c r="G91" s="110"/>
      <c r="H91" s="400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390"/>
      <c r="M91" s="184" t="e">
        <f>RANK(K91, K$87:$K$101)</f>
        <v>#DIV/0!</v>
      </c>
      <c r="N91" s="387"/>
      <c r="O91" s="387"/>
      <c r="P91" s="110"/>
      <c r="Q91" s="110"/>
      <c r="R91" s="110"/>
      <c r="S91" s="110"/>
      <c r="T91" s="378"/>
      <c r="U91" s="110"/>
      <c r="V91" s="110"/>
      <c r="W91" s="110"/>
      <c r="X91" s="110"/>
      <c r="Y91" s="378"/>
      <c r="Z91" s="110"/>
      <c r="AA91" s="110"/>
      <c r="AB91" s="110"/>
      <c r="AC91" s="110"/>
      <c r="AD91" s="378"/>
      <c r="AE91" s="110"/>
      <c r="AF91" s="110"/>
      <c r="AG91" s="110"/>
      <c r="AH91" s="110"/>
      <c r="AI91" s="378"/>
      <c r="AJ91" s="110"/>
      <c r="AK91" s="110"/>
      <c r="AL91" s="110"/>
      <c r="AM91" s="110"/>
      <c r="AN91" s="378"/>
      <c r="AO91" s="110"/>
      <c r="AP91" s="110"/>
      <c r="AQ91" s="110"/>
      <c r="AR91" s="110"/>
      <c r="AS91" s="378"/>
      <c r="AT91" s="110"/>
      <c r="AU91" s="110"/>
      <c r="AV91" s="110"/>
      <c r="AW91" s="110"/>
      <c r="AX91" s="378"/>
    </row>
    <row r="92" spans="2:50">
      <c r="B92" s="378"/>
      <c r="C92" s="110">
        <v>6</v>
      </c>
      <c r="D92" s="110"/>
      <c r="E92" s="110"/>
      <c r="F92" s="110"/>
      <c r="G92" s="110"/>
      <c r="H92" s="400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390"/>
      <c r="M92" s="184" t="e">
        <f>RANK(K92, K$87:$K$101)</f>
        <v>#DIV/0!</v>
      </c>
      <c r="N92" s="387"/>
      <c r="O92" s="387"/>
      <c r="P92" s="110"/>
      <c r="Q92" s="110"/>
      <c r="R92" s="110"/>
      <c r="S92" s="110"/>
      <c r="T92" s="378"/>
      <c r="U92" s="110"/>
      <c r="V92" s="110"/>
      <c r="W92" s="110"/>
      <c r="X92" s="110"/>
      <c r="Y92" s="378"/>
      <c r="Z92" s="110"/>
      <c r="AA92" s="110"/>
      <c r="AB92" s="110"/>
      <c r="AC92" s="110"/>
      <c r="AD92" s="378"/>
      <c r="AE92" s="110"/>
      <c r="AF92" s="110"/>
      <c r="AG92" s="110"/>
      <c r="AH92" s="110"/>
      <c r="AI92" s="378"/>
      <c r="AJ92" s="110"/>
      <c r="AK92" s="110"/>
      <c r="AL92" s="110"/>
      <c r="AM92" s="110"/>
      <c r="AN92" s="378"/>
      <c r="AO92" s="110"/>
      <c r="AP92" s="110"/>
      <c r="AQ92" s="110"/>
      <c r="AR92" s="110"/>
      <c r="AS92" s="378"/>
      <c r="AT92" s="110"/>
      <c r="AU92" s="110"/>
      <c r="AV92" s="110"/>
      <c r="AW92" s="110"/>
      <c r="AX92" s="378"/>
    </row>
    <row r="93" spans="2:50">
      <c r="B93" s="378"/>
      <c r="C93" s="110">
        <v>7</v>
      </c>
      <c r="D93" s="110"/>
      <c r="E93" s="110"/>
      <c r="F93" s="110"/>
      <c r="G93" s="110"/>
      <c r="H93" s="400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390"/>
      <c r="M93" s="184" t="e">
        <f>RANK(K93, K$87:$K$101)</f>
        <v>#DIV/0!</v>
      </c>
      <c r="N93" s="387"/>
      <c r="O93" s="387"/>
      <c r="P93" s="110"/>
      <c r="Q93" s="110"/>
      <c r="R93" s="110"/>
      <c r="S93" s="110"/>
      <c r="T93" s="378"/>
      <c r="U93" s="110"/>
      <c r="V93" s="110"/>
      <c r="W93" s="110"/>
      <c r="X93" s="110"/>
      <c r="Y93" s="378"/>
      <c r="Z93" s="110"/>
      <c r="AA93" s="110"/>
      <c r="AB93" s="110"/>
      <c r="AC93" s="110"/>
      <c r="AD93" s="378"/>
      <c r="AE93" s="110"/>
      <c r="AF93" s="110"/>
      <c r="AG93" s="110"/>
      <c r="AH93" s="110"/>
      <c r="AI93" s="378"/>
      <c r="AJ93" s="110"/>
      <c r="AK93" s="110"/>
      <c r="AL93" s="110"/>
      <c r="AM93" s="110"/>
      <c r="AN93" s="378"/>
      <c r="AO93" s="110"/>
      <c r="AP93" s="110"/>
      <c r="AQ93" s="110"/>
      <c r="AR93" s="110"/>
      <c r="AS93" s="378"/>
      <c r="AT93" s="110"/>
      <c r="AU93" s="110"/>
      <c r="AV93" s="110"/>
      <c r="AW93" s="110"/>
      <c r="AX93" s="378"/>
    </row>
    <row r="94" spans="2:50">
      <c r="B94" s="378"/>
      <c r="C94" s="110">
        <v>8</v>
      </c>
      <c r="D94" s="110"/>
      <c r="E94" s="110"/>
      <c r="F94" s="110"/>
      <c r="G94" s="110"/>
      <c r="H94" s="400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390"/>
      <c r="M94" s="184" t="e">
        <f>RANK(K94, K$87:$K$101)</f>
        <v>#DIV/0!</v>
      </c>
      <c r="N94" s="387"/>
      <c r="O94" s="387"/>
      <c r="P94" s="110"/>
      <c r="Q94" s="110"/>
      <c r="R94" s="110"/>
      <c r="S94" s="110"/>
      <c r="T94" s="378"/>
      <c r="U94" s="110"/>
      <c r="V94" s="110"/>
      <c r="W94" s="110"/>
      <c r="X94" s="110"/>
      <c r="Y94" s="378"/>
      <c r="Z94" s="110"/>
      <c r="AA94" s="110"/>
      <c r="AB94" s="110"/>
      <c r="AC94" s="110"/>
      <c r="AD94" s="378"/>
      <c r="AE94" s="110"/>
      <c r="AF94" s="110"/>
      <c r="AG94" s="110"/>
      <c r="AH94" s="110"/>
      <c r="AI94" s="378"/>
      <c r="AJ94" s="110"/>
      <c r="AK94" s="110"/>
      <c r="AL94" s="110"/>
      <c r="AM94" s="110"/>
      <c r="AN94" s="378"/>
      <c r="AO94" s="110"/>
      <c r="AP94" s="110"/>
      <c r="AQ94" s="110"/>
      <c r="AR94" s="110"/>
      <c r="AS94" s="378"/>
      <c r="AT94" s="110"/>
      <c r="AU94" s="110"/>
      <c r="AV94" s="110"/>
      <c r="AW94" s="110"/>
      <c r="AX94" s="378"/>
    </row>
    <row r="95" spans="2:50">
      <c r="B95" s="378"/>
      <c r="C95" s="110">
        <v>9</v>
      </c>
      <c r="D95" s="110"/>
      <c r="E95" s="110"/>
      <c r="F95" s="110"/>
      <c r="G95" s="110"/>
      <c r="H95" s="400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390"/>
      <c r="M95" s="184" t="e">
        <f>RANK(K95, K$87:$K$101)</f>
        <v>#DIV/0!</v>
      </c>
      <c r="N95" s="387"/>
      <c r="O95" s="387"/>
      <c r="P95" s="110"/>
      <c r="Q95" s="110"/>
      <c r="R95" s="110"/>
      <c r="S95" s="110"/>
      <c r="T95" s="378"/>
      <c r="U95" s="110"/>
      <c r="V95" s="110"/>
      <c r="W95" s="110"/>
      <c r="X95" s="110"/>
      <c r="Y95" s="378"/>
      <c r="Z95" s="110"/>
      <c r="AA95" s="110"/>
      <c r="AB95" s="110"/>
      <c r="AC95" s="110"/>
      <c r="AD95" s="378"/>
      <c r="AE95" s="110"/>
      <c r="AF95" s="110"/>
      <c r="AG95" s="110"/>
      <c r="AH95" s="110"/>
      <c r="AI95" s="378"/>
      <c r="AJ95" s="110"/>
      <c r="AK95" s="110"/>
      <c r="AL95" s="110"/>
      <c r="AM95" s="110"/>
      <c r="AN95" s="378"/>
      <c r="AO95" s="110"/>
      <c r="AP95" s="110"/>
      <c r="AQ95" s="110"/>
      <c r="AR95" s="110"/>
      <c r="AS95" s="378"/>
      <c r="AT95" s="110"/>
      <c r="AU95" s="110"/>
      <c r="AV95" s="110"/>
      <c r="AW95" s="110"/>
      <c r="AX95" s="378"/>
    </row>
    <row r="96" spans="2:50">
      <c r="B96" s="378"/>
      <c r="C96" s="110">
        <v>10</v>
      </c>
      <c r="D96" s="110"/>
      <c r="E96" s="110"/>
      <c r="F96" s="110"/>
      <c r="G96" s="110"/>
      <c r="H96" s="400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390"/>
      <c r="M96" s="184" t="e">
        <f>RANK(K96, K$87:$K$101)</f>
        <v>#DIV/0!</v>
      </c>
      <c r="N96" s="387"/>
      <c r="O96" s="387"/>
      <c r="P96" s="110"/>
      <c r="Q96" s="110"/>
      <c r="R96" s="110"/>
      <c r="S96" s="110"/>
      <c r="T96" s="378"/>
      <c r="U96" s="110"/>
      <c r="V96" s="110"/>
      <c r="W96" s="110"/>
      <c r="X96" s="110"/>
      <c r="Y96" s="378"/>
      <c r="Z96" s="110"/>
      <c r="AA96" s="110"/>
      <c r="AB96" s="110"/>
      <c r="AC96" s="110"/>
      <c r="AD96" s="378"/>
      <c r="AE96" s="110"/>
      <c r="AF96" s="110"/>
      <c r="AG96" s="110"/>
      <c r="AH96" s="110"/>
      <c r="AI96" s="378"/>
      <c r="AJ96" s="110"/>
      <c r="AK96" s="110"/>
      <c r="AL96" s="110"/>
      <c r="AM96" s="110"/>
      <c r="AN96" s="378"/>
      <c r="AO96" s="110"/>
      <c r="AP96" s="110"/>
      <c r="AQ96" s="110"/>
      <c r="AR96" s="110"/>
      <c r="AS96" s="378"/>
      <c r="AT96" s="110"/>
      <c r="AU96" s="110"/>
      <c r="AV96" s="110"/>
      <c r="AW96" s="110"/>
      <c r="AX96" s="378"/>
    </row>
    <row r="97" spans="2:50">
      <c r="B97" s="378"/>
      <c r="C97" s="110">
        <v>11</v>
      </c>
      <c r="D97" s="110"/>
      <c r="E97" s="110"/>
      <c r="F97" s="110"/>
      <c r="G97" s="110"/>
      <c r="H97" s="400"/>
      <c r="I97" s="110"/>
      <c r="J97" s="110"/>
      <c r="K97" s="110"/>
      <c r="L97" s="390"/>
      <c r="M97" s="184" t="e">
        <f>RANK(K97, K$87:$K$101)</f>
        <v>#DIV/0!</v>
      </c>
      <c r="N97" s="387"/>
      <c r="O97" s="387"/>
      <c r="P97" s="110"/>
      <c r="Q97" s="110"/>
      <c r="R97" s="110"/>
      <c r="S97" s="110"/>
      <c r="T97" s="378"/>
      <c r="U97" s="110"/>
      <c r="V97" s="110"/>
      <c r="W97" s="110"/>
      <c r="X97" s="110"/>
      <c r="Y97" s="378"/>
      <c r="Z97" s="110"/>
      <c r="AA97" s="110"/>
      <c r="AB97" s="110"/>
      <c r="AC97" s="110"/>
      <c r="AD97" s="378"/>
      <c r="AE97" s="110"/>
      <c r="AF97" s="110"/>
      <c r="AG97" s="110"/>
      <c r="AH97" s="110"/>
      <c r="AI97" s="378"/>
      <c r="AJ97" s="110"/>
      <c r="AK97" s="110"/>
      <c r="AL97" s="110"/>
      <c r="AM97" s="110"/>
      <c r="AN97" s="378"/>
      <c r="AO97" s="110"/>
      <c r="AP97" s="110"/>
      <c r="AQ97" s="110"/>
      <c r="AR97" s="110"/>
      <c r="AS97" s="378"/>
      <c r="AT97" s="110"/>
      <c r="AU97" s="110"/>
      <c r="AV97" s="110"/>
      <c r="AW97" s="110"/>
      <c r="AX97" s="378"/>
    </row>
    <row r="98" spans="2:50">
      <c r="B98" s="378"/>
      <c r="C98" s="110">
        <v>12</v>
      </c>
      <c r="D98" s="110"/>
      <c r="E98" s="110"/>
      <c r="F98" s="110"/>
      <c r="G98" s="110"/>
      <c r="H98" s="400"/>
      <c r="I98" s="110"/>
      <c r="J98" s="110"/>
      <c r="K98" s="110"/>
      <c r="L98" s="390"/>
      <c r="M98" s="184" t="e">
        <f>RANK(K98, K$87:$K$101)</f>
        <v>#DIV/0!</v>
      </c>
      <c r="N98" s="387"/>
      <c r="O98" s="387"/>
      <c r="P98" s="110"/>
      <c r="Q98" s="110"/>
      <c r="R98" s="110"/>
      <c r="S98" s="110"/>
      <c r="T98" s="378"/>
      <c r="U98" s="110"/>
      <c r="V98" s="110"/>
      <c r="W98" s="110"/>
      <c r="X98" s="110"/>
      <c r="Y98" s="378"/>
      <c r="Z98" s="110"/>
      <c r="AA98" s="110"/>
      <c r="AB98" s="110"/>
      <c r="AC98" s="110"/>
      <c r="AD98" s="378"/>
      <c r="AE98" s="110"/>
      <c r="AF98" s="110"/>
      <c r="AG98" s="110"/>
      <c r="AH98" s="110"/>
      <c r="AI98" s="378"/>
      <c r="AJ98" s="110"/>
      <c r="AK98" s="110"/>
      <c r="AL98" s="110"/>
      <c r="AM98" s="110"/>
      <c r="AN98" s="378"/>
      <c r="AO98" s="110"/>
      <c r="AP98" s="110"/>
      <c r="AQ98" s="110"/>
      <c r="AR98" s="110"/>
      <c r="AS98" s="378"/>
      <c r="AT98" s="110"/>
      <c r="AU98" s="110"/>
      <c r="AV98" s="110"/>
      <c r="AW98" s="110"/>
      <c r="AX98" s="378"/>
    </row>
    <row r="99" spans="2:50">
      <c r="B99" s="378"/>
      <c r="C99" s="110">
        <v>13</v>
      </c>
      <c r="D99" s="110"/>
      <c r="E99" s="110"/>
      <c r="F99" s="110"/>
      <c r="G99" s="110"/>
      <c r="H99" s="400"/>
      <c r="I99" s="110"/>
      <c r="J99" s="110"/>
      <c r="K99" s="110"/>
      <c r="L99" s="390"/>
      <c r="M99" s="184" t="e">
        <f>RANK(K99, K$87:$K$101)</f>
        <v>#DIV/0!</v>
      </c>
      <c r="N99" s="387"/>
      <c r="O99" s="387"/>
      <c r="P99" s="110"/>
      <c r="Q99" s="110"/>
      <c r="R99" s="110"/>
      <c r="S99" s="110"/>
      <c r="T99" s="378"/>
      <c r="U99" s="110"/>
      <c r="V99" s="110"/>
      <c r="W99" s="110"/>
      <c r="X99" s="110"/>
      <c r="Y99" s="378"/>
      <c r="Z99" s="110"/>
      <c r="AA99" s="110"/>
      <c r="AB99" s="110"/>
      <c r="AC99" s="110"/>
      <c r="AD99" s="378"/>
      <c r="AE99" s="110"/>
      <c r="AF99" s="110"/>
      <c r="AG99" s="110"/>
      <c r="AH99" s="110"/>
      <c r="AI99" s="378"/>
      <c r="AJ99" s="110"/>
      <c r="AK99" s="110"/>
      <c r="AL99" s="110"/>
      <c r="AM99" s="110"/>
      <c r="AN99" s="378"/>
      <c r="AO99" s="110"/>
      <c r="AP99" s="110"/>
      <c r="AQ99" s="110"/>
      <c r="AR99" s="110"/>
      <c r="AS99" s="378"/>
      <c r="AT99" s="110"/>
      <c r="AU99" s="110"/>
      <c r="AV99" s="110"/>
      <c r="AW99" s="110"/>
      <c r="AX99" s="378"/>
    </row>
    <row r="100" spans="2:50">
      <c r="B100" s="378"/>
      <c r="C100" s="110">
        <v>14</v>
      </c>
      <c r="D100" s="110"/>
      <c r="E100" s="110"/>
      <c r="F100" s="110"/>
      <c r="G100" s="110"/>
      <c r="H100" s="400"/>
      <c r="I100" s="110"/>
      <c r="J100" s="110"/>
      <c r="K100" s="110"/>
      <c r="L100" s="390"/>
      <c r="M100" s="184" t="e">
        <f>RANK(K100, K$87:$K$101)</f>
        <v>#DIV/0!</v>
      </c>
      <c r="N100" s="387"/>
      <c r="O100" s="387"/>
      <c r="P100" s="110"/>
      <c r="Q100" s="110"/>
      <c r="R100" s="110"/>
      <c r="S100" s="110"/>
      <c r="T100" s="378"/>
      <c r="U100" s="110"/>
      <c r="V100" s="110"/>
      <c r="W100" s="110"/>
      <c r="X100" s="110"/>
      <c r="Y100" s="378"/>
      <c r="Z100" s="110"/>
      <c r="AA100" s="110"/>
      <c r="AB100" s="110"/>
      <c r="AC100" s="110"/>
      <c r="AD100" s="378"/>
      <c r="AE100" s="110"/>
      <c r="AF100" s="110"/>
      <c r="AG100" s="110"/>
      <c r="AH100" s="110"/>
      <c r="AI100" s="378"/>
      <c r="AJ100" s="110"/>
      <c r="AK100" s="110"/>
      <c r="AL100" s="110"/>
      <c r="AM100" s="110"/>
      <c r="AN100" s="378"/>
      <c r="AO100" s="110"/>
      <c r="AP100" s="110"/>
      <c r="AQ100" s="110"/>
      <c r="AR100" s="110"/>
      <c r="AS100" s="378"/>
      <c r="AT100" s="110"/>
      <c r="AU100" s="110"/>
      <c r="AV100" s="110"/>
      <c r="AW100" s="110"/>
      <c r="AX100" s="378"/>
    </row>
    <row r="101" spans="2:50">
      <c r="B101" s="378"/>
      <c r="C101" s="110">
        <v>15</v>
      </c>
      <c r="D101" s="110"/>
      <c r="E101" s="110"/>
      <c r="F101" s="110"/>
      <c r="G101" s="110"/>
      <c r="H101" s="401"/>
      <c r="I101" s="110"/>
      <c r="J101" s="110"/>
      <c r="K101" s="110"/>
      <c r="L101" s="391"/>
      <c r="M101" s="184" t="e">
        <f>RANK(K101, K$87:$K$101)</f>
        <v>#DIV/0!</v>
      </c>
      <c r="N101" s="387"/>
      <c r="O101" s="387"/>
      <c r="P101" s="110"/>
      <c r="Q101" s="110"/>
      <c r="R101" s="110"/>
      <c r="S101" s="110"/>
      <c r="T101" s="378"/>
      <c r="U101" s="110"/>
      <c r="V101" s="110"/>
      <c r="W101" s="110"/>
      <c r="X101" s="110"/>
      <c r="Y101" s="378"/>
      <c r="Z101" s="110"/>
      <c r="AA101" s="110"/>
      <c r="AB101" s="110"/>
      <c r="AC101" s="110"/>
      <c r="AD101" s="378"/>
      <c r="AE101" s="110"/>
      <c r="AF101" s="110"/>
      <c r="AG101" s="110"/>
      <c r="AH101" s="110"/>
      <c r="AI101" s="378"/>
      <c r="AJ101" s="110"/>
      <c r="AK101" s="110"/>
      <c r="AL101" s="110"/>
      <c r="AM101" s="110"/>
      <c r="AN101" s="378"/>
      <c r="AO101" s="110"/>
      <c r="AP101" s="110"/>
      <c r="AQ101" s="110"/>
      <c r="AR101" s="110"/>
      <c r="AS101" s="378"/>
      <c r="AT101" s="110"/>
      <c r="AU101" s="110"/>
      <c r="AV101" s="110"/>
      <c r="AW101" s="110"/>
      <c r="AX101" s="378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4" topLeftCell="AF1" activePane="topRight" state="frozen"/>
      <selection pane="topRight" activeCell="M10" sqref="M10:M21"/>
    </sheetView>
  </sheetViews>
  <sheetFormatPr defaultColWidth="8.85546875" defaultRowHeight="12.75"/>
  <cols>
    <col min="1" max="1" width="5.5703125" style="270" customWidth="1"/>
    <col min="2" max="2" width="12.42578125" style="270" customWidth="1"/>
    <col min="3" max="3" width="8.85546875" style="269"/>
    <col min="4" max="4" width="26.42578125" style="269" customWidth="1"/>
    <col min="5" max="7" width="8.42578125" style="269" customWidth="1"/>
    <col min="8" max="8" width="11.140625" style="269" bestFit="1" customWidth="1"/>
    <col min="9" max="12" width="11.140625" style="269" customWidth="1"/>
    <col min="13" max="13" width="13.5703125" style="269" customWidth="1"/>
    <col min="14" max="14" width="9.85546875" style="269" customWidth="1"/>
    <col min="15" max="15" width="7.140625" style="269" customWidth="1"/>
    <col min="16" max="18" width="12.85546875" style="269" customWidth="1"/>
    <col min="19" max="19" width="7.7109375" style="269" bestFit="1" customWidth="1"/>
    <col min="20" max="20" width="12.85546875" style="269" customWidth="1"/>
    <col min="21" max="23" width="12.85546875" style="270" customWidth="1"/>
    <col min="24" max="24" width="5.42578125" style="269" customWidth="1"/>
    <col min="25" max="28" width="12.85546875" style="270" customWidth="1"/>
    <col min="29" max="29" width="5.42578125" style="269" customWidth="1"/>
    <col min="30" max="30" width="12.85546875" style="270" customWidth="1"/>
    <col min="31" max="33" width="12.5703125" style="270" customWidth="1"/>
    <col min="34" max="34" width="5.42578125" style="269" customWidth="1"/>
    <col min="35" max="35" width="13" style="270" customWidth="1"/>
    <col min="36" max="38" width="12.5703125" style="270" customWidth="1"/>
    <col min="39" max="39" width="5.42578125" style="269" customWidth="1"/>
    <col min="40" max="40" width="13" style="270" customWidth="1"/>
    <col min="41" max="43" width="13.140625" style="270" customWidth="1"/>
    <col min="44" max="44" width="5.42578125" style="270" customWidth="1"/>
    <col min="45" max="48" width="13.140625" style="270" customWidth="1"/>
    <col min="49" max="49" width="5.42578125" style="270" customWidth="1"/>
    <col min="50" max="50" width="13.140625" style="270" customWidth="1"/>
    <col min="51" max="16384" width="8.85546875" style="270"/>
  </cols>
  <sheetData>
    <row r="1" spans="1:50" ht="21">
      <c r="A1" s="266"/>
      <c r="B1" s="267" t="s">
        <v>349</v>
      </c>
      <c r="C1" s="268">
        <f>AVERAGE(L7,L27,L47,L67,L87)</f>
        <v>111.71652421652421</v>
      </c>
    </row>
    <row r="2" spans="1:50" ht="15.75">
      <c r="A2" s="271"/>
      <c r="B2" s="367" t="s">
        <v>169</v>
      </c>
      <c r="C2" s="348"/>
      <c r="D2" s="348"/>
      <c r="E2" s="348"/>
      <c r="F2" s="348"/>
      <c r="G2" s="348"/>
      <c r="H2" s="348"/>
      <c r="I2" s="272"/>
      <c r="J2" s="272"/>
      <c r="K2" s="272"/>
      <c r="L2" s="272"/>
      <c r="M2" s="273"/>
      <c r="N2" s="350" t="s">
        <v>492</v>
      </c>
      <c r="O2" s="350" t="s">
        <v>105</v>
      </c>
      <c r="P2" s="345"/>
      <c r="Q2" s="346"/>
      <c r="R2" s="346"/>
      <c r="S2" s="346"/>
      <c r="T2" s="346"/>
      <c r="U2" s="345">
        <v>45931</v>
      </c>
      <c r="V2" s="346"/>
      <c r="W2" s="346"/>
      <c r="X2" s="346"/>
      <c r="Y2" s="346"/>
      <c r="Z2" s="345">
        <v>45932</v>
      </c>
      <c r="AA2" s="346"/>
      <c r="AB2" s="346"/>
      <c r="AC2" s="346"/>
      <c r="AD2" s="346"/>
      <c r="AE2" s="345">
        <v>45933</v>
      </c>
      <c r="AF2" s="346"/>
      <c r="AG2" s="346"/>
      <c r="AH2" s="346"/>
      <c r="AI2" s="346"/>
      <c r="AJ2" s="345">
        <v>45934</v>
      </c>
      <c r="AK2" s="346"/>
      <c r="AL2" s="346"/>
      <c r="AM2" s="346"/>
      <c r="AN2" s="346"/>
      <c r="AO2" s="345">
        <v>45935</v>
      </c>
      <c r="AP2" s="346"/>
      <c r="AQ2" s="346"/>
      <c r="AR2" s="346"/>
      <c r="AS2" s="346"/>
      <c r="AT2" s="345">
        <v>45936</v>
      </c>
      <c r="AU2" s="346"/>
      <c r="AV2" s="346"/>
      <c r="AW2" s="346"/>
      <c r="AX2" s="346"/>
    </row>
    <row r="3" spans="1:50" ht="15.75">
      <c r="A3" s="271"/>
      <c r="B3" s="349"/>
      <c r="C3" s="349"/>
      <c r="D3" s="349"/>
      <c r="E3" s="349"/>
      <c r="F3" s="349"/>
      <c r="G3" s="349"/>
      <c r="H3" s="349"/>
      <c r="I3" s="274"/>
      <c r="J3" s="274"/>
      <c r="K3" s="274"/>
      <c r="L3" s="274"/>
      <c r="M3" s="275"/>
      <c r="N3" s="351"/>
      <c r="O3" s="351"/>
      <c r="P3" s="345" t="s">
        <v>120</v>
      </c>
      <c r="Q3" s="346"/>
      <c r="R3" s="346"/>
      <c r="S3" s="346"/>
      <c r="T3" s="346"/>
      <c r="U3" s="345" t="s">
        <v>493</v>
      </c>
      <c r="V3" s="346"/>
      <c r="W3" s="346"/>
      <c r="X3" s="346"/>
      <c r="Y3" s="346"/>
      <c r="Z3" s="345" t="s">
        <v>494</v>
      </c>
      <c r="AA3" s="346"/>
      <c r="AB3" s="346"/>
      <c r="AC3" s="346"/>
      <c r="AD3" s="346"/>
      <c r="AE3" s="345" t="s">
        <v>495</v>
      </c>
      <c r="AF3" s="346"/>
      <c r="AG3" s="346"/>
      <c r="AH3" s="346"/>
      <c r="AI3" s="346"/>
      <c r="AJ3" s="345" t="s">
        <v>496</v>
      </c>
      <c r="AK3" s="346"/>
      <c r="AL3" s="346"/>
      <c r="AM3" s="346"/>
      <c r="AN3" s="346"/>
      <c r="AO3" s="345" t="s">
        <v>481</v>
      </c>
      <c r="AP3" s="346"/>
      <c r="AQ3" s="346"/>
      <c r="AR3" s="346"/>
      <c r="AS3" s="346"/>
      <c r="AT3" s="345" t="s">
        <v>497</v>
      </c>
      <c r="AU3" s="346"/>
      <c r="AV3" s="346"/>
      <c r="AW3" s="346"/>
      <c r="AX3" s="346"/>
    </row>
    <row r="4" spans="1:50">
      <c r="A4" s="271"/>
      <c r="B4" s="355" t="s">
        <v>459</v>
      </c>
      <c r="C4" s="355" t="s">
        <v>490</v>
      </c>
      <c r="D4" s="355"/>
      <c r="E4" s="355" t="s">
        <v>152</v>
      </c>
      <c r="F4" s="355"/>
      <c r="G4" s="355"/>
      <c r="H4" s="361" t="s">
        <v>159</v>
      </c>
      <c r="I4" s="355" t="s">
        <v>498</v>
      </c>
      <c r="J4" s="355"/>
      <c r="K4" s="355"/>
      <c r="L4" s="361" t="s">
        <v>468</v>
      </c>
      <c r="M4" s="350" t="s">
        <v>499</v>
      </c>
      <c r="N4" s="355"/>
      <c r="O4" s="355" t="s">
        <v>160</v>
      </c>
      <c r="P4" s="352" t="s">
        <v>155</v>
      </c>
      <c r="Q4" s="353"/>
      <c r="R4" s="353"/>
      <c r="S4" s="354"/>
      <c r="T4" s="355" t="s">
        <v>500</v>
      </c>
      <c r="U4" s="352" t="s">
        <v>155</v>
      </c>
      <c r="V4" s="353"/>
      <c r="W4" s="353"/>
      <c r="X4" s="354"/>
      <c r="Y4" s="355" t="s">
        <v>500</v>
      </c>
      <c r="Z4" s="352" t="s">
        <v>155</v>
      </c>
      <c r="AA4" s="353"/>
      <c r="AB4" s="353"/>
      <c r="AC4" s="354"/>
      <c r="AD4" s="355" t="s">
        <v>500</v>
      </c>
      <c r="AE4" s="352" t="s">
        <v>155</v>
      </c>
      <c r="AF4" s="353"/>
      <c r="AG4" s="353"/>
      <c r="AH4" s="354"/>
      <c r="AI4" s="355" t="s">
        <v>500</v>
      </c>
      <c r="AJ4" s="352" t="s">
        <v>467</v>
      </c>
      <c r="AK4" s="353"/>
      <c r="AL4" s="353"/>
      <c r="AM4" s="354"/>
      <c r="AN4" s="355" t="s">
        <v>500</v>
      </c>
      <c r="AO4" s="352" t="s">
        <v>155</v>
      </c>
      <c r="AP4" s="353"/>
      <c r="AQ4" s="353"/>
      <c r="AR4" s="354"/>
      <c r="AS4" s="355" t="s">
        <v>462</v>
      </c>
      <c r="AT4" s="352" t="s">
        <v>501</v>
      </c>
      <c r="AU4" s="353"/>
      <c r="AV4" s="353"/>
      <c r="AW4" s="354"/>
      <c r="AX4" s="355" t="s">
        <v>159</v>
      </c>
    </row>
    <row r="5" spans="1:50">
      <c r="A5" s="271"/>
      <c r="B5" s="355"/>
      <c r="C5" s="355"/>
      <c r="D5" s="355"/>
      <c r="E5" s="355" t="s">
        <v>502</v>
      </c>
      <c r="F5" s="355"/>
      <c r="G5" s="355"/>
      <c r="H5" s="362"/>
      <c r="I5" s="355" t="s">
        <v>502</v>
      </c>
      <c r="J5" s="355"/>
      <c r="K5" s="355"/>
      <c r="L5" s="362"/>
      <c r="M5" s="364"/>
      <c r="N5" s="355"/>
      <c r="O5" s="355"/>
      <c r="P5" s="352" t="s">
        <v>156</v>
      </c>
      <c r="Q5" s="353"/>
      <c r="R5" s="353"/>
      <c r="S5" s="354"/>
      <c r="T5" s="355"/>
      <c r="U5" s="352" t="s">
        <v>503</v>
      </c>
      <c r="V5" s="353"/>
      <c r="W5" s="353"/>
      <c r="X5" s="354"/>
      <c r="Y5" s="355"/>
      <c r="Z5" s="352" t="s">
        <v>156</v>
      </c>
      <c r="AA5" s="353"/>
      <c r="AB5" s="353"/>
      <c r="AC5" s="354"/>
      <c r="AD5" s="355"/>
      <c r="AE5" s="352" t="s">
        <v>156</v>
      </c>
      <c r="AF5" s="353"/>
      <c r="AG5" s="353"/>
      <c r="AH5" s="354"/>
      <c r="AI5" s="355"/>
      <c r="AJ5" s="352" t="s">
        <v>503</v>
      </c>
      <c r="AK5" s="353"/>
      <c r="AL5" s="353"/>
      <c r="AM5" s="354"/>
      <c r="AN5" s="355"/>
      <c r="AO5" s="352" t="s">
        <v>503</v>
      </c>
      <c r="AP5" s="353"/>
      <c r="AQ5" s="353"/>
      <c r="AR5" s="354"/>
      <c r="AS5" s="355"/>
      <c r="AT5" s="352" t="s">
        <v>156</v>
      </c>
      <c r="AU5" s="353"/>
      <c r="AV5" s="353"/>
      <c r="AW5" s="354"/>
      <c r="AX5" s="355"/>
    </row>
    <row r="6" spans="1:50">
      <c r="A6" s="276"/>
      <c r="B6" s="355"/>
      <c r="C6" s="355"/>
      <c r="D6" s="355"/>
      <c r="E6" s="277" t="s">
        <v>504</v>
      </c>
      <c r="F6" s="277" t="s">
        <v>505</v>
      </c>
      <c r="G6" s="277" t="s">
        <v>506</v>
      </c>
      <c r="H6" s="363"/>
      <c r="I6" s="277" t="s">
        <v>153</v>
      </c>
      <c r="J6" s="277" t="s">
        <v>505</v>
      </c>
      <c r="K6" s="277" t="s">
        <v>157</v>
      </c>
      <c r="L6" s="363"/>
      <c r="M6" s="351"/>
      <c r="N6" s="355"/>
      <c r="O6" s="355"/>
      <c r="P6" s="277" t="s">
        <v>476</v>
      </c>
      <c r="Q6" s="277" t="s">
        <v>505</v>
      </c>
      <c r="R6" s="277" t="s">
        <v>157</v>
      </c>
      <c r="S6" s="277" t="s">
        <v>499</v>
      </c>
      <c r="T6" s="355"/>
      <c r="U6" s="277" t="s">
        <v>153</v>
      </c>
      <c r="V6" s="277" t="s">
        <v>475</v>
      </c>
      <c r="W6" s="277" t="s">
        <v>506</v>
      </c>
      <c r="X6" s="277" t="s">
        <v>499</v>
      </c>
      <c r="Y6" s="355"/>
      <c r="Z6" s="277" t="s">
        <v>153</v>
      </c>
      <c r="AA6" s="277" t="s">
        <v>475</v>
      </c>
      <c r="AB6" s="277" t="s">
        <v>506</v>
      </c>
      <c r="AC6" s="277" t="s">
        <v>170</v>
      </c>
      <c r="AD6" s="355"/>
      <c r="AE6" s="277" t="s">
        <v>504</v>
      </c>
      <c r="AF6" s="277" t="s">
        <v>475</v>
      </c>
      <c r="AG6" s="277" t="s">
        <v>506</v>
      </c>
      <c r="AH6" s="277" t="s">
        <v>499</v>
      </c>
      <c r="AI6" s="355"/>
      <c r="AJ6" s="277" t="s">
        <v>504</v>
      </c>
      <c r="AK6" s="277" t="s">
        <v>505</v>
      </c>
      <c r="AL6" s="277" t="s">
        <v>506</v>
      </c>
      <c r="AM6" s="277" t="s">
        <v>499</v>
      </c>
      <c r="AN6" s="355"/>
      <c r="AO6" s="277" t="s">
        <v>504</v>
      </c>
      <c r="AP6" s="277" t="s">
        <v>505</v>
      </c>
      <c r="AQ6" s="277" t="s">
        <v>157</v>
      </c>
      <c r="AR6" s="277" t="s">
        <v>499</v>
      </c>
      <c r="AS6" s="355"/>
      <c r="AT6" s="277" t="s">
        <v>153</v>
      </c>
      <c r="AU6" s="277" t="s">
        <v>505</v>
      </c>
      <c r="AV6" s="277" t="s">
        <v>506</v>
      </c>
      <c r="AW6" s="277" t="s">
        <v>477</v>
      </c>
      <c r="AX6" s="355"/>
    </row>
    <row r="7" spans="1:50">
      <c r="A7" s="271"/>
      <c r="B7" s="355" t="s">
        <v>507</v>
      </c>
      <c r="C7" s="278">
        <v>1</v>
      </c>
      <c r="D7" s="278" t="s">
        <v>397</v>
      </c>
      <c r="E7" s="279">
        <f>VLOOKUP(D7,'10產線配置圖'!$A$2:$C$25,2,0)</f>
        <v>13</v>
      </c>
      <c r="F7" s="279">
        <f>VLOOKUP(D7,'10產線配置圖'!$A$2:$C$25,3,0)</f>
        <v>1565</v>
      </c>
      <c r="G7" s="280">
        <f t="shared" ref="G7:G9" si="0">F7/E7</f>
        <v>120.38461538461539</v>
      </c>
      <c r="H7" s="356">
        <f>AVERAGE(G7:G21)</f>
        <v>127.07264957264958</v>
      </c>
      <c r="I7" s="279">
        <f>AVERAGE(P7,U7,Z7,AE7,AJ7,AO7,AT7)</f>
        <v>13</v>
      </c>
      <c r="J7" s="279">
        <f>AVERAGE(Q7,V7,AA7,AF7,AK7,AP7,AU7)</f>
        <v>1473.8333333333333</v>
      </c>
      <c r="K7" s="280">
        <f>AVERAGE(W7,AB7,AG7,AL7,AQ7,AV7)</f>
        <v>113.37179487179488</v>
      </c>
      <c r="L7" s="356">
        <f>IFERROR(AVERAGE(K7:K21),"-")</f>
        <v>111.71652421652421</v>
      </c>
      <c r="M7" s="281">
        <f>RANK(K7, K$7:$K$21)</f>
        <v>1</v>
      </c>
      <c r="N7" s="355"/>
      <c r="O7" s="355"/>
      <c r="P7" s="279"/>
      <c r="Q7" s="279"/>
      <c r="R7" s="280" t="e">
        <f>Q7/P7</f>
        <v>#DIV/0!</v>
      </c>
      <c r="S7" s="278" t="e">
        <f>RANK(R7, R$7:R$21)</f>
        <v>#DIV/0!</v>
      </c>
      <c r="T7" s="359" t="e">
        <f>AVERAGE(R7:R21)</f>
        <v>#DIV/0!</v>
      </c>
      <c r="U7" s="279">
        <v>13</v>
      </c>
      <c r="V7" s="279">
        <v>1427</v>
      </c>
      <c r="W7" s="280">
        <f>V7/U7</f>
        <v>109.76923076923077</v>
      </c>
      <c r="X7" s="278">
        <f>RANK(W7, W$7:W$21)</f>
        <v>3</v>
      </c>
      <c r="Y7" s="359">
        <f>AVERAGE(W7:W21)</f>
        <v>118.97863247863249</v>
      </c>
      <c r="Z7" s="278">
        <v>13</v>
      </c>
      <c r="AA7" s="279">
        <v>1507</v>
      </c>
      <c r="AB7" s="280">
        <f>AA7/Z7</f>
        <v>115.92307692307692</v>
      </c>
      <c r="AC7" s="278">
        <f>RANK(AB7, AB$7:AB$21)</f>
        <v>2</v>
      </c>
      <c r="AD7" s="359">
        <f>AVERAGE(AB7:AB21)</f>
        <v>116.52991452991454</v>
      </c>
      <c r="AE7" s="279">
        <v>13</v>
      </c>
      <c r="AF7" s="279">
        <v>1506</v>
      </c>
      <c r="AG7" s="280">
        <f>AF7/AE7</f>
        <v>115.84615384615384</v>
      </c>
      <c r="AH7" s="278">
        <f>RANK(AG7, AG$7:AG$21)</f>
        <v>1</v>
      </c>
      <c r="AI7" s="359">
        <f>AVERAGE(AG7:AG21)</f>
        <v>104.22649572649573</v>
      </c>
      <c r="AJ7" s="279">
        <v>13</v>
      </c>
      <c r="AK7" s="279">
        <v>1367</v>
      </c>
      <c r="AL7" s="280">
        <f>AK7/AJ7</f>
        <v>105.15384615384616</v>
      </c>
      <c r="AM7" s="278">
        <f>RANK(AL7, AL$7:AL$21)</f>
        <v>3</v>
      </c>
      <c r="AN7" s="359">
        <f>AVERAGE(AL7:AL21)</f>
        <v>115.57905982905983</v>
      </c>
      <c r="AO7" s="279">
        <v>13</v>
      </c>
      <c r="AP7" s="279">
        <v>1564</v>
      </c>
      <c r="AQ7" s="280">
        <f>AP7/AO7</f>
        <v>120.30769230769231</v>
      </c>
      <c r="AR7" s="278">
        <f>RANK(AQ7, AQ$7:AQ$21)</f>
        <v>1</v>
      </c>
      <c r="AS7" s="359">
        <f>AVERAGE(AQ7:AQ21)</f>
        <v>113.96367521367522</v>
      </c>
      <c r="AT7" s="279">
        <v>13</v>
      </c>
      <c r="AU7" s="279">
        <v>1472</v>
      </c>
      <c r="AV7" s="280">
        <f>AU7/AT7</f>
        <v>113.23076923076923</v>
      </c>
      <c r="AW7" s="278">
        <f>RANK(AV7, AV$7:AV$21)</f>
        <v>2</v>
      </c>
      <c r="AX7" s="359">
        <f>AVERAGE(AV7:AV21)</f>
        <v>101.02136752136754</v>
      </c>
    </row>
    <row r="8" spans="1:50" ht="15" customHeight="1">
      <c r="A8" s="271"/>
      <c r="B8" s="346"/>
      <c r="C8" s="278">
        <v>2</v>
      </c>
      <c r="D8" s="278" t="s">
        <v>405</v>
      </c>
      <c r="E8" s="279">
        <f>VLOOKUP(D8,'10產線配置圖'!$A$2:$C$25,2,0)</f>
        <v>12</v>
      </c>
      <c r="F8" s="279">
        <f>VLOOKUP(D8,'10產線配置圖'!$A$2:$C$25,3,0)</f>
        <v>1565</v>
      </c>
      <c r="G8" s="280">
        <f t="shared" si="0"/>
        <v>130.41666666666666</v>
      </c>
      <c r="H8" s="357"/>
      <c r="I8" s="279">
        <f t="shared" ref="I8:J9" si="1">AVERAGE(P8,U8,Z8,AE8,AJ8,AO8,AT8)</f>
        <v>12</v>
      </c>
      <c r="J8" s="279">
        <f t="shared" si="1"/>
        <v>1304.3333333333333</v>
      </c>
      <c r="K8" s="280">
        <f t="shared" ref="K8:K9" si="2">AVERAGE(W8,AB8,AG8,AL8,AQ8,AV8)</f>
        <v>108.69444444444444</v>
      </c>
      <c r="L8" s="357"/>
      <c r="M8" s="281">
        <f>RANK(K8, K$7:$K$21)</f>
        <v>3</v>
      </c>
      <c r="N8" s="355"/>
      <c r="O8" s="355"/>
      <c r="P8" s="279"/>
      <c r="Q8" s="279"/>
      <c r="R8" s="280" t="e">
        <f t="shared" ref="R8:R13" si="3">Q8/P8</f>
        <v>#DIV/0!</v>
      </c>
      <c r="S8" s="278" t="e">
        <f t="shared" ref="S8:S13" si="4">RANK(R8, R$7:R$21)</f>
        <v>#DIV/0!</v>
      </c>
      <c r="T8" s="359"/>
      <c r="U8" s="279">
        <v>12</v>
      </c>
      <c r="V8" s="279">
        <v>1472</v>
      </c>
      <c r="W8" s="280">
        <f t="shared" ref="W8:W9" si="5">V8/U8</f>
        <v>122.66666666666667</v>
      </c>
      <c r="X8" s="278">
        <f t="shared" ref="X8:X9" si="6">RANK(W8, W$7:W$21)</f>
        <v>2</v>
      </c>
      <c r="Y8" s="359"/>
      <c r="Z8" s="278">
        <v>12</v>
      </c>
      <c r="AA8" s="279">
        <v>1516</v>
      </c>
      <c r="AB8" s="280">
        <f t="shared" ref="AB8:AB9" si="7">AA8/Z8</f>
        <v>126.33333333333333</v>
      </c>
      <c r="AC8" s="278">
        <f t="shared" ref="AC8:AC9" si="8">RANK(AB8, AB$7:AB$21)</f>
        <v>1</v>
      </c>
      <c r="AD8" s="359"/>
      <c r="AE8" s="279">
        <v>12</v>
      </c>
      <c r="AF8" s="279">
        <v>1181</v>
      </c>
      <c r="AG8" s="280">
        <f t="shared" ref="AG8:AG9" si="9">AF8/AE8</f>
        <v>98.416666666666671</v>
      </c>
      <c r="AH8" s="278">
        <f t="shared" ref="AH8:AH9" si="10">RANK(AG8, AG$7:AG$21)</f>
        <v>2</v>
      </c>
      <c r="AI8" s="359"/>
      <c r="AJ8" s="279">
        <v>12</v>
      </c>
      <c r="AK8" s="279">
        <v>1527</v>
      </c>
      <c r="AL8" s="280">
        <f t="shared" ref="AL8:AL9" si="11">AK8/AJ8</f>
        <v>127.25</v>
      </c>
      <c r="AM8" s="278">
        <f t="shared" ref="AM8:AM9" si="12">RANK(AL8, AL$7:AL$21)</f>
        <v>1</v>
      </c>
      <c r="AN8" s="359"/>
      <c r="AO8" s="279">
        <v>12</v>
      </c>
      <c r="AP8" s="279">
        <v>1273</v>
      </c>
      <c r="AQ8" s="280">
        <f t="shared" ref="AQ8:AQ9" si="13">AP8/AO8</f>
        <v>106.08333333333333</v>
      </c>
      <c r="AR8" s="278">
        <f t="shared" ref="AR8:AR9" si="14">RANK(AQ8, AQ$7:AQ$21)</f>
        <v>3</v>
      </c>
      <c r="AS8" s="359"/>
      <c r="AT8" s="279">
        <v>12</v>
      </c>
      <c r="AU8" s="279">
        <v>857</v>
      </c>
      <c r="AV8" s="280">
        <f t="shared" ref="AV8:AV9" si="15">AU8/AT8</f>
        <v>71.416666666666671</v>
      </c>
      <c r="AW8" s="278">
        <f t="shared" ref="AW8:AW9" si="16">RANK(AV8, AV$7:AV$21)</f>
        <v>3</v>
      </c>
      <c r="AX8" s="359"/>
    </row>
    <row r="9" spans="1:50">
      <c r="A9" s="271"/>
      <c r="B9" s="346"/>
      <c r="C9" s="278">
        <v>3</v>
      </c>
      <c r="D9" s="278" t="s">
        <v>534</v>
      </c>
      <c r="E9" s="279">
        <f>VLOOKUP(D9,'10產線配置圖'!$A$2:$C$25,2,0)</f>
        <v>12</v>
      </c>
      <c r="F9" s="279">
        <f>VLOOKUP(D9,'10產線配置圖'!$A$2:$C$25,3,0)</f>
        <v>1565</v>
      </c>
      <c r="G9" s="280">
        <f t="shared" si="0"/>
        <v>130.41666666666666</v>
      </c>
      <c r="H9" s="357"/>
      <c r="I9" s="279">
        <f t="shared" si="1"/>
        <v>12</v>
      </c>
      <c r="J9" s="279">
        <f t="shared" si="1"/>
        <v>1357</v>
      </c>
      <c r="K9" s="280">
        <f t="shared" si="2"/>
        <v>113.08333333333331</v>
      </c>
      <c r="L9" s="357"/>
      <c r="M9" s="281">
        <f>RANK(K9, K$7:$K$21)</f>
        <v>2</v>
      </c>
      <c r="N9" s="355"/>
      <c r="O9" s="355"/>
      <c r="P9" s="279"/>
      <c r="Q9" s="279"/>
      <c r="R9" s="280" t="e">
        <f t="shared" si="3"/>
        <v>#DIV/0!</v>
      </c>
      <c r="S9" s="278" t="e">
        <f t="shared" si="4"/>
        <v>#DIV/0!</v>
      </c>
      <c r="T9" s="359"/>
      <c r="U9" s="279">
        <v>12</v>
      </c>
      <c r="V9" s="279">
        <v>1494</v>
      </c>
      <c r="W9" s="280">
        <f t="shared" si="5"/>
        <v>124.5</v>
      </c>
      <c r="X9" s="278">
        <f t="shared" si="6"/>
        <v>1</v>
      </c>
      <c r="Y9" s="359"/>
      <c r="Z9" s="278">
        <v>12</v>
      </c>
      <c r="AA9" s="279">
        <v>1288</v>
      </c>
      <c r="AB9" s="280">
        <f t="shared" si="7"/>
        <v>107.33333333333333</v>
      </c>
      <c r="AC9" s="278">
        <f t="shared" si="8"/>
        <v>3</v>
      </c>
      <c r="AD9" s="359"/>
      <c r="AE9" s="279">
        <v>12</v>
      </c>
      <c r="AF9" s="279">
        <v>1181</v>
      </c>
      <c r="AG9" s="280">
        <f t="shared" si="9"/>
        <v>98.416666666666671</v>
      </c>
      <c r="AH9" s="278">
        <f t="shared" si="10"/>
        <v>2</v>
      </c>
      <c r="AI9" s="359"/>
      <c r="AJ9" s="279">
        <v>12</v>
      </c>
      <c r="AK9" s="279">
        <v>1372</v>
      </c>
      <c r="AL9" s="280">
        <f t="shared" si="11"/>
        <v>114.33333333333333</v>
      </c>
      <c r="AM9" s="278">
        <f t="shared" si="12"/>
        <v>2</v>
      </c>
      <c r="AN9" s="359"/>
      <c r="AO9" s="279">
        <v>12</v>
      </c>
      <c r="AP9" s="279">
        <v>1386</v>
      </c>
      <c r="AQ9" s="280">
        <f t="shared" si="13"/>
        <v>115.5</v>
      </c>
      <c r="AR9" s="278">
        <f t="shared" si="14"/>
        <v>2</v>
      </c>
      <c r="AS9" s="359"/>
      <c r="AT9" s="279">
        <v>12</v>
      </c>
      <c r="AU9" s="279">
        <v>1421</v>
      </c>
      <c r="AV9" s="280">
        <f t="shared" si="15"/>
        <v>118.41666666666667</v>
      </c>
      <c r="AW9" s="278">
        <f t="shared" si="16"/>
        <v>1</v>
      </c>
      <c r="AX9" s="359"/>
    </row>
    <row r="10" spans="1:50">
      <c r="A10" s="271"/>
      <c r="B10" s="346"/>
      <c r="C10" s="278">
        <v>4</v>
      </c>
      <c r="D10" s="278"/>
      <c r="E10" s="279"/>
      <c r="F10" s="279"/>
      <c r="G10" s="280"/>
      <c r="H10" s="357"/>
      <c r="I10" s="279"/>
      <c r="J10" s="279"/>
      <c r="K10" s="280"/>
      <c r="L10" s="357"/>
      <c r="M10" s="281"/>
      <c r="N10" s="355"/>
      <c r="O10" s="355"/>
      <c r="P10" s="279"/>
      <c r="Q10" s="279"/>
      <c r="R10" s="280" t="e">
        <f t="shared" si="3"/>
        <v>#DIV/0!</v>
      </c>
      <c r="S10" s="278" t="e">
        <f t="shared" si="4"/>
        <v>#DIV/0!</v>
      </c>
      <c r="T10" s="359"/>
      <c r="U10" s="279"/>
      <c r="V10" s="279"/>
      <c r="W10" s="280"/>
      <c r="X10" s="278"/>
      <c r="Y10" s="359"/>
      <c r="Z10" s="278"/>
      <c r="AA10" s="279"/>
      <c r="AB10" s="280"/>
      <c r="AC10" s="278"/>
      <c r="AD10" s="359"/>
      <c r="AE10" s="279"/>
      <c r="AF10" s="279"/>
      <c r="AG10" s="280"/>
      <c r="AH10" s="278"/>
      <c r="AI10" s="359"/>
      <c r="AJ10" s="279"/>
      <c r="AK10" s="279"/>
      <c r="AL10" s="280"/>
      <c r="AM10" s="278"/>
      <c r="AN10" s="359"/>
      <c r="AO10" s="279"/>
      <c r="AP10" s="279"/>
      <c r="AQ10" s="280"/>
      <c r="AR10" s="278"/>
      <c r="AS10" s="359"/>
      <c r="AT10" s="279"/>
      <c r="AU10" s="279"/>
      <c r="AV10" s="280"/>
      <c r="AW10" s="278"/>
      <c r="AX10" s="359"/>
    </row>
    <row r="11" spans="1:50">
      <c r="A11" s="271"/>
      <c r="B11" s="346"/>
      <c r="C11" s="278">
        <v>5</v>
      </c>
      <c r="D11" s="278"/>
      <c r="E11" s="279"/>
      <c r="F11" s="279"/>
      <c r="G11" s="280"/>
      <c r="H11" s="357"/>
      <c r="I11" s="279"/>
      <c r="J11" s="279"/>
      <c r="K11" s="280"/>
      <c r="L11" s="357"/>
      <c r="M11" s="281"/>
      <c r="N11" s="355"/>
      <c r="O11" s="355"/>
      <c r="P11" s="279"/>
      <c r="Q11" s="279"/>
      <c r="R11" s="280" t="e">
        <f t="shared" si="3"/>
        <v>#DIV/0!</v>
      </c>
      <c r="S11" s="278" t="e">
        <f t="shared" si="4"/>
        <v>#DIV/0!</v>
      </c>
      <c r="T11" s="359"/>
      <c r="U11" s="279"/>
      <c r="V11" s="279"/>
      <c r="W11" s="280"/>
      <c r="X11" s="278"/>
      <c r="Y11" s="359"/>
      <c r="Z11" s="278"/>
      <c r="AA11" s="279"/>
      <c r="AB11" s="280"/>
      <c r="AC11" s="278"/>
      <c r="AD11" s="359"/>
      <c r="AE11" s="279"/>
      <c r="AF11" s="279"/>
      <c r="AG11" s="280"/>
      <c r="AH11" s="278"/>
      <c r="AI11" s="359"/>
      <c r="AJ11" s="279"/>
      <c r="AK11" s="279"/>
      <c r="AL11" s="280"/>
      <c r="AM11" s="278"/>
      <c r="AN11" s="359"/>
      <c r="AO11" s="279"/>
      <c r="AP11" s="279"/>
      <c r="AQ11" s="280"/>
      <c r="AR11" s="278"/>
      <c r="AS11" s="359"/>
      <c r="AT11" s="279"/>
      <c r="AU11" s="279"/>
      <c r="AV11" s="280"/>
      <c r="AW11" s="278"/>
      <c r="AX11" s="359"/>
    </row>
    <row r="12" spans="1:50">
      <c r="A12" s="271"/>
      <c r="B12" s="346"/>
      <c r="C12" s="278">
        <v>6</v>
      </c>
      <c r="D12" s="278"/>
      <c r="E12" s="279"/>
      <c r="F12" s="279"/>
      <c r="G12" s="280"/>
      <c r="H12" s="357"/>
      <c r="I12" s="279"/>
      <c r="J12" s="279"/>
      <c r="K12" s="280"/>
      <c r="L12" s="357"/>
      <c r="M12" s="281"/>
      <c r="N12" s="355"/>
      <c r="O12" s="355"/>
      <c r="P12" s="279"/>
      <c r="Q12" s="279"/>
      <c r="R12" s="280" t="e">
        <f t="shared" si="3"/>
        <v>#DIV/0!</v>
      </c>
      <c r="S12" s="278" t="e">
        <f t="shared" si="4"/>
        <v>#DIV/0!</v>
      </c>
      <c r="T12" s="359"/>
      <c r="U12" s="279"/>
      <c r="V12" s="279"/>
      <c r="W12" s="280"/>
      <c r="X12" s="278"/>
      <c r="Y12" s="359"/>
      <c r="Z12" s="278"/>
      <c r="AA12" s="279"/>
      <c r="AB12" s="280"/>
      <c r="AC12" s="278"/>
      <c r="AD12" s="359"/>
      <c r="AE12" s="279"/>
      <c r="AF12" s="279"/>
      <c r="AG12" s="280"/>
      <c r="AH12" s="278"/>
      <c r="AI12" s="359"/>
      <c r="AJ12" s="279"/>
      <c r="AK12" s="279"/>
      <c r="AL12" s="280"/>
      <c r="AM12" s="278"/>
      <c r="AN12" s="359"/>
      <c r="AO12" s="279"/>
      <c r="AP12" s="279"/>
      <c r="AQ12" s="280"/>
      <c r="AR12" s="278"/>
      <c r="AS12" s="359"/>
      <c r="AT12" s="279"/>
      <c r="AU12" s="279"/>
      <c r="AV12" s="280"/>
      <c r="AW12" s="278"/>
      <c r="AX12" s="359"/>
    </row>
    <row r="13" spans="1:50">
      <c r="A13" s="271"/>
      <c r="B13" s="346"/>
      <c r="C13" s="278">
        <v>7</v>
      </c>
      <c r="D13" s="278"/>
      <c r="E13" s="279"/>
      <c r="F13" s="279"/>
      <c r="G13" s="280"/>
      <c r="H13" s="357"/>
      <c r="I13" s="279"/>
      <c r="J13" s="279"/>
      <c r="K13" s="280"/>
      <c r="L13" s="357"/>
      <c r="M13" s="281"/>
      <c r="N13" s="355"/>
      <c r="O13" s="355"/>
      <c r="P13" s="279"/>
      <c r="Q13" s="279"/>
      <c r="R13" s="280" t="e">
        <f t="shared" si="3"/>
        <v>#DIV/0!</v>
      </c>
      <c r="S13" s="278" t="e">
        <f t="shared" si="4"/>
        <v>#DIV/0!</v>
      </c>
      <c r="T13" s="359"/>
      <c r="U13" s="279"/>
      <c r="V13" s="279"/>
      <c r="W13" s="280"/>
      <c r="X13" s="278"/>
      <c r="Y13" s="359"/>
      <c r="Z13" s="278"/>
      <c r="AA13" s="279"/>
      <c r="AB13" s="280"/>
      <c r="AC13" s="278"/>
      <c r="AD13" s="359"/>
      <c r="AE13" s="279"/>
      <c r="AF13" s="279"/>
      <c r="AG13" s="280"/>
      <c r="AH13" s="278"/>
      <c r="AI13" s="359"/>
      <c r="AJ13" s="279"/>
      <c r="AK13" s="279"/>
      <c r="AL13" s="280"/>
      <c r="AM13" s="278"/>
      <c r="AN13" s="359"/>
      <c r="AO13" s="279"/>
      <c r="AP13" s="279"/>
      <c r="AQ13" s="280"/>
      <c r="AR13" s="278"/>
      <c r="AS13" s="359"/>
      <c r="AT13" s="279"/>
      <c r="AU13" s="279"/>
      <c r="AV13" s="280"/>
      <c r="AW13" s="278"/>
      <c r="AX13" s="359"/>
    </row>
    <row r="14" spans="1:50">
      <c r="A14" s="271"/>
      <c r="B14" s="346"/>
      <c r="C14" s="278">
        <v>8</v>
      </c>
      <c r="D14" s="278"/>
      <c r="E14" s="279"/>
      <c r="F14" s="279"/>
      <c r="G14" s="280"/>
      <c r="H14" s="357"/>
      <c r="I14" s="279"/>
      <c r="J14" s="279"/>
      <c r="K14" s="280"/>
      <c r="L14" s="357"/>
      <c r="M14" s="281"/>
      <c r="N14" s="355"/>
      <c r="O14" s="355"/>
      <c r="P14" s="279"/>
      <c r="Q14" s="279"/>
      <c r="R14" s="280"/>
      <c r="S14" s="278"/>
      <c r="T14" s="359"/>
      <c r="U14" s="279"/>
      <c r="V14" s="279"/>
      <c r="W14" s="280"/>
      <c r="X14" s="278"/>
      <c r="Y14" s="359"/>
      <c r="Z14" s="278"/>
      <c r="AA14" s="279"/>
      <c r="AB14" s="280"/>
      <c r="AC14" s="278"/>
      <c r="AD14" s="359"/>
      <c r="AE14" s="279"/>
      <c r="AF14" s="279"/>
      <c r="AG14" s="280"/>
      <c r="AH14" s="278"/>
      <c r="AI14" s="359"/>
      <c r="AJ14" s="279"/>
      <c r="AK14" s="279"/>
      <c r="AL14" s="280"/>
      <c r="AM14" s="278"/>
      <c r="AN14" s="359"/>
      <c r="AO14" s="279"/>
      <c r="AP14" s="279"/>
      <c r="AQ14" s="280"/>
      <c r="AR14" s="278"/>
      <c r="AS14" s="359"/>
      <c r="AT14" s="279"/>
      <c r="AU14" s="279"/>
      <c r="AV14" s="280"/>
      <c r="AW14" s="278"/>
      <c r="AX14" s="359"/>
    </row>
    <row r="15" spans="1:50">
      <c r="A15" s="271"/>
      <c r="B15" s="346"/>
      <c r="C15" s="278">
        <v>9</v>
      </c>
      <c r="D15" s="278"/>
      <c r="E15" s="279"/>
      <c r="F15" s="279"/>
      <c r="G15" s="280"/>
      <c r="H15" s="357"/>
      <c r="I15" s="279"/>
      <c r="J15" s="279"/>
      <c r="K15" s="280"/>
      <c r="L15" s="357"/>
      <c r="M15" s="281"/>
      <c r="N15" s="355"/>
      <c r="O15" s="355"/>
      <c r="P15" s="279"/>
      <c r="Q15" s="279"/>
      <c r="R15" s="280"/>
      <c r="S15" s="278"/>
      <c r="T15" s="359"/>
      <c r="U15" s="279"/>
      <c r="V15" s="279"/>
      <c r="W15" s="280"/>
      <c r="X15" s="278"/>
      <c r="Y15" s="359"/>
      <c r="Z15" s="278"/>
      <c r="AA15" s="279"/>
      <c r="AB15" s="280"/>
      <c r="AC15" s="278"/>
      <c r="AD15" s="359"/>
      <c r="AE15" s="279"/>
      <c r="AF15" s="279"/>
      <c r="AG15" s="280"/>
      <c r="AH15" s="278"/>
      <c r="AI15" s="359"/>
      <c r="AJ15" s="279"/>
      <c r="AK15" s="279"/>
      <c r="AL15" s="280"/>
      <c r="AM15" s="278"/>
      <c r="AN15" s="359"/>
      <c r="AO15" s="279"/>
      <c r="AP15" s="279"/>
      <c r="AQ15" s="280"/>
      <c r="AR15" s="278"/>
      <c r="AS15" s="359"/>
      <c r="AT15" s="279"/>
      <c r="AU15" s="279"/>
      <c r="AV15" s="280"/>
      <c r="AW15" s="278"/>
      <c r="AX15" s="359"/>
    </row>
    <row r="16" spans="1:50">
      <c r="A16" s="271"/>
      <c r="B16" s="346"/>
      <c r="C16" s="278">
        <v>10</v>
      </c>
      <c r="D16" s="278"/>
      <c r="E16" s="279"/>
      <c r="F16" s="279"/>
      <c r="G16" s="280"/>
      <c r="H16" s="357"/>
      <c r="I16" s="279"/>
      <c r="J16" s="279"/>
      <c r="K16" s="280"/>
      <c r="L16" s="357"/>
      <c r="M16" s="281"/>
      <c r="N16" s="355"/>
      <c r="O16" s="355"/>
      <c r="P16" s="279"/>
      <c r="Q16" s="279"/>
      <c r="R16" s="280"/>
      <c r="S16" s="278"/>
      <c r="T16" s="359"/>
      <c r="U16" s="279"/>
      <c r="V16" s="279"/>
      <c r="W16" s="280"/>
      <c r="X16" s="278"/>
      <c r="Y16" s="359"/>
      <c r="Z16" s="278"/>
      <c r="AA16" s="279"/>
      <c r="AB16" s="280"/>
      <c r="AC16" s="278"/>
      <c r="AD16" s="359"/>
      <c r="AE16" s="279"/>
      <c r="AF16" s="279"/>
      <c r="AG16" s="280"/>
      <c r="AH16" s="278"/>
      <c r="AI16" s="359"/>
      <c r="AJ16" s="279"/>
      <c r="AK16" s="279"/>
      <c r="AL16" s="280"/>
      <c r="AM16" s="278"/>
      <c r="AN16" s="359"/>
      <c r="AO16" s="279"/>
      <c r="AP16" s="279"/>
      <c r="AQ16" s="280"/>
      <c r="AR16" s="278"/>
      <c r="AS16" s="359"/>
      <c r="AT16" s="279"/>
      <c r="AU16" s="279"/>
      <c r="AV16" s="280"/>
      <c r="AW16" s="278"/>
      <c r="AX16" s="359"/>
    </row>
    <row r="17" spans="2:50">
      <c r="B17" s="346"/>
      <c r="C17" s="278">
        <v>11</v>
      </c>
      <c r="D17" s="278"/>
      <c r="E17" s="279"/>
      <c r="F17" s="279"/>
      <c r="G17" s="280"/>
      <c r="H17" s="357"/>
      <c r="I17" s="279"/>
      <c r="J17" s="279"/>
      <c r="K17" s="280"/>
      <c r="L17" s="357"/>
      <c r="M17" s="281"/>
      <c r="N17" s="355"/>
      <c r="O17" s="355"/>
      <c r="P17" s="278"/>
      <c r="Q17" s="278"/>
      <c r="R17" s="280"/>
      <c r="S17" s="278"/>
      <c r="T17" s="359"/>
      <c r="U17" s="278"/>
      <c r="V17" s="278"/>
      <c r="W17" s="280"/>
      <c r="X17" s="278"/>
      <c r="Y17" s="359"/>
      <c r="Z17" s="278"/>
      <c r="AA17" s="278"/>
      <c r="AB17" s="280"/>
      <c r="AC17" s="278"/>
      <c r="AD17" s="359"/>
      <c r="AE17" s="278"/>
      <c r="AF17" s="278"/>
      <c r="AG17" s="280"/>
      <c r="AH17" s="278"/>
      <c r="AI17" s="359"/>
      <c r="AJ17" s="278"/>
      <c r="AK17" s="278"/>
      <c r="AL17" s="278"/>
      <c r="AM17" s="278"/>
      <c r="AN17" s="359"/>
      <c r="AO17" s="278"/>
      <c r="AP17" s="278"/>
      <c r="AQ17" s="280"/>
      <c r="AR17" s="278"/>
      <c r="AS17" s="359"/>
      <c r="AT17" s="278"/>
      <c r="AU17" s="278"/>
      <c r="AV17" s="280"/>
      <c r="AW17" s="278"/>
      <c r="AX17" s="359"/>
    </row>
    <row r="18" spans="2:50">
      <c r="B18" s="346"/>
      <c r="C18" s="278">
        <v>12</v>
      </c>
      <c r="D18" s="278"/>
      <c r="E18" s="279"/>
      <c r="F18" s="279"/>
      <c r="G18" s="280"/>
      <c r="H18" s="357"/>
      <c r="I18" s="279"/>
      <c r="J18" s="279"/>
      <c r="K18" s="280"/>
      <c r="L18" s="357"/>
      <c r="M18" s="281"/>
      <c r="N18" s="355"/>
      <c r="O18" s="355"/>
      <c r="P18" s="278"/>
      <c r="Q18" s="278"/>
      <c r="R18" s="280"/>
      <c r="S18" s="278"/>
      <c r="T18" s="359"/>
      <c r="U18" s="278"/>
      <c r="V18" s="278"/>
      <c r="W18" s="280"/>
      <c r="X18" s="278"/>
      <c r="Y18" s="359"/>
      <c r="Z18" s="278"/>
      <c r="AA18" s="278"/>
      <c r="AB18" s="280"/>
      <c r="AC18" s="278"/>
      <c r="AD18" s="359"/>
      <c r="AE18" s="278"/>
      <c r="AF18" s="278"/>
      <c r="AG18" s="280"/>
      <c r="AH18" s="278"/>
      <c r="AI18" s="359"/>
      <c r="AJ18" s="278"/>
      <c r="AK18" s="278"/>
      <c r="AL18" s="278"/>
      <c r="AM18" s="278"/>
      <c r="AN18" s="359"/>
      <c r="AO18" s="278"/>
      <c r="AP18" s="278"/>
      <c r="AQ18" s="280"/>
      <c r="AR18" s="278"/>
      <c r="AS18" s="359"/>
      <c r="AT18" s="278"/>
      <c r="AU18" s="278"/>
      <c r="AV18" s="280"/>
      <c r="AW18" s="278"/>
      <c r="AX18" s="359"/>
    </row>
    <row r="19" spans="2:50">
      <c r="B19" s="346"/>
      <c r="C19" s="278">
        <v>13</v>
      </c>
      <c r="D19" s="278"/>
      <c r="E19" s="279"/>
      <c r="F19" s="279"/>
      <c r="G19" s="280"/>
      <c r="H19" s="357"/>
      <c r="I19" s="279"/>
      <c r="J19" s="279"/>
      <c r="K19" s="280"/>
      <c r="L19" s="357"/>
      <c r="M19" s="281"/>
      <c r="N19" s="355"/>
      <c r="O19" s="355"/>
      <c r="P19" s="278"/>
      <c r="Q19" s="278"/>
      <c r="R19" s="280"/>
      <c r="S19" s="278"/>
      <c r="T19" s="359"/>
      <c r="U19" s="278"/>
      <c r="V19" s="278"/>
      <c r="W19" s="280"/>
      <c r="X19" s="278"/>
      <c r="Y19" s="359"/>
      <c r="Z19" s="278"/>
      <c r="AA19" s="278"/>
      <c r="AB19" s="280"/>
      <c r="AC19" s="278"/>
      <c r="AD19" s="359"/>
      <c r="AE19" s="278"/>
      <c r="AF19" s="278"/>
      <c r="AG19" s="280"/>
      <c r="AH19" s="278"/>
      <c r="AI19" s="359"/>
      <c r="AJ19" s="278"/>
      <c r="AK19" s="278"/>
      <c r="AL19" s="278"/>
      <c r="AM19" s="278"/>
      <c r="AN19" s="359"/>
      <c r="AO19" s="278"/>
      <c r="AP19" s="278"/>
      <c r="AQ19" s="280"/>
      <c r="AR19" s="278"/>
      <c r="AS19" s="359"/>
      <c r="AT19" s="278"/>
      <c r="AU19" s="278"/>
      <c r="AV19" s="280"/>
      <c r="AW19" s="278"/>
      <c r="AX19" s="359"/>
    </row>
    <row r="20" spans="2:50">
      <c r="B20" s="346"/>
      <c r="C20" s="278">
        <v>14</v>
      </c>
      <c r="D20" s="278"/>
      <c r="E20" s="279"/>
      <c r="F20" s="279"/>
      <c r="G20" s="280"/>
      <c r="H20" s="357"/>
      <c r="I20" s="279"/>
      <c r="J20" s="279"/>
      <c r="K20" s="280"/>
      <c r="L20" s="357"/>
      <c r="M20" s="281"/>
      <c r="N20" s="355"/>
      <c r="O20" s="355"/>
      <c r="P20" s="278"/>
      <c r="Q20" s="278"/>
      <c r="R20" s="280"/>
      <c r="S20" s="278"/>
      <c r="T20" s="359"/>
      <c r="U20" s="278"/>
      <c r="V20" s="278"/>
      <c r="W20" s="280"/>
      <c r="X20" s="278"/>
      <c r="Y20" s="359"/>
      <c r="Z20" s="278"/>
      <c r="AA20" s="278"/>
      <c r="AB20" s="280"/>
      <c r="AC20" s="278"/>
      <c r="AD20" s="359"/>
      <c r="AE20" s="278"/>
      <c r="AF20" s="278"/>
      <c r="AG20" s="280"/>
      <c r="AH20" s="278"/>
      <c r="AI20" s="359"/>
      <c r="AJ20" s="278"/>
      <c r="AK20" s="278"/>
      <c r="AL20" s="278"/>
      <c r="AM20" s="278"/>
      <c r="AN20" s="359"/>
      <c r="AO20" s="278"/>
      <c r="AP20" s="278"/>
      <c r="AQ20" s="280"/>
      <c r="AR20" s="278"/>
      <c r="AS20" s="359"/>
      <c r="AT20" s="278"/>
      <c r="AU20" s="278"/>
      <c r="AV20" s="280"/>
      <c r="AW20" s="278"/>
      <c r="AX20" s="359"/>
    </row>
    <row r="21" spans="2:50">
      <c r="B21" s="346"/>
      <c r="C21" s="278">
        <v>15</v>
      </c>
      <c r="D21" s="278"/>
      <c r="E21" s="279"/>
      <c r="F21" s="279"/>
      <c r="G21" s="280"/>
      <c r="H21" s="358"/>
      <c r="I21" s="279"/>
      <c r="J21" s="279"/>
      <c r="K21" s="280"/>
      <c r="L21" s="358"/>
      <c r="M21" s="279"/>
      <c r="N21" s="355"/>
      <c r="O21" s="355"/>
      <c r="P21" s="278"/>
      <c r="Q21" s="278"/>
      <c r="R21" s="280"/>
      <c r="S21" s="278"/>
      <c r="T21" s="359"/>
      <c r="U21" s="278"/>
      <c r="V21" s="278"/>
      <c r="W21" s="280"/>
      <c r="X21" s="278"/>
      <c r="Y21" s="359"/>
      <c r="Z21" s="278"/>
      <c r="AA21" s="278"/>
      <c r="AB21" s="280"/>
      <c r="AC21" s="278"/>
      <c r="AD21" s="359"/>
      <c r="AE21" s="278"/>
      <c r="AF21" s="278"/>
      <c r="AG21" s="280"/>
      <c r="AH21" s="278"/>
      <c r="AI21" s="359"/>
      <c r="AJ21" s="278"/>
      <c r="AK21" s="278"/>
      <c r="AL21" s="278"/>
      <c r="AM21" s="278"/>
      <c r="AN21" s="359"/>
      <c r="AO21" s="278"/>
      <c r="AP21" s="278"/>
      <c r="AQ21" s="280"/>
      <c r="AR21" s="278"/>
      <c r="AS21" s="359"/>
      <c r="AT21" s="278"/>
      <c r="AU21" s="278"/>
      <c r="AV21" s="280"/>
      <c r="AW21" s="278"/>
      <c r="AX21" s="359"/>
    </row>
    <row r="22" spans="2:50" ht="15.75">
      <c r="B22" s="365" t="s">
        <v>508</v>
      </c>
      <c r="C22" s="366"/>
      <c r="D22" s="366"/>
      <c r="E22" s="366"/>
      <c r="F22" s="366"/>
      <c r="G22" s="366"/>
      <c r="H22" s="366"/>
      <c r="I22" s="272"/>
      <c r="J22" s="272"/>
      <c r="K22" s="272"/>
      <c r="L22" s="272"/>
      <c r="M22" s="273"/>
      <c r="N22" s="350" t="s">
        <v>161</v>
      </c>
      <c r="O22" s="350" t="s">
        <v>105</v>
      </c>
      <c r="P22" s="345">
        <v>45937</v>
      </c>
      <c r="Q22" s="346"/>
      <c r="R22" s="346"/>
      <c r="S22" s="346"/>
      <c r="T22" s="346"/>
      <c r="U22" s="345">
        <v>45938</v>
      </c>
      <c r="V22" s="346"/>
      <c r="W22" s="346"/>
      <c r="X22" s="346"/>
      <c r="Y22" s="346"/>
      <c r="Z22" s="345">
        <v>45939</v>
      </c>
      <c r="AA22" s="346"/>
      <c r="AB22" s="346"/>
      <c r="AC22" s="346"/>
      <c r="AD22" s="346"/>
      <c r="AE22" s="345">
        <v>45940</v>
      </c>
      <c r="AF22" s="346"/>
      <c r="AG22" s="346"/>
      <c r="AH22" s="346"/>
      <c r="AI22" s="346"/>
      <c r="AJ22" s="345">
        <v>45941</v>
      </c>
      <c r="AK22" s="346"/>
      <c r="AL22" s="346"/>
      <c r="AM22" s="346"/>
      <c r="AN22" s="346"/>
      <c r="AO22" s="345">
        <v>45942</v>
      </c>
      <c r="AP22" s="346"/>
      <c r="AQ22" s="346"/>
      <c r="AR22" s="346"/>
      <c r="AS22" s="346"/>
      <c r="AT22" s="345">
        <v>45943</v>
      </c>
      <c r="AU22" s="346"/>
      <c r="AV22" s="346"/>
      <c r="AW22" s="346"/>
      <c r="AX22" s="346"/>
    </row>
    <row r="23" spans="2:50" ht="15.75">
      <c r="B23" s="349"/>
      <c r="C23" s="349"/>
      <c r="D23" s="349"/>
      <c r="E23" s="349"/>
      <c r="F23" s="349"/>
      <c r="G23" s="349"/>
      <c r="H23" s="349"/>
      <c r="I23" s="274"/>
      <c r="J23" s="274"/>
      <c r="K23" s="274"/>
      <c r="L23" s="274"/>
      <c r="M23" s="275"/>
      <c r="N23" s="351"/>
      <c r="O23" s="351"/>
      <c r="P23" s="345" t="s">
        <v>120</v>
      </c>
      <c r="Q23" s="346"/>
      <c r="R23" s="346"/>
      <c r="S23" s="346"/>
      <c r="T23" s="346"/>
      <c r="U23" s="345" t="s">
        <v>493</v>
      </c>
      <c r="V23" s="346"/>
      <c r="W23" s="346"/>
      <c r="X23" s="346"/>
      <c r="Y23" s="346"/>
      <c r="Z23" s="345" t="s">
        <v>479</v>
      </c>
      <c r="AA23" s="346"/>
      <c r="AB23" s="346"/>
      <c r="AC23" s="346"/>
      <c r="AD23" s="346"/>
      <c r="AE23" s="345" t="s">
        <v>488</v>
      </c>
      <c r="AF23" s="346"/>
      <c r="AG23" s="346"/>
      <c r="AH23" s="346"/>
      <c r="AI23" s="346"/>
      <c r="AJ23" s="345" t="s">
        <v>496</v>
      </c>
      <c r="AK23" s="346"/>
      <c r="AL23" s="346"/>
      <c r="AM23" s="346"/>
      <c r="AN23" s="346"/>
      <c r="AO23" s="345" t="s">
        <v>509</v>
      </c>
      <c r="AP23" s="346"/>
      <c r="AQ23" s="346"/>
      <c r="AR23" s="346"/>
      <c r="AS23" s="346"/>
      <c r="AT23" s="345" t="s">
        <v>119</v>
      </c>
      <c r="AU23" s="346"/>
      <c r="AV23" s="346"/>
      <c r="AW23" s="346"/>
      <c r="AX23" s="346"/>
    </row>
    <row r="24" spans="2:50">
      <c r="B24" s="355" t="s">
        <v>510</v>
      </c>
      <c r="C24" s="355" t="s">
        <v>460</v>
      </c>
      <c r="D24" s="355"/>
      <c r="E24" s="355" t="s">
        <v>461</v>
      </c>
      <c r="F24" s="355"/>
      <c r="G24" s="355"/>
      <c r="H24" s="361" t="s">
        <v>500</v>
      </c>
      <c r="I24" s="355" t="s">
        <v>224</v>
      </c>
      <c r="J24" s="355"/>
      <c r="K24" s="355"/>
      <c r="L24" s="361" t="s">
        <v>159</v>
      </c>
      <c r="M24" s="350" t="s">
        <v>499</v>
      </c>
      <c r="N24" s="355"/>
      <c r="O24" s="355" t="s">
        <v>483</v>
      </c>
      <c r="P24" s="352" t="s">
        <v>466</v>
      </c>
      <c r="Q24" s="353"/>
      <c r="R24" s="353"/>
      <c r="S24" s="354"/>
      <c r="T24" s="355" t="s">
        <v>500</v>
      </c>
      <c r="U24" s="352" t="s">
        <v>501</v>
      </c>
      <c r="V24" s="353"/>
      <c r="W24" s="353"/>
      <c r="X24" s="354"/>
      <c r="Y24" s="355" t="s">
        <v>500</v>
      </c>
      <c r="Z24" s="352" t="s">
        <v>501</v>
      </c>
      <c r="AA24" s="353"/>
      <c r="AB24" s="353"/>
      <c r="AC24" s="354"/>
      <c r="AD24" s="355" t="s">
        <v>462</v>
      </c>
      <c r="AE24" s="352" t="s">
        <v>155</v>
      </c>
      <c r="AF24" s="353"/>
      <c r="AG24" s="353"/>
      <c r="AH24" s="354"/>
      <c r="AI24" s="355" t="s">
        <v>468</v>
      </c>
      <c r="AJ24" s="352" t="s">
        <v>155</v>
      </c>
      <c r="AK24" s="353"/>
      <c r="AL24" s="353"/>
      <c r="AM24" s="354"/>
      <c r="AN24" s="355" t="s">
        <v>159</v>
      </c>
      <c r="AO24" s="352" t="s">
        <v>467</v>
      </c>
      <c r="AP24" s="353"/>
      <c r="AQ24" s="353"/>
      <c r="AR24" s="354"/>
      <c r="AS24" s="355" t="s">
        <v>500</v>
      </c>
      <c r="AT24" s="352" t="s">
        <v>155</v>
      </c>
      <c r="AU24" s="353"/>
      <c r="AV24" s="353"/>
      <c r="AW24" s="354"/>
      <c r="AX24" s="355" t="s">
        <v>468</v>
      </c>
    </row>
    <row r="25" spans="2:50">
      <c r="B25" s="355"/>
      <c r="C25" s="355"/>
      <c r="D25" s="355"/>
      <c r="E25" s="355" t="s">
        <v>502</v>
      </c>
      <c r="F25" s="355"/>
      <c r="G25" s="355"/>
      <c r="H25" s="362"/>
      <c r="I25" s="355" t="s">
        <v>151</v>
      </c>
      <c r="J25" s="355"/>
      <c r="K25" s="355"/>
      <c r="L25" s="362"/>
      <c r="M25" s="364"/>
      <c r="N25" s="355"/>
      <c r="O25" s="355"/>
      <c r="P25" s="352" t="s">
        <v>503</v>
      </c>
      <c r="Q25" s="353"/>
      <c r="R25" s="353"/>
      <c r="S25" s="354"/>
      <c r="T25" s="355"/>
      <c r="U25" s="352" t="s">
        <v>471</v>
      </c>
      <c r="V25" s="353"/>
      <c r="W25" s="353"/>
      <c r="X25" s="354"/>
      <c r="Y25" s="355"/>
      <c r="Z25" s="352" t="s">
        <v>471</v>
      </c>
      <c r="AA25" s="353"/>
      <c r="AB25" s="353"/>
      <c r="AC25" s="354"/>
      <c r="AD25" s="355"/>
      <c r="AE25" s="352" t="s">
        <v>471</v>
      </c>
      <c r="AF25" s="353"/>
      <c r="AG25" s="353"/>
      <c r="AH25" s="354"/>
      <c r="AI25" s="355"/>
      <c r="AJ25" s="352" t="s">
        <v>471</v>
      </c>
      <c r="AK25" s="353"/>
      <c r="AL25" s="353"/>
      <c r="AM25" s="354"/>
      <c r="AN25" s="355"/>
      <c r="AO25" s="352" t="s">
        <v>471</v>
      </c>
      <c r="AP25" s="353"/>
      <c r="AQ25" s="353"/>
      <c r="AR25" s="354"/>
      <c r="AS25" s="355"/>
      <c r="AT25" s="352" t="s">
        <v>471</v>
      </c>
      <c r="AU25" s="353"/>
      <c r="AV25" s="353"/>
      <c r="AW25" s="354"/>
      <c r="AX25" s="355"/>
    </row>
    <row r="26" spans="2:50">
      <c r="B26" s="355"/>
      <c r="C26" s="355"/>
      <c r="D26" s="355"/>
      <c r="E26" s="277" t="s">
        <v>504</v>
      </c>
      <c r="F26" s="277" t="s">
        <v>475</v>
      </c>
      <c r="G26" s="277" t="s">
        <v>506</v>
      </c>
      <c r="H26" s="363"/>
      <c r="I26" s="277" t="s">
        <v>153</v>
      </c>
      <c r="J26" s="277" t="s">
        <v>475</v>
      </c>
      <c r="K26" s="277" t="s">
        <v>157</v>
      </c>
      <c r="L26" s="363"/>
      <c r="M26" s="351"/>
      <c r="N26" s="355"/>
      <c r="O26" s="355"/>
      <c r="P26" s="277" t="s">
        <v>504</v>
      </c>
      <c r="Q26" s="277" t="s">
        <v>475</v>
      </c>
      <c r="R26" s="277" t="s">
        <v>485</v>
      </c>
      <c r="S26" s="277" t="s">
        <v>170</v>
      </c>
      <c r="T26" s="355"/>
      <c r="U26" s="277" t="s">
        <v>504</v>
      </c>
      <c r="V26" s="277" t="s">
        <v>475</v>
      </c>
      <c r="W26" s="277" t="s">
        <v>485</v>
      </c>
      <c r="X26" s="277" t="s">
        <v>499</v>
      </c>
      <c r="Y26" s="355"/>
      <c r="Z26" s="277" t="s">
        <v>476</v>
      </c>
      <c r="AA26" s="277" t="s">
        <v>154</v>
      </c>
      <c r="AB26" s="277" t="s">
        <v>506</v>
      </c>
      <c r="AC26" s="277" t="s">
        <v>170</v>
      </c>
      <c r="AD26" s="355"/>
      <c r="AE26" s="277" t="s">
        <v>504</v>
      </c>
      <c r="AF26" s="277" t="s">
        <v>505</v>
      </c>
      <c r="AG26" s="277" t="s">
        <v>485</v>
      </c>
      <c r="AH26" s="277" t="s">
        <v>170</v>
      </c>
      <c r="AI26" s="355"/>
      <c r="AJ26" s="277" t="s">
        <v>504</v>
      </c>
      <c r="AK26" s="277" t="s">
        <v>154</v>
      </c>
      <c r="AL26" s="277" t="s">
        <v>506</v>
      </c>
      <c r="AM26" s="277" t="s">
        <v>499</v>
      </c>
      <c r="AN26" s="355"/>
      <c r="AO26" s="277" t="s">
        <v>476</v>
      </c>
      <c r="AP26" s="277" t="s">
        <v>154</v>
      </c>
      <c r="AQ26" s="277" t="s">
        <v>485</v>
      </c>
      <c r="AR26" s="277" t="s">
        <v>170</v>
      </c>
      <c r="AS26" s="355"/>
      <c r="AT26" s="277" t="s">
        <v>476</v>
      </c>
      <c r="AU26" s="277" t="s">
        <v>505</v>
      </c>
      <c r="AV26" s="277" t="s">
        <v>485</v>
      </c>
      <c r="AW26" s="277" t="s">
        <v>170</v>
      </c>
      <c r="AX26" s="355"/>
    </row>
    <row r="27" spans="2:50">
      <c r="B27" s="355" t="s">
        <v>511</v>
      </c>
      <c r="C27" s="278">
        <v>1</v>
      </c>
      <c r="D27" s="278" t="s">
        <v>397</v>
      </c>
      <c r="E27" s="279">
        <f>VLOOKUP(D27,'10產線配置圖'!$A$2:$C$25,2,0)</f>
        <v>13</v>
      </c>
      <c r="F27" s="279">
        <f>VLOOKUP(D27,'10產線配置圖'!$A$2:$C$25,3,0)</f>
        <v>1565</v>
      </c>
      <c r="G27" s="280">
        <f t="shared" ref="G27:G29" si="17">F27/E27</f>
        <v>120.38461538461539</v>
      </c>
      <c r="H27" s="356">
        <f>AVERAGE(G27:G41)</f>
        <v>127.07264957264958</v>
      </c>
      <c r="I27" s="279" t="e">
        <f>AVERAGE(P27,U27,Z27,AE27,AJ27,AO27,AT27)</f>
        <v>#DIV/0!</v>
      </c>
      <c r="J27" s="279" t="e">
        <f>AVERAGE(Q27,V27,AA27,AF27,AK27,AP27,AU27)</f>
        <v>#DIV/0!</v>
      </c>
      <c r="K27" s="280" t="e">
        <f>AVERAGE(R27,W27,AB27,AG27,AL27,AQ27,AV27)</f>
        <v>#DIV/0!</v>
      </c>
      <c r="L27" s="356" t="str">
        <f>IFERROR(AVERAGE(K27:K41),"-")</f>
        <v>-</v>
      </c>
      <c r="M27" s="281" t="e">
        <f>RANK(K27, K$27:$K$41)</f>
        <v>#DIV/0!</v>
      </c>
      <c r="N27" s="355"/>
      <c r="O27" s="355"/>
      <c r="P27" s="279"/>
      <c r="Q27" s="279"/>
      <c r="R27" s="280" t="e">
        <f>Q27/P27</f>
        <v>#DIV/0!</v>
      </c>
      <c r="S27" s="278" t="e">
        <f>RANK(R27, $R$27:$R$41)</f>
        <v>#DIV/0!</v>
      </c>
      <c r="T27" s="359" t="e">
        <f>AVERAGE(R27:R41)</f>
        <v>#DIV/0!</v>
      </c>
      <c r="U27" s="279"/>
      <c r="V27" s="279"/>
      <c r="W27" s="280" t="e">
        <f>V27/U27</f>
        <v>#DIV/0!</v>
      </c>
      <c r="X27" s="278" t="e">
        <f>RANK(W27, $W$27:$W$41)</f>
        <v>#DIV/0!</v>
      </c>
      <c r="Y27" s="359" t="e">
        <f>AVERAGE(W27:W41)</f>
        <v>#DIV/0!</v>
      </c>
      <c r="Z27" s="279"/>
      <c r="AA27" s="279"/>
      <c r="AB27" s="280" t="e">
        <f t="shared" ref="AB27:AB29" si="18">AA27/Z27</f>
        <v>#DIV/0!</v>
      </c>
      <c r="AC27" s="278" t="e">
        <f>RANK(AB27, $AB$27:$AB$29)</f>
        <v>#DIV/0!</v>
      </c>
      <c r="AD27" s="359" t="e">
        <f>AVERAGE(AB27:AB41)</f>
        <v>#DIV/0!</v>
      </c>
      <c r="AE27" s="279"/>
      <c r="AF27" s="279"/>
      <c r="AG27" s="280" t="e">
        <f t="shared" ref="AG27:AG29" si="19">AF27/AE27</f>
        <v>#DIV/0!</v>
      </c>
      <c r="AH27" s="278" t="e">
        <f>RANK(AG27, $AG$27:$AG$29)</f>
        <v>#DIV/0!</v>
      </c>
      <c r="AI27" s="359" t="e">
        <f>AVERAGE(AG27:AG41)</f>
        <v>#DIV/0!</v>
      </c>
      <c r="AJ27" s="279"/>
      <c r="AK27" s="279"/>
      <c r="AL27" s="280" t="e">
        <f t="shared" ref="AL27:AL29" si="20">AK27/AJ27</f>
        <v>#DIV/0!</v>
      </c>
      <c r="AM27" s="278" t="e">
        <f>RANK(AL27, $AL$27:$AL$29)</f>
        <v>#DIV/0!</v>
      </c>
      <c r="AN27" s="359" t="e">
        <f>AVERAGE(AL27:AL41)</f>
        <v>#DIV/0!</v>
      </c>
      <c r="AO27" s="279"/>
      <c r="AP27" s="279"/>
      <c r="AQ27" s="280" t="e">
        <f t="shared" ref="AQ27:AQ29" si="21">AP27/AO27</f>
        <v>#DIV/0!</v>
      </c>
      <c r="AR27" s="278" t="e">
        <f>RANK(AQ27, $AQ$27:$AQ$41)</f>
        <v>#DIV/0!</v>
      </c>
      <c r="AS27" s="359" t="e">
        <f>AVERAGE(AQ27:AQ41)</f>
        <v>#DIV/0!</v>
      </c>
      <c r="AT27" s="279"/>
      <c r="AU27" s="279"/>
      <c r="AV27" s="280" t="e">
        <f t="shared" ref="AV27:AV29" si="22">AU27/AT27</f>
        <v>#DIV/0!</v>
      </c>
      <c r="AW27" s="278" t="e">
        <f>RANK(AV27, $AV$27:$AV$41)</f>
        <v>#DIV/0!</v>
      </c>
      <c r="AX27" s="359" t="e">
        <f>AVERAGE(AV27:AV41)</f>
        <v>#DIV/0!</v>
      </c>
    </row>
    <row r="28" spans="2:50">
      <c r="B28" s="346"/>
      <c r="C28" s="278">
        <v>2</v>
      </c>
      <c r="D28" s="278" t="s">
        <v>405</v>
      </c>
      <c r="E28" s="279">
        <f>VLOOKUP(D28,'10產線配置圖'!$A$2:$C$25,2,0)</f>
        <v>12</v>
      </c>
      <c r="F28" s="279">
        <f>VLOOKUP(D28,'10產線配置圖'!$A$2:$C$25,3,0)</f>
        <v>1565</v>
      </c>
      <c r="G28" s="280">
        <f t="shared" si="17"/>
        <v>130.41666666666666</v>
      </c>
      <c r="H28" s="357"/>
      <c r="I28" s="279" t="e">
        <f t="shared" ref="I28:K29" si="23">AVERAGE(P28,U28,Z28,AE28,AJ28,AO28,AT28)</f>
        <v>#DIV/0!</v>
      </c>
      <c r="J28" s="279" t="e">
        <f t="shared" si="23"/>
        <v>#DIV/0!</v>
      </c>
      <c r="K28" s="280" t="e">
        <f t="shared" si="23"/>
        <v>#DIV/0!</v>
      </c>
      <c r="L28" s="357"/>
      <c r="M28" s="281" t="e">
        <f>RANK(K28, K$27:$K$41)</f>
        <v>#DIV/0!</v>
      </c>
      <c r="N28" s="355"/>
      <c r="O28" s="355"/>
      <c r="P28" s="279"/>
      <c r="Q28" s="279"/>
      <c r="R28" s="280" t="e">
        <f t="shared" ref="R28:R29" si="24">Q28/P28</f>
        <v>#DIV/0!</v>
      </c>
      <c r="S28" s="278" t="e">
        <f t="shared" ref="S28:S29" si="25">RANK(R28, $R$27:$R$41)</f>
        <v>#DIV/0!</v>
      </c>
      <c r="T28" s="359"/>
      <c r="U28" s="279"/>
      <c r="V28" s="279"/>
      <c r="W28" s="280" t="e">
        <f t="shared" ref="W28:W29" si="26">V28/U28</f>
        <v>#DIV/0!</v>
      </c>
      <c r="X28" s="278" t="e">
        <f t="shared" ref="X28:X29" si="27">RANK(W28, $W$27:$W$41)</f>
        <v>#DIV/0!</v>
      </c>
      <c r="Y28" s="359"/>
      <c r="Z28" s="279"/>
      <c r="AA28" s="279"/>
      <c r="AB28" s="280" t="e">
        <f t="shared" si="18"/>
        <v>#DIV/0!</v>
      </c>
      <c r="AC28" s="278" t="e">
        <f t="shared" ref="AC28:AC29" si="28">RANK(AB28, $AB$27:$AB$29)</f>
        <v>#DIV/0!</v>
      </c>
      <c r="AD28" s="359"/>
      <c r="AE28" s="279"/>
      <c r="AF28" s="279"/>
      <c r="AG28" s="280" t="e">
        <f t="shared" si="19"/>
        <v>#DIV/0!</v>
      </c>
      <c r="AH28" s="278" t="e">
        <f t="shared" ref="AH28:AH29" si="29">RANK(AG28, $AG$27:$AG$29)</f>
        <v>#DIV/0!</v>
      </c>
      <c r="AI28" s="359"/>
      <c r="AJ28" s="279"/>
      <c r="AK28" s="279"/>
      <c r="AL28" s="280" t="e">
        <f t="shared" si="20"/>
        <v>#DIV/0!</v>
      </c>
      <c r="AM28" s="278" t="e">
        <f t="shared" ref="AM28:AM29" si="30">RANK(AL28, $AL$27:$AL$29)</f>
        <v>#DIV/0!</v>
      </c>
      <c r="AN28" s="359"/>
      <c r="AO28" s="279"/>
      <c r="AP28" s="279"/>
      <c r="AQ28" s="280" t="e">
        <f t="shared" si="21"/>
        <v>#DIV/0!</v>
      </c>
      <c r="AR28" s="278" t="e">
        <f t="shared" ref="AR28:AR29" si="31">RANK(AQ28, $AQ$27:$AQ$41)</f>
        <v>#DIV/0!</v>
      </c>
      <c r="AS28" s="359"/>
      <c r="AT28" s="279"/>
      <c r="AU28" s="279"/>
      <c r="AV28" s="280" t="e">
        <f t="shared" si="22"/>
        <v>#DIV/0!</v>
      </c>
      <c r="AW28" s="278" t="e">
        <f t="shared" ref="AW28:AW29" si="32">RANK(AV28, $AV$27:$AV$41)</f>
        <v>#DIV/0!</v>
      </c>
      <c r="AX28" s="359"/>
    </row>
    <row r="29" spans="2:50">
      <c r="B29" s="346"/>
      <c r="C29" s="278">
        <v>3</v>
      </c>
      <c r="D29" s="278" t="s">
        <v>534</v>
      </c>
      <c r="E29" s="279">
        <f>VLOOKUP(D29,'10產線配置圖'!$A$2:$C$25,2,0)</f>
        <v>12</v>
      </c>
      <c r="F29" s="279">
        <f>VLOOKUP(D29,'10產線配置圖'!$A$2:$C$25,3,0)</f>
        <v>1565</v>
      </c>
      <c r="G29" s="280">
        <f t="shared" si="17"/>
        <v>130.41666666666666</v>
      </c>
      <c r="H29" s="357"/>
      <c r="I29" s="279" t="e">
        <f t="shared" si="23"/>
        <v>#DIV/0!</v>
      </c>
      <c r="J29" s="279" t="e">
        <f t="shared" si="23"/>
        <v>#DIV/0!</v>
      </c>
      <c r="K29" s="280" t="e">
        <f t="shared" si="23"/>
        <v>#DIV/0!</v>
      </c>
      <c r="L29" s="357"/>
      <c r="M29" s="281" t="e">
        <f>RANK(K29, K$27:$K$41)</f>
        <v>#DIV/0!</v>
      </c>
      <c r="N29" s="355"/>
      <c r="O29" s="355"/>
      <c r="P29" s="279"/>
      <c r="Q29" s="279"/>
      <c r="R29" s="280" t="e">
        <f t="shared" si="24"/>
        <v>#DIV/0!</v>
      </c>
      <c r="S29" s="278" t="e">
        <f t="shared" si="25"/>
        <v>#DIV/0!</v>
      </c>
      <c r="T29" s="359"/>
      <c r="U29" s="279"/>
      <c r="V29" s="279"/>
      <c r="W29" s="280" t="e">
        <f t="shared" si="26"/>
        <v>#DIV/0!</v>
      </c>
      <c r="X29" s="278" t="e">
        <f t="shared" si="27"/>
        <v>#DIV/0!</v>
      </c>
      <c r="Y29" s="359"/>
      <c r="Z29" s="279"/>
      <c r="AA29" s="279"/>
      <c r="AB29" s="280" t="e">
        <f t="shared" si="18"/>
        <v>#DIV/0!</v>
      </c>
      <c r="AC29" s="278" t="e">
        <f t="shared" si="28"/>
        <v>#DIV/0!</v>
      </c>
      <c r="AD29" s="359"/>
      <c r="AE29" s="279"/>
      <c r="AF29" s="279"/>
      <c r="AG29" s="280" t="e">
        <f t="shared" si="19"/>
        <v>#DIV/0!</v>
      </c>
      <c r="AH29" s="278" t="e">
        <f t="shared" si="29"/>
        <v>#DIV/0!</v>
      </c>
      <c r="AI29" s="359"/>
      <c r="AJ29" s="279"/>
      <c r="AK29" s="279"/>
      <c r="AL29" s="280" t="e">
        <f t="shared" si="20"/>
        <v>#DIV/0!</v>
      </c>
      <c r="AM29" s="278" t="e">
        <f t="shared" si="30"/>
        <v>#DIV/0!</v>
      </c>
      <c r="AN29" s="359"/>
      <c r="AO29" s="279"/>
      <c r="AP29" s="279"/>
      <c r="AQ29" s="280" t="e">
        <f t="shared" si="21"/>
        <v>#DIV/0!</v>
      </c>
      <c r="AR29" s="278" t="e">
        <f t="shared" si="31"/>
        <v>#DIV/0!</v>
      </c>
      <c r="AS29" s="359"/>
      <c r="AT29" s="279"/>
      <c r="AU29" s="279"/>
      <c r="AV29" s="280" t="e">
        <f t="shared" si="22"/>
        <v>#DIV/0!</v>
      </c>
      <c r="AW29" s="278" t="e">
        <f t="shared" si="32"/>
        <v>#DIV/0!</v>
      </c>
      <c r="AX29" s="359"/>
    </row>
    <row r="30" spans="2:50">
      <c r="B30" s="346"/>
      <c r="C30" s="278">
        <v>4</v>
      </c>
      <c r="D30" s="278"/>
      <c r="E30" s="279"/>
      <c r="F30" s="279"/>
      <c r="G30" s="280"/>
      <c r="H30" s="357"/>
      <c r="I30" s="279"/>
      <c r="J30" s="279"/>
      <c r="K30" s="280"/>
      <c r="L30" s="357"/>
      <c r="M30" s="281"/>
      <c r="N30" s="355"/>
      <c r="O30" s="355"/>
      <c r="P30" s="279"/>
      <c r="Q30" s="279"/>
      <c r="R30" s="278"/>
      <c r="S30" s="278"/>
      <c r="T30" s="359"/>
      <c r="U30" s="279"/>
      <c r="V30" s="279"/>
      <c r="W30" s="278"/>
      <c r="X30" s="278"/>
      <c r="Y30" s="359"/>
      <c r="Z30" s="279"/>
      <c r="AA30" s="279"/>
      <c r="AB30" s="278"/>
      <c r="AC30" s="278"/>
      <c r="AD30" s="359"/>
      <c r="AE30" s="279"/>
      <c r="AF30" s="279"/>
      <c r="AG30" s="278"/>
      <c r="AH30" s="278"/>
      <c r="AI30" s="359"/>
      <c r="AJ30" s="279"/>
      <c r="AK30" s="279"/>
      <c r="AL30" s="278"/>
      <c r="AM30" s="278"/>
      <c r="AN30" s="359"/>
      <c r="AO30" s="279"/>
      <c r="AP30" s="279"/>
      <c r="AQ30" s="278"/>
      <c r="AR30" s="278"/>
      <c r="AS30" s="359"/>
      <c r="AT30" s="279"/>
      <c r="AU30" s="279"/>
      <c r="AV30" s="278"/>
      <c r="AW30" s="278"/>
      <c r="AX30" s="359"/>
    </row>
    <row r="31" spans="2:50">
      <c r="B31" s="346"/>
      <c r="C31" s="278">
        <v>5</v>
      </c>
      <c r="D31" s="278"/>
      <c r="E31" s="279"/>
      <c r="F31" s="279"/>
      <c r="G31" s="280"/>
      <c r="H31" s="357"/>
      <c r="I31" s="279"/>
      <c r="J31" s="279"/>
      <c r="K31" s="280"/>
      <c r="L31" s="357"/>
      <c r="M31" s="281"/>
      <c r="N31" s="355"/>
      <c r="O31" s="355"/>
      <c r="P31" s="279"/>
      <c r="Q31" s="279"/>
      <c r="R31" s="278"/>
      <c r="S31" s="278"/>
      <c r="T31" s="359"/>
      <c r="U31" s="279"/>
      <c r="V31" s="279"/>
      <c r="W31" s="278"/>
      <c r="X31" s="278"/>
      <c r="Y31" s="359"/>
      <c r="Z31" s="279"/>
      <c r="AA31" s="279"/>
      <c r="AB31" s="278"/>
      <c r="AC31" s="278"/>
      <c r="AD31" s="359"/>
      <c r="AE31" s="279"/>
      <c r="AF31" s="279"/>
      <c r="AG31" s="278"/>
      <c r="AH31" s="278"/>
      <c r="AI31" s="359"/>
      <c r="AJ31" s="279"/>
      <c r="AK31" s="279"/>
      <c r="AL31" s="278"/>
      <c r="AM31" s="278"/>
      <c r="AN31" s="359"/>
      <c r="AO31" s="279"/>
      <c r="AP31" s="279"/>
      <c r="AQ31" s="278"/>
      <c r="AR31" s="278"/>
      <c r="AS31" s="359"/>
      <c r="AT31" s="279"/>
      <c r="AU31" s="279"/>
      <c r="AV31" s="278"/>
      <c r="AW31" s="278"/>
      <c r="AX31" s="359"/>
    </row>
    <row r="32" spans="2:50">
      <c r="B32" s="346"/>
      <c r="C32" s="278">
        <v>6</v>
      </c>
      <c r="D32" s="278"/>
      <c r="E32" s="279"/>
      <c r="F32" s="279"/>
      <c r="G32" s="280"/>
      <c r="H32" s="357"/>
      <c r="I32" s="279"/>
      <c r="J32" s="279"/>
      <c r="K32" s="280"/>
      <c r="L32" s="357"/>
      <c r="M32" s="281"/>
      <c r="N32" s="355"/>
      <c r="O32" s="355"/>
      <c r="P32" s="279"/>
      <c r="Q32" s="279"/>
      <c r="R32" s="278"/>
      <c r="S32" s="278"/>
      <c r="T32" s="359"/>
      <c r="U32" s="279"/>
      <c r="V32" s="279"/>
      <c r="W32" s="278"/>
      <c r="X32" s="278"/>
      <c r="Y32" s="359"/>
      <c r="Z32" s="279"/>
      <c r="AA32" s="279"/>
      <c r="AB32" s="278"/>
      <c r="AC32" s="278"/>
      <c r="AD32" s="359"/>
      <c r="AE32" s="279"/>
      <c r="AF32" s="279"/>
      <c r="AG32" s="278"/>
      <c r="AH32" s="278"/>
      <c r="AI32" s="359"/>
      <c r="AJ32" s="279"/>
      <c r="AK32" s="279"/>
      <c r="AL32" s="278"/>
      <c r="AM32" s="278"/>
      <c r="AN32" s="359"/>
      <c r="AO32" s="279"/>
      <c r="AP32" s="279"/>
      <c r="AQ32" s="278"/>
      <c r="AR32" s="278"/>
      <c r="AS32" s="359"/>
      <c r="AT32" s="279"/>
      <c r="AU32" s="279"/>
      <c r="AV32" s="278"/>
      <c r="AW32" s="278"/>
      <c r="AX32" s="359"/>
    </row>
    <row r="33" spans="2:50">
      <c r="B33" s="346"/>
      <c r="C33" s="278">
        <v>7</v>
      </c>
      <c r="D33" s="278"/>
      <c r="E33" s="279"/>
      <c r="F33" s="279"/>
      <c r="G33" s="280"/>
      <c r="H33" s="357"/>
      <c r="I33" s="279"/>
      <c r="J33" s="279"/>
      <c r="K33" s="280"/>
      <c r="L33" s="357"/>
      <c r="M33" s="281"/>
      <c r="N33" s="355"/>
      <c r="O33" s="355"/>
      <c r="P33" s="279"/>
      <c r="Q33" s="279"/>
      <c r="R33" s="278"/>
      <c r="S33" s="278"/>
      <c r="T33" s="359"/>
      <c r="U33" s="279"/>
      <c r="V33" s="279"/>
      <c r="W33" s="278"/>
      <c r="X33" s="278"/>
      <c r="Y33" s="359"/>
      <c r="Z33" s="279"/>
      <c r="AA33" s="279"/>
      <c r="AB33" s="278"/>
      <c r="AC33" s="278"/>
      <c r="AD33" s="359"/>
      <c r="AE33" s="279"/>
      <c r="AF33" s="279"/>
      <c r="AG33" s="278"/>
      <c r="AH33" s="278"/>
      <c r="AI33" s="359"/>
      <c r="AJ33" s="279"/>
      <c r="AK33" s="279"/>
      <c r="AL33" s="278"/>
      <c r="AM33" s="278"/>
      <c r="AN33" s="359"/>
      <c r="AO33" s="279"/>
      <c r="AP33" s="279"/>
      <c r="AQ33" s="278"/>
      <c r="AR33" s="278"/>
      <c r="AS33" s="359"/>
      <c r="AT33" s="279"/>
      <c r="AU33" s="279"/>
      <c r="AV33" s="278"/>
      <c r="AW33" s="278"/>
      <c r="AX33" s="359"/>
    </row>
    <row r="34" spans="2:50">
      <c r="B34" s="346"/>
      <c r="C34" s="278">
        <v>8</v>
      </c>
      <c r="D34" s="278"/>
      <c r="E34" s="278"/>
      <c r="F34" s="278"/>
      <c r="G34" s="278"/>
      <c r="H34" s="357"/>
      <c r="I34" s="279"/>
      <c r="J34" s="279"/>
      <c r="K34" s="280"/>
      <c r="L34" s="357"/>
      <c r="M34" s="281"/>
      <c r="N34" s="355"/>
      <c r="O34" s="355"/>
      <c r="P34" s="279"/>
      <c r="Q34" s="279"/>
      <c r="R34" s="278"/>
      <c r="S34" s="278"/>
      <c r="T34" s="359"/>
      <c r="U34" s="279"/>
      <c r="V34" s="279"/>
      <c r="W34" s="278"/>
      <c r="X34" s="278"/>
      <c r="Y34" s="359"/>
      <c r="Z34" s="279"/>
      <c r="AA34" s="279"/>
      <c r="AB34" s="278"/>
      <c r="AC34" s="278"/>
      <c r="AD34" s="359"/>
      <c r="AE34" s="279"/>
      <c r="AF34" s="279"/>
      <c r="AG34" s="278"/>
      <c r="AH34" s="278"/>
      <c r="AI34" s="359"/>
      <c r="AJ34" s="279"/>
      <c r="AK34" s="279"/>
      <c r="AL34" s="278"/>
      <c r="AM34" s="278"/>
      <c r="AN34" s="359"/>
      <c r="AO34" s="279"/>
      <c r="AP34" s="279"/>
      <c r="AQ34" s="278"/>
      <c r="AR34" s="278"/>
      <c r="AS34" s="359"/>
      <c r="AT34" s="279"/>
      <c r="AU34" s="279"/>
      <c r="AV34" s="278"/>
      <c r="AW34" s="278"/>
      <c r="AX34" s="359"/>
    </row>
    <row r="35" spans="2:50">
      <c r="B35" s="346"/>
      <c r="C35" s="278">
        <v>9</v>
      </c>
      <c r="D35" s="278"/>
      <c r="E35" s="278"/>
      <c r="F35" s="278"/>
      <c r="G35" s="278"/>
      <c r="H35" s="357"/>
      <c r="I35" s="279"/>
      <c r="J35" s="279"/>
      <c r="K35" s="280"/>
      <c r="L35" s="357"/>
      <c r="M35" s="281"/>
      <c r="N35" s="355"/>
      <c r="O35" s="355"/>
      <c r="P35" s="279"/>
      <c r="Q35" s="279"/>
      <c r="R35" s="278"/>
      <c r="S35" s="278"/>
      <c r="T35" s="359"/>
      <c r="U35" s="279"/>
      <c r="V35" s="279"/>
      <c r="W35" s="278"/>
      <c r="X35" s="278"/>
      <c r="Y35" s="359"/>
      <c r="Z35" s="279"/>
      <c r="AA35" s="279"/>
      <c r="AB35" s="278"/>
      <c r="AC35" s="278"/>
      <c r="AD35" s="359"/>
      <c r="AE35" s="279"/>
      <c r="AF35" s="279"/>
      <c r="AG35" s="278"/>
      <c r="AH35" s="278"/>
      <c r="AI35" s="359"/>
      <c r="AJ35" s="279"/>
      <c r="AK35" s="279"/>
      <c r="AL35" s="278"/>
      <c r="AM35" s="278"/>
      <c r="AN35" s="359"/>
      <c r="AO35" s="279"/>
      <c r="AP35" s="279"/>
      <c r="AQ35" s="278"/>
      <c r="AR35" s="278"/>
      <c r="AS35" s="359"/>
      <c r="AT35" s="279"/>
      <c r="AU35" s="279"/>
      <c r="AV35" s="278"/>
      <c r="AW35" s="278"/>
      <c r="AX35" s="359"/>
    </row>
    <row r="36" spans="2:50">
      <c r="B36" s="346"/>
      <c r="C36" s="278">
        <v>10</v>
      </c>
      <c r="D36" s="278"/>
      <c r="E36" s="278"/>
      <c r="F36" s="278"/>
      <c r="G36" s="278"/>
      <c r="H36" s="357"/>
      <c r="I36" s="279"/>
      <c r="J36" s="279"/>
      <c r="K36" s="280"/>
      <c r="L36" s="357"/>
      <c r="M36" s="281"/>
      <c r="N36" s="355"/>
      <c r="O36" s="355"/>
      <c r="P36" s="279"/>
      <c r="Q36" s="279"/>
      <c r="R36" s="278"/>
      <c r="S36" s="278"/>
      <c r="T36" s="359"/>
      <c r="U36" s="279"/>
      <c r="V36" s="279"/>
      <c r="W36" s="278"/>
      <c r="X36" s="278"/>
      <c r="Y36" s="359"/>
      <c r="Z36" s="279"/>
      <c r="AA36" s="279"/>
      <c r="AB36" s="278"/>
      <c r="AC36" s="278"/>
      <c r="AD36" s="359"/>
      <c r="AE36" s="279"/>
      <c r="AF36" s="279"/>
      <c r="AG36" s="278"/>
      <c r="AH36" s="278"/>
      <c r="AI36" s="359"/>
      <c r="AJ36" s="279"/>
      <c r="AK36" s="279"/>
      <c r="AL36" s="278"/>
      <c r="AM36" s="278"/>
      <c r="AN36" s="359"/>
      <c r="AO36" s="279"/>
      <c r="AP36" s="279"/>
      <c r="AQ36" s="278"/>
      <c r="AR36" s="278"/>
      <c r="AS36" s="359"/>
      <c r="AT36" s="279"/>
      <c r="AU36" s="279"/>
      <c r="AV36" s="278"/>
      <c r="AW36" s="278"/>
      <c r="AX36" s="359"/>
    </row>
    <row r="37" spans="2:50">
      <c r="B37" s="346"/>
      <c r="C37" s="278">
        <v>11</v>
      </c>
      <c r="D37" s="278"/>
      <c r="E37" s="278"/>
      <c r="F37" s="278"/>
      <c r="G37" s="278"/>
      <c r="H37" s="357"/>
      <c r="I37" s="279"/>
      <c r="J37" s="279"/>
      <c r="K37" s="280"/>
      <c r="L37" s="357"/>
      <c r="M37" s="281"/>
      <c r="N37" s="355"/>
      <c r="O37" s="355"/>
      <c r="P37" s="278"/>
      <c r="Q37" s="278"/>
      <c r="R37" s="278"/>
      <c r="S37" s="278"/>
      <c r="T37" s="359"/>
      <c r="U37" s="278"/>
      <c r="V37" s="278"/>
      <c r="W37" s="278"/>
      <c r="X37" s="278"/>
      <c r="Y37" s="359"/>
      <c r="Z37" s="278"/>
      <c r="AA37" s="278"/>
      <c r="AB37" s="278"/>
      <c r="AC37" s="278"/>
      <c r="AD37" s="359"/>
      <c r="AE37" s="278"/>
      <c r="AF37" s="278"/>
      <c r="AG37" s="278"/>
      <c r="AH37" s="278"/>
      <c r="AI37" s="359"/>
      <c r="AJ37" s="278"/>
      <c r="AK37" s="278"/>
      <c r="AL37" s="278"/>
      <c r="AM37" s="278"/>
      <c r="AN37" s="359"/>
      <c r="AO37" s="278"/>
      <c r="AP37" s="278"/>
      <c r="AQ37" s="278"/>
      <c r="AR37" s="278"/>
      <c r="AS37" s="359"/>
      <c r="AT37" s="278"/>
      <c r="AU37" s="278"/>
      <c r="AV37" s="278"/>
      <c r="AW37" s="278"/>
      <c r="AX37" s="359"/>
    </row>
    <row r="38" spans="2:50">
      <c r="B38" s="346"/>
      <c r="C38" s="278">
        <v>12</v>
      </c>
      <c r="D38" s="278"/>
      <c r="E38" s="278"/>
      <c r="F38" s="278"/>
      <c r="G38" s="278"/>
      <c r="H38" s="357"/>
      <c r="I38" s="279"/>
      <c r="J38" s="279"/>
      <c r="K38" s="280"/>
      <c r="L38" s="357"/>
      <c r="M38" s="281"/>
      <c r="N38" s="355"/>
      <c r="O38" s="355"/>
      <c r="P38" s="278"/>
      <c r="Q38" s="278"/>
      <c r="R38" s="278"/>
      <c r="S38" s="278"/>
      <c r="T38" s="359"/>
      <c r="U38" s="278"/>
      <c r="V38" s="278"/>
      <c r="W38" s="278"/>
      <c r="X38" s="278"/>
      <c r="Y38" s="359"/>
      <c r="Z38" s="278"/>
      <c r="AA38" s="278"/>
      <c r="AB38" s="278"/>
      <c r="AC38" s="278"/>
      <c r="AD38" s="359"/>
      <c r="AE38" s="278"/>
      <c r="AF38" s="278"/>
      <c r="AG38" s="278"/>
      <c r="AH38" s="278"/>
      <c r="AI38" s="359"/>
      <c r="AJ38" s="278"/>
      <c r="AK38" s="278"/>
      <c r="AL38" s="278"/>
      <c r="AM38" s="278"/>
      <c r="AN38" s="359"/>
      <c r="AO38" s="278"/>
      <c r="AP38" s="278"/>
      <c r="AQ38" s="278"/>
      <c r="AR38" s="278"/>
      <c r="AS38" s="359"/>
      <c r="AT38" s="278"/>
      <c r="AU38" s="278"/>
      <c r="AV38" s="278"/>
      <c r="AW38" s="278"/>
      <c r="AX38" s="359"/>
    </row>
    <row r="39" spans="2:50">
      <c r="B39" s="346"/>
      <c r="C39" s="278">
        <v>13</v>
      </c>
      <c r="D39" s="278"/>
      <c r="E39" s="278"/>
      <c r="F39" s="278"/>
      <c r="G39" s="278"/>
      <c r="H39" s="357"/>
      <c r="I39" s="279"/>
      <c r="J39" s="279"/>
      <c r="K39" s="280"/>
      <c r="L39" s="357"/>
      <c r="M39" s="281"/>
      <c r="N39" s="355"/>
      <c r="O39" s="355"/>
      <c r="P39" s="278"/>
      <c r="Q39" s="278"/>
      <c r="R39" s="278"/>
      <c r="S39" s="278"/>
      <c r="T39" s="359"/>
      <c r="U39" s="278"/>
      <c r="V39" s="278"/>
      <c r="W39" s="278"/>
      <c r="X39" s="278"/>
      <c r="Y39" s="359"/>
      <c r="Z39" s="278"/>
      <c r="AA39" s="278"/>
      <c r="AB39" s="278"/>
      <c r="AC39" s="278"/>
      <c r="AD39" s="359"/>
      <c r="AE39" s="278"/>
      <c r="AF39" s="278"/>
      <c r="AG39" s="278"/>
      <c r="AH39" s="278"/>
      <c r="AI39" s="359"/>
      <c r="AJ39" s="278"/>
      <c r="AK39" s="278"/>
      <c r="AL39" s="278"/>
      <c r="AM39" s="278"/>
      <c r="AN39" s="359"/>
      <c r="AO39" s="278"/>
      <c r="AP39" s="278"/>
      <c r="AQ39" s="278"/>
      <c r="AR39" s="278"/>
      <c r="AS39" s="359"/>
      <c r="AT39" s="278"/>
      <c r="AU39" s="278"/>
      <c r="AV39" s="278"/>
      <c r="AW39" s="278"/>
      <c r="AX39" s="359"/>
    </row>
    <row r="40" spans="2:50">
      <c r="B40" s="346"/>
      <c r="C40" s="278">
        <v>14</v>
      </c>
      <c r="D40" s="278"/>
      <c r="E40" s="278"/>
      <c r="F40" s="278"/>
      <c r="G40" s="278"/>
      <c r="H40" s="357"/>
      <c r="I40" s="279"/>
      <c r="J40" s="279"/>
      <c r="K40" s="280"/>
      <c r="L40" s="357"/>
      <c r="M40" s="281"/>
      <c r="N40" s="355"/>
      <c r="O40" s="355"/>
      <c r="P40" s="278"/>
      <c r="Q40" s="278"/>
      <c r="R40" s="278"/>
      <c r="S40" s="278"/>
      <c r="T40" s="359"/>
      <c r="U40" s="278"/>
      <c r="V40" s="278"/>
      <c r="W40" s="278"/>
      <c r="X40" s="278"/>
      <c r="Y40" s="359"/>
      <c r="Z40" s="278"/>
      <c r="AA40" s="278"/>
      <c r="AB40" s="278"/>
      <c r="AC40" s="278"/>
      <c r="AD40" s="359"/>
      <c r="AE40" s="278"/>
      <c r="AF40" s="278"/>
      <c r="AG40" s="278"/>
      <c r="AH40" s="278"/>
      <c r="AI40" s="359"/>
      <c r="AJ40" s="278"/>
      <c r="AK40" s="278"/>
      <c r="AL40" s="278"/>
      <c r="AM40" s="278"/>
      <c r="AN40" s="359"/>
      <c r="AO40" s="278"/>
      <c r="AP40" s="278"/>
      <c r="AQ40" s="278"/>
      <c r="AR40" s="278"/>
      <c r="AS40" s="359"/>
      <c r="AT40" s="278"/>
      <c r="AU40" s="278"/>
      <c r="AV40" s="278"/>
      <c r="AW40" s="278"/>
      <c r="AX40" s="359"/>
    </row>
    <row r="41" spans="2:50">
      <c r="B41" s="346"/>
      <c r="C41" s="278">
        <v>15</v>
      </c>
      <c r="D41" s="278"/>
      <c r="E41" s="278"/>
      <c r="F41" s="278"/>
      <c r="G41" s="278"/>
      <c r="H41" s="358"/>
      <c r="I41" s="279"/>
      <c r="J41" s="279"/>
      <c r="K41" s="280"/>
      <c r="L41" s="358"/>
      <c r="M41" s="279"/>
      <c r="N41" s="355"/>
      <c r="O41" s="355"/>
      <c r="P41" s="278"/>
      <c r="Q41" s="278"/>
      <c r="R41" s="278"/>
      <c r="S41" s="278"/>
      <c r="T41" s="359"/>
      <c r="U41" s="278"/>
      <c r="V41" s="278"/>
      <c r="W41" s="278"/>
      <c r="X41" s="278"/>
      <c r="Y41" s="359"/>
      <c r="Z41" s="278"/>
      <c r="AA41" s="278"/>
      <c r="AB41" s="278"/>
      <c r="AC41" s="278"/>
      <c r="AD41" s="359"/>
      <c r="AE41" s="278"/>
      <c r="AF41" s="278"/>
      <c r="AG41" s="278"/>
      <c r="AH41" s="278"/>
      <c r="AI41" s="359"/>
      <c r="AJ41" s="278"/>
      <c r="AK41" s="278"/>
      <c r="AL41" s="278"/>
      <c r="AM41" s="278"/>
      <c r="AN41" s="359"/>
      <c r="AO41" s="278"/>
      <c r="AP41" s="278"/>
      <c r="AQ41" s="278"/>
      <c r="AR41" s="278"/>
      <c r="AS41" s="359"/>
      <c r="AT41" s="278"/>
      <c r="AU41" s="278"/>
      <c r="AV41" s="278"/>
      <c r="AW41" s="278"/>
      <c r="AX41" s="359"/>
    </row>
    <row r="42" spans="2:50" ht="15.75">
      <c r="B42" s="365" t="s">
        <v>169</v>
      </c>
      <c r="C42" s="366"/>
      <c r="D42" s="366"/>
      <c r="E42" s="366"/>
      <c r="F42" s="366"/>
      <c r="G42" s="366"/>
      <c r="H42" s="366"/>
      <c r="I42" s="283"/>
      <c r="J42" s="272"/>
      <c r="K42" s="283"/>
      <c r="L42" s="283"/>
      <c r="M42" s="273"/>
      <c r="N42" s="350" t="s">
        <v>486</v>
      </c>
      <c r="O42" s="350" t="s">
        <v>512</v>
      </c>
      <c r="P42" s="345">
        <v>45944</v>
      </c>
      <c r="Q42" s="346"/>
      <c r="R42" s="346"/>
      <c r="S42" s="346"/>
      <c r="T42" s="346"/>
      <c r="U42" s="345">
        <v>45945</v>
      </c>
      <c r="V42" s="346"/>
      <c r="W42" s="346"/>
      <c r="X42" s="346"/>
      <c r="Y42" s="346"/>
      <c r="Z42" s="345">
        <v>45946</v>
      </c>
      <c r="AA42" s="346"/>
      <c r="AB42" s="346"/>
      <c r="AC42" s="346"/>
      <c r="AD42" s="346"/>
      <c r="AE42" s="345">
        <v>45947</v>
      </c>
      <c r="AF42" s="346"/>
      <c r="AG42" s="346"/>
      <c r="AH42" s="346"/>
      <c r="AI42" s="346"/>
      <c r="AJ42" s="345">
        <v>45948</v>
      </c>
      <c r="AK42" s="346"/>
      <c r="AL42" s="346"/>
      <c r="AM42" s="346"/>
      <c r="AN42" s="346"/>
      <c r="AO42" s="345">
        <v>45949</v>
      </c>
      <c r="AP42" s="346"/>
      <c r="AQ42" s="346"/>
      <c r="AR42" s="346"/>
      <c r="AS42" s="346"/>
      <c r="AT42" s="345">
        <v>45950</v>
      </c>
      <c r="AU42" s="346"/>
      <c r="AV42" s="346"/>
      <c r="AW42" s="346"/>
      <c r="AX42" s="346"/>
    </row>
    <row r="43" spans="2:50" ht="15.75">
      <c r="B43" s="349"/>
      <c r="C43" s="349"/>
      <c r="D43" s="349"/>
      <c r="E43" s="349"/>
      <c r="F43" s="349"/>
      <c r="G43" s="349"/>
      <c r="H43" s="349"/>
      <c r="I43" s="274"/>
      <c r="J43" s="274"/>
      <c r="K43" s="274"/>
      <c r="L43" s="274"/>
      <c r="M43" s="275"/>
      <c r="N43" s="351"/>
      <c r="O43" s="351"/>
      <c r="P43" s="345" t="s">
        <v>513</v>
      </c>
      <c r="Q43" s="346"/>
      <c r="R43" s="346"/>
      <c r="S43" s="346"/>
      <c r="T43" s="346"/>
      <c r="U43" s="345" t="s">
        <v>114</v>
      </c>
      <c r="V43" s="346"/>
      <c r="W43" s="346"/>
      <c r="X43" s="346"/>
      <c r="Y43" s="346"/>
      <c r="Z43" s="345" t="s">
        <v>479</v>
      </c>
      <c r="AA43" s="346"/>
      <c r="AB43" s="346"/>
      <c r="AC43" s="346"/>
      <c r="AD43" s="346"/>
      <c r="AE43" s="345" t="s">
        <v>488</v>
      </c>
      <c r="AF43" s="346"/>
      <c r="AG43" s="346"/>
      <c r="AH43" s="346"/>
      <c r="AI43" s="346"/>
      <c r="AJ43" s="345" t="s">
        <v>496</v>
      </c>
      <c r="AK43" s="346"/>
      <c r="AL43" s="346"/>
      <c r="AM43" s="346"/>
      <c r="AN43" s="346"/>
      <c r="AO43" s="345" t="s">
        <v>481</v>
      </c>
      <c r="AP43" s="346"/>
      <c r="AQ43" s="346"/>
      <c r="AR43" s="346"/>
      <c r="AS43" s="346"/>
      <c r="AT43" s="345" t="s">
        <v>119</v>
      </c>
      <c r="AU43" s="346"/>
      <c r="AV43" s="346"/>
      <c r="AW43" s="346"/>
      <c r="AX43" s="346"/>
    </row>
    <row r="44" spans="2:50">
      <c r="B44" s="355" t="s">
        <v>158</v>
      </c>
      <c r="C44" s="355" t="s">
        <v>490</v>
      </c>
      <c r="D44" s="355"/>
      <c r="E44" s="355" t="s">
        <v>152</v>
      </c>
      <c r="F44" s="355"/>
      <c r="G44" s="355"/>
      <c r="H44" s="361" t="s">
        <v>468</v>
      </c>
      <c r="I44" s="355" t="s">
        <v>491</v>
      </c>
      <c r="J44" s="355"/>
      <c r="K44" s="355"/>
      <c r="L44" s="361" t="s">
        <v>500</v>
      </c>
      <c r="M44" s="350" t="s">
        <v>170</v>
      </c>
      <c r="N44" s="355"/>
      <c r="O44" s="355" t="s">
        <v>483</v>
      </c>
      <c r="P44" s="352" t="s">
        <v>466</v>
      </c>
      <c r="Q44" s="353"/>
      <c r="R44" s="353"/>
      <c r="S44" s="354"/>
      <c r="T44" s="355" t="s">
        <v>468</v>
      </c>
      <c r="U44" s="352" t="s">
        <v>155</v>
      </c>
      <c r="V44" s="353"/>
      <c r="W44" s="353"/>
      <c r="X44" s="354"/>
      <c r="Y44" s="355" t="s">
        <v>159</v>
      </c>
      <c r="Z44" s="352" t="s">
        <v>155</v>
      </c>
      <c r="AA44" s="353"/>
      <c r="AB44" s="353"/>
      <c r="AC44" s="354"/>
      <c r="AD44" s="355" t="s">
        <v>468</v>
      </c>
      <c r="AE44" s="352" t="s">
        <v>467</v>
      </c>
      <c r="AF44" s="353"/>
      <c r="AG44" s="353"/>
      <c r="AH44" s="354"/>
      <c r="AI44" s="355" t="s">
        <v>159</v>
      </c>
      <c r="AJ44" s="352" t="s">
        <v>467</v>
      </c>
      <c r="AK44" s="353"/>
      <c r="AL44" s="353"/>
      <c r="AM44" s="354"/>
      <c r="AN44" s="355" t="s">
        <v>159</v>
      </c>
      <c r="AO44" s="352" t="s">
        <v>155</v>
      </c>
      <c r="AP44" s="353"/>
      <c r="AQ44" s="353"/>
      <c r="AR44" s="354"/>
      <c r="AS44" s="355" t="s">
        <v>159</v>
      </c>
      <c r="AT44" s="352" t="s">
        <v>467</v>
      </c>
      <c r="AU44" s="353"/>
      <c r="AV44" s="353"/>
      <c r="AW44" s="354"/>
      <c r="AX44" s="355" t="s">
        <v>468</v>
      </c>
    </row>
    <row r="45" spans="2:50">
      <c r="B45" s="355"/>
      <c r="C45" s="355"/>
      <c r="D45" s="355"/>
      <c r="E45" s="355" t="s">
        <v>484</v>
      </c>
      <c r="F45" s="355"/>
      <c r="G45" s="355"/>
      <c r="H45" s="362"/>
      <c r="I45" s="355" t="s">
        <v>151</v>
      </c>
      <c r="J45" s="355"/>
      <c r="K45" s="355"/>
      <c r="L45" s="362"/>
      <c r="M45" s="364"/>
      <c r="N45" s="355"/>
      <c r="O45" s="355"/>
      <c r="P45" s="352" t="s">
        <v>470</v>
      </c>
      <c r="Q45" s="353"/>
      <c r="R45" s="353"/>
      <c r="S45" s="354"/>
      <c r="T45" s="355"/>
      <c r="U45" s="352" t="s">
        <v>503</v>
      </c>
      <c r="V45" s="353"/>
      <c r="W45" s="353"/>
      <c r="X45" s="354"/>
      <c r="Y45" s="355"/>
      <c r="Z45" s="352" t="s">
        <v>503</v>
      </c>
      <c r="AA45" s="353"/>
      <c r="AB45" s="353"/>
      <c r="AC45" s="354"/>
      <c r="AD45" s="355"/>
      <c r="AE45" s="352" t="s">
        <v>156</v>
      </c>
      <c r="AF45" s="353"/>
      <c r="AG45" s="353"/>
      <c r="AH45" s="354"/>
      <c r="AI45" s="355"/>
      <c r="AJ45" s="352" t="s">
        <v>471</v>
      </c>
      <c r="AK45" s="353"/>
      <c r="AL45" s="353"/>
      <c r="AM45" s="354"/>
      <c r="AN45" s="355"/>
      <c r="AO45" s="352" t="s">
        <v>156</v>
      </c>
      <c r="AP45" s="353"/>
      <c r="AQ45" s="353"/>
      <c r="AR45" s="354"/>
      <c r="AS45" s="355"/>
      <c r="AT45" s="352" t="s">
        <v>471</v>
      </c>
      <c r="AU45" s="353"/>
      <c r="AV45" s="353"/>
      <c r="AW45" s="354"/>
      <c r="AX45" s="355"/>
    </row>
    <row r="46" spans="2:50">
      <c r="B46" s="355"/>
      <c r="C46" s="355"/>
      <c r="D46" s="355"/>
      <c r="E46" s="277" t="s">
        <v>476</v>
      </c>
      <c r="F46" s="277" t="s">
        <v>505</v>
      </c>
      <c r="G46" s="277" t="s">
        <v>485</v>
      </c>
      <c r="H46" s="363"/>
      <c r="I46" s="277" t="s">
        <v>476</v>
      </c>
      <c r="J46" s="277" t="s">
        <v>475</v>
      </c>
      <c r="K46" s="277" t="s">
        <v>157</v>
      </c>
      <c r="L46" s="363"/>
      <c r="M46" s="351"/>
      <c r="N46" s="355"/>
      <c r="O46" s="355"/>
      <c r="P46" s="277" t="s">
        <v>153</v>
      </c>
      <c r="Q46" s="277" t="s">
        <v>505</v>
      </c>
      <c r="R46" s="277" t="s">
        <v>157</v>
      </c>
      <c r="S46" s="277" t="s">
        <v>477</v>
      </c>
      <c r="T46" s="355"/>
      <c r="U46" s="277" t="s">
        <v>472</v>
      </c>
      <c r="V46" s="277" t="s">
        <v>505</v>
      </c>
      <c r="W46" s="277" t="s">
        <v>485</v>
      </c>
      <c r="X46" s="277" t="s">
        <v>477</v>
      </c>
      <c r="Y46" s="355"/>
      <c r="Z46" s="277" t="s">
        <v>153</v>
      </c>
      <c r="AA46" s="277" t="s">
        <v>475</v>
      </c>
      <c r="AB46" s="277" t="s">
        <v>485</v>
      </c>
      <c r="AC46" s="277" t="s">
        <v>477</v>
      </c>
      <c r="AD46" s="355"/>
      <c r="AE46" s="277" t="s">
        <v>153</v>
      </c>
      <c r="AF46" s="277" t="s">
        <v>154</v>
      </c>
      <c r="AG46" s="277" t="s">
        <v>485</v>
      </c>
      <c r="AH46" s="277" t="s">
        <v>464</v>
      </c>
      <c r="AI46" s="355"/>
      <c r="AJ46" s="277" t="s">
        <v>476</v>
      </c>
      <c r="AK46" s="277" t="s">
        <v>154</v>
      </c>
      <c r="AL46" s="277" t="s">
        <v>157</v>
      </c>
      <c r="AM46" s="277" t="s">
        <v>170</v>
      </c>
      <c r="AN46" s="355"/>
      <c r="AO46" s="277" t="s">
        <v>476</v>
      </c>
      <c r="AP46" s="277" t="s">
        <v>473</v>
      </c>
      <c r="AQ46" s="277" t="s">
        <v>485</v>
      </c>
      <c r="AR46" s="277" t="s">
        <v>170</v>
      </c>
      <c r="AS46" s="355"/>
      <c r="AT46" s="277" t="s">
        <v>504</v>
      </c>
      <c r="AU46" s="277" t="s">
        <v>475</v>
      </c>
      <c r="AV46" s="277" t="s">
        <v>485</v>
      </c>
      <c r="AW46" s="277" t="s">
        <v>170</v>
      </c>
      <c r="AX46" s="355"/>
    </row>
    <row r="47" spans="2:50">
      <c r="B47" s="355" t="s">
        <v>507</v>
      </c>
      <c r="C47" s="278">
        <v>1</v>
      </c>
      <c r="D47" s="278" t="s">
        <v>397</v>
      </c>
      <c r="E47" s="279">
        <f>VLOOKUP(D47,'10產線配置圖'!$A$2:$C$25,2,0)</f>
        <v>13</v>
      </c>
      <c r="F47" s="279">
        <f>VLOOKUP(D47,'10產線配置圖'!$A$2:$C$25,3,0)</f>
        <v>1565</v>
      </c>
      <c r="G47" s="280">
        <f t="shared" ref="G47:G49" si="33">F47/E47</f>
        <v>120.38461538461539</v>
      </c>
      <c r="H47" s="356">
        <f>AVERAGE(G47:G61)</f>
        <v>127.07264957264958</v>
      </c>
      <c r="I47" s="279" t="e">
        <f>AVERAGE(P47,U47,Z47,AE47,AJ47,AO47,AT47)</f>
        <v>#DIV/0!</v>
      </c>
      <c r="J47" s="279" t="e">
        <f>AVERAGE(Q47,V47,AA47,AF47,AK47,AP47,AU47)</f>
        <v>#DIV/0!</v>
      </c>
      <c r="K47" s="280" t="e">
        <f>AVERAGE(R47,W47,AB47,AG47,AL47,AQ47,AV47)</f>
        <v>#DIV/0!</v>
      </c>
      <c r="L47" s="356" t="str">
        <f>IFERROR(AVERAGE(K47:K61),"-")</f>
        <v>-</v>
      </c>
      <c r="M47" s="279" t="e">
        <f>RANK(K47, K$47:$K$61)</f>
        <v>#DIV/0!</v>
      </c>
      <c r="N47" s="355"/>
      <c r="O47" s="355"/>
      <c r="P47" s="279"/>
      <c r="Q47" s="279"/>
      <c r="R47" s="280" t="e">
        <f>Q47/P47</f>
        <v>#DIV/0!</v>
      </c>
      <c r="S47" s="278" t="e">
        <f>RANK(R47, $R$47:$R$49)</f>
        <v>#DIV/0!</v>
      </c>
      <c r="T47" s="359" t="e">
        <f>AVERAGE(R47:R61)</f>
        <v>#DIV/0!</v>
      </c>
      <c r="U47" s="279"/>
      <c r="V47" s="279"/>
      <c r="W47" s="280" t="e">
        <f>V47/U47</f>
        <v>#DIV/0!</v>
      </c>
      <c r="X47" s="278" t="e">
        <f>RANK(W47, $W$47:$W$49)</f>
        <v>#DIV/0!</v>
      </c>
      <c r="Y47" s="359" t="e">
        <f>AVERAGE(W47:W61)</f>
        <v>#DIV/0!</v>
      </c>
      <c r="Z47" s="279"/>
      <c r="AA47" s="279"/>
      <c r="AB47" s="280" t="e">
        <f>AA47/Z47</f>
        <v>#DIV/0!</v>
      </c>
      <c r="AC47" s="278" t="e">
        <f>RANK(AB47, $AB$47:$AB$49)</f>
        <v>#DIV/0!</v>
      </c>
      <c r="AD47" s="359" t="e">
        <f>AVERAGE(AB47:AB61)</f>
        <v>#DIV/0!</v>
      </c>
      <c r="AE47" s="279"/>
      <c r="AF47" s="279"/>
      <c r="AG47" s="280" t="e">
        <f>AF47/AE47</f>
        <v>#DIV/0!</v>
      </c>
      <c r="AH47" s="278" t="e">
        <f>RANK(AG47,$AG$47:$AG$49)</f>
        <v>#DIV/0!</v>
      </c>
      <c r="AI47" s="359" t="e">
        <f>AVERAGE(AG47:AG61)</f>
        <v>#DIV/0!</v>
      </c>
      <c r="AJ47" s="279"/>
      <c r="AK47" s="279"/>
      <c r="AL47" s="280" t="e">
        <f>AK47/AJ47</f>
        <v>#DIV/0!</v>
      </c>
      <c r="AM47" s="278" t="e">
        <f>RANK(AL47, $AL$47:$AL$49)</f>
        <v>#DIV/0!</v>
      </c>
      <c r="AN47" s="359" t="e">
        <f>AVERAGE(AL47:AL61)</f>
        <v>#DIV/0!</v>
      </c>
      <c r="AO47" s="279"/>
      <c r="AP47" s="279"/>
      <c r="AQ47" s="280" t="e">
        <f>AP47/AO47</f>
        <v>#DIV/0!</v>
      </c>
      <c r="AR47" s="278" t="e">
        <f>RANK(AQ47,$AQ$47:$AQ$49)</f>
        <v>#DIV/0!</v>
      </c>
      <c r="AS47" s="359" t="e">
        <f>AVERAGE(AQ47:AQ61)</f>
        <v>#DIV/0!</v>
      </c>
      <c r="AT47" s="295"/>
      <c r="AU47" s="295"/>
      <c r="AV47" s="280" t="e">
        <f>AU47/AT47</f>
        <v>#DIV/0!</v>
      </c>
      <c r="AW47" s="278" t="e">
        <f>RANK(AV47,$AV$47:$AV$49)</f>
        <v>#DIV/0!</v>
      </c>
      <c r="AX47" s="359" t="e">
        <f>AVERAGE(AV47:AV61)</f>
        <v>#DIV/0!</v>
      </c>
    </row>
    <row r="48" spans="2:50">
      <c r="B48" s="346"/>
      <c r="C48" s="278">
        <v>2</v>
      </c>
      <c r="D48" s="278" t="s">
        <v>405</v>
      </c>
      <c r="E48" s="279">
        <f>VLOOKUP(D48,'10產線配置圖'!$A$2:$C$25,2,0)</f>
        <v>12</v>
      </c>
      <c r="F48" s="279">
        <f>VLOOKUP(D48,'10產線配置圖'!$A$2:$C$25,3,0)</f>
        <v>1565</v>
      </c>
      <c r="G48" s="280">
        <f t="shared" si="33"/>
        <v>130.41666666666666</v>
      </c>
      <c r="H48" s="357"/>
      <c r="I48" s="279" t="e">
        <f t="shared" ref="I48:K49" si="34">AVERAGE(P48,U48,Z48,AE48,AJ48,AO48,AT48)</f>
        <v>#DIV/0!</v>
      </c>
      <c r="J48" s="279" t="e">
        <f t="shared" si="34"/>
        <v>#DIV/0!</v>
      </c>
      <c r="K48" s="280" t="e">
        <f t="shared" si="34"/>
        <v>#DIV/0!</v>
      </c>
      <c r="L48" s="357"/>
      <c r="M48" s="279" t="e">
        <f>RANK(K48, K$47:$K$61)</f>
        <v>#DIV/0!</v>
      </c>
      <c r="N48" s="355"/>
      <c r="O48" s="355"/>
      <c r="P48" s="279"/>
      <c r="Q48" s="279"/>
      <c r="R48" s="280" t="e">
        <f t="shared" ref="R48:R49" si="35">Q48/P48</f>
        <v>#DIV/0!</v>
      </c>
      <c r="S48" s="278" t="e">
        <f t="shared" ref="S48:S49" si="36">RANK(R48, $R$47:$R$49)</f>
        <v>#DIV/0!</v>
      </c>
      <c r="T48" s="359"/>
      <c r="U48" s="279"/>
      <c r="V48" s="279"/>
      <c r="W48" s="280" t="e">
        <f t="shared" ref="W48:W49" si="37">V48/U48</f>
        <v>#DIV/0!</v>
      </c>
      <c r="X48" s="278" t="e">
        <f t="shared" ref="X48:X49" si="38">RANK(W48, $W$47:$W$49)</f>
        <v>#DIV/0!</v>
      </c>
      <c r="Y48" s="359"/>
      <c r="Z48" s="279"/>
      <c r="AA48" s="279"/>
      <c r="AB48" s="280" t="e">
        <f t="shared" ref="AB48:AB49" si="39">AA48/Z48</f>
        <v>#DIV/0!</v>
      </c>
      <c r="AC48" s="278" t="e">
        <f t="shared" ref="AC48:AC49" si="40">RANK(AB48, $AB$47:$AB$49)</f>
        <v>#DIV/0!</v>
      </c>
      <c r="AD48" s="359"/>
      <c r="AE48" s="279"/>
      <c r="AF48" s="279"/>
      <c r="AG48" s="280" t="e">
        <f t="shared" ref="AG48:AG49" si="41">AF48/AE48</f>
        <v>#DIV/0!</v>
      </c>
      <c r="AH48" s="278" t="e">
        <f t="shared" ref="AH48:AH49" si="42">RANK(AG48,$AG$47:$AG$49)</f>
        <v>#DIV/0!</v>
      </c>
      <c r="AI48" s="359"/>
      <c r="AJ48" s="279"/>
      <c r="AK48" s="279"/>
      <c r="AL48" s="280" t="e">
        <f t="shared" ref="AL48:AL49" si="43">AK48/AJ48</f>
        <v>#DIV/0!</v>
      </c>
      <c r="AM48" s="278" t="e">
        <f t="shared" ref="AM48:AM49" si="44">RANK(AL48, $AL$47:$AL$49)</f>
        <v>#DIV/0!</v>
      </c>
      <c r="AN48" s="359"/>
      <c r="AO48" s="279"/>
      <c r="AP48" s="279"/>
      <c r="AQ48" s="280" t="e">
        <f t="shared" ref="AQ48:AQ49" si="45">AP48/AO48</f>
        <v>#DIV/0!</v>
      </c>
      <c r="AR48" s="278" t="e">
        <f t="shared" ref="AR48:AR49" si="46">RANK(AQ48,$AQ$47:$AQ$49)</f>
        <v>#DIV/0!</v>
      </c>
      <c r="AS48" s="359"/>
      <c r="AT48" s="295"/>
      <c r="AU48" s="295"/>
      <c r="AV48" s="280" t="e">
        <f t="shared" ref="AV48:AV49" si="47">AU48/AT48</f>
        <v>#DIV/0!</v>
      </c>
      <c r="AW48" s="278" t="e">
        <f t="shared" ref="AW48:AW49" si="48">RANK(AV48,$AV$47:$AV$49)</f>
        <v>#DIV/0!</v>
      </c>
      <c r="AX48" s="359"/>
    </row>
    <row r="49" spans="2:50">
      <c r="B49" s="346"/>
      <c r="C49" s="278">
        <v>3</v>
      </c>
      <c r="D49" s="278" t="s">
        <v>534</v>
      </c>
      <c r="E49" s="279">
        <f>VLOOKUP(D49,'10產線配置圖'!$A$2:$C$25,2,0)</f>
        <v>12</v>
      </c>
      <c r="F49" s="279">
        <f>VLOOKUP(D49,'10產線配置圖'!$A$2:$C$25,3,0)</f>
        <v>1565</v>
      </c>
      <c r="G49" s="280">
        <f t="shared" si="33"/>
        <v>130.41666666666666</v>
      </c>
      <c r="H49" s="357"/>
      <c r="I49" s="279" t="e">
        <f t="shared" si="34"/>
        <v>#DIV/0!</v>
      </c>
      <c r="J49" s="279" t="e">
        <f t="shared" si="34"/>
        <v>#DIV/0!</v>
      </c>
      <c r="K49" s="280" t="e">
        <f t="shared" si="34"/>
        <v>#DIV/0!</v>
      </c>
      <c r="L49" s="357"/>
      <c r="M49" s="279" t="e">
        <f>RANK(K49, K$47:$K$61)</f>
        <v>#DIV/0!</v>
      </c>
      <c r="N49" s="355"/>
      <c r="O49" s="355"/>
      <c r="P49" s="279"/>
      <c r="Q49" s="279"/>
      <c r="R49" s="280" t="e">
        <f t="shared" si="35"/>
        <v>#DIV/0!</v>
      </c>
      <c r="S49" s="278" t="e">
        <f t="shared" si="36"/>
        <v>#DIV/0!</v>
      </c>
      <c r="T49" s="359"/>
      <c r="U49" s="279"/>
      <c r="V49" s="279"/>
      <c r="W49" s="280" t="e">
        <f t="shared" si="37"/>
        <v>#DIV/0!</v>
      </c>
      <c r="X49" s="278" t="e">
        <f t="shared" si="38"/>
        <v>#DIV/0!</v>
      </c>
      <c r="Y49" s="359"/>
      <c r="Z49" s="279"/>
      <c r="AA49" s="279"/>
      <c r="AB49" s="280" t="e">
        <f t="shared" si="39"/>
        <v>#DIV/0!</v>
      </c>
      <c r="AC49" s="278" t="e">
        <f t="shared" si="40"/>
        <v>#DIV/0!</v>
      </c>
      <c r="AD49" s="359"/>
      <c r="AE49" s="279"/>
      <c r="AF49" s="279"/>
      <c r="AG49" s="280" t="e">
        <f t="shared" si="41"/>
        <v>#DIV/0!</v>
      </c>
      <c r="AH49" s="278" t="e">
        <f t="shared" si="42"/>
        <v>#DIV/0!</v>
      </c>
      <c r="AI49" s="359"/>
      <c r="AJ49" s="279"/>
      <c r="AK49" s="279"/>
      <c r="AL49" s="280" t="e">
        <f t="shared" si="43"/>
        <v>#DIV/0!</v>
      </c>
      <c r="AM49" s="278" t="e">
        <f t="shared" si="44"/>
        <v>#DIV/0!</v>
      </c>
      <c r="AN49" s="359"/>
      <c r="AO49" s="279"/>
      <c r="AP49" s="279"/>
      <c r="AQ49" s="280" t="e">
        <f t="shared" si="45"/>
        <v>#DIV/0!</v>
      </c>
      <c r="AR49" s="278" t="e">
        <f t="shared" si="46"/>
        <v>#DIV/0!</v>
      </c>
      <c r="AS49" s="359"/>
      <c r="AT49" s="295"/>
      <c r="AU49" s="295"/>
      <c r="AV49" s="280" t="e">
        <f t="shared" si="47"/>
        <v>#DIV/0!</v>
      </c>
      <c r="AW49" s="278" t="e">
        <f t="shared" si="48"/>
        <v>#DIV/0!</v>
      </c>
      <c r="AX49" s="359"/>
    </row>
    <row r="50" spans="2:50">
      <c r="B50" s="346"/>
      <c r="C50" s="278">
        <v>4</v>
      </c>
      <c r="D50" s="278"/>
      <c r="E50" s="279"/>
      <c r="F50" s="279"/>
      <c r="G50" s="280"/>
      <c r="H50" s="357"/>
      <c r="I50" s="279"/>
      <c r="J50" s="279"/>
      <c r="K50" s="280"/>
      <c r="L50" s="357"/>
      <c r="M50" s="279"/>
      <c r="N50" s="355"/>
      <c r="O50" s="355"/>
      <c r="P50" s="279"/>
      <c r="Q50" s="279"/>
      <c r="R50" s="278"/>
      <c r="S50" s="278"/>
      <c r="T50" s="359"/>
      <c r="U50" s="279"/>
      <c r="V50" s="279"/>
      <c r="W50" s="278"/>
      <c r="X50" s="278"/>
      <c r="Y50" s="359"/>
      <c r="Z50" s="279"/>
      <c r="AA50" s="279"/>
      <c r="AB50" s="278"/>
      <c r="AC50" s="278"/>
      <c r="AD50" s="359"/>
      <c r="AE50" s="279"/>
      <c r="AF50" s="279"/>
      <c r="AG50" s="278"/>
      <c r="AH50" s="278"/>
      <c r="AI50" s="359"/>
      <c r="AJ50" s="279"/>
      <c r="AK50" s="279"/>
      <c r="AL50" s="278"/>
      <c r="AM50" s="278"/>
      <c r="AN50" s="359"/>
      <c r="AO50" s="279"/>
      <c r="AP50" s="279"/>
      <c r="AQ50" s="278"/>
      <c r="AR50" s="278"/>
      <c r="AS50" s="359"/>
      <c r="AT50" s="279"/>
      <c r="AU50" s="279"/>
      <c r="AV50" s="278"/>
      <c r="AW50" s="278"/>
      <c r="AX50" s="359"/>
    </row>
    <row r="51" spans="2:50">
      <c r="B51" s="346"/>
      <c r="C51" s="278">
        <v>5</v>
      </c>
      <c r="D51" s="278"/>
      <c r="E51" s="279"/>
      <c r="F51" s="279"/>
      <c r="G51" s="280"/>
      <c r="H51" s="357"/>
      <c r="I51" s="279"/>
      <c r="J51" s="279"/>
      <c r="K51" s="280"/>
      <c r="L51" s="357"/>
      <c r="M51" s="279"/>
      <c r="N51" s="355"/>
      <c r="O51" s="355"/>
      <c r="P51" s="279"/>
      <c r="Q51" s="279"/>
      <c r="R51" s="278"/>
      <c r="S51" s="278"/>
      <c r="T51" s="359"/>
      <c r="U51" s="279"/>
      <c r="V51" s="279"/>
      <c r="W51" s="278"/>
      <c r="X51" s="278"/>
      <c r="Y51" s="359"/>
      <c r="Z51" s="279"/>
      <c r="AA51" s="279"/>
      <c r="AB51" s="278"/>
      <c r="AC51" s="278"/>
      <c r="AD51" s="359"/>
      <c r="AE51" s="279"/>
      <c r="AF51" s="279"/>
      <c r="AG51" s="278"/>
      <c r="AH51" s="278"/>
      <c r="AI51" s="359"/>
      <c r="AJ51" s="279"/>
      <c r="AK51" s="279"/>
      <c r="AL51" s="278"/>
      <c r="AM51" s="278"/>
      <c r="AN51" s="359"/>
      <c r="AO51" s="279"/>
      <c r="AP51" s="279"/>
      <c r="AQ51" s="278"/>
      <c r="AR51" s="278"/>
      <c r="AS51" s="359"/>
      <c r="AT51" s="279"/>
      <c r="AU51" s="279"/>
      <c r="AV51" s="278"/>
      <c r="AW51" s="278"/>
      <c r="AX51" s="359"/>
    </row>
    <row r="52" spans="2:50">
      <c r="B52" s="346"/>
      <c r="C52" s="278">
        <v>6</v>
      </c>
      <c r="D52" s="278"/>
      <c r="E52" s="279"/>
      <c r="F52" s="279"/>
      <c r="G52" s="280"/>
      <c r="H52" s="357"/>
      <c r="I52" s="279"/>
      <c r="J52" s="279"/>
      <c r="K52" s="280"/>
      <c r="L52" s="357"/>
      <c r="M52" s="279"/>
      <c r="N52" s="355"/>
      <c r="O52" s="355"/>
      <c r="P52" s="279"/>
      <c r="Q52" s="279"/>
      <c r="R52" s="278"/>
      <c r="S52" s="278"/>
      <c r="T52" s="359"/>
      <c r="U52" s="279"/>
      <c r="V52" s="279"/>
      <c r="W52" s="278"/>
      <c r="X52" s="278"/>
      <c r="Y52" s="359"/>
      <c r="Z52" s="279"/>
      <c r="AA52" s="279"/>
      <c r="AB52" s="278"/>
      <c r="AC52" s="278"/>
      <c r="AD52" s="359"/>
      <c r="AE52" s="279"/>
      <c r="AF52" s="279"/>
      <c r="AG52" s="278"/>
      <c r="AH52" s="278"/>
      <c r="AI52" s="359"/>
      <c r="AJ52" s="279"/>
      <c r="AK52" s="279"/>
      <c r="AL52" s="278"/>
      <c r="AM52" s="278"/>
      <c r="AN52" s="359"/>
      <c r="AO52" s="279"/>
      <c r="AP52" s="279"/>
      <c r="AQ52" s="278"/>
      <c r="AR52" s="278"/>
      <c r="AS52" s="359"/>
      <c r="AT52" s="279"/>
      <c r="AU52" s="279"/>
      <c r="AV52" s="278"/>
      <c r="AW52" s="278"/>
      <c r="AX52" s="359"/>
    </row>
    <row r="53" spans="2:50">
      <c r="B53" s="346"/>
      <c r="C53" s="278">
        <v>7</v>
      </c>
      <c r="D53" s="278"/>
      <c r="E53" s="279"/>
      <c r="F53" s="279"/>
      <c r="G53" s="280"/>
      <c r="H53" s="357"/>
      <c r="I53" s="279"/>
      <c r="J53" s="279"/>
      <c r="K53" s="280"/>
      <c r="L53" s="357"/>
      <c r="M53" s="279"/>
      <c r="N53" s="355"/>
      <c r="O53" s="355"/>
      <c r="P53" s="279"/>
      <c r="Q53" s="279"/>
      <c r="R53" s="278"/>
      <c r="S53" s="278"/>
      <c r="T53" s="359"/>
      <c r="U53" s="279"/>
      <c r="V53" s="279"/>
      <c r="W53" s="278"/>
      <c r="X53" s="278"/>
      <c r="Y53" s="359"/>
      <c r="Z53" s="279"/>
      <c r="AA53" s="279"/>
      <c r="AB53" s="278"/>
      <c r="AC53" s="278"/>
      <c r="AD53" s="359"/>
      <c r="AE53" s="279"/>
      <c r="AF53" s="279"/>
      <c r="AG53" s="278"/>
      <c r="AH53" s="278"/>
      <c r="AI53" s="359"/>
      <c r="AJ53" s="279"/>
      <c r="AK53" s="279"/>
      <c r="AL53" s="278"/>
      <c r="AM53" s="278"/>
      <c r="AN53" s="359"/>
      <c r="AO53" s="279"/>
      <c r="AP53" s="279"/>
      <c r="AQ53" s="278"/>
      <c r="AR53" s="278"/>
      <c r="AS53" s="359"/>
      <c r="AT53" s="279"/>
      <c r="AU53" s="279"/>
      <c r="AV53" s="278"/>
      <c r="AW53" s="278"/>
      <c r="AX53" s="359"/>
    </row>
    <row r="54" spans="2:50">
      <c r="B54" s="346"/>
      <c r="C54" s="278">
        <v>8</v>
      </c>
      <c r="D54" s="278"/>
      <c r="E54" s="278"/>
      <c r="F54" s="278"/>
      <c r="G54" s="278"/>
      <c r="H54" s="357"/>
      <c r="I54" s="279"/>
      <c r="J54" s="279"/>
      <c r="K54" s="280"/>
      <c r="L54" s="357"/>
      <c r="M54" s="279"/>
      <c r="N54" s="355"/>
      <c r="O54" s="355"/>
      <c r="P54" s="279"/>
      <c r="Q54" s="279"/>
      <c r="R54" s="278"/>
      <c r="S54" s="278"/>
      <c r="T54" s="359"/>
      <c r="U54" s="279"/>
      <c r="V54" s="279"/>
      <c r="W54" s="278"/>
      <c r="X54" s="278"/>
      <c r="Y54" s="359"/>
      <c r="Z54" s="279"/>
      <c r="AA54" s="279"/>
      <c r="AB54" s="278"/>
      <c r="AC54" s="278"/>
      <c r="AD54" s="359"/>
      <c r="AE54" s="279"/>
      <c r="AF54" s="279"/>
      <c r="AG54" s="278"/>
      <c r="AH54" s="278"/>
      <c r="AI54" s="359"/>
      <c r="AJ54" s="279"/>
      <c r="AK54" s="279"/>
      <c r="AL54" s="278"/>
      <c r="AM54" s="278"/>
      <c r="AN54" s="359"/>
      <c r="AO54" s="279"/>
      <c r="AP54" s="279"/>
      <c r="AQ54" s="278"/>
      <c r="AR54" s="278"/>
      <c r="AS54" s="359"/>
      <c r="AT54" s="279"/>
      <c r="AU54" s="279"/>
      <c r="AV54" s="278"/>
      <c r="AW54" s="278"/>
      <c r="AX54" s="359"/>
    </row>
    <row r="55" spans="2:50">
      <c r="B55" s="346"/>
      <c r="C55" s="278">
        <v>9</v>
      </c>
      <c r="D55" s="278"/>
      <c r="E55" s="278"/>
      <c r="F55" s="278"/>
      <c r="G55" s="278"/>
      <c r="H55" s="357"/>
      <c r="I55" s="279"/>
      <c r="J55" s="279"/>
      <c r="K55" s="280"/>
      <c r="L55" s="357"/>
      <c r="M55" s="279"/>
      <c r="N55" s="355"/>
      <c r="O55" s="355"/>
      <c r="P55" s="279"/>
      <c r="Q55" s="279"/>
      <c r="R55" s="278"/>
      <c r="S55" s="278"/>
      <c r="T55" s="359"/>
      <c r="U55" s="279"/>
      <c r="V55" s="279"/>
      <c r="W55" s="278"/>
      <c r="X55" s="278"/>
      <c r="Y55" s="359"/>
      <c r="Z55" s="279"/>
      <c r="AA55" s="279"/>
      <c r="AB55" s="278"/>
      <c r="AC55" s="278"/>
      <c r="AD55" s="359"/>
      <c r="AE55" s="279"/>
      <c r="AF55" s="279"/>
      <c r="AG55" s="278"/>
      <c r="AH55" s="278"/>
      <c r="AI55" s="359"/>
      <c r="AJ55" s="279"/>
      <c r="AK55" s="279"/>
      <c r="AL55" s="278"/>
      <c r="AM55" s="278"/>
      <c r="AN55" s="359"/>
      <c r="AO55" s="279"/>
      <c r="AP55" s="279"/>
      <c r="AQ55" s="278"/>
      <c r="AR55" s="278"/>
      <c r="AS55" s="359"/>
      <c r="AT55" s="279"/>
      <c r="AU55" s="279"/>
      <c r="AV55" s="278"/>
      <c r="AW55" s="278"/>
      <c r="AX55" s="359"/>
    </row>
    <row r="56" spans="2:50">
      <c r="B56" s="346"/>
      <c r="C56" s="278">
        <v>10</v>
      </c>
      <c r="D56" s="278"/>
      <c r="E56" s="278"/>
      <c r="F56" s="278"/>
      <c r="G56" s="278"/>
      <c r="H56" s="357"/>
      <c r="I56" s="279"/>
      <c r="J56" s="279"/>
      <c r="K56" s="280"/>
      <c r="L56" s="357"/>
      <c r="M56" s="279"/>
      <c r="N56" s="355"/>
      <c r="O56" s="355"/>
      <c r="P56" s="279"/>
      <c r="Q56" s="279"/>
      <c r="R56" s="278"/>
      <c r="S56" s="278"/>
      <c r="T56" s="359"/>
      <c r="U56" s="279"/>
      <c r="V56" s="279"/>
      <c r="W56" s="278"/>
      <c r="X56" s="278"/>
      <c r="Y56" s="359"/>
      <c r="Z56" s="279"/>
      <c r="AA56" s="279"/>
      <c r="AB56" s="278"/>
      <c r="AC56" s="278"/>
      <c r="AD56" s="359"/>
      <c r="AE56" s="279"/>
      <c r="AF56" s="279"/>
      <c r="AG56" s="278"/>
      <c r="AH56" s="278"/>
      <c r="AI56" s="359"/>
      <c r="AJ56" s="279"/>
      <c r="AK56" s="279"/>
      <c r="AL56" s="278"/>
      <c r="AM56" s="278"/>
      <c r="AN56" s="359"/>
      <c r="AO56" s="279"/>
      <c r="AP56" s="279"/>
      <c r="AQ56" s="278"/>
      <c r="AR56" s="278"/>
      <c r="AS56" s="359"/>
      <c r="AT56" s="279"/>
      <c r="AU56" s="279"/>
      <c r="AV56" s="278"/>
      <c r="AW56" s="278"/>
      <c r="AX56" s="359"/>
    </row>
    <row r="57" spans="2:50">
      <c r="B57" s="346"/>
      <c r="C57" s="278">
        <v>11</v>
      </c>
      <c r="D57" s="278"/>
      <c r="E57" s="278"/>
      <c r="F57" s="278"/>
      <c r="G57" s="278"/>
      <c r="H57" s="357"/>
      <c r="I57" s="279"/>
      <c r="J57" s="279"/>
      <c r="K57" s="280"/>
      <c r="L57" s="357"/>
      <c r="M57" s="279"/>
      <c r="N57" s="355"/>
      <c r="O57" s="355"/>
      <c r="P57" s="278"/>
      <c r="Q57" s="278"/>
      <c r="R57" s="278"/>
      <c r="S57" s="278"/>
      <c r="T57" s="359"/>
      <c r="U57" s="278"/>
      <c r="V57" s="278"/>
      <c r="W57" s="278"/>
      <c r="X57" s="278"/>
      <c r="Y57" s="359"/>
      <c r="Z57" s="278"/>
      <c r="AA57" s="278"/>
      <c r="AB57" s="278"/>
      <c r="AC57" s="278"/>
      <c r="AD57" s="359"/>
      <c r="AE57" s="278"/>
      <c r="AF57" s="278"/>
      <c r="AG57" s="278"/>
      <c r="AH57" s="278"/>
      <c r="AI57" s="359"/>
      <c r="AJ57" s="278"/>
      <c r="AK57" s="278"/>
      <c r="AL57" s="278"/>
      <c r="AM57" s="278"/>
      <c r="AN57" s="359"/>
      <c r="AO57" s="278"/>
      <c r="AP57" s="278"/>
      <c r="AQ57" s="278"/>
      <c r="AR57" s="278"/>
      <c r="AS57" s="359"/>
      <c r="AT57" s="278"/>
      <c r="AU57" s="278"/>
      <c r="AV57" s="278"/>
      <c r="AW57" s="278"/>
      <c r="AX57" s="359"/>
    </row>
    <row r="58" spans="2:50">
      <c r="B58" s="346"/>
      <c r="C58" s="278">
        <v>12</v>
      </c>
      <c r="D58" s="278"/>
      <c r="E58" s="278"/>
      <c r="F58" s="278"/>
      <c r="G58" s="278"/>
      <c r="H58" s="357"/>
      <c r="I58" s="279"/>
      <c r="J58" s="279"/>
      <c r="K58" s="280"/>
      <c r="L58" s="357"/>
      <c r="M58" s="279"/>
      <c r="N58" s="355"/>
      <c r="O58" s="355"/>
      <c r="P58" s="278"/>
      <c r="Q58" s="278"/>
      <c r="R58" s="278"/>
      <c r="S58" s="278"/>
      <c r="T58" s="359"/>
      <c r="U58" s="278"/>
      <c r="V58" s="278"/>
      <c r="W58" s="278"/>
      <c r="X58" s="278"/>
      <c r="Y58" s="359"/>
      <c r="Z58" s="278"/>
      <c r="AA58" s="278"/>
      <c r="AB58" s="278"/>
      <c r="AC58" s="278"/>
      <c r="AD58" s="359"/>
      <c r="AE58" s="278"/>
      <c r="AF58" s="278"/>
      <c r="AG58" s="278"/>
      <c r="AH58" s="278"/>
      <c r="AI58" s="359"/>
      <c r="AJ58" s="278"/>
      <c r="AK58" s="278"/>
      <c r="AL58" s="278"/>
      <c r="AM58" s="278"/>
      <c r="AN58" s="359"/>
      <c r="AO58" s="278"/>
      <c r="AP58" s="278"/>
      <c r="AQ58" s="278"/>
      <c r="AR58" s="278"/>
      <c r="AS58" s="359"/>
      <c r="AT58" s="278"/>
      <c r="AU58" s="278"/>
      <c r="AV58" s="278"/>
      <c r="AW58" s="278"/>
      <c r="AX58" s="359"/>
    </row>
    <row r="59" spans="2:50">
      <c r="B59" s="346"/>
      <c r="C59" s="278">
        <v>13</v>
      </c>
      <c r="D59" s="278"/>
      <c r="E59" s="278"/>
      <c r="F59" s="278"/>
      <c r="G59" s="278"/>
      <c r="H59" s="357"/>
      <c r="I59" s="279"/>
      <c r="J59" s="279"/>
      <c r="K59" s="280"/>
      <c r="L59" s="357"/>
      <c r="M59" s="279"/>
      <c r="N59" s="355"/>
      <c r="O59" s="355"/>
      <c r="P59" s="278"/>
      <c r="Q59" s="278"/>
      <c r="R59" s="278"/>
      <c r="S59" s="278"/>
      <c r="T59" s="359"/>
      <c r="U59" s="278"/>
      <c r="V59" s="278"/>
      <c r="W59" s="278"/>
      <c r="X59" s="278"/>
      <c r="Y59" s="359"/>
      <c r="Z59" s="278"/>
      <c r="AA59" s="278"/>
      <c r="AB59" s="278"/>
      <c r="AC59" s="278"/>
      <c r="AD59" s="359"/>
      <c r="AE59" s="278"/>
      <c r="AF59" s="278"/>
      <c r="AG59" s="278"/>
      <c r="AH59" s="278"/>
      <c r="AI59" s="359"/>
      <c r="AJ59" s="278"/>
      <c r="AK59" s="278"/>
      <c r="AL59" s="278"/>
      <c r="AM59" s="278"/>
      <c r="AN59" s="359"/>
      <c r="AO59" s="278"/>
      <c r="AP59" s="278"/>
      <c r="AQ59" s="278"/>
      <c r="AR59" s="278"/>
      <c r="AS59" s="359"/>
      <c r="AT59" s="278"/>
      <c r="AU59" s="278"/>
      <c r="AV59" s="278"/>
      <c r="AW59" s="278"/>
      <c r="AX59" s="359"/>
    </row>
    <row r="60" spans="2:50">
      <c r="B60" s="346"/>
      <c r="C60" s="278">
        <v>14</v>
      </c>
      <c r="D60" s="278"/>
      <c r="E60" s="278"/>
      <c r="F60" s="278"/>
      <c r="G60" s="278"/>
      <c r="H60" s="357"/>
      <c r="I60" s="279"/>
      <c r="J60" s="279"/>
      <c r="K60" s="280"/>
      <c r="L60" s="357"/>
      <c r="M60" s="279"/>
      <c r="N60" s="355"/>
      <c r="O60" s="355"/>
      <c r="P60" s="278"/>
      <c r="Q60" s="278"/>
      <c r="R60" s="278"/>
      <c r="S60" s="278"/>
      <c r="T60" s="359"/>
      <c r="U60" s="278"/>
      <c r="V60" s="278"/>
      <c r="W60" s="278"/>
      <c r="X60" s="278"/>
      <c r="Y60" s="359"/>
      <c r="Z60" s="278"/>
      <c r="AA60" s="278"/>
      <c r="AB60" s="278"/>
      <c r="AC60" s="278"/>
      <c r="AD60" s="359"/>
      <c r="AE60" s="278"/>
      <c r="AF60" s="278"/>
      <c r="AG60" s="278"/>
      <c r="AH60" s="278"/>
      <c r="AI60" s="359"/>
      <c r="AJ60" s="278"/>
      <c r="AK60" s="278"/>
      <c r="AL60" s="278"/>
      <c r="AM60" s="278"/>
      <c r="AN60" s="359"/>
      <c r="AO60" s="278"/>
      <c r="AP60" s="278"/>
      <c r="AQ60" s="278"/>
      <c r="AR60" s="278"/>
      <c r="AS60" s="359"/>
      <c r="AT60" s="278"/>
      <c r="AU60" s="278"/>
      <c r="AV60" s="278"/>
      <c r="AW60" s="278"/>
      <c r="AX60" s="359"/>
    </row>
    <row r="61" spans="2:50">
      <c r="B61" s="346"/>
      <c r="C61" s="278">
        <v>15</v>
      </c>
      <c r="D61" s="278"/>
      <c r="E61" s="278"/>
      <c r="F61" s="278"/>
      <c r="G61" s="278"/>
      <c r="H61" s="358"/>
      <c r="I61" s="279"/>
      <c r="J61" s="279"/>
      <c r="K61" s="280"/>
      <c r="L61" s="358"/>
      <c r="M61" s="279"/>
      <c r="N61" s="355"/>
      <c r="O61" s="355"/>
      <c r="P61" s="278"/>
      <c r="Q61" s="278"/>
      <c r="R61" s="278"/>
      <c r="S61" s="278"/>
      <c r="T61" s="359"/>
      <c r="U61" s="278"/>
      <c r="V61" s="278"/>
      <c r="W61" s="278"/>
      <c r="X61" s="278"/>
      <c r="Y61" s="359"/>
      <c r="Z61" s="278"/>
      <c r="AA61" s="278"/>
      <c r="AB61" s="278"/>
      <c r="AC61" s="278"/>
      <c r="AD61" s="359"/>
      <c r="AE61" s="278"/>
      <c r="AF61" s="278"/>
      <c r="AG61" s="278"/>
      <c r="AH61" s="278"/>
      <c r="AI61" s="359"/>
      <c r="AJ61" s="278"/>
      <c r="AK61" s="278"/>
      <c r="AL61" s="278"/>
      <c r="AM61" s="278"/>
      <c r="AN61" s="359"/>
      <c r="AO61" s="278"/>
      <c r="AP61" s="278"/>
      <c r="AQ61" s="278"/>
      <c r="AR61" s="278"/>
      <c r="AS61" s="359"/>
      <c r="AT61" s="278"/>
      <c r="AU61" s="278"/>
      <c r="AV61" s="278"/>
      <c r="AW61" s="278"/>
      <c r="AX61" s="359"/>
    </row>
    <row r="62" spans="2:50" ht="15.75">
      <c r="B62" s="367" t="s">
        <v>514</v>
      </c>
      <c r="C62" s="348"/>
      <c r="D62" s="348"/>
      <c r="E62" s="348"/>
      <c r="F62" s="348"/>
      <c r="G62" s="348"/>
      <c r="H62" s="348"/>
      <c r="I62" s="283"/>
      <c r="J62" s="283"/>
      <c r="K62" s="283"/>
      <c r="L62" s="283"/>
      <c r="M62" s="284"/>
      <c r="N62" s="350" t="s">
        <v>492</v>
      </c>
      <c r="O62" s="350" t="s">
        <v>515</v>
      </c>
      <c r="P62" s="345">
        <v>45951</v>
      </c>
      <c r="Q62" s="346"/>
      <c r="R62" s="346"/>
      <c r="S62" s="346"/>
      <c r="T62" s="346"/>
      <c r="U62" s="345">
        <v>45952</v>
      </c>
      <c r="V62" s="346"/>
      <c r="W62" s="346"/>
      <c r="X62" s="346"/>
      <c r="Y62" s="346"/>
      <c r="Z62" s="345">
        <v>45953</v>
      </c>
      <c r="AA62" s="346"/>
      <c r="AB62" s="346"/>
      <c r="AC62" s="346"/>
      <c r="AD62" s="346"/>
      <c r="AE62" s="345">
        <v>45954</v>
      </c>
      <c r="AF62" s="346"/>
      <c r="AG62" s="346"/>
      <c r="AH62" s="346"/>
      <c r="AI62" s="346"/>
      <c r="AJ62" s="345">
        <v>45955</v>
      </c>
      <c r="AK62" s="346"/>
      <c r="AL62" s="346"/>
      <c r="AM62" s="346"/>
      <c r="AN62" s="346"/>
      <c r="AO62" s="345">
        <v>45956</v>
      </c>
      <c r="AP62" s="346"/>
      <c r="AQ62" s="346"/>
      <c r="AR62" s="346"/>
      <c r="AS62" s="346"/>
      <c r="AT62" s="345">
        <v>45957</v>
      </c>
      <c r="AU62" s="346"/>
      <c r="AV62" s="346"/>
      <c r="AW62" s="346"/>
      <c r="AX62" s="346"/>
    </row>
    <row r="63" spans="2:50" ht="15.75">
      <c r="B63" s="349"/>
      <c r="C63" s="349"/>
      <c r="D63" s="349"/>
      <c r="E63" s="349"/>
      <c r="F63" s="349"/>
      <c r="G63" s="349"/>
      <c r="H63" s="349"/>
      <c r="I63" s="274"/>
      <c r="J63" s="274"/>
      <c r="K63" s="274"/>
      <c r="L63" s="274"/>
      <c r="M63" s="275"/>
      <c r="N63" s="351"/>
      <c r="O63" s="351"/>
      <c r="P63" s="345" t="s">
        <v>513</v>
      </c>
      <c r="Q63" s="346"/>
      <c r="R63" s="346"/>
      <c r="S63" s="346"/>
      <c r="T63" s="346"/>
      <c r="U63" s="345" t="s">
        <v>493</v>
      </c>
      <c r="V63" s="346"/>
      <c r="W63" s="346"/>
      <c r="X63" s="346"/>
      <c r="Y63" s="346"/>
      <c r="Z63" s="345" t="s">
        <v>479</v>
      </c>
      <c r="AA63" s="346"/>
      <c r="AB63" s="346"/>
      <c r="AC63" s="346"/>
      <c r="AD63" s="346"/>
      <c r="AE63" s="345" t="s">
        <v>495</v>
      </c>
      <c r="AF63" s="346"/>
      <c r="AG63" s="346"/>
      <c r="AH63" s="346"/>
      <c r="AI63" s="346"/>
      <c r="AJ63" s="345" t="s">
        <v>456</v>
      </c>
      <c r="AK63" s="346"/>
      <c r="AL63" s="346"/>
      <c r="AM63" s="346"/>
      <c r="AN63" s="346"/>
      <c r="AO63" s="345" t="s">
        <v>509</v>
      </c>
      <c r="AP63" s="346"/>
      <c r="AQ63" s="346"/>
      <c r="AR63" s="346"/>
      <c r="AS63" s="346"/>
      <c r="AT63" s="345" t="s">
        <v>516</v>
      </c>
      <c r="AU63" s="346"/>
      <c r="AV63" s="346"/>
      <c r="AW63" s="346"/>
      <c r="AX63" s="346"/>
    </row>
    <row r="64" spans="2:50">
      <c r="B64" s="355" t="s">
        <v>510</v>
      </c>
      <c r="C64" s="355" t="s">
        <v>517</v>
      </c>
      <c r="D64" s="355"/>
      <c r="E64" s="355" t="s">
        <v>482</v>
      </c>
      <c r="F64" s="355"/>
      <c r="G64" s="355"/>
      <c r="H64" s="361" t="s">
        <v>500</v>
      </c>
      <c r="I64" s="355" t="s">
        <v>518</v>
      </c>
      <c r="J64" s="355"/>
      <c r="K64" s="355"/>
      <c r="L64" s="361" t="s">
        <v>468</v>
      </c>
      <c r="M64" s="350" t="s">
        <v>519</v>
      </c>
      <c r="N64" s="355"/>
      <c r="O64" s="355" t="s">
        <v>483</v>
      </c>
      <c r="P64" s="352" t="s">
        <v>467</v>
      </c>
      <c r="Q64" s="353"/>
      <c r="R64" s="353"/>
      <c r="S64" s="354"/>
      <c r="T64" s="355" t="s">
        <v>520</v>
      </c>
      <c r="U64" s="352" t="s">
        <v>501</v>
      </c>
      <c r="V64" s="353"/>
      <c r="W64" s="353"/>
      <c r="X64" s="354"/>
      <c r="Y64" s="355" t="s">
        <v>500</v>
      </c>
      <c r="Z64" s="352" t="s">
        <v>501</v>
      </c>
      <c r="AA64" s="353"/>
      <c r="AB64" s="353"/>
      <c r="AC64" s="354"/>
      <c r="AD64" s="355" t="s">
        <v>500</v>
      </c>
      <c r="AE64" s="352" t="s">
        <v>501</v>
      </c>
      <c r="AF64" s="353"/>
      <c r="AG64" s="353"/>
      <c r="AH64" s="354"/>
      <c r="AI64" s="355" t="s">
        <v>520</v>
      </c>
      <c r="AJ64" s="352" t="s">
        <v>521</v>
      </c>
      <c r="AK64" s="353"/>
      <c r="AL64" s="353"/>
      <c r="AM64" s="354"/>
      <c r="AN64" s="355" t="s">
        <v>500</v>
      </c>
      <c r="AO64" s="352" t="s">
        <v>501</v>
      </c>
      <c r="AP64" s="353"/>
      <c r="AQ64" s="353"/>
      <c r="AR64" s="354"/>
      <c r="AS64" s="355" t="s">
        <v>500</v>
      </c>
      <c r="AT64" s="352" t="s">
        <v>501</v>
      </c>
      <c r="AU64" s="353"/>
      <c r="AV64" s="353"/>
      <c r="AW64" s="354"/>
      <c r="AX64" s="355" t="s">
        <v>500</v>
      </c>
    </row>
    <row r="65" spans="2:50">
      <c r="B65" s="355"/>
      <c r="C65" s="355"/>
      <c r="D65" s="355"/>
      <c r="E65" s="355" t="s">
        <v>484</v>
      </c>
      <c r="F65" s="355"/>
      <c r="G65" s="355"/>
      <c r="H65" s="362"/>
      <c r="I65" s="355" t="s">
        <v>484</v>
      </c>
      <c r="J65" s="355"/>
      <c r="K65" s="355"/>
      <c r="L65" s="362"/>
      <c r="M65" s="364"/>
      <c r="N65" s="355"/>
      <c r="O65" s="355"/>
      <c r="P65" s="352" t="s">
        <v>471</v>
      </c>
      <c r="Q65" s="353"/>
      <c r="R65" s="353"/>
      <c r="S65" s="354"/>
      <c r="T65" s="355"/>
      <c r="U65" s="352" t="s">
        <v>503</v>
      </c>
      <c r="V65" s="353"/>
      <c r="W65" s="353"/>
      <c r="X65" s="354"/>
      <c r="Y65" s="355"/>
      <c r="Z65" s="352" t="s">
        <v>503</v>
      </c>
      <c r="AA65" s="353"/>
      <c r="AB65" s="353"/>
      <c r="AC65" s="354"/>
      <c r="AD65" s="355"/>
      <c r="AE65" s="352" t="s">
        <v>522</v>
      </c>
      <c r="AF65" s="353"/>
      <c r="AG65" s="353"/>
      <c r="AH65" s="354"/>
      <c r="AI65" s="355"/>
      <c r="AJ65" s="352" t="s">
        <v>522</v>
      </c>
      <c r="AK65" s="353"/>
      <c r="AL65" s="353"/>
      <c r="AM65" s="354"/>
      <c r="AN65" s="355"/>
      <c r="AO65" s="352" t="s">
        <v>522</v>
      </c>
      <c r="AP65" s="353"/>
      <c r="AQ65" s="353"/>
      <c r="AR65" s="354"/>
      <c r="AS65" s="355"/>
      <c r="AT65" s="352" t="s">
        <v>503</v>
      </c>
      <c r="AU65" s="353"/>
      <c r="AV65" s="353"/>
      <c r="AW65" s="354"/>
      <c r="AX65" s="355"/>
    </row>
    <row r="66" spans="2:50">
      <c r="B66" s="355"/>
      <c r="C66" s="355"/>
      <c r="D66" s="355"/>
      <c r="E66" s="277" t="s">
        <v>476</v>
      </c>
      <c r="F66" s="277" t="s">
        <v>523</v>
      </c>
      <c r="G66" s="277" t="s">
        <v>524</v>
      </c>
      <c r="H66" s="363"/>
      <c r="I66" s="277" t="s">
        <v>504</v>
      </c>
      <c r="J66" s="277" t="s">
        <v>505</v>
      </c>
      <c r="K66" s="277" t="s">
        <v>485</v>
      </c>
      <c r="L66" s="363"/>
      <c r="M66" s="351"/>
      <c r="N66" s="355"/>
      <c r="O66" s="355"/>
      <c r="P66" s="277" t="s">
        <v>525</v>
      </c>
      <c r="Q66" s="277" t="s">
        <v>523</v>
      </c>
      <c r="R66" s="277" t="s">
        <v>485</v>
      </c>
      <c r="S66" s="277" t="s">
        <v>477</v>
      </c>
      <c r="T66" s="355"/>
      <c r="U66" s="277" t="s">
        <v>476</v>
      </c>
      <c r="V66" s="277" t="s">
        <v>505</v>
      </c>
      <c r="W66" s="277" t="s">
        <v>506</v>
      </c>
      <c r="X66" s="277" t="s">
        <v>519</v>
      </c>
      <c r="Y66" s="355"/>
      <c r="Z66" s="277" t="s">
        <v>504</v>
      </c>
      <c r="AA66" s="277" t="s">
        <v>523</v>
      </c>
      <c r="AB66" s="277" t="s">
        <v>485</v>
      </c>
      <c r="AC66" s="277" t="s">
        <v>519</v>
      </c>
      <c r="AD66" s="355"/>
      <c r="AE66" s="277" t="s">
        <v>504</v>
      </c>
      <c r="AF66" s="277" t="s">
        <v>505</v>
      </c>
      <c r="AG66" s="277" t="s">
        <v>506</v>
      </c>
      <c r="AH66" s="277" t="s">
        <v>519</v>
      </c>
      <c r="AI66" s="355"/>
      <c r="AJ66" s="277" t="s">
        <v>504</v>
      </c>
      <c r="AK66" s="277" t="s">
        <v>505</v>
      </c>
      <c r="AL66" s="277" t="s">
        <v>524</v>
      </c>
      <c r="AM66" s="277" t="s">
        <v>499</v>
      </c>
      <c r="AN66" s="355"/>
      <c r="AO66" s="277" t="s">
        <v>504</v>
      </c>
      <c r="AP66" s="277" t="s">
        <v>505</v>
      </c>
      <c r="AQ66" s="277" t="s">
        <v>506</v>
      </c>
      <c r="AR66" s="277" t="s">
        <v>477</v>
      </c>
      <c r="AS66" s="355"/>
      <c r="AT66" s="277" t="s">
        <v>504</v>
      </c>
      <c r="AU66" s="277" t="s">
        <v>523</v>
      </c>
      <c r="AV66" s="277" t="s">
        <v>506</v>
      </c>
      <c r="AW66" s="277" t="s">
        <v>499</v>
      </c>
      <c r="AX66" s="355"/>
    </row>
    <row r="67" spans="2:50">
      <c r="B67" s="355" t="s">
        <v>511</v>
      </c>
      <c r="C67" s="278">
        <v>1</v>
      </c>
      <c r="D67" s="278" t="s">
        <v>397</v>
      </c>
      <c r="E67" s="279">
        <f>VLOOKUP(D67,'10產線配置圖'!$A$2:$C$25,2,0)</f>
        <v>13</v>
      </c>
      <c r="F67" s="279">
        <f>VLOOKUP(D67,'10產線配置圖'!$A$2:$C$25,3,0)</f>
        <v>1565</v>
      </c>
      <c r="G67" s="280">
        <f t="shared" ref="G67:G69" si="49">F67/E67</f>
        <v>120.38461538461539</v>
      </c>
      <c r="H67" s="356">
        <f>AVERAGE(G67:G81)</f>
        <v>127.07264957264958</v>
      </c>
      <c r="I67" s="279" t="e">
        <f>AVERAGE(P67,U67,Z66,AE67,AJ67,AO67,AT67)</f>
        <v>#DIV/0!</v>
      </c>
      <c r="J67" s="279" t="e">
        <f>AVERAGE(Q67,V67,AA67,AF67,AK67,AP67,AU67)</f>
        <v>#DIV/0!</v>
      </c>
      <c r="K67" s="280" t="e">
        <f>AVERAGE(R67,W67,AB67,AG67,AL67,AQ67,AV67)</f>
        <v>#DIV/0!</v>
      </c>
      <c r="L67" s="356" t="str">
        <f>IFERROR(AVERAGE(K67:K81),"-")</f>
        <v>-</v>
      </c>
      <c r="M67" s="279" t="e">
        <f>RANK(K67, K$67:$K$81)</f>
        <v>#DIV/0!</v>
      </c>
      <c r="N67" s="355"/>
      <c r="O67" s="355"/>
      <c r="P67" s="279"/>
      <c r="Q67" s="279"/>
      <c r="R67" s="280" t="e">
        <f>Q67/P67</f>
        <v>#DIV/0!</v>
      </c>
      <c r="S67" s="278" t="e">
        <f>RANK(R67,$R$67:$R$81)</f>
        <v>#DIV/0!</v>
      </c>
      <c r="T67" s="359" t="e">
        <f>AVERAGE(R67:R81)</f>
        <v>#DIV/0!</v>
      </c>
      <c r="U67" s="279"/>
      <c r="V67" s="279"/>
      <c r="W67" s="280" t="e">
        <f>V67/U67</f>
        <v>#DIV/0!</v>
      </c>
      <c r="X67" s="278" t="e">
        <f>RANK(W67,$W$67:$W$81)</f>
        <v>#DIV/0!</v>
      </c>
      <c r="Y67" s="359" t="e">
        <f>AVERAGE(W67:W81)</f>
        <v>#DIV/0!</v>
      </c>
      <c r="Z67" s="279"/>
      <c r="AA67" s="279"/>
      <c r="AB67" s="280" t="e">
        <f>AA67/Z67</f>
        <v>#DIV/0!</v>
      </c>
      <c r="AC67" s="278" t="e">
        <f>RANK(AB67, $AB$67:$AB$69)</f>
        <v>#DIV/0!</v>
      </c>
      <c r="AD67" s="359" t="e">
        <f>AVERAGE(AB67:AB81)</f>
        <v>#DIV/0!</v>
      </c>
      <c r="AE67" s="279"/>
      <c r="AF67" s="279"/>
      <c r="AG67" s="280" t="e">
        <f>AF67/AE67</f>
        <v>#DIV/0!</v>
      </c>
      <c r="AH67" s="278" t="e">
        <f>RANK(AG67, $AG$67:$AG$69)</f>
        <v>#DIV/0!</v>
      </c>
      <c r="AI67" s="359" t="e">
        <f>AVERAGE(AG67:AG81)</f>
        <v>#DIV/0!</v>
      </c>
      <c r="AJ67" s="279"/>
      <c r="AK67" s="279"/>
      <c r="AL67" s="280" t="e">
        <f>AK67/AJ67</f>
        <v>#DIV/0!</v>
      </c>
      <c r="AM67" s="278" t="e">
        <f>RANK(AL67, $AL$67:$AL$69)</f>
        <v>#DIV/0!</v>
      </c>
      <c r="AN67" s="359" t="e">
        <f>AVERAGE(AL67:AL81)</f>
        <v>#DIV/0!</v>
      </c>
      <c r="AO67" s="279"/>
      <c r="AP67" s="279"/>
      <c r="AQ67" s="280" t="e">
        <f>AP67/AO67</f>
        <v>#DIV/0!</v>
      </c>
      <c r="AR67" s="278" t="e">
        <f>RANK(AQ67, $AQ$67:$AQ$69)</f>
        <v>#DIV/0!</v>
      </c>
      <c r="AS67" s="359" t="e">
        <f>AVERAGE(AQ67:AQ81)</f>
        <v>#DIV/0!</v>
      </c>
      <c r="AT67" s="279"/>
      <c r="AU67" s="279"/>
      <c r="AV67" s="280" t="e">
        <f>AU67/AT67</f>
        <v>#DIV/0!</v>
      </c>
      <c r="AW67" s="278" t="e">
        <f>RANK(AV67, $AV$67:$AV$69)</f>
        <v>#DIV/0!</v>
      </c>
      <c r="AX67" s="359" t="e">
        <f>AVERAGE(AV67:AV81)</f>
        <v>#DIV/0!</v>
      </c>
    </row>
    <row r="68" spans="2:50">
      <c r="B68" s="346"/>
      <c r="C68" s="278">
        <v>2</v>
      </c>
      <c r="D68" s="278" t="s">
        <v>405</v>
      </c>
      <c r="E68" s="279">
        <f>VLOOKUP(D68,'10產線配置圖'!$A$2:$C$25,2,0)</f>
        <v>12</v>
      </c>
      <c r="F68" s="279">
        <f>VLOOKUP(D68,'10產線配置圖'!$A$2:$C$25,3,0)</f>
        <v>1565</v>
      </c>
      <c r="G68" s="280">
        <f t="shared" si="49"/>
        <v>130.41666666666666</v>
      </c>
      <c r="H68" s="357"/>
      <c r="I68" s="279" t="e">
        <f>AVERAGE(P68,U68,Z67,AE68,AJ68,AO68,AT68)</f>
        <v>#DIV/0!</v>
      </c>
      <c r="J68" s="279" t="e">
        <f t="shared" ref="I68:K69" si="50">AVERAGE(Q68,V68,AA68,AF68,AK68,AP68,AU68)</f>
        <v>#DIV/0!</v>
      </c>
      <c r="K68" s="280" t="e">
        <f t="shared" si="50"/>
        <v>#DIV/0!</v>
      </c>
      <c r="L68" s="357"/>
      <c r="M68" s="279" t="e">
        <f>RANK(K68, K$67:$K$81)</f>
        <v>#DIV/0!</v>
      </c>
      <c r="N68" s="355"/>
      <c r="O68" s="355"/>
      <c r="P68" s="279"/>
      <c r="Q68" s="279"/>
      <c r="R68" s="280" t="e">
        <f t="shared" ref="R68:R69" si="51">Q68/P68</f>
        <v>#DIV/0!</v>
      </c>
      <c r="S68" s="278" t="e">
        <f t="shared" ref="S68:S69" si="52">RANK(R68,$R$67:$R$81)</f>
        <v>#DIV/0!</v>
      </c>
      <c r="T68" s="359"/>
      <c r="U68" s="279"/>
      <c r="V68" s="279"/>
      <c r="W68" s="280" t="e">
        <f t="shared" ref="W68:W69" si="53">V68/U68</f>
        <v>#DIV/0!</v>
      </c>
      <c r="X68" s="278" t="e">
        <f t="shared" ref="X68:X69" si="54">RANK(W68,$W$67:$W$81)</f>
        <v>#DIV/0!</v>
      </c>
      <c r="Y68" s="359"/>
      <c r="Z68" s="279"/>
      <c r="AA68" s="279"/>
      <c r="AB68" s="280" t="e">
        <f t="shared" ref="AB68:AB69" si="55">AA68/Z68</f>
        <v>#DIV/0!</v>
      </c>
      <c r="AC68" s="278" t="e">
        <f t="shared" ref="AC68:AC69" si="56">RANK(AB68, $AB$67:$AB$69)</f>
        <v>#DIV/0!</v>
      </c>
      <c r="AD68" s="359"/>
      <c r="AE68" s="279"/>
      <c r="AF68" s="279"/>
      <c r="AG68" s="280" t="e">
        <f t="shared" ref="AG68:AG69" si="57">AF68/AE68</f>
        <v>#DIV/0!</v>
      </c>
      <c r="AH68" s="278" t="e">
        <f t="shared" ref="AH68:AH69" si="58">RANK(AG68, $AG$67:$AG$69)</f>
        <v>#DIV/0!</v>
      </c>
      <c r="AI68" s="359"/>
      <c r="AJ68" s="279"/>
      <c r="AK68" s="279"/>
      <c r="AL68" s="280" t="e">
        <f t="shared" ref="AL68:AL69" si="59">AK68/AJ68</f>
        <v>#DIV/0!</v>
      </c>
      <c r="AM68" s="278" t="e">
        <f t="shared" ref="AM68:AM69" si="60">RANK(AL68, $AL$67:$AL$69)</f>
        <v>#DIV/0!</v>
      </c>
      <c r="AN68" s="359"/>
      <c r="AO68" s="279"/>
      <c r="AP68" s="279"/>
      <c r="AQ68" s="280" t="e">
        <f t="shared" ref="AQ68:AQ69" si="61">AP68/AO68</f>
        <v>#DIV/0!</v>
      </c>
      <c r="AR68" s="278" t="e">
        <f t="shared" ref="AR68:AR69" si="62">RANK(AQ68, $AQ$67:$AQ$69)</f>
        <v>#DIV/0!</v>
      </c>
      <c r="AS68" s="359"/>
      <c r="AT68" s="279"/>
      <c r="AU68" s="279"/>
      <c r="AV68" s="280" t="e">
        <f t="shared" ref="AV68:AV69" si="63">AU68/AT68</f>
        <v>#DIV/0!</v>
      </c>
      <c r="AW68" s="278" t="e">
        <f t="shared" ref="AW68:AW69" si="64">RANK(AV68, $AV$67:$AV$69)</f>
        <v>#DIV/0!</v>
      </c>
      <c r="AX68" s="359"/>
    </row>
    <row r="69" spans="2:50">
      <c r="B69" s="346"/>
      <c r="C69" s="278">
        <v>3</v>
      </c>
      <c r="D69" s="278" t="s">
        <v>534</v>
      </c>
      <c r="E69" s="279">
        <f>VLOOKUP(D69,'10產線配置圖'!$A$2:$C$25,2,0)</f>
        <v>12</v>
      </c>
      <c r="F69" s="279">
        <f>VLOOKUP(D69,'10產線配置圖'!$A$2:$C$25,3,0)</f>
        <v>1565</v>
      </c>
      <c r="G69" s="280">
        <f t="shared" si="49"/>
        <v>130.41666666666666</v>
      </c>
      <c r="H69" s="357"/>
      <c r="I69" s="279" t="e">
        <f t="shared" si="50"/>
        <v>#DIV/0!</v>
      </c>
      <c r="J69" s="279" t="e">
        <f t="shared" si="50"/>
        <v>#DIV/0!</v>
      </c>
      <c r="K69" s="280" t="e">
        <f t="shared" si="50"/>
        <v>#DIV/0!</v>
      </c>
      <c r="L69" s="357"/>
      <c r="M69" s="279" t="e">
        <f>RANK(K69, K$67:$K$81)</f>
        <v>#DIV/0!</v>
      </c>
      <c r="N69" s="355"/>
      <c r="O69" s="355"/>
      <c r="P69" s="279"/>
      <c r="Q69" s="279"/>
      <c r="R69" s="280" t="e">
        <f t="shared" si="51"/>
        <v>#DIV/0!</v>
      </c>
      <c r="S69" s="278" t="e">
        <f t="shared" si="52"/>
        <v>#DIV/0!</v>
      </c>
      <c r="T69" s="359"/>
      <c r="U69" s="279"/>
      <c r="V69" s="279"/>
      <c r="W69" s="280" t="e">
        <f t="shared" si="53"/>
        <v>#DIV/0!</v>
      </c>
      <c r="X69" s="278" t="e">
        <f t="shared" si="54"/>
        <v>#DIV/0!</v>
      </c>
      <c r="Y69" s="359"/>
      <c r="Z69" s="279"/>
      <c r="AA69" s="279"/>
      <c r="AB69" s="280" t="e">
        <f t="shared" si="55"/>
        <v>#DIV/0!</v>
      </c>
      <c r="AC69" s="278" t="e">
        <f t="shared" si="56"/>
        <v>#DIV/0!</v>
      </c>
      <c r="AD69" s="359"/>
      <c r="AE69" s="279"/>
      <c r="AF69" s="279"/>
      <c r="AG69" s="280" t="e">
        <f t="shared" si="57"/>
        <v>#DIV/0!</v>
      </c>
      <c r="AH69" s="278" t="e">
        <f t="shared" si="58"/>
        <v>#DIV/0!</v>
      </c>
      <c r="AI69" s="359"/>
      <c r="AJ69" s="279"/>
      <c r="AK69" s="279"/>
      <c r="AL69" s="280" t="e">
        <f t="shared" si="59"/>
        <v>#DIV/0!</v>
      </c>
      <c r="AM69" s="278" t="e">
        <f t="shared" si="60"/>
        <v>#DIV/0!</v>
      </c>
      <c r="AN69" s="359"/>
      <c r="AO69" s="279"/>
      <c r="AP69" s="279"/>
      <c r="AQ69" s="280" t="e">
        <f t="shared" si="61"/>
        <v>#DIV/0!</v>
      </c>
      <c r="AR69" s="278" t="e">
        <f t="shared" si="62"/>
        <v>#DIV/0!</v>
      </c>
      <c r="AS69" s="359"/>
      <c r="AT69" s="279"/>
      <c r="AU69" s="279"/>
      <c r="AV69" s="280" t="e">
        <f t="shared" si="63"/>
        <v>#DIV/0!</v>
      </c>
      <c r="AW69" s="278" t="e">
        <f t="shared" si="64"/>
        <v>#DIV/0!</v>
      </c>
      <c r="AX69" s="359"/>
    </row>
    <row r="70" spans="2:50">
      <c r="B70" s="346"/>
      <c r="C70" s="278">
        <v>4</v>
      </c>
      <c r="D70" s="278"/>
      <c r="E70" s="279"/>
      <c r="F70" s="279"/>
      <c r="G70" s="280"/>
      <c r="H70" s="357"/>
      <c r="I70" s="279"/>
      <c r="J70" s="279"/>
      <c r="K70" s="280"/>
      <c r="L70" s="357"/>
      <c r="M70" s="279"/>
      <c r="N70" s="355"/>
      <c r="O70" s="355"/>
      <c r="P70" s="279"/>
      <c r="Q70" s="279"/>
      <c r="R70" s="278"/>
      <c r="S70" s="278"/>
      <c r="T70" s="359"/>
      <c r="U70" s="279"/>
      <c r="V70" s="279"/>
      <c r="W70" s="278"/>
      <c r="X70" s="278"/>
      <c r="Y70" s="359"/>
      <c r="Z70" s="279"/>
      <c r="AA70" s="279"/>
      <c r="AB70" s="278"/>
      <c r="AC70" s="278"/>
      <c r="AD70" s="359"/>
      <c r="AE70" s="279"/>
      <c r="AF70" s="279"/>
      <c r="AG70" s="278"/>
      <c r="AH70" s="278"/>
      <c r="AI70" s="359"/>
      <c r="AJ70" s="279"/>
      <c r="AK70" s="279"/>
      <c r="AL70" s="278"/>
      <c r="AM70" s="278"/>
      <c r="AN70" s="359"/>
      <c r="AO70" s="279"/>
      <c r="AP70" s="279"/>
      <c r="AQ70" s="278"/>
      <c r="AR70" s="278"/>
      <c r="AS70" s="359"/>
      <c r="AT70" s="279"/>
      <c r="AU70" s="279"/>
      <c r="AV70" s="278"/>
      <c r="AW70" s="278"/>
      <c r="AX70" s="359"/>
    </row>
    <row r="71" spans="2:50">
      <c r="B71" s="346"/>
      <c r="C71" s="278">
        <v>5</v>
      </c>
      <c r="D71" s="278"/>
      <c r="E71" s="279"/>
      <c r="F71" s="279"/>
      <c r="G71" s="280"/>
      <c r="H71" s="357"/>
      <c r="I71" s="279"/>
      <c r="J71" s="279"/>
      <c r="K71" s="280"/>
      <c r="L71" s="357"/>
      <c r="M71" s="279"/>
      <c r="N71" s="355"/>
      <c r="O71" s="355"/>
      <c r="P71" s="279"/>
      <c r="Q71" s="279"/>
      <c r="R71" s="278"/>
      <c r="S71" s="278"/>
      <c r="T71" s="359"/>
      <c r="U71" s="279"/>
      <c r="V71" s="279"/>
      <c r="W71" s="278"/>
      <c r="X71" s="278"/>
      <c r="Y71" s="359"/>
      <c r="Z71" s="279"/>
      <c r="AA71" s="279"/>
      <c r="AB71" s="278"/>
      <c r="AC71" s="278"/>
      <c r="AD71" s="359"/>
      <c r="AE71" s="279"/>
      <c r="AF71" s="279"/>
      <c r="AG71" s="278"/>
      <c r="AH71" s="278"/>
      <c r="AI71" s="359"/>
      <c r="AJ71" s="279"/>
      <c r="AK71" s="279"/>
      <c r="AL71" s="278"/>
      <c r="AM71" s="278"/>
      <c r="AN71" s="359"/>
      <c r="AO71" s="279"/>
      <c r="AP71" s="279"/>
      <c r="AQ71" s="278"/>
      <c r="AR71" s="278"/>
      <c r="AS71" s="359"/>
      <c r="AT71" s="279"/>
      <c r="AU71" s="279"/>
      <c r="AV71" s="278"/>
      <c r="AW71" s="278"/>
      <c r="AX71" s="359"/>
    </row>
    <row r="72" spans="2:50">
      <c r="B72" s="346"/>
      <c r="C72" s="278">
        <v>6</v>
      </c>
      <c r="D72" s="278"/>
      <c r="E72" s="279"/>
      <c r="F72" s="279"/>
      <c r="G72" s="280"/>
      <c r="H72" s="357"/>
      <c r="I72" s="279"/>
      <c r="J72" s="279"/>
      <c r="K72" s="280"/>
      <c r="L72" s="357"/>
      <c r="M72" s="279"/>
      <c r="N72" s="355"/>
      <c r="O72" s="355"/>
      <c r="P72" s="279"/>
      <c r="Q72" s="279"/>
      <c r="R72" s="278"/>
      <c r="S72" s="278"/>
      <c r="T72" s="359"/>
      <c r="U72" s="279"/>
      <c r="V72" s="279"/>
      <c r="W72" s="278"/>
      <c r="X72" s="278"/>
      <c r="Y72" s="359"/>
      <c r="Z72" s="279"/>
      <c r="AA72" s="279"/>
      <c r="AB72" s="278"/>
      <c r="AC72" s="278"/>
      <c r="AD72" s="359"/>
      <c r="AE72" s="279"/>
      <c r="AF72" s="279"/>
      <c r="AG72" s="278"/>
      <c r="AH72" s="278"/>
      <c r="AI72" s="359"/>
      <c r="AJ72" s="279"/>
      <c r="AK72" s="279"/>
      <c r="AL72" s="278"/>
      <c r="AM72" s="278"/>
      <c r="AN72" s="359"/>
      <c r="AO72" s="279"/>
      <c r="AP72" s="279"/>
      <c r="AQ72" s="278"/>
      <c r="AR72" s="278"/>
      <c r="AS72" s="359"/>
      <c r="AT72" s="279"/>
      <c r="AU72" s="279"/>
      <c r="AV72" s="278"/>
      <c r="AW72" s="278"/>
      <c r="AX72" s="359"/>
    </row>
    <row r="73" spans="2:50">
      <c r="B73" s="346"/>
      <c r="C73" s="278">
        <v>7</v>
      </c>
      <c r="D73" s="278"/>
      <c r="E73" s="279"/>
      <c r="F73" s="279"/>
      <c r="G73" s="280"/>
      <c r="H73" s="357"/>
      <c r="I73" s="279"/>
      <c r="J73" s="279"/>
      <c r="K73" s="280"/>
      <c r="L73" s="357"/>
      <c r="M73" s="279"/>
      <c r="N73" s="355"/>
      <c r="O73" s="355"/>
      <c r="P73" s="279"/>
      <c r="Q73" s="279"/>
      <c r="R73" s="278"/>
      <c r="S73" s="278"/>
      <c r="T73" s="359"/>
      <c r="U73" s="279"/>
      <c r="V73" s="279"/>
      <c r="W73" s="278"/>
      <c r="X73" s="278"/>
      <c r="Y73" s="359"/>
      <c r="Z73" s="279"/>
      <c r="AA73" s="279"/>
      <c r="AB73" s="278"/>
      <c r="AC73" s="278"/>
      <c r="AD73" s="359"/>
      <c r="AE73" s="279"/>
      <c r="AF73" s="279"/>
      <c r="AG73" s="278"/>
      <c r="AH73" s="278"/>
      <c r="AI73" s="359"/>
      <c r="AJ73" s="279"/>
      <c r="AK73" s="279"/>
      <c r="AL73" s="278"/>
      <c r="AM73" s="278"/>
      <c r="AN73" s="359"/>
      <c r="AO73" s="279"/>
      <c r="AP73" s="279"/>
      <c r="AQ73" s="278"/>
      <c r="AR73" s="278"/>
      <c r="AS73" s="359"/>
      <c r="AT73" s="279"/>
      <c r="AU73" s="279"/>
      <c r="AV73" s="278"/>
      <c r="AW73" s="278"/>
      <c r="AX73" s="359"/>
    </row>
    <row r="74" spans="2:50">
      <c r="B74" s="346"/>
      <c r="C74" s="278">
        <v>8</v>
      </c>
      <c r="D74" s="278"/>
      <c r="E74" s="278"/>
      <c r="F74" s="278"/>
      <c r="G74" s="278"/>
      <c r="H74" s="357"/>
      <c r="I74" s="279"/>
      <c r="J74" s="279"/>
      <c r="K74" s="280"/>
      <c r="L74" s="357"/>
      <c r="M74" s="279"/>
      <c r="N74" s="355"/>
      <c r="O74" s="355"/>
      <c r="P74" s="279"/>
      <c r="Q74" s="279"/>
      <c r="R74" s="278"/>
      <c r="S74" s="278"/>
      <c r="T74" s="359"/>
      <c r="U74" s="279"/>
      <c r="V74" s="279"/>
      <c r="W74" s="278"/>
      <c r="X74" s="278"/>
      <c r="Y74" s="359"/>
      <c r="Z74" s="279"/>
      <c r="AA74" s="279"/>
      <c r="AB74" s="278"/>
      <c r="AC74" s="278"/>
      <c r="AD74" s="359"/>
      <c r="AE74" s="279"/>
      <c r="AF74" s="279"/>
      <c r="AG74" s="278"/>
      <c r="AH74" s="278"/>
      <c r="AI74" s="359"/>
      <c r="AJ74" s="279"/>
      <c r="AK74" s="279"/>
      <c r="AL74" s="278"/>
      <c r="AM74" s="278"/>
      <c r="AN74" s="359"/>
      <c r="AO74" s="279"/>
      <c r="AP74" s="279"/>
      <c r="AQ74" s="278"/>
      <c r="AR74" s="278"/>
      <c r="AS74" s="359"/>
      <c r="AT74" s="279"/>
      <c r="AU74" s="279"/>
      <c r="AV74" s="278"/>
      <c r="AW74" s="278"/>
      <c r="AX74" s="359"/>
    </row>
    <row r="75" spans="2:50">
      <c r="B75" s="346"/>
      <c r="C75" s="278">
        <v>9</v>
      </c>
      <c r="D75" s="278"/>
      <c r="E75" s="278"/>
      <c r="F75" s="278"/>
      <c r="G75" s="278"/>
      <c r="H75" s="357"/>
      <c r="I75" s="279"/>
      <c r="J75" s="279"/>
      <c r="K75" s="280"/>
      <c r="L75" s="357"/>
      <c r="M75" s="279"/>
      <c r="N75" s="355"/>
      <c r="O75" s="355"/>
      <c r="P75" s="279"/>
      <c r="Q75" s="279"/>
      <c r="R75" s="278"/>
      <c r="S75" s="278"/>
      <c r="T75" s="359"/>
      <c r="U75" s="279"/>
      <c r="V75" s="279"/>
      <c r="W75" s="278"/>
      <c r="X75" s="278"/>
      <c r="Y75" s="359"/>
      <c r="Z75" s="279"/>
      <c r="AA75" s="279"/>
      <c r="AB75" s="278"/>
      <c r="AC75" s="278"/>
      <c r="AD75" s="359"/>
      <c r="AE75" s="279"/>
      <c r="AF75" s="279"/>
      <c r="AG75" s="278"/>
      <c r="AH75" s="278"/>
      <c r="AI75" s="359"/>
      <c r="AJ75" s="279"/>
      <c r="AK75" s="279"/>
      <c r="AL75" s="278"/>
      <c r="AM75" s="278"/>
      <c r="AN75" s="359"/>
      <c r="AO75" s="279"/>
      <c r="AP75" s="279"/>
      <c r="AQ75" s="278"/>
      <c r="AR75" s="278"/>
      <c r="AS75" s="359"/>
      <c r="AT75" s="279"/>
      <c r="AU75" s="279"/>
      <c r="AV75" s="278"/>
      <c r="AW75" s="278"/>
      <c r="AX75" s="359"/>
    </row>
    <row r="76" spans="2:50">
      <c r="B76" s="346"/>
      <c r="C76" s="278">
        <v>10</v>
      </c>
      <c r="D76" s="278"/>
      <c r="E76" s="278"/>
      <c r="F76" s="278"/>
      <c r="G76" s="278"/>
      <c r="H76" s="357"/>
      <c r="I76" s="279"/>
      <c r="J76" s="279"/>
      <c r="K76" s="280"/>
      <c r="L76" s="357"/>
      <c r="M76" s="279"/>
      <c r="N76" s="355"/>
      <c r="O76" s="355"/>
      <c r="P76" s="279"/>
      <c r="Q76" s="279"/>
      <c r="R76" s="278"/>
      <c r="S76" s="278"/>
      <c r="T76" s="359"/>
      <c r="U76" s="279"/>
      <c r="V76" s="279"/>
      <c r="W76" s="278"/>
      <c r="X76" s="278"/>
      <c r="Y76" s="359"/>
      <c r="Z76" s="279"/>
      <c r="AA76" s="279"/>
      <c r="AB76" s="278"/>
      <c r="AC76" s="278"/>
      <c r="AD76" s="359"/>
      <c r="AE76" s="279"/>
      <c r="AF76" s="279"/>
      <c r="AG76" s="278"/>
      <c r="AH76" s="278"/>
      <c r="AI76" s="359"/>
      <c r="AJ76" s="279"/>
      <c r="AK76" s="279"/>
      <c r="AL76" s="278"/>
      <c r="AM76" s="278"/>
      <c r="AN76" s="359"/>
      <c r="AO76" s="279"/>
      <c r="AP76" s="279"/>
      <c r="AQ76" s="278"/>
      <c r="AR76" s="278"/>
      <c r="AS76" s="359"/>
      <c r="AT76" s="279"/>
      <c r="AU76" s="279"/>
      <c r="AV76" s="278"/>
      <c r="AW76" s="278"/>
      <c r="AX76" s="359"/>
    </row>
    <row r="77" spans="2:50">
      <c r="B77" s="346"/>
      <c r="C77" s="278">
        <v>11</v>
      </c>
      <c r="D77" s="278"/>
      <c r="E77" s="278"/>
      <c r="F77" s="278"/>
      <c r="G77" s="278"/>
      <c r="H77" s="357"/>
      <c r="I77" s="279"/>
      <c r="J77" s="279"/>
      <c r="K77" s="280"/>
      <c r="L77" s="357"/>
      <c r="M77" s="279"/>
      <c r="N77" s="355"/>
      <c r="O77" s="355"/>
      <c r="P77" s="278"/>
      <c r="Q77" s="278"/>
      <c r="R77" s="278"/>
      <c r="S77" s="278"/>
      <c r="T77" s="359"/>
      <c r="U77" s="278"/>
      <c r="V77" s="278"/>
      <c r="W77" s="278"/>
      <c r="X77" s="278"/>
      <c r="Y77" s="359"/>
      <c r="Z77" s="278"/>
      <c r="AA77" s="278"/>
      <c r="AB77" s="278"/>
      <c r="AC77" s="278"/>
      <c r="AD77" s="359"/>
      <c r="AE77" s="278"/>
      <c r="AF77" s="278"/>
      <c r="AG77" s="278"/>
      <c r="AH77" s="278"/>
      <c r="AI77" s="359"/>
      <c r="AJ77" s="278"/>
      <c r="AK77" s="278"/>
      <c r="AL77" s="278"/>
      <c r="AM77" s="278"/>
      <c r="AN77" s="359"/>
      <c r="AO77" s="278"/>
      <c r="AP77" s="278"/>
      <c r="AQ77" s="278"/>
      <c r="AR77" s="278"/>
      <c r="AS77" s="359"/>
      <c r="AT77" s="278"/>
      <c r="AU77" s="278"/>
      <c r="AV77" s="278"/>
      <c r="AW77" s="278"/>
      <c r="AX77" s="359"/>
    </row>
    <row r="78" spans="2:50">
      <c r="B78" s="346"/>
      <c r="C78" s="278">
        <v>12</v>
      </c>
      <c r="D78" s="278"/>
      <c r="E78" s="278"/>
      <c r="F78" s="278"/>
      <c r="G78" s="278"/>
      <c r="H78" s="357"/>
      <c r="I78" s="279"/>
      <c r="J78" s="279"/>
      <c r="K78" s="280"/>
      <c r="L78" s="357"/>
      <c r="M78" s="279"/>
      <c r="N78" s="355"/>
      <c r="O78" s="355"/>
      <c r="P78" s="278"/>
      <c r="Q78" s="278"/>
      <c r="R78" s="278"/>
      <c r="S78" s="278"/>
      <c r="T78" s="359"/>
      <c r="U78" s="278"/>
      <c r="V78" s="278"/>
      <c r="W78" s="278"/>
      <c r="X78" s="278"/>
      <c r="Y78" s="359"/>
      <c r="Z78" s="278"/>
      <c r="AA78" s="278"/>
      <c r="AB78" s="278"/>
      <c r="AC78" s="278"/>
      <c r="AD78" s="359"/>
      <c r="AE78" s="278"/>
      <c r="AF78" s="278"/>
      <c r="AG78" s="278"/>
      <c r="AH78" s="278"/>
      <c r="AI78" s="359"/>
      <c r="AJ78" s="278"/>
      <c r="AK78" s="278"/>
      <c r="AL78" s="278"/>
      <c r="AM78" s="278"/>
      <c r="AN78" s="359"/>
      <c r="AO78" s="278"/>
      <c r="AP78" s="278"/>
      <c r="AQ78" s="278"/>
      <c r="AR78" s="278"/>
      <c r="AS78" s="359"/>
      <c r="AT78" s="278"/>
      <c r="AU78" s="278"/>
      <c r="AV78" s="278"/>
      <c r="AW78" s="278"/>
      <c r="AX78" s="359"/>
    </row>
    <row r="79" spans="2:50">
      <c r="B79" s="346"/>
      <c r="C79" s="278">
        <v>13</v>
      </c>
      <c r="D79" s="278"/>
      <c r="E79" s="278"/>
      <c r="F79" s="278"/>
      <c r="G79" s="278"/>
      <c r="H79" s="357"/>
      <c r="I79" s="279"/>
      <c r="J79" s="279"/>
      <c r="K79" s="280"/>
      <c r="L79" s="357"/>
      <c r="M79" s="279"/>
      <c r="N79" s="355"/>
      <c r="O79" s="355"/>
      <c r="P79" s="278"/>
      <c r="Q79" s="278"/>
      <c r="R79" s="278"/>
      <c r="S79" s="278"/>
      <c r="T79" s="359"/>
      <c r="U79" s="278"/>
      <c r="V79" s="278"/>
      <c r="W79" s="278"/>
      <c r="X79" s="278"/>
      <c r="Y79" s="359"/>
      <c r="Z79" s="278"/>
      <c r="AA79" s="278"/>
      <c r="AB79" s="278"/>
      <c r="AC79" s="278"/>
      <c r="AD79" s="359"/>
      <c r="AE79" s="278"/>
      <c r="AF79" s="278"/>
      <c r="AG79" s="278"/>
      <c r="AH79" s="278"/>
      <c r="AI79" s="359"/>
      <c r="AJ79" s="278"/>
      <c r="AK79" s="278"/>
      <c r="AL79" s="278"/>
      <c r="AM79" s="278"/>
      <c r="AN79" s="359"/>
      <c r="AO79" s="278"/>
      <c r="AP79" s="278"/>
      <c r="AQ79" s="278"/>
      <c r="AR79" s="278"/>
      <c r="AS79" s="359"/>
      <c r="AT79" s="278"/>
      <c r="AU79" s="278"/>
      <c r="AV79" s="278"/>
      <c r="AW79" s="278"/>
      <c r="AX79" s="359"/>
    </row>
    <row r="80" spans="2:50">
      <c r="B80" s="346"/>
      <c r="C80" s="278">
        <v>14</v>
      </c>
      <c r="D80" s="278"/>
      <c r="E80" s="278"/>
      <c r="F80" s="278"/>
      <c r="G80" s="278"/>
      <c r="H80" s="357"/>
      <c r="I80" s="279"/>
      <c r="J80" s="279"/>
      <c r="K80" s="280"/>
      <c r="L80" s="357"/>
      <c r="M80" s="279"/>
      <c r="N80" s="355"/>
      <c r="O80" s="355"/>
      <c r="P80" s="278"/>
      <c r="Q80" s="278"/>
      <c r="R80" s="278"/>
      <c r="S80" s="278"/>
      <c r="T80" s="359"/>
      <c r="U80" s="278"/>
      <c r="V80" s="278"/>
      <c r="W80" s="278"/>
      <c r="X80" s="278"/>
      <c r="Y80" s="359"/>
      <c r="Z80" s="278"/>
      <c r="AA80" s="278"/>
      <c r="AB80" s="278"/>
      <c r="AC80" s="278"/>
      <c r="AD80" s="359"/>
      <c r="AE80" s="278"/>
      <c r="AF80" s="278"/>
      <c r="AG80" s="278"/>
      <c r="AH80" s="278"/>
      <c r="AI80" s="359"/>
      <c r="AJ80" s="278"/>
      <c r="AK80" s="278"/>
      <c r="AL80" s="278"/>
      <c r="AM80" s="278"/>
      <c r="AN80" s="359"/>
      <c r="AO80" s="278"/>
      <c r="AP80" s="278"/>
      <c r="AQ80" s="278"/>
      <c r="AR80" s="278"/>
      <c r="AS80" s="359"/>
      <c r="AT80" s="278"/>
      <c r="AU80" s="278"/>
      <c r="AV80" s="278"/>
      <c r="AW80" s="278"/>
      <c r="AX80" s="359"/>
    </row>
    <row r="81" spans="2:50">
      <c r="B81" s="346"/>
      <c r="C81" s="278">
        <v>15</v>
      </c>
      <c r="D81" s="278"/>
      <c r="E81" s="278"/>
      <c r="F81" s="278"/>
      <c r="G81" s="278"/>
      <c r="H81" s="358"/>
      <c r="I81" s="279"/>
      <c r="J81" s="279"/>
      <c r="K81" s="280"/>
      <c r="L81" s="358"/>
      <c r="M81" s="279"/>
      <c r="N81" s="355"/>
      <c r="O81" s="355"/>
      <c r="P81" s="278"/>
      <c r="Q81" s="278"/>
      <c r="R81" s="278"/>
      <c r="S81" s="278"/>
      <c r="T81" s="359"/>
      <c r="U81" s="278"/>
      <c r="V81" s="278"/>
      <c r="W81" s="278"/>
      <c r="X81" s="278"/>
      <c r="Y81" s="359"/>
      <c r="Z81" s="278"/>
      <c r="AA81" s="278"/>
      <c r="AB81" s="278"/>
      <c r="AC81" s="278"/>
      <c r="AD81" s="359"/>
      <c r="AE81" s="278"/>
      <c r="AF81" s="278"/>
      <c r="AG81" s="278"/>
      <c r="AH81" s="278"/>
      <c r="AI81" s="359"/>
      <c r="AJ81" s="278"/>
      <c r="AK81" s="278"/>
      <c r="AL81" s="278"/>
      <c r="AM81" s="278"/>
      <c r="AN81" s="359"/>
      <c r="AO81" s="278"/>
      <c r="AP81" s="278"/>
      <c r="AQ81" s="278"/>
      <c r="AR81" s="278"/>
      <c r="AS81" s="359"/>
      <c r="AT81" s="278"/>
      <c r="AU81" s="278"/>
      <c r="AV81" s="278"/>
      <c r="AW81" s="278"/>
      <c r="AX81" s="359"/>
    </row>
    <row r="82" spans="2:50" ht="15.75">
      <c r="B82" s="367" t="s">
        <v>508</v>
      </c>
      <c r="C82" s="348"/>
      <c r="D82" s="348"/>
      <c r="E82" s="348"/>
      <c r="F82" s="348"/>
      <c r="G82" s="348"/>
      <c r="H82" s="348"/>
      <c r="I82" s="283"/>
      <c r="J82" s="283"/>
      <c r="K82" s="283"/>
      <c r="L82" s="283"/>
      <c r="M82" s="284"/>
      <c r="N82" s="350" t="s">
        <v>492</v>
      </c>
      <c r="O82" s="350" t="s">
        <v>515</v>
      </c>
      <c r="P82" s="345">
        <v>45958</v>
      </c>
      <c r="Q82" s="346"/>
      <c r="R82" s="346"/>
      <c r="S82" s="346"/>
      <c r="T82" s="346"/>
      <c r="U82" s="345">
        <v>45959</v>
      </c>
      <c r="V82" s="346"/>
      <c r="W82" s="346"/>
      <c r="X82" s="346"/>
      <c r="Y82" s="346"/>
      <c r="Z82" s="345">
        <v>45960</v>
      </c>
      <c r="AA82" s="346"/>
      <c r="AB82" s="346"/>
      <c r="AC82" s="346"/>
      <c r="AD82" s="346"/>
      <c r="AE82" s="345">
        <v>45961</v>
      </c>
      <c r="AF82" s="346"/>
      <c r="AG82" s="346"/>
      <c r="AH82" s="346"/>
      <c r="AI82" s="346"/>
      <c r="AJ82" s="345"/>
      <c r="AK82" s="346"/>
      <c r="AL82" s="346"/>
      <c r="AM82" s="346"/>
      <c r="AN82" s="346"/>
      <c r="AO82" s="345"/>
      <c r="AP82" s="346"/>
      <c r="AQ82" s="346"/>
      <c r="AR82" s="346"/>
      <c r="AS82" s="346"/>
      <c r="AT82" s="345"/>
      <c r="AU82" s="346"/>
      <c r="AV82" s="346"/>
      <c r="AW82" s="346"/>
      <c r="AX82" s="346"/>
    </row>
    <row r="83" spans="2:50" ht="15.75">
      <c r="B83" s="349"/>
      <c r="C83" s="349"/>
      <c r="D83" s="349"/>
      <c r="E83" s="349"/>
      <c r="F83" s="349"/>
      <c r="G83" s="349"/>
      <c r="H83" s="349"/>
      <c r="I83" s="274"/>
      <c r="J83" s="274"/>
      <c r="K83" s="274"/>
      <c r="L83" s="274"/>
      <c r="M83" s="275"/>
      <c r="N83" s="351"/>
      <c r="O83" s="351"/>
      <c r="P83" s="345" t="s">
        <v>513</v>
      </c>
      <c r="Q83" s="346"/>
      <c r="R83" s="346"/>
      <c r="S83" s="346"/>
      <c r="T83" s="346"/>
      <c r="U83" s="345" t="s">
        <v>493</v>
      </c>
      <c r="V83" s="346"/>
      <c r="W83" s="346"/>
      <c r="X83" s="346"/>
      <c r="Y83" s="346"/>
      <c r="Z83" s="345" t="s">
        <v>494</v>
      </c>
      <c r="AA83" s="346"/>
      <c r="AB83" s="346"/>
      <c r="AC83" s="346"/>
      <c r="AD83" s="346"/>
      <c r="AE83" s="345" t="s">
        <v>488</v>
      </c>
      <c r="AF83" s="346"/>
      <c r="AG83" s="346"/>
      <c r="AH83" s="346"/>
      <c r="AI83" s="346"/>
      <c r="AJ83" s="345" t="s">
        <v>496</v>
      </c>
      <c r="AK83" s="346"/>
      <c r="AL83" s="346"/>
      <c r="AM83" s="346"/>
      <c r="AN83" s="346"/>
      <c r="AO83" s="345" t="s">
        <v>509</v>
      </c>
      <c r="AP83" s="346"/>
      <c r="AQ83" s="346"/>
      <c r="AR83" s="346"/>
      <c r="AS83" s="346"/>
      <c r="AT83" s="345" t="s">
        <v>497</v>
      </c>
      <c r="AU83" s="346"/>
      <c r="AV83" s="346"/>
      <c r="AW83" s="346"/>
      <c r="AX83" s="346"/>
    </row>
    <row r="84" spans="2:50">
      <c r="B84" s="355" t="s">
        <v>510</v>
      </c>
      <c r="C84" s="355" t="s">
        <v>490</v>
      </c>
      <c r="D84" s="355"/>
      <c r="E84" s="355" t="s">
        <v>482</v>
      </c>
      <c r="F84" s="355"/>
      <c r="G84" s="355"/>
      <c r="H84" s="361" t="s">
        <v>500</v>
      </c>
      <c r="I84" s="355" t="s">
        <v>498</v>
      </c>
      <c r="J84" s="355"/>
      <c r="K84" s="355"/>
      <c r="L84" s="361" t="s">
        <v>468</v>
      </c>
      <c r="M84" s="350" t="s">
        <v>477</v>
      </c>
      <c r="N84" s="355"/>
      <c r="O84" s="355" t="s">
        <v>483</v>
      </c>
      <c r="P84" s="352" t="s">
        <v>467</v>
      </c>
      <c r="Q84" s="353"/>
      <c r="R84" s="353"/>
      <c r="S84" s="354"/>
      <c r="T84" s="355" t="s">
        <v>468</v>
      </c>
      <c r="U84" s="352" t="s">
        <v>467</v>
      </c>
      <c r="V84" s="353"/>
      <c r="W84" s="353"/>
      <c r="X84" s="354"/>
      <c r="Y84" s="355" t="s">
        <v>500</v>
      </c>
      <c r="Z84" s="352" t="s">
        <v>467</v>
      </c>
      <c r="AA84" s="353"/>
      <c r="AB84" s="353"/>
      <c r="AC84" s="354"/>
      <c r="AD84" s="355" t="s">
        <v>468</v>
      </c>
      <c r="AE84" s="352" t="s">
        <v>467</v>
      </c>
      <c r="AF84" s="353"/>
      <c r="AG84" s="353"/>
      <c r="AH84" s="354"/>
      <c r="AI84" s="355" t="s">
        <v>500</v>
      </c>
      <c r="AJ84" s="352" t="s">
        <v>501</v>
      </c>
      <c r="AK84" s="353"/>
      <c r="AL84" s="353"/>
      <c r="AM84" s="354"/>
      <c r="AN84" s="355" t="s">
        <v>468</v>
      </c>
      <c r="AO84" s="352" t="s">
        <v>467</v>
      </c>
      <c r="AP84" s="353"/>
      <c r="AQ84" s="353"/>
      <c r="AR84" s="354"/>
      <c r="AS84" s="355" t="s">
        <v>468</v>
      </c>
      <c r="AT84" s="352" t="s">
        <v>467</v>
      </c>
      <c r="AU84" s="353"/>
      <c r="AV84" s="353"/>
      <c r="AW84" s="354"/>
      <c r="AX84" s="355" t="s">
        <v>468</v>
      </c>
    </row>
    <row r="85" spans="2:50">
      <c r="B85" s="355"/>
      <c r="C85" s="355"/>
      <c r="D85" s="355"/>
      <c r="E85" s="355" t="s">
        <v>484</v>
      </c>
      <c r="F85" s="355"/>
      <c r="G85" s="355"/>
      <c r="H85" s="362"/>
      <c r="I85" s="355" t="s">
        <v>502</v>
      </c>
      <c r="J85" s="355"/>
      <c r="K85" s="355"/>
      <c r="L85" s="362"/>
      <c r="M85" s="364"/>
      <c r="N85" s="355"/>
      <c r="O85" s="355"/>
      <c r="P85" s="352" t="s">
        <v>503</v>
      </c>
      <c r="Q85" s="353"/>
      <c r="R85" s="353"/>
      <c r="S85" s="354"/>
      <c r="T85" s="355"/>
      <c r="U85" s="352" t="s">
        <v>503</v>
      </c>
      <c r="V85" s="353"/>
      <c r="W85" s="353"/>
      <c r="X85" s="354"/>
      <c r="Y85" s="355"/>
      <c r="Z85" s="352" t="s">
        <v>471</v>
      </c>
      <c r="AA85" s="353"/>
      <c r="AB85" s="353"/>
      <c r="AC85" s="354"/>
      <c r="AD85" s="355"/>
      <c r="AE85" s="352" t="s">
        <v>471</v>
      </c>
      <c r="AF85" s="353"/>
      <c r="AG85" s="353"/>
      <c r="AH85" s="354"/>
      <c r="AI85" s="355"/>
      <c r="AJ85" s="352" t="s">
        <v>503</v>
      </c>
      <c r="AK85" s="353"/>
      <c r="AL85" s="353"/>
      <c r="AM85" s="354"/>
      <c r="AN85" s="355"/>
      <c r="AO85" s="352" t="s">
        <v>471</v>
      </c>
      <c r="AP85" s="353"/>
      <c r="AQ85" s="353"/>
      <c r="AR85" s="354"/>
      <c r="AS85" s="355"/>
      <c r="AT85" s="352" t="s">
        <v>503</v>
      </c>
      <c r="AU85" s="353"/>
      <c r="AV85" s="353"/>
      <c r="AW85" s="354"/>
      <c r="AX85" s="355"/>
    </row>
    <row r="86" spans="2:50">
      <c r="B86" s="355"/>
      <c r="C86" s="355"/>
      <c r="D86" s="355"/>
      <c r="E86" s="277" t="s">
        <v>525</v>
      </c>
      <c r="F86" s="277" t="s">
        <v>505</v>
      </c>
      <c r="G86" s="277" t="s">
        <v>485</v>
      </c>
      <c r="H86" s="363"/>
      <c r="I86" s="277" t="s">
        <v>476</v>
      </c>
      <c r="J86" s="277" t="s">
        <v>505</v>
      </c>
      <c r="K86" s="277" t="s">
        <v>506</v>
      </c>
      <c r="L86" s="363"/>
      <c r="M86" s="351"/>
      <c r="N86" s="355"/>
      <c r="O86" s="355"/>
      <c r="P86" s="277" t="s">
        <v>525</v>
      </c>
      <c r="Q86" s="277" t="s">
        <v>505</v>
      </c>
      <c r="R86" s="277" t="s">
        <v>485</v>
      </c>
      <c r="S86" s="277" t="s">
        <v>477</v>
      </c>
      <c r="T86" s="355"/>
      <c r="U86" s="277" t="s">
        <v>476</v>
      </c>
      <c r="V86" s="277" t="s">
        <v>475</v>
      </c>
      <c r="W86" s="277" t="s">
        <v>506</v>
      </c>
      <c r="X86" s="277" t="s">
        <v>477</v>
      </c>
      <c r="Y86" s="355"/>
      <c r="Z86" s="277" t="s">
        <v>504</v>
      </c>
      <c r="AA86" s="277" t="s">
        <v>475</v>
      </c>
      <c r="AB86" s="277" t="s">
        <v>485</v>
      </c>
      <c r="AC86" s="277" t="s">
        <v>477</v>
      </c>
      <c r="AD86" s="355"/>
      <c r="AE86" s="277" t="s">
        <v>476</v>
      </c>
      <c r="AF86" s="277" t="s">
        <v>505</v>
      </c>
      <c r="AG86" s="277" t="s">
        <v>506</v>
      </c>
      <c r="AH86" s="277" t="s">
        <v>477</v>
      </c>
      <c r="AI86" s="355"/>
      <c r="AJ86" s="277" t="s">
        <v>504</v>
      </c>
      <c r="AK86" s="277" t="s">
        <v>505</v>
      </c>
      <c r="AL86" s="277" t="s">
        <v>506</v>
      </c>
      <c r="AM86" s="277" t="s">
        <v>477</v>
      </c>
      <c r="AN86" s="355"/>
      <c r="AO86" s="277" t="s">
        <v>476</v>
      </c>
      <c r="AP86" s="277" t="s">
        <v>475</v>
      </c>
      <c r="AQ86" s="277" t="s">
        <v>506</v>
      </c>
      <c r="AR86" s="277" t="s">
        <v>499</v>
      </c>
      <c r="AS86" s="355"/>
      <c r="AT86" s="277" t="s">
        <v>525</v>
      </c>
      <c r="AU86" s="277" t="s">
        <v>475</v>
      </c>
      <c r="AV86" s="277" t="s">
        <v>506</v>
      </c>
      <c r="AW86" s="277" t="s">
        <v>477</v>
      </c>
      <c r="AX86" s="355"/>
    </row>
    <row r="87" spans="2:50">
      <c r="B87" s="355" t="s">
        <v>507</v>
      </c>
      <c r="C87" s="278">
        <v>1</v>
      </c>
      <c r="D87" s="278" t="s">
        <v>397</v>
      </c>
      <c r="E87" s="279">
        <f>VLOOKUP(D87,'10產線配置圖'!$A$2:$C$25,2,0)</f>
        <v>13</v>
      </c>
      <c r="F87" s="279">
        <f>VLOOKUP(D87,'10產線配置圖'!$A$2:$C$25,3,0)</f>
        <v>1565</v>
      </c>
      <c r="G87" s="280">
        <f t="shared" ref="G87:G89" si="65">F87/E87</f>
        <v>120.38461538461539</v>
      </c>
      <c r="H87" s="356">
        <f>AVERAGE(G87:G101)</f>
        <v>127.07264957264958</v>
      </c>
      <c r="I87" s="279" t="e">
        <f>AVERAGE(P87,U87,Z87,AE87,AJ87,AO87,AT87)</f>
        <v>#DIV/0!</v>
      </c>
      <c r="J87" s="279" t="e">
        <f>AVERAGE(Q87,V87,AA87,AF87,AK87,AP87,AU87)</f>
        <v>#DIV/0!</v>
      </c>
      <c r="K87" s="280" t="e">
        <f>AVERAGE(R87,W87,AB87,AG87,AL87,AQ87,AV87)</f>
        <v>#DIV/0!</v>
      </c>
      <c r="L87" s="356" t="str">
        <f>IFERROR(AVERAGE(K87:K101),"-")</f>
        <v>-</v>
      </c>
      <c r="M87" s="279" t="e">
        <f>RANK(K87, K$87:$K$101)</f>
        <v>#DIV/0!</v>
      </c>
      <c r="N87" s="355"/>
      <c r="O87" s="355"/>
      <c r="P87" s="279"/>
      <c r="Q87" s="279"/>
      <c r="R87" s="280" t="e">
        <f>Q87/P87</f>
        <v>#DIV/0!</v>
      </c>
      <c r="S87" s="278" t="e">
        <f>RANK(R87,$R$87:$R$101)</f>
        <v>#DIV/0!</v>
      </c>
      <c r="T87" s="359" t="e">
        <f>AVERAGE(R87:R101)</f>
        <v>#DIV/0!</v>
      </c>
      <c r="U87" s="279"/>
      <c r="V87" s="279"/>
      <c r="W87" s="280" t="e">
        <f>V87/U87</f>
        <v>#DIV/0!</v>
      </c>
      <c r="X87" s="278" t="e">
        <f>RANK(W87,$W$87:$W$90)</f>
        <v>#DIV/0!</v>
      </c>
      <c r="Y87" s="359" t="e">
        <f>AVERAGE(W87:W101)</f>
        <v>#DIV/0!</v>
      </c>
      <c r="Z87" s="279"/>
      <c r="AA87" s="279"/>
      <c r="AB87" s="280" t="e">
        <f>AA87/Z87</f>
        <v>#DIV/0!</v>
      </c>
      <c r="AC87" s="278" t="e">
        <f>RANK(AB87,$AB$87:$AB$101)</f>
        <v>#DIV/0!</v>
      </c>
      <c r="AD87" s="359" t="e">
        <f>AVERAGE(AB87:AB101)</f>
        <v>#DIV/0!</v>
      </c>
      <c r="AE87" s="279"/>
      <c r="AF87" s="279"/>
      <c r="AG87" s="280" t="e">
        <f>AF87/AE87</f>
        <v>#DIV/0!</v>
      </c>
      <c r="AH87" s="278" t="e">
        <f>RANK(AG87,$AG$87:$AG$101)</f>
        <v>#DIV/0!</v>
      </c>
      <c r="AI87" s="359" t="e">
        <f>AVERAGE(AG87:AG101)</f>
        <v>#DIV/0!</v>
      </c>
      <c r="AJ87" s="279"/>
      <c r="AK87" s="279"/>
      <c r="AL87" s="280" t="e">
        <f>AK87/AJ87</f>
        <v>#DIV/0!</v>
      </c>
      <c r="AM87" s="278" t="e">
        <f>RANK(AL87,$AL$87:$AL$90)</f>
        <v>#DIV/0!</v>
      </c>
      <c r="AN87" s="359" t="e">
        <f>AVERAGE(AL87:AL101)</f>
        <v>#DIV/0!</v>
      </c>
      <c r="AO87" s="278"/>
      <c r="AP87" s="278"/>
      <c r="AQ87" s="280" t="e">
        <f>AP87/AO87</f>
        <v>#DIV/0!</v>
      </c>
      <c r="AR87" s="278" t="e">
        <f>RANK(AQ87,$AQ$87:$AQ$101)</f>
        <v>#DIV/0!</v>
      </c>
      <c r="AS87" s="359" t="e">
        <f>AVERAGE(AQ87:AQ101)</f>
        <v>#DIV/0!</v>
      </c>
      <c r="AT87" s="278"/>
      <c r="AU87" s="278"/>
      <c r="AV87" s="280" t="e">
        <f>AU87/AT87</f>
        <v>#DIV/0!</v>
      </c>
      <c r="AW87" s="278" t="e">
        <f>RANK(AV87,$AV$87:$AV$101)</f>
        <v>#DIV/0!</v>
      </c>
      <c r="AX87" s="359" t="e">
        <f>AVERAGE(AV87:AV101)</f>
        <v>#DIV/0!</v>
      </c>
    </row>
    <row r="88" spans="2:50">
      <c r="B88" s="346"/>
      <c r="C88" s="278">
        <v>2</v>
      </c>
      <c r="D88" s="278" t="s">
        <v>405</v>
      </c>
      <c r="E88" s="279">
        <f>VLOOKUP(D88,'10產線配置圖'!$A$2:$C$25,2,0)</f>
        <v>12</v>
      </c>
      <c r="F88" s="279">
        <f>VLOOKUP(D88,'10產線配置圖'!$A$2:$C$25,3,0)</f>
        <v>1565</v>
      </c>
      <c r="G88" s="280">
        <f t="shared" si="65"/>
        <v>130.41666666666666</v>
      </c>
      <c r="H88" s="357"/>
      <c r="I88" s="279" t="e">
        <f t="shared" ref="I88:K89" si="66">AVERAGE(P88,U88,Z88,AE88,AJ88,AO88,AT88)</f>
        <v>#DIV/0!</v>
      </c>
      <c r="J88" s="279" t="e">
        <f t="shared" si="66"/>
        <v>#DIV/0!</v>
      </c>
      <c r="K88" s="280" t="e">
        <f t="shared" si="66"/>
        <v>#DIV/0!</v>
      </c>
      <c r="L88" s="357"/>
      <c r="M88" s="279" t="e">
        <f>RANK(K88, K$87:$K$101)</f>
        <v>#DIV/0!</v>
      </c>
      <c r="N88" s="355"/>
      <c r="O88" s="355"/>
      <c r="P88" s="279"/>
      <c r="Q88" s="279"/>
      <c r="R88" s="280" t="e">
        <f t="shared" ref="R88" si="67">Q88/P88</f>
        <v>#DIV/0!</v>
      </c>
      <c r="S88" s="278" t="e">
        <f t="shared" ref="S88" si="68">RANK(R88,$R$87:$R$101)</f>
        <v>#DIV/0!</v>
      </c>
      <c r="T88" s="359"/>
      <c r="U88" s="279"/>
      <c r="V88" s="279"/>
      <c r="W88" s="280" t="e">
        <f t="shared" ref="W88:W89" si="69">V88/U88</f>
        <v>#DIV/0!</v>
      </c>
      <c r="X88" s="278" t="e">
        <f t="shared" ref="X88:X89" si="70">RANK(W88,$W$87:$W$90)</f>
        <v>#DIV/0!</v>
      </c>
      <c r="Y88" s="359"/>
      <c r="Z88" s="279"/>
      <c r="AA88" s="279"/>
      <c r="AB88" s="280" t="e">
        <f t="shared" ref="AB88" si="71">AA88/Z88</f>
        <v>#DIV/0!</v>
      </c>
      <c r="AC88" s="278" t="e">
        <f t="shared" ref="AC88" si="72">RANK(AB88,$AB$87:$AB$101)</f>
        <v>#DIV/0!</v>
      </c>
      <c r="AD88" s="359"/>
      <c r="AE88" s="279"/>
      <c r="AF88" s="279"/>
      <c r="AG88" s="280" t="e">
        <f t="shared" ref="AG88" si="73">AF88/AE88</f>
        <v>#DIV/0!</v>
      </c>
      <c r="AH88" s="278" t="e">
        <f t="shared" ref="AH88" si="74">RANK(AG88,$AG$87:$AG$101)</f>
        <v>#DIV/0!</v>
      </c>
      <c r="AI88" s="359"/>
      <c r="AJ88" s="279"/>
      <c r="AK88" s="279"/>
      <c r="AL88" s="280" t="e">
        <f t="shared" ref="AL88" si="75">AK88/AJ88</f>
        <v>#DIV/0!</v>
      </c>
      <c r="AM88" s="278" t="e">
        <f t="shared" ref="AM88" si="76">RANK(AL88,$AL$87:$AL$90)</f>
        <v>#DIV/0!</v>
      </c>
      <c r="AN88" s="359"/>
      <c r="AO88" s="278"/>
      <c r="AP88" s="278"/>
      <c r="AQ88" s="280" t="e">
        <f t="shared" ref="AQ88:AQ89" si="77">AP88/AO88</f>
        <v>#DIV/0!</v>
      </c>
      <c r="AR88" s="278" t="e">
        <f t="shared" ref="AR88:AR89" si="78">RANK(AQ88,$AQ$87:$AQ$101)</f>
        <v>#DIV/0!</v>
      </c>
      <c r="AS88" s="359"/>
      <c r="AT88" s="278"/>
      <c r="AU88" s="278"/>
      <c r="AV88" s="280" t="e">
        <f t="shared" ref="AV88:AV89" si="79">AU88/AT88</f>
        <v>#DIV/0!</v>
      </c>
      <c r="AW88" s="278" t="e">
        <f t="shared" ref="AW88:AW89" si="80">RANK(AV88,$AV$87:$AV$101)</f>
        <v>#DIV/0!</v>
      </c>
      <c r="AX88" s="359"/>
    </row>
    <row r="89" spans="2:50">
      <c r="B89" s="346"/>
      <c r="C89" s="278">
        <v>3</v>
      </c>
      <c r="D89" s="278" t="s">
        <v>534</v>
      </c>
      <c r="E89" s="279">
        <f>VLOOKUP(D89,'10產線配置圖'!$A$2:$C$25,2,0)</f>
        <v>12</v>
      </c>
      <c r="F89" s="279">
        <f>VLOOKUP(D89,'10產線配置圖'!$A$2:$C$25,3,0)</f>
        <v>1565</v>
      </c>
      <c r="G89" s="280">
        <f t="shared" si="65"/>
        <v>130.41666666666666</v>
      </c>
      <c r="H89" s="357"/>
      <c r="I89" s="279" t="e">
        <f t="shared" si="66"/>
        <v>#DIV/0!</v>
      </c>
      <c r="J89" s="279" t="e">
        <f t="shared" si="66"/>
        <v>#DIV/0!</v>
      </c>
      <c r="K89" s="280" t="e">
        <f t="shared" si="66"/>
        <v>#DIV/0!</v>
      </c>
      <c r="L89" s="357"/>
      <c r="M89" s="279" t="e">
        <f>RANK(K89, K$87:$K$101)</f>
        <v>#DIV/0!</v>
      </c>
      <c r="N89" s="355"/>
      <c r="O89" s="355"/>
      <c r="P89" s="279"/>
      <c r="Q89" s="279"/>
      <c r="R89" s="280" t="e">
        <f t="shared" ref="R89" si="81">Q89/P89</f>
        <v>#DIV/0!</v>
      </c>
      <c r="S89" s="278" t="e">
        <f t="shared" ref="S89" si="82">RANK(R89,$R$87:$R$101)</f>
        <v>#DIV/0!</v>
      </c>
      <c r="T89" s="359"/>
      <c r="U89" s="279"/>
      <c r="V89" s="279"/>
      <c r="W89" s="280" t="e">
        <f t="shared" si="69"/>
        <v>#DIV/0!</v>
      </c>
      <c r="X89" s="278" t="e">
        <f t="shared" si="70"/>
        <v>#DIV/0!</v>
      </c>
      <c r="Y89" s="359"/>
      <c r="Z89" s="279"/>
      <c r="AA89" s="279"/>
      <c r="AB89" s="280" t="e">
        <f t="shared" ref="AB89" si="83">AA89/Z89</f>
        <v>#DIV/0!</v>
      </c>
      <c r="AC89" s="278" t="e">
        <f t="shared" ref="AC89" si="84">RANK(AB89,$AB$87:$AB$101)</f>
        <v>#DIV/0!</v>
      </c>
      <c r="AD89" s="359"/>
      <c r="AE89" s="279"/>
      <c r="AF89" s="279"/>
      <c r="AG89" s="280" t="e">
        <f t="shared" ref="AG89" si="85">AF89/AE89</f>
        <v>#DIV/0!</v>
      </c>
      <c r="AH89" s="278" t="e">
        <f t="shared" ref="AH89" si="86">RANK(AG89,$AG$87:$AG$101)</f>
        <v>#DIV/0!</v>
      </c>
      <c r="AI89" s="359"/>
      <c r="AJ89" s="279"/>
      <c r="AK89" s="279"/>
      <c r="AL89" s="280" t="e">
        <f t="shared" ref="AL89" si="87">AK89/AJ89</f>
        <v>#DIV/0!</v>
      </c>
      <c r="AM89" s="278" t="e">
        <f t="shared" ref="AM89" si="88">RANK(AL89,$AL$87:$AL$90)</f>
        <v>#DIV/0!</v>
      </c>
      <c r="AN89" s="359"/>
      <c r="AO89" s="278"/>
      <c r="AP89" s="278"/>
      <c r="AQ89" s="280" t="e">
        <f t="shared" si="77"/>
        <v>#DIV/0!</v>
      </c>
      <c r="AR89" s="278" t="e">
        <f t="shared" si="78"/>
        <v>#DIV/0!</v>
      </c>
      <c r="AS89" s="359"/>
      <c r="AT89" s="278"/>
      <c r="AU89" s="278"/>
      <c r="AV89" s="280" t="e">
        <f t="shared" si="79"/>
        <v>#DIV/0!</v>
      </c>
      <c r="AW89" s="278" t="e">
        <f t="shared" si="80"/>
        <v>#DIV/0!</v>
      </c>
      <c r="AX89" s="359"/>
    </row>
    <row r="90" spans="2:50">
      <c r="B90" s="346"/>
      <c r="C90" s="278">
        <v>4</v>
      </c>
      <c r="D90" s="278"/>
      <c r="E90" s="279"/>
      <c r="F90" s="279"/>
      <c r="G90" s="280"/>
      <c r="H90" s="357"/>
      <c r="I90" s="279"/>
      <c r="J90" s="279"/>
      <c r="K90" s="280"/>
      <c r="L90" s="357"/>
      <c r="M90" s="279"/>
      <c r="N90" s="355"/>
      <c r="O90" s="355"/>
      <c r="P90" s="279"/>
      <c r="Q90" s="279"/>
      <c r="R90" s="280"/>
      <c r="S90" s="278"/>
      <c r="T90" s="359"/>
      <c r="U90" s="279"/>
      <c r="V90" s="279"/>
      <c r="W90" s="280"/>
      <c r="X90" s="278"/>
      <c r="Y90" s="359"/>
      <c r="Z90" s="279"/>
      <c r="AA90" s="279"/>
      <c r="AB90" s="280"/>
      <c r="AC90" s="278"/>
      <c r="AD90" s="359"/>
      <c r="AE90" s="279"/>
      <c r="AF90" s="279"/>
      <c r="AG90" s="280"/>
      <c r="AH90" s="278"/>
      <c r="AI90" s="359"/>
      <c r="AJ90" s="279"/>
      <c r="AK90" s="279"/>
      <c r="AL90" s="280"/>
      <c r="AM90" s="278"/>
      <c r="AN90" s="359"/>
      <c r="AO90" s="278"/>
      <c r="AP90" s="278"/>
      <c r="AQ90" s="278"/>
      <c r="AR90" s="278"/>
      <c r="AS90" s="359"/>
      <c r="AT90" s="278"/>
      <c r="AU90" s="278"/>
      <c r="AV90" s="278"/>
      <c r="AW90" s="278"/>
      <c r="AX90" s="359"/>
    </row>
    <row r="91" spans="2:50">
      <c r="B91" s="346"/>
      <c r="C91" s="278">
        <v>5</v>
      </c>
      <c r="D91" s="278"/>
      <c r="E91" s="279"/>
      <c r="F91" s="279"/>
      <c r="G91" s="280"/>
      <c r="H91" s="357"/>
      <c r="I91" s="279"/>
      <c r="J91" s="279"/>
      <c r="K91" s="280"/>
      <c r="L91" s="357"/>
      <c r="M91" s="279"/>
      <c r="N91" s="355"/>
      <c r="O91" s="355"/>
      <c r="P91" s="279"/>
      <c r="Q91" s="279"/>
      <c r="R91" s="278"/>
      <c r="S91" s="278"/>
      <c r="T91" s="359"/>
      <c r="U91" s="279"/>
      <c r="V91" s="279"/>
      <c r="W91" s="278"/>
      <c r="X91" s="278"/>
      <c r="Y91" s="359"/>
      <c r="Z91" s="279"/>
      <c r="AA91" s="279"/>
      <c r="AB91" s="278"/>
      <c r="AC91" s="278"/>
      <c r="AD91" s="359"/>
      <c r="AE91" s="279"/>
      <c r="AF91" s="279"/>
      <c r="AG91" s="278"/>
      <c r="AH91" s="278"/>
      <c r="AI91" s="359"/>
      <c r="AJ91" s="279"/>
      <c r="AK91" s="279"/>
      <c r="AL91" s="278"/>
      <c r="AM91" s="278"/>
      <c r="AN91" s="359"/>
      <c r="AO91" s="278"/>
      <c r="AP91" s="278"/>
      <c r="AQ91" s="278"/>
      <c r="AR91" s="278"/>
      <c r="AS91" s="359"/>
      <c r="AT91" s="278"/>
      <c r="AU91" s="278"/>
      <c r="AV91" s="278"/>
      <c r="AW91" s="278"/>
      <c r="AX91" s="359"/>
    </row>
    <row r="92" spans="2:50">
      <c r="B92" s="346"/>
      <c r="C92" s="278">
        <v>6</v>
      </c>
      <c r="D92" s="278"/>
      <c r="E92" s="279"/>
      <c r="F92" s="279"/>
      <c r="G92" s="280"/>
      <c r="H92" s="357"/>
      <c r="I92" s="279"/>
      <c r="J92" s="279"/>
      <c r="K92" s="280"/>
      <c r="L92" s="357"/>
      <c r="M92" s="279"/>
      <c r="N92" s="355"/>
      <c r="O92" s="355"/>
      <c r="P92" s="278"/>
      <c r="Q92" s="278"/>
      <c r="R92" s="278"/>
      <c r="S92" s="278"/>
      <c r="T92" s="359"/>
      <c r="U92" s="278"/>
      <c r="V92" s="278"/>
      <c r="W92" s="278"/>
      <c r="X92" s="278"/>
      <c r="Y92" s="359"/>
      <c r="Z92" s="278"/>
      <c r="AA92" s="278"/>
      <c r="AB92" s="278"/>
      <c r="AC92" s="278"/>
      <c r="AD92" s="359"/>
      <c r="AE92" s="278"/>
      <c r="AF92" s="278"/>
      <c r="AG92" s="278"/>
      <c r="AH92" s="278"/>
      <c r="AI92" s="359"/>
      <c r="AJ92" s="278"/>
      <c r="AK92" s="278"/>
      <c r="AL92" s="278"/>
      <c r="AM92" s="278"/>
      <c r="AN92" s="359"/>
      <c r="AO92" s="278"/>
      <c r="AP92" s="278"/>
      <c r="AQ92" s="278"/>
      <c r="AR92" s="278"/>
      <c r="AS92" s="359"/>
      <c r="AT92" s="278"/>
      <c r="AU92" s="278"/>
      <c r="AV92" s="278"/>
      <c r="AW92" s="278"/>
      <c r="AX92" s="359"/>
    </row>
    <row r="93" spans="2:50">
      <c r="B93" s="346"/>
      <c r="C93" s="278">
        <v>7</v>
      </c>
      <c r="D93" s="278"/>
      <c r="E93" s="279"/>
      <c r="F93" s="279"/>
      <c r="G93" s="280"/>
      <c r="H93" s="357"/>
      <c r="I93" s="279"/>
      <c r="J93" s="279"/>
      <c r="K93" s="280"/>
      <c r="L93" s="357"/>
      <c r="M93" s="279"/>
      <c r="N93" s="355"/>
      <c r="O93" s="355"/>
      <c r="P93" s="278"/>
      <c r="Q93" s="278"/>
      <c r="R93" s="278"/>
      <c r="S93" s="278"/>
      <c r="T93" s="359"/>
      <c r="U93" s="278"/>
      <c r="V93" s="278"/>
      <c r="W93" s="278"/>
      <c r="X93" s="278"/>
      <c r="Y93" s="359"/>
      <c r="Z93" s="278"/>
      <c r="AA93" s="278"/>
      <c r="AB93" s="278"/>
      <c r="AC93" s="278"/>
      <c r="AD93" s="359"/>
      <c r="AE93" s="278"/>
      <c r="AF93" s="278"/>
      <c r="AG93" s="278"/>
      <c r="AH93" s="278"/>
      <c r="AI93" s="359"/>
      <c r="AJ93" s="278"/>
      <c r="AK93" s="278"/>
      <c r="AL93" s="278"/>
      <c r="AM93" s="278"/>
      <c r="AN93" s="359"/>
      <c r="AO93" s="278"/>
      <c r="AP93" s="278"/>
      <c r="AQ93" s="278"/>
      <c r="AR93" s="278"/>
      <c r="AS93" s="359"/>
      <c r="AT93" s="278"/>
      <c r="AU93" s="278"/>
      <c r="AV93" s="278"/>
      <c r="AW93" s="278"/>
      <c r="AX93" s="359"/>
    </row>
    <row r="94" spans="2:50">
      <c r="B94" s="346"/>
      <c r="C94" s="278">
        <v>8</v>
      </c>
      <c r="D94" s="278"/>
      <c r="E94" s="278"/>
      <c r="F94" s="278"/>
      <c r="G94" s="278"/>
      <c r="H94" s="357"/>
      <c r="I94" s="279"/>
      <c r="J94" s="279"/>
      <c r="K94" s="280"/>
      <c r="L94" s="357"/>
      <c r="M94" s="279"/>
      <c r="N94" s="355"/>
      <c r="O94" s="355"/>
      <c r="P94" s="278"/>
      <c r="Q94" s="278"/>
      <c r="R94" s="278"/>
      <c r="S94" s="278"/>
      <c r="T94" s="359"/>
      <c r="U94" s="278"/>
      <c r="V94" s="278"/>
      <c r="W94" s="278"/>
      <c r="X94" s="278"/>
      <c r="Y94" s="359"/>
      <c r="Z94" s="278"/>
      <c r="AA94" s="278"/>
      <c r="AB94" s="278"/>
      <c r="AC94" s="278"/>
      <c r="AD94" s="359"/>
      <c r="AE94" s="278"/>
      <c r="AF94" s="278"/>
      <c r="AG94" s="278"/>
      <c r="AH94" s="278"/>
      <c r="AI94" s="359"/>
      <c r="AJ94" s="278"/>
      <c r="AK94" s="278"/>
      <c r="AL94" s="278"/>
      <c r="AM94" s="278"/>
      <c r="AN94" s="359"/>
      <c r="AO94" s="278"/>
      <c r="AP94" s="278"/>
      <c r="AQ94" s="278"/>
      <c r="AR94" s="278"/>
      <c r="AS94" s="359"/>
      <c r="AT94" s="278"/>
      <c r="AU94" s="278"/>
      <c r="AV94" s="278"/>
      <c r="AW94" s="278"/>
      <c r="AX94" s="359"/>
    </row>
    <row r="95" spans="2:50">
      <c r="B95" s="346"/>
      <c r="C95" s="278">
        <v>9</v>
      </c>
      <c r="D95" s="278"/>
      <c r="E95" s="278"/>
      <c r="F95" s="278"/>
      <c r="G95" s="278"/>
      <c r="H95" s="357"/>
      <c r="I95" s="279"/>
      <c r="J95" s="279"/>
      <c r="K95" s="280"/>
      <c r="L95" s="357"/>
      <c r="M95" s="279"/>
      <c r="N95" s="355"/>
      <c r="O95" s="355"/>
      <c r="P95" s="278"/>
      <c r="Q95" s="278"/>
      <c r="R95" s="278"/>
      <c r="S95" s="278"/>
      <c r="T95" s="359"/>
      <c r="U95" s="278"/>
      <c r="V95" s="278"/>
      <c r="W95" s="278"/>
      <c r="X95" s="278"/>
      <c r="Y95" s="359"/>
      <c r="Z95" s="278"/>
      <c r="AA95" s="278"/>
      <c r="AB95" s="278"/>
      <c r="AC95" s="278"/>
      <c r="AD95" s="359"/>
      <c r="AE95" s="278"/>
      <c r="AF95" s="278"/>
      <c r="AG95" s="278"/>
      <c r="AH95" s="278"/>
      <c r="AI95" s="359"/>
      <c r="AJ95" s="278"/>
      <c r="AK95" s="278"/>
      <c r="AL95" s="278"/>
      <c r="AM95" s="278"/>
      <c r="AN95" s="359"/>
      <c r="AO95" s="278"/>
      <c r="AP95" s="278"/>
      <c r="AQ95" s="278"/>
      <c r="AR95" s="278"/>
      <c r="AS95" s="359"/>
      <c r="AT95" s="278"/>
      <c r="AU95" s="278"/>
      <c r="AV95" s="278"/>
      <c r="AW95" s="278"/>
      <c r="AX95" s="359"/>
    </row>
    <row r="96" spans="2:50">
      <c r="B96" s="346"/>
      <c r="C96" s="278">
        <v>10</v>
      </c>
      <c r="D96" s="278"/>
      <c r="E96" s="278"/>
      <c r="F96" s="278"/>
      <c r="G96" s="278"/>
      <c r="H96" s="357"/>
      <c r="I96" s="279"/>
      <c r="J96" s="279"/>
      <c r="K96" s="280"/>
      <c r="L96" s="357"/>
      <c r="M96" s="279"/>
      <c r="N96" s="355"/>
      <c r="O96" s="355"/>
      <c r="P96" s="278"/>
      <c r="Q96" s="278"/>
      <c r="R96" s="278"/>
      <c r="S96" s="278"/>
      <c r="T96" s="359"/>
      <c r="U96" s="278"/>
      <c r="V96" s="278"/>
      <c r="W96" s="278"/>
      <c r="X96" s="278"/>
      <c r="Y96" s="359"/>
      <c r="Z96" s="278"/>
      <c r="AA96" s="278"/>
      <c r="AB96" s="278"/>
      <c r="AC96" s="278"/>
      <c r="AD96" s="359"/>
      <c r="AE96" s="278"/>
      <c r="AF96" s="278"/>
      <c r="AG96" s="278"/>
      <c r="AH96" s="278"/>
      <c r="AI96" s="359"/>
      <c r="AJ96" s="278"/>
      <c r="AK96" s="278"/>
      <c r="AL96" s="278"/>
      <c r="AM96" s="278"/>
      <c r="AN96" s="359"/>
      <c r="AO96" s="278"/>
      <c r="AP96" s="278"/>
      <c r="AQ96" s="278"/>
      <c r="AR96" s="278"/>
      <c r="AS96" s="359"/>
      <c r="AT96" s="278"/>
      <c r="AU96" s="278"/>
      <c r="AV96" s="278"/>
      <c r="AW96" s="278"/>
      <c r="AX96" s="359"/>
    </row>
    <row r="97" spans="2:50">
      <c r="B97" s="346"/>
      <c r="C97" s="278">
        <v>11</v>
      </c>
      <c r="D97" s="278"/>
      <c r="E97" s="278"/>
      <c r="F97" s="278"/>
      <c r="G97" s="278"/>
      <c r="H97" s="357"/>
      <c r="I97" s="279"/>
      <c r="J97" s="279"/>
      <c r="K97" s="280"/>
      <c r="L97" s="357"/>
      <c r="M97" s="279"/>
      <c r="N97" s="355"/>
      <c r="O97" s="355"/>
      <c r="P97" s="278"/>
      <c r="Q97" s="278"/>
      <c r="R97" s="278"/>
      <c r="S97" s="278"/>
      <c r="T97" s="359"/>
      <c r="U97" s="278"/>
      <c r="V97" s="278"/>
      <c r="W97" s="278"/>
      <c r="X97" s="278"/>
      <c r="Y97" s="359"/>
      <c r="Z97" s="278"/>
      <c r="AA97" s="278"/>
      <c r="AB97" s="278"/>
      <c r="AC97" s="278"/>
      <c r="AD97" s="359"/>
      <c r="AE97" s="278"/>
      <c r="AF97" s="278"/>
      <c r="AG97" s="278"/>
      <c r="AH97" s="278"/>
      <c r="AI97" s="359"/>
      <c r="AJ97" s="278"/>
      <c r="AK97" s="278"/>
      <c r="AL97" s="278"/>
      <c r="AM97" s="278"/>
      <c r="AN97" s="359"/>
      <c r="AO97" s="278"/>
      <c r="AP97" s="278"/>
      <c r="AQ97" s="278"/>
      <c r="AR97" s="278"/>
      <c r="AS97" s="359"/>
      <c r="AT97" s="278"/>
      <c r="AU97" s="278"/>
      <c r="AV97" s="278"/>
      <c r="AW97" s="278"/>
      <c r="AX97" s="359"/>
    </row>
    <row r="98" spans="2:50">
      <c r="B98" s="346"/>
      <c r="C98" s="278">
        <v>12</v>
      </c>
      <c r="D98" s="278"/>
      <c r="E98" s="278"/>
      <c r="F98" s="278"/>
      <c r="G98" s="278"/>
      <c r="H98" s="357"/>
      <c r="I98" s="279"/>
      <c r="J98" s="279"/>
      <c r="K98" s="280"/>
      <c r="L98" s="357"/>
      <c r="M98" s="279"/>
      <c r="N98" s="355"/>
      <c r="O98" s="355"/>
      <c r="P98" s="278"/>
      <c r="Q98" s="278"/>
      <c r="R98" s="278"/>
      <c r="S98" s="278"/>
      <c r="T98" s="359"/>
      <c r="U98" s="278"/>
      <c r="V98" s="278"/>
      <c r="W98" s="278"/>
      <c r="X98" s="278"/>
      <c r="Y98" s="359"/>
      <c r="Z98" s="278"/>
      <c r="AA98" s="278"/>
      <c r="AB98" s="278"/>
      <c r="AC98" s="278"/>
      <c r="AD98" s="359"/>
      <c r="AE98" s="278"/>
      <c r="AF98" s="278"/>
      <c r="AG98" s="278"/>
      <c r="AH98" s="278"/>
      <c r="AI98" s="359"/>
      <c r="AJ98" s="278"/>
      <c r="AK98" s="278"/>
      <c r="AL98" s="278"/>
      <c r="AM98" s="278"/>
      <c r="AN98" s="359"/>
      <c r="AO98" s="278"/>
      <c r="AP98" s="278"/>
      <c r="AQ98" s="278"/>
      <c r="AR98" s="278"/>
      <c r="AS98" s="359"/>
      <c r="AT98" s="278"/>
      <c r="AU98" s="278"/>
      <c r="AV98" s="278"/>
      <c r="AW98" s="278"/>
      <c r="AX98" s="359"/>
    </row>
    <row r="99" spans="2:50">
      <c r="B99" s="346"/>
      <c r="C99" s="278">
        <v>13</v>
      </c>
      <c r="D99" s="278"/>
      <c r="E99" s="278"/>
      <c r="F99" s="278"/>
      <c r="G99" s="278"/>
      <c r="H99" s="357"/>
      <c r="I99" s="279"/>
      <c r="J99" s="279"/>
      <c r="K99" s="280"/>
      <c r="L99" s="357"/>
      <c r="M99" s="279"/>
      <c r="N99" s="355"/>
      <c r="O99" s="355"/>
      <c r="P99" s="278"/>
      <c r="Q99" s="278"/>
      <c r="R99" s="278"/>
      <c r="S99" s="278"/>
      <c r="T99" s="359"/>
      <c r="U99" s="278"/>
      <c r="V99" s="278"/>
      <c r="W99" s="278"/>
      <c r="X99" s="278"/>
      <c r="Y99" s="359"/>
      <c r="Z99" s="278"/>
      <c r="AA99" s="278"/>
      <c r="AB99" s="278"/>
      <c r="AC99" s="278"/>
      <c r="AD99" s="359"/>
      <c r="AE99" s="278"/>
      <c r="AF99" s="278"/>
      <c r="AG99" s="278"/>
      <c r="AH99" s="278"/>
      <c r="AI99" s="359"/>
      <c r="AJ99" s="278"/>
      <c r="AK99" s="278"/>
      <c r="AL99" s="278"/>
      <c r="AM99" s="278"/>
      <c r="AN99" s="359"/>
      <c r="AO99" s="278"/>
      <c r="AP99" s="278"/>
      <c r="AQ99" s="278"/>
      <c r="AR99" s="278"/>
      <c r="AS99" s="359"/>
      <c r="AT99" s="278"/>
      <c r="AU99" s="278"/>
      <c r="AV99" s="278"/>
      <c r="AW99" s="278"/>
      <c r="AX99" s="359"/>
    </row>
    <row r="100" spans="2:50">
      <c r="B100" s="346"/>
      <c r="C100" s="278">
        <v>14</v>
      </c>
      <c r="D100" s="278"/>
      <c r="E100" s="278"/>
      <c r="F100" s="278"/>
      <c r="G100" s="278"/>
      <c r="H100" s="357"/>
      <c r="I100" s="279"/>
      <c r="J100" s="279"/>
      <c r="K100" s="280"/>
      <c r="L100" s="357"/>
      <c r="M100" s="279"/>
      <c r="N100" s="355"/>
      <c r="O100" s="355"/>
      <c r="P100" s="278"/>
      <c r="Q100" s="278"/>
      <c r="R100" s="278"/>
      <c r="S100" s="278"/>
      <c r="T100" s="359"/>
      <c r="U100" s="278"/>
      <c r="V100" s="278"/>
      <c r="W100" s="278"/>
      <c r="X100" s="278"/>
      <c r="Y100" s="359"/>
      <c r="Z100" s="278"/>
      <c r="AA100" s="278"/>
      <c r="AB100" s="278"/>
      <c r="AC100" s="278"/>
      <c r="AD100" s="359"/>
      <c r="AE100" s="278"/>
      <c r="AF100" s="278"/>
      <c r="AG100" s="278"/>
      <c r="AH100" s="278"/>
      <c r="AI100" s="359"/>
      <c r="AJ100" s="278"/>
      <c r="AK100" s="278"/>
      <c r="AL100" s="278"/>
      <c r="AM100" s="278"/>
      <c r="AN100" s="359"/>
      <c r="AO100" s="278"/>
      <c r="AP100" s="278"/>
      <c r="AQ100" s="278"/>
      <c r="AR100" s="278"/>
      <c r="AS100" s="359"/>
      <c r="AT100" s="278"/>
      <c r="AU100" s="278"/>
      <c r="AV100" s="278"/>
      <c r="AW100" s="278"/>
      <c r="AX100" s="359"/>
    </row>
    <row r="101" spans="2:50">
      <c r="B101" s="346"/>
      <c r="C101" s="278">
        <v>15</v>
      </c>
      <c r="D101" s="278"/>
      <c r="E101" s="278"/>
      <c r="F101" s="278"/>
      <c r="G101" s="278"/>
      <c r="H101" s="358"/>
      <c r="I101" s="279"/>
      <c r="J101" s="279"/>
      <c r="K101" s="280"/>
      <c r="L101" s="358"/>
      <c r="M101" s="279"/>
      <c r="N101" s="355"/>
      <c r="O101" s="355"/>
      <c r="P101" s="278"/>
      <c r="Q101" s="278"/>
      <c r="R101" s="278"/>
      <c r="S101" s="278"/>
      <c r="T101" s="359"/>
      <c r="U101" s="278"/>
      <c r="V101" s="278"/>
      <c r="W101" s="278"/>
      <c r="X101" s="278"/>
      <c r="Y101" s="359"/>
      <c r="Z101" s="278"/>
      <c r="AA101" s="278"/>
      <c r="AB101" s="278"/>
      <c r="AC101" s="278"/>
      <c r="AD101" s="359"/>
      <c r="AE101" s="278"/>
      <c r="AF101" s="278"/>
      <c r="AG101" s="278"/>
      <c r="AH101" s="278"/>
      <c r="AI101" s="359"/>
      <c r="AJ101" s="278"/>
      <c r="AK101" s="278"/>
      <c r="AL101" s="278"/>
      <c r="AM101" s="278"/>
      <c r="AN101" s="359"/>
      <c r="AO101" s="278"/>
      <c r="AP101" s="278"/>
      <c r="AQ101" s="278"/>
      <c r="AR101" s="278"/>
      <c r="AS101" s="359"/>
      <c r="AT101" s="278"/>
      <c r="AU101" s="278"/>
      <c r="AV101" s="278"/>
      <c r="AW101" s="278"/>
      <c r="AX101" s="35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6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I34" sqref="I34"/>
    </sheetView>
  </sheetViews>
  <sheetFormatPr defaultColWidth="12.5703125" defaultRowHeight="15.75" customHeight="1"/>
  <cols>
    <col min="1" max="1" width="6.42578125" style="185" customWidth="1"/>
    <col min="2" max="10" width="11.5703125" style="185" customWidth="1"/>
    <col min="11" max="12" width="12.85546875" style="185" customWidth="1"/>
    <col min="13" max="13" width="12.5703125" style="186"/>
    <col min="14" max="16384" width="12.5703125" style="185"/>
  </cols>
  <sheetData>
    <row r="1" spans="1:13" ht="15.75" customHeight="1">
      <c r="A1" s="402" t="s">
        <v>358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185"/>
    </row>
    <row r="2" spans="1:13" s="186" customFormat="1" ht="15.75" customHeight="1">
      <c r="A2" s="402"/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</row>
    <row r="3" spans="1:13" ht="15.75" customHeight="1">
      <c r="A3" s="403" t="s">
        <v>359</v>
      </c>
      <c r="B3" s="404"/>
      <c r="C3" s="404"/>
      <c r="D3" s="404"/>
      <c r="E3" s="404"/>
      <c r="F3" s="404"/>
      <c r="G3" s="404"/>
      <c r="H3" s="404"/>
      <c r="I3" s="404"/>
      <c r="J3" s="404"/>
      <c r="K3" s="404"/>
      <c r="L3" s="404"/>
      <c r="M3" s="185"/>
    </row>
    <row r="4" spans="1:13" s="186" customFormat="1" ht="15.75" customHeight="1">
      <c r="A4" s="404"/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4"/>
    </row>
    <row r="5" spans="1:13" s="234" customFormat="1" ht="16.350000000000001" customHeight="1">
      <c r="A5" s="405" t="s">
        <v>360</v>
      </c>
      <c r="B5" s="232">
        <v>1</v>
      </c>
      <c r="C5" s="232">
        <v>2</v>
      </c>
      <c r="D5" s="232">
        <v>3</v>
      </c>
      <c r="E5" s="233"/>
      <c r="F5" s="233"/>
      <c r="G5" s="233"/>
    </row>
    <row r="6" spans="1:13" ht="16.350000000000001" customHeight="1">
      <c r="A6" s="405"/>
      <c r="B6" s="235" t="s">
        <v>361</v>
      </c>
      <c r="C6" s="235" t="s">
        <v>362</v>
      </c>
      <c r="D6" s="235" t="s">
        <v>141</v>
      </c>
      <c r="E6" s="236"/>
      <c r="F6" s="236"/>
      <c r="G6" s="186"/>
      <c r="M6" s="185"/>
    </row>
    <row r="7" spans="1:13" s="234" customFormat="1" ht="15.75" customHeight="1">
      <c r="A7" s="406" t="s">
        <v>363</v>
      </c>
      <c r="B7" s="406"/>
      <c r="C7" s="237" t="s">
        <v>364</v>
      </c>
      <c r="D7" s="406" t="s">
        <v>12</v>
      </c>
      <c r="E7" s="407"/>
      <c r="F7" s="407"/>
      <c r="G7" s="237" t="s">
        <v>365</v>
      </c>
      <c r="H7" s="237" t="s">
        <v>366</v>
      </c>
      <c r="I7" s="237" t="s">
        <v>367</v>
      </c>
      <c r="J7" s="238" t="s">
        <v>13</v>
      </c>
      <c r="K7" s="406" t="s">
        <v>368</v>
      </c>
      <c r="L7" s="407"/>
      <c r="M7" s="233"/>
    </row>
    <row r="8" spans="1:13" ht="15.75" customHeight="1">
      <c r="A8" s="405">
        <v>1</v>
      </c>
      <c r="B8" s="406" t="s">
        <v>369</v>
      </c>
      <c r="C8" s="239">
        <v>1</v>
      </c>
      <c r="D8" s="408" t="s">
        <v>408</v>
      </c>
      <c r="E8" s="409"/>
      <c r="F8" s="410"/>
      <c r="G8" s="240">
        <v>12</v>
      </c>
      <c r="H8" s="254">
        <v>1795</v>
      </c>
      <c r="I8" s="255">
        <v>149.58333333333331</v>
      </c>
      <c r="J8" s="292">
        <v>1.0278118609406952</v>
      </c>
      <c r="K8" s="411"/>
      <c r="L8" s="412"/>
    </row>
    <row r="9" spans="1:13" ht="15.75" customHeight="1">
      <c r="A9" s="405"/>
      <c r="B9" s="406"/>
      <c r="C9" s="239">
        <v>2</v>
      </c>
      <c r="D9" s="408" t="s">
        <v>409</v>
      </c>
      <c r="E9" s="409"/>
      <c r="F9" s="410"/>
      <c r="G9" s="240">
        <v>13</v>
      </c>
      <c r="H9" s="254">
        <v>1826.5</v>
      </c>
      <c r="I9" s="255">
        <v>140.5</v>
      </c>
      <c r="J9" s="292">
        <v>1.0259589151019097</v>
      </c>
      <c r="K9" s="413"/>
      <c r="L9" s="412"/>
    </row>
    <row r="10" spans="1:13" ht="15.75" customHeight="1">
      <c r="A10" s="405"/>
      <c r="B10" s="406"/>
      <c r="C10" s="239">
        <v>3</v>
      </c>
      <c r="D10" s="408" t="s">
        <v>548</v>
      </c>
      <c r="E10" s="409"/>
      <c r="F10" s="410"/>
      <c r="G10" s="254">
        <v>13.166666666666666</v>
      </c>
      <c r="H10" s="254">
        <v>1775</v>
      </c>
      <c r="I10" s="255">
        <v>134.91849816849819</v>
      </c>
      <c r="J10" s="292">
        <v>1.3734856577941696</v>
      </c>
      <c r="K10" s="414" t="s">
        <v>572</v>
      </c>
      <c r="L10" s="412"/>
    </row>
    <row r="11" spans="1:13" ht="15.75" customHeight="1">
      <c r="A11" s="405"/>
      <c r="B11" s="406"/>
      <c r="C11" s="239">
        <v>4</v>
      </c>
      <c r="D11" s="415" t="s">
        <v>552</v>
      </c>
      <c r="E11" s="409"/>
      <c r="F11" s="410"/>
      <c r="G11" s="254">
        <v>14.166666666666666</v>
      </c>
      <c r="H11" s="254">
        <v>1610</v>
      </c>
      <c r="I11" s="255">
        <v>113.72222222222223</v>
      </c>
      <c r="J11" s="292">
        <v>0.97081073338056578</v>
      </c>
      <c r="K11" s="414"/>
      <c r="L11" s="412"/>
    </row>
    <row r="12" spans="1:13" ht="15.75" customHeight="1">
      <c r="A12" s="405"/>
      <c r="B12" s="406"/>
      <c r="C12" s="239">
        <v>5</v>
      </c>
      <c r="D12" s="416" t="s">
        <v>439</v>
      </c>
      <c r="E12" s="409"/>
      <c r="F12" s="410"/>
      <c r="G12" s="254">
        <v>16</v>
      </c>
      <c r="H12" s="254">
        <v>1579.5</v>
      </c>
      <c r="I12" s="255">
        <v>98.71875</v>
      </c>
      <c r="J12" s="292">
        <v>0.94856726149622517</v>
      </c>
      <c r="K12" s="413"/>
      <c r="L12" s="412"/>
    </row>
    <row r="13" spans="1:13" ht="15.75" customHeight="1">
      <c r="A13" s="405"/>
      <c r="B13" s="406"/>
      <c r="C13" s="241" t="s">
        <v>370</v>
      </c>
      <c r="D13" s="408" t="s">
        <v>440</v>
      </c>
      <c r="E13" s="409"/>
      <c r="F13" s="410"/>
      <c r="G13" s="254">
        <v>15</v>
      </c>
      <c r="H13" s="254">
        <v>970.33333333333337</v>
      </c>
      <c r="I13" s="255">
        <v>65.029761904761912</v>
      </c>
      <c r="J13" s="292">
        <v>0.94699999999999995</v>
      </c>
      <c r="K13" s="414" t="s">
        <v>553</v>
      </c>
      <c r="L13" s="412"/>
    </row>
    <row r="14" spans="1:13" ht="15.75" customHeight="1">
      <c r="A14" s="405"/>
      <c r="B14" s="406"/>
      <c r="C14" s="241" t="s">
        <v>371</v>
      </c>
      <c r="D14" s="408" t="s">
        <v>411</v>
      </c>
      <c r="E14" s="409"/>
      <c r="F14" s="410"/>
      <c r="G14" s="240">
        <v>17</v>
      </c>
      <c r="H14" s="255">
        <v>1192.3333333333333</v>
      </c>
      <c r="I14" s="255">
        <v>69.31797385620915</v>
      </c>
      <c r="J14" s="292">
        <v>0.95799999999999996</v>
      </c>
      <c r="K14" s="414" t="s">
        <v>570</v>
      </c>
      <c r="L14" s="412"/>
    </row>
    <row r="15" spans="1:13" ht="15.75" customHeight="1">
      <c r="A15" s="405"/>
      <c r="B15" s="406"/>
      <c r="C15" s="241" t="s">
        <v>372</v>
      </c>
      <c r="D15" s="408" t="s">
        <v>561</v>
      </c>
      <c r="E15" s="409"/>
      <c r="F15" s="410"/>
      <c r="G15" s="240">
        <v>16</v>
      </c>
      <c r="H15" s="240">
        <v>1221</v>
      </c>
      <c r="I15" s="240">
        <v>76.099999999999994</v>
      </c>
      <c r="J15" s="292">
        <v>1.04</v>
      </c>
      <c r="K15" s="414"/>
      <c r="L15" s="412"/>
    </row>
    <row r="16" spans="1:13" ht="15.75" customHeight="1">
      <c r="A16" s="405"/>
      <c r="B16" s="406"/>
      <c r="C16" s="241" t="s">
        <v>373</v>
      </c>
      <c r="D16" s="408" t="s">
        <v>441</v>
      </c>
      <c r="E16" s="409"/>
      <c r="F16" s="410"/>
      <c r="G16" s="240">
        <v>15</v>
      </c>
      <c r="H16" s="240">
        <v>1138</v>
      </c>
      <c r="I16" s="240">
        <v>76.099999999999994</v>
      </c>
      <c r="J16" s="292">
        <v>0.97099999999999997</v>
      </c>
      <c r="K16" s="414"/>
      <c r="L16" s="412"/>
      <c r="M16" s="185"/>
    </row>
    <row r="17" spans="1:13" ht="15.75" customHeight="1">
      <c r="A17" s="405"/>
      <c r="B17" s="406"/>
      <c r="C17" s="241" t="s">
        <v>374</v>
      </c>
      <c r="D17" s="408" t="s">
        <v>562</v>
      </c>
      <c r="E17" s="409"/>
      <c r="F17" s="410"/>
      <c r="G17" s="240">
        <v>15</v>
      </c>
      <c r="H17" s="240">
        <v>1201</v>
      </c>
      <c r="I17" s="255">
        <v>79</v>
      </c>
      <c r="J17" s="292">
        <v>0.73399999999999999</v>
      </c>
      <c r="K17" s="414" t="s">
        <v>571</v>
      </c>
      <c r="L17" s="412"/>
      <c r="M17" s="185"/>
    </row>
    <row r="18" spans="1:13" s="244" customFormat="1" ht="15.75" customHeight="1">
      <c r="A18" s="417" t="s">
        <v>363</v>
      </c>
      <c r="B18" s="417"/>
      <c r="C18" s="242" t="s">
        <v>375</v>
      </c>
      <c r="D18" s="417" t="s">
        <v>12</v>
      </c>
      <c r="E18" s="418"/>
      <c r="F18" s="418"/>
      <c r="G18" s="242" t="s">
        <v>365</v>
      </c>
      <c r="H18" s="242" t="s">
        <v>376</v>
      </c>
      <c r="I18" s="242" t="s">
        <v>367</v>
      </c>
      <c r="J18" s="243" t="s">
        <v>13</v>
      </c>
      <c r="K18" s="417" t="s">
        <v>368</v>
      </c>
      <c r="L18" s="418"/>
      <c r="M18" s="236"/>
    </row>
    <row r="19" spans="1:13" ht="15.75" customHeight="1">
      <c r="A19" s="405">
        <v>2</v>
      </c>
      <c r="B19" s="406" t="s">
        <v>377</v>
      </c>
      <c r="C19" s="239">
        <v>1</v>
      </c>
      <c r="D19" s="411"/>
      <c r="E19" s="412"/>
      <c r="F19" s="412"/>
      <c r="G19" s="240"/>
      <c r="H19" s="240"/>
      <c r="I19" s="240"/>
      <c r="J19" s="240"/>
      <c r="K19" s="411"/>
      <c r="L19" s="412"/>
      <c r="M19" s="185"/>
    </row>
    <row r="20" spans="1:13" ht="15.75" customHeight="1">
      <c r="A20" s="405"/>
      <c r="B20" s="406"/>
      <c r="C20" s="239">
        <v>2</v>
      </c>
      <c r="D20" s="413"/>
      <c r="E20" s="412"/>
      <c r="F20" s="412"/>
      <c r="G20" s="240"/>
      <c r="H20" s="240"/>
      <c r="I20" s="240"/>
      <c r="J20" s="240"/>
      <c r="K20" s="413"/>
      <c r="L20" s="412"/>
      <c r="M20" s="185"/>
    </row>
    <row r="21" spans="1:13" ht="15.75" customHeight="1">
      <c r="A21" s="405"/>
      <c r="B21" s="406"/>
      <c r="C21" s="239">
        <v>3</v>
      </c>
      <c r="D21" s="413"/>
      <c r="E21" s="412"/>
      <c r="F21" s="412"/>
      <c r="G21" s="240"/>
      <c r="H21" s="240"/>
      <c r="I21" s="240"/>
      <c r="J21" s="240"/>
      <c r="K21" s="413"/>
      <c r="L21" s="412"/>
      <c r="M21" s="185"/>
    </row>
    <row r="22" spans="1:13" ht="15.75" customHeight="1">
      <c r="A22" s="405"/>
      <c r="B22" s="406"/>
      <c r="C22" s="239">
        <v>4</v>
      </c>
      <c r="D22" s="413"/>
      <c r="E22" s="412"/>
      <c r="F22" s="412"/>
      <c r="G22" s="240"/>
      <c r="H22" s="240"/>
      <c r="I22" s="240"/>
      <c r="J22" s="240"/>
      <c r="K22" s="413"/>
      <c r="L22" s="412"/>
      <c r="M22" s="185"/>
    </row>
    <row r="23" spans="1:13" ht="15.75" customHeight="1">
      <c r="A23" s="405"/>
      <c r="B23" s="406"/>
      <c r="C23" s="239">
        <v>5</v>
      </c>
      <c r="D23" s="413"/>
      <c r="E23" s="412"/>
      <c r="F23" s="412"/>
      <c r="G23" s="240"/>
      <c r="H23" s="240"/>
      <c r="I23" s="240"/>
      <c r="J23" s="240"/>
      <c r="K23" s="413"/>
      <c r="L23" s="412"/>
      <c r="M23" s="185"/>
    </row>
    <row r="24" spans="1:13" ht="15.75" customHeight="1">
      <c r="A24" s="405"/>
      <c r="B24" s="406"/>
      <c r="C24" s="241" t="s">
        <v>370</v>
      </c>
      <c r="D24" s="411"/>
      <c r="E24" s="412"/>
      <c r="F24" s="412"/>
      <c r="G24" s="240"/>
      <c r="H24" s="240"/>
      <c r="I24" s="240"/>
      <c r="J24" s="240"/>
      <c r="K24" s="411"/>
      <c r="L24" s="412"/>
      <c r="M24" s="185"/>
    </row>
    <row r="25" spans="1:13" ht="15.75" customHeight="1">
      <c r="A25" s="405"/>
      <c r="B25" s="406"/>
      <c r="C25" s="241" t="s">
        <v>371</v>
      </c>
      <c r="D25" s="413"/>
      <c r="E25" s="412"/>
      <c r="F25" s="412"/>
      <c r="G25" s="240"/>
      <c r="H25" s="240"/>
      <c r="I25" s="240"/>
      <c r="J25" s="240"/>
      <c r="K25" s="413"/>
      <c r="L25" s="412"/>
      <c r="M25" s="185"/>
    </row>
    <row r="26" spans="1:13" ht="15.75" customHeight="1">
      <c r="A26" s="405"/>
      <c r="B26" s="406"/>
      <c r="C26" s="241" t="s">
        <v>372</v>
      </c>
      <c r="D26" s="413"/>
      <c r="E26" s="412"/>
      <c r="F26" s="412"/>
      <c r="G26" s="240"/>
      <c r="H26" s="240"/>
      <c r="I26" s="240"/>
      <c r="J26" s="240"/>
      <c r="K26" s="413"/>
      <c r="L26" s="412"/>
      <c r="M26" s="185"/>
    </row>
    <row r="27" spans="1:13" ht="15.75" customHeight="1">
      <c r="A27" s="405"/>
      <c r="B27" s="406"/>
      <c r="C27" s="241" t="s">
        <v>373</v>
      </c>
      <c r="D27" s="413"/>
      <c r="E27" s="412"/>
      <c r="F27" s="412"/>
      <c r="G27" s="240"/>
      <c r="H27" s="240"/>
      <c r="I27" s="240"/>
      <c r="J27" s="240"/>
      <c r="K27" s="413"/>
      <c r="L27" s="412"/>
      <c r="M27" s="185"/>
    </row>
    <row r="28" spans="1:13" ht="15.75" customHeight="1">
      <c r="A28" s="405"/>
      <c r="B28" s="406"/>
      <c r="C28" s="241" t="s">
        <v>374</v>
      </c>
      <c r="D28" s="413"/>
      <c r="E28" s="412"/>
      <c r="F28" s="412"/>
      <c r="G28" s="240"/>
      <c r="H28" s="240"/>
      <c r="I28" s="240"/>
      <c r="J28" s="240"/>
      <c r="K28" s="413"/>
      <c r="L28" s="412"/>
      <c r="M28" s="185"/>
    </row>
    <row r="29" spans="1:13" ht="15.75" customHeight="1">
      <c r="A29" s="417" t="s">
        <v>363</v>
      </c>
      <c r="B29" s="417"/>
      <c r="C29" s="242" t="s">
        <v>364</v>
      </c>
      <c r="D29" s="417" t="s">
        <v>12</v>
      </c>
      <c r="E29" s="418"/>
      <c r="F29" s="418"/>
      <c r="G29" s="242" t="s">
        <v>365</v>
      </c>
      <c r="H29" s="242" t="s">
        <v>366</v>
      </c>
      <c r="I29" s="242" t="s">
        <v>367</v>
      </c>
      <c r="J29" s="243" t="s">
        <v>13</v>
      </c>
      <c r="K29" s="417" t="s">
        <v>368</v>
      </c>
      <c r="L29" s="418"/>
    </row>
    <row r="30" spans="1:13" ht="15.75" customHeight="1">
      <c r="A30" s="405">
        <v>3</v>
      </c>
      <c r="B30" s="419" t="s">
        <v>378</v>
      </c>
      <c r="C30" s="239">
        <v>1</v>
      </c>
      <c r="D30" s="411" t="s">
        <v>413</v>
      </c>
      <c r="E30" s="412"/>
      <c r="F30" s="412"/>
      <c r="G30" s="254">
        <v>13</v>
      </c>
      <c r="H30" s="255">
        <v>1474</v>
      </c>
      <c r="I30" s="255">
        <v>113.4</v>
      </c>
      <c r="J30" s="292">
        <v>1.0049999999999999</v>
      </c>
      <c r="K30" s="420"/>
      <c r="L30" s="412"/>
    </row>
    <row r="31" spans="1:13" ht="15.75" customHeight="1">
      <c r="A31" s="405"/>
      <c r="B31" s="419"/>
      <c r="C31" s="239">
        <v>2</v>
      </c>
      <c r="D31" s="414" t="s">
        <v>550</v>
      </c>
      <c r="E31" s="412"/>
      <c r="F31" s="412"/>
      <c r="G31" s="254">
        <v>12</v>
      </c>
      <c r="H31" s="255">
        <v>1357</v>
      </c>
      <c r="I31" s="255">
        <v>113.1</v>
      </c>
      <c r="J31" s="292">
        <v>1.0289999999999999</v>
      </c>
      <c r="K31" s="411"/>
      <c r="L31" s="412"/>
    </row>
    <row r="32" spans="1:13" ht="15.75" customHeight="1">
      <c r="A32" s="405"/>
      <c r="B32" s="419"/>
      <c r="C32" s="239">
        <v>3</v>
      </c>
      <c r="D32" s="413" t="s">
        <v>435</v>
      </c>
      <c r="E32" s="412"/>
      <c r="F32" s="412"/>
      <c r="G32" s="254">
        <v>12</v>
      </c>
      <c r="H32" s="255">
        <v>1304</v>
      </c>
      <c r="I32" s="255">
        <v>108.7</v>
      </c>
      <c r="J32" s="292">
        <v>0.96299999999999997</v>
      </c>
      <c r="K32" s="420" t="s">
        <v>570</v>
      </c>
      <c r="L32" s="412"/>
    </row>
    <row r="33" spans="1:12" ht="15.75" customHeight="1">
      <c r="A33" s="405"/>
      <c r="B33" s="419"/>
      <c r="C33" s="239">
        <v>4</v>
      </c>
      <c r="D33" s="413"/>
      <c r="E33" s="412"/>
      <c r="F33" s="412"/>
      <c r="G33" s="240"/>
      <c r="H33" s="240"/>
      <c r="I33" s="240"/>
      <c r="J33" s="240"/>
      <c r="K33" s="413"/>
      <c r="L33" s="412"/>
    </row>
    <row r="34" spans="1:12" ht="15.75" customHeight="1">
      <c r="A34" s="405"/>
      <c r="B34" s="419"/>
      <c r="C34" s="239">
        <v>5</v>
      </c>
      <c r="D34" s="413"/>
      <c r="E34" s="412"/>
      <c r="F34" s="412"/>
      <c r="G34" s="240"/>
      <c r="H34" s="240"/>
      <c r="I34" s="240"/>
      <c r="J34" s="240"/>
      <c r="K34" s="413"/>
      <c r="L34" s="412"/>
    </row>
    <row r="35" spans="1:12" ht="15.75" customHeight="1">
      <c r="A35" s="405"/>
      <c r="B35" s="419"/>
      <c r="C35" s="241" t="s">
        <v>370</v>
      </c>
      <c r="D35" s="411"/>
      <c r="E35" s="412"/>
      <c r="F35" s="412"/>
      <c r="G35" s="240"/>
      <c r="H35" s="240"/>
      <c r="I35" s="240"/>
      <c r="J35" s="240"/>
      <c r="K35" s="411"/>
      <c r="L35" s="412"/>
    </row>
    <row r="36" spans="1:12" ht="15.75" customHeight="1">
      <c r="A36" s="405"/>
      <c r="B36" s="419"/>
      <c r="C36" s="241" t="s">
        <v>371</v>
      </c>
      <c r="D36" s="413"/>
      <c r="E36" s="412"/>
      <c r="F36" s="412"/>
      <c r="G36" s="240"/>
      <c r="H36" s="240"/>
      <c r="I36" s="240"/>
      <c r="J36" s="240"/>
      <c r="K36" s="413"/>
      <c r="L36" s="412"/>
    </row>
    <row r="37" spans="1:12" ht="15.75" customHeight="1">
      <c r="A37" s="405"/>
      <c r="B37" s="419"/>
      <c r="C37" s="241" t="s">
        <v>372</v>
      </c>
      <c r="D37" s="413"/>
      <c r="E37" s="412"/>
      <c r="F37" s="412"/>
      <c r="G37" s="240"/>
      <c r="H37" s="240"/>
      <c r="I37" s="240"/>
      <c r="J37" s="240"/>
      <c r="K37" s="413"/>
      <c r="L37" s="412"/>
    </row>
    <row r="38" spans="1:12" ht="15.75" customHeight="1">
      <c r="A38" s="405"/>
      <c r="B38" s="419"/>
      <c r="C38" s="241" t="s">
        <v>373</v>
      </c>
      <c r="D38" s="413"/>
      <c r="E38" s="412"/>
      <c r="F38" s="412"/>
      <c r="G38" s="240"/>
      <c r="H38" s="240"/>
      <c r="I38" s="240"/>
      <c r="J38" s="240"/>
      <c r="K38" s="413"/>
      <c r="L38" s="412"/>
    </row>
    <row r="39" spans="1:12" ht="15.75" customHeight="1">
      <c r="A39" s="405"/>
      <c r="B39" s="419"/>
      <c r="C39" s="241" t="s">
        <v>374</v>
      </c>
      <c r="D39" s="413"/>
      <c r="E39" s="412"/>
      <c r="F39" s="412"/>
      <c r="G39" s="240"/>
      <c r="H39" s="240"/>
      <c r="I39" s="240"/>
      <c r="J39" s="240"/>
      <c r="K39" s="413"/>
      <c r="L39" s="412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C11" sqref="C11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02" t="s">
        <v>228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</row>
    <row r="2" spans="1:13" s="186" customFormat="1" ht="15.75" customHeight="1">
      <c r="A2" s="402"/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</row>
    <row r="3" spans="1:13" ht="15.75" customHeight="1">
      <c r="A3" s="403" t="s">
        <v>229</v>
      </c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</row>
    <row r="4" spans="1:13" s="186" customFormat="1" ht="15.75" customHeight="1">
      <c r="A4" s="403"/>
      <c r="B4" s="403"/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</row>
    <row r="5" spans="1:13" ht="15.75" customHeight="1">
      <c r="A5" s="187" t="s">
        <v>230</v>
      </c>
      <c r="B5" s="188"/>
    </row>
    <row r="6" spans="1:13" ht="15.75" customHeight="1">
      <c r="A6" s="421" t="s">
        <v>231</v>
      </c>
      <c r="B6" s="422" t="s">
        <v>10</v>
      </c>
      <c r="C6" s="422"/>
      <c r="D6" s="423"/>
      <c r="E6" s="421" t="s">
        <v>231</v>
      </c>
      <c r="F6" s="405">
        <v>1</v>
      </c>
      <c r="G6" s="405"/>
      <c r="H6" s="405">
        <v>2</v>
      </c>
      <c r="I6" s="405"/>
      <c r="J6" s="405">
        <v>3</v>
      </c>
      <c r="K6" s="405"/>
      <c r="L6" s="405">
        <v>4</v>
      </c>
      <c r="M6" s="405"/>
    </row>
    <row r="7" spans="1:13" ht="31.35" customHeight="1">
      <c r="A7" s="421"/>
      <c r="B7" s="422"/>
      <c r="C7" s="422"/>
      <c r="D7" s="424"/>
      <c r="E7" s="421"/>
      <c r="F7" s="426" t="s">
        <v>258</v>
      </c>
      <c r="G7" s="426"/>
      <c r="H7" s="426" t="s">
        <v>232</v>
      </c>
      <c r="I7" s="426"/>
      <c r="J7" s="426" t="s">
        <v>233</v>
      </c>
      <c r="K7" s="426"/>
      <c r="L7" s="426" t="s">
        <v>234</v>
      </c>
      <c r="M7" s="426"/>
    </row>
    <row r="8" spans="1:13" ht="15.75" customHeight="1">
      <c r="A8" s="421"/>
      <c r="B8" s="221" t="s">
        <v>11</v>
      </c>
      <c r="C8" s="221" t="s">
        <v>235</v>
      </c>
      <c r="D8" s="424"/>
      <c r="E8" s="421"/>
      <c r="F8" s="221" t="s">
        <v>11</v>
      </c>
      <c r="G8" s="221" t="s">
        <v>235</v>
      </c>
      <c r="H8" s="221" t="s">
        <v>11</v>
      </c>
      <c r="I8" s="221" t="s">
        <v>235</v>
      </c>
      <c r="J8" s="221" t="s">
        <v>11</v>
      </c>
      <c r="K8" s="221" t="s">
        <v>235</v>
      </c>
      <c r="L8" s="221" t="s">
        <v>11</v>
      </c>
      <c r="M8" s="221" t="s">
        <v>235</v>
      </c>
    </row>
    <row r="9" spans="1:13" ht="19.350000000000001" customHeight="1">
      <c r="A9" s="189" t="s">
        <v>236</v>
      </c>
      <c r="B9" s="190"/>
      <c r="C9" s="191" t="e">
        <f>B9/$B$5</f>
        <v>#DIV/0!</v>
      </c>
      <c r="D9" s="424"/>
      <c r="E9" s="189" t="s">
        <v>236</v>
      </c>
      <c r="F9" s="192"/>
      <c r="G9" s="193" t="str">
        <f>IFERROR(F9/$B$9,"")</f>
        <v/>
      </c>
      <c r="H9" s="192"/>
      <c r="I9" s="193" t="str">
        <f>IFERROR(H9/$B$9,"")</f>
        <v/>
      </c>
      <c r="J9" s="192"/>
      <c r="K9" s="193" t="str">
        <f t="shared" ref="K9" si="0">IFERROR(J9/$B$9,"")</f>
        <v/>
      </c>
      <c r="L9" s="192"/>
      <c r="M9" s="193" t="str">
        <f>IFERROR(L9/$B$9,"")</f>
        <v/>
      </c>
    </row>
    <row r="10" spans="1:13" ht="19.350000000000001" customHeight="1">
      <c r="A10" s="194" t="s">
        <v>237</v>
      </c>
      <c r="B10" s="195"/>
      <c r="C10" s="191" t="e">
        <f>B10/$B$5</f>
        <v>#DIV/0!</v>
      </c>
      <c r="D10" s="424"/>
      <c r="E10" s="194" t="s">
        <v>237</v>
      </c>
      <c r="F10" s="192"/>
      <c r="G10" s="193" t="str">
        <f>IFERROR(F10/$B$10,"")</f>
        <v/>
      </c>
      <c r="H10" s="192"/>
      <c r="I10" s="193" t="str">
        <f>IFERROR(H10/$B$10,"")</f>
        <v/>
      </c>
      <c r="J10" s="192"/>
      <c r="K10" s="193" t="str">
        <f>IFERROR(J10/$B$10,"")</f>
        <v/>
      </c>
      <c r="L10" s="192"/>
      <c r="M10" s="193" t="str">
        <f>IFERROR(L10/$B$10,"")</f>
        <v/>
      </c>
    </row>
    <row r="11" spans="1:13" ht="15.75" customHeight="1">
      <c r="D11" s="424"/>
      <c r="E11" s="421" t="s">
        <v>231</v>
      </c>
      <c r="F11" s="405">
        <v>5</v>
      </c>
      <c r="G11" s="405"/>
      <c r="H11" s="405">
        <v>6</v>
      </c>
      <c r="I11" s="405"/>
      <c r="J11" s="405">
        <v>7</v>
      </c>
      <c r="K11" s="405"/>
      <c r="L11" s="425">
        <v>8</v>
      </c>
      <c r="M11" s="425"/>
    </row>
    <row r="12" spans="1:13" ht="31.35" customHeight="1">
      <c r="D12" s="424"/>
      <c r="E12" s="421"/>
      <c r="F12" s="426" t="s">
        <v>238</v>
      </c>
      <c r="G12" s="426"/>
      <c r="H12" s="426" t="s">
        <v>239</v>
      </c>
      <c r="I12" s="426"/>
      <c r="J12" s="426" t="s">
        <v>240</v>
      </c>
      <c r="K12" s="426"/>
      <c r="L12" s="427" t="s">
        <v>241</v>
      </c>
      <c r="M12" s="427"/>
    </row>
    <row r="13" spans="1:13" ht="15.75" customHeight="1">
      <c r="D13" s="424"/>
      <c r="E13" s="421"/>
      <c r="F13" s="221" t="s">
        <v>11</v>
      </c>
      <c r="G13" s="221" t="s">
        <v>235</v>
      </c>
      <c r="H13" s="221" t="s">
        <v>11</v>
      </c>
      <c r="I13" s="221" t="s">
        <v>235</v>
      </c>
      <c r="J13" s="221" t="s">
        <v>11</v>
      </c>
      <c r="K13" s="221" t="s">
        <v>235</v>
      </c>
      <c r="L13" s="221" t="s">
        <v>11</v>
      </c>
      <c r="M13" s="221" t="s">
        <v>235</v>
      </c>
    </row>
    <row r="14" spans="1:13" ht="19.350000000000001" customHeight="1">
      <c r="D14" s="424"/>
      <c r="E14" s="189" t="s">
        <v>236</v>
      </c>
      <c r="F14" s="192"/>
      <c r="G14" s="193" t="str">
        <f>IFERROR(F14/$B$9,"")</f>
        <v/>
      </c>
      <c r="H14" s="192"/>
      <c r="I14" s="193" t="str">
        <f t="shared" ref="I14" si="1">IFERROR(H14/$B$9,"")</f>
        <v/>
      </c>
      <c r="J14" s="192"/>
      <c r="K14" s="193" t="str">
        <f t="shared" ref="K14" si="2">IFERROR(J14/$B$9,"")</f>
        <v/>
      </c>
      <c r="L14" s="192"/>
      <c r="M14" s="193" t="str">
        <f t="shared" ref="M14" si="3">IFERROR(L14/$B$9,"")</f>
        <v/>
      </c>
    </row>
    <row r="15" spans="1:13" ht="19.350000000000001" customHeight="1">
      <c r="D15" s="424"/>
      <c r="E15" s="194" t="s">
        <v>237</v>
      </c>
      <c r="F15" s="192"/>
      <c r="G15" s="193" t="str">
        <f>IFERROR(F15/$B$10,"")</f>
        <v/>
      </c>
      <c r="H15" s="192"/>
      <c r="I15" s="193" t="str">
        <f>IFERROR(H15/$B$10,"")</f>
        <v/>
      </c>
      <c r="J15" s="192"/>
      <c r="K15" s="193" t="str">
        <f>IFERROR(J15/$B$10,"")</f>
        <v/>
      </c>
      <c r="L15" s="192"/>
      <c r="M15" s="193" t="str">
        <f>IFERROR(L15/$B$10,"")</f>
        <v/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="130" zoomScaleNormal="60" zoomScaleSheetLayoutView="130" workbookViewId="0">
      <selection activeCell="C10" sqref="C10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02" t="s">
        <v>228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</row>
    <row r="2" spans="1:13" s="186" customFormat="1" ht="15.75" customHeight="1">
      <c r="A2" s="402"/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</row>
    <row r="3" spans="1:13" ht="15.75" customHeight="1">
      <c r="A3" s="403" t="s">
        <v>229</v>
      </c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</row>
    <row r="4" spans="1:13" s="186" customFormat="1" ht="15.75" customHeight="1">
      <c r="A4" s="403"/>
      <c r="B4" s="403"/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</row>
    <row r="5" spans="1:13" ht="15.75" customHeight="1">
      <c r="A5" s="187" t="s">
        <v>230</v>
      </c>
      <c r="B5" s="188">
        <v>13981868</v>
      </c>
    </row>
    <row r="6" spans="1:13" ht="15.75" customHeight="1">
      <c r="A6" s="421" t="s">
        <v>231</v>
      </c>
      <c r="B6" s="422" t="s">
        <v>10</v>
      </c>
      <c r="C6" s="422"/>
      <c r="D6" s="423"/>
      <c r="E6" s="421" t="s">
        <v>231</v>
      </c>
      <c r="F6" s="405">
        <v>1</v>
      </c>
      <c r="G6" s="405"/>
      <c r="H6" s="405">
        <v>2</v>
      </c>
      <c r="I6" s="405"/>
      <c r="J6" s="405">
        <v>3</v>
      </c>
      <c r="K6" s="405"/>
      <c r="L6" s="405">
        <v>4</v>
      </c>
      <c r="M6" s="405"/>
    </row>
    <row r="7" spans="1:13" ht="31.35" customHeight="1">
      <c r="A7" s="421"/>
      <c r="B7" s="422"/>
      <c r="C7" s="422"/>
      <c r="D7" s="424"/>
      <c r="E7" s="421"/>
      <c r="F7" s="426" t="s">
        <v>258</v>
      </c>
      <c r="G7" s="426"/>
      <c r="H7" s="426" t="s">
        <v>232</v>
      </c>
      <c r="I7" s="426"/>
      <c r="J7" s="426" t="s">
        <v>233</v>
      </c>
      <c r="K7" s="426"/>
      <c r="L7" s="426" t="s">
        <v>234</v>
      </c>
      <c r="M7" s="426"/>
    </row>
    <row r="8" spans="1:13" ht="15.75" customHeight="1">
      <c r="A8" s="421"/>
      <c r="B8" s="221" t="s">
        <v>11</v>
      </c>
      <c r="C8" s="221" t="s">
        <v>235</v>
      </c>
      <c r="D8" s="424"/>
      <c r="E8" s="421"/>
      <c r="F8" s="221" t="s">
        <v>11</v>
      </c>
      <c r="G8" s="221" t="s">
        <v>235</v>
      </c>
      <c r="H8" s="221" t="s">
        <v>11</v>
      </c>
      <c r="I8" s="221" t="s">
        <v>235</v>
      </c>
      <c r="J8" s="221" t="s">
        <v>11</v>
      </c>
      <c r="K8" s="221" t="s">
        <v>235</v>
      </c>
      <c r="L8" s="221" t="s">
        <v>11</v>
      </c>
      <c r="M8" s="221" t="s">
        <v>235</v>
      </c>
    </row>
    <row r="9" spans="1:13" ht="19.350000000000001" customHeight="1">
      <c r="A9" s="189" t="s">
        <v>236</v>
      </c>
      <c r="B9" s="190">
        <v>132130.76</v>
      </c>
      <c r="C9" s="191">
        <f>B9/$B$5</f>
        <v>9.4501507237802571E-3</v>
      </c>
      <c r="D9" s="424"/>
      <c r="E9" s="189" t="s">
        <v>236</v>
      </c>
      <c r="F9" s="192">
        <v>0</v>
      </c>
      <c r="G9" s="193">
        <f>IFERROR(F9/$B$9,"")</f>
        <v>0</v>
      </c>
      <c r="H9" s="192"/>
      <c r="I9" s="193">
        <f t="shared" ref="I9" si="0">IFERROR(H9/$B$9,"")</f>
        <v>0</v>
      </c>
      <c r="J9" s="192"/>
      <c r="K9" s="193">
        <f t="shared" ref="K9" si="1">IFERROR(J9/$B$9,"")</f>
        <v>0</v>
      </c>
      <c r="L9" s="192">
        <v>3336.42</v>
      </c>
      <c r="M9" s="193">
        <f>IFERROR(L9/$B$9,"")</f>
        <v>2.5250895400889237E-2</v>
      </c>
    </row>
    <row r="10" spans="1:13" ht="19.350000000000001" customHeight="1">
      <c r="A10" s="194" t="s">
        <v>237</v>
      </c>
      <c r="B10" s="195">
        <v>49635.6</v>
      </c>
      <c r="C10" s="191">
        <f>B10/$B$5</f>
        <v>3.5499977542342697E-3</v>
      </c>
      <c r="D10" s="424"/>
      <c r="E10" s="194" t="s">
        <v>237</v>
      </c>
      <c r="F10" s="192"/>
      <c r="G10" s="193">
        <f>IFERROR(F10/$B$10,"")</f>
        <v>0</v>
      </c>
      <c r="H10" s="192"/>
      <c r="I10" s="193">
        <f>IFERROR(H10/$B$10,"")</f>
        <v>0</v>
      </c>
      <c r="J10" s="192"/>
      <c r="K10" s="193">
        <f>IFERROR(J10/$B$10,"")</f>
        <v>0</v>
      </c>
      <c r="L10" s="192">
        <v>57937.4</v>
      </c>
      <c r="M10" s="193">
        <f>IFERROR(L10/$B$10,"")</f>
        <v>1.167254954105521</v>
      </c>
    </row>
    <row r="11" spans="1:13" ht="15.75" customHeight="1">
      <c r="D11" s="424"/>
      <c r="E11" s="421" t="s">
        <v>231</v>
      </c>
      <c r="F11" s="405">
        <v>5</v>
      </c>
      <c r="G11" s="405"/>
      <c r="H11" s="405">
        <v>6</v>
      </c>
      <c r="I11" s="405"/>
      <c r="J11" s="405">
        <v>7</v>
      </c>
      <c r="K11" s="405"/>
      <c r="L11" s="425">
        <v>8</v>
      </c>
      <c r="M11" s="425"/>
    </row>
    <row r="12" spans="1:13" ht="31.35" customHeight="1">
      <c r="D12" s="424"/>
      <c r="E12" s="421"/>
      <c r="F12" s="426" t="s">
        <v>238</v>
      </c>
      <c r="G12" s="426"/>
      <c r="H12" s="426" t="s">
        <v>239</v>
      </c>
      <c r="I12" s="426"/>
      <c r="J12" s="426" t="s">
        <v>196</v>
      </c>
      <c r="K12" s="426"/>
      <c r="L12" s="427" t="s">
        <v>241</v>
      </c>
      <c r="M12" s="427"/>
    </row>
    <row r="13" spans="1:13" ht="15.75" customHeight="1">
      <c r="D13" s="424"/>
      <c r="E13" s="421"/>
      <c r="F13" s="221" t="s">
        <v>11</v>
      </c>
      <c r="G13" s="221" t="s">
        <v>235</v>
      </c>
      <c r="H13" s="221" t="s">
        <v>11</v>
      </c>
      <c r="I13" s="221" t="s">
        <v>235</v>
      </c>
      <c r="J13" s="221" t="s">
        <v>11</v>
      </c>
      <c r="K13" s="221" t="s">
        <v>235</v>
      </c>
      <c r="L13" s="221" t="s">
        <v>11</v>
      </c>
      <c r="M13" s="221" t="s">
        <v>235</v>
      </c>
    </row>
    <row r="14" spans="1:13" ht="19.350000000000001" customHeight="1">
      <c r="D14" s="424"/>
      <c r="E14" s="189" t="s">
        <v>236</v>
      </c>
      <c r="F14" s="192">
        <v>895.98</v>
      </c>
      <c r="G14" s="193">
        <f>IFERROR(F14/$B$9,"")</f>
        <v>6.7810099631607354E-3</v>
      </c>
      <c r="H14" s="192">
        <v>2410.94</v>
      </c>
      <c r="I14" s="193">
        <f t="shared" ref="I14" si="2">IFERROR(H14/$B$9,"")</f>
        <v>1.8246621755600285E-2</v>
      </c>
      <c r="J14" s="192">
        <v>125161.94</v>
      </c>
      <c r="K14" s="193">
        <f t="shared" ref="K14" si="3">IFERROR(J14/$B$9,"")</f>
        <v>0.94725815548173642</v>
      </c>
      <c r="L14" s="192">
        <v>325.47000000000003</v>
      </c>
      <c r="M14" s="193">
        <f t="shared" ref="M14" si="4">IFERROR(L14/$B$9,"")</f>
        <v>2.4632417160092017E-3</v>
      </c>
    </row>
    <row r="15" spans="1:13" ht="19.350000000000001" customHeight="1">
      <c r="D15" s="424"/>
      <c r="E15" s="194" t="s">
        <v>237</v>
      </c>
      <c r="F15" s="192">
        <v>5337.8</v>
      </c>
      <c r="G15" s="193">
        <f>IFERROR(F15/$B$10,"")</f>
        <v>0.10753974969578287</v>
      </c>
      <c r="H15" s="192">
        <v>6959.8</v>
      </c>
      <c r="I15" s="193">
        <f>IFERROR(H15/$B$10,"")</f>
        <v>0.14021790811433729</v>
      </c>
      <c r="J15" s="192"/>
      <c r="K15" s="193">
        <f>IFERROR(J15/$B$10,"")</f>
        <v>0</v>
      </c>
      <c r="L15" s="192">
        <v>773.2</v>
      </c>
      <c r="M15" s="193">
        <f>IFERROR(L15/$B$10,"")</f>
        <v>1.5577529031582172E-2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N17" sqref="N17:N21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6384" width="12.5703125" style="122"/>
  </cols>
  <sheetData>
    <row r="1" spans="1:17" ht="15.75" customHeight="1">
      <c r="A1" s="299" t="s">
        <v>213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</row>
    <row r="2" spans="1:17" s="123" customFormat="1" ht="15.75" customHeight="1">
      <c r="A2" s="299"/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</row>
    <row r="3" spans="1:17" ht="15.75" customHeight="1">
      <c r="A3" s="430" t="s">
        <v>214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</row>
    <row r="4" spans="1:17" s="123" customFormat="1" ht="15.75" customHeight="1">
      <c r="A4" s="431"/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  <c r="M4" s="431"/>
    </row>
    <row r="5" spans="1:17" ht="15.75" customHeight="1">
      <c r="A5" s="336" t="s">
        <v>197</v>
      </c>
      <c r="B5" s="434">
        <v>1</v>
      </c>
      <c r="C5" s="434"/>
      <c r="D5" s="434">
        <v>2</v>
      </c>
      <c r="E5" s="434"/>
      <c r="F5" s="434">
        <v>3</v>
      </c>
      <c r="G5" s="434"/>
      <c r="H5" s="432">
        <v>4</v>
      </c>
      <c r="I5" s="432"/>
      <c r="J5" s="432">
        <v>5</v>
      </c>
      <c r="K5" s="432"/>
      <c r="L5" s="432">
        <v>6</v>
      </c>
      <c r="M5" s="432"/>
      <c r="N5" s="432">
        <v>7</v>
      </c>
      <c r="O5" s="432"/>
      <c r="P5" s="432">
        <v>8</v>
      </c>
      <c r="Q5" s="432"/>
    </row>
    <row r="6" spans="1:17" ht="15.75" customHeight="1">
      <c r="A6" s="336"/>
      <c r="B6" s="435" t="s">
        <v>337</v>
      </c>
      <c r="C6" s="435"/>
      <c r="D6" s="435" t="s">
        <v>215</v>
      </c>
      <c r="E6" s="435"/>
      <c r="F6" s="435" t="s">
        <v>171</v>
      </c>
      <c r="G6" s="435"/>
      <c r="H6" s="336" t="s">
        <v>194</v>
      </c>
      <c r="I6" s="336"/>
      <c r="J6" s="336" t="s">
        <v>195</v>
      </c>
      <c r="K6" s="336"/>
      <c r="L6" s="336" t="s">
        <v>172</v>
      </c>
      <c r="M6" s="336"/>
      <c r="N6" s="336" t="s">
        <v>196</v>
      </c>
      <c r="O6" s="336"/>
      <c r="P6" s="433" t="s">
        <v>220</v>
      </c>
      <c r="Q6" s="336"/>
    </row>
    <row r="8" spans="1:17" s="128" customFormat="1" ht="15.75" customHeight="1">
      <c r="A8" s="432" t="s">
        <v>198</v>
      </c>
      <c r="B8" s="432"/>
      <c r="C8" s="154" t="s">
        <v>47</v>
      </c>
      <c r="D8" s="451" t="s">
        <v>12</v>
      </c>
      <c r="E8" s="452"/>
      <c r="F8" s="453"/>
      <c r="G8" s="155" t="s">
        <v>53</v>
      </c>
      <c r="H8" s="156"/>
      <c r="I8" s="154"/>
      <c r="J8" s="157" t="s">
        <v>54</v>
      </c>
      <c r="K8" s="157" t="s">
        <v>55</v>
      </c>
      <c r="L8" s="157" t="s">
        <v>56</v>
      </c>
      <c r="M8" s="157" t="s">
        <v>11</v>
      </c>
      <c r="N8" s="157" t="s">
        <v>350</v>
      </c>
      <c r="O8" s="445" t="s">
        <v>51</v>
      </c>
      <c r="P8" s="446"/>
    </row>
    <row r="9" spans="1:17" ht="15.75" customHeight="1">
      <c r="A9" s="432">
        <v>1</v>
      </c>
      <c r="B9" s="450" t="s">
        <v>338</v>
      </c>
      <c r="C9" s="158">
        <v>1</v>
      </c>
      <c r="D9" s="442"/>
      <c r="E9" s="443"/>
      <c r="F9" s="444"/>
      <c r="G9" s="442"/>
      <c r="H9" s="443"/>
      <c r="I9" s="444"/>
      <c r="J9" s="159"/>
      <c r="K9" s="160"/>
      <c r="L9" s="159"/>
      <c r="M9" s="256">
        <f t="shared" ref="M9:M11" si="0">L9*J9</f>
        <v>0</v>
      </c>
      <c r="N9" s="159"/>
      <c r="O9" s="447"/>
      <c r="P9" s="448"/>
    </row>
    <row r="10" spans="1:17" ht="15.75" customHeight="1">
      <c r="A10" s="432"/>
      <c r="B10" s="450"/>
      <c r="C10" s="158">
        <v>2</v>
      </c>
      <c r="D10" s="442"/>
      <c r="E10" s="443"/>
      <c r="F10" s="444"/>
      <c r="G10" s="442"/>
      <c r="H10" s="443"/>
      <c r="I10" s="444"/>
      <c r="J10" s="159"/>
      <c r="K10" s="160"/>
      <c r="L10" s="159"/>
      <c r="M10" s="256">
        <f t="shared" si="0"/>
        <v>0</v>
      </c>
      <c r="N10" s="159"/>
      <c r="O10" s="447"/>
      <c r="P10" s="448"/>
    </row>
    <row r="11" spans="1:17" ht="15.75" customHeight="1">
      <c r="A11" s="432"/>
      <c r="B11" s="450"/>
      <c r="C11" s="158">
        <v>3</v>
      </c>
      <c r="D11" s="447"/>
      <c r="E11" s="443"/>
      <c r="F11" s="444"/>
      <c r="G11" s="442"/>
      <c r="H11" s="443"/>
      <c r="I11" s="444"/>
      <c r="J11" s="159"/>
      <c r="K11" s="160"/>
      <c r="L11" s="159"/>
      <c r="M11" s="256">
        <f t="shared" si="0"/>
        <v>0</v>
      </c>
      <c r="N11" s="159"/>
      <c r="O11" s="447"/>
      <c r="P11" s="448"/>
    </row>
    <row r="12" spans="1:17" ht="15.75" customHeight="1">
      <c r="A12" s="432"/>
      <c r="B12" s="450"/>
      <c r="C12" s="158">
        <v>4</v>
      </c>
      <c r="D12" s="442"/>
      <c r="E12" s="443"/>
      <c r="F12" s="444"/>
      <c r="G12" s="442"/>
      <c r="H12" s="443"/>
      <c r="I12" s="444"/>
      <c r="J12" s="159"/>
      <c r="K12" s="160"/>
      <c r="L12" s="159"/>
      <c r="M12" s="256">
        <f t="shared" ref="M12:M13" si="1">L12*J12</f>
        <v>0</v>
      </c>
      <c r="N12" s="159"/>
      <c r="O12" s="162"/>
      <c r="P12" s="163"/>
    </row>
    <row r="13" spans="1:17" ht="15.75" customHeight="1" thickBot="1">
      <c r="A13" s="432"/>
      <c r="B13" s="450"/>
      <c r="C13" s="164">
        <v>5</v>
      </c>
      <c r="D13" s="439"/>
      <c r="E13" s="440"/>
      <c r="F13" s="441"/>
      <c r="G13" s="439"/>
      <c r="H13" s="440"/>
      <c r="I13" s="441"/>
      <c r="J13" s="165"/>
      <c r="K13" s="166"/>
      <c r="L13" s="165"/>
      <c r="M13" s="257">
        <f t="shared" si="1"/>
        <v>0</v>
      </c>
      <c r="N13" s="159"/>
      <c r="O13" s="168"/>
      <c r="P13" s="169"/>
    </row>
    <row r="14" spans="1:17" ht="15.75" customHeight="1" thickTop="1" thickBot="1">
      <c r="A14" s="432"/>
      <c r="B14" s="450"/>
      <c r="C14" s="454"/>
      <c r="D14" s="454"/>
      <c r="E14" s="454"/>
      <c r="F14" s="454"/>
      <c r="G14" s="454"/>
      <c r="H14" s="454"/>
      <c r="I14" s="455"/>
      <c r="J14" s="170" t="s">
        <v>58</v>
      </c>
      <c r="K14" s="171" t="e">
        <f>M14/#REF!</f>
        <v>#REF!</v>
      </c>
      <c r="L14" s="170" t="s">
        <v>59</v>
      </c>
      <c r="M14" s="172">
        <f>SUM(M9:M13)</f>
        <v>0</v>
      </c>
      <c r="N14" s="436"/>
      <c r="O14" s="437"/>
      <c r="P14" s="438"/>
    </row>
    <row r="15" spans="1:17" ht="15.75" customHeight="1" thickTop="1"/>
    <row r="16" spans="1:17" ht="15.75" customHeight="1">
      <c r="A16" s="432" t="s">
        <v>198</v>
      </c>
      <c r="B16" s="432"/>
      <c r="C16" s="154" t="s">
        <v>47</v>
      </c>
      <c r="D16" s="451" t="s">
        <v>12</v>
      </c>
      <c r="E16" s="452"/>
      <c r="F16" s="453"/>
      <c r="G16" s="155" t="s">
        <v>53</v>
      </c>
      <c r="H16" s="156"/>
      <c r="I16" s="154"/>
      <c r="J16" s="157" t="s">
        <v>54</v>
      </c>
      <c r="K16" s="157" t="s">
        <v>55</v>
      </c>
      <c r="L16" s="157" t="s">
        <v>56</v>
      </c>
      <c r="M16" s="157" t="s">
        <v>11</v>
      </c>
      <c r="N16" s="157" t="s">
        <v>350</v>
      </c>
      <c r="O16" s="445" t="s">
        <v>51</v>
      </c>
      <c r="P16" s="446"/>
    </row>
    <row r="17" spans="1:16" ht="15.75" customHeight="1">
      <c r="A17" s="432">
        <v>2</v>
      </c>
      <c r="B17" s="450" t="s">
        <v>216</v>
      </c>
      <c r="C17" s="158">
        <v>1</v>
      </c>
      <c r="D17" s="447"/>
      <c r="E17" s="443"/>
      <c r="F17" s="444"/>
      <c r="G17" s="442"/>
      <c r="H17" s="443"/>
      <c r="I17" s="444"/>
      <c r="J17" s="159"/>
      <c r="K17" s="160"/>
      <c r="L17" s="159"/>
      <c r="M17" s="256">
        <f t="shared" ref="M17:M21" si="2">L17*J17</f>
        <v>0</v>
      </c>
      <c r="N17" s="294"/>
      <c r="O17" s="428"/>
      <c r="P17" s="429"/>
    </row>
    <row r="18" spans="1:16" ht="15.75" customHeight="1">
      <c r="A18" s="432"/>
      <c r="B18" s="450"/>
      <c r="C18" s="158">
        <v>2</v>
      </c>
      <c r="D18" s="447"/>
      <c r="E18" s="443"/>
      <c r="F18" s="444"/>
      <c r="G18" s="447"/>
      <c r="H18" s="443"/>
      <c r="I18" s="444"/>
      <c r="J18" s="159"/>
      <c r="K18" s="160"/>
      <c r="L18" s="159"/>
      <c r="M18" s="256">
        <f t="shared" si="2"/>
        <v>0</v>
      </c>
      <c r="N18" s="294"/>
      <c r="O18" s="428"/>
      <c r="P18" s="429"/>
    </row>
    <row r="19" spans="1:16" ht="15.75" customHeight="1">
      <c r="A19" s="432"/>
      <c r="B19" s="450"/>
      <c r="C19" s="158">
        <v>3</v>
      </c>
      <c r="D19" s="449"/>
      <c r="E19" s="443"/>
      <c r="F19" s="444"/>
      <c r="G19" s="442"/>
      <c r="H19" s="443"/>
      <c r="I19" s="444"/>
      <c r="J19" s="159"/>
      <c r="K19" s="160"/>
      <c r="L19" s="159"/>
      <c r="M19" s="256">
        <f t="shared" si="2"/>
        <v>0</v>
      </c>
      <c r="N19" s="294"/>
      <c r="O19" s="428"/>
      <c r="P19" s="429"/>
    </row>
    <row r="20" spans="1:16" ht="15.75" customHeight="1">
      <c r="A20" s="432"/>
      <c r="B20" s="450"/>
      <c r="C20" s="158">
        <v>4</v>
      </c>
      <c r="D20" s="449"/>
      <c r="E20" s="443"/>
      <c r="F20" s="444"/>
      <c r="G20" s="442"/>
      <c r="H20" s="443"/>
      <c r="I20" s="444"/>
      <c r="J20" s="159"/>
      <c r="K20" s="160"/>
      <c r="L20" s="159"/>
      <c r="M20" s="256">
        <f t="shared" si="2"/>
        <v>0</v>
      </c>
      <c r="N20" s="294"/>
      <c r="O20" s="428"/>
      <c r="P20" s="429"/>
    </row>
    <row r="21" spans="1:16" ht="15.75" customHeight="1" thickBot="1">
      <c r="A21" s="432"/>
      <c r="B21" s="450"/>
      <c r="C21" s="164">
        <v>5</v>
      </c>
      <c r="D21" s="442"/>
      <c r="E21" s="443"/>
      <c r="F21" s="444"/>
      <c r="G21" s="442"/>
      <c r="H21" s="443"/>
      <c r="I21" s="444"/>
      <c r="J21" s="159"/>
      <c r="K21" s="160"/>
      <c r="L21" s="159"/>
      <c r="M21" s="256">
        <f t="shared" si="2"/>
        <v>0</v>
      </c>
      <c r="N21" s="294"/>
      <c r="O21" s="428"/>
      <c r="P21" s="429"/>
    </row>
    <row r="22" spans="1:16" ht="15.75" customHeight="1" thickTop="1" thickBot="1">
      <c r="A22" s="432"/>
      <c r="B22" s="450"/>
      <c r="C22" s="454"/>
      <c r="D22" s="454"/>
      <c r="E22" s="454"/>
      <c r="F22" s="454"/>
      <c r="G22" s="454"/>
      <c r="H22" s="454"/>
      <c r="I22" s="455"/>
      <c r="J22" s="170" t="s">
        <v>58</v>
      </c>
      <c r="K22" s="171" t="e">
        <f>M22/#REF!</f>
        <v>#REF!</v>
      </c>
      <c r="L22" s="170" t="s">
        <v>59</v>
      </c>
      <c r="M22" s="293">
        <f>SUM(M17:M21)</f>
        <v>0</v>
      </c>
      <c r="N22" s="436"/>
      <c r="O22" s="437"/>
      <c r="P22" s="438"/>
    </row>
    <row r="23" spans="1:16" ht="15.75" customHeight="1" thickTop="1"/>
    <row r="24" spans="1:16" ht="15.75" customHeight="1">
      <c r="A24" s="432" t="s">
        <v>198</v>
      </c>
      <c r="B24" s="432"/>
      <c r="C24" s="154" t="s">
        <v>47</v>
      </c>
      <c r="D24" s="451" t="s">
        <v>12</v>
      </c>
      <c r="E24" s="452"/>
      <c r="F24" s="453"/>
      <c r="G24" s="155" t="s">
        <v>53</v>
      </c>
      <c r="H24" s="156"/>
      <c r="I24" s="154"/>
      <c r="J24" s="157" t="s">
        <v>54</v>
      </c>
      <c r="K24" s="157" t="s">
        <v>55</v>
      </c>
      <c r="L24" s="157" t="s">
        <v>56</v>
      </c>
      <c r="M24" s="157" t="s">
        <v>11</v>
      </c>
      <c r="N24" s="157" t="s">
        <v>13</v>
      </c>
      <c r="O24" s="445" t="s">
        <v>51</v>
      </c>
      <c r="P24" s="446"/>
    </row>
    <row r="25" spans="1:16" ht="15.75" customHeight="1">
      <c r="A25" s="432">
        <v>3</v>
      </c>
      <c r="B25" s="450" t="s">
        <v>199</v>
      </c>
      <c r="C25" s="158">
        <v>1</v>
      </c>
      <c r="D25" s="442"/>
      <c r="E25" s="443"/>
      <c r="F25" s="444"/>
      <c r="G25" s="442"/>
      <c r="H25" s="443"/>
      <c r="I25" s="444"/>
      <c r="J25" s="159"/>
      <c r="K25" s="160"/>
      <c r="L25" s="159"/>
      <c r="M25" s="161">
        <f t="shared" ref="M25:M29" si="3">L25*J25</f>
        <v>0</v>
      </c>
      <c r="N25" s="159"/>
      <c r="O25" s="162"/>
      <c r="P25" s="163"/>
    </row>
    <row r="26" spans="1:16" ht="15.75" customHeight="1">
      <c r="A26" s="432"/>
      <c r="B26" s="450"/>
      <c r="C26" s="158">
        <v>2</v>
      </c>
      <c r="D26" s="442"/>
      <c r="E26" s="443"/>
      <c r="F26" s="444"/>
      <c r="G26" s="442"/>
      <c r="H26" s="443"/>
      <c r="I26" s="444"/>
      <c r="J26" s="159"/>
      <c r="K26" s="160"/>
      <c r="L26" s="159"/>
      <c r="M26" s="161">
        <f t="shared" si="3"/>
        <v>0</v>
      </c>
      <c r="N26" s="159"/>
      <c r="O26" s="162"/>
      <c r="P26" s="163"/>
    </row>
    <row r="27" spans="1:16" ht="15.75" customHeight="1">
      <c r="A27" s="432"/>
      <c r="B27" s="450"/>
      <c r="C27" s="158">
        <v>3</v>
      </c>
      <c r="D27" s="442"/>
      <c r="E27" s="443"/>
      <c r="F27" s="444"/>
      <c r="G27" s="442"/>
      <c r="H27" s="443"/>
      <c r="I27" s="444"/>
      <c r="J27" s="159"/>
      <c r="K27" s="160"/>
      <c r="L27" s="159"/>
      <c r="M27" s="161">
        <f t="shared" si="3"/>
        <v>0</v>
      </c>
      <c r="N27" s="159"/>
      <c r="O27" s="162"/>
      <c r="P27" s="163"/>
    </row>
    <row r="28" spans="1:16" ht="15.75" customHeight="1">
      <c r="A28" s="432"/>
      <c r="B28" s="450"/>
      <c r="C28" s="158">
        <v>4</v>
      </c>
      <c r="D28" s="442"/>
      <c r="E28" s="443"/>
      <c r="F28" s="444"/>
      <c r="G28" s="442"/>
      <c r="H28" s="443"/>
      <c r="I28" s="444"/>
      <c r="J28" s="159"/>
      <c r="K28" s="160"/>
      <c r="L28" s="159"/>
      <c r="M28" s="161">
        <f t="shared" si="3"/>
        <v>0</v>
      </c>
      <c r="N28" s="159"/>
      <c r="O28" s="162"/>
      <c r="P28" s="163"/>
    </row>
    <row r="29" spans="1:16" ht="15.75" customHeight="1" thickBot="1">
      <c r="A29" s="432"/>
      <c r="B29" s="450"/>
      <c r="C29" s="164">
        <v>5</v>
      </c>
      <c r="D29" s="439"/>
      <c r="E29" s="440"/>
      <c r="F29" s="441"/>
      <c r="G29" s="439"/>
      <c r="H29" s="440"/>
      <c r="I29" s="441"/>
      <c r="J29" s="165"/>
      <c r="K29" s="166"/>
      <c r="L29" s="165"/>
      <c r="M29" s="167">
        <f t="shared" si="3"/>
        <v>0</v>
      </c>
      <c r="N29" s="159"/>
      <c r="O29" s="168"/>
      <c r="P29" s="169"/>
    </row>
    <row r="30" spans="1:16" ht="15.75" customHeight="1" thickTop="1" thickBot="1">
      <c r="A30" s="432"/>
      <c r="B30" s="450"/>
      <c r="C30" s="454"/>
      <c r="D30" s="454"/>
      <c r="E30" s="454"/>
      <c r="F30" s="454"/>
      <c r="G30" s="454"/>
      <c r="H30" s="454"/>
      <c r="I30" s="455"/>
      <c r="J30" s="170" t="s">
        <v>58</v>
      </c>
      <c r="K30" s="171" t="e">
        <f>M30/#REF!</f>
        <v>#REF!</v>
      </c>
      <c r="L30" s="170" t="s">
        <v>59</v>
      </c>
      <c r="M30" s="172">
        <f>SUM(M25:M29)</f>
        <v>0</v>
      </c>
      <c r="N30" s="436"/>
      <c r="O30" s="437"/>
      <c r="P30" s="438"/>
    </row>
    <row r="31" spans="1:16" ht="15.75" customHeight="1" thickTop="1"/>
  </sheetData>
  <mergeCells count="78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7" zoomScale="115" zoomScaleNormal="60" zoomScaleSheetLayoutView="115" workbookViewId="0">
      <selection activeCell="M20" sqref="M20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299" t="s">
        <v>213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</row>
    <row r="2" spans="1:17" s="123" customFormat="1" ht="15.75" customHeight="1">
      <c r="A2" s="299"/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</row>
    <row r="3" spans="1:17" s="122" customFormat="1" ht="15.75" customHeight="1">
      <c r="A3" s="430" t="s">
        <v>214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</row>
    <row r="4" spans="1:17" s="123" customFormat="1" ht="15.75" customHeight="1">
      <c r="A4" s="431"/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  <c r="M4" s="431"/>
    </row>
    <row r="5" spans="1:17" s="122" customFormat="1" ht="15.75" customHeight="1">
      <c r="A5" s="336" t="s">
        <v>197</v>
      </c>
      <c r="B5" s="432">
        <v>1</v>
      </c>
      <c r="C5" s="432"/>
      <c r="D5" s="432">
        <v>2</v>
      </c>
      <c r="E5" s="432"/>
      <c r="F5" s="432">
        <v>3</v>
      </c>
      <c r="G5" s="432"/>
      <c r="H5" s="434">
        <v>4</v>
      </c>
      <c r="I5" s="434"/>
      <c r="J5" s="434">
        <v>5</v>
      </c>
      <c r="K5" s="434"/>
      <c r="L5" s="434">
        <v>6</v>
      </c>
      <c r="M5" s="434"/>
      <c r="N5" s="434">
        <v>7</v>
      </c>
      <c r="O5" s="434"/>
      <c r="P5" s="432">
        <v>8</v>
      </c>
      <c r="Q5" s="432"/>
    </row>
    <row r="6" spans="1:17" s="122" customFormat="1" ht="15.75" customHeight="1">
      <c r="A6" s="336"/>
      <c r="B6" s="336" t="s">
        <v>339</v>
      </c>
      <c r="C6" s="336"/>
      <c r="D6" s="336" t="s">
        <v>215</v>
      </c>
      <c r="E6" s="336"/>
      <c r="F6" s="336" t="s">
        <v>171</v>
      </c>
      <c r="G6" s="336"/>
      <c r="H6" s="435" t="s">
        <v>194</v>
      </c>
      <c r="I6" s="435"/>
      <c r="J6" s="435" t="s">
        <v>195</v>
      </c>
      <c r="K6" s="435"/>
      <c r="L6" s="435" t="s">
        <v>172</v>
      </c>
      <c r="M6" s="435"/>
      <c r="N6" s="435" t="s">
        <v>196</v>
      </c>
      <c r="O6" s="435"/>
      <c r="P6" s="433" t="s">
        <v>220</v>
      </c>
      <c r="Q6" s="336"/>
    </row>
    <row r="7" spans="1:17" s="122" customFormat="1" ht="15.75" customHeight="1">
      <c r="B7" s="173"/>
      <c r="C7" s="152"/>
    </row>
    <row r="8" spans="1:17" s="112" customFormat="1" ht="15.75" customHeight="1">
      <c r="A8" s="456" t="s">
        <v>198</v>
      </c>
      <c r="B8" s="457"/>
      <c r="C8" s="119" t="s">
        <v>47</v>
      </c>
      <c r="D8" s="458" t="s">
        <v>12</v>
      </c>
      <c r="E8" s="459"/>
      <c r="F8" s="460"/>
      <c r="G8" s="117" t="s">
        <v>53</v>
      </c>
      <c r="H8" s="118"/>
      <c r="I8" s="119"/>
      <c r="J8" s="116" t="s">
        <v>54</v>
      </c>
      <c r="K8" s="116" t="s">
        <v>55</v>
      </c>
      <c r="L8" s="116" t="s">
        <v>56</v>
      </c>
      <c r="M8" s="120" t="s">
        <v>11</v>
      </c>
      <c r="N8" s="120" t="s">
        <v>350</v>
      </c>
      <c r="O8" s="461" t="s">
        <v>51</v>
      </c>
      <c r="P8" s="462"/>
    </row>
    <row r="9" spans="1:17" ht="15.75" customHeight="1">
      <c r="A9" s="457">
        <v>4</v>
      </c>
      <c r="B9" s="463" t="s">
        <v>217</v>
      </c>
      <c r="C9" s="114">
        <v>1</v>
      </c>
      <c r="D9" s="464" t="s">
        <v>564</v>
      </c>
      <c r="E9" s="465"/>
      <c r="F9" s="466"/>
      <c r="G9" s="447" t="s">
        <v>549</v>
      </c>
      <c r="H9" s="467"/>
      <c r="I9" s="468"/>
      <c r="J9" s="4">
        <v>536.89</v>
      </c>
      <c r="K9" s="14">
        <v>5.8299999999999998E-2</v>
      </c>
      <c r="L9" s="4">
        <v>3.45</v>
      </c>
      <c r="M9" s="258">
        <f t="shared" ref="M9:M13" si="0">L9*J9</f>
        <v>1852.2705000000001</v>
      </c>
      <c r="N9" s="291"/>
      <c r="O9" s="474" t="s">
        <v>532</v>
      </c>
      <c r="P9" s="475"/>
    </row>
    <row r="10" spans="1:17" ht="15.75" customHeight="1">
      <c r="A10" s="457"/>
      <c r="B10" s="463"/>
      <c r="C10" s="114">
        <v>2</v>
      </c>
      <c r="D10" s="469" t="s">
        <v>607</v>
      </c>
      <c r="E10" s="467"/>
      <c r="F10" s="468"/>
      <c r="G10" s="447" t="s">
        <v>608</v>
      </c>
      <c r="H10" s="467"/>
      <c r="I10" s="468"/>
      <c r="J10" s="4">
        <v>421.32</v>
      </c>
      <c r="K10" s="14">
        <v>9.7999999999999997E-3</v>
      </c>
      <c r="L10" s="4">
        <v>3.1</v>
      </c>
      <c r="M10" s="258">
        <f t="shared" si="0"/>
        <v>1306.0920000000001</v>
      </c>
      <c r="N10" s="291"/>
      <c r="O10" s="474" t="s">
        <v>532</v>
      </c>
      <c r="P10" s="475"/>
    </row>
    <row r="11" spans="1:17" ht="15.75" customHeight="1">
      <c r="A11" s="457"/>
      <c r="B11" s="463"/>
      <c r="C11" s="114">
        <v>3</v>
      </c>
      <c r="D11" s="469" t="s">
        <v>550</v>
      </c>
      <c r="E11" s="467"/>
      <c r="F11" s="468"/>
      <c r="G11" s="470" t="s">
        <v>609</v>
      </c>
      <c r="H11" s="467"/>
      <c r="I11" s="468"/>
      <c r="J11" s="4">
        <v>54.97</v>
      </c>
      <c r="K11" s="14">
        <v>0.21840000000000001</v>
      </c>
      <c r="L11" s="4">
        <v>8.5</v>
      </c>
      <c r="M11" s="258">
        <f t="shared" si="0"/>
        <v>467.245</v>
      </c>
      <c r="N11" s="291"/>
      <c r="O11" s="474" t="s">
        <v>532</v>
      </c>
      <c r="P11" s="475"/>
    </row>
    <row r="12" spans="1:17" ht="15.75" customHeight="1">
      <c r="A12" s="457"/>
      <c r="B12" s="463"/>
      <c r="C12" s="114">
        <v>4</v>
      </c>
      <c r="D12" s="469" t="s">
        <v>439</v>
      </c>
      <c r="E12" s="467"/>
      <c r="F12" s="468"/>
      <c r="G12" s="447" t="s">
        <v>610</v>
      </c>
      <c r="H12" s="467"/>
      <c r="I12" s="468"/>
      <c r="J12" s="4">
        <v>356.37</v>
      </c>
      <c r="K12" s="14">
        <v>1.01E-2</v>
      </c>
      <c r="L12" s="4">
        <v>0.8</v>
      </c>
      <c r="M12" s="258">
        <f t="shared" si="0"/>
        <v>285.096</v>
      </c>
      <c r="N12" s="291"/>
      <c r="O12" s="474" t="s">
        <v>532</v>
      </c>
      <c r="P12" s="475"/>
    </row>
    <row r="13" spans="1:17" ht="15.75" customHeight="1" thickBot="1">
      <c r="A13" s="457"/>
      <c r="B13" s="463"/>
      <c r="C13" s="115">
        <v>5</v>
      </c>
      <c r="D13" s="464" t="s">
        <v>413</v>
      </c>
      <c r="E13" s="465"/>
      <c r="F13" s="466"/>
      <c r="G13" s="464" t="s">
        <v>611</v>
      </c>
      <c r="H13" s="465"/>
      <c r="I13" s="466"/>
      <c r="J13" s="27">
        <v>85</v>
      </c>
      <c r="K13" s="30">
        <v>3.5999999999999999E-3</v>
      </c>
      <c r="L13" s="27">
        <v>1.5</v>
      </c>
      <c r="M13" s="259">
        <f t="shared" si="0"/>
        <v>127.5</v>
      </c>
      <c r="N13" s="291"/>
      <c r="O13" s="474" t="s">
        <v>532</v>
      </c>
      <c r="P13" s="475"/>
    </row>
    <row r="14" spans="1:17" ht="15.75" customHeight="1" thickTop="1" thickBot="1">
      <c r="A14" s="457"/>
      <c r="B14" s="463"/>
      <c r="C14" s="480"/>
      <c r="D14" s="480"/>
      <c r="E14" s="480"/>
      <c r="F14" s="480"/>
      <c r="G14" s="480"/>
      <c r="H14" s="480"/>
      <c r="I14" s="481"/>
      <c r="J14" s="121" t="s">
        <v>58</v>
      </c>
      <c r="K14" s="171" t="e">
        <f>M14/#REF!</f>
        <v>#REF!</v>
      </c>
      <c r="L14" s="121" t="s">
        <v>59</v>
      </c>
      <c r="M14" s="34">
        <v>0</v>
      </c>
      <c r="N14" s="471"/>
      <c r="O14" s="472"/>
      <c r="P14" s="473"/>
    </row>
    <row r="15" spans="1:17" ht="15.75" customHeight="1" thickTop="1"/>
    <row r="16" spans="1:17" ht="15.75" customHeight="1">
      <c r="A16" s="456" t="s">
        <v>198</v>
      </c>
      <c r="B16" s="457"/>
      <c r="C16" s="119" t="s">
        <v>47</v>
      </c>
      <c r="D16" s="458" t="s">
        <v>12</v>
      </c>
      <c r="E16" s="459"/>
      <c r="F16" s="460"/>
      <c r="G16" s="117" t="s">
        <v>53</v>
      </c>
      <c r="H16" s="118"/>
      <c r="I16" s="119"/>
      <c r="J16" s="116" t="s">
        <v>54</v>
      </c>
      <c r="K16" s="116" t="s">
        <v>55</v>
      </c>
      <c r="L16" s="116" t="s">
        <v>56</v>
      </c>
      <c r="M16" s="120" t="s">
        <v>11</v>
      </c>
      <c r="N16" s="120" t="s">
        <v>350</v>
      </c>
      <c r="O16" s="461" t="s">
        <v>51</v>
      </c>
      <c r="P16" s="462"/>
    </row>
    <row r="17" spans="1:16" ht="15.75" customHeight="1">
      <c r="A17" s="457">
        <v>5</v>
      </c>
      <c r="B17" s="476" t="s">
        <v>218</v>
      </c>
      <c r="C17" s="114">
        <v>1</v>
      </c>
      <c r="D17" s="449" t="s">
        <v>409</v>
      </c>
      <c r="E17" s="467"/>
      <c r="F17" s="468"/>
      <c r="G17" s="470" t="s">
        <v>612</v>
      </c>
      <c r="H17" s="467"/>
      <c r="I17" s="468"/>
      <c r="J17" s="4">
        <v>4.5</v>
      </c>
      <c r="K17" s="14">
        <v>4.4000000000000003E-3</v>
      </c>
      <c r="L17" s="4">
        <v>84</v>
      </c>
      <c r="M17" s="258">
        <f>L17*J17</f>
        <v>378</v>
      </c>
      <c r="N17" s="4"/>
      <c r="O17" s="474"/>
      <c r="P17" s="475"/>
    </row>
    <row r="18" spans="1:16" ht="15.75" customHeight="1">
      <c r="A18" s="457"/>
      <c r="B18" s="463"/>
      <c r="C18" s="114">
        <v>2</v>
      </c>
      <c r="D18" s="449" t="s">
        <v>613</v>
      </c>
      <c r="E18" s="467"/>
      <c r="F18" s="468"/>
      <c r="G18" s="477" t="s">
        <v>614</v>
      </c>
      <c r="H18" s="467"/>
      <c r="I18" s="468"/>
      <c r="J18" s="4">
        <v>6.07</v>
      </c>
      <c r="K18" s="14">
        <v>1.29E-2</v>
      </c>
      <c r="L18" s="4">
        <v>37</v>
      </c>
      <c r="M18" s="258">
        <f t="shared" ref="M18:M21" si="1">L18*J18</f>
        <v>224.59</v>
      </c>
      <c r="N18" s="4"/>
      <c r="O18" s="474"/>
      <c r="P18" s="475"/>
    </row>
    <row r="19" spans="1:16" ht="15.75" customHeight="1">
      <c r="A19" s="457"/>
      <c r="B19" s="463"/>
      <c r="C19" s="114">
        <v>3</v>
      </c>
      <c r="D19" s="469" t="s">
        <v>550</v>
      </c>
      <c r="E19" s="467"/>
      <c r="F19" s="468"/>
      <c r="G19" s="470" t="s">
        <v>615</v>
      </c>
      <c r="H19" s="467"/>
      <c r="I19" s="468"/>
      <c r="J19" s="4">
        <v>146.16</v>
      </c>
      <c r="K19" s="14">
        <v>5.4000000000000003E-3</v>
      </c>
      <c r="L19" s="4">
        <v>1.2</v>
      </c>
      <c r="M19" s="258">
        <f t="shared" si="1"/>
        <v>175.392</v>
      </c>
      <c r="N19" s="4"/>
      <c r="O19" s="474"/>
      <c r="P19" s="475"/>
    </row>
    <row r="20" spans="1:16" ht="15.75" customHeight="1">
      <c r="A20" s="457"/>
      <c r="B20" s="463"/>
      <c r="C20" s="114">
        <v>4</v>
      </c>
      <c r="D20" s="469" t="s">
        <v>550</v>
      </c>
      <c r="E20" s="467"/>
      <c r="F20" s="468"/>
      <c r="G20" s="479" t="s">
        <v>616</v>
      </c>
      <c r="H20" s="467"/>
      <c r="I20" s="468"/>
      <c r="J20" s="4">
        <v>2</v>
      </c>
      <c r="K20" s="14">
        <v>6.3E-3</v>
      </c>
      <c r="L20" s="4">
        <v>59</v>
      </c>
      <c r="M20" s="258">
        <f t="shared" si="1"/>
        <v>118</v>
      </c>
      <c r="N20" s="4"/>
      <c r="O20" s="76"/>
      <c r="P20" s="74"/>
    </row>
    <row r="21" spans="1:16" ht="15.75" customHeight="1" thickBot="1">
      <c r="A21" s="457"/>
      <c r="B21" s="463"/>
      <c r="C21" s="115">
        <v>5</v>
      </c>
      <c r="D21" s="478"/>
      <c r="E21" s="465"/>
      <c r="F21" s="466"/>
      <c r="G21" s="478"/>
      <c r="H21" s="465"/>
      <c r="I21" s="466"/>
      <c r="J21" s="27"/>
      <c r="K21" s="30"/>
      <c r="L21" s="27"/>
      <c r="M21" s="258">
        <f t="shared" si="1"/>
        <v>0</v>
      </c>
      <c r="N21" s="4"/>
      <c r="O21" s="77"/>
      <c r="P21" s="75"/>
    </row>
    <row r="22" spans="1:16" ht="15.75" customHeight="1" thickTop="1" thickBot="1">
      <c r="A22" s="457"/>
      <c r="B22" s="463"/>
      <c r="C22" s="480"/>
      <c r="D22" s="480"/>
      <c r="E22" s="480"/>
      <c r="F22" s="480"/>
      <c r="G22" s="480"/>
      <c r="H22" s="480"/>
      <c r="I22" s="481"/>
      <c r="J22" s="121" t="s">
        <v>58</v>
      </c>
      <c r="K22" s="171" t="e">
        <f>M22/#REF!</f>
        <v>#REF!</v>
      </c>
      <c r="L22" s="121" t="s">
        <v>59</v>
      </c>
      <c r="M22" s="34">
        <v>0</v>
      </c>
      <c r="N22" s="471"/>
      <c r="O22" s="472"/>
      <c r="P22" s="473"/>
    </row>
    <row r="23" spans="1:16" ht="15.75" customHeight="1" thickTop="1"/>
    <row r="24" spans="1:16" ht="15.75" customHeight="1">
      <c r="A24" s="456" t="s">
        <v>198</v>
      </c>
      <c r="B24" s="457"/>
      <c r="C24" s="119" t="s">
        <v>47</v>
      </c>
      <c r="D24" s="458" t="s">
        <v>12</v>
      </c>
      <c r="E24" s="459"/>
      <c r="F24" s="460"/>
      <c r="G24" s="117" t="s">
        <v>53</v>
      </c>
      <c r="H24" s="118"/>
      <c r="I24" s="119"/>
      <c r="J24" s="116" t="s">
        <v>54</v>
      </c>
      <c r="K24" s="116" t="s">
        <v>55</v>
      </c>
      <c r="L24" s="116" t="s">
        <v>56</v>
      </c>
      <c r="M24" s="120" t="s">
        <v>11</v>
      </c>
      <c r="N24" s="120" t="s">
        <v>13</v>
      </c>
      <c r="O24" s="461" t="s">
        <v>51</v>
      </c>
      <c r="P24" s="462"/>
    </row>
    <row r="25" spans="1:16" ht="15.75" customHeight="1">
      <c r="A25" s="457">
        <v>6</v>
      </c>
      <c r="B25" s="476" t="s">
        <v>219</v>
      </c>
      <c r="C25" s="114">
        <v>1</v>
      </c>
      <c r="D25" s="442" t="s">
        <v>437</v>
      </c>
      <c r="E25" s="443"/>
      <c r="F25" s="444"/>
      <c r="G25" s="442" t="s">
        <v>436</v>
      </c>
      <c r="H25" s="443"/>
      <c r="I25" s="444"/>
      <c r="J25" s="159">
        <v>335.3</v>
      </c>
      <c r="K25" s="160">
        <v>1.1599999999999999E-2</v>
      </c>
      <c r="L25" s="159">
        <v>7.06</v>
      </c>
      <c r="M25" s="256">
        <f t="shared" ref="M25:M27" si="2">L25*J25</f>
        <v>2367.2179999999998</v>
      </c>
      <c r="N25" s="291">
        <v>0.73970000000000002</v>
      </c>
      <c r="O25" s="447" t="s">
        <v>438</v>
      </c>
      <c r="P25" s="448"/>
    </row>
    <row r="26" spans="1:16" ht="15.75" customHeight="1">
      <c r="A26" s="457"/>
      <c r="B26" s="463"/>
      <c r="C26" s="114">
        <v>2</v>
      </c>
      <c r="D26" s="447"/>
      <c r="E26" s="467"/>
      <c r="F26" s="468"/>
      <c r="G26" s="447"/>
      <c r="H26" s="467"/>
      <c r="I26" s="468"/>
      <c r="J26" s="4"/>
      <c r="K26" s="14"/>
      <c r="L26" s="4"/>
      <c r="M26" s="256">
        <f t="shared" si="2"/>
        <v>0</v>
      </c>
      <c r="N26" s="291"/>
      <c r="O26" s="447"/>
      <c r="P26" s="448"/>
    </row>
    <row r="27" spans="1:16" ht="15.75" customHeight="1">
      <c r="A27" s="457"/>
      <c r="B27" s="463"/>
      <c r="C27" s="114">
        <v>3</v>
      </c>
      <c r="D27" s="447"/>
      <c r="E27" s="467"/>
      <c r="F27" s="468"/>
      <c r="G27" s="477"/>
      <c r="H27" s="467"/>
      <c r="I27" s="468"/>
      <c r="J27" s="4"/>
      <c r="K27" s="14"/>
      <c r="L27" s="4"/>
      <c r="M27" s="256">
        <f t="shared" si="2"/>
        <v>0</v>
      </c>
      <c r="N27" s="291"/>
      <c r="O27" s="447"/>
      <c r="P27" s="448"/>
    </row>
    <row r="28" spans="1:16" ht="15.75" customHeight="1">
      <c r="A28" s="457"/>
      <c r="B28" s="463"/>
      <c r="C28" s="114">
        <v>4</v>
      </c>
      <c r="D28" s="479"/>
      <c r="E28" s="467"/>
      <c r="F28" s="468"/>
      <c r="G28" s="479"/>
      <c r="H28" s="467"/>
      <c r="I28" s="468"/>
      <c r="J28" s="4"/>
      <c r="K28" s="14"/>
      <c r="L28" s="4"/>
      <c r="M28" s="258"/>
      <c r="N28" s="291"/>
      <c r="O28" s="474"/>
      <c r="P28" s="482"/>
    </row>
    <row r="29" spans="1:16" ht="15.75" customHeight="1" thickBot="1">
      <c r="A29" s="457"/>
      <c r="B29" s="463"/>
      <c r="C29" s="115">
        <v>5</v>
      </c>
      <c r="D29" s="478"/>
      <c r="E29" s="465"/>
      <c r="F29" s="466"/>
      <c r="G29" s="478"/>
      <c r="H29" s="465"/>
      <c r="I29" s="466"/>
      <c r="J29" s="27"/>
      <c r="K29" s="30"/>
      <c r="L29" s="27"/>
      <c r="M29" s="259"/>
      <c r="N29" s="291"/>
      <c r="O29" s="483"/>
      <c r="P29" s="475"/>
    </row>
    <row r="30" spans="1:16" ht="15.75" customHeight="1" thickTop="1" thickBot="1">
      <c r="A30" s="457"/>
      <c r="B30" s="463"/>
      <c r="C30" s="480"/>
      <c r="D30" s="480"/>
      <c r="E30" s="480"/>
      <c r="F30" s="480"/>
      <c r="G30" s="480"/>
      <c r="H30" s="480"/>
      <c r="I30" s="481"/>
      <c r="J30" s="121" t="s">
        <v>58</v>
      </c>
      <c r="K30" s="171" t="e">
        <f>M30/#REF!</f>
        <v>#REF!</v>
      </c>
      <c r="L30" s="121" t="s">
        <v>59</v>
      </c>
      <c r="M30" s="34">
        <v>0</v>
      </c>
      <c r="N30" s="471"/>
      <c r="O30" s="472"/>
      <c r="P30" s="473"/>
    </row>
    <row r="31" spans="1:16" ht="15.75" customHeight="1" thickTop="1"/>
    <row r="32" spans="1:16" ht="15.75" customHeight="1">
      <c r="A32" s="456" t="s">
        <v>198</v>
      </c>
      <c r="B32" s="457"/>
      <c r="C32" s="119" t="s">
        <v>47</v>
      </c>
      <c r="D32" s="458" t="s">
        <v>12</v>
      </c>
      <c r="E32" s="459"/>
      <c r="F32" s="460"/>
      <c r="G32" s="117" t="s">
        <v>53</v>
      </c>
      <c r="H32" s="118"/>
      <c r="I32" s="119"/>
      <c r="J32" s="116" t="s">
        <v>54</v>
      </c>
      <c r="K32" s="116" t="s">
        <v>55</v>
      </c>
      <c r="L32" s="116" t="s">
        <v>56</v>
      </c>
      <c r="M32" s="120" t="s">
        <v>11</v>
      </c>
      <c r="N32" s="120" t="s">
        <v>13</v>
      </c>
      <c r="O32" s="461" t="s">
        <v>51</v>
      </c>
      <c r="P32" s="462"/>
    </row>
    <row r="33" spans="1:16" ht="15.75" customHeight="1">
      <c r="A33" s="457">
        <v>7</v>
      </c>
      <c r="B33" s="476" t="s">
        <v>199</v>
      </c>
      <c r="C33" s="114">
        <v>1</v>
      </c>
      <c r="D33" s="479"/>
      <c r="E33" s="467"/>
      <c r="F33" s="468"/>
      <c r="G33" s="479"/>
      <c r="H33" s="467"/>
      <c r="I33" s="46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457"/>
      <c r="B34" s="463"/>
      <c r="C34" s="114">
        <v>2</v>
      </c>
      <c r="D34" s="479"/>
      <c r="E34" s="467"/>
      <c r="F34" s="468"/>
      <c r="G34" s="479"/>
      <c r="H34" s="467"/>
      <c r="I34" s="46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457"/>
      <c r="B35" s="463"/>
      <c r="C35" s="114">
        <v>3</v>
      </c>
      <c r="D35" s="479"/>
      <c r="E35" s="467"/>
      <c r="F35" s="468"/>
      <c r="G35" s="479"/>
      <c r="H35" s="467"/>
      <c r="I35" s="46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457"/>
      <c r="B36" s="463"/>
      <c r="C36" s="114">
        <v>4</v>
      </c>
      <c r="D36" s="479"/>
      <c r="E36" s="467"/>
      <c r="F36" s="468"/>
      <c r="G36" s="479"/>
      <c r="H36" s="467"/>
      <c r="I36" s="468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457"/>
      <c r="B37" s="463"/>
      <c r="C37" s="115">
        <v>5</v>
      </c>
      <c r="D37" s="478"/>
      <c r="E37" s="465"/>
      <c r="F37" s="466"/>
      <c r="G37" s="478"/>
      <c r="H37" s="465"/>
      <c r="I37" s="46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457"/>
      <c r="B38" s="463"/>
      <c r="C38" s="480"/>
      <c r="D38" s="480"/>
      <c r="E38" s="480"/>
      <c r="F38" s="480"/>
      <c r="G38" s="480"/>
      <c r="H38" s="480"/>
      <c r="I38" s="481"/>
      <c r="J38" s="121" t="s">
        <v>58</v>
      </c>
      <c r="K38" s="171" t="e">
        <f>M38/#REF!</f>
        <v>#REF!</v>
      </c>
      <c r="L38" s="121" t="s">
        <v>59</v>
      </c>
      <c r="M38" s="34">
        <v>0</v>
      </c>
      <c r="N38" s="471"/>
      <c r="O38" s="472"/>
      <c r="P38" s="473"/>
    </row>
    <row r="39" spans="1:16" ht="15.75" customHeight="1" thickTop="1"/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J16" sqref="J16"/>
    </sheetView>
  </sheetViews>
  <sheetFormatPr defaultColWidth="12.5703125" defaultRowHeight="15.75" customHeight="1"/>
  <cols>
    <col min="1" max="1" width="5.42578125" style="122" customWidth="1"/>
    <col min="2" max="2" width="7.85546875" style="174" customWidth="1"/>
    <col min="3" max="3" width="4" style="152" customWidth="1"/>
    <col min="4" max="17" width="8.5703125" style="122" customWidth="1"/>
    <col min="18" max="16384" width="12.5703125" style="122"/>
  </cols>
  <sheetData>
    <row r="1" spans="1:17" ht="15.75" customHeight="1">
      <c r="A1" s="299" t="s">
        <v>213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</row>
    <row r="2" spans="1:17" s="123" customFormat="1" ht="15.75" customHeight="1">
      <c r="A2" s="299"/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</row>
    <row r="3" spans="1:17" ht="15.75" customHeight="1">
      <c r="A3" s="430" t="s">
        <v>221</v>
      </c>
      <c r="B3" s="430"/>
      <c r="C3" s="430"/>
      <c r="D3" s="430"/>
      <c r="E3" s="430"/>
      <c r="F3" s="430"/>
      <c r="G3" s="430"/>
      <c r="H3" s="430"/>
      <c r="I3" s="430"/>
      <c r="J3" s="430"/>
      <c r="K3" s="430"/>
      <c r="L3" s="430"/>
      <c r="M3" s="430"/>
      <c r="N3" s="430"/>
      <c r="O3" s="430"/>
      <c r="P3" s="430"/>
      <c r="Q3" s="430"/>
    </row>
    <row r="4" spans="1:17" s="123" customFormat="1" ht="15.75" customHeight="1">
      <c r="A4" s="485"/>
      <c r="B4" s="485"/>
      <c r="C4" s="485"/>
      <c r="D4" s="48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</row>
    <row r="5" spans="1:17" ht="15.75" customHeight="1">
      <c r="A5" s="336" t="s">
        <v>197</v>
      </c>
      <c r="B5" s="432">
        <v>1</v>
      </c>
      <c r="C5" s="432"/>
      <c r="D5" s="432">
        <v>2</v>
      </c>
      <c r="E5" s="432"/>
      <c r="F5" s="432">
        <v>3</v>
      </c>
      <c r="G5" s="432"/>
      <c r="H5" s="432">
        <v>4</v>
      </c>
      <c r="I5" s="432"/>
      <c r="J5" s="432">
        <v>5</v>
      </c>
      <c r="K5" s="432"/>
      <c r="L5" s="432">
        <v>6</v>
      </c>
      <c r="M5" s="432"/>
      <c r="N5" s="432">
        <v>7</v>
      </c>
      <c r="O5" s="432"/>
      <c r="P5" s="434">
        <v>8</v>
      </c>
      <c r="Q5" s="434"/>
    </row>
    <row r="6" spans="1:17" ht="15.75" customHeight="1">
      <c r="A6" s="336"/>
      <c r="B6" s="336" t="s">
        <v>340</v>
      </c>
      <c r="C6" s="336"/>
      <c r="D6" s="336" t="s">
        <v>222</v>
      </c>
      <c r="E6" s="336"/>
      <c r="F6" s="336" t="s">
        <v>171</v>
      </c>
      <c r="G6" s="336"/>
      <c r="H6" s="336" t="s">
        <v>194</v>
      </c>
      <c r="I6" s="336"/>
      <c r="J6" s="336" t="s">
        <v>195</v>
      </c>
      <c r="K6" s="336"/>
      <c r="L6" s="336" t="s">
        <v>172</v>
      </c>
      <c r="M6" s="336"/>
      <c r="N6" s="336" t="s">
        <v>196</v>
      </c>
      <c r="O6" s="336"/>
      <c r="P6" s="435" t="s">
        <v>223</v>
      </c>
      <c r="Q6" s="435"/>
    </row>
    <row r="8" spans="1:17" s="128" customFormat="1" ht="15.75" customHeight="1">
      <c r="A8" s="153" t="s">
        <v>201</v>
      </c>
      <c r="B8" s="177" t="s">
        <v>18</v>
      </c>
      <c r="C8" s="486" t="s">
        <v>12</v>
      </c>
      <c r="D8" s="486"/>
      <c r="E8" s="486"/>
      <c r="F8" s="486" t="s">
        <v>53</v>
      </c>
      <c r="G8" s="486"/>
      <c r="H8" s="486"/>
      <c r="I8" s="177" t="s">
        <v>54</v>
      </c>
      <c r="J8" s="178" t="s">
        <v>19</v>
      </c>
      <c r="K8" s="177" t="s">
        <v>57</v>
      </c>
      <c r="L8" s="177" t="s">
        <v>2</v>
      </c>
      <c r="M8" s="489" t="s">
        <v>50</v>
      </c>
      <c r="N8" s="454"/>
      <c r="O8" s="454"/>
      <c r="P8" s="454"/>
      <c r="Q8" s="454"/>
    </row>
    <row r="9" spans="1:17" ht="15.75" customHeight="1">
      <c r="A9" s="486" t="s">
        <v>200</v>
      </c>
      <c r="B9" s="151">
        <v>1</v>
      </c>
      <c r="C9" s="487"/>
      <c r="D9" s="488"/>
      <c r="E9" s="488"/>
      <c r="F9" s="487"/>
      <c r="G9" s="488"/>
      <c r="H9" s="488"/>
      <c r="I9" s="130"/>
      <c r="J9" s="141"/>
      <c r="K9" s="141"/>
      <c r="L9" s="176">
        <f t="shared" ref="L9:L13" si="0">K9-J9</f>
        <v>0</v>
      </c>
      <c r="M9" s="487"/>
      <c r="N9" s="487"/>
      <c r="O9" s="487"/>
      <c r="P9" s="487"/>
      <c r="Q9" s="487"/>
    </row>
    <row r="10" spans="1:17" ht="15.75" customHeight="1">
      <c r="A10" s="492"/>
      <c r="B10" s="151">
        <v>2</v>
      </c>
      <c r="C10" s="487"/>
      <c r="D10" s="488"/>
      <c r="E10" s="488"/>
      <c r="F10" s="487"/>
      <c r="G10" s="488"/>
      <c r="H10" s="488"/>
      <c r="I10" s="130"/>
      <c r="J10" s="141"/>
      <c r="K10" s="141"/>
      <c r="L10" s="176">
        <f t="shared" si="0"/>
        <v>0</v>
      </c>
      <c r="M10" s="487"/>
      <c r="N10" s="487"/>
      <c r="O10" s="487"/>
      <c r="P10" s="487"/>
      <c r="Q10" s="487"/>
    </row>
    <row r="11" spans="1:17" ht="15.75" customHeight="1">
      <c r="A11" s="492"/>
      <c r="B11" s="151">
        <v>3</v>
      </c>
      <c r="C11" s="487"/>
      <c r="D11" s="488"/>
      <c r="E11" s="488"/>
      <c r="F11" s="487"/>
      <c r="G11" s="488"/>
      <c r="H11" s="488"/>
      <c r="I11" s="130"/>
      <c r="J11" s="141"/>
      <c r="K11" s="141"/>
      <c r="L11" s="176">
        <f t="shared" si="0"/>
        <v>0</v>
      </c>
      <c r="M11" s="487"/>
      <c r="N11" s="487"/>
      <c r="O11" s="487"/>
      <c r="P11" s="487"/>
      <c r="Q11" s="487"/>
    </row>
    <row r="12" spans="1:17" ht="15.75" customHeight="1">
      <c r="A12" s="492"/>
      <c r="B12" s="151">
        <v>4</v>
      </c>
      <c r="C12" s="487"/>
      <c r="D12" s="488"/>
      <c r="E12" s="488"/>
      <c r="F12" s="487"/>
      <c r="G12" s="488"/>
      <c r="H12" s="488"/>
      <c r="I12" s="130"/>
      <c r="J12" s="141"/>
      <c r="K12" s="141"/>
      <c r="L12" s="176">
        <f t="shared" si="0"/>
        <v>0</v>
      </c>
      <c r="M12" s="487"/>
      <c r="N12" s="487"/>
      <c r="O12" s="487"/>
      <c r="P12" s="487"/>
      <c r="Q12" s="487"/>
    </row>
    <row r="13" spans="1:17" ht="15.75" customHeight="1">
      <c r="A13" s="492"/>
      <c r="B13" s="151">
        <v>5</v>
      </c>
      <c r="C13" s="487"/>
      <c r="D13" s="488"/>
      <c r="E13" s="488"/>
      <c r="F13" s="487"/>
      <c r="G13" s="488"/>
      <c r="H13" s="488"/>
      <c r="I13" s="130"/>
      <c r="J13" s="141"/>
      <c r="K13" s="141"/>
      <c r="L13" s="176">
        <f t="shared" si="0"/>
        <v>0</v>
      </c>
      <c r="M13" s="487"/>
      <c r="N13" s="487"/>
      <c r="O13" s="487"/>
      <c r="P13" s="487"/>
      <c r="Q13" s="487"/>
    </row>
    <row r="14" spans="1:17" ht="15.75" customHeight="1">
      <c r="A14" s="490"/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490"/>
      <c r="O14" s="491"/>
    </row>
    <row r="15" spans="1:17" s="128" customFormat="1" ht="15.75" customHeight="1">
      <c r="A15" s="153" t="s">
        <v>201</v>
      </c>
      <c r="B15" s="153" t="s">
        <v>18</v>
      </c>
      <c r="C15" s="484" t="s">
        <v>12</v>
      </c>
      <c r="D15" s="484"/>
      <c r="E15" s="484"/>
      <c r="F15" s="484" t="s">
        <v>53</v>
      </c>
      <c r="G15" s="484"/>
      <c r="H15" s="484"/>
      <c r="I15" s="153" t="s">
        <v>54</v>
      </c>
      <c r="J15" s="175" t="s">
        <v>19</v>
      </c>
      <c r="K15" s="153" t="s">
        <v>57</v>
      </c>
      <c r="L15" s="153" t="s">
        <v>2</v>
      </c>
      <c r="M15" s="484" t="s">
        <v>50</v>
      </c>
      <c r="N15" s="484"/>
      <c r="O15" s="484"/>
      <c r="P15" s="484"/>
      <c r="Q15" s="484"/>
    </row>
    <row r="16" spans="1:17" ht="15.75" customHeight="1">
      <c r="A16" s="484" t="s">
        <v>202</v>
      </c>
      <c r="B16" s="151">
        <v>1</v>
      </c>
      <c r="C16" s="487"/>
      <c r="D16" s="488"/>
      <c r="E16" s="488"/>
      <c r="F16" s="487"/>
      <c r="G16" s="488"/>
      <c r="H16" s="488"/>
      <c r="I16" s="130"/>
      <c r="J16" s="141"/>
      <c r="K16" s="141"/>
      <c r="L16" s="176">
        <f t="shared" ref="L16:L19" si="1">K16-J16</f>
        <v>0</v>
      </c>
      <c r="M16" s="487"/>
      <c r="N16" s="487"/>
      <c r="O16" s="487"/>
      <c r="P16" s="487"/>
      <c r="Q16" s="487"/>
    </row>
    <row r="17" spans="1:17" ht="15.75" customHeight="1">
      <c r="A17" s="484"/>
      <c r="B17" s="151">
        <v>2</v>
      </c>
      <c r="C17" s="487"/>
      <c r="D17" s="488"/>
      <c r="E17" s="488"/>
      <c r="F17" s="487"/>
      <c r="G17" s="488"/>
      <c r="H17" s="488"/>
      <c r="I17" s="130"/>
      <c r="J17" s="141"/>
      <c r="K17" s="141"/>
      <c r="L17" s="176">
        <f t="shared" si="1"/>
        <v>0</v>
      </c>
      <c r="M17" s="487"/>
      <c r="N17" s="487"/>
      <c r="O17" s="487"/>
      <c r="P17" s="487"/>
      <c r="Q17" s="487"/>
    </row>
    <row r="18" spans="1:17" ht="15.75" customHeight="1">
      <c r="A18" s="484"/>
      <c r="B18" s="151">
        <v>3</v>
      </c>
      <c r="C18" s="487"/>
      <c r="D18" s="488"/>
      <c r="E18" s="488"/>
      <c r="F18" s="487"/>
      <c r="G18" s="488"/>
      <c r="H18" s="488"/>
      <c r="I18" s="130"/>
      <c r="J18" s="141"/>
      <c r="K18" s="141"/>
      <c r="L18" s="176">
        <f t="shared" si="1"/>
        <v>0</v>
      </c>
      <c r="M18" s="487"/>
      <c r="N18" s="487"/>
      <c r="O18" s="487"/>
      <c r="P18" s="487"/>
      <c r="Q18" s="487"/>
    </row>
    <row r="19" spans="1:17" ht="15.75" customHeight="1">
      <c r="A19" s="484"/>
      <c r="B19" s="151">
        <v>4</v>
      </c>
      <c r="C19" s="487"/>
      <c r="D19" s="488"/>
      <c r="E19" s="488"/>
      <c r="F19" s="487"/>
      <c r="G19" s="488"/>
      <c r="H19" s="488"/>
      <c r="I19" s="130"/>
      <c r="J19" s="141"/>
      <c r="K19" s="141"/>
      <c r="L19" s="176">
        <f t="shared" si="1"/>
        <v>0</v>
      </c>
      <c r="M19" s="487"/>
      <c r="N19" s="487"/>
      <c r="O19" s="487"/>
      <c r="P19" s="487"/>
      <c r="Q19" s="487"/>
    </row>
    <row r="20" spans="1:17" ht="15.75" customHeight="1">
      <c r="A20" s="484"/>
      <c r="B20" s="151">
        <v>5</v>
      </c>
      <c r="C20" s="487"/>
      <c r="D20" s="488"/>
      <c r="E20" s="488"/>
      <c r="F20" s="487"/>
      <c r="G20" s="488"/>
      <c r="H20" s="488"/>
      <c r="I20" s="130"/>
      <c r="J20" s="141"/>
      <c r="K20" s="141"/>
      <c r="L20" s="176">
        <f>K20-J20</f>
        <v>0</v>
      </c>
      <c r="M20" s="487"/>
      <c r="N20" s="487"/>
      <c r="O20" s="487"/>
      <c r="P20" s="487"/>
      <c r="Q20" s="487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26"/>
  <sheetViews>
    <sheetView zoomScale="70" zoomScaleNormal="70" workbookViewId="0">
      <pane xSplit="4" ySplit="6" topLeftCell="E31" activePane="bottomRight" state="frozen"/>
      <selection activeCell="Z121" sqref="Z121"/>
      <selection pane="topRight" activeCell="Z121" sqref="Z121"/>
      <selection pane="bottomLeft" activeCell="Z121" sqref="Z121"/>
      <selection pane="bottomRight" activeCell="X66" sqref="E57:X66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10.2851562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0.28515625" style="196" bestFit="1" customWidth="1"/>
    <col min="20" max="20" width="12.42578125" style="196" bestFit="1" customWidth="1"/>
    <col min="21" max="21" width="25.28515625" style="196" bestFit="1" customWidth="1"/>
    <col min="22" max="22" width="88.28515625" style="196" customWidth="1"/>
    <col min="23" max="23" width="7.42578125" style="196" bestFit="1" customWidth="1"/>
    <col min="24" max="24" width="69.57031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1" t="s">
        <v>261</v>
      </c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02"/>
      <c r="X2" s="502"/>
      <c r="Z2" s="197"/>
      <c r="AA2" s="197"/>
    </row>
    <row r="3" spans="2:34" ht="17.100000000000001" customHeight="1">
      <c r="B3" s="503" t="s">
        <v>246</v>
      </c>
      <c r="C3" s="504"/>
      <c r="D3" s="500" t="s">
        <v>175</v>
      </c>
      <c r="E3" s="500"/>
      <c r="F3" s="500"/>
      <c r="G3" s="500" t="s">
        <v>189</v>
      </c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 t="s">
        <v>176</v>
      </c>
      <c r="U3" s="509" t="s">
        <v>247</v>
      </c>
      <c r="V3" s="512" t="s">
        <v>262</v>
      </c>
      <c r="W3" s="512" t="s">
        <v>248</v>
      </c>
      <c r="X3" s="515" t="s">
        <v>177</v>
      </c>
      <c r="Z3" s="500" t="s">
        <v>249</v>
      </c>
      <c r="AA3" s="500"/>
      <c r="AB3" s="500"/>
      <c r="AC3" s="500"/>
      <c r="AD3" s="500"/>
      <c r="AE3" s="500"/>
      <c r="AF3" s="500"/>
      <c r="AG3" s="500"/>
      <c r="AH3" s="500"/>
    </row>
    <row r="4" spans="2:34" ht="17.100000000000001" customHeight="1">
      <c r="B4" s="505"/>
      <c r="C4" s="506"/>
      <c r="D4" s="499" t="s">
        <v>174</v>
      </c>
      <c r="E4" s="500" t="s">
        <v>178</v>
      </c>
      <c r="F4" s="500"/>
      <c r="G4" s="500" t="s">
        <v>190</v>
      </c>
      <c r="H4" s="500"/>
      <c r="I4" s="500"/>
      <c r="J4" s="500"/>
      <c r="K4" s="500"/>
      <c r="L4" s="500"/>
      <c r="M4" s="500"/>
      <c r="N4" s="500"/>
      <c r="O4" s="500" t="s">
        <v>179</v>
      </c>
      <c r="P4" s="500"/>
      <c r="Q4" s="500"/>
      <c r="R4" s="500"/>
      <c r="S4" s="500"/>
      <c r="T4" s="500"/>
      <c r="U4" s="510"/>
      <c r="V4" s="513"/>
      <c r="W4" s="513"/>
      <c r="X4" s="515"/>
      <c r="Z4" s="500"/>
      <c r="AA4" s="500"/>
      <c r="AB4" s="500"/>
      <c r="AC4" s="500"/>
      <c r="AD4" s="500"/>
      <c r="AE4" s="500"/>
      <c r="AF4" s="500"/>
      <c r="AG4" s="500"/>
      <c r="AH4" s="500"/>
    </row>
    <row r="5" spans="2:34" ht="17.100000000000001" customHeight="1">
      <c r="B5" s="505"/>
      <c r="C5" s="506"/>
      <c r="D5" s="499"/>
      <c r="E5" s="499" t="s">
        <v>180</v>
      </c>
      <c r="F5" s="515" t="s">
        <v>250</v>
      </c>
      <c r="G5" s="493" t="s">
        <v>191</v>
      </c>
      <c r="H5" s="493"/>
      <c r="I5" s="493"/>
      <c r="J5" s="493"/>
      <c r="K5" s="493"/>
      <c r="L5" s="493"/>
      <c r="M5" s="493"/>
      <c r="N5" s="493"/>
      <c r="O5" s="493" t="s">
        <v>173</v>
      </c>
      <c r="P5" s="493"/>
      <c r="Q5" s="493" t="s">
        <v>181</v>
      </c>
      <c r="R5" s="493"/>
      <c r="S5" s="493"/>
      <c r="T5" s="500"/>
      <c r="U5" s="510"/>
      <c r="V5" s="513"/>
      <c r="W5" s="513"/>
      <c r="X5" s="515"/>
      <c r="Z5" s="500"/>
      <c r="AA5" s="500"/>
      <c r="AB5" s="500"/>
      <c r="AC5" s="500"/>
      <c r="AD5" s="500"/>
      <c r="AE5" s="500"/>
      <c r="AF5" s="500"/>
      <c r="AG5" s="500"/>
      <c r="AH5" s="500"/>
    </row>
    <row r="6" spans="2:34" ht="38.450000000000003" customHeight="1">
      <c r="B6" s="507"/>
      <c r="C6" s="508"/>
      <c r="D6" s="499"/>
      <c r="E6" s="499"/>
      <c r="F6" s="515"/>
      <c r="G6" s="207" t="s">
        <v>182</v>
      </c>
      <c r="H6" s="207" t="s">
        <v>263</v>
      </c>
      <c r="I6" s="207" t="s">
        <v>264</v>
      </c>
      <c r="J6" s="207" t="s">
        <v>183</v>
      </c>
      <c r="K6" s="207" t="s">
        <v>257</v>
      </c>
      <c r="L6" s="207" t="s">
        <v>184</v>
      </c>
      <c r="M6" s="207" t="s">
        <v>192</v>
      </c>
      <c r="N6" s="207" t="s">
        <v>185</v>
      </c>
      <c r="O6" s="208" t="s">
        <v>186</v>
      </c>
      <c r="P6" s="208" t="s">
        <v>187</v>
      </c>
      <c r="Q6" s="208" t="s">
        <v>186</v>
      </c>
      <c r="R6" s="208" t="s">
        <v>187</v>
      </c>
      <c r="S6" s="207" t="s">
        <v>188</v>
      </c>
      <c r="T6" s="500"/>
      <c r="U6" s="511"/>
      <c r="V6" s="514"/>
      <c r="W6" s="514"/>
      <c r="X6" s="515"/>
      <c r="Z6" s="231" t="s">
        <v>251</v>
      </c>
      <c r="AA6" s="231" t="s">
        <v>259</v>
      </c>
      <c r="AB6" s="222" t="s">
        <v>265</v>
      </c>
      <c r="AC6" s="222" t="s">
        <v>266</v>
      </c>
      <c r="AD6" s="222" t="s">
        <v>252</v>
      </c>
      <c r="AE6" s="222" t="s">
        <v>253</v>
      </c>
      <c r="AF6" s="222" t="s">
        <v>254</v>
      </c>
      <c r="AG6" s="222" t="s">
        <v>255</v>
      </c>
      <c r="AH6" s="222" t="s">
        <v>260</v>
      </c>
    </row>
    <row r="7" spans="2:34" ht="16.5">
      <c r="B7" s="494">
        <v>45931</v>
      </c>
      <c r="C7" s="497" t="s">
        <v>114</v>
      </c>
      <c r="D7" s="209">
        <v>1</v>
      </c>
      <c r="E7" s="198" t="s">
        <v>527</v>
      </c>
      <c r="F7" s="204">
        <v>1271.634</v>
      </c>
      <c r="G7" s="249">
        <v>135.52000000000001</v>
      </c>
      <c r="H7" s="249">
        <v>146.52000000000001</v>
      </c>
      <c r="I7" s="210">
        <f t="shared" ref="I7:I70" si="0">H7/G7</f>
        <v>1.0811688311688312</v>
      </c>
      <c r="J7" s="249"/>
      <c r="K7" s="210">
        <f t="shared" ref="K7:K70" si="1">J7/G7</f>
        <v>0</v>
      </c>
      <c r="L7" s="249">
        <v>115.08</v>
      </c>
      <c r="M7" s="211">
        <f t="shared" ref="M7:M70" si="2">(H7+J7)/G7</f>
        <v>1.0811688311688312</v>
      </c>
      <c r="N7" s="287">
        <v>1265.8799999999999</v>
      </c>
      <c r="O7" s="246">
        <v>11.05</v>
      </c>
      <c r="P7" s="206">
        <v>8.1537780401416765E-2</v>
      </c>
      <c r="Q7" s="205">
        <v>-5.0000000000000711E-2</v>
      </c>
      <c r="R7" s="206">
        <v>-3.6894923258560142E-4</v>
      </c>
      <c r="S7" s="249">
        <v>-5.7540000000000813</v>
      </c>
      <c r="T7" s="245" t="s">
        <v>434</v>
      </c>
      <c r="U7" s="245" t="s">
        <v>429</v>
      </c>
      <c r="V7" s="205" t="s">
        <v>536</v>
      </c>
      <c r="W7" s="205">
        <v>1</v>
      </c>
      <c r="X7" s="205" t="s">
        <v>530</v>
      </c>
      <c r="Y7" s="201" t="s">
        <v>351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0</v>
      </c>
      <c r="AC7" s="227">
        <f t="shared" ref="AC7:AH7" ca="1" si="3">SUMIF($U$7:$U$10000,TRIM(AC6),$W$7:$W$46)</f>
        <v>0</v>
      </c>
      <c r="AD7" s="227">
        <f t="shared" ca="1" si="3"/>
        <v>6</v>
      </c>
      <c r="AE7" s="227">
        <f t="shared" ca="1" si="3"/>
        <v>4</v>
      </c>
      <c r="AF7" s="227">
        <f t="shared" ca="1" si="3"/>
        <v>4</v>
      </c>
      <c r="AG7" s="227">
        <f t="shared" ca="1" si="3"/>
        <v>44</v>
      </c>
      <c r="AH7" s="227">
        <f t="shared" ca="1" si="3"/>
        <v>0</v>
      </c>
    </row>
    <row r="8" spans="2:34" ht="16.5">
      <c r="B8" s="495"/>
      <c r="C8" s="498"/>
      <c r="D8" s="209">
        <v>2</v>
      </c>
      <c r="E8" s="198" t="s">
        <v>424</v>
      </c>
      <c r="F8" s="204">
        <v>938.83999999999992</v>
      </c>
      <c r="G8" s="249">
        <v>172.26</v>
      </c>
      <c r="H8" s="249">
        <v>179.78700000000001</v>
      </c>
      <c r="I8" s="210">
        <f t="shared" si="0"/>
        <v>1.0436955764541973</v>
      </c>
      <c r="J8" s="249"/>
      <c r="K8" s="210">
        <f t="shared" si="1"/>
        <v>0</v>
      </c>
      <c r="L8" s="249">
        <v>335.3</v>
      </c>
      <c r="M8" s="211">
        <f t="shared" si="2"/>
        <v>1.0436955764541973</v>
      </c>
      <c r="N8" s="287">
        <v>2523.8031000000051</v>
      </c>
      <c r="O8" s="246">
        <v>2.8</v>
      </c>
      <c r="P8" s="206">
        <v>1.6254499013119702E-2</v>
      </c>
      <c r="Q8" s="205">
        <v>4.7270000000000154</v>
      </c>
      <c r="R8" s="206">
        <v>2.7441077441077533E-2</v>
      </c>
      <c r="S8" s="249">
        <v>1584.9631000000052</v>
      </c>
      <c r="T8" s="251" t="s">
        <v>433</v>
      </c>
      <c r="U8" s="245" t="s">
        <v>219</v>
      </c>
      <c r="V8" s="205" t="s">
        <v>445</v>
      </c>
      <c r="W8" s="205">
        <v>1</v>
      </c>
      <c r="X8" s="205" t="s">
        <v>392</v>
      </c>
      <c r="Y8" s="201"/>
      <c r="Z8" s="228"/>
      <c r="AA8" s="230">
        <f ca="1">SUMIF($U$7:$U$466,TRIM(AA6),$F$7:$F$46)</f>
        <v>0</v>
      </c>
      <c r="AB8" s="230">
        <f t="shared" ref="AB8:AH8" ca="1" si="4">SUMIF($U$7:$U$466,TRIM(AB6),$F$7:$F$46)</f>
        <v>0</v>
      </c>
      <c r="AC8" s="230">
        <f t="shared" ca="1" si="4"/>
        <v>0</v>
      </c>
      <c r="AD8" s="230">
        <f t="shared" ca="1" si="4"/>
        <v>3336.4220999999998</v>
      </c>
      <c r="AE8" s="230">
        <f t="shared" ca="1" si="4"/>
        <v>895.98200000000008</v>
      </c>
      <c r="AF8" s="230">
        <f t="shared" ca="1" si="4"/>
        <v>2410.9444999999996</v>
      </c>
      <c r="AG8" s="230">
        <f t="shared" ca="1" si="4"/>
        <v>125161.94020000003</v>
      </c>
      <c r="AH8" s="230">
        <f t="shared" ca="1" si="4"/>
        <v>0</v>
      </c>
    </row>
    <row r="9" spans="2:34" ht="16.5">
      <c r="B9" s="495"/>
      <c r="C9" s="498"/>
      <c r="D9" s="209">
        <v>3</v>
      </c>
      <c r="E9" s="198" t="s">
        <v>547</v>
      </c>
      <c r="F9" s="204">
        <v>378</v>
      </c>
      <c r="G9" s="249">
        <v>18906</v>
      </c>
      <c r="H9" s="249">
        <v>18990</v>
      </c>
      <c r="I9" s="210">
        <f t="shared" si="0"/>
        <v>1.0044430339574739</v>
      </c>
      <c r="J9" s="249"/>
      <c r="K9" s="210">
        <f t="shared" si="1"/>
        <v>0</v>
      </c>
      <c r="L9" s="249">
        <v>4.5</v>
      </c>
      <c r="M9" s="211">
        <f t="shared" si="2"/>
        <v>1.0044430339574739</v>
      </c>
      <c r="N9" s="287">
        <v>378</v>
      </c>
      <c r="O9" s="246">
        <v>84</v>
      </c>
      <c r="P9" s="206">
        <v>4.443033957473818E-3</v>
      </c>
      <c r="Q9" s="205">
        <v>0</v>
      </c>
      <c r="R9" s="206">
        <v>0</v>
      </c>
      <c r="S9" s="249">
        <v>0</v>
      </c>
      <c r="T9" s="198" t="s">
        <v>432</v>
      </c>
      <c r="U9" s="245" t="s">
        <v>218</v>
      </c>
      <c r="V9" s="205" t="s">
        <v>580</v>
      </c>
      <c r="W9" s="205">
        <v>1</v>
      </c>
      <c r="X9" s="205" t="s">
        <v>400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0</v>
      </c>
      <c r="AC9" s="227">
        <f t="shared" si="5"/>
        <v>0</v>
      </c>
      <c r="AD9" s="227">
        <f t="shared" si="5"/>
        <v>0</v>
      </c>
      <c r="AE9" s="227">
        <f t="shared" si="5"/>
        <v>0</v>
      </c>
      <c r="AF9" s="227">
        <f t="shared" si="5"/>
        <v>1</v>
      </c>
      <c r="AG9" s="227">
        <f t="shared" si="5"/>
        <v>19</v>
      </c>
      <c r="AH9" s="227">
        <f t="shared" si="5"/>
        <v>0</v>
      </c>
    </row>
    <row r="10" spans="2:34" ht="16.5">
      <c r="B10" s="495"/>
      <c r="C10" s="498"/>
      <c r="D10" s="209">
        <v>4</v>
      </c>
      <c r="E10" s="198" t="s">
        <v>574</v>
      </c>
      <c r="F10" s="204">
        <v>358.12199999999996</v>
      </c>
      <c r="G10" s="249">
        <v>185.01</v>
      </c>
      <c r="H10" s="249">
        <v>188.05</v>
      </c>
      <c r="I10" s="210">
        <f t="shared" si="0"/>
        <v>1.016431544240852</v>
      </c>
      <c r="J10" s="249">
        <v>8.85</v>
      </c>
      <c r="K10" s="210">
        <f t="shared" si="1"/>
        <v>4.7835252148532514E-2</v>
      </c>
      <c r="L10" s="249">
        <v>421.32</v>
      </c>
      <c r="M10" s="211">
        <f t="shared" si="2"/>
        <v>1.0642667963893844</v>
      </c>
      <c r="N10" s="287">
        <v>5009.4948000000059</v>
      </c>
      <c r="O10" s="246">
        <v>0.85</v>
      </c>
      <c r="P10" s="206">
        <v>4.5943462515539704E-3</v>
      </c>
      <c r="Q10" s="205">
        <v>11.040000000000015</v>
      </c>
      <c r="R10" s="206">
        <v>5.9672450137830471E-2</v>
      </c>
      <c r="S10" s="249">
        <v>4651.3728000000065</v>
      </c>
      <c r="T10" s="245" t="s">
        <v>418</v>
      </c>
      <c r="U10" s="245" t="s">
        <v>217</v>
      </c>
      <c r="V10" s="205" t="s">
        <v>579</v>
      </c>
      <c r="W10" s="205">
        <v>1</v>
      </c>
      <c r="X10" s="205" t="s">
        <v>585</v>
      </c>
      <c r="Y10" s="201" t="s">
        <v>352</v>
      </c>
      <c r="Z10" s="227"/>
      <c r="AA10" s="230">
        <f t="shared" ref="AA10:AH10" si="6">SUMIF($U$47:$U$116,TRIM(AA6),$F$47:$F$116)</f>
        <v>0</v>
      </c>
      <c r="AB10" s="230">
        <f t="shared" si="6"/>
        <v>0</v>
      </c>
      <c r="AC10" s="230">
        <f t="shared" si="6"/>
        <v>0</v>
      </c>
      <c r="AD10" s="230">
        <f t="shared" si="6"/>
        <v>0</v>
      </c>
      <c r="AE10" s="230">
        <f t="shared" si="6"/>
        <v>0</v>
      </c>
      <c r="AF10" s="230">
        <f t="shared" si="6"/>
        <v>570.14750000000004</v>
      </c>
      <c r="AG10" s="230">
        <f t="shared" si="6"/>
        <v>88759.56700000001</v>
      </c>
      <c r="AH10" s="230">
        <f t="shared" si="6"/>
        <v>0</v>
      </c>
    </row>
    <row r="11" spans="2:34" ht="16.5">
      <c r="B11" s="495"/>
      <c r="C11" s="498"/>
      <c r="D11" s="209">
        <v>5</v>
      </c>
      <c r="E11" s="198" t="s">
        <v>575</v>
      </c>
      <c r="F11" s="204">
        <v>224.59</v>
      </c>
      <c r="G11" s="249">
        <v>2862</v>
      </c>
      <c r="H11" s="249">
        <v>2899</v>
      </c>
      <c r="I11" s="210">
        <f t="shared" si="0"/>
        <v>1.0129280223619845</v>
      </c>
      <c r="J11" s="249"/>
      <c r="K11" s="210">
        <f t="shared" si="1"/>
        <v>0</v>
      </c>
      <c r="L11" s="249">
        <v>6.07</v>
      </c>
      <c r="M11" s="211">
        <f t="shared" si="2"/>
        <v>1.0129280223619845</v>
      </c>
      <c r="N11" s="287">
        <v>224.59</v>
      </c>
      <c r="O11" s="246">
        <v>37</v>
      </c>
      <c r="P11" s="206">
        <v>1.2928022361984625E-2</v>
      </c>
      <c r="Q11" s="205">
        <v>0</v>
      </c>
      <c r="R11" s="206">
        <v>0</v>
      </c>
      <c r="S11" s="249">
        <v>0</v>
      </c>
      <c r="T11" s="245" t="s">
        <v>432</v>
      </c>
      <c r="U11" s="245" t="s">
        <v>218</v>
      </c>
      <c r="V11" s="205" t="s">
        <v>581</v>
      </c>
      <c r="W11" s="205">
        <v>1</v>
      </c>
      <c r="X11" s="205" t="s">
        <v>425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 ht="16.5">
      <c r="B12" s="495"/>
      <c r="C12" s="498"/>
      <c r="D12" s="209">
        <v>6</v>
      </c>
      <c r="E12" s="198" t="s">
        <v>531</v>
      </c>
      <c r="F12" s="204">
        <v>175.85749999999999</v>
      </c>
      <c r="G12" s="249">
        <v>632.995</v>
      </c>
      <c r="H12" s="249">
        <v>643</v>
      </c>
      <c r="I12" s="210">
        <f t="shared" si="0"/>
        <v>1.015805812052228</v>
      </c>
      <c r="J12" s="249"/>
      <c r="K12" s="210">
        <f t="shared" si="1"/>
        <v>0</v>
      </c>
      <c r="L12" s="249">
        <v>54.11</v>
      </c>
      <c r="M12" s="211">
        <f t="shared" si="2"/>
        <v>1.015805812052228</v>
      </c>
      <c r="N12" s="287">
        <v>541.37054999999975</v>
      </c>
      <c r="O12" s="246">
        <v>3.25</v>
      </c>
      <c r="P12" s="206">
        <v>5.1343217560960198E-3</v>
      </c>
      <c r="Q12" s="205">
        <v>6.7549999999999955</v>
      </c>
      <c r="R12" s="206">
        <v>1.0671490296131873E-2</v>
      </c>
      <c r="S12" s="249">
        <v>365.51304999999974</v>
      </c>
      <c r="T12" s="245" t="s">
        <v>431</v>
      </c>
      <c r="U12" s="245" t="s">
        <v>430</v>
      </c>
      <c r="V12" s="205"/>
      <c r="W12" s="205">
        <v>1</v>
      </c>
      <c r="X12" s="205" t="s">
        <v>443</v>
      </c>
      <c r="Y12" s="201"/>
      <c r="Z12" s="228">
        <f>SUM(W117:W186)</f>
        <v>70</v>
      </c>
      <c r="AA12" s="227">
        <f t="shared" ref="AA12:AH12" si="7">SUMIF($U$117:$U$186,TRIM(AA6),$W$117:$W$186)</f>
        <v>0</v>
      </c>
      <c r="AB12" s="227">
        <f t="shared" si="7"/>
        <v>0</v>
      </c>
      <c r="AC12" s="227">
        <f t="shared" si="7"/>
        <v>0</v>
      </c>
      <c r="AD12" s="227">
        <f t="shared" si="7"/>
        <v>0</v>
      </c>
      <c r="AE12" s="227">
        <f t="shared" si="7"/>
        <v>0</v>
      </c>
      <c r="AF12" s="227">
        <f t="shared" si="7"/>
        <v>0</v>
      </c>
      <c r="AG12" s="227">
        <f t="shared" si="7"/>
        <v>0</v>
      </c>
      <c r="AH12" s="227">
        <f t="shared" si="7"/>
        <v>0</v>
      </c>
    </row>
    <row r="13" spans="2:34" ht="16.5">
      <c r="B13" s="495"/>
      <c r="C13" s="498"/>
      <c r="D13" s="209">
        <v>7</v>
      </c>
      <c r="E13" s="198" t="s">
        <v>545</v>
      </c>
      <c r="F13" s="204">
        <v>175.39200000000002</v>
      </c>
      <c r="G13" s="249">
        <v>223.68</v>
      </c>
      <c r="H13" s="249">
        <v>217.8</v>
      </c>
      <c r="I13" s="210">
        <f t="shared" si="0"/>
        <v>0.97371244635193133</v>
      </c>
      <c r="J13" s="249"/>
      <c r="K13" s="210">
        <f t="shared" si="1"/>
        <v>0</v>
      </c>
      <c r="L13" s="249">
        <v>146.16000000000003</v>
      </c>
      <c r="M13" s="211">
        <f t="shared" si="2"/>
        <v>0.97371244635193133</v>
      </c>
      <c r="N13" s="287">
        <v>0</v>
      </c>
      <c r="O13" s="246">
        <v>1.2</v>
      </c>
      <c r="P13" s="206">
        <v>5.3648068669527897E-3</v>
      </c>
      <c r="Q13" s="205">
        <v>-7.0799999999999956</v>
      </c>
      <c r="R13" s="206">
        <v>-3.165236051502144E-2</v>
      </c>
      <c r="S13" s="249">
        <v>-1034.8127999999995</v>
      </c>
      <c r="T13" s="198" t="s">
        <v>432</v>
      </c>
      <c r="U13" s="245" t="s">
        <v>218</v>
      </c>
      <c r="V13" s="205" t="s">
        <v>582</v>
      </c>
      <c r="W13" s="205">
        <v>1</v>
      </c>
      <c r="X13" s="245" t="s">
        <v>534</v>
      </c>
      <c r="Y13" s="201" t="s">
        <v>353</v>
      </c>
      <c r="Z13" s="227"/>
      <c r="AA13" s="230">
        <f>SUMIF($U$117:$U$186,TRIM(AA6),$F$117:$F$186)</f>
        <v>0</v>
      </c>
      <c r="AB13" s="230">
        <f>SUMIF($U$117:$U$186,TRIM(AB6),$F$117:$F$186)</f>
        <v>0</v>
      </c>
      <c r="AC13" s="230">
        <f t="shared" ref="AC13:AH13" si="8">SUMIF($U$117:$U$186,TRIM(AC6),$F$117:$F$186)</f>
        <v>0</v>
      </c>
      <c r="AD13" s="230">
        <f t="shared" si="8"/>
        <v>0</v>
      </c>
      <c r="AE13" s="230">
        <f t="shared" si="8"/>
        <v>0</v>
      </c>
      <c r="AF13" s="230">
        <f t="shared" si="8"/>
        <v>0</v>
      </c>
      <c r="AG13" s="230">
        <f t="shared" si="8"/>
        <v>0</v>
      </c>
      <c r="AH13" s="230">
        <f t="shared" si="8"/>
        <v>0</v>
      </c>
    </row>
    <row r="14" spans="2:34" ht="16.5">
      <c r="B14" s="495"/>
      <c r="C14" s="498"/>
      <c r="D14" s="209">
        <v>8</v>
      </c>
      <c r="E14" s="198" t="s">
        <v>416</v>
      </c>
      <c r="F14" s="204">
        <v>149.61567567567565</v>
      </c>
      <c r="G14" s="249">
        <v>579.04999999999995</v>
      </c>
      <c r="H14" s="249">
        <v>588</v>
      </c>
      <c r="I14" s="210">
        <f t="shared" si="0"/>
        <v>1.0154563509196097</v>
      </c>
      <c r="J14" s="249"/>
      <c r="K14" s="210">
        <f t="shared" si="1"/>
        <v>0</v>
      </c>
      <c r="L14" s="249">
        <v>58.21621621621621</v>
      </c>
      <c r="M14" s="211">
        <f t="shared" si="2"/>
        <v>1.0154563509196097</v>
      </c>
      <c r="N14" s="287">
        <v>521.03513513513769</v>
      </c>
      <c r="O14" s="246">
        <v>2.57</v>
      </c>
      <c r="P14" s="206">
        <v>4.438304118815301E-3</v>
      </c>
      <c r="Q14" s="205">
        <v>6.3800000000000452</v>
      </c>
      <c r="R14" s="206">
        <v>1.1018046800794483E-2</v>
      </c>
      <c r="S14" s="249">
        <v>371.41945945946208</v>
      </c>
      <c r="T14" s="245" t="s">
        <v>431</v>
      </c>
      <c r="U14" s="245" t="s">
        <v>430</v>
      </c>
      <c r="V14" s="205"/>
      <c r="W14" s="205">
        <v>1</v>
      </c>
      <c r="X14" s="205" t="s">
        <v>394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 ht="16.5">
      <c r="B15" s="495"/>
      <c r="C15" s="498"/>
      <c r="D15" s="209">
        <v>9</v>
      </c>
      <c r="E15" s="198" t="s">
        <v>412</v>
      </c>
      <c r="F15" s="204">
        <v>127.5</v>
      </c>
      <c r="G15" s="249">
        <v>417.24</v>
      </c>
      <c r="H15" s="249">
        <v>422</v>
      </c>
      <c r="I15" s="210">
        <f t="shared" si="0"/>
        <v>1.0114083021762055</v>
      </c>
      <c r="J15" s="249"/>
      <c r="K15" s="210">
        <f t="shared" si="1"/>
        <v>0</v>
      </c>
      <c r="L15" s="249">
        <v>85</v>
      </c>
      <c r="M15" s="211">
        <f t="shared" si="2"/>
        <v>1.0114083021762055</v>
      </c>
      <c r="N15" s="287">
        <v>404.59999999999923</v>
      </c>
      <c r="O15" s="246">
        <v>1.5</v>
      </c>
      <c r="P15" s="206">
        <v>3.5950532067874604E-3</v>
      </c>
      <c r="Q15" s="205">
        <v>3.2599999999999909</v>
      </c>
      <c r="R15" s="206">
        <v>7.813248969418058E-3</v>
      </c>
      <c r="S15" s="249">
        <v>277.09999999999923</v>
      </c>
      <c r="T15" s="245" t="s">
        <v>418</v>
      </c>
      <c r="U15" s="245" t="s">
        <v>217</v>
      </c>
      <c r="V15" s="205" t="s">
        <v>583</v>
      </c>
      <c r="W15" s="205">
        <v>1</v>
      </c>
      <c r="X15" s="205" t="s">
        <v>397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0</v>
      </c>
      <c r="AC15" s="227">
        <f t="shared" si="9"/>
        <v>0</v>
      </c>
      <c r="AD15" s="227">
        <f t="shared" si="9"/>
        <v>0</v>
      </c>
      <c r="AE15" s="227">
        <f t="shared" si="9"/>
        <v>0</v>
      </c>
      <c r="AF15" s="227">
        <f t="shared" si="9"/>
        <v>0</v>
      </c>
      <c r="AG15" s="227">
        <f t="shared" si="9"/>
        <v>0</v>
      </c>
      <c r="AH15" s="227">
        <f t="shared" si="9"/>
        <v>0</v>
      </c>
    </row>
    <row r="16" spans="2:34" ht="16.5">
      <c r="B16" s="496"/>
      <c r="C16" s="498"/>
      <c r="D16" s="209">
        <v>10</v>
      </c>
      <c r="E16" s="198" t="s">
        <v>576</v>
      </c>
      <c r="F16" s="204">
        <v>118</v>
      </c>
      <c r="G16" s="249">
        <v>9320</v>
      </c>
      <c r="H16" s="249">
        <v>9379</v>
      </c>
      <c r="I16" s="210">
        <f t="shared" si="0"/>
        <v>1.0063304721030042</v>
      </c>
      <c r="J16" s="249"/>
      <c r="K16" s="210">
        <f t="shared" si="1"/>
        <v>0</v>
      </c>
      <c r="L16" s="249">
        <v>2</v>
      </c>
      <c r="M16" s="211">
        <f t="shared" si="2"/>
        <v>1.0063304721030042</v>
      </c>
      <c r="N16" s="287">
        <v>118</v>
      </c>
      <c r="O16" s="246">
        <v>59</v>
      </c>
      <c r="P16" s="206">
        <v>6.3304721030042919E-3</v>
      </c>
      <c r="Q16" s="205">
        <v>0</v>
      </c>
      <c r="R16" s="206">
        <v>0</v>
      </c>
      <c r="S16" s="249">
        <v>0</v>
      </c>
      <c r="T16" s="245" t="s">
        <v>432</v>
      </c>
      <c r="U16" s="245" t="s">
        <v>218</v>
      </c>
      <c r="V16" s="205" t="s">
        <v>584</v>
      </c>
      <c r="W16" s="205">
        <v>1</v>
      </c>
      <c r="X16" s="205" t="s">
        <v>534</v>
      </c>
      <c r="Y16" s="201" t="s">
        <v>354</v>
      </c>
      <c r="Z16" s="227"/>
      <c r="AA16" s="230">
        <f>SUMIF($U$187:$U$256,TRIM(AA6),$F$187:$F$256)</f>
        <v>0</v>
      </c>
      <c r="AB16" s="230">
        <f t="shared" ref="AB16:AH16" si="10">SUMIF($U$187:$U$256,TRIM(AB6),$F$187:$F$256)</f>
        <v>0</v>
      </c>
      <c r="AC16" s="230">
        <f t="shared" si="10"/>
        <v>0</v>
      </c>
      <c r="AD16" s="230">
        <f t="shared" si="10"/>
        <v>0</v>
      </c>
      <c r="AE16" s="230">
        <f t="shared" si="10"/>
        <v>0</v>
      </c>
      <c r="AF16" s="230">
        <f t="shared" si="10"/>
        <v>0</v>
      </c>
      <c r="AG16" s="230">
        <f t="shared" si="10"/>
        <v>0</v>
      </c>
      <c r="AH16" s="230">
        <f t="shared" si="10"/>
        <v>0</v>
      </c>
    </row>
    <row r="17" spans="2:34" ht="16.5">
      <c r="B17" s="494">
        <v>45932</v>
      </c>
      <c r="C17" s="497" t="s">
        <v>115</v>
      </c>
      <c r="D17" s="209">
        <v>1</v>
      </c>
      <c r="E17" s="198" t="s">
        <v>527</v>
      </c>
      <c r="F17" s="204">
        <v>3791.8860000000004</v>
      </c>
      <c r="G17" s="249">
        <v>120.34</v>
      </c>
      <c r="H17" s="249">
        <v>154</v>
      </c>
      <c r="I17" s="210">
        <f t="shared" si="0"/>
        <v>1.2797074954296161</v>
      </c>
      <c r="J17" s="249"/>
      <c r="K17" s="210">
        <f t="shared" si="1"/>
        <v>0</v>
      </c>
      <c r="L17" s="249">
        <v>115.08</v>
      </c>
      <c r="M17" s="211">
        <f t="shared" si="2"/>
        <v>1.2797074954296161</v>
      </c>
      <c r="N17" s="287">
        <v>3873.5927999999994</v>
      </c>
      <c r="O17" s="246">
        <v>32.950000000000003</v>
      </c>
      <c r="P17" s="206">
        <v>0.27380754528834972</v>
      </c>
      <c r="Q17" s="205">
        <v>0.70999999999999375</v>
      </c>
      <c r="R17" s="206">
        <v>5.8999501412663599E-3</v>
      </c>
      <c r="S17" s="204">
        <v>81.706799999999276</v>
      </c>
      <c r="T17" s="245" t="s">
        <v>434</v>
      </c>
      <c r="U17" s="245" t="s">
        <v>429</v>
      </c>
      <c r="V17" s="205" t="s">
        <v>577</v>
      </c>
      <c r="W17" s="205">
        <v>1</v>
      </c>
      <c r="X17" s="205" t="s">
        <v>530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 ht="16.5">
      <c r="B18" s="495"/>
      <c r="C18" s="498"/>
      <c r="D18" s="209">
        <v>2</v>
      </c>
      <c r="E18" s="198" t="s">
        <v>559</v>
      </c>
      <c r="F18" s="204">
        <v>3376.35</v>
      </c>
      <c r="G18" s="249">
        <v>73.691999999999993</v>
      </c>
      <c r="H18" s="249">
        <v>87.7</v>
      </c>
      <c r="I18" s="210">
        <f t="shared" si="0"/>
        <v>1.1900884763610706</v>
      </c>
      <c r="J18" s="249"/>
      <c r="K18" s="210">
        <f t="shared" si="1"/>
        <v>0</v>
      </c>
      <c r="L18" s="249">
        <v>250.1</v>
      </c>
      <c r="M18" s="211">
        <f t="shared" si="2"/>
        <v>1.1900884763610706</v>
      </c>
      <c r="N18" s="287">
        <v>3503.4008000000022</v>
      </c>
      <c r="O18" s="246">
        <v>13.5</v>
      </c>
      <c r="P18" s="206">
        <v>0.18319491939423549</v>
      </c>
      <c r="Q18" s="205">
        <v>0.50800000000000978</v>
      </c>
      <c r="R18" s="206">
        <v>6.8935569668350681E-3</v>
      </c>
      <c r="S18" s="204">
        <v>127.05080000000244</v>
      </c>
      <c r="T18" s="198" t="s">
        <v>434</v>
      </c>
      <c r="U18" s="245" t="s">
        <v>429</v>
      </c>
      <c r="V18" s="245" t="s">
        <v>577</v>
      </c>
      <c r="W18" s="205">
        <v>1</v>
      </c>
      <c r="X18" s="205" t="s">
        <v>555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0</v>
      </c>
      <c r="AE18" s="227">
        <f t="shared" si="11"/>
        <v>0</v>
      </c>
      <c r="AF18" s="227">
        <f t="shared" si="11"/>
        <v>0</v>
      </c>
      <c r="AG18" s="227">
        <f t="shared" si="11"/>
        <v>0</v>
      </c>
      <c r="AH18" s="227">
        <f t="shared" si="11"/>
        <v>0</v>
      </c>
    </row>
    <row r="19" spans="2:34" ht="16.5">
      <c r="B19" s="495"/>
      <c r="C19" s="498"/>
      <c r="D19" s="209">
        <v>3</v>
      </c>
      <c r="E19" s="198" t="s">
        <v>556</v>
      </c>
      <c r="F19" s="204">
        <v>2390.7413999999999</v>
      </c>
      <c r="G19" s="249">
        <v>141.33000000000001</v>
      </c>
      <c r="H19" s="249">
        <v>163.30000000000001</v>
      </c>
      <c r="I19" s="210">
        <f t="shared" si="0"/>
        <v>1.1554517795231019</v>
      </c>
      <c r="J19" s="249"/>
      <c r="K19" s="210">
        <f t="shared" si="1"/>
        <v>0</v>
      </c>
      <c r="L19" s="249">
        <v>105.17999999999999</v>
      </c>
      <c r="M19" s="211">
        <f t="shared" si="2"/>
        <v>1.1554517795231019</v>
      </c>
      <c r="N19" s="287">
        <v>2310.8045999999999</v>
      </c>
      <c r="O19" s="246">
        <v>22.73</v>
      </c>
      <c r="P19" s="206">
        <v>0.1608292648411519</v>
      </c>
      <c r="Q19" s="205">
        <v>-0.76000000000000156</v>
      </c>
      <c r="R19" s="206">
        <v>-5.3774853180499644E-3</v>
      </c>
      <c r="S19" s="204">
        <v>-79.936800000000162</v>
      </c>
      <c r="T19" s="245" t="s">
        <v>434</v>
      </c>
      <c r="U19" s="245" t="s">
        <v>429</v>
      </c>
      <c r="V19" s="245" t="s">
        <v>577</v>
      </c>
      <c r="W19" s="205">
        <v>1</v>
      </c>
      <c r="X19" s="205" t="s">
        <v>554</v>
      </c>
      <c r="Y19" s="201" t="s">
        <v>355</v>
      </c>
      <c r="Z19" s="227"/>
      <c r="AA19" s="230">
        <f>SUMIF($U$257:$U$326,TRIM(AA6),$F$257:$F$326)</f>
        <v>0</v>
      </c>
      <c r="AB19" s="230">
        <f t="shared" ref="AB19:AH19" si="12">SUMIF($U$257:$U$326,TRIM(AB6),$F$257:$F$326)</f>
        <v>0</v>
      </c>
      <c r="AC19" s="230">
        <f t="shared" si="12"/>
        <v>0</v>
      </c>
      <c r="AD19" s="230">
        <f t="shared" si="12"/>
        <v>0</v>
      </c>
      <c r="AE19" s="230">
        <f t="shared" si="12"/>
        <v>0</v>
      </c>
      <c r="AF19" s="230">
        <f t="shared" si="12"/>
        <v>0</v>
      </c>
      <c r="AG19" s="230">
        <f t="shared" si="12"/>
        <v>0</v>
      </c>
      <c r="AH19" s="230">
        <f t="shared" si="12"/>
        <v>0</v>
      </c>
    </row>
    <row r="20" spans="2:34" ht="16.5">
      <c r="B20" s="495"/>
      <c r="C20" s="498"/>
      <c r="D20" s="209">
        <v>4</v>
      </c>
      <c r="E20" s="198" t="s">
        <v>589</v>
      </c>
      <c r="F20" s="204">
        <v>1852.4160000000002</v>
      </c>
      <c r="G20" s="249">
        <v>5.2494000000000005</v>
      </c>
      <c r="H20" s="249">
        <v>6</v>
      </c>
      <c r="I20" s="210">
        <f t="shared" si="0"/>
        <v>1.1429877700308606</v>
      </c>
      <c r="J20" s="249"/>
      <c r="K20" s="210">
        <f t="shared" si="1"/>
        <v>0</v>
      </c>
      <c r="L20" s="249">
        <v>1029.1200000000001</v>
      </c>
      <c r="M20" s="211">
        <f t="shared" si="2"/>
        <v>1.1429877700308606</v>
      </c>
      <c r="N20" s="287">
        <v>772.4574719999996</v>
      </c>
      <c r="O20" s="246">
        <v>1.8</v>
      </c>
      <c r="P20" s="206">
        <v>0.34289633100925815</v>
      </c>
      <c r="Q20" s="205">
        <v>-1.0494000000000006</v>
      </c>
      <c r="R20" s="206">
        <v>-0.19990856097839763</v>
      </c>
      <c r="S20" s="204">
        <v>-1079.9585280000008</v>
      </c>
      <c r="T20" s="245" t="s">
        <v>434</v>
      </c>
      <c r="U20" s="245" t="s">
        <v>429</v>
      </c>
      <c r="V20" s="205" t="s">
        <v>577</v>
      </c>
      <c r="W20" s="205">
        <v>1</v>
      </c>
      <c r="X20" s="205" t="s">
        <v>554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 ht="16.5">
      <c r="B21" s="495"/>
      <c r="C21" s="498"/>
      <c r="D21" s="209">
        <v>5</v>
      </c>
      <c r="E21" s="198" t="s">
        <v>590</v>
      </c>
      <c r="F21" s="204">
        <v>1852.2705000000001</v>
      </c>
      <c r="G21" s="249">
        <v>59.22</v>
      </c>
      <c r="H21" s="249">
        <v>59.234000000000002</v>
      </c>
      <c r="I21" s="210">
        <f t="shared" si="0"/>
        <v>1.0002364066193854</v>
      </c>
      <c r="J21" s="249"/>
      <c r="K21" s="210">
        <f t="shared" si="1"/>
        <v>0</v>
      </c>
      <c r="L21" s="249">
        <v>536.89</v>
      </c>
      <c r="M21" s="211">
        <f t="shared" si="2"/>
        <v>1.0002364066193854</v>
      </c>
      <c r="N21" s="287">
        <v>7.5164600000015565</v>
      </c>
      <c r="O21" s="246">
        <v>3.45</v>
      </c>
      <c r="P21" s="206">
        <v>5.825734549138805E-2</v>
      </c>
      <c r="Q21" s="205">
        <v>-3.4359999999999973</v>
      </c>
      <c r="R21" s="206">
        <v>-5.8020938872002659E-2</v>
      </c>
      <c r="S21" s="204">
        <v>-1844.7540399999984</v>
      </c>
      <c r="T21" s="198" t="s">
        <v>418</v>
      </c>
      <c r="U21" s="245" t="s">
        <v>217</v>
      </c>
      <c r="V21" s="245"/>
      <c r="W21" s="205">
        <v>1</v>
      </c>
      <c r="X21" s="205" t="s">
        <v>402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95"/>
      <c r="C22" s="498"/>
      <c r="D22" s="209">
        <v>6</v>
      </c>
      <c r="E22" s="198" t="s">
        <v>557</v>
      </c>
      <c r="F22" s="204">
        <v>1654.2190000000001</v>
      </c>
      <c r="G22" s="249">
        <v>92.915999999999997</v>
      </c>
      <c r="H22" s="249">
        <v>106.9</v>
      </c>
      <c r="I22" s="210">
        <f t="shared" si="0"/>
        <v>1.1505015282620863</v>
      </c>
      <c r="J22" s="249"/>
      <c r="K22" s="210">
        <f t="shared" si="1"/>
        <v>0</v>
      </c>
      <c r="L22" s="249">
        <v>139.01</v>
      </c>
      <c r="M22" s="211">
        <f t="shared" si="2"/>
        <v>1.1505015282620863</v>
      </c>
      <c r="N22" s="287">
        <v>1943.915840000001</v>
      </c>
      <c r="O22" s="246">
        <v>11.9</v>
      </c>
      <c r="P22" s="206">
        <v>0.12807266778595722</v>
      </c>
      <c r="Q22" s="205">
        <v>2.0840000000000085</v>
      </c>
      <c r="R22" s="206">
        <v>2.2428860476129069E-2</v>
      </c>
      <c r="S22" s="204">
        <v>289.69684000000115</v>
      </c>
      <c r="T22" s="245" t="s">
        <v>434</v>
      </c>
      <c r="U22" s="245" t="s">
        <v>429</v>
      </c>
      <c r="V22" s="205" t="s">
        <v>577</v>
      </c>
      <c r="W22" s="205">
        <v>1</v>
      </c>
      <c r="X22" s="205" t="s">
        <v>555</v>
      </c>
      <c r="Y22" s="229" t="s">
        <v>356</v>
      </c>
      <c r="Z22" s="227">
        <f>SUM(W7:W10000)</f>
        <v>310</v>
      </c>
      <c r="AA22" s="228">
        <f t="shared" ref="AA22:AH22" si="13">SUMIF($U$7:$U$10000,TRIM(AA6),$W$7:$W$10000)</f>
        <v>0</v>
      </c>
      <c r="AB22" s="228">
        <f t="shared" si="13"/>
        <v>0</v>
      </c>
      <c r="AC22" s="227">
        <f t="shared" si="13"/>
        <v>0</v>
      </c>
      <c r="AD22" s="227">
        <f t="shared" si="13"/>
        <v>6</v>
      </c>
      <c r="AE22" s="227">
        <f t="shared" si="13"/>
        <v>4</v>
      </c>
      <c r="AF22" s="227">
        <f t="shared" si="13"/>
        <v>4</v>
      </c>
      <c r="AG22" s="227">
        <f t="shared" si="13"/>
        <v>44</v>
      </c>
      <c r="AH22" s="227">
        <f t="shared" si="13"/>
        <v>0</v>
      </c>
    </row>
    <row r="23" spans="2:34" ht="16.5">
      <c r="B23" s="495"/>
      <c r="C23" s="498"/>
      <c r="D23" s="209">
        <v>7</v>
      </c>
      <c r="E23" s="198" t="s">
        <v>558</v>
      </c>
      <c r="F23" s="204">
        <v>1570.595</v>
      </c>
      <c r="G23" s="249">
        <v>60.57</v>
      </c>
      <c r="H23" s="249">
        <v>68.900000000000006</v>
      </c>
      <c r="I23" s="210">
        <f t="shared" si="0"/>
        <v>1.1375268284629356</v>
      </c>
      <c r="J23" s="249"/>
      <c r="K23" s="210">
        <f t="shared" si="1"/>
        <v>0</v>
      </c>
      <c r="L23" s="249">
        <v>215.15</v>
      </c>
      <c r="M23" s="211">
        <f t="shared" si="2"/>
        <v>1.1375268284629356</v>
      </c>
      <c r="N23" s="287">
        <v>1792.1995000000013</v>
      </c>
      <c r="O23" s="246">
        <v>7.3</v>
      </c>
      <c r="P23" s="206">
        <v>0.12052171041769853</v>
      </c>
      <c r="Q23" s="205">
        <v>1.0300000000000056</v>
      </c>
      <c r="R23" s="206">
        <v>1.7005118045237008E-2</v>
      </c>
      <c r="S23" s="204">
        <v>221.6045000000012</v>
      </c>
      <c r="T23" s="245" t="s">
        <v>434</v>
      </c>
      <c r="U23" s="245" t="s">
        <v>429</v>
      </c>
      <c r="V23" s="205" t="s">
        <v>577</v>
      </c>
      <c r="W23" s="205">
        <v>1</v>
      </c>
      <c r="X23" s="205" t="s">
        <v>554</v>
      </c>
      <c r="Z23" s="227"/>
      <c r="AA23" s="230">
        <f t="shared" ref="AA23:AH23" si="14">SUMIF($U$7:$U$10000,TRIM(AA6),$F$7:$F$10000)</f>
        <v>0</v>
      </c>
      <c r="AB23" s="230">
        <f t="shared" si="14"/>
        <v>0</v>
      </c>
      <c r="AC23" s="230">
        <f t="shared" si="14"/>
        <v>0</v>
      </c>
      <c r="AD23" s="230">
        <f t="shared" si="14"/>
        <v>3336.4220999999998</v>
      </c>
      <c r="AE23" s="230">
        <f t="shared" si="14"/>
        <v>895.98200000000008</v>
      </c>
      <c r="AF23" s="230">
        <f t="shared" si="14"/>
        <v>2410.9444999999996</v>
      </c>
      <c r="AG23" s="230">
        <f t="shared" si="14"/>
        <v>125161.94020000003</v>
      </c>
      <c r="AH23" s="230">
        <f t="shared" si="14"/>
        <v>0</v>
      </c>
    </row>
    <row r="24" spans="2:34" ht="16.5">
      <c r="B24" s="495"/>
      <c r="C24" s="498"/>
      <c r="D24" s="209">
        <v>8</v>
      </c>
      <c r="E24" s="198" t="s">
        <v>417</v>
      </c>
      <c r="F24" s="204">
        <v>555.66480000000001</v>
      </c>
      <c r="G24" s="249">
        <v>145.69999999999999</v>
      </c>
      <c r="H24" s="249">
        <v>150.19999999999999</v>
      </c>
      <c r="I24" s="210">
        <f t="shared" si="0"/>
        <v>1.0308853809196981</v>
      </c>
      <c r="J24" s="249"/>
      <c r="K24" s="210">
        <f t="shared" si="1"/>
        <v>0</v>
      </c>
      <c r="L24" s="249">
        <v>112.94</v>
      </c>
      <c r="M24" s="211">
        <f t="shared" si="2"/>
        <v>1.0308853809196981</v>
      </c>
      <c r="N24" s="287">
        <v>466.44220000000269</v>
      </c>
      <c r="O24" s="246">
        <v>4.92</v>
      </c>
      <c r="P24" s="206">
        <v>3.3768016472203156E-2</v>
      </c>
      <c r="Q24" s="205">
        <v>-0.41999999999999993</v>
      </c>
      <c r="R24" s="206">
        <v>-2.8826355525051472E-3</v>
      </c>
      <c r="S24" s="204">
        <v>-47.434799999999989</v>
      </c>
      <c r="T24" s="245" t="s">
        <v>434</v>
      </c>
      <c r="U24" s="245" t="s">
        <v>429</v>
      </c>
      <c r="V24" s="205" t="s">
        <v>577</v>
      </c>
      <c r="W24" s="205">
        <v>1</v>
      </c>
      <c r="X24" s="205" t="s">
        <v>394</v>
      </c>
    </row>
    <row r="25" spans="2:34" ht="16.5">
      <c r="B25" s="495"/>
      <c r="C25" s="498"/>
      <c r="D25" s="209">
        <v>9</v>
      </c>
      <c r="E25" s="198" t="s">
        <v>424</v>
      </c>
      <c r="F25" s="204">
        <v>519.71500000000003</v>
      </c>
      <c r="G25" s="249">
        <v>159.18</v>
      </c>
      <c r="H25" s="249">
        <v>164.5</v>
      </c>
      <c r="I25" s="210">
        <f t="shared" si="0"/>
        <v>1.0334212840809147</v>
      </c>
      <c r="J25" s="249"/>
      <c r="K25" s="210">
        <f t="shared" si="1"/>
        <v>0</v>
      </c>
      <c r="L25" s="249">
        <v>335.3</v>
      </c>
      <c r="M25" s="211">
        <f t="shared" si="2"/>
        <v>1.0334212840809147</v>
      </c>
      <c r="N25" s="287">
        <v>1783.7959999999978</v>
      </c>
      <c r="O25" s="246">
        <v>1.55</v>
      </c>
      <c r="P25" s="206">
        <v>9.7374041965070986E-3</v>
      </c>
      <c r="Q25" s="205">
        <v>3.7699999999999934</v>
      </c>
      <c r="R25" s="206">
        <v>2.3683879884407545E-2</v>
      </c>
      <c r="S25" s="204">
        <v>1264.0809999999979</v>
      </c>
      <c r="T25" s="245" t="s">
        <v>433</v>
      </c>
      <c r="U25" s="245" t="s">
        <v>219</v>
      </c>
      <c r="V25" s="205" t="s">
        <v>529</v>
      </c>
      <c r="W25" s="205">
        <v>1</v>
      </c>
      <c r="X25" s="205" t="s">
        <v>392</v>
      </c>
    </row>
    <row r="26" spans="2:34" ht="16.5">
      <c r="B26" s="496"/>
      <c r="C26" s="498"/>
      <c r="D26" s="209">
        <v>10</v>
      </c>
      <c r="E26" s="198" t="s">
        <v>444</v>
      </c>
      <c r="F26" s="204">
        <v>400.95</v>
      </c>
      <c r="G26" s="249">
        <v>102.375</v>
      </c>
      <c r="H26" s="249">
        <v>107.8</v>
      </c>
      <c r="I26" s="210">
        <f t="shared" si="0"/>
        <v>1.052991452991453</v>
      </c>
      <c r="J26" s="249"/>
      <c r="K26" s="210">
        <f t="shared" si="1"/>
        <v>0</v>
      </c>
      <c r="L26" s="249">
        <v>81</v>
      </c>
      <c r="M26" s="211">
        <f t="shared" si="2"/>
        <v>1.052991452991453</v>
      </c>
      <c r="N26" s="287">
        <v>439.42499999999978</v>
      </c>
      <c r="O26" s="246">
        <v>4.95</v>
      </c>
      <c r="P26" s="206">
        <v>4.8351648351648353E-2</v>
      </c>
      <c r="Q26" s="205">
        <v>0.47499999999999698</v>
      </c>
      <c r="R26" s="206">
        <v>4.6398046398046103E-3</v>
      </c>
      <c r="S26" s="204">
        <v>38.474999999999753</v>
      </c>
      <c r="T26" s="245" t="s">
        <v>434</v>
      </c>
      <c r="U26" s="245" t="s">
        <v>429</v>
      </c>
      <c r="V26" s="205" t="s">
        <v>577</v>
      </c>
      <c r="W26" s="205">
        <v>1</v>
      </c>
      <c r="X26" s="205" t="s">
        <v>425</v>
      </c>
    </row>
    <row r="27" spans="2:34" ht="16.5">
      <c r="B27" s="494">
        <v>45933</v>
      </c>
      <c r="C27" s="497" t="s">
        <v>116</v>
      </c>
      <c r="D27" s="209">
        <v>1</v>
      </c>
      <c r="E27" s="198" t="s">
        <v>407</v>
      </c>
      <c r="F27" s="199">
        <v>4175.2554999999993</v>
      </c>
      <c r="G27" s="250">
        <v>539.19000000000005</v>
      </c>
      <c r="H27" s="250">
        <v>563.85</v>
      </c>
      <c r="I27" s="210">
        <f t="shared" si="0"/>
        <v>1.0457352695710231</v>
      </c>
      <c r="J27" s="198"/>
      <c r="K27" s="210">
        <f t="shared" si="1"/>
        <v>0</v>
      </c>
      <c r="L27" s="249">
        <v>156.66999999999999</v>
      </c>
      <c r="M27" s="211">
        <f t="shared" si="2"/>
        <v>1.0457352695710231</v>
      </c>
      <c r="N27" s="199">
        <v>3863.4821999999949</v>
      </c>
      <c r="O27" s="198">
        <v>26.65</v>
      </c>
      <c r="P27" s="200">
        <v>4.9425990838109009E-2</v>
      </c>
      <c r="Q27" s="198">
        <v>-1.9900000000000304</v>
      </c>
      <c r="R27" s="200">
        <v>-3.69072126708587E-3</v>
      </c>
      <c r="S27" s="199">
        <v>-311.77330000000472</v>
      </c>
      <c r="T27" s="198" t="s">
        <v>434</v>
      </c>
      <c r="U27" s="245" t="s">
        <v>429</v>
      </c>
      <c r="V27" s="245" t="s">
        <v>577</v>
      </c>
      <c r="W27" s="205">
        <v>1</v>
      </c>
      <c r="X27" s="198" t="s">
        <v>399</v>
      </c>
    </row>
    <row r="28" spans="2:34" ht="16.5">
      <c r="B28" s="495"/>
      <c r="C28" s="498"/>
      <c r="D28" s="209">
        <v>2</v>
      </c>
      <c r="E28" s="198" t="s">
        <v>559</v>
      </c>
      <c r="F28" s="199">
        <v>4021.6079999999993</v>
      </c>
      <c r="G28" s="250">
        <v>50.37</v>
      </c>
      <c r="H28" s="250">
        <v>66.37</v>
      </c>
      <c r="I28" s="210">
        <f t="shared" si="0"/>
        <v>1.3176493944808418</v>
      </c>
      <c r="J28" s="198"/>
      <c r="K28" s="210">
        <f t="shared" si="1"/>
        <v>0</v>
      </c>
      <c r="L28" s="249">
        <v>250.1</v>
      </c>
      <c r="M28" s="211">
        <f t="shared" si="2"/>
        <v>1.3176493944808418</v>
      </c>
      <c r="N28" s="199">
        <v>4001.6000000000017</v>
      </c>
      <c r="O28" s="198">
        <v>16.079999999999998</v>
      </c>
      <c r="P28" s="200">
        <v>0.31923764145324596</v>
      </c>
      <c r="Q28" s="198">
        <v>-7.9999999999991189E-2</v>
      </c>
      <c r="R28" s="200">
        <v>-1.588246972404034E-3</v>
      </c>
      <c r="S28" s="199">
        <v>-20.007999999997796</v>
      </c>
      <c r="T28" s="198" t="s">
        <v>434</v>
      </c>
      <c r="U28" s="245" t="s">
        <v>429</v>
      </c>
      <c r="V28" s="245" t="s">
        <v>577</v>
      </c>
      <c r="W28" s="205">
        <v>1</v>
      </c>
      <c r="X28" s="247" t="s">
        <v>555</v>
      </c>
      <c r="AA28" s="196">
        <v>1</v>
      </c>
      <c r="AB28" s="196" t="s">
        <v>422</v>
      </c>
    </row>
    <row r="29" spans="2:34" ht="16.5">
      <c r="B29" s="495"/>
      <c r="C29" s="498"/>
      <c r="D29" s="209">
        <v>3</v>
      </c>
      <c r="E29" s="198" t="s">
        <v>527</v>
      </c>
      <c r="F29" s="199">
        <v>1185.3240000000001</v>
      </c>
      <c r="G29" s="250">
        <v>85.03</v>
      </c>
      <c r="H29" s="250">
        <v>96.25</v>
      </c>
      <c r="I29" s="210">
        <f t="shared" si="0"/>
        <v>1.1319534282018111</v>
      </c>
      <c r="J29" s="198"/>
      <c r="K29" s="210">
        <f t="shared" si="1"/>
        <v>0</v>
      </c>
      <c r="L29" s="249">
        <v>115.08</v>
      </c>
      <c r="M29" s="211">
        <f t="shared" si="2"/>
        <v>1.1319534282018111</v>
      </c>
      <c r="N29" s="199">
        <v>1291.1975999999997</v>
      </c>
      <c r="O29" s="198">
        <v>10.3</v>
      </c>
      <c r="P29" s="200">
        <v>0.12113371751146655</v>
      </c>
      <c r="Q29" s="198">
        <v>0.91999999999999815</v>
      </c>
      <c r="R29" s="200">
        <v>1.0819710690344563E-2</v>
      </c>
      <c r="S29" s="199">
        <v>105.87359999999978</v>
      </c>
      <c r="T29" s="245" t="s">
        <v>434</v>
      </c>
      <c r="U29" s="245" t="s">
        <v>429</v>
      </c>
      <c r="V29" s="198" t="s">
        <v>577</v>
      </c>
      <c r="W29" s="205">
        <v>1</v>
      </c>
      <c r="X29" s="198" t="s">
        <v>530</v>
      </c>
      <c r="AA29" s="196">
        <v>2</v>
      </c>
      <c r="AB29" s="196" t="s">
        <v>419</v>
      </c>
    </row>
    <row r="30" spans="2:34" ht="16.5">
      <c r="B30" s="495"/>
      <c r="C30" s="498"/>
      <c r="D30" s="209">
        <v>4</v>
      </c>
      <c r="E30" s="198" t="s">
        <v>557</v>
      </c>
      <c r="F30" s="199">
        <v>1174.6344999999999</v>
      </c>
      <c r="G30" s="250">
        <v>63.51</v>
      </c>
      <c r="H30" s="250">
        <v>71.900000000000006</v>
      </c>
      <c r="I30" s="210">
        <f t="shared" si="0"/>
        <v>1.1321051802865691</v>
      </c>
      <c r="J30" s="198"/>
      <c r="K30" s="210">
        <f t="shared" si="1"/>
        <v>0</v>
      </c>
      <c r="L30" s="249">
        <v>139.01</v>
      </c>
      <c r="M30" s="211">
        <f t="shared" si="2"/>
        <v>1.1321051802865691</v>
      </c>
      <c r="N30" s="199">
        <v>1166.293900000001</v>
      </c>
      <c r="O30" s="198">
        <v>8.4499999999999993</v>
      </c>
      <c r="P30" s="200">
        <v>0.13304991339946465</v>
      </c>
      <c r="Q30" s="198">
        <v>-5.9999999999991616E-2</v>
      </c>
      <c r="R30" s="200">
        <v>-9.4473311289547499E-4</v>
      </c>
      <c r="S30" s="199">
        <v>-8.3405999999988332</v>
      </c>
      <c r="T30" s="245" t="s">
        <v>434</v>
      </c>
      <c r="U30" s="245" t="s">
        <v>429</v>
      </c>
      <c r="V30" s="198" t="s">
        <v>577</v>
      </c>
      <c r="W30" s="205">
        <v>1</v>
      </c>
      <c r="X30" s="198" t="s">
        <v>555</v>
      </c>
      <c r="AA30" s="196">
        <v>3</v>
      </c>
      <c r="AB30" s="196" t="s">
        <v>428</v>
      </c>
    </row>
    <row r="31" spans="2:34" ht="16.5">
      <c r="B31" s="495"/>
      <c r="C31" s="498"/>
      <c r="D31" s="209">
        <v>5</v>
      </c>
      <c r="E31" s="198" t="s">
        <v>558</v>
      </c>
      <c r="F31" s="199">
        <v>430.30699999999996</v>
      </c>
      <c r="G31" s="250">
        <v>46.38</v>
      </c>
      <c r="H31" s="250">
        <v>49.9</v>
      </c>
      <c r="I31" s="210">
        <f t="shared" si="0"/>
        <v>1.0758947822337213</v>
      </c>
      <c r="J31" s="198"/>
      <c r="K31" s="210">
        <f t="shared" si="1"/>
        <v>0</v>
      </c>
      <c r="L31" s="249">
        <v>215.15</v>
      </c>
      <c r="M31" s="211">
        <f t="shared" si="2"/>
        <v>1.0758947822337213</v>
      </c>
      <c r="N31" s="199">
        <v>757.32799999999918</v>
      </c>
      <c r="O31" s="198">
        <v>4.55</v>
      </c>
      <c r="P31" s="200">
        <v>9.8102630444156957E-2</v>
      </c>
      <c r="Q31" s="198">
        <v>-1.0300000000000038</v>
      </c>
      <c r="R31" s="200">
        <v>-2.2207848210435612E-2</v>
      </c>
      <c r="S31" s="199">
        <v>-221.60450000000083</v>
      </c>
      <c r="T31" s="251" t="s">
        <v>434</v>
      </c>
      <c r="U31" s="245" t="s">
        <v>429</v>
      </c>
      <c r="V31" s="198" t="s">
        <v>577</v>
      </c>
      <c r="W31" s="205">
        <v>1</v>
      </c>
      <c r="X31" s="198" t="s">
        <v>554</v>
      </c>
      <c r="AA31" s="196">
        <v>4</v>
      </c>
      <c r="AB31" s="196" t="s">
        <v>217</v>
      </c>
    </row>
    <row r="32" spans="2:34" ht="16.5">
      <c r="B32" s="495"/>
      <c r="C32" s="498"/>
      <c r="D32" s="209">
        <v>6</v>
      </c>
      <c r="E32" s="198" t="s">
        <v>574</v>
      </c>
      <c r="F32" s="199">
        <v>346.86959999999999</v>
      </c>
      <c r="G32" s="250">
        <v>149.13499999999999</v>
      </c>
      <c r="H32" s="250">
        <v>150.35</v>
      </c>
      <c r="I32" s="210">
        <f t="shared" si="0"/>
        <v>1.0081469809233246</v>
      </c>
      <c r="J32" s="198"/>
      <c r="K32" s="210">
        <f t="shared" si="1"/>
        <v>0</v>
      </c>
      <c r="L32" s="249">
        <v>421.32</v>
      </c>
      <c r="M32" s="211">
        <f t="shared" si="2"/>
        <v>1.0081469809233246</v>
      </c>
      <c r="N32" s="199">
        <v>511.90380000000141</v>
      </c>
      <c r="O32" s="198">
        <v>2.25</v>
      </c>
      <c r="P32" s="200">
        <v>1.5087001709860194E-2</v>
      </c>
      <c r="Q32" s="198">
        <v>-1.0349999999999966</v>
      </c>
      <c r="R32" s="200">
        <v>-6.9400207865356663E-3</v>
      </c>
      <c r="S32" s="199">
        <v>-436.06619999999856</v>
      </c>
      <c r="T32" s="245" t="s">
        <v>418</v>
      </c>
      <c r="U32" s="245" t="s">
        <v>217</v>
      </c>
      <c r="V32" s="198" t="s">
        <v>578</v>
      </c>
      <c r="W32" s="205">
        <v>1</v>
      </c>
      <c r="X32" s="198" t="s">
        <v>585</v>
      </c>
      <c r="AA32" s="196">
        <v>5</v>
      </c>
      <c r="AB32" s="196" t="s">
        <v>218</v>
      </c>
    </row>
    <row r="33" spans="2:28" ht="16.5">
      <c r="B33" s="495"/>
      <c r="C33" s="498"/>
      <c r="D33" s="209">
        <v>7</v>
      </c>
      <c r="E33" s="198" t="s">
        <v>556</v>
      </c>
      <c r="F33" s="199">
        <v>285.096</v>
      </c>
      <c r="G33" s="250">
        <v>108.22</v>
      </c>
      <c r="H33" s="250">
        <v>115.4</v>
      </c>
      <c r="I33" s="210">
        <f t="shared" si="0"/>
        <v>1.0663463315468491</v>
      </c>
      <c r="J33" s="198"/>
      <c r="K33" s="210">
        <f t="shared" si="1"/>
        <v>0</v>
      </c>
      <c r="L33" s="249">
        <v>105.17999999999999</v>
      </c>
      <c r="M33" s="211">
        <f t="shared" si="2"/>
        <v>1.0663463315468491</v>
      </c>
      <c r="N33" s="199">
        <v>755.1924000000007</v>
      </c>
      <c r="O33" s="198">
        <v>6.45</v>
      </c>
      <c r="P33" s="200">
        <v>5.9600813158381075E-2</v>
      </c>
      <c r="Q33" s="198">
        <v>0.73000000000000664</v>
      </c>
      <c r="R33" s="200">
        <v>6.7455183884679972E-3</v>
      </c>
      <c r="S33" s="199">
        <v>76.781400000000687</v>
      </c>
      <c r="T33" s="245" t="s">
        <v>434</v>
      </c>
      <c r="U33" s="245" t="s">
        <v>429</v>
      </c>
      <c r="V33" s="198" t="s">
        <v>577</v>
      </c>
      <c r="W33" s="205">
        <v>1</v>
      </c>
      <c r="X33" s="198" t="s">
        <v>554</v>
      </c>
      <c r="AA33" s="196">
        <v>6</v>
      </c>
      <c r="AB33" s="196" t="s">
        <v>219</v>
      </c>
    </row>
    <row r="34" spans="2:28" ht="16.5">
      <c r="B34" s="495"/>
      <c r="C34" s="498"/>
      <c r="D34" s="209">
        <v>8</v>
      </c>
      <c r="E34" s="198" t="s">
        <v>410</v>
      </c>
      <c r="F34" s="199">
        <v>283.5</v>
      </c>
      <c r="G34" s="250">
        <v>99.135000000000005</v>
      </c>
      <c r="H34" s="250">
        <v>100</v>
      </c>
      <c r="I34" s="210">
        <f t="shared" si="0"/>
        <v>1.0087254753618802</v>
      </c>
      <c r="J34" s="198">
        <v>15.05</v>
      </c>
      <c r="K34" s="210">
        <f t="shared" si="1"/>
        <v>0.15181318404196298</v>
      </c>
      <c r="L34" s="249">
        <v>162.38</v>
      </c>
      <c r="M34" s="211">
        <f t="shared" si="2"/>
        <v>1.1605386594038432</v>
      </c>
      <c r="N34" s="199">
        <v>2584.2776999999987</v>
      </c>
      <c r="O34" s="198">
        <v>2.65</v>
      </c>
      <c r="P34" s="200">
        <v>2.6731225097089823E-2</v>
      </c>
      <c r="Q34" s="198">
        <v>13.264999999999992</v>
      </c>
      <c r="R34" s="200">
        <v>0.13380743430675332</v>
      </c>
      <c r="S34" s="199">
        <v>2153.9706999999985</v>
      </c>
      <c r="T34" s="245" t="s">
        <v>434</v>
      </c>
      <c r="U34" s="245" t="s">
        <v>429</v>
      </c>
      <c r="V34" s="198" t="s">
        <v>577</v>
      </c>
      <c r="W34" s="205">
        <v>1</v>
      </c>
      <c r="X34" s="198" t="s">
        <v>404</v>
      </c>
      <c r="AA34" s="196">
        <v>7</v>
      </c>
      <c r="AB34" s="196" t="s">
        <v>429</v>
      </c>
    </row>
    <row r="35" spans="2:28" ht="16.5">
      <c r="B35" s="495"/>
      <c r="C35" s="498"/>
      <c r="D35" s="209">
        <v>9</v>
      </c>
      <c r="E35" s="198" t="s">
        <v>563</v>
      </c>
      <c r="F35" s="199">
        <v>200.45</v>
      </c>
      <c r="G35" s="250">
        <v>15.33</v>
      </c>
      <c r="H35" s="250">
        <v>17.2</v>
      </c>
      <c r="I35" s="210">
        <f t="shared" si="0"/>
        <v>1.1219830397912589</v>
      </c>
      <c r="J35" s="198"/>
      <c r="K35" s="210">
        <f t="shared" si="1"/>
        <v>0</v>
      </c>
      <c r="L35" s="249">
        <v>150.16</v>
      </c>
      <c r="M35" s="211">
        <f t="shared" si="2"/>
        <v>1.1219830397912589</v>
      </c>
      <c r="N35" s="199">
        <v>280.79919999999987</v>
      </c>
      <c r="O35" s="198">
        <v>2.31</v>
      </c>
      <c r="P35" s="200">
        <v>0.15068493150684931</v>
      </c>
      <c r="Q35" s="198">
        <v>-0.44000000000000083</v>
      </c>
      <c r="R35" s="200">
        <v>-2.87018917155904E-2</v>
      </c>
      <c r="S35" s="199">
        <v>-66.07040000000012</v>
      </c>
      <c r="T35" s="251" t="s">
        <v>434</v>
      </c>
      <c r="U35" s="245" t="s">
        <v>429</v>
      </c>
      <c r="V35" s="198" t="s">
        <v>577</v>
      </c>
      <c r="W35" s="205">
        <v>1</v>
      </c>
      <c r="X35" s="198" t="s">
        <v>555</v>
      </c>
      <c r="AA35" s="196">
        <v>8</v>
      </c>
      <c r="AB35" s="196" t="s">
        <v>430</v>
      </c>
    </row>
    <row r="36" spans="2:28" ht="16.5">
      <c r="B36" s="496"/>
      <c r="C36" s="498"/>
      <c r="D36" s="209">
        <v>10</v>
      </c>
      <c r="E36" s="198" t="s">
        <v>414</v>
      </c>
      <c r="F36" s="199">
        <v>184.41500000000002</v>
      </c>
      <c r="G36" s="250">
        <v>79.38</v>
      </c>
      <c r="H36" s="250">
        <v>80.001000000000005</v>
      </c>
      <c r="I36" s="210">
        <f t="shared" si="0"/>
        <v>1.0078231292517008</v>
      </c>
      <c r="J36" s="198"/>
      <c r="K36" s="210">
        <f t="shared" si="1"/>
        <v>0</v>
      </c>
      <c r="L36" s="249">
        <v>356.37</v>
      </c>
      <c r="M36" s="211">
        <f t="shared" si="2"/>
        <v>1.0078231292517008</v>
      </c>
      <c r="N36" s="199">
        <v>221.30577000000332</v>
      </c>
      <c r="O36" s="198">
        <v>0.8</v>
      </c>
      <c r="P36" s="200">
        <v>1.0078105316200556E-2</v>
      </c>
      <c r="Q36" s="198">
        <v>-0.17899999999999072</v>
      </c>
      <c r="R36" s="200">
        <v>-2.2549760644997572E-3</v>
      </c>
      <c r="S36" s="199">
        <v>-63.790229999996697</v>
      </c>
      <c r="T36" s="251" t="s">
        <v>418</v>
      </c>
      <c r="U36" s="245" t="s">
        <v>217</v>
      </c>
      <c r="V36" s="198" t="s">
        <v>592</v>
      </c>
      <c r="W36" s="205">
        <v>1</v>
      </c>
      <c r="X36" s="198" t="s">
        <v>401</v>
      </c>
    </row>
    <row r="37" spans="2:28" ht="16.5">
      <c r="B37" s="494">
        <v>45934</v>
      </c>
      <c r="C37" s="497" t="s">
        <v>117</v>
      </c>
      <c r="D37" s="209">
        <v>1</v>
      </c>
      <c r="E37" s="198" t="s">
        <v>559</v>
      </c>
      <c r="F37" s="199">
        <v>2313.4249999999997</v>
      </c>
      <c r="G37" s="250">
        <v>52.072000000000003</v>
      </c>
      <c r="H37" s="250">
        <v>62.6</v>
      </c>
      <c r="I37" s="210">
        <f t="shared" si="0"/>
        <v>1.2021815947150098</v>
      </c>
      <c r="J37" s="198"/>
      <c r="K37" s="210">
        <f t="shared" si="1"/>
        <v>0</v>
      </c>
      <c r="L37" s="250">
        <v>250.1</v>
      </c>
      <c r="M37" s="211">
        <f t="shared" si="2"/>
        <v>1.2021815947150098</v>
      </c>
      <c r="N37" s="199">
        <v>2633.0527999999995</v>
      </c>
      <c r="O37" s="198">
        <v>9.25</v>
      </c>
      <c r="P37" s="200">
        <v>0.17763865417114763</v>
      </c>
      <c r="Q37" s="198">
        <v>1.2779999999999987</v>
      </c>
      <c r="R37" s="200">
        <v>2.4542940543862319E-2</v>
      </c>
      <c r="S37" s="199">
        <v>319.62779999999964</v>
      </c>
      <c r="T37" s="198" t="s">
        <v>434</v>
      </c>
      <c r="U37" s="245" t="s">
        <v>429</v>
      </c>
      <c r="V37" s="245" t="s">
        <v>577</v>
      </c>
      <c r="W37" s="205">
        <v>1</v>
      </c>
      <c r="X37" s="198" t="s">
        <v>555</v>
      </c>
    </row>
    <row r="38" spans="2:28" ht="16.5">
      <c r="B38" s="495"/>
      <c r="C38" s="498"/>
      <c r="D38" s="209">
        <v>2</v>
      </c>
      <c r="E38" s="198" t="s">
        <v>557</v>
      </c>
      <c r="F38" s="199">
        <v>2008.6944999999998</v>
      </c>
      <c r="G38" s="250">
        <v>65.656000000000006</v>
      </c>
      <c r="H38" s="250">
        <v>82.65</v>
      </c>
      <c r="I38" s="210">
        <f t="shared" si="0"/>
        <v>1.2588339222614842</v>
      </c>
      <c r="J38" s="198"/>
      <c r="K38" s="210">
        <f t="shared" si="1"/>
        <v>0</v>
      </c>
      <c r="L38" s="250">
        <v>139.01</v>
      </c>
      <c r="M38" s="211">
        <f t="shared" si="2"/>
        <v>1.2588339222614842</v>
      </c>
      <c r="N38" s="199">
        <v>2362.3359399999999</v>
      </c>
      <c r="O38" s="198">
        <v>14.45</v>
      </c>
      <c r="P38" s="200">
        <v>0.22008651151456071</v>
      </c>
      <c r="Q38" s="198">
        <v>2.5440000000000005</v>
      </c>
      <c r="R38" s="200">
        <v>3.8747410746923359E-2</v>
      </c>
      <c r="S38" s="199">
        <v>353.64144000000005</v>
      </c>
      <c r="T38" s="198" t="s">
        <v>434</v>
      </c>
      <c r="U38" s="245" t="s">
        <v>429</v>
      </c>
      <c r="V38" s="245" t="s">
        <v>577</v>
      </c>
      <c r="W38" s="205">
        <v>1</v>
      </c>
      <c r="X38" s="198" t="s">
        <v>555</v>
      </c>
      <c r="AA38" s="252">
        <v>1</v>
      </c>
      <c r="AB38" s="196" t="s">
        <v>431</v>
      </c>
    </row>
    <row r="39" spans="2:28" ht="16.5">
      <c r="B39" s="495"/>
      <c r="C39" s="498"/>
      <c r="D39" s="209">
        <v>3</v>
      </c>
      <c r="E39" s="198" t="s">
        <v>406</v>
      </c>
      <c r="F39" s="199">
        <v>836.68900000000008</v>
      </c>
      <c r="G39" s="250">
        <v>178.16</v>
      </c>
      <c r="H39" s="250">
        <v>184</v>
      </c>
      <c r="I39" s="210">
        <f t="shared" si="0"/>
        <v>1.0327795240233497</v>
      </c>
      <c r="J39" s="198"/>
      <c r="K39" s="210">
        <f t="shared" si="1"/>
        <v>0</v>
      </c>
      <c r="L39" s="250">
        <v>140.62</v>
      </c>
      <c r="M39" s="211">
        <f t="shared" si="2"/>
        <v>1.0327795240233497</v>
      </c>
      <c r="N39" s="199">
        <v>821.22080000000051</v>
      </c>
      <c r="O39" s="198">
        <v>5.95</v>
      </c>
      <c r="P39" s="200">
        <v>3.3396946564885496E-2</v>
      </c>
      <c r="Q39" s="198">
        <v>-0.10999999999999677</v>
      </c>
      <c r="R39" s="200">
        <v>-6.1742254153568008E-4</v>
      </c>
      <c r="S39" s="199">
        <v>-15.468199999999547</v>
      </c>
      <c r="T39" s="198" t="s">
        <v>434</v>
      </c>
      <c r="U39" s="245" t="s">
        <v>429</v>
      </c>
      <c r="V39" s="245" t="s">
        <v>577</v>
      </c>
      <c r="W39" s="205">
        <v>1</v>
      </c>
      <c r="X39" s="198" t="s">
        <v>403</v>
      </c>
      <c r="AA39" s="196">
        <v>2</v>
      </c>
      <c r="AB39" s="196" t="s">
        <v>418</v>
      </c>
    </row>
    <row r="40" spans="2:28" ht="16.5">
      <c r="B40" s="495"/>
      <c r="C40" s="498"/>
      <c r="D40" s="209">
        <v>4</v>
      </c>
      <c r="E40" s="198" t="s">
        <v>558</v>
      </c>
      <c r="F40" s="199">
        <v>742.26750000000004</v>
      </c>
      <c r="G40" s="250">
        <v>45.09</v>
      </c>
      <c r="H40" s="250">
        <v>50.9</v>
      </c>
      <c r="I40" s="210">
        <f t="shared" si="0"/>
        <v>1.128853404302506</v>
      </c>
      <c r="J40" s="198"/>
      <c r="K40" s="210">
        <f t="shared" si="1"/>
        <v>0</v>
      </c>
      <c r="L40" s="250">
        <v>215.15</v>
      </c>
      <c r="M40" s="211">
        <f t="shared" si="2"/>
        <v>1.128853404302506</v>
      </c>
      <c r="N40" s="199">
        <v>1250.0214999999989</v>
      </c>
      <c r="O40" s="198">
        <v>3.45</v>
      </c>
      <c r="P40" s="200">
        <v>7.651363938789088E-2</v>
      </c>
      <c r="Q40" s="198">
        <v>2.359999999999995</v>
      </c>
      <c r="R40" s="200">
        <v>5.2339764914615096E-2</v>
      </c>
      <c r="S40" s="199">
        <v>507.75399999999894</v>
      </c>
      <c r="T40" s="198" t="s">
        <v>434</v>
      </c>
      <c r="U40" s="245" t="s">
        <v>429</v>
      </c>
      <c r="V40" s="245" t="s">
        <v>577</v>
      </c>
      <c r="W40" s="205">
        <v>1</v>
      </c>
      <c r="X40" s="198" t="s">
        <v>554</v>
      </c>
      <c r="AA40" s="253">
        <v>3</v>
      </c>
      <c r="AB40" s="196" t="s">
        <v>433</v>
      </c>
    </row>
    <row r="41" spans="2:28" ht="16.5">
      <c r="B41" s="495"/>
      <c r="C41" s="498"/>
      <c r="D41" s="209">
        <v>5</v>
      </c>
      <c r="E41" s="198" t="s">
        <v>556</v>
      </c>
      <c r="F41" s="199">
        <v>636.33899999999994</v>
      </c>
      <c r="G41" s="250">
        <v>105.21</v>
      </c>
      <c r="H41" s="250">
        <v>117.3</v>
      </c>
      <c r="I41" s="210">
        <f t="shared" si="0"/>
        <v>1.1149130310806958</v>
      </c>
      <c r="J41" s="198"/>
      <c r="K41" s="210">
        <f t="shared" si="1"/>
        <v>0</v>
      </c>
      <c r="L41" s="250">
        <v>105.17999999999999</v>
      </c>
      <c r="M41" s="211">
        <f t="shared" si="2"/>
        <v>1.1149130310806958</v>
      </c>
      <c r="N41" s="199">
        <v>1271.6262000000004</v>
      </c>
      <c r="O41" s="198">
        <v>6.05</v>
      </c>
      <c r="P41" s="200">
        <v>5.7504039539967688E-2</v>
      </c>
      <c r="Q41" s="198">
        <v>6.0400000000000036</v>
      </c>
      <c r="R41" s="200">
        <v>5.7408991540728108E-2</v>
      </c>
      <c r="S41" s="199">
        <v>635.28720000000033</v>
      </c>
      <c r="T41" s="198" t="s">
        <v>434</v>
      </c>
      <c r="U41" s="245" t="s">
        <v>429</v>
      </c>
      <c r="V41" s="198" t="s">
        <v>577</v>
      </c>
      <c r="W41" s="205">
        <v>1</v>
      </c>
      <c r="X41" s="198" t="s">
        <v>554</v>
      </c>
      <c r="AA41" s="253">
        <v>4</v>
      </c>
      <c r="AB41" s="196" t="s">
        <v>434</v>
      </c>
    </row>
    <row r="42" spans="2:28" ht="16.5">
      <c r="B42" s="495"/>
      <c r="C42" s="498"/>
      <c r="D42" s="209">
        <v>6</v>
      </c>
      <c r="E42" s="198" t="s">
        <v>410</v>
      </c>
      <c r="F42" s="199">
        <v>527.73500000000001</v>
      </c>
      <c r="G42" s="250">
        <v>95.22</v>
      </c>
      <c r="H42" s="250">
        <v>99.8</v>
      </c>
      <c r="I42" s="210">
        <f t="shared" si="0"/>
        <v>1.048099138836379</v>
      </c>
      <c r="J42" s="198"/>
      <c r="K42" s="210">
        <f t="shared" si="1"/>
        <v>0</v>
      </c>
      <c r="L42" s="250">
        <v>162.38</v>
      </c>
      <c r="M42" s="211">
        <f t="shared" si="2"/>
        <v>1.048099138836379</v>
      </c>
      <c r="N42" s="199">
        <v>743.70039999999972</v>
      </c>
      <c r="O42" s="198">
        <v>3.25</v>
      </c>
      <c r="P42" s="200">
        <v>3.4131484982146611E-2</v>
      </c>
      <c r="Q42" s="198">
        <v>1.3299999999999983</v>
      </c>
      <c r="R42" s="200">
        <v>1.3967653854232286E-2</v>
      </c>
      <c r="S42" s="199">
        <v>215.9653999999997</v>
      </c>
      <c r="T42" s="198" t="s">
        <v>434</v>
      </c>
      <c r="U42" s="245" t="s">
        <v>429</v>
      </c>
      <c r="V42" s="198" t="s">
        <v>577</v>
      </c>
      <c r="W42" s="205">
        <v>1</v>
      </c>
      <c r="X42" s="198" t="s">
        <v>404</v>
      </c>
      <c r="AA42" s="196">
        <v>5</v>
      </c>
      <c r="AB42" s="196" t="s">
        <v>432</v>
      </c>
    </row>
    <row r="43" spans="2:28" ht="16.5">
      <c r="B43" s="495"/>
      <c r="C43" s="498"/>
      <c r="D43" s="209">
        <v>7</v>
      </c>
      <c r="E43" s="198" t="s">
        <v>533</v>
      </c>
      <c r="F43" s="199">
        <v>467.245</v>
      </c>
      <c r="G43" s="250">
        <v>38.915999999999997</v>
      </c>
      <c r="H43" s="250">
        <v>38.549999999999997</v>
      </c>
      <c r="I43" s="210">
        <f t="shared" si="0"/>
        <v>0.99059512796793092</v>
      </c>
      <c r="J43" s="198">
        <v>10.5</v>
      </c>
      <c r="K43" s="210">
        <f t="shared" si="1"/>
        <v>0.26981190255935866</v>
      </c>
      <c r="L43" s="250">
        <v>54.97</v>
      </c>
      <c r="M43" s="211">
        <f t="shared" si="2"/>
        <v>1.2604070305272896</v>
      </c>
      <c r="N43" s="199">
        <v>557.06597999999997</v>
      </c>
      <c r="O43" s="198">
        <v>8.5</v>
      </c>
      <c r="P43" s="200">
        <v>0.21841915921471891</v>
      </c>
      <c r="Q43" s="198">
        <v>1.6340000000000003</v>
      </c>
      <c r="R43" s="200">
        <v>4.1987871312570681E-2</v>
      </c>
      <c r="S43" s="199">
        <v>89.82098000000002</v>
      </c>
      <c r="T43" s="251" t="s">
        <v>418</v>
      </c>
      <c r="U43" s="245" t="s">
        <v>217</v>
      </c>
      <c r="V43" s="198"/>
      <c r="W43" s="205">
        <v>1</v>
      </c>
      <c r="X43" s="198" t="s">
        <v>534</v>
      </c>
    </row>
    <row r="44" spans="2:28" ht="16.5">
      <c r="B44" s="495"/>
      <c r="C44" s="498"/>
      <c r="D44" s="209">
        <v>8</v>
      </c>
      <c r="E44" s="198" t="s">
        <v>424</v>
      </c>
      <c r="F44" s="199">
        <v>382.24199999999996</v>
      </c>
      <c r="G44" s="250">
        <v>130.08000000000001</v>
      </c>
      <c r="H44" s="250">
        <v>134.36000000000001</v>
      </c>
      <c r="I44" s="210">
        <f t="shared" si="0"/>
        <v>1.0329028290282902</v>
      </c>
      <c r="J44" s="198"/>
      <c r="K44" s="210">
        <f t="shared" si="1"/>
        <v>0</v>
      </c>
      <c r="L44" s="250">
        <v>335.3</v>
      </c>
      <c r="M44" s="211">
        <f t="shared" si="2"/>
        <v>1.0329028290282902</v>
      </c>
      <c r="N44" s="199">
        <v>1435.0840000000005</v>
      </c>
      <c r="O44" s="198">
        <v>1.1399999999999999</v>
      </c>
      <c r="P44" s="200">
        <v>8.763837638376383E-3</v>
      </c>
      <c r="Q44" s="198">
        <v>3.1400000000000015</v>
      </c>
      <c r="R44" s="200">
        <v>2.4138991389913909E-2</v>
      </c>
      <c r="S44" s="199">
        <v>1052.8420000000006</v>
      </c>
      <c r="T44" s="245" t="s">
        <v>433</v>
      </c>
      <c r="U44" s="245" t="s">
        <v>219</v>
      </c>
      <c r="V44" s="205" t="s">
        <v>529</v>
      </c>
      <c r="W44" s="205">
        <v>1</v>
      </c>
      <c r="X44" s="198" t="s">
        <v>392</v>
      </c>
    </row>
    <row r="45" spans="2:28" ht="16.5">
      <c r="B45" s="495"/>
      <c r="C45" s="498"/>
      <c r="D45" s="209">
        <v>9</v>
      </c>
      <c r="E45" s="198" t="s">
        <v>589</v>
      </c>
      <c r="F45" s="199">
        <v>360.19200000000001</v>
      </c>
      <c r="G45" s="250">
        <v>3.9078000000000004</v>
      </c>
      <c r="H45" s="250">
        <v>4.25</v>
      </c>
      <c r="I45" s="210">
        <f t="shared" si="0"/>
        <v>1.0875684528379137</v>
      </c>
      <c r="J45" s="198"/>
      <c r="K45" s="210">
        <f t="shared" si="1"/>
        <v>0</v>
      </c>
      <c r="L45" s="250">
        <v>1029.1200000000001</v>
      </c>
      <c r="M45" s="211">
        <f t="shared" si="2"/>
        <v>1.0875684528379137</v>
      </c>
      <c r="N45" s="199">
        <v>352.16486399999962</v>
      </c>
      <c r="O45" s="198">
        <v>0.35</v>
      </c>
      <c r="P45" s="200">
        <v>8.9564460821945843E-2</v>
      </c>
      <c r="Q45" s="198">
        <v>-7.8000000000003622E-3</v>
      </c>
      <c r="R45" s="200">
        <v>-1.9960079840320288E-3</v>
      </c>
      <c r="S45" s="199">
        <v>-8.0271360000003735</v>
      </c>
      <c r="T45" s="245" t="s">
        <v>434</v>
      </c>
      <c r="U45" s="245" t="s">
        <v>429</v>
      </c>
      <c r="V45" s="198" t="s">
        <v>577</v>
      </c>
      <c r="W45" s="205">
        <v>1</v>
      </c>
      <c r="X45" s="198" t="s">
        <v>554</v>
      </c>
    </row>
    <row r="46" spans="2:28" ht="16.5">
      <c r="B46" s="496"/>
      <c r="C46" s="498"/>
      <c r="D46" s="209">
        <v>10</v>
      </c>
      <c r="E46" s="198" t="s">
        <v>444</v>
      </c>
      <c r="F46" s="199">
        <v>356.40000000000003</v>
      </c>
      <c r="G46" s="250">
        <v>84.9</v>
      </c>
      <c r="H46" s="250">
        <v>89.35</v>
      </c>
      <c r="I46" s="210">
        <f t="shared" si="0"/>
        <v>1.0524146054181389</v>
      </c>
      <c r="J46" s="198"/>
      <c r="K46" s="210">
        <f t="shared" si="1"/>
        <v>0</v>
      </c>
      <c r="L46" s="250">
        <v>81</v>
      </c>
      <c r="M46" s="211">
        <f t="shared" si="2"/>
        <v>1.0524146054181389</v>
      </c>
      <c r="N46" s="199">
        <v>360.44999999999908</v>
      </c>
      <c r="O46" s="198">
        <v>4.4000000000000004</v>
      </c>
      <c r="P46" s="200">
        <v>5.1825677267373381E-2</v>
      </c>
      <c r="Q46" s="198">
        <v>4.9999999999988276E-2</v>
      </c>
      <c r="R46" s="200">
        <v>5.8892815076546842E-4</v>
      </c>
      <c r="S46" s="199">
        <v>4.0499999999990504</v>
      </c>
      <c r="T46" s="245" t="s">
        <v>434</v>
      </c>
      <c r="U46" s="245" t="s">
        <v>429</v>
      </c>
      <c r="V46" s="198" t="s">
        <v>577</v>
      </c>
      <c r="W46" s="205">
        <v>1</v>
      </c>
      <c r="X46" s="198" t="s">
        <v>425</v>
      </c>
    </row>
    <row r="47" spans="2:28" ht="16.5">
      <c r="B47" s="494">
        <v>45935</v>
      </c>
      <c r="C47" s="497" t="s">
        <v>118</v>
      </c>
      <c r="D47" s="209">
        <v>1</v>
      </c>
      <c r="E47" s="198" t="s">
        <v>559</v>
      </c>
      <c r="F47" s="199">
        <v>3463.8849999999998</v>
      </c>
      <c r="G47" s="250">
        <v>55.89</v>
      </c>
      <c r="H47" s="250">
        <v>70.7</v>
      </c>
      <c r="I47" s="210">
        <f t="shared" si="0"/>
        <v>1.26498479155484</v>
      </c>
      <c r="J47" s="198"/>
      <c r="K47" s="210">
        <f t="shared" si="1"/>
        <v>0</v>
      </c>
      <c r="L47" s="199">
        <v>250.1</v>
      </c>
      <c r="M47" s="211">
        <f t="shared" si="2"/>
        <v>1.26498479155484</v>
      </c>
      <c r="N47" s="199">
        <v>3703.9810000000007</v>
      </c>
      <c r="O47" s="198">
        <v>13.85</v>
      </c>
      <c r="P47" s="200">
        <v>0.24780819466809803</v>
      </c>
      <c r="Q47" s="198">
        <v>0.96000000000000263</v>
      </c>
      <c r="R47" s="200">
        <v>1.7176596886741863E-2</v>
      </c>
      <c r="S47" s="199">
        <v>240.09600000000066</v>
      </c>
      <c r="T47" s="245" t="s">
        <v>434</v>
      </c>
      <c r="U47" s="245" t="s">
        <v>429</v>
      </c>
      <c r="V47" s="198" t="s">
        <v>577</v>
      </c>
      <c r="W47" s="205">
        <v>1</v>
      </c>
      <c r="X47" s="198" t="s">
        <v>555</v>
      </c>
    </row>
    <row r="48" spans="2:28" ht="16.5">
      <c r="B48" s="495"/>
      <c r="C48" s="498"/>
      <c r="D48" s="209">
        <v>2</v>
      </c>
      <c r="E48" s="198" t="s">
        <v>406</v>
      </c>
      <c r="F48" s="199">
        <v>2481.9429999999998</v>
      </c>
      <c r="G48" s="250">
        <v>190.196</v>
      </c>
      <c r="H48" s="250">
        <v>207.4</v>
      </c>
      <c r="I48" s="210">
        <f t="shared" si="0"/>
        <v>1.0904540579191992</v>
      </c>
      <c r="J48" s="198"/>
      <c r="K48" s="210">
        <f t="shared" si="1"/>
        <v>0</v>
      </c>
      <c r="L48" s="199">
        <v>140.62</v>
      </c>
      <c r="M48" s="211">
        <f t="shared" si="2"/>
        <v>1.0904540579191992</v>
      </c>
      <c r="N48" s="199">
        <v>2419.2264800000012</v>
      </c>
      <c r="O48" s="198">
        <v>17.649999999999999</v>
      </c>
      <c r="P48" s="200">
        <v>9.2799007339796832E-2</v>
      </c>
      <c r="Q48" s="198">
        <v>-0.44599999999999085</v>
      </c>
      <c r="R48" s="200">
        <v>-2.3449494205976511E-3</v>
      </c>
      <c r="S48" s="199">
        <v>-62.716519999998717</v>
      </c>
      <c r="T48" s="245" t="s">
        <v>434</v>
      </c>
      <c r="U48" s="245" t="s">
        <v>429</v>
      </c>
      <c r="V48" s="198" t="s">
        <v>577</v>
      </c>
      <c r="W48" s="205">
        <v>1</v>
      </c>
      <c r="X48" s="198" t="s">
        <v>403</v>
      </c>
    </row>
    <row r="49" spans="2:24" ht="16.5">
      <c r="B49" s="495"/>
      <c r="C49" s="498"/>
      <c r="D49" s="209">
        <v>3</v>
      </c>
      <c r="E49" s="198" t="s">
        <v>444</v>
      </c>
      <c r="F49" s="199">
        <v>2316.6</v>
      </c>
      <c r="G49" s="250">
        <v>79.5</v>
      </c>
      <c r="H49" s="250">
        <v>107.9</v>
      </c>
      <c r="I49" s="210">
        <f t="shared" si="0"/>
        <v>1.3572327044025159</v>
      </c>
      <c r="J49" s="198"/>
      <c r="K49" s="210">
        <f t="shared" si="1"/>
        <v>0</v>
      </c>
      <c r="L49" s="199">
        <v>81</v>
      </c>
      <c r="M49" s="211">
        <f t="shared" si="2"/>
        <v>1.3572327044025159</v>
      </c>
      <c r="N49" s="199">
        <v>2300.4000000000005</v>
      </c>
      <c r="O49" s="198">
        <v>28.6</v>
      </c>
      <c r="P49" s="200">
        <v>0.35974842767295601</v>
      </c>
      <c r="Q49" s="198">
        <v>-0.19999999999999574</v>
      </c>
      <c r="R49" s="200">
        <v>-2.5157232704401981E-3</v>
      </c>
      <c r="S49" s="199">
        <v>-16.199999999999655</v>
      </c>
      <c r="T49" s="245" t="s">
        <v>434</v>
      </c>
      <c r="U49" s="245" t="s">
        <v>429</v>
      </c>
      <c r="V49" s="198" t="s">
        <v>577</v>
      </c>
      <c r="W49" s="205">
        <v>1</v>
      </c>
      <c r="X49" s="198" t="s">
        <v>425</v>
      </c>
    </row>
    <row r="50" spans="2:24" ht="16.5">
      <c r="B50" s="495"/>
      <c r="C50" s="498"/>
      <c r="D50" s="209">
        <v>4</v>
      </c>
      <c r="E50" s="198" t="s">
        <v>557</v>
      </c>
      <c r="F50" s="199">
        <v>2224.16</v>
      </c>
      <c r="G50" s="250">
        <v>70.47</v>
      </c>
      <c r="H50" s="250">
        <v>87.88</v>
      </c>
      <c r="I50" s="210">
        <f t="shared" si="0"/>
        <v>1.2470554846033772</v>
      </c>
      <c r="J50" s="198"/>
      <c r="K50" s="210">
        <f t="shared" si="1"/>
        <v>0</v>
      </c>
      <c r="L50" s="199">
        <v>139.01</v>
      </c>
      <c r="M50" s="211">
        <f t="shared" si="2"/>
        <v>1.2470554846033772</v>
      </c>
      <c r="N50" s="199">
        <v>2420.1640999999995</v>
      </c>
      <c r="O50" s="198">
        <v>16</v>
      </c>
      <c r="P50" s="200">
        <v>0.22704697034198951</v>
      </c>
      <c r="Q50" s="198">
        <v>1.4099999999999966</v>
      </c>
      <c r="R50" s="200">
        <v>2.0008514261387778E-2</v>
      </c>
      <c r="S50" s="199">
        <v>196.00409999999951</v>
      </c>
      <c r="T50" s="245" t="s">
        <v>434</v>
      </c>
      <c r="U50" s="245" t="s">
        <v>429</v>
      </c>
      <c r="V50" s="198" t="s">
        <v>577</v>
      </c>
      <c r="W50" s="205">
        <v>1</v>
      </c>
      <c r="X50" s="198" t="s">
        <v>555</v>
      </c>
    </row>
    <row r="51" spans="2:24" ht="16.5">
      <c r="B51" s="495"/>
      <c r="C51" s="498"/>
      <c r="D51" s="209">
        <v>5</v>
      </c>
      <c r="E51" s="198" t="s">
        <v>410</v>
      </c>
      <c r="F51" s="199">
        <v>2110.94</v>
      </c>
      <c r="G51" s="250">
        <v>95.984999999999999</v>
      </c>
      <c r="H51" s="250">
        <v>109.4</v>
      </c>
      <c r="I51" s="210">
        <f t="shared" si="0"/>
        <v>1.1397614210553733</v>
      </c>
      <c r="J51" s="198"/>
      <c r="K51" s="210">
        <f t="shared" si="1"/>
        <v>0</v>
      </c>
      <c r="L51" s="199">
        <v>162.38</v>
      </c>
      <c r="M51" s="211">
        <f t="shared" si="2"/>
        <v>1.1397614210553733</v>
      </c>
      <c r="N51" s="199">
        <v>2178.3277000000007</v>
      </c>
      <c r="O51" s="198">
        <v>13</v>
      </c>
      <c r="P51" s="200">
        <v>0.13543782882742095</v>
      </c>
      <c r="Q51" s="198">
        <v>0.41500000000000625</v>
      </c>
      <c r="R51" s="200">
        <v>4.3235922279523491E-3</v>
      </c>
      <c r="S51" s="199">
        <v>67.387700000001018</v>
      </c>
      <c r="T51" s="245" t="s">
        <v>434</v>
      </c>
      <c r="U51" s="245" t="s">
        <v>429</v>
      </c>
      <c r="V51" s="198" t="s">
        <v>577</v>
      </c>
      <c r="W51" s="205">
        <v>1</v>
      </c>
      <c r="X51" s="198" t="s">
        <v>404</v>
      </c>
    </row>
    <row r="52" spans="2:24" ht="16.5">
      <c r="B52" s="495"/>
      <c r="C52" s="498"/>
      <c r="D52" s="209">
        <v>6</v>
      </c>
      <c r="E52" s="198" t="s">
        <v>417</v>
      </c>
      <c r="F52" s="199">
        <v>1869.1570000000002</v>
      </c>
      <c r="G52" s="250">
        <v>127.4</v>
      </c>
      <c r="H52" s="250">
        <v>144.19999999999999</v>
      </c>
      <c r="I52" s="210">
        <f t="shared" si="0"/>
        <v>1.1318681318681316</v>
      </c>
      <c r="J52" s="198"/>
      <c r="K52" s="210">
        <f t="shared" si="1"/>
        <v>0</v>
      </c>
      <c r="L52" s="199">
        <v>112.94</v>
      </c>
      <c r="M52" s="211">
        <f t="shared" si="2"/>
        <v>1.1318681318681316</v>
      </c>
      <c r="N52" s="199">
        <v>1897.391999999998</v>
      </c>
      <c r="O52" s="198">
        <v>16.5</v>
      </c>
      <c r="P52" s="200">
        <v>0.12951334379905807</v>
      </c>
      <c r="Q52" s="198">
        <v>0.29999999999998295</v>
      </c>
      <c r="R52" s="200">
        <v>2.3547880690736496E-3</v>
      </c>
      <c r="S52" s="199">
        <v>33.881999999998072</v>
      </c>
      <c r="T52" s="245" t="s">
        <v>434</v>
      </c>
      <c r="U52" s="245" t="s">
        <v>429</v>
      </c>
      <c r="V52" s="198" t="s">
        <v>577</v>
      </c>
      <c r="W52" s="205">
        <v>1</v>
      </c>
      <c r="X52" s="198" t="s">
        <v>394</v>
      </c>
    </row>
    <row r="53" spans="2:24" ht="16.5">
      <c r="B53" s="495"/>
      <c r="C53" s="498"/>
      <c r="D53" s="209">
        <v>7</v>
      </c>
      <c r="E53" s="198" t="s">
        <v>558</v>
      </c>
      <c r="F53" s="199">
        <v>636.33899999999994</v>
      </c>
      <c r="G53" s="250">
        <v>42.54</v>
      </c>
      <c r="H53" s="250">
        <v>46.5</v>
      </c>
      <c r="I53" s="210">
        <f t="shared" si="0"/>
        <v>1.0930888575458393</v>
      </c>
      <c r="J53" s="198"/>
      <c r="K53" s="210">
        <f t="shared" si="1"/>
        <v>0</v>
      </c>
      <c r="L53" s="199">
        <v>215.15</v>
      </c>
      <c r="M53" s="211">
        <f t="shared" si="2"/>
        <v>1.0930888575458393</v>
      </c>
      <c r="N53" s="199">
        <v>851.99400000000026</v>
      </c>
      <c r="O53" s="198">
        <v>2.65</v>
      </c>
      <c r="P53" s="200">
        <v>6.229431123648331E-2</v>
      </c>
      <c r="Q53" s="198">
        <v>1.3100000000000009</v>
      </c>
      <c r="R53" s="200">
        <v>3.0794546309355922E-2</v>
      </c>
      <c r="S53" s="199">
        <v>281.84650000000022</v>
      </c>
      <c r="T53" s="245" t="s">
        <v>434</v>
      </c>
      <c r="U53" s="245" t="s">
        <v>429</v>
      </c>
      <c r="V53" s="198" t="s">
        <v>577</v>
      </c>
      <c r="W53" s="205">
        <v>1</v>
      </c>
      <c r="X53" s="198" t="s">
        <v>554</v>
      </c>
    </row>
    <row r="54" spans="2:24" ht="16.5">
      <c r="B54" s="495"/>
      <c r="C54" s="498"/>
      <c r="D54" s="209">
        <v>8</v>
      </c>
      <c r="E54" s="198" t="s">
        <v>424</v>
      </c>
      <c r="F54" s="199">
        <v>570.14750000000004</v>
      </c>
      <c r="G54" s="250">
        <v>134.52000000000001</v>
      </c>
      <c r="H54" s="250">
        <v>138</v>
      </c>
      <c r="I54" s="210">
        <f t="shared" si="0"/>
        <v>1.0258697591436217</v>
      </c>
      <c r="J54" s="198"/>
      <c r="K54" s="210">
        <f t="shared" si="1"/>
        <v>0</v>
      </c>
      <c r="L54" s="199">
        <v>335.3</v>
      </c>
      <c r="M54" s="211">
        <f t="shared" si="2"/>
        <v>1.0258697591436217</v>
      </c>
      <c r="N54" s="199">
        <v>1166.8439999999966</v>
      </c>
      <c r="O54" s="198">
        <v>1.57</v>
      </c>
      <c r="P54" s="200">
        <v>1.1671126969967291E-2</v>
      </c>
      <c r="Q54" s="198">
        <v>1.9099999999999897</v>
      </c>
      <c r="R54" s="200">
        <v>1.4198632173654397E-2</v>
      </c>
      <c r="S54" s="199">
        <v>640.42299999999659</v>
      </c>
      <c r="T54" s="245" t="s">
        <v>433</v>
      </c>
      <c r="U54" s="245" t="s">
        <v>219</v>
      </c>
      <c r="V54" s="198" t="s">
        <v>529</v>
      </c>
      <c r="W54" s="205">
        <v>1</v>
      </c>
      <c r="X54" s="198" t="s">
        <v>392</v>
      </c>
    </row>
    <row r="55" spans="2:24" ht="16.5">
      <c r="B55" s="495"/>
      <c r="C55" s="498"/>
      <c r="D55" s="209">
        <v>9</v>
      </c>
      <c r="E55" s="198" t="s">
        <v>556</v>
      </c>
      <c r="F55" s="199">
        <v>526.42100000000005</v>
      </c>
      <c r="G55" s="250">
        <v>99.26</v>
      </c>
      <c r="H55" s="250">
        <v>107.65</v>
      </c>
      <c r="I55" s="210">
        <f t="shared" si="0"/>
        <v>1.0845254886157567</v>
      </c>
      <c r="J55" s="198"/>
      <c r="K55" s="210">
        <f t="shared" si="1"/>
        <v>0</v>
      </c>
      <c r="L55" s="199">
        <v>105.17999999999999</v>
      </c>
      <c r="M55" s="211">
        <f t="shared" si="2"/>
        <v>1.0845254886157567</v>
      </c>
      <c r="N55" s="199">
        <v>882.46019999999999</v>
      </c>
      <c r="O55" s="198">
        <v>4.05</v>
      </c>
      <c r="P55" s="200">
        <v>4.0801934313923024E-2</v>
      </c>
      <c r="Q55" s="198">
        <v>4.3400000000000007</v>
      </c>
      <c r="R55" s="200">
        <v>4.3723554301833577E-2</v>
      </c>
      <c r="S55" s="199">
        <v>456.48120000000006</v>
      </c>
      <c r="T55" s="245" t="s">
        <v>434</v>
      </c>
      <c r="U55" s="245" t="s">
        <v>429</v>
      </c>
      <c r="V55" s="198" t="s">
        <v>577</v>
      </c>
      <c r="W55" s="205">
        <v>1</v>
      </c>
      <c r="X55" s="198" t="s">
        <v>554</v>
      </c>
    </row>
    <row r="56" spans="2:24" ht="16.5">
      <c r="B56" s="496"/>
      <c r="C56" s="498"/>
      <c r="D56" s="209">
        <v>10</v>
      </c>
      <c r="E56" s="198" t="s">
        <v>593</v>
      </c>
      <c r="F56" s="199">
        <v>308.73600000000005</v>
      </c>
      <c r="G56" s="250">
        <v>5.0960000000000001</v>
      </c>
      <c r="H56" s="250">
        <v>5.9</v>
      </c>
      <c r="I56" s="210">
        <f t="shared" si="0"/>
        <v>1.1577708006279435</v>
      </c>
      <c r="J56" s="198"/>
      <c r="K56" s="210">
        <f t="shared" si="1"/>
        <v>0</v>
      </c>
      <c r="L56" s="199">
        <v>236.05</v>
      </c>
      <c r="M56" s="211">
        <f t="shared" si="2"/>
        <v>1.1577708006279435</v>
      </c>
      <c r="N56" s="199">
        <v>307.80920000000009</v>
      </c>
      <c r="O56" s="198">
        <v>1.45</v>
      </c>
      <c r="P56" s="200">
        <v>0.28453689167974883</v>
      </c>
      <c r="Q56" s="198">
        <v>-0.64599999999999969</v>
      </c>
      <c r="R56" s="200">
        <v>-0.12676609105180528</v>
      </c>
      <c r="S56" s="199">
        <v>-152.48829999999992</v>
      </c>
      <c r="T56" s="245" t="s">
        <v>434</v>
      </c>
      <c r="U56" s="245" t="s">
        <v>429</v>
      </c>
      <c r="V56" s="198" t="s">
        <v>577</v>
      </c>
      <c r="W56" s="205">
        <v>1</v>
      </c>
      <c r="X56" s="198" t="s">
        <v>394</v>
      </c>
    </row>
    <row r="57" spans="2:24" ht="16.5">
      <c r="B57" s="494">
        <v>45936</v>
      </c>
      <c r="C57" s="497" t="s">
        <v>119</v>
      </c>
      <c r="D57" s="209">
        <v>1</v>
      </c>
      <c r="E57" s="198" t="s">
        <v>597</v>
      </c>
      <c r="F57" s="199">
        <v>45320</v>
      </c>
      <c r="G57" s="250"/>
      <c r="H57" s="250"/>
      <c r="I57" s="210" t="e">
        <f t="shared" si="0"/>
        <v>#DIV/0!</v>
      </c>
      <c r="J57" s="198"/>
      <c r="K57" s="210" t="e">
        <f t="shared" si="1"/>
        <v>#DIV/0!</v>
      </c>
      <c r="L57" s="199">
        <v>1030</v>
      </c>
      <c r="M57" s="211" t="e">
        <f t="shared" si="2"/>
        <v>#DIV/0!</v>
      </c>
      <c r="N57" s="199"/>
      <c r="O57" s="198">
        <v>44</v>
      </c>
      <c r="P57" s="200" t="e">
        <v>#DIV/0!</v>
      </c>
      <c r="Q57" s="198">
        <v>-44</v>
      </c>
      <c r="R57" s="200" t="e">
        <v>#DIV/0!</v>
      </c>
      <c r="S57" s="199">
        <v>-45320</v>
      </c>
      <c r="T57" s="198" t="s">
        <v>432</v>
      </c>
      <c r="U57" s="245" t="s">
        <v>429</v>
      </c>
      <c r="V57" s="198" t="s">
        <v>604</v>
      </c>
      <c r="W57" s="205">
        <v>1</v>
      </c>
      <c r="X57" s="198" t="s">
        <v>530</v>
      </c>
    </row>
    <row r="58" spans="2:24" ht="16.5">
      <c r="B58" s="495"/>
      <c r="C58" s="498"/>
      <c r="D58" s="209">
        <v>2</v>
      </c>
      <c r="E58" s="198" t="s">
        <v>598</v>
      </c>
      <c r="F58" s="199">
        <v>6757.9749999999995</v>
      </c>
      <c r="G58" s="250">
        <v>57.453000000000003</v>
      </c>
      <c r="H58" s="250">
        <v>64.400000000000006</v>
      </c>
      <c r="I58" s="210">
        <f t="shared" si="0"/>
        <v>1.1209162271769968</v>
      </c>
      <c r="J58" s="198"/>
      <c r="K58" s="210">
        <f t="shared" si="1"/>
        <v>0</v>
      </c>
      <c r="L58" s="199">
        <v>925.75</v>
      </c>
      <c r="M58" s="211">
        <f t="shared" si="2"/>
        <v>1.1209162271769968</v>
      </c>
      <c r="N58" s="199">
        <v>6431.1852500000023</v>
      </c>
      <c r="O58" s="198">
        <v>7.3</v>
      </c>
      <c r="P58" s="200">
        <v>0.12706037978869683</v>
      </c>
      <c r="Q58" s="198">
        <v>-0.35299999999999709</v>
      </c>
      <c r="R58" s="200">
        <v>-6.1441526116999476E-3</v>
      </c>
      <c r="S58" s="199">
        <v>-326.7897499999973</v>
      </c>
      <c r="T58" s="198" t="s">
        <v>434</v>
      </c>
      <c r="U58" s="245" t="s">
        <v>429</v>
      </c>
      <c r="V58" s="198" t="s">
        <v>577</v>
      </c>
      <c r="W58" s="205">
        <v>1</v>
      </c>
      <c r="X58" s="198" t="s">
        <v>585</v>
      </c>
    </row>
    <row r="59" spans="2:24" ht="16.5">
      <c r="B59" s="495"/>
      <c r="C59" s="498"/>
      <c r="D59" s="209">
        <v>3</v>
      </c>
      <c r="E59" s="198" t="s">
        <v>599</v>
      </c>
      <c r="F59" s="199">
        <v>3720</v>
      </c>
      <c r="G59" s="250"/>
      <c r="H59" s="250"/>
      <c r="I59" s="210" t="e">
        <f t="shared" si="0"/>
        <v>#DIV/0!</v>
      </c>
      <c r="J59" s="198"/>
      <c r="K59" s="210" t="e">
        <f t="shared" si="1"/>
        <v>#DIV/0!</v>
      </c>
      <c r="L59" s="199">
        <v>248</v>
      </c>
      <c r="M59" s="211" t="e">
        <f t="shared" si="2"/>
        <v>#DIV/0!</v>
      </c>
      <c r="N59" s="199"/>
      <c r="O59" s="198">
        <v>15</v>
      </c>
      <c r="P59" s="200" t="e">
        <v>#DIV/0!</v>
      </c>
      <c r="Q59" s="198">
        <v>-15</v>
      </c>
      <c r="R59" s="200" t="e">
        <v>#DIV/0!</v>
      </c>
      <c r="S59" s="199">
        <v>-3720</v>
      </c>
      <c r="T59" s="198" t="s">
        <v>432</v>
      </c>
      <c r="U59" s="245" t="s">
        <v>429</v>
      </c>
      <c r="V59" s="198" t="s">
        <v>604</v>
      </c>
      <c r="W59" s="205">
        <v>1</v>
      </c>
      <c r="X59" s="198" t="s">
        <v>393</v>
      </c>
    </row>
    <row r="60" spans="2:24">
      <c r="B60" s="495"/>
      <c r="C60" s="498"/>
      <c r="D60" s="209">
        <v>4</v>
      </c>
      <c r="E60" s="198" t="s">
        <v>600</v>
      </c>
      <c r="F60" s="199">
        <v>3439.998</v>
      </c>
      <c r="G60" s="250">
        <v>443.95499999999998</v>
      </c>
      <c r="H60" s="250">
        <v>497.7</v>
      </c>
      <c r="I60" s="210">
        <f t="shared" si="0"/>
        <v>1.1210595668479915</v>
      </c>
      <c r="J60" s="198"/>
      <c r="K60" s="210">
        <f t="shared" si="1"/>
        <v>0</v>
      </c>
      <c r="L60" s="199">
        <v>80.28</v>
      </c>
      <c r="M60" s="211">
        <f t="shared" si="2"/>
        <v>1.1210595668479915</v>
      </c>
      <c r="N60" s="199">
        <v>4314.6486000000004</v>
      </c>
      <c r="O60" s="198">
        <v>42.85</v>
      </c>
      <c r="P60" s="200">
        <v>9.6518791318939992E-2</v>
      </c>
      <c r="Q60" s="198">
        <v>10.895000000000003</v>
      </c>
      <c r="R60" s="200">
        <v>2.4540775529051376E-2</v>
      </c>
      <c r="S60" s="199">
        <v>874.65060000000028</v>
      </c>
      <c r="T60" s="198" t="s">
        <v>434</v>
      </c>
      <c r="U60" s="198" t="s">
        <v>429</v>
      </c>
      <c r="V60" s="198" t="s">
        <v>577</v>
      </c>
      <c r="W60" s="205">
        <v>1</v>
      </c>
      <c r="X60" s="198" t="s">
        <v>585</v>
      </c>
    </row>
    <row r="61" spans="2:24" ht="16.5">
      <c r="B61" s="495"/>
      <c r="C61" s="498"/>
      <c r="D61" s="209">
        <v>5</v>
      </c>
      <c r="E61" s="198" t="s">
        <v>601</v>
      </c>
      <c r="F61" s="199">
        <v>3296.4</v>
      </c>
      <c r="G61" s="250"/>
      <c r="H61" s="250"/>
      <c r="I61" s="210" t="e">
        <f t="shared" si="0"/>
        <v>#DIV/0!</v>
      </c>
      <c r="J61" s="198"/>
      <c r="K61" s="210" t="e">
        <f t="shared" si="1"/>
        <v>#DIV/0!</v>
      </c>
      <c r="L61" s="199">
        <v>5494</v>
      </c>
      <c r="M61" s="211" t="e">
        <f t="shared" si="2"/>
        <v>#DIV/0!</v>
      </c>
      <c r="N61" s="199"/>
      <c r="O61" s="198">
        <v>0.6</v>
      </c>
      <c r="P61" s="200" t="e">
        <v>#DIV/0!</v>
      </c>
      <c r="Q61" s="198">
        <v>-0.6</v>
      </c>
      <c r="R61" s="200" t="e">
        <v>#DIV/0!</v>
      </c>
      <c r="S61" s="199">
        <v>-3296.4</v>
      </c>
      <c r="T61" s="198" t="s">
        <v>432</v>
      </c>
      <c r="U61" s="245" t="s">
        <v>429</v>
      </c>
      <c r="V61" s="198" t="s">
        <v>604</v>
      </c>
      <c r="W61" s="205">
        <v>1</v>
      </c>
      <c r="X61" s="198" t="s">
        <v>530</v>
      </c>
    </row>
    <row r="62" spans="2:24" ht="16.5">
      <c r="B62" s="495"/>
      <c r="C62" s="498"/>
      <c r="D62" s="209">
        <v>6</v>
      </c>
      <c r="E62" s="198" t="s">
        <v>602</v>
      </c>
      <c r="F62" s="199">
        <v>2747</v>
      </c>
      <c r="G62" s="250"/>
      <c r="H62" s="250"/>
      <c r="I62" s="210" t="e">
        <f t="shared" si="0"/>
        <v>#DIV/0!</v>
      </c>
      <c r="J62" s="198"/>
      <c r="K62" s="210" t="e">
        <f t="shared" si="1"/>
        <v>#DIV/0!</v>
      </c>
      <c r="L62" s="199">
        <v>5494</v>
      </c>
      <c r="M62" s="211" t="e">
        <f t="shared" si="2"/>
        <v>#DIV/0!</v>
      </c>
      <c r="N62" s="199"/>
      <c r="O62" s="198">
        <v>0.5</v>
      </c>
      <c r="P62" s="200" t="e">
        <v>#DIV/0!</v>
      </c>
      <c r="Q62" s="198">
        <v>-0.5</v>
      </c>
      <c r="R62" s="200" t="e">
        <v>#DIV/0!</v>
      </c>
      <c r="S62" s="199">
        <v>-2747</v>
      </c>
      <c r="T62" s="198" t="s">
        <v>432</v>
      </c>
      <c r="U62" s="245" t="s">
        <v>429</v>
      </c>
      <c r="V62" s="198" t="s">
        <v>604</v>
      </c>
      <c r="W62" s="205">
        <v>1</v>
      </c>
      <c r="X62" s="198" t="s">
        <v>393</v>
      </c>
    </row>
    <row r="63" spans="2:24" ht="16.5">
      <c r="B63" s="495"/>
      <c r="C63" s="498"/>
      <c r="D63" s="209">
        <v>7</v>
      </c>
      <c r="E63" s="198" t="s">
        <v>559</v>
      </c>
      <c r="F63" s="199">
        <v>2713.585</v>
      </c>
      <c r="G63" s="250">
        <v>83.903999999999996</v>
      </c>
      <c r="H63" s="250">
        <v>95.9</v>
      </c>
      <c r="I63" s="210">
        <f t="shared" si="0"/>
        <v>1.1429729214340199</v>
      </c>
      <c r="J63" s="198"/>
      <c r="K63" s="210">
        <f t="shared" si="1"/>
        <v>0</v>
      </c>
      <c r="L63" s="199">
        <v>250.1</v>
      </c>
      <c r="M63" s="211">
        <f t="shared" si="2"/>
        <v>1.1429729214340199</v>
      </c>
      <c r="N63" s="199">
        <v>3000.1996000000022</v>
      </c>
      <c r="O63" s="198">
        <v>10.85</v>
      </c>
      <c r="P63" s="200">
        <v>0.12931445461479787</v>
      </c>
      <c r="Q63" s="198">
        <v>1.1460000000000097</v>
      </c>
      <c r="R63" s="200">
        <v>1.3658466819222084E-2</v>
      </c>
      <c r="S63" s="199">
        <v>286.61460000000244</v>
      </c>
      <c r="T63" s="198" t="s">
        <v>434</v>
      </c>
      <c r="U63" s="245" t="s">
        <v>429</v>
      </c>
      <c r="V63" s="198" t="s">
        <v>577</v>
      </c>
      <c r="W63" s="205">
        <v>1</v>
      </c>
      <c r="X63" s="198" t="s">
        <v>555</v>
      </c>
    </row>
    <row r="64" spans="2:24" ht="16.5">
      <c r="B64" s="495"/>
      <c r="C64" s="498"/>
      <c r="D64" s="209">
        <v>8</v>
      </c>
      <c r="E64" s="198" t="s">
        <v>410</v>
      </c>
      <c r="F64" s="199">
        <v>1761.8229999999999</v>
      </c>
      <c r="G64" s="250">
        <v>133.69499999999999</v>
      </c>
      <c r="H64" s="250">
        <v>145.25</v>
      </c>
      <c r="I64" s="210">
        <f t="shared" si="0"/>
        <v>1.0864280638767345</v>
      </c>
      <c r="J64" s="198"/>
      <c r="K64" s="210">
        <f t="shared" si="1"/>
        <v>0</v>
      </c>
      <c r="L64" s="199">
        <v>162.38</v>
      </c>
      <c r="M64" s="211">
        <f t="shared" si="2"/>
        <v>1.0864280638767345</v>
      </c>
      <c r="N64" s="199">
        <v>1876.3009000000011</v>
      </c>
      <c r="O64" s="198">
        <v>10.85</v>
      </c>
      <c r="P64" s="200">
        <v>8.1154867422117513E-2</v>
      </c>
      <c r="Q64" s="198">
        <v>0.70500000000000718</v>
      </c>
      <c r="R64" s="200">
        <v>5.2731964546169057E-3</v>
      </c>
      <c r="S64" s="199">
        <v>114.47790000000116</v>
      </c>
      <c r="T64" s="198" t="s">
        <v>434</v>
      </c>
      <c r="U64" s="245" t="s">
        <v>429</v>
      </c>
      <c r="V64" s="198" t="s">
        <v>577</v>
      </c>
      <c r="W64" s="205">
        <v>1</v>
      </c>
      <c r="X64" s="198" t="s">
        <v>404</v>
      </c>
    </row>
    <row r="65" spans="2:24" ht="16.5">
      <c r="B65" s="495"/>
      <c r="C65" s="498"/>
      <c r="D65" s="209">
        <v>9</v>
      </c>
      <c r="E65" s="198" t="s">
        <v>603</v>
      </c>
      <c r="F65" s="199">
        <v>1605</v>
      </c>
      <c r="G65" s="250"/>
      <c r="H65" s="250"/>
      <c r="I65" s="210" t="e">
        <f t="shared" si="0"/>
        <v>#DIV/0!</v>
      </c>
      <c r="J65" s="198"/>
      <c r="K65" s="210" t="e">
        <f t="shared" si="1"/>
        <v>#DIV/0!</v>
      </c>
      <c r="L65" s="199">
        <v>535</v>
      </c>
      <c r="M65" s="211" t="e">
        <f t="shared" si="2"/>
        <v>#DIV/0!</v>
      </c>
      <c r="N65" s="199"/>
      <c r="O65" s="198">
        <v>3</v>
      </c>
      <c r="P65" s="200" t="e">
        <v>#DIV/0!</v>
      </c>
      <c r="Q65" s="198">
        <v>-3</v>
      </c>
      <c r="R65" s="200" t="e">
        <v>#DIV/0!</v>
      </c>
      <c r="S65" s="199">
        <v>-1605</v>
      </c>
      <c r="T65" s="198" t="s">
        <v>432</v>
      </c>
      <c r="U65" s="245" t="s">
        <v>429</v>
      </c>
      <c r="V65" s="198" t="s">
        <v>604</v>
      </c>
      <c r="W65" s="205">
        <v>1</v>
      </c>
      <c r="X65" s="198" t="s">
        <v>393</v>
      </c>
    </row>
    <row r="66" spans="2:24" ht="16.5">
      <c r="B66" s="496"/>
      <c r="C66" s="498"/>
      <c r="D66" s="209">
        <v>10</v>
      </c>
      <c r="E66" s="198" t="s">
        <v>557</v>
      </c>
      <c r="F66" s="199">
        <v>1459.605</v>
      </c>
      <c r="G66" s="250">
        <v>105.792</v>
      </c>
      <c r="H66" s="250">
        <v>117.35</v>
      </c>
      <c r="I66" s="210">
        <f t="shared" si="0"/>
        <v>1.1092521173623713</v>
      </c>
      <c r="J66" s="198"/>
      <c r="K66" s="210">
        <f t="shared" si="1"/>
        <v>0</v>
      </c>
      <c r="L66" s="199">
        <v>139.01</v>
      </c>
      <c r="M66" s="211">
        <f t="shared" si="2"/>
        <v>1.1092521173623713</v>
      </c>
      <c r="N66" s="199">
        <v>1606.6775799999989</v>
      </c>
      <c r="O66" s="198">
        <v>10.5</v>
      </c>
      <c r="P66" s="200">
        <v>9.9251361161524498E-2</v>
      </c>
      <c r="Q66" s="198">
        <v>1.0579999999999927</v>
      </c>
      <c r="R66" s="200">
        <v>1.0000756200846877E-2</v>
      </c>
      <c r="S66" s="199">
        <v>147.07257999999899</v>
      </c>
      <c r="T66" s="198" t="s">
        <v>434</v>
      </c>
      <c r="U66" s="245" t="s">
        <v>429</v>
      </c>
      <c r="V66" s="198" t="s">
        <v>577</v>
      </c>
      <c r="W66" s="205">
        <v>1</v>
      </c>
      <c r="X66" s="198" t="s">
        <v>555</v>
      </c>
    </row>
    <row r="67" spans="2:24">
      <c r="B67" s="494">
        <v>45937</v>
      </c>
      <c r="C67" s="497" t="s">
        <v>120</v>
      </c>
      <c r="D67" s="209">
        <v>1</v>
      </c>
      <c r="E67" s="198"/>
      <c r="F67" s="199"/>
      <c r="G67" s="250"/>
      <c r="H67" s="250"/>
      <c r="I67" s="210" t="e">
        <f t="shared" si="0"/>
        <v>#DIV/0!</v>
      </c>
      <c r="J67" s="198"/>
      <c r="K67" s="210" t="e">
        <f t="shared" si="1"/>
        <v>#DIV/0!</v>
      </c>
      <c r="L67" s="199"/>
      <c r="M67" s="211" t="e">
        <f t="shared" si="2"/>
        <v>#DIV/0!</v>
      </c>
      <c r="N67" s="199"/>
      <c r="O67" s="198"/>
      <c r="P67" s="200"/>
      <c r="Q67" s="198"/>
      <c r="R67" s="200"/>
      <c r="S67" s="199"/>
      <c r="T67" s="198"/>
      <c r="U67" s="198"/>
      <c r="V67" s="198"/>
      <c r="W67" s="205">
        <v>1</v>
      </c>
      <c r="X67" s="198"/>
    </row>
    <row r="68" spans="2:24">
      <c r="B68" s="495"/>
      <c r="C68" s="498"/>
      <c r="D68" s="209">
        <v>2</v>
      </c>
      <c r="E68" s="198"/>
      <c r="F68" s="199"/>
      <c r="G68" s="250"/>
      <c r="H68" s="250"/>
      <c r="I68" s="210" t="e">
        <f t="shared" si="0"/>
        <v>#DIV/0!</v>
      </c>
      <c r="J68" s="198"/>
      <c r="K68" s="210" t="e">
        <f t="shared" si="1"/>
        <v>#DIV/0!</v>
      </c>
      <c r="L68" s="199"/>
      <c r="M68" s="211" t="e">
        <f t="shared" si="2"/>
        <v>#DIV/0!</v>
      </c>
      <c r="N68" s="199"/>
      <c r="O68" s="198"/>
      <c r="P68" s="200"/>
      <c r="Q68" s="198"/>
      <c r="R68" s="200"/>
      <c r="S68" s="199"/>
      <c r="T68" s="198"/>
      <c r="U68" s="198"/>
      <c r="V68" s="198"/>
      <c r="W68" s="205">
        <v>1</v>
      </c>
      <c r="X68" s="198"/>
    </row>
    <row r="69" spans="2:24">
      <c r="B69" s="495"/>
      <c r="C69" s="498"/>
      <c r="D69" s="209">
        <v>3</v>
      </c>
      <c r="E69" s="198"/>
      <c r="F69" s="199"/>
      <c r="G69" s="250"/>
      <c r="H69" s="250"/>
      <c r="I69" s="210" t="e">
        <f t="shared" si="0"/>
        <v>#DIV/0!</v>
      </c>
      <c r="J69" s="198"/>
      <c r="K69" s="210" t="e">
        <f t="shared" si="1"/>
        <v>#DIV/0!</v>
      </c>
      <c r="L69" s="199"/>
      <c r="M69" s="211" t="e">
        <f t="shared" si="2"/>
        <v>#DIV/0!</v>
      </c>
      <c r="N69" s="199"/>
      <c r="O69" s="198"/>
      <c r="P69" s="200"/>
      <c r="Q69" s="198"/>
      <c r="R69" s="200"/>
      <c r="S69" s="199"/>
      <c r="T69" s="198"/>
      <c r="U69" s="198"/>
      <c r="V69" s="198"/>
      <c r="W69" s="205">
        <v>1</v>
      </c>
      <c r="X69" s="198"/>
    </row>
    <row r="70" spans="2:24">
      <c r="B70" s="495"/>
      <c r="C70" s="498"/>
      <c r="D70" s="209">
        <v>4</v>
      </c>
      <c r="E70" s="198"/>
      <c r="F70" s="199"/>
      <c r="G70" s="250"/>
      <c r="H70" s="250"/>
      <c r="I70" s="210" t="e">
        <f t="shared" si="0"/>
        <v>#DIV/0!</v>
      </c>
      <c r="J70" s="198"/>
      <c r="K70" s="210" t="e">
        <f t="shared" si="1"/>
        <v>#DIV/0!</v>
      </c>
      <c r="L70" s="199"/>
      <c r="M70" s="211" t="e">
        <f t="shared" si="2"/>
        <v>#DIV/0!</v>
      </c>
      <c r="N70" s="199"/>
      <c r="O70" s="198"/>
      <c r="P70" s="200"/>
      <c r="Q70" s="198"/>
      <c r="R70" s="200"/>
      <c r="S70" s="199"/>
      <c r="T70" s="198"/>
      <c r="U70" s="198"/>
      <c r="V70" s="198"/>
      <c r="W70" s="205">
        <v>1</v>
      </c>
      <c r="X70" s="198"/>
    </row>
    <row r="71" spans="2:24">
      <c r="B71" s="495"/>
      <c r="C71" s="498"/>
      <c r="D71" s="209">
        <v>5</v>
      </c>
      <c r="E71" s="198"/>
      <c r="F71" s="199"/>
      <c r="G71" s="250"/>
      <c r="H71" s="250"/>
      <c r="I71" s="210" t="e">
        <f t="shared" ref="I71:I134" si="15">H71/G71</f>
        <v>#DIV/0!</v>
      </c>
      <c r="J71" s="198"/>
      <c r="K71" s="210" t="e">
        <f t="shared" ref="K71:K134" si="16">J71/G71</f>
        <v>#DIV/0!</v>
      </c>
      <c r="L71" s="199"/>
      <c r="M71" s="211" t="e">
        <f t="shared" ref="M71:M134" si="17">(H71+J71)/G71</f>
        <v>#DIV/0!</v>
      </c>
      <c r="N71" s="199"/>
      <c r="O71" s="198"/>
      <c r="P71" s="200"/>
      <c r="Q71" s="198"/>
      <c r="R71" s="200"/>
      <c r="S71" s="199"/>
      <c r="T71" s="198"/>
      <c r="U71" s="198"/>
      <c r="V71" s="198"/>
      <c r="W71" s="205">
        <v>1</v>
      </c>
      <c r="X71" s="198"/>
    </row>
    <row r="72" spans="2:24">
      <c r="B72" s="495"/>
      <c r="C72" s="498"/>
      <c r="D72" s="209">
        <v>6</v>
      </c>
      <c r="E72" s="198"/>
      <c r="F72" s="199"/>
      <c r="G72" s="250"/>
      <c r="H72" s="250"/>
      <c r="I72" s="210" t="e">
        <f t="shared" si="15"/>
        <v>#DIV/0!</v>
      </c>
      <c r="J72" s="198"/>
      <c r="K72" s="210" t="e">
        <f t="shared" si="16"/>
        <v>#DIV/0!</v>
      </c>
      <c r="L72" s="199"/>
      <c r="M72" s="211" t="e">
        <f t="shared" si="17"/>
        <v>#DIV/0!</v>
      </c>
      <c r="N72" s="199"/>
      <c r="O72" s="198"/>
      <c r="P72" s="200"/>
      <c r="Q72" s="198"/>
      <c r="R72" s="200"/>
      <c r="S72" s="199"/>
      <c r="T72" s="198"/>
      <c r="U72" s="198"/>
      <c r="V72" s="198"/>
      <c r="W72" s="205">
        <v>1</v>
      </c>
      <c r="X72" s="198"/>
    </row>
    <row r="73" spans="2:24">
      <c r="B73" s="495"/>
      <c r="C73" s="498"/>
      <c r="D73" s="209">
        <v>7</v>
      </c>
      <c r="E73" s="198"/>
      <c r="F73" s="199"/>
      <c r="G73" s="250"/>
      <c r="H73" s="250"/>
      <c r="I73" s="210" t="e">
        <f t="shared" si="15"/>
        <v>#DIV/0!</v>
      </c>
      <c r="J73" s="198"/>
      <c r="K73" s="210" t="e">
        <f t="shared" si="16"/>
        <v>#DIV/0!</v>
      </c>
      <c r="L73" s="199"/>
      <c r="M73" s="211" t="e">
        <f t="shared" si="17"/>
        <v>#DIV/0!</v>
      </c>
      <c r="N73" s="199"/>
      <c r="O73" s="198"/>
      <c r="P73" s="200"/>
      <c r="Q73" s="198"/>
      <c r="R73" s="200"/>
      <c r="S73" s="199"/>
      <c r="T73" s="198"/>
      <c r="U73" s="198"/>
      <c r="V73" s="198"/>
      <c r="W73" s="205">
        <v>1</v>
      </c>
      <c r="X73" s="198"/>
    </row>
    <row r="74" spans="2:24">
      <c r="B74" s="495"/>
      <c r="C74" s="498"/>
      <c r="D74" s="209">
        <v>8</v>
      </c>
      <c r="E74" s="198"/>
      <c r="F74" s="199"/>
      <c r="G74" s="250"/>
      <c r="H74" s="250"/>
      <c r="I74" s="210" t="e">
        <f t="shared" si="15"/>
        <v>#DIV/0!</v>
      </c>
      <c r="J74" s="198"/>
      <c r="K74" s="210" t="e">
        <f t="shared" si="16"/>
        <v>#DIV/0!</v>
      </c>
      <c r="L74" s="199"/>
      <c r="M74" s="211" t="e">
        <f t="shared" si="17"/>
        <v>#DIV/0!</v>
      </c>
      <c r="N74" s="199"/>
      <c r="O74" s="198"/>
      <c r="P74" s="200"/>
      <c r="Q74" s="198"/>
      <c r="R74" s="200"/>
      <c r="S74" s="199"/>
      <c r="T74" s="198"/>
      <c r="U74" s="198"/>
      <c r="V74" s="198"/>
      <c r="W74" s="205">
        <v>1</v>
      </c>
      <c r="X74" s="198"/>
    </row>
    <row r="75" spans="2:24">
      <c r="B75" s="495"/>
      <c r="C75" s="498"/>
      <c r="D75" s="209">
        <v>9</v>
      </c>
      <c r="E75" s="198"/>
      <c r="F75" s="199"/>
      <c r="G75" s="250"/>
      <c r="H75" s="250"/>
      <c r="I75" s="210" t="e">
        <f t="shared" si="15"/>
        <v>#DIV/0!</v>
      </c>
      <c r="J75" s="198"/>
      <c r="K75" s="210" t="e">
        <f t="shared" si="16"/>
        <v>#DIV/0!</v>
      </c>
      <c r="L75" s="199"/>
      <c r="M75" s="211" t="e">
        <f t="shared" si="17"/>
        <v>#DIV/0!</v>
      </c>
      <c r="N75" s="199"/>
      <c r="O75" s="198"/>
      <c r="P75" s="200"/>
      <c r="Q75" s="198"/>
      <c r="R75" s="200"/>
      <c r="S75" s="199"/>
      <c r="T75" s="198"/>
      <c r="U75" s="198"/>
      <c r="V75" s="198"/>
      <c r="W75" s="205">
        <v>1</v>
      </c>
      <c r="X75" s="198"/>
    </row>
    <row r="76" spans="2:24">
      <c r="B76" s="496"/>
      <c r="C76" s="498"/>
      <c r="D76" s="209">
        <v>10</v>
      </c>
      <c r="E76" s="198"/>
      <c r="F76" s="199"/>
      <c r="G76" s="250"/>
      <c r="H76" s="250"/>
      <c r="I76" s="210" t="e">
        <f t="shared" si="15"/>
        <v>#DIV/0!</v>
      </c>
      <c r="J76" s="198"/>
      <c r="K76" s="210" t="e">
        <f t="shared" si="16"/>
        <v>#DIV/0!</v>
      </c>
      <c r="L76" s="199"/>
      <c r="M76" s="211" t="e">
        <f t="shared" si="17"/>
        <v>#DIV/0!</v>
      </c>
      <c r="N76" s="199"/>
      <c r="O76" s="198"/>
      <c r="P76" s="200"/>
      <c r="Q76" s="198"/>
      <c r="R76" s="200"/>
      <c r="S76" s="199"/>
      <c r="T76" s="198"/>
      <c r="U76" s="198"/>
      <c r="V76" s="198"/>
      <c r="W76" s="205">
        <v>1</v>
      </c>
      <c r="X76" s="198"/>
    </row>
    <row r="77" spans="2:24">
      <c r="B77" s="494">
        <v>45938</v>
      </c>
      <c r="C77" s="497" t="s">
        <v>114</v>
      </c>
      <c r="D77" s="209">
        <v>1</v>
      </c>
      <c r="E77" s="198"/>
      <c r="F77" s="199"/>
      <c r="G77" s="250"/>
      <c r="H77" s="250"/>
      <c r="I77" s="210" t="e">
        <f t="shared" si="15"/>
        <v>#DIV/0!</v>
      </c>
      <c r="J77" s="198"/>
      <c r="K77" s="210" t="e">
        <f t="shared" si="16"/>
        <v>#DIV/0!</v>
      </c>
      <c r="L77" s="199"/>
      <c r="M77" s="211" t="e">
        <f t="shared" si="17"/>
        <v>#DIV/0!</v>
      </c>
      <c r="N77" s="199"/>
      <c r="O77" s="198"/>
      <c r="P77" s="200"/>
      <c r="Q77" s="198"/>
      <c r="R77" s="200"/>
      <c r="S77" s="199"/>
      <c r="T77" s="198"/>
      <c r="U77" s="198"/>
      <c r="V77" s="198"/>
      <c r="W77" s="205">
        <v>1</v>
      </c>
      <c r="X77" s="198"/>
    </row>
    <row r="78" spans="2:24">
      <c r="B78" s="495"/>
      <c r="C78" s="498"/>
      <c r="D78" s="209">
        <v>2</v>
      </c>
      <c r="E78" s="198"/>
      <c r="F78" s="199"/>
      <c r="G78" s="250"/>
      <c r="H78" s="250"/>
      <c r="I78" s="210" t="e">
        <f t="shared" si="15"/>
        <v>#DIV/0!</v>
      </c>
      <c r="J78" s="198"/>
      <c r="K78" s="210" t="e">
        <f t="shared" si="16"/>
        <v>#DIV/0!</v>
      </c>
      <c r="L78" s="199"/>
      <c r="M78" s="211" t="e">
        <f t="shared" si="17"/>
        <v>#DIV/0!</v>
      </c>
      <c r="N78" s="199"/>
      <c r="O78" s="198"/>
      <c r="P78" s="200"/>
      <c r="Q78" s="198"/>
      <c r="R78" s="200"/>
      <c r="S78" s="199"/>
      <c r="T78" s="198"/>
      <c r="U78" s="198"/>
      <c r="V78" s="198"/>
      <c r="W78" s="205">
        <v>1</v>
      </c>
      <c r="X78" s="198"/>
    </row>
    <row r="79" spans="2:24">
      <c r="B79" s="495"/>
      <c r="C79" s="498"/>
      <c r="D79" s="209">
        <v>3</v>
      </c>
      <c r="E79" s="198"/>
      <c r="F79" s="199"/>
      <c r="G79" s="250"/>
      <c r="H79" s="250"/>
      <c r="I79" s="210" t="e">
        <f t="shared" si="15"/>
        <v>#DIV/0!</v>
      </c>
      <c r="J79" s="198"/>
      <c r="K79" s="210" t="e">
        <f t="shared" si="16"/>
        <v>#DIV/0!</v>
      </c>
      <c r="L79" s="199"/>
      <c r="M79" s="211" t="e">
        <f t="shared" si="17"/>
        <v>#DIV/0!</v>
      </c>
      <c r="N79" s="199"/>
      <c r="O79" s="198"/>
      <c r="P79" s="200"/>
      <c r="Q79" s="198"/>
      <c r="R79" s="200"/>
      <c r="S79" s="199"/>
      <c r="T79" s="198"/>
      <c r="U79" s="198"/>
      <c r="V79" s="198"/>
      <c r="W79" s="205">
        <v>1</v>
      </c>
      <c r="X79" s="198"/>
    </row>
    <row r="80" spans="2:24">
      <c r="B80" s="495"/>
      <c r="C80" s="498"/>
      <c r="D80" s="209">
        <v>4</v>
      </c>
      <c r="E80" s="198"/>
      <c r="F80" s="199"/>
      <c r="G80" s="250"/>
      <c r="H80" s="250"/>
      <c r="I80" s="210" t="e">
        <f t="shared" si="15"/>
        <v>#DIV/0!</v>
      </c>
      <c r="J80" s="198"/>
      <c r="K80" s="210" t="e">
        <f t="shared" si="16"/>
        <v>#DIV/0!</v>
      </c>
      <c r="L80" s="199"/>
      <c r="M80" s="211" t="e">
        <f t="shared" si="17"/>
        <v>#DIV/0!</v>
      </c>
      <c r="N80" s="199"/>
      <c r="O80" s="198"/>
      <c r="P80" s="200"/>
      <c r="Q80" s="198"/>
      <c r="R80" s="200"/>
      <c r="S80" s="199"/>
      <c r="T80" s="198"/>
      <c r="U80" s="198"/>
      <c r="V80" s="198"/>
      <c r="W80" s="205">
        <v>1</v>
      </c>
      <c r="X80" s="198"/>
    </row>
    <row r="81" spans="2:24">
      <c r="B81" s="495"/>
      <c r="C81" s="498"/>
      <c r="D81" s="209">
        <v>5</v>
      </c>
      <c r="E81" s="198"/>
      <c r="F81" s="199"/>
      <c r="G81" s="250"/>
      <c r="H81" s="250"/>
      <c r="I81" s="210" t="e">
        <f t="shared" si="15"/>
        <v>#DIV/0!</v>
      </c>
      <c r="J81" s="198"/>
      <c r="K81" s="210" t="e">
        <f t="shared" si="16"/>
        <v>#DIV/0!</v>
      </c>
      <c r="L81" s="199"/>
      <c r="M81" s="211" t="e">
        <f t="shared" si="17"/>
        <v>#DIV/0!</v>
      </c>
      <c r="N81" s="199"/>
      <c r="O81" s="198"/>
      <c r="P81" s="200"/>
      <c r="Q81" s="198"/>
      <c r="R81" s="200"/>
      <c r="S81" s="199"/>
      <c r="T81" s="198"/>
      <c r="U81" s="198"/>
      <c r="V81" s="198"/>
      <c r="W81" s="205">
        <v>1</v>
      </c>
      <c r="X81" s="198"/>
    </row>
    <row r="82" spans="2:24">
      <c r="B82" s="495"/>
      <c r="C82" s="498"/>
      <c r="D82" s="209">
        <v>6</v>
      </c>
      <c r="E82" s="198"/>
      <c r="F82" s="199"/>
      <c r="G82" s="250"/>
      <c r="H82" s="250"/>
      <c r="I82" s="210" t="e">
        <f t="shared" si="15"/>
        <v>#DIV/0!</v>
      </c>
      <c r="J82" s="198"/>
      <c r="K82" s="210" t="e">
        <f t="shared" si="16"/>
        <v>#DIV/0!</v>
      </c>
      <c r="L82" s="199"/>
      <c r="M82" s="211" t="e">
        <f t="shared" si="17"/>
        <v>#DIV/0!</v>
      </c>
      <c r="N82" s="199"/>
      <c r="O82" s="198"/>
      <c r="P82" s="200"/>
      <c r="Q82" s="198"/>
      <c r="R82" s="200"/>
      <c r="S82" s="199"/>
      <c r="T82" s="198"/>
      <c r="U82" s="198"/>
      <c r="V82" s="198"/>
      <c r="W82" s="205">
        <v>1</v>
      </c>
      <c r="X82" s="198"/>
    </row>
    <row r="83" spans="2:24">
      <c r="B83" s="495"/>
      <c r="C83" s="498"/>
      <c r="D83" s="209">
        <v>7</v>
      </c>
      <c r="E83" s="198"/>
      <c r="F83" s="199"/>
      <c r="G83" s="250"/>
      <c r="H83" s="250"/>
      <c r="I83" s="210" t="e">
        <f t="shared" si="15"/>
        <v>#DIV/0!</v>
      </c>
      <c r="J83" s="198"/>
      <c r="K83" s="210" t="e">
        <f t="shared" si="16"/>
        <v>#DIV/0!</v>
      </c>
      <c r="L83" s="199"/>
      <c r="M83" s="211" t="e">
        <f t="shared" si="17"/>
        <v>#DIV/0!</v>
      </c>
      <c r="N83" s="199"/>
      <c r="O83" s="198"/>
      <c r="P83" s="200"/>
      <c r="Q83" s="198"/>
      <c r="R83" s="200"/>
      <c r="S83" s="199"/>
      <c r="T83" s="198"/>
      <c r="U83" s="198"/>
      <c r="V83" s="198"/>
      <c r="W83" s="205">
        <v>1</v>
      </c>
      <c r="X83" s="198"/>
    </row>
    <row r="84" spans="2:24">
      <c r="B84" s="495"/>
      <c r="C84" s="498"/>
      <c r="D84" s="209">
        <v>8</v>
      </c>
      <c r="E84" s="198"/>
      <c r="F84" s="199"/>
      <c r="G84" s="250"/>
      <c r="H84" s="250"/>
      <c r="I84" s="210" t="e">
        <f t="shared" si="15"/>
        <v>#DIV/0!</v>
      </c>
      <c r="J84" s="198"/>
      <c r="K84" s="210" t="e">
        <f t="shared" si="16"/>
        <v>#DIV/0!</v>
      </c>
      <c r="L84" s="199"/>
      <c r="M84" s="211" t="e">
        <f t="shared" si="17"/>
        <v>#DIV/0!</v>
      </c>
      <c r="N84" s="199"/>
      <c r="O84" s="198"/>
      <c r="P84" s="200"/>
      <c r="Q84" s="198"/>
      <c r="R84" s="200"/>
      <c r="S84" s="199"/>
      <c r="T84" s="198"/>
      <c r="U84" s="198"/>
      <c r="V84" s="198"/>
      <c r="W84" s="205">
        <v>1</v>
      </c>
      <c r="X84" s="198"/>
    </row>
    <row r="85" spans="2:24">
      <c r="B85" s="495"/>
      <c r="C85" s="498"/>
      <c r="D85" s="209">
        <v>9</v>
      </c>
      <c r="E85" s="198"/>
      <c r="F85" s="199"/>
      <c r="G85" s="250"/>
      <c r="H85" s="250"/>
      <c r="I85" s="210" t="e">
        <f t="shared" si="15"/>
        <v>#DIV/0!</v>
      </c>
      <c r="J85" s="198"/>
      <c r="K85" s="210" t="e">
        <f t="shared" si="16"/>
        <v>#DIV/0!</v>
      </c>
      <c r="L85" s="199"/>
      <c r="M85" s="211" t="e">
        <f t="shared" si="17"/>
        <v>#DIV/0!</v>
      </c>
      <c r="N85" s="199"/>
      <c r="O85" s="198"/>
      <c r="P85" s="200"/>
      <c r="Q85" s="198"/>
      <c r="R85" s="200"/>
      <c r="S85" s="199"/>
      <c r="T85" s="198"/>
      <c r="U85" s="198"/>
      <c r="V85" s="198"/>
      <c r="W85" s="205">
        <v>1</v>
      </c>
      <c r="X85" s="198"/>
    </row>
    <row r="86" spans="2:24">
      <c r="B86" s="496"/>
      <c r="C86" s="498"/>
      <c r="D86" s="209">
        <v>10</v>
      </c>
      <c r="E86" s="198"/>
      <c r="F86" s="199"/>
      <c r="G86" s="250"/>
      <c r="H86" s="250"/>
      <c r="I86" s="210" t="e">
        <f t="shared" si="15"/>
        <v>#DIV/0!</v>
      </c>
      <c r="J86" s="198"/>
      <c r="K86" s="210" t="e">
        <f t="shared" si="16"/>
        <v>#DIV/0!</v>
      </c>
      <c r="L86" s="199"/>
      <c r="M86" s="211" t="e">
        <f t="shared" si="17"/>
        <v>#DIV/0!</v>
      </c>
      <c r="N86" s="199"/>
      <c r="O86" s="198"/>
      <c r="P86" s="200"/>
      <c r="Q86" s="198"/>
      <c r="R86" s="200"/>
      <c r="S86" s="199"/>
      <c r="T86" s="198"/>
      <c r="U86" s="198"/>
      <c r="V86" s="198"/>
      <c r="W86" s="205">
        <v>1</v>
      </c>
      <c r="X86" s="198"/>
    </row>
    <row r="87" spans="2:24">
      <c r="B87" s="494">
        <v>45939</v>
      </c>
      <c r="C87" s="497" t="s">
        <v>115</v>
      </c>
      <c r="D87" s="209">
        <v>1</v>
      </c>
      <c r="E87" s="198"/>
      <c r="F87" s="199"/>
      <c r="G87" s="250"/>
      <c r="H87" s="250"/>
      <c r="I87" s="210" t="e">
        <f t="shared" si="15"/>
        <v>#DIV/0!</v>
      </c>
      <c r="J87" s="198"/>
      <c r="K87" s="210" t="e">
        <f t="shared" si="16"/>
        <v>#DIV/0!</v>
      </c>
      <c r="L87" s="199"/>
      <c r="M87" s="211" t="e">
        <f t="shared" si="17"/>
        <v>#DIV/0!</v>
      </c>
      <c r="N87" s="199"/>
      <c r="O87" s="198"/>
      <c r="P87" s="200"/>
      <c r="Q87" s="198"/>
      <c r="R87" s="200"/>
      <c r="S87" s="199"/>
      <c r="T87" s="198"/>
      <c r="U87" s="198"/>
      <c r="V87" s="198"/>
      <c r="W87" s="205">
        <v>1</v>
      </c>
      <c r="X87" s="198"/>
    </row>
    <row r="88" spans="2:24">
      <c r="B88" s="495"/>
      <c r="C88" s="498"/>
      <c r="D88" s="209">
        <v>2</v>
      </c>
      <c r="E88" s="198"/>
      <c r="F88" s="199"/>
      <c r="G88" s="250"/>
      <c r="H88" s="250"/>
      <c r="I88" s="210" t="e">
        <f t="shared" si="15"/>
        <v>#DIV/0!</v>
      </c>
      <c r="J88" s="198"/>
      <c r="K88" s="210" t="e">
        <f t="shared" si="16"/>
        <v>#DIV/0!</v>
      </c>
      <c r="L88" s="199"/>
      <c r="M88" s="211" t="e">
        <f t="shared" si="17"/>
        <v>#DIV/0!</v>
      </c>
      <c r="N88" s="199"/>
      <c r="O88" s="198"/>
      <c r="P88" s="200"/>
      <c r="Q88" s="198"/>
      <c r="R88" s="200"/>
      <c r="S88" s="199"/>
      <c r="T88" s="198"/>
      <c r="U88" s="198"/>
      <c r="V88" s="198"/>
      <c r="W88" s="205">
        <v>1</v>
      </c>
      <c r="X88" s="198"/>
    </row>
    <row r="89" spans="2:24">
      <c r="B89" s="495"/>
      <c r="C89" s="498"/>
      <c r="D89" s="209">
        <v>3</v>
      </c>
      <c r="E89" s="198"/>
      <c r="F89" s="199"/>
      <c r="G89" s="250"/>
      <c r="H89" s="250"/>
      <c r="I89" s="210" t="e">
        <f t="shared" si="15"/>
        <v>#DIV/0!</v>
      </c>
      <c r="J89" s="198"/>
      <c r="K89" s="210" t="e">
        <f t="shared" si="16"/>
        <v>#DIV/0!</v>
      </c>
      <c r="L89" s="199"/>
      <c r="M89" s="211" t="e">
        <f t="shared" si="17"/>
        <v>#DIV/0!</v>
      </c>
      <c r="N89" s="199"/>
      <c r="O89" s="198"/>
      <c r="P89" s="200"/>
      <c r="Q89" s="198"/>
      <c r="R89" s="200"/>
      <c r="S89" s="199"/>
      <c r="T89" s="198"/>
      <c r="U89" s="198"/>
      <c r="V89" s="198"/>
      <c r="W89" s="205">
        <v>1</v>
      </c>
      <c r="X89" s="198"/>
    </row>
    <row r="90" spans="2:24">
      <c r="B90" s="495"/>
      <c r="C90" s="498"/>
      <c r="D90" s="209">
        <v>4</v>
      </c>
      <c r="E90" s="198"/>
      <c r="F90" s="199"/>
      <c r="G90" s="250"/>
      <c r="H90" s="250"/>
      <c r="I90" s="210" t="e">
        <f t="shared" si="15"/>
        <v>#DIV/0!</v>
      </c>
      <c r="J90" s="198"/>
      <c r="K90" s="210" t="e">
        <f t="shared" si="16"/>
        <v>#DIV/0!</v>
      </c>
      <c r="L90" s="199"/>
      <c r="M90" s="211" t="e">
        <f t="shared" si="17"/>
        <v>#DIV/0!</v>
      </c>
      <c r="N90" s="199"/>
      <c r="O90" s="198"/>
      <c r="P90" s="200"/>
      <c r="Q90" s="198"/>
      <c r="R90" s="200"/>
      <c r="S90" s="199"/>
      <c r="T90" s="198"/>
      <c r="U90" s="198"/>
      <c r="V90" s="198"/>
      <c r="W90" s="205">
        <v>1</v>
      </c>
      <c r="X90" s="198"/>
    </row>
    <row r="91" spans="2:24">
      <c r="B91" s="495"/>
      <c r="C91" s="498"/>
      <c r="D91" s="209">
        <v>5</v>
      </c>
      <c r="E91" s="198"/>
      <c r="F91" s="199"/>
      <c r="G91" s="250"/>
      <c r="H91" s="250"/>
      <c r="I91" s="210" t="e">
        <f t="shared" si="15"/>
        <v>#DIV/0!</v>
      </c>
      <c r="J91" s="198"/>
      <c r="K91" s="210" t="e">
        <f t="shared" si="16"/>
        <v>#DIV/0!</v>
      </c>
      <c r="L91" s="199"/>
      <c r="M91" s="211" t="e">
        <f t="shared" si="17"/>
        <v>#DIV/0!</v>
      </c>
      <c r="N91" s="199"/>
      <c r="O91" s="198"/>
      <c r="P91" s="200"/>
      <c r="Q91" s="198"/>
      <c r="R91" s="200"/>
      <c r="S91" s="199"/>
      <c r="T91" s="198"/>
      <c r="U91" s="198"/>
      <c r="V91" s="198"/>
      <c r="W91" s="205">
        <v>1</v>
      </c>
      <c r="X91" s="198"/>
    </row>
    <row r="92" spans="2:24">
      <c r="B92" s="495"/>
      <c r="C92" s="498"/>
      <c r="D92" s="209">
        <v>6</v>
      </c>
      <c r="E92" s="198"/>
      <c r="F92" s="199"/>
      <c r="G92" s="250"/>
      <c r="H92" s="250"/>
      <c r="I92" s="210" t="e">
        <f t="shared" si="15"/>
        <v>#DIV/0!</v>
      </c>
      <c r="J92" s="198"/>
      <c r="K92" s="210" t="e">
        <f t="shared" si="16"/>
        <v>#DIV/0!</v>
      </c>
      <c r="L92" s="199"/>
      <c r="M92" s="211" t="e">
        <f t="shared" si="17"/>
        <v>#DIV/0!</v>
      </c>
      <c r="N92" s="199"/>
      <c r="O92" s="198"/>
      <c r="P92" s="200"/>
      <c r="Q92" s="198"/>
      <c r="R92" s="200"/>
      <c r="S92" s="199"/>
      <c r="T92" s="198"/>
      <c r="U92" s="198"/>
      <c r="V92" s="198"/>
      <c r="W92" s="205">
        <v>1</v>
      </c>
      <c r="X92" s="198"/>
    </row>
    <row r="93" spans="2:24">
      <c r="B93" s="495"/>
      <c r="C93" s="498"/>
      <c r="D93" s="209">
        <v>7</v>
      </c>
      <c r="E93" s="198"/>
      <c r="F93" s="199"/>
      <c r="G93" s="250"/>
      <c r="H93" s="250"/>
      <c r="I93" s="210" t="e">
        <f t="shared" si="15"/>
        <v>#DIV/0!</v>
      </c>
      <c r="J93" s="198"/>
      <c r="K93" s="210" t="e">
        <f t="shared" si="16"/>
        <v>#DIV/0!</v>
      </c>
      <c r="L93" s="199"/>
      <c r="M93" s="211" t="e">
        <f t="shared" si="17"/>
        <v>#DIV/0!</v>
      </c>
      <c r="N93" s="199"/>
      <c r="O93" s="198"/>
      <c r="P93" s="200"/>
      <c r="Q93" s="198"/>
      <c r="R93" s="200"/>
      <c r="S93" s="199"/>
      <c r="T93" s="198"/>
      <c r="U93" s="198"/>
      <c r="V93" s="198"/>
      <c r="W93" s="205">
        <v>1</v>
      </c>
      <c r="X93" s="198"/>
    </row>
    <row r="94" spans="2:24">
      <c r="B94" s="495"/>
      <c r="C94" s="498"/>
      <c r="D94" s="209">
        <v>8</v>
      </c>
      <c r="E94" s="198"/>
      <c r="F94" s="199"/>
      <c r="G94" s="250"/>
      <c r="H94" s="250"/>
      <c r="I94" s="210" t="e">
        <f t="shared" si="15"/>
        <v>#DIV/0!</v>
      </c>
      <c r="J94" s="198"/>
      <c r="K94" s="210" t="e">
        <f t="shared" si="16"/>
        <v>#DIV/0!</v>
      </c>
      <c r="L94" s="199"/>
      <c r="M94" s="211" t="e">
        <f t="shared" si="17"/>
        <v>#DIV/0!</v>
      </c>
      <c r="N94" s="199"/>
      <c r="O94" s="198"/>
      <c r="P94" s="200"/>
      <c r="Q94" s="198"/>
      <c r="R94" s="200"/>
      <c r="S94" s="199"/>
      <c r="T94" s="198"/>
      <c r="U94" s="198"/>
      <c r="V94" s="198"/>
      <c r="W94" s="205">
        <v>1</v>
      </c>
      <c r="X94" s="198"/>
    </row>
    <row r="95" spans="2:24">
      <c r="B95" s="495"/>
      <c r="C95" s="498"/>
      <c r="D95" s="209">
        <v>9</v>
      </c>
      <c r="E95" s="198"/>
      <c r="F95" s="199"/>
      <c r="G95" s="250"/>
      <c r="H95" s="250"/>
      <c r="I95" s="210" t="e">
        <f t="shared" si="15"/>
        <v>#DIV/0!</v>
      </c>
      <c r="J95" s="198"/>
      <c r="K95" s="210" t="e">
        <f t="shared" si="16"/>
        <v>#DIV/0!</v>
      </c>
      <c r="L95" s="199"/>
      <c r="M95" s="211" t="e">
        <f t="shared" si="17"/>
        <v>#DIV/0!</v>
      </c>
      <c r="N95" s="199"/>
      <c r="O95" s="198"/>
      <c r="P95" s="200"/>
      <c r="Q95" s="198"/>
      <c r="R95" s="200"/>
      <c r="S95" s="199"/>
      <c r="T95" s="198"/>
      <c r="U95" s="198"/>
      <c r="V95" s="198"/>
      <c r="W95" s="205">
        <v>1</v>
      </c>
      <c r="X95" s="198"/>
    </row>
    <row r="96" spans="2:24">
      <c r="B96" s="496"/>
      <c r="C96" s="498"/>
      <c r="D96" s="209">
        <v>10</v>
      </c>
      <c r="E96" s="198"/>
      <c r="F96" s="199"/>
      <c r="G96" s="250"/>
      <c r="H96" s="250"/>
      <c r="I96" s="210" t="e">
        <f t="shared" si="15"/>
        <v>#DIV/0!</v>
      </c>
      <c r="J96" s="198"/>
      <c r="K96" s="210" t="e">
        <f t="shared" si="16"/>
        <v>#DIV/0!</v>
      </c>
      <c r="L96" s="199"/>
      <c r="M96" s="211" t="e">
        <f t="shared" si="17"/>
        <v>#DIV/0!</v>
      </c>
      <c r="N96" s="199"/>
      <c r="O96" s="198"/>
      <c r="P96" s="200"/>
      <c r="Q96" s="198"/>
      <c r="R96" s="200"/>
      <c r="S96" s="199"/>
      <c r="T96" s="198"/>
      <c r="U96" s="198"/>
      <c r="V96" s="198"/>
      <c r="W96" s="205">
        <v>1</v>
      </c>
      <c r="X96" s="198"/>
    </row>
    <row r="97" spans="2:24" ht="16.5">
      <c r="B97" s="494">
        <v>45940</v>
      </c>
      <c r="C97" s="497" t="s">
        <v>116</v>
      </c>
      <c r="D97" s="209">
        <v>1</v>
      </c>
      <c r="E97" s="198"/>
      <c r="F97" s="199"/>
      <c r="G97" s="250"/>
      <c r="H97" s="250"/>
      <c r="I97" s="210" t="e">
        <f t="shared" si="15"/>
        <v>#DIV/0!</v>
      </c>
      <c r="J97" s="198"/>
      <c r="K97" s="210" t="e">
        <f t="shared" si="16"/>
        <v>#DIV/0!</v>
      </c>
      <c r="L97" s="199"/>
      <c r="M97" s="211" t="e">
        <f t="shared" si="17"/>
        <v>#DIV/0!</v>
      </c>
      <c r="N97" s="199"/>
      <c r="O97" s="198"/>
      <c r="P97" s="200"/>
      <c r="Q97" s="198"/>
      <c r="R97" s="200"/>
      <c r="S97" s="199"/>
      <c r="T97" s="198"/>
      <c r="U97" s="198"/>
      <c r="V97" s="247"/>
      <c r="W97" s="205">
        <v>1</v>
      </c>
      <c r="X97" s="198"/>
    </row>
    <row r="98" spans="2:24" ht="16.5">
      <c r="B98" s="495"/>
      <c r="C98" s="498"/>
      <c r="D98" s="209">
        <v>2</v>
      </c>
      <c r="E98" s="198"/>
      <c r="F98" s="199"/>
      <c r="G98" s="250"/>
      <c r="H98" s="250"/>
      <c r="I98" s="210" t="e">
        <f t="shared" si="15"/>
        <v>#DIV/0!</v>
      </c>
      <c r="J98" s="198"/>
      <c r="K98" s="210" t="e">
        <f t="shared" si="16"/>
        <v>#DIV/0!</v>
      </c>
      <c r="L98" s="199"/>
      <c r="M98" s="211" t="e">
        <f t="shared" si="17"/>
        <v>#DIV/0!</v>
      </c>
      <c r="N98" s="199"/>
      <c r="O98" s="198"/>
      <c r="P98" s="200"/>
      <c r="Q98" s="198"/>
      <c r="R98" s="200"/>
      <c r="S98" s="199"/>
      <c r="T98" s="198"/>
      <c r="U98" s="198"/>
      <c r="V98" s="247"/>
      <c r="W98" s="205">
        <v>1</v>
      </c>
      <c r="X98" s="198"/>
    </row>
    <row r="99" spans="2:24" ht="16.5">
      <c r="B99" s="495"/>
      <c r="C99" s="498"/>
      <c r="D99" s="209">
        <v>3</v>
      </c>
      <c r="E99" s="198"/>
      <c r="F99" s="199"/>
      <c r="G99" s="250"/>
      <c r="H99" s="250"/>
      <c r="I99" s="210" t="e">
        <f t="shared" si="15"/>
        <v>#DIV/0!</v>
      </c>
      <c r="J99" s="198"/>
      <c r="K99" s="210" t="e">
        <f t="shared" si="16"/>
        <v>#DIV/0!</v>
      </c>
      <c r="L99" s="199"/>
      <c r="M99" s="211" t="e">
        <f t="shared" si="17"/>
        <v>#DIV/0!</v>
      </c>
      <c r="N99" s="199"/>
      <c r="O99" s="198"/>
      <c r="P99" s="200"/>
      <c r="Q99" s="198"/>
      <c r="R99" s="200"/>
      <c r="S99" s="199"/>
      <c r="T99" s="198"/>
      <c r="U99" s="198"/>
      <c r="V99" s="247"/>
      <c r="W99" s="205">
        <v>1</v>
      </c>
      <c r="X99" s="198"/>
    </row>
    <row r="100" spans="2:24">
      <c r="B100" s="495"/>
      <c r="C100" s="498"/>
      <c r="D100" s="209">
        <v>4</v>
      </c>
      <c r="E100" s="198"/>
      <c r="F100" s="199"/>
      <c r="G100" s="250"/>
      <c r="H100" s="250"/>
      <c r="I100" s="210" t="e">
        <f t="shared" si="15"/>
        <v>#DIV/0!</v>
      </c>
      <c r="J100" s="198"/>
      <c r="K100" s="210" t="e">
        <f t="shared" si="16"/>
        <v>#DIV/0!</v>
      </c>
      <c r="L100" s="199"/>
      <c r="M100" s="211" t="e">
        <f t="shared" si="17"/>
        <v>#DIV/0!</v>
      </c>
      <c r="N100" s="199"/>
      <c r="O100" s="198"/>
      <c r="P100" s="200"/>
      <c r="Q100" s="198"/>
      <c r="R100" s="200"/>
      <c r="S100" s="199"/>
      <c r="T100" s="198"/>
      <c r="U100" s="198"/>
      <c r="V100" s="198"/>
      <c r="W100" s="205">
        <v>1</v>
      </c>
      <c r="X100" s="198"/>
    </row>
    <row r="101" spans="2:24">
      <c r="B101" s="495"/>
      <c r="C101" s="498"/>
      <c r="D101" s="209">
        <v>5</v>
      </c>
      <c r="E101" s="198"/>
      <c r="F101" s="199"/>
      <c r="G101" s="250"/>
      <c r="H101" s="250"/>
      <c r="I101" s="210" t="e">
        <f t="shared" si="15"/>
        <v>#DIV/0!</v>
      </c>
      <c r="J101" s="198"/>
      <c r="K101" s="210" t="e">
        <f t="shared" si="16"/>
        <v>#DIV/0!</v>
      </c>
      <c r="L101" s="199"/>
      <c r="M101" s="211" t="e">
        <f t="shared" si="17"/>
        <v>#DIV/0!</v>
      </c>
      <c r="N101" s="199"/>
      <c r="O101" s="198"/>
      <c r="P101" s="200"/>
      <c r="Q101" s="198"/>
      <c r="R101" s="200"/>
      <c r="S101" s="199"/>
      <c r="T101" s="198"/>
      <c r="U101" s="198"/>
      <c r="V101" s="198"/>
      <c r="W101" s="205">
        <v>1</v>
      </c>
      <c r="X101" s="198"/>
    </row>
    <row r="102" spans="2:24">
      <c r="B102" s="495"/>
      <c r="C102" s="498"/>
      <c r="D102" s="209">
        <v>6</v>
      </c>
      <c r="E102" s="198"/>
      <c r="F102" s="199"/>
      <c r="G102" s="250"/>
      <c r="H102" s="250"/>
      <c r="I102" s="210" t="e">
        <f t="shared" si="15"/>
        <v>#DIV/0!</v>
      </c>
      <c r="J102" s="198"/>
      <c r="K102" s="210" t="e">
        <f t="shared" si="16"/>
        <v>#DIV/0!</v>
      </c>
      <c r="L102" s="199"/>
      <c r="M102" s="211" t="e">
        <f t="shared" si="17"/>
        <v>#DIV/0!</v>
      </c>
      <c r="N102" s="199"/>
      <c r="O102" s="198"/>
      <c r="P102" s="200"/>
      <c r="Q102" s="198"/>
      <c r="R102" s="200"/>
      <c r="S102" s="199"/>
      <c r="T102" s="198"/>
      <c r="U102" s="198"/>
      <c r="V102" s="198"/>
      <c r="W102" s="205">
        <v>1</v>
      </c>
      <c r="X102" s="198"/>
    </row>
    <row r="103" spans="2:24">
      <c r="B103" s="495"/>
      <c r="C103" s="498"/>
      <c r="D103" s="209">
        <v>7</v>
      </c>
      <c r="E103" s="198"/>
      <c r="F103" s="199"/>
      <c r="G103" s="250"/>
      <c r="H103" s="250"/>
      <c r="I103" s="210" t="e">
        <f t="shared" si="15"/>
        <v>#DIV/0!</v>
      </c>
      <c r="J103" s="198"/>
      <c r="K103" s="210" t="e">
        <f t="shared" si="16"/>
        <v>#DIV/0!</v>
      </c>
      <c r="L103" s="199"/>
      <c r="M103" s="211" t="e">
        <f t="shared" si="17"/>
        <v>#DIV/0!</v>
      </c>
      <c r="N103" s="199"/>
      <c r="O103" s="198"/>
      <c r="P103" s="200"/>
      <c r="Q103" s="198"/>
      <c r="R103" s="200"/>
      <c r="S103" s="199"/>
      <c r="T103" s="198"/>
      <c r="U103" s="198"/>
      <c r="V103" s="198"/>
      <c r="W103" s="205">
        <v>1</v>
      </c>
      <c r="X103" s="198"/>
    </row>
    <row r="104" spans="2:24">
      <c r="B104" s="495"/>
      <c r="C104" s="498"/>
      <c r="D104" s="209">
        <v>8</v>
      </c>
      <c r="E104" s="198"/>
      <c r="F104" s="199"/>
      <c r="G104" s="250"/>
      <c r="H104" s="250"/>
      <c r="I104" s="210" t="e">
        <f t="shared" si="15"/>
        <v>#DIV/0!</v>
      </c>
      <c r="J104" s="198"/>
      <c r="K104" s="210" t="e">
        <f t="shared" si="16"/>
        <v>#DIV/0!</v>
      </c>
      <c r="L104" s="199"/>
      <c r="M104" s="211" t="e">
        <f t="shared" si="17"/>
        <v>#DIV/0!</v>
      </c>
      <c r="N104" s="199"/>
      <c r="O104" s="198"/>
      <c r="P104" s="200"/>
      <c r="Q104" s="198"/>
      <c r="R104" s="200"/>
      <c r="S104" s="199"/>
      <c r="T104" s="198"/>
      <c r="U104" s="198"/>
      <c r="V104" s="198"/>
      <c r="W104" s="205">
        <v>1</v>
      </c>
      <c r="X104" s="198"/>
    </row>
    <row r="105" spans="2:24">
      <c r="B105" s="495"/>
      <c r="C105" s="498"/>
      <c r="D105" s="209">
        <v>9</v>
      </c>
      <c r="E105" s="198"/>
      <c r="F105" s="199"/>
      <c r="G105" s="250"/>
      <c r="H105" s="250"/>
      <c r="I105" s="210" t="e">
        <f t="shared" si="15"/>
        <v>#DIV/0!</v>
      </c>
      <c r="J105" s="198"/>
      <c r="K105" s="210" t="e">
        <f t="shared" si="16"/>
        <v>#DIV/0!</v>
      </c>
      <c r="L105" s="199"/>
      <c r="M105" s="211" t="e">
        <f t="shared" si="17"/>
        <v>#DIV/0!</v>
      </c>
      <c r="N105" s="199"/>
      <c r="O105" s="198"/>
      <c r="P105" s="200"/>
      <c r="Q105" s="198"/>
      <c r="R105" s="200"/>
      <c r="S105" s="199"/>
      <c r="T105" s="198"/>
      <c r="U105" s="198"/>
      <c r="V105" s="198"/>
      <c r="W105" s="205">
        <v>1</v>
      </c>
      <c r="X105" s="198"/>
    </row>
    <row r="106" spans="2:24" ht="16.5">
      <c r="B106" s="496"/>
      <c r="C106" s="498"/>
      <c r="D106" s="209">
        <v>10</v>
      </c>
      <c r="E106" s="198"/>
      <c r="F106" s="199"/>
      <c r="G106" s="250"/>
      <c r="H106" s="250"/>
      <c r="I106" s="210" t="e">
        <f t="shared" si="15"/>
        <v>#DIV/0!</v>
      </c>
      <c r="J106" s="198"/>
      <c r="K106" s="210" t="e">
        <f t="shared" si="16"/>
        <v>#DIV/0!</v>
      </c>
      <c r="L106" s="199"/>
      <c r="M106" s="211" t="e">
        <f t="shared" si="17"/>
        <v>#DIV/0!</v>
      </c>
      <c r="N106" s="199"/>
      <c r="O106" s="198"/>
      <c r="P106" s="200"/>
      <c r="Q106" s="198"/>
      <c r="R106" s="200"/>
      <c r="S106" s="199"/>
      <c r="T106" s="198"/>
      <c r="U106" s="198"/>
      <c r="V106" s="247"/>
      <c r="W106" s="205">
        <v>1</v>
      </c>
      <c r="X106" s="198"/>
    </row>
    <row r="107" spans="2:24" ht="16.5">
      <c r="B107" s="494">
        <v>45941</v>
      </c>
      <c r="C107" s="497" t="s">
        <v>117</v>
      </c>
      <c r="D107" s="209">
        <v>1</v>
      </c>
      <c r="E107" s="198"/>
      <c r="F107" s="199"/>
      <c r="G107" s="250"/>
      <c r="H107" s="250"/>
      <c r="I107" s="210" t="e">
        <f t="shared" si="15"/>
        <v>#DIV/0!</v>
      </c>
      <c r="J107" s="198"/>
      <c r="K107" s="210" t="e">
        <f t="shared" si="16"/>
        <v>#DIV/0!</v>
      </c>
      <c r="L107" s="199"/>
      <c r="M107" s="211" t="e">
        <f t="shared" si="17"/>
        <v>#DIV/0!</v>
      </c>
      <c r="N107" s="199"/>
      <c r="O107" s="198"/>
      <c r="P107" s="200"/>
      <c r="Q107" s="198"/>
      <c r="R107" s="200"/>
      <c r="S107" s="199"/>
      <c r="T107" s="198"/>
      <c r="U107" s="198"/>
      <c r="V107" s="247"/>
      <c r="W107" s="205">
        <v>1</v>
      </c>
      <c r="X107" s="198"/>
    </row>
    <row r="108" spans="2:24">
      <c r="B108" s="495"/>
      <c r="C108" s="498"/>
      <c r="D108" s="209">
        <v>2</v>
      </c>
      <c r="E108" s="198"/>
      <c r="F108" s="199"/>
      <c r="G108" s="250"/>
      <c r="H108" s="250"/>
      <c r="I108" s="210" t="e">
        <f t="shared" si="15"/>
        <v>#DIV/0!</v>
      </c>
      <c r="J108" s="198"/>
      <c r="K108" s="210" t="e">
        <f t="shared" si="16"/>
        <v>#DIV/0!</v>
      </c>
      <c r="L108" s="199"/>
      <c r="M108" s="211" t="e">
        <f t="shared" si="17"/>
        <v>#DIV/0!</v>
      </c>
      <c r="N108" s="199"/>
      <c r="O108" s="198"/>
      <c r="P108" s="200"/>
      <c r="Q108" s="198"/>
      <c r="R108" s="200"/>
      <c r="S108" s="199"/>
      <c r="T108" s="198"/>
      <c r="U108" s="198"/>
      <c r="V108" s="198"/>
      <c r="W108" s="205">
        <v>1</v>
      </c>
      <c r="X108" s="198"/>
    </row>
    <row r="109" spans="2:24">
      <c r="B109" s="495"/>
      <c r="C109" s="498"/>
      <c r="D109" s="209">
        <v>3</v>
      </c>
      <c r="E109" s="198"/>
      <c r="F109" s="199"/>
      <c r="G109" s="250"/>
      <c r="H109" s="250"/>
      <c r="I109" s="210" t="e">
        <f t="shared" si="15"/>
        <v>#DIV/0!</v>
      </c>
      <c r="J109" s="198"/>
      <c r="K109" s="210" t="e">
        <f t="shared" si="16"/>
        <v>#DIV/0!</v>
      </c>
      <c r="L109" s="199"/>
      <c r="M109" s="211" t="e">
        <f t="shared" si="17"/>
        <v>#DIV/0!</v>
      </c>
      <c r="N109" s="199"/>
      <c r="O109" s="198"/>
      <c r="P109" s="200"/>
      <c r="Q109" s="198"/>
      <c r="R109" s="200"/>
      <c r="S109" s="199"/>
      <c r="T109" s="198"/>
      <c r="U109" s="198"/>
      <c r="V109" s="198"/>
      <c r="W109" s="205">
        <v>1</v>
      </c>
      <c r="X109" s="198"/>
    </row>
    <row r="110" spans="2:24">
      <c r="B110" s="495"/>
      <c r="C110" s="498"/>
      <c r="D110" s="209">
        <v>4</v>
      </c>
      <c r="E110" s="198"/>
      <c r="F110" s="199"/>
      <c r="G110" s="250"/>
      <c r="H110" s="250"/>
      <c r="I110" s="210" t="e">
        <f t="shared" si="15"/>
        <v>#DIV/0!</v>
      </c>
      <c r="J110" s="198"/>
      <c r="K110" s="210" t="e">
        <f t="shared" si="16"/>
        <v>#DIV/0!</v>
      </c>
      <c r="L110" s="199"/>
      <c r="M110" s="211" t="e">
        <f t="shared" si="17"/>
        <v>#DIV/0!</v>
      </c>
      <c r="N110" s="199"/>
      <c r="O110" s="198"/>
      <c r="P110" s="200"/>
      <c r="Q110" s="198"/>
      <c r="R110" s="200"/>
      <c r="S110" s="199"/>
      <c r="T110" s="198"/>
      <c r="U110" s="198"/>
      <c r="V110" s="198"/>
      <c r="W110" s="205">
        <v>1</v>
      </c>
      <c r="X110" s="198"/>
    </row>
    <row r="111" spans="2:24">
      <c r="B111" s="495"/>
      <c r="C111" s="498"/>
      <c r="D111" s="209">
        <v>5</v>
      </c>
      <c r="E111" s="198"/>
      <c r="F111" s="199"/>
      <c r="G111" s="250"/>
      <c r="H111" s="250"/>
      <c r="I111" s="210" t="e">
        <f t="shared" si="15"/>
        <v>#DIV/0!</v>
      </c>
      <c r="J111" s="198"/>
      <c r="K111" s="210" t="e">
        <f t="shared" si="16"/>
        <v>#DIV/0!</v>
      </c>
      <c r="L111" s="199"/>
      <c r="M111" s="211" t="e">
        <f t="shared" si="17"/>
        <v>#DIV/0!</v>
      </c>
      <c r="N111" s="199"/>
      <c r="O111" s="198"/>
      <c r="P111" s="200"/>
      <c r="Q111" s="198"/>
      <c r="R111" s="200"/>
      <c r="S111" s="199"/>
      <c r="T111" s="198"/>
      <c r="U111" s="198"/>
      <c r="V111" s="198"/>
      <c r="W111" s="205">
        <v>1</v>
      </c>
      <c r="X111" s="198"/>
    </row>
    <row r="112" spans="2:24">
      <c r="B112" s="495"/>
      <c r="C112" s="498"/>
      <c r="D112" s="209">
        <v>6</v>
      </c>
      <c r="E112" s="198"/>
      <c r="F112" s="199"/>
      <c r="G112" s="250"/>
      <c r="H112" s="250"/>
      <c r="I112" s="210" t="e">
        <f t="shared" si="15"/>
        <v>#DIV/0!</v>
      </c>
      <c r="J112" s="198"/>
      <c r="K112" s="210" t="e">
        <f t="shared" si="16"/>
        <v>#DIV/0!</v>
      </c>
      <c r="L112" s="199"/>
      <c r="M112" s="211" t="e">
        <f t="shared" si="17"/>
        <v>#DIV/0!</v>
      </c>
      <c r="N112" s="199"/>
      <c r="O112" s="198"/>
      <c r="P112" s="200"/>
      <c r="Q112" s="198"/>
      <c r="R112" s="200"/>
      <c r="S112" s="199"/>
      <c r="T112" s="198"/>
      <c r="U112" s="198"/>
      <c r="V112" s="198"/>
      <c r="W112" s="205">
        <v>1</v>
      </c>
      <c r="X112" s="198"/>
    </row>
    <row r="113" spans="2:25" ht="16.5">
      <c r="B113" s="495"/>
      <c r="C113" s="498"/>
      <c r="D113" s="209">
        <v>7</v>
      </c>
      <c r="E113" s="198"/>
      <c r="F113" s="199"/>
      <c r="G113" s="250"/>
      <c r="H113" s="250"/>
      <c r="I113" s="210" t="e">
        <f t="shared" si="15"/>
        <v>#DIV/0!</v>
      </c>
      <c r="J113" s="198"/>
      <c r="K113" s="210" t="e">
        <f t="shared" si="16"/>
        <v>#DIV/0!</v>
      </c>
      <c r="L113" s="199"/>
      <c r="M113" s="211" t="e">
        <f t="shared" si="17"/>
        <v>#DIV/0!</v>
      </c>
      <c r="N113" s="199"/>
      <c r="O113" s="198"/>
      <c r="P113" s="200"/>
      <c r="Q113" s="198"/>
      <c r="R113" s="200"/>
      <c r="S113" s="199"/>
      <c r="T113" s="198"/>
      <c r="U113" s="198"/>
      <c r="V113" s="247"/>
      <c r="W113" s="205">
        <v>1</v>
      </c>
      <c r="X113" s="198"/>
    </row>
    <row r="114" spans="2:25" ht="16.5">
      <c r="B114" s="495"/>
      <c r="C114" s="498"/>
      <c r="D114" s="209">
        <v>8</v>
      </c>
      <c r="E114" s="198"/>
      <c r="F114" s="199"/>
      <c r="G114" s="250"/>
      <c r="H114" s="250"/>
      <c r="I114" s="210" t="e">
        <f t="shared" si="15"/>
        <v>#DIV/0!</v>
      </c>
      <c r="J114" s="198"/>
      <c r="K114" s="210" t="e">
        <f t="shared" si="16"/>
        <v>#DIV/0!</v>
      </c>
      <c r="L114" s="199"/>
      <c r="M114" s="211" t="e">
        <f t="shared" si="17"/>
        <v>#DIV/0!</v>
      </c>
      <c r="N114" s="199"/>
      <c r="O114" s="198"/>
      <c r="P114" s="200"/>
      <c r="Q114" s="198"/>
      <c r="R114" s="200"/>
      <c r="S114" s="199"/>
      <c r="T114" s="198"/>
      <c r="U114" s="198"/>
      <c r="V114" s="247"/>
      <c r="W114" s="205">
        <v>1</v>
      </c>
      <c r="X114" s="198"/>
    </row>
    <row r="115" spans="2:25">
      <c r="B115" s="495"/>
      <c r="C115" s="498"/>
      <c r="D115" s="209">
        <v>9</v>
      </c>
      <c r="E115" s="198"/>
      <c r="F115" s="199"/>
      <c r="G115" s="250"/>
      <c r="H115" s="250"/>
      <c r="I115" s="210" t="e">
        <f t="shared" si="15"/>
        <v>#DIV/0!</v>
      </c>
      <c r="J115" s="198"/>
      <c r="K115" s="210" t="e">
        <f t="shared" si="16"/>
        <v>#DIV/0!</v>
      </c>
      <c r="L115" s="199"/>
      <c r="M115" s="211" t="e">
        <f t="shared" si="17"/>
        <v>#DIV/0!</v>
      </c>
      <c r="N115" s="199"/>
      <c r="O115" s="198"/>
      <c r="P115" s="200"/>
      <c r="Q115" s="198"/>
      <c r="R115" s="200"/>
      <c r="S115" s="199"/>
      <c r="T115" s="198"/>
      <c r="U115" s="198"/>
      <c r="V115" s="198"/>
      <c r="W115" s="205">
        <v>1</v>
      </c>
      <c r="X115" s="198"/>
    </row>
    <row r="116" spans="2:25" ht="18.75" customHeight="1">
      <c r="B116" s="496"/>
      <c r="C116" s="498"/>
      <c r="D116" s="209">
        <v>10</v>
      </c>
      <c r="E116" s="198"/>
      <c r="F116" s="199"/>
      <c r="G116" s="250"/>
      <c r="H116" s="250"/>
      <c r="I116" s="210" t="e">
        <f t="shared" si="15"/>
        <v>#DIV/0!</v>
      </c>
      <c r="J116" s="198"/>
      <c r="K116" s="210" t="e">
        <f t="shared" si="16"/>
        <v>#DIV/0!</v>
      </c>
      <c r="L116" s="199"/>
      <c r="M116" s="211" t="e">
        <f t="shared" si="17"/>
        <v>#DIV/0!</v>
      </c>
      <c r="N116" s="199"/>
      <c r="O116" s="198"/>
      <c r="P116" s="200"/>
      <c r="Q116" s="198"/>
      <c r="R116" s="200"/>
      <c r="S116" s="199"/>
      <c r="T116" s="198"/>
      <c r="U116" s="198"/>
      <c r="V116" s="247"/>
      <c r="W116" s="205">
        <v>1</v>
      </c>
      <c r="X116" s="198"/>
    </row>
    <row r="117" spans="2:25">
      <c r="B117" s="494">
        <v>45942</v>
      </c>
      <c r="C117" s="497" t="s">
        <v>118</v>
      </c>
      <c r="D117" s="209">
        <v>11</v>
      </c>
      <c r="E117" s="198"/>
      <c r="F117" s="199"/>
      <c r="G117" s="250"/>
      <c r="H117" s="250"/>
      <c r="I117" s="210" t="e">
        <f t="shared" si="15"/>
        <v>#DIV/0!</v>
      </c>
      <c r="J117" s="198"/>
      <c r="K117" s="210" t="e">
        <f t="shared" si="16"/>
        <v>#DIV/0!</v>
      </c>
      <c r="L117" s="199"/>
      <c r="M117" s="211" t="e">
        <f t="shared" si="17"/>
        <v>#DIV/0!</v>
      </c>
      <c r="N117" s="199"/>
      <c r="O117" s="198"/>
      <c r="P117" s="200"/>
      <c r="Q117" s="198"/>
      <c r="R117" s="200"/>
      <c r="S117" s="199"/>
      <c r="T117" s="198"/>
      <c r="U117" s="198"/>
      <c r="V117" s="198"/>
      <c r="W117" s="205">
        <v>1</v>
      </c>
      <c r="X117" s="198"/>
    </row>
    <row r="118" spans="2:25">
      <c r="B118" s="495"/>
      <c r="C118" s="498"/>
      <c r="D118" s="209">
        <v>12</v>
      </c>
      <c r="E118" s="198"/>
      <c r="F118" s="199"/>
      <c r="G118" s="250"/>
      <c r="H118" s="250"/>
      <c r="I118" s="210" t="e">
        <f t="shared" si="15"/>
        <v>#DIV/0!</v>
      </c>
      <c r="J118" s="198"/>
      <c r="K118" s="210" t="e">
        <f t="shared" si="16"/>
        <v>#DIV/0!</v>
      </c>
      <c r="L118" s="199"/>
      <c r="M118" s="211" t="e">
        <f t="shared" si="17"/>
        <v>#DIV/0!</v>
      </c>
      <c r="N118" s="199"/>
      <c r="O118" s="198"/>
      <c r="P118" s="200"/>
      <c r="Q118" s="198"/>
      <c r="R118" s="200"/>
      <c r="S118" s="199"/>
      <c r="T118" s="198"/>
      <c r="U118" s="198"/>
      <c r="V118" s="198"/>
      <c r="W118" s="205">
        <v>1</v>
      </c>
      <c r="X118" s="198"/>
    </row>
    <row r="119" spans="2:25">
      <c r="B119" s="495"/>
      <c r="C119" s="498"/>
      <c r="D119" s="209">
        <v>13</v>
      </c>
      <c r="E119" s="198"/>
      <c r="F119" s="199"/>
      <c r="G119" s="250"/>
      <c r="H119" s="250"/>
      <c r="I119" s="210" t="e">
        <f t="shared" si="15"/>
        <v>#DIV/0!</v>
      </c>
      <c r="J119" s="198"/>
      <c r="K119" s="210" t="e">
        <f t="shared" si="16"/>
        <v>#DIV/0!</v>
      </c>
      <c r="L119" s="199"/>
      <c r="M119" s="211" t="e">
        <f t="shared" si="17"/>
        <v>#DIV/0!</v>
      </c>
      <c r="N119" s="199"/>
      <c r="O119" s="198"/>
      <c r="P119" s="200"/>
      <c r="Q119" s="198"/>
      <c r="R119" s="200"/>
      <c r="S119" s="199"/>
      <c r="T119" s="198"/>
      <c r="U119" s="198"/>
      <c r="V119" s="198"/>
      <c r="W119" s="205">
        <v>1</v>
      </c>
      <c r="X119" s="198"/>
    </row>
    <row r="120" spans="2:25" ht="16.5">
      <c r="B120" s="495"/>
      <c r="C120" s="498"/>
      <c r="D120" s="209">
        <v>14</v>
      </c>
      <c r="E120" s="198"/>
      <c r="F120" s="199"/>
      <c r="G120" s="250"/>
      <c r="H120" s="250"/>
      <c r="I120" s="210" t="e">
        <f t="shared" si="15"/>
        <v>#DIV/0!</v>
      </c>
      <c r="J120" s="198"/>
      <c r="K120" s="210" t="e">
        <f t="shared" si="16"/>
        <v>#DIV/0!</v>
      </c>
      <c r="L120" s="199"/>
      <c r="M120" s="211" t="e">
        <f t="shared" si="17"/>
        <v>#DIV/0!</v>
      </c>
      <c r="N120" s="199"/>
      <c r="O120" s="198"/>
      <c r="P120" s="200"/>
      <c r="Q120" s="198"/>
      <c r="R120" s="200"/>
      <c r="S120" s="199"/>
      <c r="T120" s="198"/>
      <c r="U120" s="198"/>
      <c r="V120" s="247"/>
      <c r="W120" s="205">
        <v>1</v>
      </c>
      <c r="X120" s="198"/>
    </row>
    <row r="121" spans="2:25" ht="16.5">
      <c r="B121" s="495"/>
      <c r="C121" s="498"/>
      <c r="D121" s="209">
        <v>15</v>
      </c>
      <c r="E121" s="198"/>
      <c r="F121" s="199"/>
      <c r="G121" s="250"/>
      <c r="H121" s="250"/>
      <c r="I121" s="210" t="e">
        <f t="shared" si="15"/>
        <v>#DIV/0!</v>
      </c>
      <c r="J121" s="198"/>
      <c r="K121" s="210" t="e">
        <f t="shared" si="16"/>
        <v>#DIV/0!</v>
      </c>
      <c r="L121" s="199"/>
      <c r="M121" s="211" t="e">
        <f t="shared" si="17"/>
        <v>#DIV/0!</v>
      </c>
      <c r="N121" s="199"/>
      <c r="O121" s="198"/>
      <c r="P121" s="200"/>
      <c r="Q121" s="198"/>
      <c r="R121" s="200"/>
      <c r="S121" s="199"/>
      <c r="T121" s="198"/>
      <c r="U121" s="198"/>
      <c r="V121" s="247"/>
      <c r="W121" s="205">
        <v>1</v>
      </c>
      <c r="X121" s="198"/>
    </row>
    <row r="122" spans="2:25" ht="16.5">
      <c r="B122" s="495"/>
      <c r="C122" s="498"/>
      <c r="D122" s="209">
        <v>16</v>
      </c>
      <c r="E122" s="198"/>
      <c r="F122" s="199"/>
      <c r="G122" s="250"/>
      <c r="H122" s="250"/>
      <c r="I122" s="210" t="e">
        <f t="shared" si="15"/>
        <v>#DIV/0!</v>
      </c>
      <c r="J122" s="198"/>
      <c r="K122" s="210" t="e">
        <f t="shared" si="16"/>
        <v>#DIV/0!</v>
      </c>
      <c r="L122" s="199"/>
      <c r="M122" s="211" t="e">
        <f t="shared" si="17"/>
        <v>#DIV/0!</v>
      </c>
      <c r="N122" s="199"/>
      <c r="O122" s="198"/>
      <c r="P122" s="200"/>
      <c r="Q122" s="198"/>
      <c r="R122" s="200"/>
      <c r="S122" s="199"/>
      <c r="T122" s="198"/>
      <c r="U122" s="198"/>
      <c r="V122" s="247"/>
      <c r="W122" s="205">
        <v>1</v>
      </c>
      <c r="X122" s="198"/>
    </row>
    <row r="123" spans="2:25">
      <c r="B123" s="495"/>
      <c r="C123" s="498"/>
      <c r="D123" s="209">
        <v>17</v>
      </c>
      <c r="E123" s="198"/>
      <c r="F123" s="199"/>
      <c r="G123" s="250"/>
      <c r="H123" s="250"/>
      <c r="I123" s="210" t="e">
        <f t="shared" si="15"/>
        <v>#DIV/0!</v>
      </c>
      <c r="J123" s="198"/>
      <c r="K123" s="210" t="e">
        <f t="shared" si="16"/>
        <v>#DIV/0!</v>
      </c>
      <c r="L123" s="199"/>
      <c r="M123" s="211" t="e">
        <f t="shared" si="17"/>
        <v>#DIV/0!</v>
      </c>
      <c r="N123" s="199"/>
      <c r="O123" s="198"/>
      <c r="P123" s="200"/>
      <c r="Q123" s="198"/>
      <c r="R123" s="200"/>
      <c r="S123" s="199"/>
      <c r="T123" s="198"/>
      <c r="U123" s="198"/>
      <c r="V123" s="198"/>
      <c r="W123" s="205">
        <v>1</v>
      </c>
      <c r="X123" s="198"/>
    </row>
    <row r="124" spans="2:25">
      <c r="B124" s="495"/>
      <c r="C124" s="498"/>
      <c r="D124" s="209">
        <v>18</v>
      </c>
      <c r="E124" s="198"/>
      <c r="F124" s="199"/>
      <c r="G124" s="250"/>
      <c r="H124" s="250"/>
      <c r="I124" s="210" t="e">
        <f t="shared" si="15"/>
        <v>#DIV/0!</v>
      </c>
      <c r="J124" s="198"/>
      <c r="K124" s="210" t="e">
        <f t="shared" si="16"/>
        <v>#DIV/0!</v>
      </c>
      <c r="L124" s="199"/>
      <c r="M124" s="211" t="e">
        <f t="shared" si="17"/>
        <v>#DIV/0!</v>
      </c>
      <c r="N124" s="199"/>
      <c r="O124" s="198"/>
      <c r="P124" s="200"/>
      <c r="Q124" s="198"/>
      <c r="R124" s="200"/>
      <c r="S124" s="199"/>
      <c r="T124" s="198"/>
      <c r="U124" s="198"/>
      <c r="V124" s="198"/>
      <c r="W124" s="205">
        <v>1</v>
      </c>
      <c r="X124" s="198"/>
    </row>
    <row r="125" spans="2:25">
      <c r="B125" s="495"/>
      <c r="C125" s="498"/>
      <c r="D125" s="209">
        <v>19</v>
      </c>
      <c r="E125" s="198"/>
      <c r="F125" s="199"/>
      <c r="G125" s="250"/>
      <c r="H125" s="250"/>
      <c r="I125" s="210" t="e">
        <f t="shared" si="15"/>
        <v>#DIV/0!</v>
      </c>
      <c r="J125" s="198"/>
      <c r="K125" s="210" t="e">
        <f t="shared" si="16"/>
        <v>#DIV/0!</v>
      </c>
      <c r="L125" s="199"/>
      <c r="M125" s="211" t="e">
        <f t="shared" si="17"/>
        <v>#DIV/0!</v>
      </c>
      <c r="N125" s="199"/>
      <c r="O125" s="198"/>
      <c r="P125" s="200"/>
      <c r="Q125" s="198"/>
      <c r="R125" s="200"/>
      <c r="S125" s="199"/>
      <c r="T125" s="198"/>
      <c r="U125" s="198"/>
      <c r="V125" s="198"/>
      <c r="W125" s="205">
        <v>1</v>
      </c>
      <c r="X125" s="198"/>
    </row>
    <row r="126" spans="2:25" ht="16.5">
      <c r="B126" s="496"/>
      <c r="C126" s="498"/>
      <c r="D126" s="209">
        <v>20</v>
      </c>
      <c r="E126" s="198"/>
      <c r="F126" s="199"/>
      <c r="G126" s="250"/>
      <c r="H126" s="250"/>
      <c r="I126" s="210" t="e">
        <f t="shared" si="15"/>
        <v>#DIV/0!</v>
      </c>
      <c r="J126" s="198"/>
      <c r="K126" s="210" t="e">
        <f t="shared" si="16"/>
        <v>#DIV/0!</v>
      </c>
      <c r="L126" s="199"/>
      <c r="M126" s="211" t="e">
        <f t="shared" si="17"/>
        <v>#DIV/0!</v>
      </c>
      <c r="N126" s="199"/>
      <c r="O126" s="198"/>
      <c r="P126" s="200"/>
      <c r="Q126" s="198"/>
      <c r="R126" s="200"/>
      <c r="S126" s="199"/>
      <c r="T126" s="198"/>
      <c r="U126" s="198"/>
      <c r="V126" s="247"/>
      <c r="W126" s="205">
        <v>1</v>
      </c>
      <c r="X126" s="198"/>
    </row>
    <row r="127" spans="2:25">
      <c r="B127" s="494">
        <v>45943</v>
      </c>
      <c r="C127" s="497" t="s">
        <v>119</v>
      </c>
      <c r="D127" s="209">
        <v>21</v>
      </c>
      <c r="E127" s="198"/>
      <c r="F127" s="199"/>
      <c r="G127" s="198"/>
      <c r="H127" s="198"/>
      <c r="I127" s="210" t="e">
        <f t="shared" si="15"/>
        <v>#DIV/0!</v>
      </c>
      <c r="J127" s="198"/>
      <c r="K127" s="210" t="e">
        <f t="shared" si="16"/>
        <v>#DIV/0!</v>
      </c>
      <c r="L127" s="199"/>
      <c r="M127" s="211" t="e">
        <f t="shared" si="17"/>
        <v>#DIV/0!</v>
      </c>
      <c r="N127" s="199"/>
      <c r="O127" s="198"/>
      <c r="P127" s="200"/>
      <c r="Q127" s="198"/>
      <c r="R127" s="200"/>
      <c r="S127" s="199"/>
      <c r="T127" s="198"/>
      <c r="U127" s="198"/>
      <c r="V127" s="198"/>
      <c r="W127" s="205">
        <v>1</v>
      </c>
      <c r="X127" s="198"/>
      <c r="Y127" s="201" t="s">
        <v>245</v>
      </c>
    </row>
    <row r="128" spans="2:25" ht="16.5">
      <c r="B128" s="495"/>
      <c r="C128" s="498"/>
      <c r="D128" s="209">
        <v>22</v>
      </c>
      <c r="E128" s="198"/>
      <c r="F128" s="199"/>
      <c r="G128" s="198"/>
      <c r="H128" s="198"/>
      <c r="I128" s="210" t="e">
        <f t="shared" si="15"/>
        <v>#DIV/0!</v>
      </c>
      <c r="J128" s="198"/>
      <c r="K128" s="210" t="e">
        <f t="shared" si="16"/>
        <v>#DIV/0!</v>
      </c>
      <c r="L128" s="199"/>
      <c r="M128" s="211" t="e">
        <f t="shared" si="17"/>
        <v>#DIV/0!</v>
      </c>
      <c r="N128" s="199"/>
      <c r="O128" s="198"/>
      <c r="P128" s="200"/>
      <c r="Q128" s="198"/>
      <c r="R128" s="200"/>
      <c r="S128" s="199"/>
      <c r="T128" s="198"/>
      <c r="U128" s="198"/>
      <c r="V128" s="247"/>
      <c r="W128" s="205">
        <v>1</v>
      </c>
      <c r="X128" s="198"/>
      <c r="Y128" s="203" t="s">
        <v>256</v>
      </c>
    </row>
    <row r="129" spans="2:24" ht="16.5">
      <c r="B129" s="495"/>
      <c r="C129" s="498"/>
      <c r="D129" s="209">
        <v>23</v>
      </c>
      <c r="E129" s="198"/>
      <c r="F129" s="199"/>
      <c r="G129" s="198"/>
      <c r="H129" s="198"/>
      <c r="I129" s="210" t="e">
        <f t="shared" si="15"/>
        <v>#DIV/0!</v>
      </c>
      <c r="J129" s="198"/>
      <c r="K129" s="210" t="e">
        <f t="shared" si="16"/>
        <v>#DIV/0!</v>
      </c>
      <c r="L129" s="199"/>
      <c r="M129" s="211" t="e">
        <f t="shared" si="17"/>
        <v>#DIV/0!</v>
      </c>
      <c r="N129" s="199"/>
      <c r="O129" s="198"/>
      <c r="P129" s="200"/>
      <c r="Q129" s="198"/>
      <c r="R129" s="200"/>
      <c r="S129" s="199"/>
      <c r="T129" s="198"/>
      <c r="U129" s="198"/>
      <c r="V129" s="247"/>
      <c r="W129" s="205">
        <v>1</v>
      </c>
      <c r="X129" s="198"/>
    </row>
    <row r="130" spans="2:24" ht="16.5">
      <c r="B130" s="495"/>
      <c r="C130" s="498"/>
      <c r="D130" s="209">
        <v>24</v>
      </c>
      <c r="E130" s="198"/>
      <c r="F130" s="199"/>
      <c r="G130" s="198"/>
      <c r="H130" s="198"/>
      <c r="I130" s="210" t="e">
        <f t="shared" si="15"/>
        <v>#DIV/0!</v>
      </c>
      <c r="J130" s="198"/>
      <c r="K130" s="210" t="e">
        <f t="shared" si="16"/>
        <v>#DIV/0!</v>
      </c>
      <c r="L130" s="199"/>
      <c r="M130" s="211" t="e">
        <f t="shared" si="17"/>
        <v>#DIV/0!</v>
      </c>
      <c r="N130" s="199"/>
      <c r="O130" s="198"/>
      <c r="P130" s="200"/>
      <c r="Q130" s="198"/>
      <c r="R130" s="200"/>
      <c r="S130" s="199"/>
      <c r="T130" s="198"/>
      <c r="U130" s="198"/>
      <c r="V130" s="247"/>
      <c r="W130" s="205">
        <v>1</v>
      </c>
      <c r="X130" s="198"/>
    </row>
    <row r="131" spans="2:24" ht="16.5">
      <c r="B131" s="495"/>
      <c r="C131" s="498"/>
      <c r="D131" s="209">
        <v>25</v>
      </c>
      <c r="E131" s="198"/>
      <c r="F131" s="199"/>
      <c r="G131" s="198"/>
      <c r="H131" s="198"/>
      <c r="I131" s="210" t="e">
        <f t="shared" si="15"/>
        <v>#DIV/0!</v>
      </c>
      <c r="J131" s="198"/>
      <c r="K131" s="210" t="e">
        <f t="shared" si="16"/>
        <v>#DIV/0!</v>
      </c>
      <c r="L131" s="199"/>
      <c r="M131" s="211" t="e">
        <f t="shared" si="17"/>
        <v>#DIV/0!</v>
      </c>
      <c r="N131" s="199"/>
      <c r="O131" s="198"/>
      <c r="P131" s="200"/>
      <c r="Q131" s="198"/>
      <c r="R131" s="200"/>
      <c r="S131" s="199"/>
      <c r="T131" s="198"/>
      <c r="U131" s="198"/>
      <c r="V131" s="247"/>
      <c r="W131" s="205">
        <v>1</v>
      </c>
      <c r="X131" s="198"/>
    </row>
    <row r="132" spans="2:24" ht="16.5">
      <c r="B132" s="495"/>
      <c r="C132" s="498"/>
      <c r="D132" s="209">
        <v>26</v>
      </c>
      <c r="E132" s="198"/>
      <c r="F132" s="199"/>
      <c r="G132" s="198"/>
      <c r="H132" s="198"/>
      <c r="I132" s="210" t="e">
        <f t="shared" si="15"/>
        <v>#DIV/0!</v>
      </c>
      <c r="J132" s="198"/>
      <c r="K132" s="210" t="e">
        <f t="shared" si="16"/>
        <v>#DIV/0!</v>
      </c>
      <c r="L132" s="199"/>
      <c r="M132" s="211" t="e">
        <f t="shared" si="17"/>
        <v>#DIV/0!</v>
      </c>
      <c r="N132" s="199"/>
      <c r="O132" s="198"/>
      <c r="P132" s="200"/>
      <c r="Q132" s="198"/>
      <c r="R132" s="200"/>
      <c r="S132" s="199"/>
      <c r="T132" s="198"/>
      <c r="U132" s="198"/>
      <c r="V132" s="247"/>
      <c r="W132" s="205">
        <v>1</v>
      </c>
      <c r="X132" s="198"/>
    </row>
    <row r="133" spans="2:24" ht="16.5">
      <c r="B133" s="495"/>
      <c r="C133" s="498"/>
      <c r="D133" s="209">
        <v>27</v>
      </c>
      <c r="E133" s="198"/>
      <c r="F133" s="199"/>
      <c r="G133" s="198"/>
      <c r="H133" s="198"/>
      <c r="I133" s="210" t="e">
        <f t="shared" si="15"/>
        <v>#DIV/0!</v>
      </c>
      <c r="J133" s="198"/>
      <c r="K133" s="210" t="e">
        <f t="shared" si="16"/>
        <v>#DIV/0!</v>
      </c>
      <c r="L133" s="199"/>
      <c r="M133" s="211" t="e">
        <f t="shared" si="17"/>
        <v>#DIV/0!</v>
      </c>
      <c r="N133" s="199"/>
      <c r="O133" s="198"/>
      <c r="P133" s="200"/>
      <c r="Q133" s="198"/>
      <c r="R133" s="200"/>
      <c r="S133" s="199"/>
      <c r="T133" s="198"/>
      <c r="U133" s="198"/>
      <c r="V133" s="247"/>
      <c r="W133" s="205">
        <v>1</v>
      </c>
      <c r="X133" s="198"/>
    </row>
    <row r="134" spans="2:24">
      <c r="B134" s="495"/>
      <c r="C134" s="498"/>
      <c r="D134" s="209">
        <v>28</v>
      </c>
      <c r="E134" s="198"/>
      <c r="F134" s="199"/>
      <c r="G134" s="198"/>
      <c r="H134" s="198"/>
      <c r="I134" s="210" t="e">
        <f t="shared" si="15"/>
        <v>#DIV/0!</v>
      </c>
      <c r="J134" s="198"/>
      <c r="K134" s="210" t="e">
        <f t="shared" si="16"/>
        <v>#DIV/0!</v>
      </c>
      <c r="L134" s="199"/>
      <c r="M134" s="211" t="e">
        <f t="shared" si="17"/>
        <v>#DIV/0!</v>
      </c>
      <c r="N134" s="199"/>
      <c r="O134" s="198"/>
      <c r="P134" s="200"/>
      <c r="Q134" s="198"/>
      <c r="R134" s="200"/>
      <c r="S134" s="199"/>
      <c r="T134" s="198"/>
      <c r="U134" s="198"/>
      <c r="V134" s="198"/>
      <c r="W134" s="205">
        <v>1</v>
      </c>
      <c r="X134" s="198"/>
    </row>
    <row r="135" spans="2:24">
      <c r="B135" s="495"/>
      <c r="C135" s="498"/>
      <c r="D135" s="209">
        <v>29</v>
      </c>
      <c r="E135" s="198"/>
      <c r="F135" s="199"/>
      <c r="G135" s="198"/>
      <c r="H135" s="198"/>
      <c r="I135" s="210" t="e">
        <f t="shared" ref="I135:I198" si="18">H135/G135</f>
        <v>#DIV/0!</v>
      </c>
      <c r="J135" s="198"/>
      <c r="K135" s="210" t="e">
        <f t="shared" ref="K135:K198" si="19">J135/G135</f>
        <v>#DIV/0!</v>
      </c>
      <c r="L135" s="199"/>
      <c r="M135" s="211" t="e">
        <f t="shared" ref="M135:M198" si="20">(H135+J135)/G135</f>
        <v>#DIV/0!</v>
      </c>
      <c r="N135" s="199"/>
      <c r="O135" s="198"/>
      <c r="P135" s="200"/>
      <c r="Q135" s="198"/>
      <c r="R135" s="200"/>
      <c r="S135" s="199"/>
      <c r="T135" s="198"/>
      <c r="U135" s="198"/>
      <c r="V135" s="198"/>
      <c r="W135" s="205">
        <v>1</v>
      </c>
      <c r="X135" s="198"/>
    </row>
    <row r="136" spans="2:24">
      <c r="B136" s="496"/>
      <c r="C136" s="498"/>
      <c r="D136" s="209">
        <v>30</v>
      </c>
      <c r="E136" s="198"/>
      <c r="F136" s="199"/>
      <c r="G136" s="198"/>
      <c r="H136" s="198"/>
      <c r="I136" s="210" t="e">
        <f t="shared" si="18"/>
        <v>#DIV/0!</v>
      </c>
      <c r="J136" s="198"/>
      <c r="K136" s="210" t="e">
        <f t="shared" si="19"/>
        <v>#DIV/0!</v>
      </c>
      <c r="L136" s="199"/>
      <c r="M136" s="211" t="e">
        <f t="shared" si="20"/>
        <v>#DIV/0!</v>
      </c>
      <c r="N136" s="199"/>
      <c r="O136" s="198"/>
      <c r="P136" s="200"/>
      <c r="Q136" s="198"/>
      <c r="R136" s="200"/>
      <c r="S136" s="199"/>
      <c r="T136" s="198"/>
      <c r="U136" s="198"/>
      <c r="V136" s="198"/>
      <c r="W136" s="205">
        <v>1</v>
      </c>
      <c r="X136" s="198"/>
    </row>
    <row r="137" spans="2:24">
      <c r="B137" s="494">
        <v>45944</v>
      </c>
      <c r="C137" s="497" t="s">
        <v>120</v>
      </c>
      <c r="D137" s="209">
        <v>31</v>
      </c>
      <c r="E137" s="198"/>
      <c r="F137" s="199"/>
      <c r="G137" s="198"/>
      <c r="H137" s="198"/>
      <c r="I137" s="210" t="e">
        <f t="shared" si="18"/>
        <v>#DIV/0!</v>
      </c>
      <c r="J137" s="198"/>
      <c r="K137" s="210" t="e">
        <f t="shared" si="19"/>
        <v>#DIV/0!</v>
      </c>
      <c r="L137" s="199"/>
      <c r="M137" s="211" t="e">
        <f t="shared" si="20"/>
        <v>#DIV/0!</v>
      </c>
      <c r="N137" s="199"/>
      <c r="O137" s="198"/>
      <c r="P137" s="200"/>
      <c r="Q137" s="198"/>
      <c r="R137" s="200"/>
      <c r="S137" s="199"/>
      <c r="T137" s="198"/>
      <c r="U137" s="198"/>
      <c r="V137" s="198"/>
      <c r="W137" s="205">
        <v>1</v>
      </c>
      <c r="X137" s="198"/>
    </row>
    <row r="138" spans="2:24">
      <c r="B138" s="495"/>
      <c r="C138" s="498"/>
      <c r="D138" s="209">
        <v>32</v>
      </c>
      <c r="E138" s="198"/>
      <c r="F138" s="199"/>
      <c r="G138" s="198"/>
      <c r="H138" s="198"/>
      <c r="I138" s="210" t="e">
        <f t="shared" si="18"/>
        <v>#DIV/0!</v>
      </c>
      <c r="J138" s="198"/>
      <c r="K138" s="210" t="e">
        <f t="shared" si="19"/>
        <v>#DIV/0!</v>
      </c>
      <c r="L138" s="199"/>
      <c r="M138" s="211" t="e">
        <f t="shared" si="20"/>
        <v>#DIV/0!</v>
      </c>
      <c r="N138" s="199"/>
      <c r="O138" s="198"/>
      <c r="P138" s="200"/>
      <c r="Q138" s="198"/>
      <c r="R138" s="200"/>
      <c r="S138" s="199"/>
      <c r="T138" s="198"/>
      <c r="U138" s="198"/>
      <c r="V138" s="198"/>
      <c r="W138" s="205">
        <v>1</v>
      </c>
      <c r="X138" s="198"/>
    </row>
    <row r="139" spans="2:24" ht="16.5">
      <c r="B139" s="495"/>
      <c r="C139" s="498"/>
      <c r="D139" s="209">
        <v>33</v>
      </c>
      <c r="E139" s="198"/>
      <c r="F139" s="199"/>
      <c r="G139" s="198"/>
      <c r="H139" s="198"/>
      <c r="I139" s="210" t="e">
        <f t="shared" si="18"/>
        <v>#DIV/0!</v>
      </c>
      <c r="J139" s="198"/>
      <c r="K139" s="210" t="e">
        <f t="shared" si="19"/>
        <v>#DIV/0!</v>
      </c>
      <c r="L139" s="199"/>
      <c r="M139" s="211" t="e">
        <f t="shared" si="20"/>
        <v>#DIV/0!</v>
      </c>
      <c r="N139" s="199"/>
      <c r="O139" s="198"/>
      <c r="P139" s="200"/>
      <c r="Q139" s="198"/>
      <c r="R139" s="200"/>
      <c r="S139" s="199"/>
      <c r="T139" s="198"/>
      <c r="U139" s="198"/>
      <c r="V139" s="247"/>
      <c r="W139" s="205">
        <v>1</v>
      </c>
      <c r="X139" s="198"/>
    </row>
    <row r="140" spans="2:24">
      <c r="B140" s="495"/>
      <c r="C140" s="498"/>
      <c r="D140" s="209">
        <v>34</v>
      </c>
      <c r="E140" s="198"/>
      <c r="F140" s="199"/>
      <c r="G140" s="198"/>
      <c r="H140" s="198"/>
      <c r="I140" s="210" t="e">
        <f t="shared" si="18"/>
        <v>#DIV/0!</v>
      </c>
      <c r="J140" s="198"/>
      <c r="K140" s="210" t="e">
        <f t="shared" si="19"/>
        <v>#DIV/0!</v>
      </c>
      <c r="L140" s="199"/>
      <c r="M140" s="211" t="e">
        <f t="shared" si="20"/>
        <v>#DIV/0!</v>
      </c>
      <c r="N140" s="199"/>
      <c r="O140" s="198"/>
      <c r="P140" s="200"/>
      <c r="Q140" s="198"/>
      <c r="R140" s="200"/>
      <c r="S140" s="199"/>
      <c r="T140" s="198"/>
      <c r="U140" s="198"/>
      <c r="V140" s="198"/>
      <c r="W140" s="205">
        <v>1</v>
      </c>
      <c r="X140" s="198"/>
    </row>
    <row r="141" spans="2:24">
      <c r="B141" s="495"/>
      <c r="C141" s="498"/>
      <c r="D141" s="209">
        <v>35</v>
      </c>
      <c r="E141" s="198"/>
      <c r="F141" s="199"/>
      <c r="G141" s="198"/>
      <c r="H141" s="198"/>
      <c r="I141" s="210" t="e">
        <f t="shared" si="18"/>
        <v>#DIV/0!</v>
      </c>
      <c r="J141" s="198"/>
      <c r="K141" s="210" t="e">
        <f t="shared" si="19"/>
        <v>#DIV/0!</v>
      </c>
      <c r="L141" s="199"/>
      <c r="M141" s="211" t="e">
        <f t="shared" si="20"/>
        <v>#DIV/0!</v>
      </c>
      <c r="N141" s="199"/>
      <c r="O141" s="198"/>
      <c r="P141" s="200"/>
      <c r="Q141" s="198"/>
      <c r="R141" s="200"/>
      <c r="S141" s="199"/>
      <c r="T141" s="198"/>
      <c r="U141" s="198"/>
      <c r="V141" s="198"/>
      <c r="W141" s="205">
        <v>1</v>
      </c>
      <c r="X141" s="198"/>
    </row>
    <row r="142" spans="2:24">
      <c r="B142" s="495"/>
      <c r="C142" s="498"/>
      <c r="D142" s="209">
        <v>36</v>
      </c>
      <c r="E142" s="198"/>
      <c r="F142" s="199"/>
      <c r="G142" s="198"/>
      <c r="H142" s="198"/>
      <c r="I142" s="210" t="e">
        <f t="shared" si="18"/>
        <v>#DIV/0!</v>
      </c>
      <c r="J142" s="198"/>
      <c r="K142" s="210" t="e">
        <f t="shared" si="19"/>
        <v>#DIV/0!</v>
      </c>
      <c r="L142" s="199"/>
      <c r="M142" s="211" t="e">
        <f t="shared" si="20"/>
        <v>#DIV/0!</v>
      </c>
      <c r="N142" s="199"/>
      <c r="O142" s="198"/>
      <c r="P142" s="200"/>
      <c r="Q142" s="198"/>
      <c r="R142" s="200"/>
      <c r="S142" s="199"/>
      <c r="T142" s="198"/>
      <c r="U142" s="198"/>
      <c r="V142" s="198"/>
      <c r="W142" s="205">
        <v>1</v>
      </c>
      <c r="X142" s="198"/>
    </row>
    <row r="143" spans="2:24">
      <c r="B143" s="495"/>
      <c r="C143" s="498"/>
      <c r="D143" s="209">
        <v>37</v>
      </c>
      <c r="E143" s="198"/>
      <c r="F143" s="199"/>
      <c r="G143" s="198"/>
      <c r="H143" s="198"/>
      <c r="I143" s="210" t="e">
        <f t="shared" si="18"/>
        <v>#DIV/0!</v>
      </c>
      <c r="J143" s="198"/>
      <c r="K143" s="210" t="e">
        <f t="shared" si="19"/>
        <v>#DIV/0!</v>
      </c>
      <c r="L143" s="199"/>
      <c r="M143" s="211" t="e">
        <f t="shared" si="20"/>
        <v>#DIV/0!</v>
      </c>
      <c r="N143" s="199"/>
      <c r="O143" s="198"/>
      <c r="P143" s="200"/>
      <c r="Q143" s="198"/>
      <c r="R143" s="200"/>
      <c r="S143" s="199"/>
      <c r="T143" s="198"/>
      <c r="U143" s="198"/>
      <c r="V143" s="198"/>
      <c r="W143" s="205">
        <v>1</v>
      </c>
      <c r="X143" s="198"/>
    </row>
    <row r="144" spans="2:24">
      <c r="B144" s="495"/>
      <c r="C144" s="498"/>
      <c r="D144" s="209">
        <v>38</v>
      </c>
      <c r="E144" s="198"/>
      <c r="F144" s="199"/>
      <c r="G144" s="198"/>
      <c r="H144" s="198"/>
      <c r="I144" s="210" t="e">
        <f t="shared" si="18"/>
        <v>#DIV/0!</v>
      </c>
      <c r="J144" s="198"/>
      <c r="K144" s="210" t="e">
        <f t="shared" si="19"/>
        <v>#DIV/0!</v>
      </c>
      <c r="L144" s="199"/>
      <c r="M144" s="211" t="e">
        <f t="shared" si="20"/>
        <v>#DIV/0!</v>
      </c>
      <c r="N144" s="199"/>
      <c r="O144" s="198"/>
      <c r="P144" s="200"/>
      <c r="Q144" s="198"/>
      <c r="R144" s="200"/>
      <c r="S144" s="199"/>
      <c r="T144" s="198"/>
      <c r="U144" s="198"/>
      <c r="V144" s="198"/>
      <c r="W144" s="205">
        <v>1</v>
      </c>
      <c r="X144" s="198"/>
    </row>
    <row r="145" spans="2:24">
      <c r="B145" s="495"/>
      <c r="C145" s="498"/>
      <c r="D145" s="209">
        <v>39</v>
      </c>
      <c r="E145" s="198"/>
      <c r="F145" s="199"/>
      <c r="G145" s="198"/>
      <c r="H145" s="198"/>
      <c r="I145" s="210" t="e">
        <f t="shared" si="18"/>
        <v>#DIV/0!</v>
      </c>
      <c r="J145" s="198"/>
      <c r="K145" s="210" t="e">
        <f t="shared" si="19"/>
        <v>#DIV/0!</v>
      </c>
      <c r="L145" s="199"/>
      <c r="M145" s="211" t="e">
        <f t="shared" si="20"/>
        <v>#DIV/0!</v>
      </c>
      <c r="N145" s="199"/>
      <c r="O145" s="198"/>
      <c r="P145" s="200"/>
      <c r="Q145" s="198"/>
      <c r="R145" s="200"/>
      <c r="S145" s="199"/>
      <c r="T145" s="198"/>
      <c r="U145" s="198"/>
      <c r="V145" s="198"/>
      <c r="W145" s="205">
        <v>1</v>
      </c>
      <c r="X145" s="198"/>
    </row>
    <row r="146" spans="2:24">
      <c r="B146" s="496"/>
      <c r="C146" s="498"/>
      <c r="D146" s="209">
        <v>40</v>
      </c>
      <c r="E146" s="198"/>
      <c r="F146" s="199"/>
      <c r="G146" s="198"/>
      <c r="H146" s="198"/>
      <c r="I146" s="210" t="e">
        <f t="shared" si="18"/>
        <v>#DIV/0!</v>
      </c>
      <c r="J146" s="198"/>
      <c r="K146" s="210" t="e">
        <f t="shared" si="19"/>
        <v>#DIV/0!</v>
      </c>
      <c r="L146" s="199"/>
      <c r="M146" s="211" t="e">
        <f t="shared" si="20"/>
        <v>#DIV/0!</v>
      </c>
      <c r="N146" s="199"/>
      <c r="O146" s="198"/>
      <c r="P146" s="200"/>
      <c r="Q146" s="198"/>
      <c r="R146" s="200"/>
      <c r="S146" s="199"/>
      <c r="T146" s="198"/>
      <c r="U146" s="198"/>
      <c r="V146" s="198"/>
      <c r="W146" s="205">
        <v>1</v>
      </c>
      <c r="X146" s="198"/>
    </row>
    <row r="147" spans="2:24">
      <c r="B147" s="494">
        <v>45945</v>
      </c>
      <c r="C147" s="497" t="s">
        <v>114</v>
      </c>
      <c r="D147" s="209">
        <v>41</v>
      </c>
      <c r="E147" s="198"/>
      <c r="F147" s="199"/>
      <c r="G147" s="198"/>
      <c r="H147" s="198"/>
      <c r="I147" s="210" t="e">
        <f t="shared" si="18"/>
        <v>#DIV/0!</v>
      </c>
      <c r="J147" s="198"/>
      <c r="K147" s="210" t="e">
        <f t="shared" si="19"/>
        <v>#DIV/0!</v>
      </c>
      <c r="L147" s="199"/>
      <c r="M147" s="211" t="e">
        <f t="shared" si="20"/>
        <v>#DIV/0!</v>
      </c>
      <c r="N147" s="199"/>
      <c r="O147" s="198"/>
      <c r="P147" s="200"/>
      <c r="Q147" s="198"/>
      <c r="R147" s="200"/>
      <c r="S147" s="199"/>
      <c r="T147" s="198"/>
      <c r="U147" s="198"/>
      <c r="V147" s="198"/>
      <c r="W147" s="205">
        <v>1</v>
      </c>
      <c r="X147" s="198"/>
    </row>
    <row r="148" spans="2:24">
      <c r="B148" s="495"/>
      <c r="C148" s="498"/>
      <c r="D148" s="209">
        <v>42</v>
      </c>
      <c r="E148" s="198"/>
      <c r="F148" s="199"/>
      <c r="G148" s="198"/>
      <c r="H148" s="198"/>
      <c r="I148" s="210" t="e">
        <f t="shared" si="18"/>
        <v>#DIV/0!</v>
      </c>
      <c r="J148" s="198"/>
      <c r="K148" s="210" t="e">
        <f t="shared" si="19"/>
        <v>#DIV/0!</v>
      </c>
      <c r="L148" s="199"/>
      <c r="M148" s="211" t="e">
        <f t="shared" si="20"/>
        <v>#DIV/0!</v>
      </c>
      <c r="N148" s="199"/>
      <c r="O148" s="198"/>
      <c r="P148" s="200"/>
      <c r="Q148" s="198"/>
      <c r="R148" s="200"/>
      <c r="S148" s="199"/>
      <c r="T148" s="198"/>
      <c r="U148" s="198"/>
      <c r="V148" s="198"/>
      <c r="W148" s="205">
        <v>1</v>
      </c>
      <c r="X148" s="198"/>
    </row>
    <row r="149" spans="2:24">
      <c r="B149" s="495"/>
      <c r="C149" s="498"/>
      <c r="D149" s="209">
        <v>43</v>
      </c>
      <c r="E149" s="198"/>
      <c r="F149" s="199"/>
      <c r="G149" s="198"/>
      <c r="H149" s="198"/>
      <c r="I149" s="210" t="e">
        <f t="shared" si="18"/>
        <v>#DIV/0!</v>
      </c>
      <c r="J149" s="198"/>
      <c r="K149" s="210" t="e">
        <f t="shared" si="19"/>
        <v>#DIV/0!</v>
      </c>
      <c r="L149" s="199"/>
      <c r="M149" s="211" t="e">
        <f t="shared" si="20"/>
        <v>#DIV/0!</v>
      </c>
      <c r="N149" s="199"/>
      <c r="O149" s="198"/>
      <c r="P149" s="200"/>
      <c r="Q149" s="198"/>
      <c r="R149" s="200"/>
      <c r="S149" s="199"/>
      <c r="T149" s="198"/>
      <c r="U149" s="198"/>
      <c r="V149" s="198"/>
      <c r="W149" s="205">
        <v>1</v>
      </c>
      <c r="X149" s="198"/>
    </row>
    <row r="150" spans="2:24">
      <c r="B150" s="495"/>
      <c r="C150" s="498"/>
      <c r="D150" s="209">
        <v>44</v>
      </c>
      <c r="E150" s="198"/>
      <c r="F150" s="199"/>
      <c r="G150" s="198"/>
      <c r="H150" s="198"/>
      <c r="I150" s="210" t="e">
        <f t="shared" si="18"/>
        <v>#DIV/0!</v>
      </c>
      <c r="J150" s="198"/>
      <c r="K150" s="210" t="e">
        <f t="shared" si="19"/>
        <v>#DIV/0!</v>
      </c>
      <c r="L150" s="199"/>
      <c r="M150" s="211" t="e">
        <f t="shared" si="20"/>
        <v>#DIV/0!</v>
      </c>
      <c r="N150" s="199"/>
      <c r="O150" s="198"/>
      <c r="P150" s="200"/>
      <c r="Q150" s="198"/>
      <c r="R150" s="200"/>
      <c r="S150" s="199"/>
      <c r="T150" s="198"/>
      <c r="U150" s="198"/>
      <c r="V150" s="198"/>
      <c r="W150" s="205">
        <v>1</v>
      </c>
      <c r="X150" s="198"/>
    </row>
    <row r="151" spans="2:24">
      <c r="B151" s="495"/>
      <c r="C151" s="498"/>
      <c r="D151" s="209">
        <v>45</v>
      </c>
      <c r="E151" s="198"/>
      <c r="F151" s="199"/>
      <c r="G151" s="198"/>
      <c r="H151" s="198"/>
      <c r="I151" s="210" t="e">
        <f t="shared" si="18"/>
        <v>#DIV/0!</v>
      </c>
      <c r="J151" s="198"/>
      <c r="K151" s="210" t="e">
        <f t="shared" si="19"/>
        <v>#DIV/0!</v>
      </c>
      <c r="L151" s="199"/>
      <c r="M151" s="211" t="e">
        <f t="shared" si="20"/>
        <v>#DIV/0!</v>
      </c>
      <c r="N151" s="199"/>
      <c r="O151" s="198"/>
      <c r="P151" s="200"/>
      <c r="Q151" s="198"/>
      <c r="R151" s="200"/>
      <c r="S151" s="199"/>
      <c r="T151" s="198"/>
      <c r="U151" s="198"/>
      <c r="V151" s="198"/>
      <c r="W151" s="205">
        <v>1</v>
      </c>
      <c r="X151" s="198"/>
    </row>
    <row r="152" spans="2:24">
      <c r="B152" s="495"/>
      <c r="C152" s="498"/>
      <c r="D152" s="209">
        <v>46</v>
      </c>
      <c r="E152" s="198"/>
      <c r="F152" s="199"/>
      <c r="G152" s="198"/>
      <c r="H152" s="198"/>
      <c r="I152" s="210" t="e">
        <f t="shared" si="18"/>
        <v>#DIV/0!</v>
      </c>
      <c r="J152" s="198"/>
      <c r="K152" s="210" t="e">
        <f t="shared" si="19"/>
        <v>#DIV/0!</v>
      </c>
      <c r="L152" s="199"/>
      <c r="M152" s="211" t="e">
        <f t="shared" si="20"/>
        <v>#DIV/0!</v>
      </c>
      <c r="N152" s="199"/>
      <c r="O152" s="198"/>
      <c r="P152" s="200"/>
      <c r="Q152" s="198"/>
      <c r="R152" s="200"/>
      <c r="S152" s="199"/>
      <c r="T152" s="198"/>
      <c r="U152" s="198"/>
      <c r="V152" s="198"/>
      <c r="W152" s="205">
        <v>1</v>
      </c>
      <c r="X152" s="198"/>
    </row>
    <row r="153" spans="2:24">
      <c r="B153" s="495"/>
      <c r="C153" s="498"/>
      <c r="D153" s="209">
        <v>47</v>
      </c>
      <c r="E153" s="198"/>
      <c r="F153" s="199"/>
      <c r="G153" s="198"/>
      <c r="H153" s="198"/>
      <c r="I153" s="210" t="e">
        <f t="shared" si="18"/>
        <v>#DIV/0!</v>
      </c>
      <c r="J153" s="198"/>
      <c r="K153" s="210" t="e">
        <f t="shared" si="19"/>
        <v>#DIV/0!</v>
      </c>
      <c r="L153" s="199"/>
      <c r="M153" s="211" t="e">
        <f t="shared" si="20"/>
        <v>#DIV/0!</v>
      </c>
      <c r="N153" s="199"/>
      <c r="O153" s="198"/>
      <c r="P153" s="200"/>
      <c r="Q153" s="198"/>
      <c r="R153" s="200"/>
      <c r="S153" s="199"/>
      <c r="T153" s="198"/>
      <c r="U153" s="198"/>
      <c r="V153" s="198"/>
      <c r="W153" s="205">
        <v>1</v>
      </c>
      <c r="X153" s="198"/>
    </row>
    <row r="154" spans="2:24">
      <c r="B154" s="495"/>
      <c r="C154" s="498"/>
      <c r="D154" s="209">
        <v>48</v>
      </c>
      <c r="E154" s="198"/>
      <c r="F154" s="199"/>
      <c r="G154" s="198"/>
      <c r="H154" s="198"/>
      <c r="I154" s="210" t="e">
        <f t="shared" si="18"/>
        <v>#DIV/0!</v>
      </c>
      <c r="J154" s="198"/>
      <c r="K154" s="210" t="e">
        <f t="shared" si="19"/>
        <v>#DIV/0!</v>
      </c>
      <c r="L154" s="199"/>
      <c r="M154" s="211" t="e">
        <f t="shared" si="20"/>
        <v>#DIV/0!</v>
      </c>
      <c r="N154" s="199"/>
      <c r="O154" s="198"/>
      <c r="P154" s="200"/>
      <c r="Q154" s="198"/>
      <c r="R154" s="200"/>
      <c r="S154" s="199"/>
      <c r="T154" s="198"/>
      <c r="U154" s="198"/>
      <c r="V154" s="198"/>
      <c r="W154" s="205">
        <v>1</v>
      </c>
      <c r="X154" s="198"/>
    </row>
    <row r="155" spans="2:24">
      <c r="B155" s="495"/>
      <c r="C155" s="498"/>
      <c r="D155" s="209">
        <v>49</v>
      </c>
      <c r="E155" s="198"/>
      <c r="F155" s="199"/>
      <c r="G155" s="198"/>
      <c r="H155" s="198"/>
      <c r="I155" s="210" t="e">
        <f t="shared" si="18"/>
        <v>#DIV/0!</v>
      </c>
      <c r="J155" s="198"/>
      <c r="K155" s="210" t="e">
        <f t="shared" si="19"/>
        <v>#DIV/0!</v>
      </c>
      <c r="L155" s="199"/>
      <c r="M155" s="211" t="e">
        <f t="shared" si="20"/>
        <v>#DIV/0!</v>
      </c>
      <c r="N155" s="199"/>
      <c r="O155" s="198"/>
      <c r="P155" s="200"/>
      <c r="Q155" s="198"/>
      <c r="R155" s="200"/>
      <c r="S155" s="199"/>
      <c r="T155" s="198"/>
      <c r="U155" s="198"/>
      <c r="V155" s="198"/>
      <c r="W155" s="205">
        <v>1</v>
      </c>
      <c r="X155" s="198"/>
    </row>
    <row r="156" spans="2:24">
      <c r="B156" s="496"/>
      <c r="C156" s="498"/>
      <c r="D156" s="209">
        <v>50</v>
      </c>
      <c r="E156" s="198"/>
      <c r="F156" s="199"/>
      <c r="G156" s="198"/>
      <c r="H156" s="198"/>
      <c r="I156" s="210" t="e">
        <f t="shared" si="18"/>
        <v>#DIV/0!</v>
      </c>
      <c r="J156" s="198"/>
      <c r="K156" s="210" t="e">
        <f t="shared" si="19"/>
        <v>#DIV/0!</v>
      </c>
      <c r="L156" s="199"/>
      <c r="M156" s="211" t="e">
        <f t="shared" si="20"/>
        <v>#DIV/0!</v>
      </c>
      <c r="N156" s="199"/>
      <c r="O156" s="198"/>
      <c r="P156" s="200"/>
      <c r="Q156" s="198"/>
      <c r="R156" s="200"/>
      <c r="S156" s="199"/>
      <c r="T156" s="198"/>
      <c r="U156" s="198"/>
      <c r="V156" s="198"/>
      <c r="W156" s="205">
        <v>1</v>
      </c>
      <c r="X156" s="198"/>
    </row>
    <row r="157" spans="2:24" ht="16.5">
      <c r="B157" s="494">
        <v>45946</v>
      </c>
      <c r="C157" s="497" t="s">
        <v>115</v>
      </c>
      <c r="D157" s="209">
        <v>51</v>
      </c>
      <c r="E157" s="198"/>
      <c r="F157" s="199"/>
      <c r="G157" s="198"/>
      <c r="H157" s="198"/>
      <c r="I157" s="210" t="e">
        <f t="shared" si="18"/>
        <v>#DIV/0!</v>
      </c>
      <c r="J157" s="198"/>
      <c r="K157" s="210" t="e">
        <f t="shared" si="19"/>
        <v>#DIV/0!</v>
      </c>
      <c r="L157" s="199"/>
      <c r="M157" s="211" t="e">
        <f t="shared" si="20"/>
        <v>#DIV/0!</v>
      </c>
      <c r="N157" s="199"/>
      <c r="O157" s="198"/>
      <c r="P157" s="200"/>
      <c r="Q157" s="198"/>
      <c r="R157" s="200"/>
      <c r="S157" s="199"/>
      <c r="T157" s="198"/>
      <c r="U157" s="198"/>
      <c r="V157" s="247"/>
      <c r="W157" s="205">
        <v>1</v>
      </c>
      <c r="X157" s="198"/>
    </row>
    <row r="158" spans="2:24" ht="16.5">
      <c r="B158" s="495"/>
      <c r="C158" s="498"/>
      <c r="D158" s="209">
        <v>52</v>
      </c>
      <c r="E158" s="198"/>
      <c r="F158" s="199"/>
      <c r="G158" s="198"/>
      <c r="H158" s="198"/>
      <c r="I158" s="210" t="e">
        <f t="shared" si="18"/>
        <v>#DIV/0!</v>
      </c>
      <c r="J158" s="198"/>
      <c r="K158" s="210" t="e">
        <f t="shared" si="19"/>
        <v>#DIV/0!</v>
      </c>
      <c r="L158" s="199"/>
      <c r="M158" s="211" t="e">
        <f t="shared" si="20"/>
        <v>#DIV/0!</v>
      </c>
      <c r="N158" s="199"/>
      <c r="O158" s="198"/>
      <c r="P158" s="200"/>
      <c r="Q158" s="198"/>
      <c r="R158" s="200"/>
      <c r="S158" s="199"/>
      <c r="T158" s="198"/>
      <c r="U158" s="198"/>
      <c r="V158" s="247"/>
      <c r="W158" s="205">
        <v>1</v>
      </c>
      <c r="X158" s="198"/>
    </row>
    <row r="159" spans="2:24" ht="16.5">
      <c r="B159" s="495"/>
      <c r="C159" s="498"/>
      <c r="D159" s="209">
        <v>53</v>
      </c>
      <c r="E159" s="198"/>
      <c r="F159" s="199"/>
      <c r="G159" s="198"/>
      <c r="H159" s="198"/>
      <c r="I159" s="210" t="e">
        <f t="shared" si="18"/>
        <v>#DIV/0!</v>
      </c>
      <c r="J159" s="198"/>
      <c r="K159" s="210" t="e">
        <f t="shared" si="19"/>
        <v>#DIV/0!</v>
      </c>
      <c r="L159" s="199"/>
      <c r="M159" s="211" t="e">
        <f t="shared" si="20"/>
        <v>#DIV/0!</v>
      </c>
      <c r="N159" s="199"/>
      <c r="O159" s="198"/>
      <c r="P159" s="200"/>
      <c r="Q159" s="198"/>
      <c r="R159" s="200"/>
      <c r="S159" s="199"/>
      <c r="T159" s="198"/>
      <c r="U159" s="198"/>
      <c r="V159" s="247"/>
      <c r="W159" s="205">
        <v>1</v>
      </c>
      <c r="X159" s="198"/>
    </row>
    <row r="160" spans="2:24" ht="16.5">
      <c r="B160" s="495"/>
      <c r="C160" s="498"/>
      <c r="D160" s="209">
        <v>54</v>
      </c>
      <c r="E160" s="198"/>
      <c r="F160" s="199"/>
      <c r="G160" s="198"/>
      <c r="H160" s="198"/>
      <c r="I160" s="210" t="e">
        <f t="shared" si="18"/>
        <v>#DIV/0!</v>
      </c>
      <c r="J160" s="198"/>
      <c r="K160" s="210" t="e">
        <f t="shared" si="19"/>
        <v>#DIV/0!</v>
      </c>
      <c r="L160" s="199"/>
      <c r="M160" s="211" t="e">
        <f t="shared" si="20"/>
        <v>#DIV/0!</v>
      </c>
      <c r="N160" s="199"/>
      <c r="O160" s="198"/>
      <c r="P160" s="200"/>
      <c r="Q160" s="198"/>
      <c r="R160" s="200"/>
      <c r="S160" s="199"/>
      <c r="T160" s="198"/>
      <c r="U160" s="198"/>
      <c r="V160" s="247"/>
      <c r="W160" s="205">
        <v>1</v>
      </c>
      <c r="X160" s="198"/>
    </row>
    <row r="161" spans="2:24" ht="16.5">
      <c r="B161" s="495"/>
      <c r="C161" s="498"/>
      <c r="D161" s="209">
        <v>55</v>
      </c>
      <c r="E161" s="198"/>
      <c r="F161" s="199"/>
      <c r="G161" s="198"/>
      <c r="H161" s="198"/>
      <c r="I161" s="210" t="e">
        <f t="shared" si="18"/>
        <v>#DIV/0!</v>
      </c>
      <c r="J161" s="198"/>
      <c r="K161" s="210" t="e">
        <f t="shared" si="19"/>
        <v>#DIV/0!</v>
      </c>
      <c r="L161" s="199"/>
      <c r="M161" s="211" t="e">
        <f t="shared" si="20"/>
        <v>#DIV/0!</v>
      </c>
      <c r="N161" s="199"/>
      <c r="O161" s="198"/>
      <c r="P161" s="200"/>
      <c r="Q161" s="198"/>
      <c r="R161" s="200"/>
      <c r="S161" s="199"/>
      <c r="T161" s="198"/>
      <c r="U161" s="198"/>
      <c r="V161" s="247"/>
      <c r="W161" s="205">
        <v>1</v>
      </c>
      <c r="X161" s="198"/>
    </row>
    <row r="162" spans="2:24" ht="16.5">
      <c r="B162" s="495"/>
      <c r="C162" s="498"/>
      <c r="D162" s="209">
        <v>56</v>
      </c>
      <c r="E162" s="198"/>
      <c r="F162" s="199"/>
      <c r="G162" s="198"/>
      <c r="H162" s="198"/>
      <c r="I162" s="210" t="e">
        <f t="shared" si="18"/>
        <v>#DIV/0!</v>
      </c>
      <c r="J162" s="198"/>
      <c r="K162" s="210" t="e">
        <f t="shared" si="19"/>
        <v>#DIV/0!</v>
      </c>
      <c r="L162" s="199"/>
      <c r="M162" s="211" t="e">
        <f t="shared" si="20"/>
        <v>#DIV/0!</v>
      </c>
      <c r="N162" s="199"/>
      <c r="O162" s="198"/>
      <c r="P162" s="200"/>
      <c r="Q162" s="198"/>
      <c r="R162" s="200"/>
      <c r="S162" s="199"/>
      <c r="T162" s="198"/>
      <c r="U162" s="198"/>
      <c r="V162" s="247"/>
      <c r="W162" s="205">
        <v>1</v>
      </c>
      <c r="X162" s="198"/>
    </row>
    <row r="163" spans="2:24">
      <c r="B163" s="495"/>
      <c r="C163" s="498"/>
      <c r="D163" s="209">
        <v>57</v>
      </c>
      <c r="E163" s="198"/>
      <c r="F163" s="199"/>
      <c r="G163" s="198"/>
      <c r="H163" s="198"/>
      <c r="I163" s="210" t="e">
        <f t="shared" si="18"/>
        <v>#DIV/0!</v>
      </c>
      <c r="J163" s="198"/>
      <c r="K163" s="210" t="e">
        <f t="shared" si="19"/>
        <v>#DIV/0!</v>
      </c>
      <c r="L163" s="199"/>
      <c r="M163" s="211" t="e">
        <f t="shared" si="20"/>
        <v>#DIV/0!</v>
      </c>
      <c r="N163" s="199"/>
      <c r="O163" s="198"/>
      <c r="P163" s="200"/>
      <c r="Q163" s="198"/>
      <c r="R163" s="200"/>
      <c r="S163" s="199"/>
      <c r="T163" s="198"/>
      <c r="U163" s="198"/>
      <c r="V163" s="198"/>
      <c r="W163" s="205">
        <v>1</v>
      </c>
      <c r="X163" s="198"/>
    </row>
    <row r="164" spans="2:24" ht="16.5">
      <c r="B164" s="495"/>
      <c r="C164" s="498"/>
      <c r="D164" s="209">
        <v>58</v>
      </c>
      <c r="E164" s="198"/>
      <c r="F164" s="199"/>
      <c r="G164" s="198"/>
      <c r="H164" s="198"/>
      <c r="I164" s="210" t="e">
        <f t="shared" si="18"/>
        <v>#DIV/0!</v>
      </c>
      <c r="J164" s="198"/>
      <c r="K164" s="210" t="e">
        <f t="shared" si="19"/>
        <v>#DIV/0!</v>
      </c>
      <c r="L164" s="199"/>
      <c r="M164" s="211" t="e">
        <f t="shared" si="20"/>
        <v>#DIV/0!</v>
      </c>
      <c r="N164" s="199"/>
      <c r="O164" s="198"/>
      <c r="P164" s="200"/>
      <c r="Q164" s="198"/>
      <c r="R164" s="200"/>
      <c r="S164" s="199"/>
      <c r="T164" s="198"/>
      <c r="U164" s="198"/>
      <c r="V164" s="247"/>
      <c r="W164" s="205">
        <v>1</v>
      </c>
      <c r="X164" s="198"/>
    </row>
    <row r="165" spans="2:24" ht="16.5">
      <c r="B165" s="495"/>
      <c r="C165" s="498"/>
      <c r="D165" s="209">
        <v>59</v>
      </c>
      <c r="E165" s="198"/>
      <c r="F165" s="199"/>
      <c r="G165" s="198"/>
      <c r="H165" s="198"/>
      <c r="I165" s="210" t="e">
        <f t="shared" si="18"/>
        <v>#DIV/0!</v>
      </c>
      <c r="J165" s="198"/>
      <c r="K165" s="210" t="e">
        <f t="shared" si="19"/>
        <v>#DIV/0!</v>
      </c>
      <c r="L165" s="199"/>
      <c r="M165" s="211" t="e">
        <f t="shared" si="20"/>
        <v>#DIV/0!</v>
      </c>
      <c r="N165" s="199"/>
      <c r="O165" s="198"/>
      <c r="P165" s="200"/>
      <c r="Q165" s="198"/>
      <c r="R165" s="200"/>
      <c r="S165" s="199"/>
      <c r="T165" s="198"/>
      <c r="U165" s="198"/>
      <c r="V165" s="247"/>
      <c r="W165" s="205">
        <v>1</v>
      </c>
      <c r="X165" s="198"/>
    </row>
    <row r="166" spans="2:24">
      <c r="B166" s="496"/>
      <c r="C166" s="498"/>
      <c r="D166" s="209">
        <v>60</v>
      </c>
      <c r="E166" s="198"/>
      <c r="F166" s="199"/>
      <c r="G166" s="198"/>
      <c r="H166" s="198"/>
      <c r="I166" s="210" t="e">
        <f t="shared" si="18"/>
        <v>#DIV/0!</v>
      </c>
      <c r="J166" s="198"/>
      <c r="K166" s="210" t="e">
        <f t="shared" si="19"/>
        <v>#DIV/0!</v>
      </c>
      <c r="L166" s="199"/>
      <c r="M166" s="211" t="e">
        <f t="shared" si="20"/>
        <v>#DIV/0!</v>
      </c>
      <c r="N166" s="199"/>
      <c r="O166" s="198"/>
      <c r="P166" s="200"/>
      <c r="Q166" s="198"/>
      <c r="R166" s="200"/>
      <c r="S166" s="199"/>
      <c r="T166" s="198"/>
      <c r="U166" s="198"/>
      <c r="V166" s="198"/>
      <c r="W166" s="205">
        <v>1</v>
      </c>
      <c r="X166" s="198"/>
    </row>
    <row r="167" spans="2:24">
      <c r="B167" s="494">
        <v>45947</v>
      </c>
      <c r="C167" s="497" t="s">
        <v>116</v>
      </c>
      <c r="D167" s="209">
        <v>61</v>
      </c>
      <c r="E167" s="198"/>
      <c r="F167" s="199"/>
      <c r="G167" s="198"/>
      <c r="H167" s="198"/>
      <c r="I167" s="210" t="e">
        <f t="shared" si="18"/>
        <v>#DIV/0!</v>
      </c>
      <c r="J167" s="198"/>
      <c r="K167" s="210" t="e">
        <f t="shared" si="19"/>
        <v>#DIV/0!</v>
      </c>
      <c r="L167" s="199"/>
      <c r="M167" s="211" t="e">
        <f t="shared" si="20"/>
        <v>#DIV/0!</v>
      </c>
      <c r="N167" s="199"/>
      <c r="O167" s="198"/>
      <c r="P167" s="200"/>
      <c r="Q167" s="198"/>
      <c r="R167" s="200"/>
      <c r="S167" s="199"/>
      <c r="T167" s="198"/>
      <c r="U167" s="198"/>
      <c r="V167" s="198"/>
      <c r="W167" s="205">
        <v>1</v>
      </c>
      <c r="X167" s="198"/>
    </row>
    <row r="168" spans="2:24">
      <c r="B168" s="495"/>
      <c r="C168" s="498"/>
      <c r="D168" s="209">
        <v>62</v>
      </c>
      <c r="E168" s="198"/>
      <c r="F168" s="199"/>
      <c r="G168" s="198"/>
      <c r="H168" s="198"/>
      <c r="I168" s="210" t="e">
        <f t="shared" si="18"/>
        <v>#DIV/0!</v>
      </c>
      <c r="J168" s="198"/>
      <c r="K168" s="210" t="e">
        <f t="shared" si="19"/>
        <v>#DIV/0!</v>
      </c>
      <c r="L168" s="199"/>
      <c r="M168" s="211" t="e">
        <f t="shared" si="20"/>
        <v>#DIV/0!</v>
      </c>
      <c r="N168" s="199"/>
      <c r="O168" s="198"/>
      <c r="P168" s="200"/>
      <c r="Q168" s="198"/>
      <c r="R168" s="200"/>
      <c r="S168" s="199"/>
      <c r="T168" s="198"/>
      <c r="U168" s="198"/>
      <c r="V168" s="198"/>
      <c r="W168" s="205">
        <v>1</v>
      </c>
      <c r="X168" s="198"/>
    </row>
    <row r="169" spans="2:24">
      <c r="B169" s="495"/>
      <c r="C169" s="498"/>
      <c r="D169" s="209">
        <v>63</v>
      </c>
      <c r="E169" s="198"/>
      <c r="F169" s="199"/>
      <c r="G169" s="198"/>
      <c r="H169" s="198"/>
      <c r="I169" s="210" t="e">
        <f t="shared" si="18"/>
        <v>#DIV/0!</v>
      </c>
      <c r="J169" s="198"/>
      <c r="K169" s="210" t="e">
        <f t="shared" si="19"/>
        <v>#DIV/0!</v>
      </c>
      <c r="L169" s="199"/>
      <c r="M169" s="211" t="e">
        <f t="shared" si="20"/>
        <v>#DIV/0!</v>
      </c>
      <c r="N169" s="199"/>
      <c r="O169" s="198"/>
      <c r="P169" s="200"/>
      <c r="Q169" s="198"/>
      <c r="R169" s="200"/>
      <c r="S169" s="199"/>
      <c r="T169" s="198"/>
      <c r="U169" s="198"/>
      <c r="V169" s="198"/>
      <c r="W169" s="205">
        <v>1</v>
      </c>
      <c r="X169" s="198"/>
    </row>
    <row r="170" spans="2:24">
      <c r="B170" s="495"/>
      <c r="C170" s="498"/>
      <c r="D170" s="209">
        <v>64</v>
      </c>
      <c r="E170" s="198"/>
      <c r="F170" s="199"/>
      <c r="G170" s="198"/>
      <c r="H170" s="198"/>
      <c r="I170" s="210" t="e">
        <f t="shared" si="18"/>
        <v>#DIV/0!</v>
      </c>
      <c r="J170" s="198"/>
      <c r="K170" s="210" t="e">
        <f t="shared" si="19"/>
        <v>#DIV/0!</v>
      </c>
      <c r="L170" s="199"/>
      <c r="M170" s="211" t="e">
        <f t="shared" si="20"/>
        <v>#DIV/0!</v>
      </c>
      <c r="N170" s="199"/>
      <c r="O170" s="198"/>
      <c r="P170" s="200"/>
      <c r="Q170" s="198"/>
      <c r="R170" s="200"/>
      <c r="S170" s="199"/>
      <c r="T170" s="198"/>
      <c r="U170" s="198"/>
      <c r="V170" s="198"/>
      <c r="W170" s="205">
        <v>1</v>
      </c>
      <c r="X170" s="198"/>
    </row>
    <row r="171" spans="2:24">
      <c r="B171" s="495"/>
      <c r="C171" s="498"/>
      <c r="D171" s="209">
        <v>65</v>
      </c>
      <c r="E171" s="198"/>
      <c r="F171" s="199"/>
      <c r="G171" s="198"/>
      <c r="H171" s="198"/>
      <c r="I171" s="210" t="e">
        <f t="shared" si="18"/>
        <v>#DIV/0!</v>
      </c>
      <c r="J171" s="198"/>
      <c r="K171" s="210" t="e">
        <f t="shared" si="19"/>
        <v>#DIV/0!</v>
      </c>
      <c r="L171" s="199"/>
      <c r="M171" s="211" t="e">
        <f t="shared" si="20"/>
        <v>#DIV/0!</v>
      </c>
      <c r="N171" s="199"/>
      <c r="O171" s="198"/>
      <c r="P171" s="200"/>
      <c r="Q171" s="198"/>
      <c r="R171" s="200"/>
      <c r="S171" s="199"/>
      <c r="T171" s="198"/>
      <c r="U171" s="198"/>
      <c r="V171" s="198"/>
      <c r="W171" s="205">
        <v>1</v>
      </c>
      <c r="X171" s="198"/>
    </row>
    <row r="172" spans="2:24">
      <c r="B172" s="495"/>
      <c r="C172" s="498"/>
      <c r="D172" s="209">
        <v>66</v>
      </c>
      <c r="E172" s="198"/>
      <c r="F172" s="199"/>
      <c r="G172" s="198"/>
      <c r="H172" s="198"/>
      <c r="I172" s="210" t="e">
        <f t="shared" si="18"/>
        <v>#DIV/0!</v>
      </c>
      <c r="J172" s="198"/>
      <c r="K172" s="210" t="e">
        <f t="shared" si="19"/>
        <v>#DIV/0!</v>
      </c>
      <c r="L172" s="199"/>
      <c r="M172" s="211" t="e">
        <f t="shared" si="20"/>
        <v>#DIV/0!</v>
      </c>
      <c r="N172" s="199"/>
      <c r="O172" s="198"/>
      <c r="P172" s="200"/>
      <c r="Q172" s="198"/>
      <c r="R172" s="200"/>
      <c r="S172" s="199"/>
      <c r="T172" s="198"/>
      <c r="U172" s="198"/>
      <c r="V172" s="198"/>
      <c r="W172" s="205">
        <v>1</v>
      </c>
      <c r="X172" s="198"/>
    </row>
    <row r="173" spans="2:24">
      <c r="B173" s="495"/>
      <c r="C173" s="498"/>
      <c r="D173" s="209">
        <v>67</v>
      </c>
      <c r="E173" s="198"/>
      <c r="F173" s="199"/>
      <c r="G173" s="198"/>
      <c r="H173" s="198"/>
      <c r="I173" s="210" t="e">
        <f t="shared" si="18"/>
        <v>#DIV/0!</v>
      </c>
      <c r="J173" s="198"/>
      <c r="K173" s="210" t="e">
        <f t="shared" si="19"/>
        <v>#DIV/0!</v>
      </c>
      <c r="L173" s="199"/>
      <c r="M173" s="211" t="e">
        <f t="shared" si="20"/>
        <v>#DIV/0!</v>
      </c>
      <c r="N173" s="199"/>
      <c r="O173" s="198"/>
      <c r="P173" s="200"/>
      <c r="Q173" s="198"/>
      <c r="R173" s="200"/>
      <c r="S173" s="199"/>
      <c r="T173" s="198"/>
      <c r="U173" s="198"/>
      <c r="V173" s="198"/>
      <c r="W173" s="205">
        <v>1</v>
      </c>
      <c r="X173" s="198"/>
    </row>
    <row r="174" spans="2:24">
      <c r="B174" s="495"/>
      <c r="C174" s="498"/>
      <c r="D174" s="209">
        <v>68</v>
      </c>
      <c r="E174" s="198"/>
      <c r="F174" s="199"/>
      <c r="G174" s="198"/>
      <c r="H174" s="198"/>
      <c r="I174" s="210" t="e">
        <f t="shared" si="18"/>
        <v>#DIV/0!</v>
      </c>
      <c r="J174" s="198"/>
      <c r="K174" s="210" t="e">
        <f t="shared" si="19"/>
        <v>#DIV/0!</v>
      </c>
      <c r="L174" s="199"/>
      <c r="M174" s="211" t="e">
        <f t="shared" si="20"/>
        <v>#DIV/0!</v>
      </c>
      <c r="N174" s="199"/>
      <c r="O174" s="198"/>
      <c r="P174" s="200"/>
      <c r="Q174" s="198"/>
      <c r="R174" s="200"/>
      <c r="S174" s="199"/>
      <c r="T174" s="198"/>
      <c r="U174" s="198"/>
      <c r="V174" s="198"/>
      <c r="W174" s="205">
        <v>1</v>
      </c>
      <c r="X174" s="198"/>
    </row>
    <row r="175" spans="2:24">
      <c r="B175" s="495"/>
      <c r="C175" s="498"/>
      <c r="D175" s="209">
        <v>69</v>
      </c>
      <c r="E175" s="198"/>
      <c r="F175" s="199"/>
      <c r="G175" s="198"/>
      <c r="H175" s="198"/>
      <c r="I175" s="210" t="e">
        <f t="shared" si="18"/>
        <v>#DIV/0!</v>
      </c>
      <c r="J175" s="198"/>
      <c r="K175" s="210" t="e">
        <f t="shared" si="19"/>
        <v>#DIV/0!</v>
      </c>
      <c r="L175" s="199"/>
      <c r="M175" s="211" t="e">
        <f t="shared" si="20"/>
        <v>#DIV/0!</v>
      </c>
      <c r="N175" s="199"/>
      <c r="O175" s="198"/>
      <c r="P175" s="200"/>
      <c r="Q175" s="198"/>
      <c r="R175" s="200"/>
      <c r="S175" s="199"/>
      <c r="T175" s="198"/>
      <c r="U175" s="198"/>
      <c r="V175" s="198"/>
      <c r="W175" s="205">
        <v>1</v>
      </c>
      <c r="X175" s="198"/>
    </row>
    <row r="176" spans="2:24">
      <c r="B176" s="496"/>
      <c r="C176" s="498"/>
      <c r="D176" s="209">
        <v>70</v>
      </c>
      <c r="E176" s="198"/>
      <c r="F176" s="199"/>
      <c r="G176" s="198"/>
      <c r="H176" s="198"/>
      <c r="I176" s="210" t="e">
        <f t="shared" si="18"/>
        <v>#DIV/0!</v>
      </c>
      <c r="J176" s="198"/>
      <c r="K176" s="210" t="e">
        <f t="shared" si="19"/>
        <v>#DIV/0!</v>
      </c>
      <c r="L176" s="199"/>
      <c r="M176" s="211" t="e">
        <f t="shared" si="20"/>
        <v>#DIV/0!</v>
      </c>
      <c r="N176" s="199"/>
      <c r="O176" s="198"/>
      <c r="P176" s="200"/>
      <c r="Q176" s="198"/>
      <c r="R176" s="200"/>
      <c r="S176" s="199"/>
      <c r="T176" s="198"/>
      <c r="U176" s="198"/>
      <c r="V176" s="198"/>
      <c r="W176" s="205">
        <v>1</v>
      </c>
      <c r="X176" s="198"/>
    </row>
    <row r="177" spans="2:24" ht="16.5">
      <c r="B177" s="494">
        <v>45948</v>
      </c>
      <c r="C177" s="497" t="s">
        <v>117</v>
      </c>
      <c r="D177" s="209">
        <v>71</v>
      </c>
      <c r="E177" s="198"/>
      <c r="F177" s="199"/>
      <c r="G177" s="198"/>
      <c r="H177" s="198"/>
      <c r="I177" s="210" t="e">
        <f t="shared" si="18"/>
        <v>#DIV/0!</v>
      </c>
      <c r="J177" s="198"/>
      <c r="K177" s="210" t="e">
        <f t="shared" si="19"/>
        <v>#DIV/0!</v>
      </c>
      <c r="L177" s="199"/>
      <c r="M177" s="211" t="e">
        <f t="shared" si="20"/>
        <v>#DIV/0!</v>
      </c>
      <c r="N177" s="199"/>
      <c r="O177" s="198"/>
      <c r="P177" s="200"/>
      <c r="Q177" s="198"/>
      <c r="R177" s="200"/>
      <c r="S177" s="199"/>
      <c r="T177" s="198"/>
      <c r="U177" s="198"/>
      <c r="V177" s="247"/>
      <c r="W177" s="205">
        <v>1</v>
      </c>
      <c r="X177" s="198"/>
    </row>
    <row r="178" spans="2:24" ht="16.5">
      <c r="B178" s="495"/>
      <c r="C178" s="498"/>
      <c r="D178" s="209">
        <v>72</v>
      </c>
      <c r="E178" s="198"/>
      <c r="F178" s="199"/>
      <c r="G178" s="198"/>
      <c r="H178" s="198"/>
      <c r="I178" s="210" t="e">
        <f t="shared" si="18"/>
        <v>#DIV/0!</v>
      </c>
      <c r="J178" s="198"/>
      <c r="K178" s="210" t="e">
        <f t="shared" si="19"/>
        <v>#DIV/0!</v>
      </c>
      <c r="L178" s="199"/>
      <c r="M178" s="211" t="e">
        <f t="shared" si="20"/>
        <v>#DIV/0!</v>
      </c>
      <c r="N178" s="199"/>
      <c r="O178" s="198"/>
      <c r="P178" s="200"/>
      <c r="Q178" s="198"/>
      <c r="R178" s="200"/>
      <c r="S178" s="199"/>
      <c r="T178" s="198"/>
      <c r="U178" s="198"/>
      <c r="V178" s="247"/>
      <c r="W178" s="205">
        <v>1</v>
      </c>
      <c r="X178" s="198"/>
    </row>
    <row r="179" spans="2:24" ht="16.5">
      <c r="B179" s="495"/>
      <c r="C179" s="498"/>
      <c r="D179" s="209">
        <v>73</v>
      </c>
      <c r="E179" s="198"/>
      <c r="F179" s="199"/>
      <c r="G179" s="198"/>
      <c r="H179" s="198"/>
      <c r="I179" s="210" t="e">
        <f t="shared" si="18"/>
        <v>#DIV/0!</v>
      </c>
      <c r="J179" s="198"/>
      <c r="K179" s="210" t="e">
        <f t="shared" si="19"/>
        <v>#DIV/0!</v>
      </c>
      <c r="L179" s="199"/>
      <c r="M179" s="211" t="e">
        <f t="shared" si="20"/>
        <v>#DIV/0!</v>
      </c>
      <c r="N179" s="199"/>
      <c r="O179" s="198"/>
      <c r="P179" s="200"/>
      <c r="Q179" s="198"/>
      <c r="R179" s="200"/>
      <c r="S179" s="199"/>
      <c r="T179" s="198"/>
      <c r="U179" s="198"/>
      <c r="V179" s="247"/>
      <c r="W179" s="205">
        <v>1</v>
      </c>
      <c r="X179" s="198"/>
    </row>
    <row r="180" spans="2:24">
      <c r="B180" s="495"/>
      <c r="C180" s="498"/>
      <c r="D180" s="209">
        <v>74</v>
      </c>
      <c r="E180" s="198"/>
      <c r="F180" s="199"/>
      <c r="G180" s="198"/>
      <c r="H180" s="198"/>
      <c r="I180" s="210" t="e">
        <f t="shared" si="18"/>
        <v>#DIV/0!</v>
      </c>
      <c r="J180" s="198"/>
      <c r="K180" s="210" t="e">
        <f t="shared" si="19"/>
        <v>#DIV/0!</v>
      </c>
      <c r="L180" s="199"/>
      <c r="M180" s="211" t="e">
        <f t="shared" si="20"/>
        <v>#DIV/0!</v>
      </c>
      <c r="N180" s="199"/>
      <c r="O180" s="198"/>
      <c r="P180" s="200"/>
      <c r="Q180" s="198"/>
      <c r="R180" s="200"/>
      <c r="S180" s="199"/>
      <c r="T180" s="198"/>
      <c r="U180" s="198"/>
      <c r="V180" s="198"/>
      <c r="W180" s="205">
        <v>1</v>
      </c>
      <c r="X180" s="198"/>
    </row>
    <row r="181" spans="2:24" ht="16.5">
      <c r="B181" s="495"/>
      <c r="C181" s="498"/>
      <c r="D181" s="209">
        <v>75</v>
      </c>
      <c r="E181" s="198"/>
      <c r="F181" s="199"/>
      <c r="G181" s="198"/>
      <c r="H181" s="198"/>
      <c r="I181" s="210" t="e">
        <f t="shared" si="18"/>
        <v>#DIV/0!</v>
      </c>
      <c r="J181" s="198"/>
      <c r="K181" s="210" t="e">
        <f t="shared" si="19"/>
        <v>#DIV/0!</v>
      </c>
      <c r="L181" s="199"/>
      <c r="M181" s="211" t="e">
        <f t="shared" si="20"/>
        <v>#DIV/0!</v>
      </c>
      <c r="N181" s="199"/>
      <c r="O181" s="198"/>
      <c r="P181" s="200"/>
      <c r="Q181" s="198"/>
      <c r="R181" s="200"/>
      <c r="S181" s="199"/>
      <c r="T181" s="198"/>
      <c r="U181" s="198"/>
      <c r="V181" s="247"/>
      <c r="W181" s="205">
        <v>1</v>
      </c>
      <c r="X181" s="198"/>
    </row>
    <row r="182" spans="2:24">
      <c r="B182" s="495"/>
      <c r="C182" s="498"/>
      <c r="D182" s="209">
        <v>76</v>
      </c>
      <c r="E182" s="198"/>
      <c r="F182" s="199"/>
      <c r="G182" s="198"/>
      <c r="H182" s="198"/>
      <c r="I182" s="210" t="e">
        <f t="shared" si="18"/>
        <v>#DIV/0!</v>
      </c>
      <c r="J182" s="198"/>
      <c r="K182" s="210" t="e">
        <f t="shared" si="19"/>
        <v>#DIV/0!</v>
      </c>
      <c r="L182" s="199"/>
      <c r="M182" s="211" t="e">
        <f t="shared" si="20"/>
        <v>#DIV/0!</v>
      </c>
      <c r="N182" s="199"/>
      <c r="O182" s="198"/>
      <c r="P182" s="200"/>
      <c r="Q182" s="198"/>
      <c r="R182" s="200"/>
      <c r="S182" s="199"/>
      <c r="T182" s="198"/>
      <c r="U182" s="198"/>
      <c r="V182" s="198"/>
      <c r="W182" s="205">
        <v>1</v>
      </c>
      <c r="X182" s="198"/>
    </row>
    <row r="183" spans="2:24">
      <c r="B183" s="495"/>
      <c r="C183" s="498"/>
      <c r="D183" s="209">
        <v>77</v>
      </c>
      <c r="E183" s="198"/>
      <c r="F183" s="199"/>
      <c r="G183" s="198"/>
      <c r="H183" s="198"/>
      <c r="I183" s="210" t="e">
        <f t="shared" si="18"/>
        <v>#DIV/0!</v>
      </c>
      <c r="J183" s="198"/>
      <c r="K183" s="210" t="e">
        <f t="shared" si="19"/>
        <v>#DIV/0!</v>
      </c>
      <c r="L183" s="199"/>
      <c r="M183" s="211" t="e">
        <f t="shared" si="20"/>
        <v>#DIV/0!</v>
      </c>
      <c r="N183" s="199"/>
      <c r="O183" s="198"/>
      <c r="P183" s="200"/>
      <c r="Q183" s="198"/>
      <c r="R183" s="200"/>
      <c r="S183" s="199"/>
      <c r="T183" s="198"/>
      <c r="U183" s="198"/>
      <c r="V183" s="198"/>
      <c r="W183" s="205">
        <v>1</v>
      </c>
      <c r="X183" s="198"/>
    </row>
    <row r="184" spans="2:24">
      <c r="B184" s="495"/>
      <c r="C184" s="498"/>
      <c r="D184" s="209">
        <v>78</v>
      </c>
      <c r="E184" s="198"/>
      <c r="F184" s="199"/>
      <c r="G184" s="198"/>
      <c r="H184" s="198"/>
      <c r="I184" s="210" t="e">
        <f t="shared" si="18"/>
        <v>#DIV/0!</v>
      </c>
      <c r="J184" s="198"/>
      <c r="K184" s="210" t="e">
        <f t="shared" si="19"/>
        <v>#DIV/0!</v>
      </c>
      <c r="L184" s="199"/>
      <c r="M184" s="211" t="e">
        <f t="shared" si="20"/>
        <v>#DIV/0!</v>
      </c>
      <c r="N184" s="199"/>
      <c r="O184" s="198"/>
      <c r="P184" s="200"/>
      <c r="Q184" s="198"/>
      <c r="R184" s="200"/>
      <c r="S184" s="199"/>
      <c r="T184" s="198"/>
      <c r="U184" s="198"/>
      <c r="V184" s="198"/>
      <c r="W184" s="205">
        <v>1</v>
      </c>
      <c r="X184" s="198"/>
    </row>
    <row r="185" spans="2:24">
      <c r="B185" s="495"/>
      <c r="C185" s="498"/>
      <c r="D185" s="209">
        <v>79</v>
      </c>
      <c r="E185" s="198"/>
      <c r="F185" s="199"/>
      <c r="G185" s="198"/>
      <c r="H185" s="198"/>
      <c r="I185" s="210" t="e">
        <f t="shared" si="18"/>
        <v>#DIV/0!</v>
      </c>
      <c r="J185" s="198"/>
      <c r="K185" s="210" t="e">
        <f t="shared" si="19"/>
        <v>#DIV/0!</v>
      </c>
      <c r="L185" s="199"/>
      <c r="M185" s="211" t="e">
        <f t="shared" si="20"/>
        <v>#DIV/0!</v>
      </c>
      <c r="N185" s="199"/>
      <c r="O185" s="198"/>
      <c r="P185" s="200"/>
      <c r="Q185" s="198"/>
      <c r="R185" s="200"/>
      <c r="S185" s="199"/>
      <c r="T185" s="198"/>
      <c r="U185" s="198"/>
      <c r="V185" s="198"/>
      <c r="W185" s="205">
        <v>1</v>
      </c>
      <c r="X185" s="198"/>
    </row>
    <row r="186" spans="2:24">
      <c r="B186" s="496"/>
      <c r="C186" s="498"/>
      <c r="D186" s="209">
        <v>80</v>
      </c>
      <c r="E186" s="198"/>
      <c r="F186" s="199"/>
      <c r="G186" s="198"/>
      <c r="H186" s="198"/>
      <c r="I186" s="210" t="e">
        <f t="shared" si="18"/>
        <v>#DIV/0!</v>
      </c>
      <c r="J186" s="198"/>
      <c r="K186" s="210" t="e">
        <f t="shared" si="19"/>
        <v>#DIV/0!</v>
      </c>
      <c r="L186" s="199"/>
      <c r="M186" s="211" t="e">
        <f t="shared" si="20"/>
        <v>#DIV/0!</v>
      </c>
      <c r="N186" s="199"/>
      <c r="O186" s="198"/>
      <c r="P186" s="200"/>
      <c r="Q186" s="198"/>
      <c r="R186" s="200"/>
      <c r="S186" s="199"/>
      <c r="T186" s="198"/>
      <c r="U186" s="198"/>
      <c r="V186" s="198"/>
      <c r="W186" s="205">
        <v>1</v>
      </c>
      <c r="X186" s="198"/>
    </row>
    <row r="187" spans="2:24">
      <c r="B187" s="494">
        <v>45949</v>
      </c>
      <c r="C187" s="497" t="s">
        <v>118</v>
      </c>
      <c r="D187" s="209">
        <v>81</v>
      </c>
      <c r="E187" s="198"/>
      <c r="F187" s="199"/>
      <c r="G187" s="198"/>
      <c r="H187" s="198"/>
      <c r="I187" s="210" t="e">
        <f t="shared" si="18"/>
        <v>#DIV/0!</v>
      </c>
      <c r="J187" s="198"/>
      <c r="K187" s="210" t="e">
        <f t="shared" si="19"/>
        <v>#DIV/0!</v>
      </c>
      <c r="L187" s="199"/>
      <c r="M187" s="211" t="e">
        <f t="shared" si="20"/>
        <v>#DIV/0!</v>
      </c>
      <c r="N187" s="199"/>
      <c r="O187" s="198"/>
      <c r="P187" s="200"/>
      <c r="Q187" s="198"/>
      <c r="R187" s="200"/>
      <c r="S187" s="199"/>
      <c r="T187" s="198"/>
      <c r="U187" s="198"/>
      <c r="V187" s="198"/>
      <c r="W187" s="205">
        <v>1</v>
      </c>
      <c r="X187" s="198"/>
    </row>
    <row r="188" spans="2:24">
      <c r="B188" s="495"/>
      <c r="C188" s="498"/>
      <c r="D188" s="209">
        <v>82</v>
      </c>
      <c r="E188" s="198"/>
      <c r="F188" s="199"/>
      <c r="G188" s="198"/>
      <c r="H188" s="198"/>
      <c r="I188" s="210" t="e">
        <f t="shared" si="18"/>
        <v>#DIV/0!</v>
      </c>
      <c r="J188" s="198"/>
      <c r="K188" s="210" t="e">
        <f t="shared" si="19"/>
        <v>#DIV/0!</v>
      </c>
      <c r="L188" s="199"/>
      <c r="M188" s="211" t="e">
        <f t="shared" si="20"/>
        <v>#DIV/0!</v>
      </c>
      <c r="N188" s="199"/>
      <c r="O188" s="198"/>
      <c r="P188" s="200"/>
      <c r="Q188" s="198"/>
      <c r="R188" s="200"/>
      <c r="S188" s="199"/>
      <c r="T188" s="198"/>
      <c r="U188" s="198"/>
      <c r="V188" s="198"/>
      <c r="W188" s="205">
        <v>1</v>
      </c>
      <c r="X188" s="198"/>
    </row>
    <row r="189" spans="2:24">
      <c r="B189" s="495"/>
      <c r="C189" s="498"/>
      <c r="D189" s="209">
        <v>83</v>
      </c>
      <c r="E189" s="198"/>
      <c r="F189" s="199"/>
      <c r="G189" s="198"/>
      <c r="H189" s="198"/>
      <c r="I189" s="210" t="e">
        <f t="shared" si="18"/>
        <v>#DIV/0!</v>
      </c>
      <c r="J189" s="198"/>
      <c r="K189" s="210" t="e">
        <f t="shared" si="19"/>
        <v>#DIV/0!</v>
      </c>
      <c r="L189" s="199"/>
      <c r="M189" s="211" t="e">
        <f t="shared" si="20"/>
        <v>#DIV/0!</v>
      </c>
      <c r="N189" s="199"/>
      <c r="O189" s="198"/>
      <c r="P189" s="200"/>
      <c r="Q189" s="198"/>
      <c r="R189" s="200"/>
      <c r="S189" s="199"/>
      <c r="T189" s="198"/>
      <c r="U189" s="198"/>
      <c r="V189" s="198"/>
      <c r="W189" s="205">
        <v>1</v>
      </c>
      <c r="X189" s="198"/>
    </row>
    <row r="190" spans="2:24">
      <c r="B190" s="495"/>
      <c r="C190" s="498"/>
      <c r="D190" s="209">
        <v>84</v>
      </c>
      <c r="E190" s="198"/>
      <c r="F190" s="199"/>
      <c r="G190" s="198"/>
      <c r="H190" s="198"/>
      <c r="I190" s="210" t="e">
        <f t="shared" si="18"/>
        <v>#DIV/0!</v>
      </c>
      <c r="J190" s="198"/>
      <c r="K190" s="210" t="e">
        <f t="shared" si="19"/>
        <v>#DIV/0!</v>
      </c>
      <c r="L190" s="199"/>
      <c r="M190" s="211" t="e">
        <f t="shared" si="20"/>
        <v>#DIV/0!</v>
      </c>
      <c r="N190" s="199"/>
      <c r="O190" s="198"/>
      <c r="P190" s="200"/>
      <c r="Q190" s="198"/>
      <c r="R190" s="200"/>
      <c r="S190" s="199"/>
      <c r="T190" s="198"/>
      <c r="U190" s="198"/>
      <c r="V190" s="198"/>
      <c r="W190" s="205">
        <v>1</v>
      </c>
      <c r="X190" s="198"/>
    </row>
    <row r="191" spans="2:24">
      <c r="B191" s="495"/>
      <c r="C191" s="498"/>
      <c r="D191" s="209">
        <v>85</v>
      </c>
      <c r="E191" s="198"/>
      <c r="F191" s="199"/>
      <c r="G191" s="198"/>
      <c r="H191" s="198"/>
      <c r="I191" s="210" t="e">
        <f t="shared" si="18"/>
        <v>#DIV/0!</v>
      </c>
      <c r="J191" s="198"/>
      <c r="K191" s="210" t="e">
        <f t="shared" si="19"/>
        <v>#DIV/0!</v>
      </c>
      <c r="L191" s="199"/>
      <c r="M191" s="211" t="e">
        <f t="shared" si="20"/>
        <v>#DIV/0!</v>
      </c>
      <c r="N191" s="199"/>
      <c r="O191" s="198"/>
      <c r="P191" s="200"/>
      <c r="Q191" s="198"/>
      <c r="R191" s="200"/>
      <c r="S191" s="199"/>
      <c r="T191" s="198"/>
      <c r="U191" s="198"/>
      <c r="V191" s="198"/>
      <c r="W191" s="205">
        <v>1</v>
      </c>
      <c r="X191" s="198"/>
    </row>
    <row r="192" spans="2:24">
      <c r="B192" s="495"/>
      <c r="C192" s="498"/>
      <c r="D192" s="209">
        <v>86</v>
      </c>
      <c r="E192" s="198"/>
      <c r="F192" s="199"/>
      <c r="G192" s="198"/>
      <c r="H192" s="198"/>
      <c r="I192" s="210" t="e">
        <f t="shared" si="18"/>
        <v>#DIV/0!</v>
      </c>
      <c r="J192" s="198"/>
      <c r="K192" s="210" t="e">
        <f t="shared" si="19"/>
        <v>#DIV/0!</v>
      </c>
      <c r="L192" s="199"/>
      <c r="M192" s="211" t="e">
        <f t="shared" si="20"/>
        <v>#DIV/0!</v>
      </c>
      <c r="N192" s="199"/>
      <c r="O192" s="198"/>
      <c r="P192" s="200"/>
      <c r="Q192" s="198"/>
      <c r="R192" s="200"/>
      <c r="S192" s="199"/>
      <c r="T192" s="198"/>
      <c r="U192" s="198"/>
      <c r="V192" s="198"/>
      <c r="W192" s="205">
        <v>1</v>
      </c>
      <c r="X192" s="198"/>
    </row>
    <row r="193" spans="2:24">
      <c r="B193" s="495"/>
      <c r="C193" s="498"/>
      <c r="D193" s="209">
        <v>87</v>
      </c>
      <c r="E193" s="198"/>
      <c r="F193" s="199"/>
      <c r="G193" s="198"/>
      <c r="H193" s="198"/>
      <c r="I193" s="210" t="e">
        <f t="shared" si="18"/>
        <v>#DIV/0!</v>
      </c>
      <c r="J193" s="198"/>
      <c r="K193" s="210" t="e">
        <f t="shared" si="19"/>
        <v>#DIV/0!</v>
      </c>
      <c r="L193" s="199"/>
      <c r="M193" s="211" t="e">
        <f t="shared" si="20"/>
        <v>#DIV/0!</v>
      </c>
      <c r="N193" s="199"/>
      <c r="O193" s="198"/>
      <c r="P193" s="200"/>
      <c r="Q193" s="198"/>
      <c r="R193" s="200"/>
      <c r="S193" s="199"/>
      <c r="T193" s="198"/>
      <c r="U193" s="198"/>
      <c r="V193" s="198"/>
      <c r="W193" s="205">
        <v>1</v>
      </c>
      <c r="X193" s="198"/>
    </row>
    <row r="194" spans="2:24">
      <c r="B194" s="495"/>
      <c r="C194" s="498"/>
      <c r="D194" s="209">
        <v>88</v>
      </c>
      <c r="E194" s="198"/>
      <c r="F194" s="199"/>
      <c r="G194" s="198"/>
      <c r="H194" s="198"/>
      <c r="I194" s="210" t="e">
        <f t="shared" si="18"/>
        <v>#DIV/0!</v>
      </c>
      <c r="J194" s="198"/>
      <c r="K194" s="210" t="e">
        <f t="shared" si="19"/>
        <v>#DIV/0!</v>
      </c>
      <c r="L194" s="199"/>
      <c r="M194" s="211" t="e">
        <f t="shared" si="20"/>
        <v>#DIV/0!</v>
      </c>
      <c r="N194" s="199"/>
      <c r="O194" s="198"/>
      <c r="P194" s="200"/>
      <c r="Q194" s="198"/>
      <c r="R194" s="200"/>
      <c r="S194" s="199"/>
      <c r="T194" s="198"/>
      <c r="U194" s="198"/>
      <c r="V194" s="198"/>
      <c r="W194" s="205">
        <v>1</v>
      </c>
      <c r="X194" s="198"/>
    </row>
    <row r="195" spans="2:24">
      <c r="B195" s="495"/>
      <c r="C195" s="498"/>
      <c r="D195" s="209">
        <v>89</v>
      </c>
      <c r="E195" s="198"/>
      <c r="F195" s="199"/>
      <c r="G195" s="198"/>
      <c r="H195" s="198"/>
      <c r="I195" s="210" t="e">
        <f t="shared" si="18"/>
        <v>#DIV/0!</v>
      </c>
      <c r="J195" s="198"/>
      <c r="K195" s="210" t="e">
        <f t="shared" si="19"/>
        <v>#DIV/0!</v>
      </c>
      <c r="L195" s="199"/>
      <c r="M195" s="211" t="e">
        <f t="shared" si="20"/>
        <v>#DIV/0!</v>
      </c>
      <c r="N195" s="199"/>
      <c r="O195" s="198"/>
      <c r="P195" s="200"/>
      <c r="Q195" s="198"/>
      <c r="R195" s="200"/>
      <c r="S195" s="199"/>
      <c r="T195" s="198"/>
      <c r="U195" s="198"/>
      <c r="V195" s="198"/>
      <c r="W195" s="205">
        <v>1</v>
      </c>
      <c r="X195" s="198"/>
    </row>
    <row r="196" spans="2:24">
      <c r="B196" s="496"/>
      <c r="C196" s="498"/>
      <c r="D196" s="209">
        <v>90</v>
      </c>
      <c r="E196" s="198"/>
      <c r="F196" s="199"/>
      <c r="G196" s="198"/>
      <c r="H196" s="198"/>
      <c r="I196" s="210" t="e">
        <f t="shared" si="18"/>
        <v>#DIV/0!</v>
      </c>
      <c r="J196" s="198"/>
      <c r="K196" s="210" t="e">
        <f t="shared" si="19"/>
        <v>#DIV/0!</v>
      </c>
      <c r="L196" s="199"/>
      <c r="M196" s="211" t="e">
        <f t="shared" si="20"/>
        <v>#DIV/0!</v>
      </c>
      <c r="N196" s="199"/>
      <c r="O196" s="198"/>
      <c r="P196" s="200"/>
      <c r="Q196" s="198"/>
      <c r="R196" s="200"/>
      <c r="S196" s="199"/>
      <c r="T196" s="198"/>
      <c r="U196" s="198"/>
      <c r="V196" s="198"/>
      <c r="W196" s="205">
        <v>1</v>
      </c>
      <c r="X196" s="198"/>
    </row>
    <row r="197" spans="2:24">
      <c r="B197" s="494">
        <v>45950</v>
      </c>
      <c r="C197" s="497" t="s">
        <v>119</v>
      </c>
      <c r="D197" s="209">
        <v>91</v>
      </c>
      <c r="E197" s="198"/>
      <c r="F197" s="199"/>
      <c r="G197" s="198"/>
      <c r="H197" s="198"/>
      <c r="I197" s="210" t="e">
        <f t="shared" si="18"/>
        <v>#DIV/0!</v>
      </c>
      <c r="J197" s="198"/>
      <c r="K197" s="210" t="e">
        <f t="shared" si="19"/>
        <v>#DIV/0!</v>
      </c>
      <c r="L197" s="199"/>
      <c r="M197" s="211" t="e">
        <f t="shared" si="20"/>
        <v>#DIV/0!</v>
      </c>
      <c r="N197" s="199"/>
      <c r="O197" s="198"/>
      <c r="P197" s="200"/>
      <c r="Q197" s="198"/>
      <c r="R197" s="200"/>
      <c r="S197" s="199"/>
      <c r="T197" s="198"/>
      <c r="U197" s="198"/>
      <c r="V197" s="198"/>
      <c r="W197" s="205">
        <v>1</v>
      </c>
      <c r="X197" s="198"/>
    </row>
    <row r="198" spans="2:24">
      <c r="B198" s="495"/>
      <c r="C198" s="498"/>
      <c r="D198" s="209">
        <v>92</v>
      </c>
      <c r="E198" s="198"/>
      <c r="F198" s="199"/>
      <c r="G198" s="198"/>
      <c r="H198" s="198"/>
      <c r="I198" s="210" t="e">
        <f t="shared" si="18"/>
        <v>#DIV/0!</v>
      </c>
      <c r="J198" s="198"/>
      <c r="K198" s="210" t="e">
        <f t="shared" si="19"/>
        <v>#DIV/0!</v>
      </c>
      <c r="L198" s="199"/>
      <c r="M198" s="211" t="e">
        <f t="shared" si="20"/>
        <v>#DIV/0!</v>
      </c>
      <c r="N198" s="199"/>
      <c r="O198" s="198"/>
      <c r="P198" s="200"/>
      <c r="Q198" s="198"/>
      <c r="R198" s="200"/>
      <c r="S198" s="199"/>
      <c r="T198" s="198"/>
      <c r="U198" s="198"/>
      <c r="V198" s="198"/>
      <c r="W198" s="205">
        <v>1</v>
      </c>
      <c r="X198" s="198"/>
    </row>
    <row r="199" spans="2:24">
      <c r="B199" s="495"/>
      <c r="C199" s="498"/>
      <c r="D199" s="209">
        <v>93</v>
      </c>
      <c r="E199" s="198"/>
      <c r="F199" s="199"/>
      <c r="G199" s="198"/>
      <c r="H199" s="198"/>
      <c r="I199" s="210" t="e">
        <f t="shared" ref="I199:I262" si="21">H199/G199</f>
        <v>#DIV/0!</v>
      </c>
      <c r="J199" s="198"/>
      <c r="K199" s="210" t="e">
        <f t="shared" ref="K199:K262" si="22">J199/G199</f>
        <v>#DIV/0!</v>
      </c>
      <c r="L199" s="199"/>
      <c r="M199" s="211" t="e">
        <f t="shared" ref="M199:M262" si="23">(H199+J199)/G199</f>
        <v>#DIV/0!</v>
      </c>
      <c r="N199" s="199"/>
      <c r="O199" s="198"/>
      <c r="P199" s="200"/>
      <c r="Q199" s="198"/>
      <c r="R199" s="200"/>
      <c r="S199" s="199"/>
      <c r="T199" s="198"/>
      <c r="U199" s="198"/>
      <c r="V199" s="198"/>
      <c r="W199" s="205">
        <v>1</v>
      </c>
      <c r="X199" s="198"/>
    </row>
    <row r="200" spans="2:24">
      <c r="B200" s="495"/>
      <c r="C200" s="498"/>
      <c r="D200" s="209">
        <v>94</v>
      </c>
      <c r="E200" s="198"/>
      <c r="F200" s="199"/>
      <c r="G200" s="198"/>
      <c r="H200" s="198"/>
      <c r="I200" s="210" t="e">
        <f t="shared" si="21"/>
        <v>#DIV/0!</v>
      </c>
      <c r="J200" s="198"/>
      <c r="K200" s="210" t="e">
        <f t="shared" si="22"/>
        <v>#DIV/0!</v>
      </c>
      <c r="L200" s="199"/>
      <c r="M200" s="211" t="e">
        <f t="shared" si="23"/>
        <v>#DIV/0!</v>
      </c>
      <c r="N200" s="199"/>
      <c r="O200" s="198"/>
      <c r="P200" s="200"/>
      <c r="Q200" s="198"/>
      <c r="R200" s="200"/>
      <c r="S200" s="199"/>
      <c r="T200" s="198"/>
      <c r="U200" s="198"/>
      <c r="V200" s="198"/>
      <c r="W200" s="205">
        <v>1</v>
      </c>
      <c r="X200" s="198"/>
    </row>
    <row r="201" spans="2:24">
      <c r="B201" s="495"/>
      <c r="C201" s="498"/>
      <c r="D201" s="209">
        <v>95</v>
      </c>
      <c r="E201" s="198"/>
      <c r="F201" s="199"/>
      <c r="G201" s="198"/>
      <c r="H201" s="198"/>
      <c r="I201" s="210" t="e">
        <f t="shared" si="21"/>
        <v>#DIV/0!</v>
      </c>
      <c r="J201" s="198"/>
      <c r="K201" s="210" t="e">
        <f t="shared" si="22"/>
        <v>#DIV/0!</v>
      </c>
      <c r="L201" s="199"/>
      <c r="M201" s="211" t="e">
        <f t="shared" si="23"/>
        <v>#DIV/0!</v>
      </c>
      <c r="N201" s="199"/>
      <c r="O201" s="198"/>
      <c r="P201" s="200"/>
      <c r="Q201" s="198"/>
      <c r="R201" s="200"/>
      <c r="S201" s="199"/>
      <c r="T201" s="198"/>
      <c r="U201" s="198"/>
      <c r="V201" s="198"/>
      <c r="W201" s="205">
        <v>1</v>
      </c>
      <c r="X201" s="198"/>
    </row>
    <row r="202" spans="2:24">
      <c r="B202" s="495"/>
      <c r="C202" s="498"/>
      <c r="D202" s="209">
        <v>96</v>
      </c>
      <c r="E202" s="198"/>
      <c r="F202" s="199"/>
      <c r="G202" s="198"/>
      <c r="H202" s="198"/>
      <c r="I202" s="210" t="e">
        <f t="shared" si="21"/>
        <v>#DIV/0!</v>
      </c>
      <c r="J202" s="198"/>
      <c r="K202" s="210" t="e">
        <f t="shared" si="22"/>
        <v>#DIV/0!</v>
      </c>
      <c r="L202" s="199"/>
      <c r="M202" s="211" t="e">
        <f t="shared" si="23"/>
        <v>#DIV/0!</v>
      </c>
      <c r="N202" s="199"/>
      <c r="O202" s="198"/>
      <c r="P202" s="200"/>
      <c r="Q202" s="198"/>
      <c r="R202" s="200"/>
      <c r="S202" s="199"/>
      <c r="T202" s="198"/>
      <c r="U202" s="198"/>
      <c r="V202" s="198"/>
      <c r="W202" s="205">
        <v>1</v>
      </c>
      <c r="X202" s="198"/>
    </row>
    <row r="203" spans="2:24">
      <c r="B203" s="495"/>
      <c r="C203" s="498"/>
      <c r="D203" s="209">
        <v>97</v>
      </c>
      <c r="E203" s="198"/>
      <c r="F203" s="199"/>
      <c r="G203" s="198"/>
      <c r="H203" s="198"/>
      <c r="I203" s="210" t="e">
        <f t="shared" si="21"/>
        <v>#DIV/0!</v>
      </c>
      <c r="J203" s="198"/>
      <c r="K203" s="210" t="e">
        <f t="shared" si="22"/>
        <v>#DIV/0!</v>
      </c>
      <c r="L203" s="199"/>
      <c r="M203" s="211" t="e">
        <f t="shared" si="23"/>
        <v>#DIV/0!</v>
      </c>
      <c r="N203" s="199"/>
      <c r="O203" s="198"/>
      <c r="P203" s="200"/>
      <c r="Q203" s="198"/>
      <c r="R203" s="200"/>
      <c r="S203" s="199"/>
      <c r="T203" s="198"/>
      <c r="U203" s="198"/>
      <c r="V203" s="198"/>
      <c r="W203" s="205">
        <v>1</v>
      </c>
      <c r="X203" s="198"/>
    </row>
    <row r="204" spans="2:24">
      <c r="B204" s="495"/>
      <c r="C204" s="498"/>
      <c r="D204" s="209">
        <v>98</v>
      </c>
      <c r="E204" s="198"/>
      <c r="F204" s="199"/>
      <c r="G204" s="198"/>
      <c r="H204" s="198"/>
      <c r="I204" s="210" t="e">
        <f t="shared" si="21"/>
        <v>#DIV/0!</v>
      </c>
      <c r="J204" s="198"/>
      <c r="K204" s="210" t="e">
        <f t="shared" si="22"/>
        <v>#DIV/0!</v>
      </c>
      <c r="L204" s="199"/>
      <c r="M204" s="211" t="e">
        <f t="shared" si="23"/>
        <v>#DIV/0!</v>
      </c>
      <c r="N204" s="199"/>
      <c r="O204" s="198"/>
      <c r="P204" s="200"/>
      <c r="Q204" s="198"/>
      <c r="R204" s="200"/>
      <c r="S204" s="199"/>
      <c r="T204" s="198"/>
      <c r="U204" s="198"/>
      <c r="V204" s="198"/>
      <c r="W204" s="205">
        <v>1</v>
      </c>
      <c r="X204" s="198"/>
    </row>
    <row r="205" spans="2:24">
      <c r="B205" s="495"/>
      <c r="C205" s="498"/>
      <c r="D205" s="209">
        <v>99</v>
      </c>
      <c r="E205" s="198"/>
      <c r="F205" s="199"/>
      <c r="G205" s="198"/>
      <c r="H205" s="198"/>
      <c r="I205" s="210" t="e">
        <f t="shared" si="21"/>
        <v>#DIV/0!</v>
      </c>
      <c r="J205" s="198"/>
      <c r="K205" s="210" t="e">
        <f t="shared" si="22"/>
        <v>#DIV/0!</v>
      </c>
      <c r="L205" s="199"/>
      <c r="M205" s="211" t="e">
        <f t="shared" si="23"/>
        <v>#DIV/0!</v>
      </c>
      <c r="N205" s="199"/>
      <c r="O205" s="198"/>
      <c r="P205" s="200"/>
      <c r="Q205" s="198"/>
      <c r="R205" s="200"/>
      <c r="S205" s="199"/>
      <c r="T205" s="198"/>
      <c r="U205" s="198"/>
      <c r="V205" s="198"/>
      <c r="W205" s="205">
        <v>1</v>
      </c>
      <c r="X205" s="198"/>
    </row>
    <row r="206" spans="2:24">
      <c r="B206" s="496"/>
      <c r="C206" s="498"/>
      <c r="D206" s="209">
        <v>100</v>
      </c>
      <c r="E206" s="198"/>
      <c r="F206" s="199"/>
      <c r="G206" s="198"/>
      <c r="H206" s="198"/>
      <c r="I206" s="210" t="e">
        <f t="shared" si="21"/>
        <v>#DIV/0!</v>
      </c>
      <c r="J206" s="198"/>
      <c r="K206" s="210" t="e">
        <f t="shared" si="22"/>
        <v>#DIV/0!</v>
      </c>
      <c r="L206" s="199"/>
      <c r="M206" s="211" t="e">
        <f t="shared" si="23"/>
        <v>#DIV/0!</v>
      </c>
      <c r="N206" s="199"/>
      <c r="O206" s="198"/>
      <c r="P206" s="200"/>
      <c r="Q206" s="198"/>
      <c r="R206" s="200"/>
      <c r="S206" s="199"/>
      <c r="T206" s="198"/>
      <c r="U206" s="198"/>
      <c r="V206" s="198"/>
      <c r="W206" s="205">
        <v>1</v>
      </c>
      <c r="X206" s="198"/>
    </row>
    <row r="207" spans="2:24">
      <c r="B207" s="494">
        <v>45951</v>
      </c>
      <c r="C207" s="497" t="s">
        <v>120</v>
      </c>
      <c r="D207" s="209">
        <v>101</v>
      </c>
      <c r="E207" s="198"/>
      <c r="F207" s="199"/>
      <c r="G207" s="198"/>
      <c r="H207" s="198"/>
      <c r="I207" s="210" t="e">
        <f t="shared" si="21"/>
        <v>#DIV/0!</v>
      </c>
      <c r="J207" s="198"/>
      <c r="K207" s="210" t="e">
        <f t="shared" si="22"/>
        <v>#DIV/0!</v>
      </c>
      <c r="L207" s="199"/>
      <c r="M207" s="211" t="e">
        <f t="shared" si="23"/>
        <v>#DIV/0!</v>
      </c>
      <c r="N207" s="199"/>
      <c r="O207" s="198"/>
      <c r="P207" s="200"/>
      <c r="Q207" s="198"/>
      <c r="R207" s="200"/>
      <c r="S207" s="199"/>
      <c r="T207" s="198"/>
      <c r="U207" s="198"/>
      <c r="V207" s="198"/>
      <c r="W207" s="205">
        <v>1</v>
      </c>
      <c r="X207" s="198"/>
    </row>
    <row r="208" spans="2:24">
      <c r="B208" s="495"/>
      <c r="C208" s="498"/>
      <c r="D208" s="209">
        <v>102</v>
      </c>
      <c r="E208" s="198"/>
      <c r="F208" s="199"/>
      <c r="G208" s="198"/>
      <c r="H208" s="198"/>
      <c r="I208" s="210" t="e">
        <f t="shared" si="21"/>
        <v>#DIV/0!</v>
      </c>
      <c r="J208" s="198"/>
      <c r="K208" s="210" t="e">
        <f t="shared" si="22"/>
        <v>#DIV/0!</v>
      </c>
      <c r="L208" s="199"/>
      <c r="M208" s="211" t="e">
        <f t="shared" si="23"/>
        <v>#DIV/0!</v>
      </c>
      <c r="N208" s="199"/>
      <c r="O208" s="198"/>
      <c r="P208" s="200"/>
      <c r="Q208" s="198"/>
      <c r="R208" s="200"/>
      <c r="S208" s="199"/>
      <c r="T208" s="198"/>
      <c r="U208" s="198"/>
      <c r="V208" s="198"/>
      <c r="W208" s="205">
        <v>1</v>
      </c>
      <c r="X208" s="198"/>
    </row>
    <row r="209" spans="2:24">
      <c r="B209" s="495"/>
      <c r="C209" s="498"/>
      <c r="D209" s="209">
        <v>103</v>
      </c>
      <c r="E209" s="198"/>
      <c r="F209" s="199"/>
      <c r="G209" s="198"/>
      <c r="H209" s="198"/>
      <c r="I209" s="210" t="e">
        <f t="shared" si="21"/>
        <v>#DIV/0!</v>
      </c>
      <c r="J209" s="198"/>
      <c r="K209" s="210" t="e">
        <f t="shared" si="22"/>
        <v>#DIV/0!</v>
      </c>
      <c r="L209" s="199"/>
      <c r="M209" s="211" t="e">
        <f t="shared" si="23"/>
        <v>#DIV/0!</v>
      </c>
      <c r="N209" s="199"/>
      <c r="O209" s="198"/>
      <c r="P209" s="200"/>
      <c r="Q209" s="198"/>
      <c r="R209" s="200"/>
      <c r="S209" s="199"/>
      <c r="T209" s="198"/>
      <c r="U209" s="198"/>
      <c r="V209" s="198"/>
      <c r="W209" s="205">
        <v>1</v>
      </c>
      <c r="X209" s="198"/>
    </row>
    <row r="210" spans="2:24">
      <c r="B210" s="495"/>
      <c r="C210" s="498"/>
      <c r="D210" s="209">
        <v>104</v>
      </c>
      <c r="E210" s="198"/>
      <c r="F210" s="199"/>
      <c r="G210" s="198"/>
      <c r="H210" s="198"/>
      <c r="I210" s="210" t="e">
        <f t="shared" si="21"/>
        <v>#DIV/0!</v>
      </c>
      <c r="J210" s="198"/>
      <c r="K210" s="210" t="e">
        <f t="shared" si="22"/>
        <v>#DIV/0!</v>
      </c>
      <c r="L210" s="199"/>
      <c r="M210" s="211" t="e">
        <f t="shared" si="23"/>
        <v>#DIV/0!</v>
      </c>
      <c r="N210" s="199"/>
      <c r="O210" s="198"/>
      <c r="P210" s="200"/>
      <c r="Q210" s="198"/>
      <c r="R210" s="200"/>
      <c r="S210" s="199"/>
      <c r="T210" s="198"/>
      <c r="U210" s="198"/>
      <c r="V210" s="198"/>
      <c r="W210" s="205">
        <v>1</v>
      </c>
      <c r="X210" s="198"/>
    </row>
    <row r="211" spans="2:24">
      <c r="B211" s="495"/>
      <c r="C211" s="498"/>
      <c r="D211" s="209">
        <v>105</v>
      </c>
      <c r="E211" s="198"/>
      <c r="F211" s="199"/>
      <c r="G211" s="198"/>
      <c r="H211" s="198"/>
      <c r="I211" s="210" t="e">
        <f t="shared" si="21"/>
        <v>#DIV/0!</v>
      </c>
      <c r="J211" s="198"/>
      <c r="K211" s="210" t="e">
        <f t="shared" si="22"/>
        <v>#DIV/0!</v>
      </c>
      <c r="L211" s="199"/>
      <c r="M211" s="211" t="e">
        <f t="shared" si="23"/>
        <v>#DIV/0!</v>
      </c>
      <c r="N211" s="199"/>
      <c r="O211" s="198"/>
      <c r="P211" s="200"/>
      <c r="Q211" s="198"/>
      <c r="R211" s="200"/>
      <c r="S211" s="199"/>
      <c r="T211" s="198"/>
      <c r="U211" s="198"/>
      <c r="V211" s="198"/>
      <c r="W211" s="205">
        <v>1</v>
      </c>
      <c r="X211" s="198"/>
    </row>
    <row r="212" spans="2:24" ht="16.5">
      <c r="B212" s="495"/>
      <c r="C212" s="498"/>
      <c r="D212" s="209">
        <v>106</v>
      </c>
      <c r="E212" s="198"/>
      <c r="F212" s="199"/>
      <c r="G212" s="198"/>
      <c r="H212" s="198"/>
      <c r="I212" s="210" t="e">
        <f t="shared" si="21"/>
        <v>#DIV/0!</v>
      </c>
      <c r="J212" s="198"/>
      <c r="K212" s="210" t="e">
        <f t="shared" si="22"/>
        <v>#DIV/0!</v>
      </c>
      <c r="L212" s="199"/>
      <c r="M212" s="211" t="e">
        <f t="shared" si="23"/>
        <v>#DIV/0!</v>
      </c>
      <c r="N212" s="199"/>
      <c r="O212" s="198"/>
      <c r="P212" s="200"/>
      <c r="Q212" s="198"/>
      <c r="R212" s="200"/>
      <c r="S212" s="199"/>
      <c r="T212" s="198"/>
      <c r="U212" s="198"/>
      <c r="V212" s="247"/>
      <c r="W212" s="205">
        <v>1</v>
      </c>
      <c r="X212" s="198"/>
    </row>
    <row r="213" spans="2:24">
      <c r="B213" s="495"/>
      <c r="C213" s="498"/>
      <c r="D213" s="209">
        <v>107</v>
      </c>
      <c r="E213" s="198"/>
      <c r="F213" s="199"/>
      <c r="G213" s="198"/>
      <c r="H213" s="198"/>
      <c r="I213" s="210" t="e">
        <f t="shared" si="21"/>
        <v>#DIV/0!</v>
      </c>
      <c r="J213" s="198"/>
      <c r="K213" s="210" t="e">
        <f t="shared" si="22"/>
        <v>#DIV/0!</v>
      </c>
      <c r="L213" s="199"/>
      <c r="M213" s="211" t="e">
        <f t="shared" si="23"/>
        <v>#DIV/0!</v>
      </c>
      <c r="N213" s="199"/>
      <c r="O213" s="198"/>
      <c r="P213" s="200"/>
      <c r="Q213" s="198"/>
      <c r="R213" s="200"/>
      <c r="S213" s="199"/>
      <c r="T213" s="198"/>
      <c r="U213" s="198"/>
      <c r="V213" s="198"/>
      <c r="W213" s="205">
        <v>1</v>
      </c>
      <c r="X213" s="198"/>
    </row>
    <row r="214" spans="2:24">
      <c r="B214" s="495"/>
      <c r="C214" s="498"/>
      <c r="D214" s="209">
        <v>108</v>
      </c>
      <c r="E214" s="198"/>
      <c r="F214" s="199"/>
      <c r="G214" s="198"/>
      <c r="H214" s="198"/>
      <c r="I214" s="210" t="e">
        <f t="shared" si="21"/>
        <v>#DIV/0!</v>
      </c>
      <c r="J214" s="198"/>
      <c r="K214" s="210" t="e">
        <f t="shared" si="22"/>
        <v>#DIV/0!</v>
      </c>
      <c r="L214" s="199"/>
      <c r="M214" s="211" t="e">
        <f t="shared" si="23"/>
        <v>#DIV/0!</v>
      </c>
      <c r="N214" s="199"/>
      <c r="O214" s="198"/>
      <c r="P214" s="200"/>
      <c r="Q214" s="198"/>
      <c r="R214" s="200"/>
      <c r="S214" s="199"/>
      <c r="T214" s="198"/>
      <c r="U214" s="198"/>
      <c r="V214" s="198"/>
      <c r="W214" s="205">
        <v>1</v>
      </c>
      <c r="X214" s="198"/>
    </row>
    <row r="215" spans="2:24">
      <c r="B215" s="495"/>
      <c r="C215" s="498"/>
      <c r="D215" s="209">
        <v>109</v>
      </c>
      <c r="E215" s="198"/>
      <c r="F215" s="199"/>
      <c r="G215" s="198"/>
      <c r="H215" s="198"/>
      <c r="I215" s="210" t="e">
        <f t="shared" si="21"/>
        <v>#DIV/0!</v>
      </c>
      <c r="J215" s="198"/>
      <c r="K215" s="210" t="e">
        <f t="shared" si="22"/>
        <v>#DIV/0!</v>
      </c>
      <c r="L215" s="199"/>
      <c r="M215" s="211" t="e">
        <f t="shared" si="23"/>
        <v>#DIV/0!</v>
      </c>
      <c r="N215" s="199"/>
      <c r="O215" s="198"/>
      <c r="P215" s="200"/>
      <c r="Q215" s="198"/>
      <c r="R215" s="200"/>
      <c r="S215" s="199"/>
      <c r="T215" s="198"/>
      <c r="U215" s="198"/>
      <c r="V215" s="198"/>
      <c r="W215" s="205">
        <v>1</v>
      </c>
      <c r="X215" s="198"/>
    </row>
    <row r="216" spans="2:24">
      <c r="B216" s="496"/>
      <c r="C216" s="498"/>
      <c r="D216" s="209">
        <v>110</v>
      </c>
      <c r="E216" s="198"/>
      <c r="F216" s="199"/>
      <c r="G216" s="198"/>
      <c r="H216" s="198"/>
      <c r="I216" s="210" t="e">
        <f t="shared" si="21"/>
        <v>#DIV/0!</v>
      </c>
      <c r="J216" s="198"/>
      <c r="K216" s="210" t="e">
        <f t="shared" si="22"/>
        <v>#DIV/0!</v>
      </c>
      <c r="L216" s="199"/>
      <c r="M216" s="211" t="e">
        <f t="shared" si="23"/>
        <v>#DIV/0!</v>
      </c>
      <c r="N216" s="199"/>
      <c r="O216" s="198"/>
      <c r="P216" s="200"/>
      <c r="Q216" s="198"/>
      <c r="R216" s="200"/>
      <c r="S216" s="199"/>
      <c r="T216" s="198"/>
      <c r="U216" s="198"/>
      <c r="V216" s="198"/>
      <c r="W216" s="205">
        <v>1</v>
      </c>
      <c r="X216" s="198"/>
    </row>
    <row r="217" spans="2:24">
      <c r="B217" s="494">
        <v>45952</v>
      </c>
      <c r="C217" s="497" t="s">
        <v>114</v>
      </c>
      <c r="D217" s="209">
        <v>111</v>
      </c>
      <c r="E217" s="198"/>
      <c r="F217" s="199"/>
      <c r="G217" s="198"/>
      <c r="H217" s="198"/>
      <c r="I217" s="210" t="e">
        <f t="shared" si="21"/>
        <v>#DIV/0!</v>
      </c>
      <c r="J217" s="198"/>
      <c r="K217" s="210" t="e">
        <f t="shared" si="22"/>
        <v>#DIV/0!</v>
      </c>
      <c r="L217" s="199"/>
      <c r="M217" s="211" t="e">
        <f t="shared" si="23"/>
        <v>#DIV/0!</v>
      </c>
      <c r="N217" s="199"/>
      <c r="O217" s="198"/>
      <c r="P217" s="200"/>
      <c r="Q217" s="198"/>
      <c r="R217" s="200"/>
      <c r="S217" s="199"/>
      <c r="T217" s="198"/>
      <c r="U217" s="198"/>
      <c r="V217" s="198"/>
      <c r="W217" s="205">
        <v>1</v>
      </c>
      <c r="X217" s="198"/>
    </row>
    <row r="218" spans="2:24">
      <c r="B218" s="495"/>
      <c r="C218" s="498"/>
      <c r="D218" s="209">
        <v>112</v>
      </c>
      <c r="E218" s="198"/>
      <c r="F218" s="199"/>
      <c r="G218" s="198"/>
      <c r="H218" s="198"/>
      <c r="I218" s="210" t="e">
        <f t="shared" si="21"/>
        <v>#DIV/0!</v>
      </c>
      <c r="J218" s="198"/>
      <c r="K218" s="210" t="e">
        <f t="shared" si="22"/>
        <v>#DIV/0!</v>
      </c>
      <c r="L218" s="199"/>
      <c r="M218" s="211" t="e">
        <f t="shared" si="23"/>
        <v>#DIV/0!</v>
      </c>
      <c r="N218" s="199"/>
      <c r="O218" s="198"/>
      <c r="P218" s="200"/>
      <c r="Q218" s="198"/>
      <c r="R218" s="200"/>
      <c r="S218" s="199"/>
      <c r="T218" s="198"/>
      <c r="U218" s="198"/>
      <c r="V218" s="198"/>
      <c r="W218" s="205">
        <v>1</v>
      </c>
      <c r="X218" s="198"/>
    </row>
    <row r="219" spans="2:24">
      <c r="B219" s="495"/>
      <c r="C219" s="498"/>
      <c r="D219" s="209">
        <v>113</v>
      </c>
      <c r="E219" s="198"/>
      <c r="F219" s="199"/>
      <c r="G219" s="198"/>
      <c r="H219" s="198"/>
      <c r="I219" s="210" t="e">
        <f t="shared" si="21"/>
        <v>#DIV/0!</v>
      </c>
      <c r="J219" s="198"/>
      <c r="K219" s="210" t="e">
        <f t="shared" si="22"/>
        <v>#DIV/0!</v>
      </c>
      <c r="L219" s="199"/>
      <c r="M219" s="211" t="e">
        <f t="shared" si="23"/>
        <v>#DIV/0!</v>
      </c>
      <c r="N219" s="199"/>
      <c r="O219" s="198"/>
      <c r="P219" s="200"/>
      <c r="Q219" s="198"/>
      <c r="R219" s="200"/>
      <c r="S219" s="199"/>
      <c r="T219" s="198"/>
      <c r="U219" s="198"/>
      <c r="V219" s="198"/>
      <c r="W219" s="205">
        <v>1</v>
      </c>
      <c r="X219" s="198"/>
    </row>
    <row r="220" spans="2:24">
      <c r="B220" s="495"/>
      <c r="C220" s="498"/>
      <c r="D220" s="209">
        <v>114</v>
      </c>
      <c r="E220" s="198"/>
      <c r="F220" s="199"/>
      <c r="G220" s="198"/>
      <c r="H220" s="198"/>
      <c r="I220" s="210" t="e">
        <f t="shared" si="21"/>
        <v>#DIV/0!</v>
      </c>
      <c r="J220" s="198"/>
      <c r="K220" s="210" t="e">
        <f t="shared" si="22"/>
        <v>#DIV/0!</v>
      </c>
      <c r="L220" s="199"/>
      <c r="M220" s="211" t="e">
        <f t="shared" si="23"/>
        <v>#DIV/0!</v>
      </c>
      <c r="N220" s="199"/>
      <c r="O220" s="198"/>
      <c r="P220" s="200"/>
      <c r="Q220" s="198"/>
      <c r="R220" s="200"/>
      <c r="S220" s="199"/>
      <c r="T220" s="198"/>
      <c r="U220" s="198"/>
      <c r="V220" s="198"/>
      <c r="W220" s="205">
        <v>1</v>
      </c>
      <c r="X220" s="198"/>
    </row>
    <row r="221" spans="2:24">
      <c r="B221" s="495"/>
      <c r="C221" s="498"/>
      <c r="D221" s="209">
        <v>115</v>
      </c>
      <c r="E221" s="198"/>
      <c r="F221" s="199"/>
      <c r="G221" s="198"/>
      <c r="H221" s="198"/>
      <c r="I221" s="210" t="e">
        <f t="shared" si="21"/>
        <v>#DIV/0!</v>
      </c>
      <c r="J221" s="198"/>
      <c r="K221" s="210" t="e">
        <f t="shared" si="22"/>
        <v>#DIV/0!</v>
      </c>
      <c r="L221" s="199"/>
      <c r="M221" s="211" t="e">
        <f t="shared" si="23"/>
        <v>#DIV/0!</v>
      </c>
      <c r="N221" s="199"/>
      <c r="O221" s="198"/>
      <c r="P221" s="200"/>
      <c r="Q221" s="198"/>
      <c r="R221" s="200"/>
      <c r="S221" s="199"/>
      <c r="T221" s="198"/>
      <c r="U221" s="198"/>
      <c r="V221" s="198"/>
      <c r="W221" s="205">
        <v>1</v>
      </c>
      <c r="X221" s="198"/>
    </row>
    <row r="222" spans="2:24">
      <c r="B222" s="495"/>
      <c r="C222" s="498"/>
      <c r="D222" s="209">
        <v>116</v>
      </c>
      <c r="E222" s="198"/>
      <c r="F222" s="199"/>
      <c r="G222" s="198"/>
      <c r="H222" s="198"/>
      <c r="I222" s="210" t="e">
        <f t="shared" si="21"/>
        <v>#DIV/0!</v>
      </c>
      <c r="J222" s="198"/>
      <c r="K222" s="210" t="e">
        <f t="shared" si="22"/>
        <v>#DIV/0!</v>
      </c>
      <c r="L222" s="199"/>
      <c r="M222" s="211" t="e">
        <f t="shared" si="23"/>
        <v>#DIV/0!</v>
      </c>
      <c r="N222" s="199"/>
      <c r="O222" s="198"/>
      <c r="P222" s="200"/>
      <c r="Q222" s="198"/>
      <c r="R222" s="200"/>
      <c r="S222" s="199"/>
      <c r="T222" s="198"/>
      <c r="U222" s="198"/>
      <c r="V222" s="198"/>
      <c r="W222" s="205">
        <v>1</v>
      </c>
      <c r="X222" s="198"/>
    </row>
    <row r="223" spans="2:24">
      <c r="B223" s="495"/>
      <c r="C223" s="498"/>
      <c r="D223" s="209">
        <v>117</v>
      </c>
      <c r="E223" s="198"/>
      <c r="F223" s="199"/>
      <c r="G223" s="198"/>
      <c r="H223" s="198"/>
      <c r="I223" s="210" t="e">
        <f t="shared" si="21"/>
        <v>#DIV/0!</v>
      </c>
      <c r="J223" s="198"/>
      <c r="K223" s="210" t="e">
        <f t="shared" si="22"/>
        <v>#DIV/0!</v>
      </c>
      <c r="L223" s="199"/>
      <c r="M223" s="211" t="e">
        <f t="shared" si="23"/>
        <v>#DIV/0!</v>
      </c>
      <c r="N223" s="199"/>
      <c r="O223" s="198"/>
      <c r="P223" s="200"/>
      <c r="Q223" s="198"/>
      <c r="R223" s="200"/>
      <c r="S223" s="199"/>
      <c r="T223" s="198"/>
      <c r="U223" s="198"/>
      <c r="V223" s="198"/>
      <c r="W223" s="205">
        <v>1</v>
      </c>
      <c r="X223" s="198"/>
    </row>
    <row r="224" spans="2:24">
      <c r="B224" s="495"/>
      <c r="C224" s="498"/>
      <c r="D224" s="209">
        <v>118</v>
      </c>
      <c r="E224" s="198"/>
      <c r="F224" s="199"/>
      <c r="G224" s="198"/>
      <c r="H224" s="198"/>
      <c r="I224" s="210" t="e">
        <f t="shared" si="21"/>
        <v>#DIV/0!</v>
      </c>
      <c r="J224" s="198"/>
      <c r="K224" s="210" t="e">
        <f t="shared" si="22"/>
        <v>#DIV/0!</v>
      </c>
      <c r="L224" s="199"/>
      <c r="M224" s="211" t="e">
        <f t="shared" si="23"/>
        <v>#DIV/0!</v>
      </c>
      <c r="N224" s="199"/>
      <c r="O224" s="198"/>
      <c r="P224" s="200"/>
      <c r="Q224" s="198"/>
      <c r="R224" s="200"/>
      <c r="S224" s="199"/>
      <c r="T224" s="198"/>
      <c r="U224" s="198"/>
      <c r="V224" s="198"/>
      <c r="W224" s="205">
        <v>1</v>
      </c>
      <c r="X224" s="198"/>
    </row>
    <row r="225" spans="2:24">
      <c r="B225" s="495"/>
      <c r="C225" s="498"/>
      <c r="D225" s="209">
        <v>119</v>
      </c>
      <c r="E225" s="198"/>
      <c r="F225" s="199"/>
      <c r="G225" s="198"/>
      <c r="H225" s="198"/>
      <c r="I225" s="210" t="e">
        <f t="shared" si="21"/>
        <v>#DIV/0!</v>
      </c>
      <c r="J225" s="198"/>
      <c r="K225" s="210" t="e">
        <f t="shared" si="22"/>
        <v>#DIV/0!</v>
      </c>
      <c r="L225" s="199"/>
      <c r="M225" s="211" t="e">
        <f t="shared" si="23"/>
        <v>#DIV/0!</v>
      </c>
      <c r="N225" s="199"/>
      <c r="O225" s="198"/>
      <c r="P225" s="200"/>
      <c r="Q225" s="198"/>
      <c r="R225" s="200"/>
      <c r="S225" s="199"/>
      <c r="T225" s="198"/>
      <c r="U225" s="198"/>
      <c r="V225" s="198"/>
      <c r="W225" s="205">
        <v>1</v>
      </c>
      <c r="X225" s="198"/>
    </row>
    <row r="226" spans="2:24">
      <c r="B226" s="496"/>
      <c r="C226" s="498"/>
      <c r="D226" s="209">
        <v>120</v>
      </c>
      <c r="E226" s="198"/>
      <c r="F226" s="199"/>
      <c r="G226" s="198"/>
      <c r="H226" s="198"/>
      <c r="I226" s="210" t="e">
        <f t="shared" si="21"/>
        <v>#DIV/0!</v>
      </c>
      <c r="J226" s="198"/>
      <c r="K226" s="210" t="e">
        <f t="shared" si="22"/>
        <v>#DIV/0!</v>
      </c>
      <c r="L226" s="199"/>
      <c r="M226" s="211" t="e">
        <f t="shared" si="23"/>
        <v>#DIV/0!</v>
      </c>
      <c r="N226" s="199"/>
      <c r="O226" s="198"/>
      <c r="P226" s="200"/>
      <c r="Q226" s="198"/>
      <c r="R226" s="200"/>
      <c r="S226" s="199"/>
      <c r="T226" s="198"/>
      <c r="U226" s="198"/>
      <c r="V226" s="198"/>
      <c r="W226" s="205">
        <v>1</v>
      </c>
      <c r="X226" s="198"/>
    </row>
    <row r="227" spans="2:24">
      <c r="B227" s="494">
        <v>45953</v>
      </c>
      <c r="C227" s="497" t="s">
        <v>115</v>
      </c>
      <c r="D227" s="209">
        <v>121</v>
      </c>
      <c r="E227" s="198"/>
      <c r="F227" s="199"/>
      <c r="G227" s="198"/>
      <c r="H227" s="198"/>
      <c r="I227" s="210" t="e">
        <f t="shared" si="21"/>
        <v>#DIV/0!</v>
      </c>
      <c r="J227" s="198"/>
      <c r="K227" s="210" t="e">
        <f t="shared" si="22"/>
        <v>#DIV/0!</v>
      </c>
      <c r="L227" s="199"/>
      <c r="M227" s="211" t="e">
        <f t="shared" si="23"/>
        <v>#DIV/0!</v>
      </c>
      <c r="N227" s="199"/>
      <c r="O227" s="198"/>
      <c r="P227" s="200"/>
      <c r="Q227" s="198"/>
      <c r="R227" s="200"/>
      <c r="S227" s="199"/>
      <c r="T227" s="198"/>
      <c r="U227" s="198"/>
      <c r="V227" s="198"/>
      <c r="W227" s="205">
        <v>1</v>
      </c>
      <c r="X227" s="198"/>
    </row>
    <row r="228" spans="2:24">
      <c r="B228" s="495"/>
      <c r="C228" s="498"/>
      <c r="D228" s="209">
        <v>122</v>
      </c>
      <c r="E228" s="198"/>
      <c r="F228" s="199"/>
      <c r="G228" s="198"/>
      <c r="H228" s="198"/>
      <c r="I228" s="210" t="e">
        <f t="shared" si="21"/>
        <v>#DIV/0!</v>
      </c>
      <c r="J228" s="198"/>
      <c r="K228" s="210" t="e">
        <f t="shared" si="22"/>
        <v>#DIV/0!</v>
      </c>
      <c r="L228" s="199"/>
      <c r="M228" s="211" t="e">
        <f t="shared" si="23"/>
        <v>#DIV/0!</v>
      </c>
      <c r="N228" s="199"/>
      <c r="O228" s="198"/>
      <c r="P228" s="200"/>
      <c r="Q228" s="198"/>
      <c r="R228" s="200"/>
      <c r="S228" s="199"/>
      <c r="T228" s="198"/>
      <c r="U228" s="198"/>
      <c r="V228" s="198"/>
      <c r="W228" s="205">
        <v>1</v>
      </c>
      <c r="X228" s="198"/>
    </row>
    <row r="229" spans="2:24">
      <c r="B229" s="495"/>
      <c r="C229" s="498"/>
      <c r="D229" s="209">
        <v>123</v>
      </c>
      <c r="E229" s="198"/>
      <c r="F229" s="199"/>
      <c r="G229" s="198"/>
      <c r="H229" s="198"/>
      <c r="I229" s="210" t="e">
        <f t="shared" si="21"/>
        <v>#DIV/0!</v>
      </c>
      <c r="J229" s="198"/>
      <c r="K229" s="210" t="e">
        <f t="shared" si="22"/>
        <v>#DIV/0!</v>
      </c>
      <c r="L229" s="199"/>
      <c r="M229" s="211" t="e">
        <f t="shared" si="23"/>
        <v>#DIV/0!</v>
      </c>
      <c r="N229" s="199"/>
      <c r="O229" s="198"/>
      <c r="P229" s="200"/>
      <c r="Q229" s="198"/>
      <c r="R229" s="200"/>
      <c r="S229" s="199"/>
      <c r="T229" s="198"/>
      <c r="U229" s="198"/>
      <c r="V229" s="198"/>
      <c r="W229" s="205">
        <v>1</v>
      </c>
      <c r="X229" s="198"/>
    </row>
    <row r="230" spans="2:24">
      <c r="B230" s="495"/>
      <c r="C230" s="498"/>
      <c r="D230" s="209">
        <v>124</v>
      </c>
      <c r="E230" s="198"/>
      <c r="F230" s="199"/>
      <c r="G230" s="198"/>
      <c r="H230" s="198"/>
      <c r="I230" s="210" t="e">
        <f t="shared" si="21"/>
        <v>#DIV/0!</v>
      </c>
      <c r="J230" s="198"/>
      <c r="K230" s="210" t="e">
        <f t="shared" si="22"/>
        <v>#DIV/0!</v>
      </c>
      <c r="L230" s="199"/>
      <c r="M230" s="211" t="e">
        <f t="shared" si="23"/>
        <v>#DIV/0!</v>
      </c>
      <c r="N230" s="199"/>
      <c r="O230" s="198"/>
      <c r="P230" s="200"/>
      <c r="Q230" s="198"/>
      <c r="R230" s="200"/>
      <c r="S230" s="199"/>
      <c r="T230" s="198"/>
      <c r="U230" s="198"/>
      <c r="V230" s="198"/>
      <c r="W230" s="205">
        <v>1</v>
      </c>
      <c r="X230" s="198"/>
    </row>
    <row r="231" spans="2:24">
      <c r="B231" s="495"/>
      <c r="C231" s="498"/>
      <c r="D231" s="209">
        <v>125</v>
      </c>
      <c r="E231" s="198"/>
      <c r="F231" s="199"/>
      <c r="G231" s="198"/>
      <c r="H231" s="198"/>
      <c r="I231" s="210" t="e">
        <f t="shared" si="21"/>
        <v>#DIV/0!</v>
      </c>
      <c r="J231" s="198"/>
      <c r="K231" s="210" t="e">
        <f t="shared" si="22"/>
        <v>#DIV/0!</v>
      </c>
      <c r="L231" s="199"/>
      <c r="M231" s="211" t="e">
        <f t="shared" si="23"/>
        <v>#DIV/0!</v>
      </c>
      <c r="N231" s="199"/>
      <c r="O231" s="198"/>
      <c r="P231" s="200"/>
      <c r="Q231" s="198"/>
      <c r="R231" s="200"/>
      <c r="S231" s="199"/>
      <c r="T231" s="198"/>
      <c r="U231" s="198"/>
      <c r="V231" s="198"/>
      <c r="W231" s="205">
        <v>1</v>
      </c>
      <c r="X231" s="198"/>
    </row>
    <row r="232" spans="2:24">
      <c r="B232" s="495"/>
      <c r="C232" s="498"/>
      <c r="D232" s="209">
        <v>126</v>
      </c>
      <c r="E232" s="198"/>
      <c r="F232" s="199"/>
      <c r="G232" s="198"/>
      <c r="H232" s="198"/>
      <c r="I232" s="210" t="e">
        <f t="shared" si="21"/>
        <v>#DIV/0!</v>
      </c>
      <c r="J232" s="198"/>
      <c r="K232" s="210" t="e">
        <f t="shared" si="22"/>
        <v>#DIV/0!</v>
      </c>
      <c r="L232" s="199"/>
      <c r="M232" s="211" t="e">
        <f t="shared" si="23"/>
        <v>#DIV/0!</v>
      </c>
      <c r="N232" s="199"/>
      <c r="O232" s="198"/>
      <c r="P232" s="200"/>
      <c r="Q232" s="198"/>
      <c r="R232" s="200"/>
      <c r="S232" s="199"/>
      <c r="T232" s="198"/>
      <c r="U232" s="198"/>
      <c r="V232" s="198"/>
      <c r="W232" s="205">
        <v>1</v>
      </c>
      <c r="X232" s="198"/>
    </row>
    <row r="233" spans="2:24">
      <c r="B233" s="495"/>
      <c r="C233" s="498"/>
      <c r="D233" s="209">
        <v>127</v>
      </c>
      <c r="E233" s="198"/>
      <c r="F233" s="199"/>
      <c r="G233" s="198"/>
      <c r="H233" s="198"/>
      <c r="I233" s="210" t="e">
        <f t="shared" si="21"/>
        <v>#DIV/0!</v>
      </c>
      <c r="J233" s="198"/>
      <c r="K233" s="210" t="e">
        <f t="shared" si="22"/>
        <v>#DIV/0!</v>
      </c>
      <c r="L233" s="199"/>
      <c r="M233" s="211" t="e">
        <f t="shared" si="23"/>
        <v>#DIV/0!</v>
      </c>
      <c r="N233" s="199"/>
      <c r="O233" s="198"/>
      <c r="P233" s="200"/>
      <c r="Q233" s="198"/>
      <c r="R233" s="200"/>
      <c r="S233" s="199"/>
      <c r="T233" s="198"/>
      <c r="U233" s="198"/>
      <c r="V233" s="198"/>
      <c r="W233" s="205">
        <v>1</v>
      </c>
      <c r="X233" s="198"/>
    </row>
    <row r="234" spans="2:24">
      <c r="B234" s="495"/>
      <c r="C234" s="498"/>
      <c r="D234" s="209">
        <v>128</v>
      </c>
      <c r="E234" s="198"/>
      <c r="F234" s="199"/>
      <c r="G234" s="198"/>
      <c r="H234" s="198"/>
      <c r="I234" s="210" t="e">
        <f t="shared" si="21"/>
        <v>#DIV/0!</v>
      </c>
      <c r="J234" s="198"/>
      <c r="K234" s="210" t="e">
        <f t="shared" si="22"/>
        <v>#DIV/0!</v>
      </c>
      <c r="L234" s="199"/>
      <c r="M234" s="211" t="e">
        <f t="shared" si="23"/>
        <v>#DIV/0!</v>
      </c>
      <c r="N234" s="199"/>
      <c r="O234" s="198"/>
      <c r="P234" s="200"/>
      <c r="Q234" s="198"/>
      <c r="R234" s="200"/>
      <c r="S234" s="199"/>
      <c r="T234" s="198"/>
      <c r="U234" s="198"/>
      <c r="V234" s="198"/>
      <c r="W234" s="205">
        <v>1</v>
      </c>
      <c r="X234" s="198"/>
    </row>
    <row r="235" spans="2:24">
      <c r="B235" s="495"/>
      <c r="C235" s="498"/>
      <c r="D235" s="209">
        <v>129</v>
      </c>
      <c r="E235" s="198"/>
      <c r="F235" s="199"/>
      <c r="G235" s="198"/>
      <c r="H235" s="198"/>
      <c r="I235" s="210" t="e">
        <f t="shared" si="21"/>
        <v>#DIV/0!</v>
      </c>
      <c r="J235" s="198"/>
      <c r="K235" s="210" t="e">
        <f t="shared" si="22"/>
        <v>#DIV/0!</v>
      </c>
      <c r="L235" s="199"/>
      <c r="M235" s="211" t="e">
        <f t="shared" si="23"/>
        <v>#DIV/0!</v>
      </c>
      <c r="N235" s="199"/>
      <c r="O235" s="198"/>
      <c r="P235" s="200"/>
      <c r="Q235" s="198"/>
      <c r="R235" s="200"/>
      <c r="S235" s="199"/>
      <c r="T235" s="198"/>
      <c r="U235" s="198"/>
      <c r="V235" s="198"/>
      <c r="W235" s="205">
        <v>1</v>
      </c>
      <c r="X235" s="198"/>
    </row>
    <row r="236" spans="2:24">
      <c r="B236" s="496"/>
      <c r="C236" s="498"/>
      <c r="D236" s="209">
        <v>130</v>
      </c>
      <c r="E236" s="198"/>
      <c r="F236" s="199"/>
      <c r="G236" s="198"/>
      <c r="H236" s="198"/>
      <c r="I236" s="210" t="e">
        <f t="shared" si="21"/>
        <v>#DIV/0!</v>
      </c>
      <c r="J236" s="198"/>
      <c r="K236" s="210" t="e">
        <f t="shared" si="22"/>
        <v>#DIV/0!</v>
      </c>
      <c r="L236" s="199"/>
      <c r="M236" s="211" t="e">
        <f t="shared" si="23"/>
        <v>#DIV/0!</v>
      </c>
      <c r="N236" s="199"/>
      <c r="O236" s="198"/>
      <c r="P236" s="200"/>
      <c r="Q236" s="198"/>
      <c r="R236" s="200"/>
      <c r="S236" s="199"/>
      <c r="T236" s="198"/>
      <c r="U236" s="198"/>
      <c r="V236" s="198"/>
      <c r="W236" s="205">
        <v>1</v>
      </c>
      <c r="X236" s="198"/>
    </row>
    <row r="237" spans="2:24">
      <c r="B237" s="494">
        <v>45954</v>
      </c>
      <c r="C237" s="497" t="s">
        <v>116</v>
      </c>
      <c r="D237" s="209">
        <v>131</v>
      </c>
      <c r="E237" s="198"/>
      <c r="F237" s="199"/>
      <c r="G237" s="198"/>
      <c r="H237" s="198"/>
      <c r="I237" s="210" t="e">
        <f t="shared" si="21"/>
        <v>#DIV/0!</v>
      </c>
      <c r="J237" s="198"/>
      <c r="K237" s="210" t="e">
        <f t="shared" si="22"/>
        <v>#DIV/0!</v>
      </c>
      <c r="L237" s="199"/>
      <c r="M237" s="211" t="e">
        <f t="shared" si="23"/>
        <v>#DIV/0!</v>
      </c>
      <c r="N237" s="199"/>
      <c r="O237" s="198"/>
      <c r="P237" s="200"/>
      <c r="Q237" s="198"/>
      <c r="R237" s="200"/>
      <c r="S237" s="199"/>
      <c r="T237" s="198"/>
      <c r="U237" s="198"/>
      <c r="V237" s="198"/>
      <c r="W237" s="205">
        <v>1</v>
      </c>
      <c r="X237" s="198"/>
    </row>
    <row r="238" spans="2:24">
      <c r="B238" s="495"/>
      <c r="C238" s="498"/>
      <c r="D238" s="209">
        <v>132</v>
      </c>
      <c r="E238" s="198"/>
      <c r="F238" s="199"/>
      <c r="G238" s="198"/>
      <c r="H238" s="198"/>
      <c r="I238" s="210" t="e">
        <f t="shared" si="21"/>
        <v>#DIV/0!</v>
      </c>
      <c r="J238" s="198"/>
      <c r="K238" s="210" t="e">
        <f t="shared" si="22"/>
        <v>#DIV/0!</v>
      </c>
      <c r="L238" s="199"/>
      <c r="M238" s="211" t="e">
        <f t="shared" si="23"/>
        <v>#DIV/0!</v>
      </c>
      <c r="N238" s="199"/>
      <c r="O238" s="198"/>
      <c r="P238" s="200"/>
      <c r="Q238" s="198"/>
      <c r="R238" s="200"/>
      <c r="S238" s="199"/>
      <c r="T238" s="198"/>
      <c r="U238" s="198"/>
      <c r="V238" s="198"/>
      <c r="W238" s="205">
        <v>1</v>
      </c>
      <c r="X238" s="198"/>
    </row>
    <row r="239" spans="2:24">
      <c r="B239" s="495"/>
      <c r="C239" s="498"/>
      <c r="D239" s="209">
        <v>133</v>
      </c>
      <c r="E239" s="198"/>
      <c r="F239" s="199"/>
      <c r="G239" s="198"/>
      <c r="H239" s="198"/>
      <c r="I239" s="210" t="e">
        <f t="shared" si="21"/>
        <v>#DIV/0!</v>
      </c>
      <c r="J239" s="198"/>
      <c r="K239" s="210" t="e">
        <f t="shared" si="22"/>
        <v>#DIV/0!</v>
      </c>
      <c r="L239" s="199"/>
      <c r="M239" s="211" t="e">
        <f t="shared" si="23"/>
        <v>#DIV/0!</v>
      </c>
      <c r="N239" s="199"/>
      <c r="O239" s="198"/>
      <c r="P239" s="200"/>
      <c r="Q239" s="198"/>
      <c r="R239" s="200"/>
      <c r="S239" s="199"/>
      <c r="T239" s="198"/>
      <c r="U239" s="198"/>
      <c r="V239" s="198"/>
      <c r="W239" s="205">
        <v>1</v>
      </c>
      <c r="X239" s="198"/>
    </row>
    <row r="240" spans="2:24">
      <c r="B240" s="495"/>
      <c r="C240" s="498"/>
      <c r="D240" s="209">
        <v>134</v>
      </c>
      <c r="E240" s="198"/>
      <c r="F240" s="199"/>
      <c r="G240" s="198"/>
      <c r="H240" s="198"/>
      <c r="I240" s="210" t="e">
        <f t="shared" si="21"/>
        <v>#DIV/0!</v>
      </c>
      <c r="J240" s="198"/>
      <c r="K240" s="210" t="e">
        <f t="shared" si="22"/>
        <v>#DIV/0!</v>
      </c>
      <c r="L240" s="199"/>
      <c r="M240" s="211" t="e">
        <f t="shared" si="23"/>
        <v>#DIV/0!</v>
      </c>
      <c r="N240" s="199"/>
      <c r="O240" s="198"/>
      <c r="P240" s="200"/>
      <c r="Q240" s="198"/>
      <c r="R240" s="200"/>
      <c r="S240" s="199"/>
      <c r="T240" s="198"/>
      <c r="U240" s="198"/>
      <c r="V240" s="198"/>
      <c r="W240" s="205">
        <v>1</v>
      </c>
      <c r="X240" s="198"/>
    </row>
    <row r="241" spans="2:24">
      <c r="B241" s="495"/>
      <c r="C241" s="498"/>
      <c r="D241" s="209">
        <v>135</v>
      </c>
      <c r="E241" s="198"/>
      <c r="F241" s="199"/>
      <c r="G241" s="198"/>
      <c r="H241" s="198"/>
      <c r="I241" s="210" t="e">
        <f t="shared" si="21"/>
        <v>#DIV/0!</v>
      </c>
      <c r="J241" s="198"/>
      <c r="K241" s="210" t="e">
        <f t="shared" si="22"/>
        <v>#DIV/0!</v>
      </c>
      <c r="L241" s="199"/>
      <c r="M241" s="211" t="e">
        <f t="shared" si="23"/>
        <v>#DIV/0!</v>
      </c>
      <c r="N241" s="199"/>
      <c r="O241" s="198"/>
      <c r="P241" s="200"/>
      <c r="Q241" s="198"/>
      <c r="R241" s="200"/>
      <c r="S241" s="199"/>
      <c r="T241" s="198"/>
      <c r="U241" s="198"/>
      <c r="V241" s="198"/>
      <c r="W241" s="205">
        <v>1</v>
      </c>
      <c r="X241" s="198"/>
    </row>
    <row r="242" spans="2:24">
      <c r="B242" s="495"/>
      <c r="C242" s="498"/>
      <c r="D242" s="209">
        <v>136</v>
      </c>
      <c r="E242" s="198"/>
      <c r="F242" s="199"/>
      <c r="G242" s="198"/>
      <c r="H242" s="198"/>
      <c r="I242" s="210" t="e">
        <f t="shared" si="21"/>
        <v>#DIV/0!</v>
      </c>
      <c r="J242" s="198"/>
      <c r="K242" s="210" t="e">
        <f t="shared" si="22"/>
        <v>#DIV/0!</v>
      </c>
      <c r="L242" s="199"/>
      <c r="M242" s="211" t="e">
        <f t="shared" si="23"/>
        <v>#DIV/0!</v>
      </c>
      <c r="N242" s="199"/>
      <c r="O242" s="198"/>
      <c r="P242" s="200"/>
      <c r="Q242" s="198"/>
      <c r="R242" s="200"/>
      <c r="S242" s="199"/>
      <c r="T242" s="198"/>
      <c r="U242" s="198"/>
      <c r="V242" s="198"/>
      <c r="W242" s="205">
        <v>1</v>
      </c>
      <c r="X242" s="198"/>
    </row>
    <row r="243" spans="2:24">
      <c r="B243" s="495"/>
      <c r="C243" s="498"/>
      <c r="D243" s="209">
        <v>137</v>
      </c>
      <c r="E243" s="198"/>
      <c r="F243" s="199"/>
      <c r="G243" s="198"/>
      <c r="H243" s="198"/>
      <c r="I243" s="210" t="e">
        <f t="shared" si="21"/>
        <v>#DIV/0!</v>
      </c>
      <c r="J243" s="198"/>
      <c r="K243" s="210" t="e">
        <f t="shared" si="22"/>
        <v>#DIV/0!</v>
      </c>
      <c r="L243" s="199"/>
      <c r="M243" s="211" t="e">
        <f t="shared" si="23"/>
        <v>#DIV/0!</v>
      </c>
      <c r="N243" s="199"/>
      <c r="O243" s="198"/>
      <c r="P243" s="200"/>
      <c r="Q243" s="198"/>
      <c r="R243" s="200"/>
      <c r="S243" s="199"/>
      <c r="T243" s="198"/>
      <c r="U243" s="198"/>
      <c r="V243" s="198"/>
      <c r="W243" s="205">
        <v>1</v>
      </c>
      <c r="X243" s="198"/>
    </row>
    <row r="244" spans="2:24">
      <c r="B244" s="495"/>
      <c r="C244" s="498"/>
      <c r="D244" s="209">
        <v>138</v>
      </c>
      <c r="E244" s="198"/>
      <c r="F244" s="199"/>
      <c r="G244" s="198"/>
      <c r="H244" s="198"/>
      <c r="I244" s="210" t="e">
        <f t="shared" si="21"/>
        <v>#DIV/0!</v>
      </c>
      <c r="J244" s="198"/>
      <c r="K244" s="210" t="e">
        <f t="shared" si="22"/>
        <v>#DIV/0!</v>
      </c>
      <c r="L244" s="199"/>
      <c r="M244" s="211" t="e">
        <f t="shared" si="23"/>
        <v>#DIV/0!</v>
      </c>
      <c r="N244" s="199"/>
      <c r="O244" s="198"/>
      <c r="P244" s="200"/>
      <c r="Q244" s="198"/>
      <c r="R244" s="200"/>
      <c r="S244" s="199"/>
      <c r="T244" s="198"/>
      <c r="U244" s="198"/>
      <c r="V244" s="198"/>
      <c r="W244" s="205">
        <v>1</v>
      </c>
      <c r="X244" s="198"/>
    </row>
    <row r="245" spans="2:24">
      <c r="B245" s="495"/>
      <c r="C245" s="498"/>
      <c r="D245" s="209">
        <v>139</v>
      </c>
      <c r="E245" s="198"/>
      <c r="F245" s="199"/>
      <c r="G245" s="198"/>
      <c r="H245" s="198"/>
      <c r="I245" s="210" t="e">
        <f t="shared" si="21"/>
        <v>#DIV/0!</v>
      </c>
      <c r="J245" s="198"/>
      <c r="K245" s="210" t="e">
        <f t="shared" si="22"/>
        <v>#DIV/0!</v>
      </c>
      <c r="L245" s="199"/>
      <c r="M245" s="211" t="e">
        <f t="shared" si="23"/>
        <v>#DIV/0!</v>
      </c>
      <c r="N245" s="199"/>
      <c r="O245" s="198"/>
      <c r="P245" s="200"/>
      <c r="Q245" s="198"/>
      <c r="R245" s="200"/>
      <c r="S245" s="199"/>
      <c r="T245" s="198"/>
      <c r="U245" s="198"/>
      <c r="V245" s="198"/>
      <c r="W245" s="205">
        <v>1</v>
      </c>
      <c r="X245" s="198"/>
    </row>
    <row r="246" spans="2:24">
      <c r="B246" s="496"/>
      <c r="C246" s="498"/>
      <c r="D246" s="209">
        <v>140</v>
      </c>
      <c r="E246" s="198"/>
      <c r="F246" s="199"/>
      <c r="G246" s="198"/>
      <c r="H246" s="198"/>
      <c r="I246" s="210" t="e">
        <f t="shared" si="21"/>
        <v>#DIV/0!</v>
      </c>
      <c r="J246" s="198"/>
      <c r="K246" s="210" t="e">
        <f t="shared" si="22"/>
        <v>#DIV/0!</v>
      </c>
      <c r="L246" s="199"/>
      <c r="M246" s="211" t="e">
        <f t="shared" si="23"/>
        <v>#DIV/0!</v>
      </c>
      <c r="N246" s="199"/>
      <c r="O246" s="198"/>
      <c r="P246" s="200"/>
      <c r="Q246" s="198"/>
      <c r="R246" s="200"/>
      <c r="S246" s="199"/>
      <c r="T246" s="198"/>
      <c r="U246" s="198"/>
      <c r="V246" s="198"/>
      <c r="W246" s="205">
        <v>1</v>
      </c>
      <c r="X246" s="198"/>
    </row>
    <row r="247" spans="2:24">
      <c r="B247" s="494">
        <v>45955</v>
      </c>
      <c r="C247" s="497" t="s">
        <v>117</v>
      </c>
      <c r="D247" s="209">
        <v>141</v>
      </c>
      <c r="E247" s="198"/>
      <c r="F247" s="199"/>
      <c r="G247" s="198"/>
      <c r="H247" s="198"/>
      <c r="I247" s="210" t="e">
        <f t="shared" si="21"/>
        <v>#DIV/0!</v>
      </c>
      <c r="J247" s="198"/>
      <c r="K247" s="210" t="e">
        <f t="shared" si="22"/>
        <v>#DIV/0!</v>
      </c>
      <c r="L247" s="199"/>
      <c r="M247" s="211" t="e">
        <f t="shared" si="23"/>
        <v>#DIV/0!</v>
      </c>
      <c r="N247" s="199"/>
      <c r="O247" s="198"/>
      <c r="P247" s="200"/>
      <c r="Q247" s="198"/>
      <c r="R247" s="200"/>
      <c r="S247" s="199"/>
      <c r="T247" s="198"/>
      <c r="U247" s="198"/>
      <c r="V247" s="198"/>
      <c r="W247" s="205">
        <v>1</v>
      </c>
      <c r="X247" s="198"/>
    </row>
    <row r="248" spans="2:24">
      <c r="B248" s="495"/>
      <c r="C248" s="498"/>
      <c r="D248" s="209">
        <v>142</v>
      </c>
      <c r="E248" s="198"/>
      <c r="F248" s="199"/>
      <c r="G248" s="198"/>
      <c r="H248" s="198"/>
      <c r="I248" s="210" t="e">
        <f t="shared" si="21"/>
        <v>#DIV/0!</v>
      </c>
      <c r="J248" s="198"/>
      <c r="K248" s="210" t="e">
        <f t="shared" si="22"/>
        <v>#DIV/0!</v>
      </c>
      <c r="L248" s="199"/>
      <c r="M248" s="211" t="e">
        <f t="shared" si="23"/>
        <v>#DIV/0!</v>
      </c>
      <c r="N248" s="199"/>
      <c r="O248" s="198"/>
      <c r="P248" s="200"/>
      <c r="Q248" s="198"/>
      <c r="R248" s="200"/>
      <c r="S248" s="199"/>
      <c r="T248" s="198"/>
      <c r="U248" s="198"/>
      <c r="V248" s="198"/>
      <c r="W248" s="205">
        <v>1</v>
      </c>
      <c r="X248" s="198"/>
    </row>
    <row r="249" spans="2:24">
      <c r="B249" s="495"/>
      <c r="C249" s="498"/>
      <c r="D249" s="209">
        <v>143</v>
      </c>
      <c r="E249" s="198"/>
      <c r="F249" s="199"/>
      <c r="G249" s="198"/>
      <c r="H249" s="198"/>
      <c r="I249" s="210" t="e">
        <f t="shared" si="21"/>
        <v>#DIV/0!</v>
      </c>
      <c r="J249" s="198"/>
      <c r="K249" s="210" t="e">
        <f t="shared" si="22"/>
        <v>#DIV/0!</v>
      </c>
      <c r="L249" s="199"/>
      <c r="M249" s="211" t="e">
        <f t="shared" si="23"/>
        <v>#DIV/0!</v>
      </c>
      <c r="N249" s="199"/>
      <c r="O249" s="198"/>
      <c r="P249" s="200"/>
      <c r="Q249" s="198"/>
      <c r="R249" s="200"/>
      <c r="S249" s="199"/>
      <c r="T249" s="198"/>
      <c r="U249" s="198"/>
      <c r="V249" s="198"/>
      <c r="W249" s="205">
        <v>1</v>
      </c>
      <c r="X249" s="198"/>
    </row>
    <row r="250" spans="2:24">
      <c r="B250" s="495"/>
      <c r="C250" s="498"/>
      <c r="D250" s="209">
        <v>144</v>
      </c>
      <c r="E250" s="198"/>
      <c r="F250" s="199"/>
      <c r="G250" s="198"/>
      <c r="H250" s="198"/>
      <c r="I250" s="210" t="e">
        <f t="shared" si="21"/>
        <v>#DIV/0!</v>
      </c>
      <c r="J250" s="198"/>
      <c r="K250" s="210" t="e">
        <f t="shared" si="22"/>
        <v>#DIV/0!</v>
      </c>
      <c r="L250" s="199"/>
      <c r="M250" s="211" t="e">
        <f t="shared" si="23"/>
        <v>#DIV/0!</v>
      </c>
      <c r="N250" s="199"/>
      <c r="O250" s="198"/>
      <c r="P250" s="200"/>
      <c r="Q250" s="198"/>
      <c r="R250" s="200"/>
      <c r="S250" s="199"/>
      <c r="T250" s="198"/>
      <c r="U250" s="198"/>
      <c r="V250" s="198"/>
      <c r="W250" s="205">
        <v>1</v>
      </c>
      <c r="X250" s="198"/>
    </row>
    <row r="251" spans="2:24">
      <c r="B251" s="495"/>
      <c r="C251" s="498"/>
      <c r="D251" s="209">
        <v>145</v>
      </c>
      <c r="E251" s="198"/>
      <c r="F251" s="199"/>
      <c r="G251" s="198"/>
      <c r="H251" s="198"/>
      <c r="I251" s="210" t="e">
        <f t="shared" si="21"/>
        <v>#DIV/0!</v>
      </c>
      <c r="J251" s="198"/>
      <c r="K251" s="210" t="e">
        <f t="shared" si="22"/>
        <v>#DIV/0!</v>
      </c>
      <c r="L251" s="199"/>
      <c r="M251" s="211" t="e">
        <f t="shared" si="23"/>
        <v>#DIV/0!</v>
      </c>
      <c r="N251" s="199"/>
      <c r="O251" s="198"/>
      <c r="P251" s="200"/>
      <c r="Q251" s="198"/>
      <c r="R251" s="200"/>
      <c r="S251" s="199"/>
      <c r="T251" s="198"/>
      <c r="U251" s="198"/>
      <c r="V251" s="198"/>
      <c r="W251" s="205">
        <v>1</v>
      </c>
      <c r="X251" s="198"/>
    </row>
    <row r="252" spans="2:24">
      <c r="B252" s="495"/>
      <c r="C252" s="498"/>
      <c r="D252" s="209">
        <v>146</v>
      </c>
      <c r="E252" s="198"/>
      <c r="F252" s="199"/>
      <c r="G252" s="198"/>
      <c r="H252" s="198"/>
      <c r="I252" s="210" t="e">
        <f t="shared" si="21"/>
        <v>#DIV/0!</v>
      </c>
      <c r="J252" s="198"/>
      <c r="K252" s="210" t="e">
        <f t="shared" si="22"/>
        <v>#DIV/0!</v>
      </c>
      <c r="L252" s="199"/>
      <c r="M252" s="211" t="e">
        <f t="shared" si="23"/>
        <v>#DIV/0!</v>
      </c>
      <c r="N252" s="199"/>
      <c r="O252" s="198"/>
      <c r="P252" s="200"/>
      <c r="Q252" s="198"/>
      <c r="R252" s="200"/>
      <c r="S252" s="199"/>
      <c r="T252" s="198"/>
      <c r="U252" s="198"/>
      <c r="V252" s="198"/>
      <c r="W252" s="205">
        <v>1</v>
      </c>
      <c r="X252" s="198"/>
    </row>
    <row r="253" spans="2:24">
      <c r="B253" s="495"/>
      <c r="C253" s="498"/>
      <c r="D253" s="209">
        <v>147</v>
      </c>
      <c r="E253" s="198"/>
      <c r="F253" s="199"/>
      <c r="G253" s="198"/>
      <c r="H253" s="198"/>
      <c r="I253" s="210" t="e">
        <f t="shared" si="21"/>
        <v>#DIV/0!</v>
      </c>
      <c r="J253" s="198"/>
      <c r="K253" s="210" t="e">
        <f t="shared" si="22"/>
        <v>#DIV/0!</v>
      </c>
      <c r="L253" s="199"/>
      <c r="M253" s="211" t="e">
        <f t="shared" si="23"/>
        <v>#DIV/0!</v>
      </c>
      <c r="N253" s="199"/>
      <c r="O253" s="198"/>
      <c r="P253" s="200"/>
      <c r="Q253" s="198"/>
      <c r="R253" s="200"/>
      <c r="S253" s="199"/>
      <c r="T253" s="198"/>
      <c r="U253" s="198"/>
      <c r="V253" s="198"/>
      <c r="W253" s="205">
        <v>1</v>
      </c>
      <c r="X253" s="198"/>
    </row>
    <row r="254" spans="2:24">
      <c r="B254" s="495"/>
      <c r="C254" s="498"/>
      <c r="D254" s="209">
        <v>148</v>
      </c>
      <c r="E254" s="198"/>
      <c r="F254" s="199"/>
      <c r="G254" s="198"/>
      <c r="H254" s="198"/>
      <c r="I254" s="210" t="e">
        <f t="shared" si="21"/>
        <v>#DIV/0!</v>
      </c>
      <c r="J254" s="198"/>
      <c r="K254" s="210" t="e">
        <f t="shared" si="22"/>
        <v>#DIV/0!</v>
      </c>
      <c r="L254" s="199"/>
      <c r="M254" s="211" t="e">
        <f t="shared" si="23"/>
        <v>#DIV/0!</v>
      </c>
      <c r="N254" s="199"/>
      <c r="O254" s="198"/>
      <c r="P254" s="200"/>
      <c r="Q254" s="198"/>
      <c r="R254" s="200"/>
      <c r="S254" s="199"/>
      <c r="T254" s="198"/>
      <c r="U254" s="198"/>
      <c r="V254" s="198"/>
      <c r="W254" s="205">
        <v>1</v>
      </c>
      <c r="X254" s="198"/>
    </row>
    <row r="255" spans="2:24">
      <c r="B255" s="495"/>
      <c r="C255" s="498"/>
      <c r="D255" s="209">
        <v>149</v>
      </c>
      <c r="E255" s="198"/>
      <c r="F255" s="199"/>
      <c r="G255" s="198"/>
      <c r="H255" s="198"/>
      <c r="I255" s="210" t="e">
        <f t="shared" si="21"/>
        <v>#DIV/0!</v>
      </c>
      <c r="J255" s="198"/>
      <c r="K255" s="210" t="e">
        <f t="shared" si="22"/>
        <v>#DIV/0!</v>
      </c>
      <c r="L255" s="199"/>
      <c r="M255" s="211" t="e">
        <f t="shared" si="23"/>
        <v>#DIV/0!</v>
      </c>
      <c r="N255" s="199"/>
      <c r="O255" s="198"/>
      <c r="P255" s="200"/>
      <c r="Q255" s="198"/>
      <c r="R255" s="200"/>
      <c r="S255" s="199"/>
      <c r="T255" s="198"/>
      <c r="U255" s="198"/>
      <c r="V255" s="198"/>
      <c r="W255" s="205">
        <v>1</v>
      </c>
      <c r="X255" s="198"/>
    </row>
    <row r="256" spans="2:24">
      <c r="B256" s="496"/>
      <c r="C256" s="498"/>
      <c r="D256" s="209">
        <v>150</v>
      </c>
      <c r="E256" s="198"/>
      <c r="F256" s="199"/>
      <c r="G256" s="198"/>
      <c r="H256" s="198"/>
      <c r="I256" s="210" t="e">
        <f t="shared" si="21"/>
        <v>#DIV/0!</v>
      </c>
      <c r="J256" s="198"/>
      <c r="K256" s="210" t="e">
        <f t="shared" si="22"/>
        <v>#DIV/0!</v>
      </c>
      <c r="L256" s="199"/>
      <c r="M256" s="211" t="e">
        <f t="shared" si="23"/>
        <v>#DIV/0!</v>
      </c>
      <c r="N256" s="199"/>
      <c r="O256" s="198"/>
      <c r="P256" s="200"/>
      <c r="Q256" s="198"/>
      <c r="R256" s="200"/>
      <c r="S256" s="199"/>
      <c r="T256" s="198"/>
      <c r="U256" s="198"/>
      <c r="V256" s="198"/>
      <c r="W256" s="205">
        <v>1</v>
      </c>
      <c r="X256" s="198"/>
    </row>
    <row r="257" spans="2:24">
      <c r="B257" s="494">
        <v>45956</v>
      </c>
      <c r="C257" s="497" t="s">
        <v>118</v>
      </c>
      <c r="D257" s="209">
        <v>151</v>
      </c>
      <c r="E257" s="198"/>
      <c r="F257" s="199"/>
      <c r="G257" s="198"/>
      <c r="H257" s="198"/>
      <c r="I257" s="210" t="e">
        <f t="shared" si="21"/>
        <v>#DIV/0!</v>
      </c>
      <c r="J257" s="250"/>
      <c r="K257" s="210" t="e">
        <f t="shared" si="22"/>
        <v>#DIV/0!</v>
      </c>
      <c r="L257" s="199"/>
      <c r="M257" s="211" t="e">
        <f t="shared" si="23"/>
        <v>#DIV/0!</v>
      </c>
      <c r="N257" s="199"/>
      <c r="O257" s="198"/>
      <c r="P257" s="200"/>
      <c r="Q257" s="198"/>
      <c r="R257" s="200"/>
      <c r="S257" s="199"/>
      <c r="T257" s="198"/>
      <c r="U257" s="198"/>
      <c r="V257" s="198"/>
      <c r="W257" s="205">
        <v>1</v>
      </c>
      <c r="X257" s="198"/>
    </row>
    <row r="258" spans="2:24">
      <c r="B258" s="495"/>
      <c r="C258" s="498"/>
      <c r="D258" s="209">
        <v>152</v>
      </c>
      <c r="E258" s="198"/>
      <c r="F258" s="199"/>
      <c r="G258" s="198"/>
      <c r="H258" s="198"/>
      <c r="I258" s="210" t="e">
        <f t="shared" si="21"/>
        <v>#DIV/0!</v>
      </c>
      <c r="J258" s="250"/>
      <c r="K258" s="210" t="e">
        <f t="shared" si="22"/>
        <v>#DIV/0!</v>
      </c>
      <c r="L258" s="199"/>
      <c r="M258" s="211" t="e">
        <f t="shared" si="23"/>
        <v>#DIV/0!</v>
      </c>
      <c r="N258" s="199"/>
      <c r="O258" s="198"/>
      <c r="P258" s="200"/>
      <c r="Q258" s="198"/>
      <c r="R258" s="200"/>
      <c r="S258" s="199"/>
      <c r="T258" s="198"/>
      <c r="U258" s="198"/>
      <c r="V258" s="198"/>
      <c r="W258" s="205">
        <v>1</v>
      </c>
      <c r="X258" s="198"/>
    </row>
    <row r="259" spans="2:24">
      <c r="B259" s="495"/>
      <c r="C259" s="498"/>
      <c r="D259" s="209">
        <v>153</v>
      </c>
      <c r="E259" s="198"/>
      <c r="F259" s="199"/>
      <c r="G259" s="198"/>
      <c r="H259" s="198"/>
      <c r="I259" s="210" t="e">
        <f t="shared" si="21"/>
        <v>#DIV/0!</v>
      </c>
      <c r="J259" s="250"/>
      <c r="K259" s="210" t="e">
        <f t="shared" si="22"/>
        <v>#DIV/0!</v>
      </c>
      <c r="L259" s="199"/>
      <c r="M259" s="211" t="e">
        <f t="shared" si="23"/>
        <v>#DIV/0!</v>
      </c>
      <c r="N259" s="199"/>
      <c r="O259" s="198"/>
      <c r="P259" s="200"/>
      <c r="Q259" s="198"/>
      <c r="R259" s="200"/>
      <c r="S259" s="199"/>
      <c r="T259" s="198"/>
      <c r="U259" s="198"/>
      <c r="V259" s="198"/>
      <c r="W259" s="205">
        <v>1</v>
      </c>
      <c r="X259" s="198"/>
    </row>
    <row r="260" spans="2:24">
      <c r="B260" s="495"/>
      <c r="C260" s="498"/>
      <c r="D260" s="209">
        <v>154</v>
      </c>
      <c r="E260" s="198"/>
      <c r="F260" s="199"/>
      <c r="G260" s="198"/>
      <c r="H260" s="198"/>
      <c r="I260" s="210" t="e">
        <f t="shared" si="21"/>
        <v>#DIV/0!</v>
      </c>
      <c r="J260" s="250"/>
      <c r="K260" s="210" t="e">
        <f t="shared" si="22"/>
        <v>#DIV/0!</v>
      </c>
      <c r="L260" s="199"/>
      <c r="M260" s="211" t="e">
        <f t="shared" si="23"/>
        <v>#DIV/0!</v>
      </c>
      <c r="N260" s="199"/>
      <c r="O260" s="198"/>
      <c r="P260" s="200"/>
      <c r="Q260" s="198"/>
      <c r="R260" s="200"/>
      <c r="S260" s="199"/>
      <c r="T260" s="198"/>
      <c r="U260" s="198"/>
      <c r="V260" s="198"/>
      <c r="W260" s="205">
        <v>1</v>
      </c>
      <c r="X260" s="198"/>
    </row>
    <row r="261" spans="2:24">
      <c r="B261" s="495"/>
      <c r="C261" s="498"/>
      <c r="D261" s="209">
        <v>155</v>
      </c>
      <c r="E261" s="198"/>
      <c r="F261" s="199"/>
      <c r="G261" s="198"/>
      <c r="H261" s="198"/>
      <c r="I261" s="210" t="e">
        <f t="shared" si="21"/>
        <v>#DIV/0!</v>
      </c>
      <c r="J261" s="250"/>
      <c r="K261" s="210" t="e">
        <f t="shared" si="22"/>
        <v>#DIV/0!</v>
      </c>
      <c r="L261" s="199"/>
      <c r="M261" s="211" t="e">
        <f t="shared" si="23"/>
        <v>#DIV/0!</v>
      </c>
      <c r="N261" s="199"/>
      <c r="O261" s="198"/>
      <c r="P261" s="200"/>
      <c r="Q261" s="198"/>
      <c r="R261" s="200"/>
      <c r="S261" s="199"/>
      <c r="T261" s="198"/>
      <c r="U261" s="198"/>
      <c r="V261" s="198"/>
      <c r="W261" s="205">
        <v>1</v>
      </c>
      <c r="X261" s="198"/>
    </row>
    <row r="262" spans="2:24">
      <c r="B262" s="495"/>
      <c r="C262" s="498"/>
      <c r="D262" s="209">
        <v>156</v>
      </c>
      <c r="E262" s="198"/>
      <c r="F262" s="199"/>
      <c r="G262" s="198"/>
      <c r="H262" s="198"/>
      <c r="I262" s="210" t="e">
        <f t="shared" si="21"/>
        <v>#DIV/0!</v>
      </c>
      <c r="J262" s="250"/>
      <c r="K262" s="210" t="e">
        <f t="shared" si="22"/>
        <v>#DIV/0!</v>
      </c>
      <c r="L262" s="199"/>
      <c r="M262" s="211" t="e">
        <f t="shared" si="23"/>
        <v>#DIV/0!</v>
      </c>
      <c r="N262" s="199"/>
      <c r="O262" s="198"/>
      <c r="P262" s="200"/>
      <c r="Q262" s="198"/>
      <c r="R262" s="200"/>
      <c r="S262" s="199"/>
      <c r="T262" s="198"/>
      <c r="U262" s="198"/>
      <c r="V262" s="198"/>
      <c r="W262" s="205">
        <v>1</v>
      </c>
      <c r="X262" s="198"/>
    </row>
    <row r="263" spans="2:24">
      <c r="B263" s="495"/>
      <c r="C263" s="498"/>
      <c r="D263" s="209">
        <v>157</v>
      </c>
      <c r="E263" s="198"/>
      <c r="F263" s="199"/>
      <c r="G263" s="198"/>
      <c r="H263" s="198"/>
      <c r="I263" s="210" t="e">
        <f t="shared" ref="I263:I296" si="24">H263/G263</f>
        <v>#DIV/0!</v>
      </c>
      <c r="J263" s="250"/>
      <c r="K263" s="210" t="e">
        <f t="shared" ref="K263:K296" si="25">J263/G263</f>
        <v>#DIV/0!</v>
      </c>
      <c r="L263" s="199"/>
      <c r="M263" s="211" t="e">
        <f t="shared" ref="M263:M296" si="26">(H263+J263)/G263</f>
        <v>#DIV/0!</v>
      </c>
      <c r="N263" s="199"/>
      <c r="O263" s="198"/>
      <c r="P263" s="200"/>
      <c r="Q263" s="198"/>
      <c r="R263" s="200"/>
      <c r="S263" s="199"/>
      <c r="T263" s="198"/>
      <c r="U263" s="198"/>
      <c r="V263" s="198"/>
      <c r="W263" s="205">
        <v>1</v>
      </c>
      <c r="X263" s="198"/>
    </row>
    <row r="264" spans="2:24">
      <c r="B264" s="495"/>
      <c r="C264" s="498"/>
      <c r="D264" s="209">
        <v>158</v>
      </c>
      <c r="E264" s="198"/>
      <c r="F264" s="199"/>
      <c r="G264" s="198"/>
      <c r="H264" s="198"/>
      <c r="I264" s="210" t="e">
        <f t="shared" si="24"/>
        <v>#DIV/0!</v>
      </c>
      <c r="J264" s="250"/>
      <c r="K264" s="210" t="e">
        <f t="shared" si="25"/>
        <v>#DIV/0!</v>
      </c>
      <c r="L264" s="199"/>
      <c r="M264" s="211" t="e">
        <f t="shared" si="26"/>
        <v>#DIV/0!</v>
      </c>
      <c r="N264" s="199"/>
      <c r="O264" s="198"/>
      <c r="P264" s="200"/>
      <c r="Q264" s="198"/>
      <c r="R264" s="200"/>
      <c r="S264" s="199"/>
      <c r="T264" s="198"/>
      <c r="U264" s="198"/>
      <c r="V264" s="198"/>
      <c r="W264" s="205">
        <v>1</v>
      </c>
      <c r="X264" s="198"/>
    </row>
    <row r="265" spans="2:24">
      <c r="B265" s="495"/>
      <c r="C265" s="498"/>
      <c r="D265" s="209">
        <v>159</v>
      </c>
      <c r="E265" s="198"/>
      <c r="F265" s="199"/>
      <c r="G265" s="198"/>
      <c r="H265" s="198"/>
      <c r="I265" s="210" t="e">
        <f t="shared" si="24"/>
        <v>#DIV/0!</v>
      </c>
      <c r="J265" s="250"/>
      <c r="K265" s="210" t="e">
        <f t="shared" si="25"/>
        <v>#DIV/0!</v>
      </c>
      <c r="L265" s="199"/>
      <c r="M265" s="211" t="e">
        <f t="shared" si="26"/>
        <v>#DIV/0!</v>
      </c>
      <c r="N265" s="199"/>
      <c r="O265" s="198"/>
      <c r="P265" s="200"/>
      <c r="Q265" s="198"/>
      <c r="R265" s="200"/>
      <c r="S265" s="199"/>
      <c r="T265" s="198"/>
      <c r="U265" s="198"/>
      <c r="V265" s="198"/>
      <c r="W265" s="205">
        <v>1</v>
      </c>
      <c r="X265" s="198"/>
    </row>
    <row r="266" spans="2:24">
      <c r="B266" s="496"/>
      <c r="C266" s="498"/>
      <c r="D266" s="209">
        <v>160</v>
      </c>
      <c r="E266" s="198"/>
      <c r="F266" s="199"/>
      <c r="G266" s="198"/>
      <c r="H266" s="198"/>
      <c r="I266" s="210" t="e">
        <f t="shared" si="24"/>
        <v>#DIV/0!</v>
      </c>
      <c r="J266" s="250"/>
      <c r="K266" s="210" t="e">
        <f t="shared" si="25"/>
        <v>#DIV/0!</v>
      </c>
      <c r="L266" s="199"/>
      <c r="M266" s="211" t="e">
        <f t="shared" si="26"/>
        <v>#DIV/0!</v>
      </c>
      <c r="N266" s="199"/>
      <c r="O266" s="198"/>
      <c r="P266" s="200"/>
      <c r="Q266" s="198"/>
      <c r="R266" s="200"/>
      <c r="S266" s="199"/>
      <c r="T266" s="198"/>
      <c r="U266" s="198"/>
      <c r="V266" s="198"/>
      <c r="W266" s="205">
        <v>1</v>
      </c>
      <c r="X266" s="198"/>
    </row>
    <row r="267" spans="2:24">
      <c r="B267" s="494">
        <v>45957</v>
      </c>
      <c r="C267" s="497" t="s">
        <v>119</v>
      </c>
      <c r="D267" s="209">
        <v>161</v>
      </c>
      <c r="E267" s="198"/>
      <c r="F267" s="199"/>
      <c r="G267" s="198"/>
      <c r="H267" s="198"/>
      <c r="I267" s="210" t="e">
        <f t="shared" si="24"/>
        <v>#DIV/0!</v>
      </c>
      <c r="J267" s="198"/>
      <c r="K267" s="210" t="e">
        <f t="shared" si="25"/>
        <v>#DIV/0!</v>
      </c>
      <c r="L267" s="199"/>
      <c r="M267" s="211" t="e">
        <f t="shared" si="26"/>
        <v>#DIV/0!</v>
      </c>
      <c r="N267" s="199"/>
      <c r="O267" s="198"/>
      <c r="P267" s="200"/>
      <c r="Q267" s="198"/>
      <c r="R267" s="200"/>
      <c r="S267" s="199"/>
      <c r="T267" s="198"/>
      <c r="U267" s="198"/>
      <c r="V267" s="198"/>
      <c r="W267" s="205">
        <v>1</v>
      </c>
      <c r="X267" s="198"/>
    </row>
    <row r="268" spans="2:24">
      <c r="B268" s="495"/>
      <c r="C268" s="498"/>
      <c r="D268" s="209">
        <v>162</v>
      </c>
      <c r="E268" s="198"/>
      <c r="F268" s="199"/>
      <c r="G268" s="198"/>
      <c r="H268" s="198"/>
      <c r="I268" s="210" t="e">
        <f t="shared" si="24"/>
        <v>#DIV/0!</v>
      </c>
      <c r="J268" s="198"/>
      <c r="K268" s="210" t="e">
        <f t="shared" si="25"/>
        <v>#DIV/0!</v>
      </c>
      <c r="L268" s="199"/>
      <c r="M268" s="211" t="e">
        <f t="shared" si="26"/>
        <v>#DIV/0!</v>
      </c>
      <c r="N268" s="199"/>
      <c r="O268" s="198"/>
      <c r="P268" s="200"/>
      <c r="Q268" s="198"/>
      <c r="R268" s="200"/>
      <c r="S268" s="199"/>
      <c r="T268" s="198"/>
      <c r="U268" s="198"/>
      <c r="V268" s="198"/>
      <c r="W268" s="205">
        <v>1</v>
      </c>
      <c r="X268" s="198"/>
    </row>
    <row r="269" spans="2:24">
      <c r="B269" s="495"/>
      <c r="C269" s="498"/>
      <c r="D269" s="209">
        <v>163</v>
      </c>
      <c r="E269" s="198"/>
      <c r="F269" s="199"/>
      <c r="G269" s="198"/>
      <c r="H269" s="198"/>
      <c r="I269" s="210" t="e">
        <f t="shared" si="24"/>
        <v>#DIV/0!</v>
      </c>
      <c r="J269" s="198"/>
      <c r="K269" s="210" t="e">
        <f t="shared" si="25"/>
        <v>#DIV/0!</v>
      </c>
      <c r="L269" s="199"/>
      <c r="M269" s="211" t="e">
        <f t="shared" si="26"/>
        <v>#DIV/0!</v>
      </c>
      <c r="N269" s="199"/>
      <c r="O269" s="198"/>
      <c r="P269" s="200"/>
      <c r="Q269" s="198"/>
      <c r="R269" s="200"/>
      <c r="S269" s="199"/>
      <c r="T269" s="198"/>
      <c r="U269" s="198"/>
      <c r="V269" s="198"/>
      <c r="W269" s="205">
        <v>1</v>
      </c>
      <c r="X269" s="198"/>
    </row>
    <row r="270" spans="2:24">
      <c r="B270" s="495"/>
      <c r="C270" s="498"/>
      <c r="D270" s="209">
        <v>164</v>
      </c>
      <c r="E270" s="198"/>
      <c r="F270" s="199"/>
      <c r="G270" s="198"/>
      <c r="H270" s="198"/>
      <c r="I270" s="210" t="e">
        <f t="shared" si="24"/>
        <v>#DIV/0!</v>
      </c>
      <c r="J270" s="198"/>
      <c r="K270" s="210" t="e">
        <f t="shared" si="25"/>
        <v>#DIV/0!</v>
      </c>
      <c r="L270" s="199"/>
      <c r="M270" s="211" t="e">
        <f t="shared" si="26"/>
        <v>#DIV/0!</v>
      </c>
      <c r="N270" s="199"/>
      <c r="O270" s="198"/>
      <c r="P270" s="200"/>
      <c r="Q270" s="198"/>
      <c r="R270" s="200"/>
      <c r="S270" s="199"/>
      <c r="T270" s="198"/>
      <c r="U270" s="198"/>
      <c r="V270" s="198"/>
      <c r="W270" s="205">
        <v>1</v>
      </c>
      <c r="X270" s="198"/>
    </row>
    <row r="271" spans="2:24">
      <c r="B271" s="495"/>
      <c r="C271" s="498"/>
      <c r="D271" s="209">
        <v>165</v>
      </c>
      <c r="E271" s="198"/>
      <c r="F271" s="199"/>
      <c r="G271" s="198"/>
      <c r="H271" s="198"/>
      <c r="I271" s="210" t="e">
        <f t="shared" si="24"/>
        <v>#DIV/0!</v>
      </c>
      <c r="J271" s="198"/>
      <c r="K271" s="210" t="e">
        <f t="shared" si="25"/>
        <v>#DIV/0!</v>
      </c>
      <c r="L271" s="199"/>
      <c r="M271" s="211" t="e">
        <f t="shared" si="26"/>
        <v>#DIV/0!</v>
      </c>
      <c r="N271" s="199"/>
      <c r="O271" s="198"/>
      <c r="P271" s="200"/>
      <c r="Q271" s="198"/>
      <c r="R271" s="200"/>
      <c r="S271" s="199"/>
      <c r="T271" s="198"/>
      <c r="U271" s="198"/>
      <c r="V271" s="198"/>
      <c r="W271" s="205">
        <v>1</v>
      </c>
      <c r="X271" s="198"/>
    </row>
    <row r="272" spans="2:24">
      <c r="B272" s="495"/>
      <c r="C272" s="498"/>
      <c r="D272" s="209">
        <v>166</v>
      </c>
      <c r="E272" s="198"/>
      <c r="F272" s="199"/>
      <c r="G272" s="198"/>
      <c r="H272" s="198"/>
      <c r="I272" s="210" t="e">
        <f t="shared" si="24"/>
        <v>#DIV/0!</v>
      </c>
      <c r="J272" s="198"/>
      <c r="K272" s="210" t="e">
        <f t="shared" si="25"/>
        <v>#DIV/0!</v>
      </c>
      <c r="L272" s="199"/>
      <c r="M272" s="211" t="e">
        <f t="shared" si="26"/>
        <v>#DIV/0!</v>
      </c>
      <c r="N272" s="199"/>
      <c r="O272" s="198"/>
      <c r="P272" s="200"/>
      <c r="Q272" s="198"/>
      <c r="R272" s="200"/>
      <c r="S272" s="199"/>
      <c r="T272" s="198"/>
      <c r="U272" s="198"/>
      <c r="V272" s="198"/>
      <c r="W272" s="205">
        <v>1</v>
      </c>
      <c r="X272" s="198"/>
    </row>
    <row r="273" spans="2:24">
      <c r="B273" s="495"/>
      <c r="C273" s="498"/>
      <c r="D273" s="209">
        <v>167</v>
      </c>
      <c r="E273" s="198"/>
      <c r="F273" s="199"/>
      <c r="G273" s="198"/>
      <c r="H273" s="198"/>
      <c r="I273" s="210" t="e">
        <f t="shared" si="24"/>
        <v>#DIV/0!</v>
      </c>
      <c r="J273" s="198"/>
      <c r="K273" s="210" t="e">
        <f t="shared" si="25"/>
        <v>#DIV/0!</v>
      </c>
      <c r="L273" s="199"/>
      <c r="M273" s="211" t="e">
        <f t="shared" si="26"/>
        <v>#DIV/0!</v>
      </c>
      <c r="N273" s="199"/>
      <c r="O273" s="198"/>
      <c r="P273" s="200"/>
      <c r="Q273" s="198"/>
      <c r="R273" s="200"/>
      <c r="S273" s="199"/>
      <c r="T273" s="198"/>
      <c r="U273" s="198"/>
      <c r="V273" s="198"/>
      <c r="W273" s="205">
        <v>1</v>
      </c>
      <c r="X273" s="198"/>
    </row>
    <row r="274" spans="2:24">
      <c r="B274" s="495"/>
      <c r="C274" s="498"/>
      <c r="D274" s="209">
        <v>168</v>
      </c>
      <c r="E274" s="198"/>
      <c r="F274" s="199"/>
      <c r="G274" s="198"/>
      <c r="H274" s="198"/>
      <c r="I274" s="210" t="e">
        <f t="shared" si="24"/>
        <v>#DIV/0!</v>
      </c>
      <c r="J274" s="198"/>
      <c r="K274" s="210" t="e">
        <f t="shared" si="25"/>
        <v>#DIV/0!</v>
      </c>
      <c r="L274" s="199"/>
      <c r="M274" s="211" t="e">
        <f t="shared" si="26"/>
        <v>#DIV/0!</v>
      </c>
      <c r="N274" s="199"/>
      <c r="O274" s="198"/>
      <c r="P274" s="200"/>
      <c r="Q274" s="198"/>
      <c r="R274" s="200"/>
      <c r="S274" s="199"/>
      <c r="T274" s="198"/>
      <c r="U274" s="198"/>
      <c r="V274" s="198"/>
      <c r="W274" s="205">
        <v>1</v>
      </c>
      <c r="X274" s="198"/>
    </row>
    <row r="275" spans="2:24">
      <c r="B275" s="495"/>
      <c r="C275" s="498"/>
      <c r="D275" s="209">
        <v>169</v>
      </c>
      <c r="E275" s="198"/>
      <c r="F275" s="199"/>
      <c r="G275" s="198"/>
      <c r="H275" s="198"/>
      <c r="I275" s="210" t="e">
        <f t="shared" si="24"/>
        <v>#DIV/0!</v>
      </c>
      <c r="J275" s="198"/>
      <c r="K275" s="210" t="e">
        <f t="shared" si="25"/>
        <v>#DIV/0!</v>
      </c>
      <c r="L275" s="199"/>
      <c r="M275" s="211" t="e">
        <f t="shared" si="26"/>
        <v>#DIV/0!</v>
      </c>
      <c r="N275" s="199"/>
      <c r="O275" s="198"/>
      <c r="P275" s="200"/>
      <c r="Q275" s="198"/>
      <c r="R275" s="200"/>
      <c r="S275" s="199"/>
      <c r="T275" s="198"/>
      <c r="U275" s="198"/>
      <c r="V275" s="198"/>
      <c r="W275" s="205">
        <v>1</v>
      </c>
      <c r="X275" s="198"/>
    </row>
    <row r="276" spans="2:24">
      <c r="B276" s="496"/>
      <c r="C276" s="498"/>
      <c r="D276" s="209">
        <v>170</v>
      </c>
      <c r="E276" s="198"/>
      <c r="F276" s="199"/>
      <c r="G276" s="198"/>
      <c r="H276" s="198"/>
      <c r="I276" s="210" t="e">
        <f t="shared" si="24"/>
        <v>#DIV/0!</v>
      </c>
      <c r="J276" s="198"/>
      <c r="K276" s="210" t="e">
        <f t="shared" si="25"/>
        <v>#DIV/0!</v>
      </c>
      <c r="L276" s="199"/>
      <c r="M276" s="211" t="e">
        <f t="shared" si="26"/>
        <v>#DIV/0!</v>
      </c>
      <c r="N276" s="199"/>
      <c r="O276" s="198"/>
      <c r="P276" s="200"/>
      <c r="Q276" s="198"/>
      <c r="R276" s="200"/>
      <c r="S276" s="199"/>
      <c r="T276" s="198"/>
      <c r="U276" s="198"/>
      <c r="V276" s="198"/>
      <c r="W276" s="205">
        <v>1</v>
      </c>
      <c r="X276" s="198"/>
    </row>
    <row r="277" spans="2:24">
      <c r="B277" s="494">
        <v>45958</v>
      </c>
      <c r="C277" s="497" t="s">
        <v>120</v>
      </c>
      <c r="D277" s="209">
        <v>171</v>
      </c>
      <c r="E277" s="198"/>
      <c r="F277" s="199"/>
      <c r="G277" s="198"/>
      <c r="H277" s="198"/>
      <c r="I277" s="210" t="e">
        <f t="shared" si="24"/>
        <v>#DIV/0!</v>
      </c>
      <c r="J277" s="198"/>
      <c r="K277" s="210" t="e">
        <f t="shared" si="25"/>
        <v>#DIV/0!</v>
      </c>
      <c r="L277" s="199"/>
      <c r="M277" s="211" t="e">
        <f t="shared" si="26"/>
        <v>#DIV/0!</v>
      </c>
      <c r="N277" s="199"/>
      <c r="O277" s="198"/>
      <c r="P277" s="200"/>
      <c r="Q277" s="198"/>
      <c r="R277" s="200"/>
      <c r="S277" s="199"/>
      <c r="T277" s="198"/>
      <c r="U277" s="198"/>
      <c r="V277" s="198"/>
      <c r="W277" s="205">
        <v>1</v>
      </c>
      <c r="X277" s="198"/>
    </row>
    <row r="278" spans="2:24">
      <c r="B278" s="495"/>
      <c r="C278" s="498"/>
      <c r="D278" s="209">
        <v>172</v>
      </c>
      <c r="E278" s="198"/>
      <c r="F278" s="199"/>
      <c r="G278" s="198"/>
      <c r="H278" s="198"/>
      <c r="I278" s="210" t="e">
        <f t="shared" si="24"/>
        <v>#DIV/0!</v>
      </c>
      <c r="J278" s="198"/>
      <c r="K278" s="210" t="e">
        <f t="shared" si="25"/>
        <v>#DIV/0!</v>
      </c>
      <c r="L278" s="199"/>
      <c r="M278" s="211" t="e">
        <f t="shared" si="26"/>
        <v>#DIV/0!</v>
      </c>
      <c r="N278" s="199"/>
      <c r="O278" s="198"/>
      <c r="P278" s="200"/>
      <c r="Q278" s="198"/>
      <c r="R278" s="200"/>
      <c r="S278" s="199"/>
      <c r="T278" s="198"/>
      <c r="U278" s="198"/>
      <c r="V278" s="198"/>
      <c r="W278" s="205">
        <v>1</v>
      </c>
      <c r="X278" s="198"/>
    </row>
    <row r="279" spans="2:24">
      <c r="B279" s="495"/>
      <c r="C279" s="498"/>
      <c r="D279" s="209">
        <v>173</v>
      </c>
      <c r="E279" s="198"/>
      <c r="F279" s="199"/>
      <c r="G279" s="198"/>
      <c r="H279" s="198"/>
      <c r="I279" s="210" t="e">
        <f t="shared" si="24"/>
        <v>#DIV/0!</v>
      </c>
      <c r="J279" s="198"/>
      <c r="K279" s="210" t="e">
        <f t="shared" si="25"/>
        <v>#DIV/0!</v>
      </c>
      <c r="L279" s="199"/>
      <c r="M279" s="211" t="e">
        <f t="shared" si="26"/>
        <v>#DIV/0!</v>
      </c>
      <c r="N279" s="199"/>
      <c r="O279" s="198"/>
      <c r="P279" s="200"/>
      <c r="Q279" s="198"/>
      <c r="R279" s="200"/>
      <c r="S279" s="199"/>
      <c r="T279" s="198"/>
      <c r="U279" s="198"/>
      <c r="V279" s="198"/>
      <c r="W279" s="205">
        <v>1</v>
      </c>
      <c r="X279" s="198"/>
    </row>
    <row r="280" spans="2:24">
      <c r="B280" s="495"/>
      <c r="C280" s="498"/>
      <c r="D280" s="209">
        <v>174</v>
      </c>
      <c r="E280" s="198"/>
      <c r="F280" s="199"/>
      <c r="G280" s="198"/>
      <c r="H280" s="198"/>
      <c r="I280" s="210" t="e">
        <f t="shared" si="24"/>
        <v>#DIV/0!</v>
      </c>
      <c r="J280" s="198"/>
      <c r="K280" s="210" t="e">
        <f t="shared" si="25"/>
        <v>#DIV/0!</v>
      </c>
      <c r="L280" s="199"/>
      <c r="M280" s="211" t="e">
        <f t="shared" si="26"/>
        <v>#DIV/0!</v>
      </c>
      <c r="N280" s="199"/>
      <c r="O280" s="198"/>
      <c r="P280" s="200"/>
      <c r="Q280" s="198"/>
      <c r="R280" s="200"/>
      <c r="S280" s="199"/>
      <c r="T280" s="198"/>
      <c r="U280" s="198"/>
      <c r="V280" s="198"/>
      <c r="W280" s="205">
        <v>1</v>
      </c>
      <c r="X280" s="198"/>
    </row>
    <row r="281" spans="2:24">
      <c r="B281" s="495"/>
      <c r="C281" s="498"/>
      <c r="D281" s="209">
        <v>175</v>
      </c>
      <c r="E281" s="198"/>
      <c r="F281" s="199"/>
      <c r="G281" s="198"/>
      <c r="H281" s="198"/>
      <c r="I281" s="210" t="e">
        <f t="shared" si="24"/>
        <v>#DIV/0!</v>
      </c>
      <c r="J281" s="198"/>
      <c r="K281" s="210" t="e">
        <f t="shared" si="25"/>
        <v>#DIV/0!</v>
      </c>
      <c r="L281" s="199"/>
      <c r="M281" s="211" t="e">
        <f t="shared" si="26"/>
        <v>#DIV/0!</v>
      </c>
      <c r="N281" s="199"/>
      <c r="O281" s="198"/>
      <c r="P281" s="200"/>
      <c r="Q281" s="198"/>
      <c r="R281" s="200"/>
      <c r="S281" s="199"/>
      <c r="T281" s="198"/>
      <c r="U281" s="198"/>
      <c r="V281" s="198"/>
      <c r="W281" s="205">
        <v>1</v>
      </c>
      <c r="X281" s="198"/>
    </row>
    <row r="282" spans="2:24">
      <c r="B282" s="495"/>
      <c r="C282" s="498"/>
      <c r="D282" s="209">
        <v>176</v>
      </c>
      <c r="E282" s="198"/>
      <c r="F282" s="199"/>
      <c r="G282" s="198"/>
      <c r="H282" s="198"/>
      <c r="I282" s="210" t="e">
        <f t="shared" si="24"/>
        <v>#DIV/0!</v>
      </c>
      <c r="J282" s="198"/>
      <c r="K282" s="210" t="e">
        <f t="shared" si="25"/>
        <v>#DIV/0!</v>
      </c>
      <c r="L282" s="199"/>
      <c r="M282" s="211" t="e">
        <f t="shared" si="26"/>
        <v>#DIV/0!</v>
      </c>
      <c r="N282" s="199"/>
      <c r="O282" s="198"/>
      <c r="P282" s="200"/>
      <c r="Q282" s="198"/>
      <c r="R282" s="200"/>
      <c r="S282" s="199"/>
      <c r="T282" s="198"/>
      <c r="U282" s="198"/>
      <c r="V282" s="198"/>
      <c r="W282" s="205">
        <v>1</v>
      </c>
      <c r="X282" s="198"/>
    </row>
    <row r="283" spans="2:24">
      <c r="B283" s="495"/>
      <c r="C283" s="498"/>
      <c r="D283" s="209">
        <v>177</v>
      </c>
      <c r="E283" s="198"/>
      <c r="F283" s="199"/>
      <c r="G283" s="198"/>
      <c r="H283" s="198"/>
      <c r="I283" s="210" t="e">
        <f t="shared" si="24"/>
        <v>#DIV/0!</v>
      </c>
      <c r="J283" s="198"/>
      <c r="K283" s="210" t="e">
        <f t="shared" si="25"/>
        <v>#DIV/0!</v>
      </c>
      <c r="L283" s="199"/>
      <c r="M283" s="211" t="e">
        <f t="shared" si="26"/>
        <v>#DIV/0!</v>
      </c>
      <c r="N283" s="199"/>
      <c r="O283" s="198"/>
      <c r="P283" s="200"/>
      <c r="Q283" s="198"/>
      <c r="R283" s="200"/>
      <c r="S283" s="199"/>
      <c r="T283" s="198"/>
      <c r="U283" s="198"/>
      <c r="V283" s="198"/>
      <c r="W283" s="205">
        <v>1</v>
      </c>
      <c r="X283" s="198"/>
    </row>
    <row r="284" spans="2:24">
      <c r="B284" s="495"/>
      <c r="C284" s="498"/>
      <c r="D284" s="209">
        <v>178</v>
      </c>
      <c r="E284" s="198"/>
      <c r="F284" s="199"/>
      <c r="G284" s="198"/>
      <c r="H284" s="198"/>
      <c r="I284" s="210" t="e">
        <f t="shared" si="24"/>
        <v>#DIV/0!</v>
      </c>
      <c r="J284" s="198"/>
      <c r="K284" s="210" t="e">
        <f t="shared" si="25"/>
        <v>#DIV/0!</v>
      </c>
      <c r="L284" s="199"/>
      <c r="M284" s="211" t="e">
        <f t="shared" si="26"/>
        <v>#DIV/0!</v>
      </c>
      <c r="N284" s="199"/>
      <c r="O284" s="198"/>
      <c r="P284" s="200"/>
      <c r="Q284" s="198"/>
      <c r="R284" s="200"/>
      <c r="S284" s="199"/>
      <c r="T284" s="198"/>
      <c r="U284" s="198"/>
      <c r="V284" s="198"/>
      <c r="W284" s="205">
        <v>1</v>
      </c>
      <c r="X284" s="198"/>
    </row>
    <row r="285" spans="2:24">
      <c r="B285" s="495"/>
      <c r="C285" s="498"/>
      <c r="D285" s="209">
        <v>179</v>
      </c>
      <c r="E285" s="198"/>
      <c r="F285" s="199"/>
      <c r="G285" s="198"/>
      <c r="H285" s="198"/>
      <c r="I285" s="210" t="e">
        <f t="shared" si="24"/>
        <v>#DIV/0!</v>
      </c>
      <c r="J285" s="198"/>
      <c r="K285" s="210" t="e">
        <f t="shared" si="25"/>
        <v>#DIV/0!</v>
      </c>
      <c r="L285" s="199"/>
      <c r="M285" s="211" t="e">
        <f t="shared" si="26"/>
        <v>#DIV/0!</v>
      </c>
      <c r="N285" s="199"/>
      <c r="O285" s="198"/>
      <c r="P285" s="200"/>
      <c r="Q285" s="198"/>
      <c r="R285" s="200"/>
      <c r="S285" s="199"/>
      <c r="T285" s="198"/>
      <c r="U285" s="198"/>
      <c r="V285" s="198"/>
      <c r="W285" s="205">
        <v>1</v>
      </c>
      <c r="X285" s="198"/>
    </row>
    <row r="286" spans="2:24">
      <c r="B286" s="496"/>
      <c r="C286" s="498"/>
      <c r="D286" s="209">
        <v>180</v>
      </c>
      <c r="E286" s="198"/>
      <c r="F286" s="199"/>
      <c r="G286" s="198"/>
      <c r="H286" s="198"/>
      <c r="I286" s="210" t="e">
        <f t="shared" si="24"/>
        <v>#DIV/0!</v>
      </c>
      <c r="J286" s="198"/>
      <c r="K286" s="210" t="e">
        <f t="shared" si="25"/>
        <v>#DIV/0!</v>
      </c>
      <c r="L286" s="199"/>
      <c r="M286" s="211" t="e">
        <f t="shared" si="26"/>
        <v>#DIV/0!</v>
      </c>
      <c r="N286" s="199"/>
      <c r="O286" s="198"/>
      <c r="P286" s="200"/>
      <c r="Q286" s="198"/>
      <c r="R286" s="200"/>
      <c r="S286" s="199"/>
      <c r="T286" s="198"/>
      <c r="U286" s="198"/>
      <c r="V286" s="198"/>
      <c r="W286" s="205">
        <v>1</v>
      </c>
      <c r="X286" s="198"/>
    </row>
    <row r="287" spans="2:24">
      <c r="B287" s="494">
        <v>45959</v>
      </c>
      <c r="C287" s="497" t="s">
        <v>114</v>
      </c>
      <c r="D287" s="209">
        <v>181</v>
      </c>
      <c r="E287" s="198"/>
      <c r="F287" s="199"/>
      <c r="G287" s="198"/>
      <c r="H287" s="198"/>
      <c r="I287" s="210" t="e">
        <f t="shared" si="24"/>
        <v>#DIV/0!</v>
      </c>
      <c r="J287" s="198"/>
      <c r="K287" s="210" t="e">
        <f t="shared" si="25"/>
        <v>#DIV/0!</v>
      </c>
      <c r="L287" s="199"/>
      <c r="M287" s="211" t="e">
        <f t="shared" si="26"/>
        <v>#DIV/0!</v>
      </c>
      <c r="N287" s="199"/>
      <c r="O287" s="198"/>
      <c r="P287" s="200"/>
      <c r="Q287" s="198"/>
      <c r="R287" s="200"/>
      <c r="S287" s="199"/>
      <c r="T287" s="198"/>
      <c r="U287" s="198"/>
      <c r="V287" s="198"/>
      <c r="W287" s="205">
        <v>1</v>
      </c>
      <c r="X287" s="198"/>
    </row>
    <row r="288" spans="2:24">
      <c r="B288" s="495"/>
      <c r="C288" s="498"/>
      <c r="D288" s="209">
        <v>182</v>
      </c>
      <c r="E288" s="198"/>
      <c r="F288" s="199"/>
      <c r="G288" s="198"/>
      <c r="H288" s="198"/>
      <c r="I288" s="210" t="e">
        <f t="shared" si="24"/>
        <v>#DIV/0!</v>
      </c>
      <c r="J288" s="198"/>
      <c r="K288" s="210" t="e">
        <f t="shared" si="25"/>
        <v>#DIV/0!</v>
      </c>
      <c r="L288" s="199"/>
      <c r="M288" s="211" t="e">
        <f t="shared" si="26"/>
        <v>#DIV/0!</v>
      </c>
      <c r="N288" s="199"/>
      <c r="O288" s="198"/>
      <c r="P288" s="200"/>
      <c r="Q288" s="198"/>
      <c r="R288" s="200"/>
      <c r="S288" s="199"/>
      <c r="T288" s="198"/>
      <c r="U288" s="198"/>
      <c r="V288" s="198"/>
      <c r="W288" s="205">
        <v>1</v>
      </c>
      <c r="X288" s="198"/>
    </row>
    <row r="289" spans="2:24">
      <c r="B289" s="495"/>
      <c r="C289" s="498"/>
      <c r="D289" s="209">
        <v>183</v>
      </c>
      <c r="E289" s="198"/>
      <c r="F289" s="199"/>
      <c r="G289" s="198"/>
      <c r="H289" s="198"/>
      <c r="I289" s="210" t="e">
        <f t="shared" si="24"/>
        <v>#DIV/0!</v>
      </c>
      <c r="J289" s="198"/>
      <c r="K289" s="210" t="e">
        <f t="shared" si="25"/>
        <v>#DIV/0!</v>
      </c>
      <c r="L289" s="199"/>
      <c r="M289" s="211" t="e">
        <f t="shared" si="26"/>
        <v>#DIV/0!</v>
      </c>
      <c r="N289" s="199"/>
      <c r="O289" s="198"/>
      <c r="P289" s="200"/>
      <c r="Q289" s="198"/>
      <c r="R289" s="200"/>
      <c r="S289" s="199"/>
      <c r="T289" s="198"/>
      <c r="U289" s="198"/>
      <c r="V289" s="198"/>
      <c r="W289" s="205">
        <v>1</v>
      </c>
      <c r="X289" s="198"/>
    </row>
    <row r="290" spans="2:24">
      <c r="B290" s="495"/>
      <c r="C290" s="498"/>
      <c r="D290" s="209">
        <v>184</v>
      </c>
      <c r="E290" s="198"/>
      <c r="F290" s="199"/>
      <c r="G290" s="198"/>
      <c r="H290" s="198"/>
      <c r="I290" s="210" t="e">
        <f t="shared" si="24"/>
        <v>#DIV/0!</v>
      </c>
      <c r="J290" s="198"/>
      <c r="K290" s="210" t="e">
        <f t="shared" si="25"/>
        <v>#DIV/0!</v>
      </c>
      <c r="L290" s="199"/>
      <c r="M290" s="211" t="e">
        <f t="shared" si="26"/>
        <v>#DIV/0!</v>
      </c>
      <c r="N290" s="199"/>
      <c r="O290" s="198"/>
      <c r="P290" s="200"/>
      <c r="Q290" s="198"/>
      <c r="R290" s="200"/>
      <c r="S290" s="199"/>
      <c r="T290" s="198"/>
      <c r="U290" s="198"/>
      <c r="V290" s="198"/>
      <c r="W290" s="205">
        <v>1</v>
      </c>
      <c r="X290" s="198"/>
    </row>
    <row r="291" spans="2:24">
      <c r="B291" s="495"/>
      <c r="C291" s="498"/>
      <c r="D291" s="209">
        <v>185</v>
      </c>
      <c r="E291" s="198"/>
      <c r="F291" s="199"/>
      <c r="G291" s="198"/>
      <c r="H291" s="198"/>
      <c r="I291" s="210" t="e">
        <f t="shared" si="24"/>
        <v>#DIV/0!</v>
      </c>
      <c r="J291" s="198"/>
      <c r="K291" s="210" t="e">
        <f t="shared" si="25"/>
        <v>#DIV/0!</v>
      </c>
      <c r="L291" s="199"/>
      <c r="M291" s="211" t="e">
        <f t="shared" si="26"/>
        <v>#DIV/0!</v>
      </c>
      <c r="N291" s="199"/>
      <c r="O291" s="198"/>
      <c r="P291" s="200"/>
      <c r="Q291" s="198"/>
      <c r="R291" s="200"/>
      <c r="S291" s="199"/>
      <c r="T291" s="198"/>
      <c r="U291" s="198"/>
      <c r="V291" s="198"/>
      <c r="W291" s="205">
        <v>1</v>
      </c>
      <c r="X291" s="198"/>
    </row>
    <row r="292" spans="2:24">
      <c r="B292" s="495"/>
      <c r="C292" s="498"/>
      <c r="D292" s="209">
        <v>186</v>
      </c>
      <c r="E292" s="198"/>
      <c r="F292" s="199"/>
      <c r="G292" s="198"/>
      <c r="H292" s="198"/>
      <c r="I292" s="210" t="e">
        <f t="shared" si="24"/>
        <v>#DIV/0!</v>
      </c>
      <c r="J292" s="198"/>
      <c r="K292" s="210" t="e">
        <f t="shared" si="25"/>
        <v>#DIV/0!</v>
      </c>
      <c r="L292" s="199"/>
      <c r="M292" s="211" t="e">
        <f t="shared" si="26"/>
        <v>#DIV/0!</v>
      </c>
      <c r="N292" s="199"/>
      <c r="O292" s="198"/>
      <c r="P292" s="200"/>
      <c r="Q292" s="198"/>
      <c r="R292" s="200"/>
      <c r="S292" s="199"/>
      <c r="T292" s="198"/>
      <c r="U292" s="198"/>
      <c r="V292" s="198"/>
      <c r="W292" s="205">
        <v>1</v>
      </c>
      <c r="X292" s="198"/>
    </row>
    <row r="293" spans="2:24">
      <c r="B293" s="495"/>
      <c r="C293" s="498"/>
      <c r="D293" s="209">
        <v>187</v>
      </c>
      <c r="E293" s="198"/>
      <c r="F293" s="199"/>
      <c r="G293" s="198"/>
      <c r="H293" s="198"/>
      <c r="I293" s="210" t="e">
        <f t="shared" si="24"/>
        <v>#DIV/0!</v>
      </c>
      <c r="J293" s="198"/>
      <c r="K293" s="210" t="e">
        <f t="shared" si="25"/>
        <v>#DIV/0!</v>
      </c>
      <c r="L293" s="199"/>
      <c r="M293" s="211" t="e">
        <f t="shared" si="26"/>
        <v>#DIV/0!</v>
      </c>
      <c r="N293" s="199"/>
      <c r="O293" s="198"/>
      <c r="P293" s="200"/>
      <c r="Q293" s="198"/>
      <c r="R293" s="200"/>
      <c r="S293" s="199"/>
      <c r="T293" s="198"/>
      <c r="U293" s="198"/>
      <c r="V293" s="198"/>
      <c r="W293" s="205">
        <v>1</v>
      </c>
      <c r="X293" s="198"/>
    </row>
    <row r="294" spans="2:24">
      <c r="B294" s="495"/>
      <c r="C294" s="498"/>
      <c r="D294" s="209">
        <v>188</v>
      </c>
      <c r="E294" s="198"/>
      <c r="F294" s="199"/>
      <c r="G294" s="198"/>
      <c r="H294" s="198"/>
      <c r="I294" s="210" t="e">
        <f t="shared" si="24"/>
        <v>#DIV/0!</v>
      </c>
      <c r="J294" s="198"/>
      <c r="K294" s="210" t="e">
        <f t="shared" si="25"/>
        <v>#DIV/0!</v>
      </c>
      <c r="L294" s="199"/>
      <c r="M294" s="211" t="e">
        <f t="shared" si="26"/>
        <v>#DIV/0!</v>
      </c>
      <c r="N294" s="199"/>
      <c r="O294" s="198"/>
      <c r="P294" s="200"/>
      <c r="Q294" s="198"/>
      <c r="R294" s="200"/>
      <c r="S294" s="199"/>
      <c r="T294" s="198"/>
      <c r="U294" s="198"/>
      <c r="V294" s="198"/>
      <c r="W294" s="205">
        <v>1</v>
      </c>
      <c r="X294" s="198"/>
    </row>
    <row r="295" spans="2:24">
      <c r="B295" s="495"/>
      <c r="C295" s="498"/>
      <c r="D295" s="209">
        <v>189</v>
      </c>
      <c r="E295" s="198"/>
      <c r="F295" s="199"/>
      <c r="G295" s="198"/>
      <c r="H295" s="198"/>
      <c r="I295" s="210" t="e">
        <f t="shared" si="24"/>
        <v>#DIV/0!</v>
      </c>
      <c r="J295" s="198"/>
      <c r="K295" s="210" t="e">
        <f t="shared" si="25"/>
        <v>#DIV/0!</v>
      </c>
      <c r="L295" s="199"/>
      <c r="M295" s="211" t="e">
        <f t="shared" si="26"/>
        <v>#DIV/0!</v>
      </c>
      <c r="N295" s="199"/>
      <c r="O295" s="198"/>
      <c r="P295" s="200"/>
      <c r="Q295" s="198"/>
      <c r="R295" s="200"/>
      <c r="S295" s="199"/>
      <c r="T295" s="198"/>
      <c r="U295" s="198"/>
      <c r="V295" s="198"/>
      <c r="W295" s="205">
        <v>1</v>
      </c>
      <c r="X295" s="198"/>
    </row>
    <row r="296" spans="2:24">
      <c r="B296" s="496"/>
      <c r="C296" s="498"/>
      <c r="D296" s="209">
        <v>190</v>
      </c>
      <c r="E296" s="198"/>
      <c r="F296" s="199"/>
      <c r="G296" s="198"/>
      <c r="H296" s="198"/>
      <c r="I296" s="210" t="e">
        <f t="shared" si="24"/>
        <v>#DIV/0!</v>
      </c>
      <c r="J296" s="198"/>
      <c r="K296" s="210" t="e">
        <f t="shared" si="25"/>
        <v>#DIV/0!</v>
      </c>
      <c r="L296" s="199"/>
      <c r="M296" s="211" t="e">
        <f t="shared" si="26"/>
        <v>#DIV/0!</v>
      </c>
      <c r="N296" s="199"/>
      <c r="O296" s="198"/>
      <c r="P296" s="200"/>
      <c r="Q296" s="198"/>
      <c r="R296" s="200"/>
      <c r="S296" s="199"/>
      <c r="T296" s="198"/>
      <c r="U296" s="198"/>
      <c r="V296" s="198"/>
      <c r="W296" s="205">
        <v>1</v>
      </c>
      <c r="X296" s="198"/>
    </row>
    <row r="297" spans="2:24">
      <c r="B297" s="494">
        <v>45960</v>
      </c>
      <c r="C297" s="497" t="s">
        <v>115</v>
      </c>
      <c r="D297" s="209">
        <v>191</v>
      </c>
      <c r="E297" s="198"/>
      <c r="F297" s="199"/>
      <c r="G297" s="198"/>
      <c r="H297" s="198"/>
      <c r="I297" s="210" t="e">
        <f t="shared" ref="I297:I308" si="27">H297/G297</f>
        <v>#DIV/0!</v>
      </c>
      <c r="J297" s="198"/>
      <c r="K297" s="210" t="e">
        <f t="shared" ref="K297:K308" si="28">J297/G297</f>
        <v>#DIV/0!</v>
      </c>
      <c r="L297" s="199"/>
      <c r="M297" s="211" t="e">
        <f t="shared" ref="M297:M308" si="29">(H297+J297)/G297</f>
        <v>#DIV/0!</v>
      </c>
      <c r="N297" s="199"/>
      <c r="O297" s="198"/>
      <c r="P297" s="200"/>
      <c r="Q297" s="198"/>
      <c r="R297" s="200"/>
      <c r="S297" s="199"/>
      <c r="T297" s="198"/>
      <c r="U297" s="198"/>
      <c r="V297" s="198"/>
      <c r="W297" s="205">
        <v>1</v>
      </c>
      <c r="X297" s="198"/>
    </row>
    <row r="298" spans="2:24">
      <c r="B298" s="495"/>
      <c r="C298" s="498"/>
      <c r="D298" s="209">
        <v>192</v>
      </c>
      <c r="E298" s="198"/>
      <c r="F298" s="199"/>
      <c r="G298" s="198"/>
      <c r="H298" s="198"/>
      <c r="I298" s="210" t="e">
        <f t="shared" si="27"/>
        <v>#DIV/0!</v>
      </c>
      <c r="J298" s="198"/>
      <c r="K298" s="210" t="e">
        <f t="shared" si="28"/>
        <v>#DIV/0!</v>
      </c>
      <c r="L298" s="199"/>
      <c r="M298" s="211" t="e">
        <f t="shared" si="29"/>
        <v>#DIV/0!</v>
      </c>
      <c r="N298" s="199"/>
      <c r="O298" s="198"/>
      <c r="P298" s="200"/>
      <c r="Q298" s="198"/>
      <c r="R298" s="200"/>
      <c r="S298" s="199"/>
      <c r="T298" s="198"/>
      <c r="U298" s="198"/>
      <c r="V298" s="198"/>
      <c r="W298" s="205">
        <v>1</v>
      </c>
      <c r="X298" s="198"/>
    </row>
    <row r="299" spans="2:24">
      <c r="B299" s="495"/>
      <c r="C299" s="498"/>
      <c r="D299" s="209">
        <v>193</v>
      </c>
      <c r="E299" s="198"/>
      <c r="F299" s="199"/>
      <c r="G299" s="198"/>
      <c r="H299" s="198"/>
      <c r="I299" s="210" t="e">
        <f t="shared" si="27"/>
        <v>#DIV/0!</v>
      </c>
      <c r="J299" s="198"/>
      <c r="K299" s="210" t="e">
        <f t="shared" si="28"/>
        <v>#DIV/0!</v>
      </c>
      <c r="L299" s="199"/>
      <c r="M299" s="211" t="e">
        <f t="shared" si="29"/>
        <v>#DIV/0!</v>
      </c>
      <c r="N299" s="199"/>
      <c r="O299" s="198"/>
      <c r="P299" s="200"/>
      <c r="Q299" s="198"/>
      <c r="R299" s="200"/>
      <c r="S299" s="199"/>
      <c r="T299" s="198"/>
      <c r="U299" s="198"/>
      <c r="V299" s="198"/>
      <c r="W299" s="205">
        <v>1</v>
      </c>
      <c r="X299" s="198"/>
    </row>
    <row r="300" spans="2:24">
      <c r="B300" s="495"/>
      <c r="C300" s="498"/>
      <c r="D300" s="209">
        <v>194</v>
      </c>
      <c r="E300" s="198"/>
      <c r="F300" s="199"/>
      <c r="G300" s="198"/>
      <c r="H300" s="198"/>
      <c r="I300" s="210" t="e">
        <f t="shared" si="27"/>
        <v>#DIV/0!</v>
      </c>
      <c r="J300" s="198"/>
      <c r="K300" s="210" t="e">
        <f t="shared" si="28"/>
        <v>#DIV/0!</v>
      </c>
      <c r="L300" s="199"/>
      <c r="M300" s="211" t="e">
        <f t="shared" si="29"/>
        <v>#DIV/0!</v>
      </c>
      <c r="N300" s="199"/>
      <c r="O300" s="198"/>
      <c r="P300" s="200"/>
      <c r="Q300" s="198"/>
      <c r="R300" s="200"/>
      <c r="S300" s="199"/>
      <c r="T300" s="198"/>
      <c r="U300" s="198"/>
      <c r="V300" s="198"/>
      <c r="W300" s="205">
        <v>1</v>
      </c>
      <c r="X300" s="198"/>
    </row>
    <row r="301" spans="2:24">
      <c r="B301" s="495"/>
      <c r="C301" s="498"/>
      <c r="D301" s="209">
        <v>195</v>
      </c>
      <c r="E301" s="198"/>
      <c r="F301" s="199"/>
      <c r="G301" s="198"/>
      <c r="H301" s="198"/>
      <c r="I301" s="210" t="e">
        <f t="shared" si="27"/>
        <v>#DIV/0!</v>
      </c>
      <c r="J301" s="198"/>
      <c r="K301" s="210" t="e">
        <f t="shared" si="28"/>
        <v>#DIV/0!</v>
      </c>
      <c r="L301" s="199"/>
      <c r="M301" s="211" t="e">
        <f t="shared" si="29"/>
        <v>#DIV/0!</v>
      </c>
      <c r="N301" s="199"/>
      <c r="O301" s="198"/>
      <c r="P301" s="200"/>
      <c r="Q301" s="198"/>
      <c r="R301" s="200"/>
      <c r="S301" s="199"/>
      <c r="T301" s="198"/>
      <c r="U301" s="198"/>
      <c r="V301" s="198"/>
      <c r="W301" s="205">
        <v>1</v>
      </c>
      <c r="X301" s="198"/>
    </row>
    <row r="302" spans="2:24">
      <c r="B302" s="495"/>
      <c r="C302" s="498"/>
      <c r="D302" s="209">
        <v>196</v>
      </c>
      <c r="E302" s="198"/>
      <c r="F302" s="199"/>
      <c r="G302" s="198"/>
      <c r="H302" s="198"/>
      <c r="I302" s="210" t="e">
        <f t="shared" si="27"/>
        <v>#DIV/0!</v>
      </c>
      <c r="J302" s="198"/>
      <c r="K302" s="210" t="e">
        <f t="shared" si="28"/>
        <v>#DIV/0!</v>
      </c>
      <c r="L302" s="199"/>
      <c r="M302" s="211" t="e">
        <f t="shared" si="29"/>
        <v>#DIV/0!</v>
      </c>
      <c r="N302" s="199"/>
      <c r="O302" s="198"/>
      <c r="P302" s="200"/>
      <c r="Q302" s="198"/>
      <c r="R302" s="200"/>
      <c r="S302" s="199"/>
      <c r="T302" s="198"/>
      <c r="U302" s="198"/>
      <c r="V302" s="198"/>
      <c r="W302" s="205">
        <v>1</v>
      </c>
      <c r="X302" s="198"/>
    </row>
    <row r="303" spans="2:24">
      <c r="B303" s="495"/>
      <c r="C303" s="498"/>
      <c r="D303" s="209">
        <v>197</v>
      </c>
      <c r="E303" s="198"/>
      <c r="F303" s="199"/>
      <c r="G303" s="198"/>
      <c r="H303" s="198"/>
      <c r="I303" s="210" t="e">
        <f t="shared" si="27"/>
        <v>#DIV/0!</v>
      </c>
      <c r="J303" s="198"/>
      <c r="K303" s="210" t="e">
        <f t="shared" si="28"/>
        <v>#DIV/0!</v>
      </c>
      <c r="L303" s="199"/>
      <c r="M303" s="211" t="e">
        <f t="shared" si="29"/>
        <v>#DIV/0!</v>
      </c>
      <c r="N303" s="199"/>
      <c r="O303" s="198"/>
      <c r="P303" s="200"/>
      <c r="Q303" s="198"/>
      <c r="R303" s="200"/>
      <c r="S303" s="199"/>
      <c r="T303" s="198"/>
      <c r="U303" s="198"/>
      <c r="V303" s="198"/>
      <c r="W303" s="205">
        <v>1</v>
      </c>
      <c r="X303" s="198"/>
    </row>
    <row r="304" spans="2:24">
      <c r="B304" s="495"/>
      <c r="C304" s="498"/>
      <c r="D304" s="209">
        <v>198</v>
      </c>
      <c r="E304" s="198"/>
      <c r="F304" s="199"/>
      <c r="G304" s="198"/>
      <c r="H304" s="198"/>
      <c r="I304" s="210" t="e">
        <f t="shared" si="27"/>
        <v>#DIV/0!</v>
      </c>
      <c r="J304" s="198"/>
      <c r="K304" s="210" t="e">
        <f t="shared" si="28"/>
        <v>#DIV/0!</v>
      </c>
      <c r="L304" s="199"/>
      <c r="M304" s="211" t="e">
        <f t="shared" si="29"/>
        <v>#DIV/0!</v>
      </c>
      <c r="N304" s="199"/>
      <c r="O304" s="198"/>
      <c r="P304" s="200"/>
      <c r="Q304" s="198"/>
      <c r="R304" s="200"/>
      <c r="S304" s="199"/>
      <c r="T304" s="198"/>
      <c r="U304" s="198"/>
      <c r="V304" s="198"/>
      <c r="W304" s="205">
        <v>1</v>
      </c>
      <c r="X304" s="198"/>
    </row>
    <row r="305" spans="2:24">
      <c r="B305" s="495"/>
      <c r="C305" s="498"/>
      <c r="D305" s="209">
        <v>199</v>
      </c>
      <c r="E305" s="198"/>
      <c r="F305" s="199"/>
      <c r="G305" s="198"/>
      <c r="H305" s="198"/>
      <c r="I305" s="210" t="e">
        <f t="shared" si="27"/>
        <v>#DIV/0!</v>
      </c>
      <c r="J305" s="198"/>
      <c r="K305" s="210" t="e">
        <f t="shared" si="28"/>
        <v>#DIV/0!</v>
      </c>
      <c r="L305" s="199"/>
      <c r="M305" s="211" t="e">
        <f t="shared" si="29"/>
        <v>#DIV/0!</v>
      </c>
      <c r="N305" s="199"/>
      <c r="O305" s="198"/>
      <c r="P305" s="200"/>
      <c r="Q305" s="198"/>
      <c r="R305" s="200"/>
      <c r="S305" s="199"/>
      <c r="T305" s="198"/>
      <c r="U305" s="198"/>
      <c r="V305" s="198"/>
      <c r="W305" s="205">
        <v>1</v>
      </c>
      <c r="X305" s="198"/>
    </row>
    <row r="306" spans="2:24">
      <c r="B306" s="496"/>
      <c r="C306" s="498"/>
      <c r="D306" s="209">
        <v>200</v>
      </c>
      <c r="E306" s="198"/>
      <c r="F306" s="199"/>
      <c r="G306" s="198"/>
      <c r="H306" s="198"/>
      <c r="I306" s="210" t="e">
        <f t="shared" si="27"/>
        <v>#DIV/0!</v>
      </c>
      <c r="J306" s="198"/>
      <c r="K306" s="210" t="e">
        <f t="shared" si="28"/>
        <v>#DIV/0!</v>
      </c>
      <c r="L306" s="199"/>
      <c r="M306" s="211" t="e">
        <f t="shared" si="29"/>
        <v>#DIV/0!</v>
      </c>
      <c r="N306" s="199"/>
      <c r="O306" s="198"/>
      <c r="P306" s="200"/>
      <c r="Q306" s="198"/>
      <c r="R306" s="200"/>
      <c r="S306" s="199"/>
      <c r="T306" s="198"/>
      <c r="U306" s="198"/>
      <c r="V306" s="198"/>
      <c r="W306" s="205">
        <v>1</v>
      </c>
      <c r="X306" s="198"/>
    </row>
    <row r="307" spans="2:24">
      <c r="B307" s="494">
        <v>45961</v>
      </c>
      <c r="C307" s="497" t="s">
        <v>116</v>
      </c>
      <c r="D307" s="209">
        <v>201</v>
      </c>
      <c r="E307" s="198"/>
      <c r="F307" s="199"/>
      <c r="G307" s="198"/>
      <c r="H307" s="198"/>
      <c r="I307" s="210" t="e">
        <f t="shared" si="27"/>
        <v>#DIV/0!</v>
      </c>
      <c r="J307" s="198"/>
      <c r="K307" s="210" t="e">
        <f t="shared" si="28"/>
        <v>#DIV/0!</v>
      </c>
      <c r="L307" s="199"/>
      <c r="M307" s="211" t="e">
        <f t="shared" si="29"/>
        <v>#DIV/0!</v>
      </c>
      <c r="N307" s="199"/>
      <c r="O307" s="198"/>
      <c r="P307" s="200"/>
      <c r="Q307" s="198"/>
      <c r="R307" s="200"/>
      <c r="S307" s="199"/>
      <c r="T307" s="198"/>
      <c r="U307" s="198"/>
      <c r="V307" s="198"/>
      <c r="W307" s="205">
        <v>1</v>
      </c>
      <c r="X307" s="198"/>
    </row>
    <row r="308" spans="2:24">
      <c r="B308" s="495"/>
      <c r="C308" s="498"/>
      <c r="D308" s="209">
        <v>202</v>
      </c>
      <c r="E308" s="198"/>
      <c r="F308" s="199"/>
      <c r="G308" s="198"/>
      <c r="H308" s="198"/>
      <c r="I308" s="210" t="e">
        <f t="shared" si="27"/>
        <v>#DIV/0!</v>
      </c>
      <c r="J308" s="198"/>
      <c r="K308" s="210" t="e">
        <f t="shared" si="28"/>
        <v>#DIV/0!</v>
      </c>
      <c r="L308" s="199"/>
      <c r="M308" s="211" t="e">
        <f t="shared" si="29"/>
        <v>#DIV/0!</v>
      </c>
      <c r="N308" s="199"/>
      <c r="O308" s="198"/>
      <c r="P308" s="200"/>
      <c r="Q308" s="198"/>
      <c r="R308" s="200"/>
      <c r="S308" s="199"/>
      <c r="T308" s="198"/>
      <c r="U308" s="198"/>
      <c r="V308" s="198"/>
      <c r="W308" s="205">
        <v>1</v>
      </c>
      <c r="X308" s="198"/>
    </row>
    <row r="309" spans="2:24">
      <c r="B309" s="495"/>
      <c r="C309" s="498"/>
      <c r="D309" s="209">
        <v>203</v>
      </c>
      <c r="E309" s="198"/>
      <c r="F309" s="199"/>
      <c r="G309" s="198"/>
      <c r="H309" s="198"/>
      <c r="I309" s="210" t="e">
        <f t="shared" ref="I309:I316" si="30">H309/G309</f>
        <v>#DIV/0!</v>
      </c>
      <c r="J309" s="198"/>
      <c r="K309" s="210" t="e">
        <f t="shared" ref="K309:K316" si="31">J309/G309</f>
        <v>#DIV/0!</v>
      </c>
      <c r="L309" s="199"/>
      <c r="M309" s="211" t="e">
        <f t="shared" ref="M309:M316" si="32">(H309+J309)/G309</f>
        <v>#DIV/0!</v>
      </c>
      <c r="N309" s="199"/>
      <c r="O309" s="198"/>
      <c r="P309" s="200"/>
      <c r="Q309" s="198"/>
      <c r="R309" s="200"/>
      <c r="S309" s="199"/>
      <c r="T309" s="198"/>
      <c r="U309" s="198"/>
      <c r="V309" s="198"/>
      <c r="W309" s="205">
        <v>1</v>
      </c>
      <c r="X309" s="198"/>
    </row>
    <row r="310" spans="2:24">
      <c r="B310" s="495"/>
      <c r="C310" s="498"/>
      <c r="D310" s="209">
        <v>204</v>
      </c>
      <c r="E310" s="198"/>
      <c r="F310" s="199"/>
      <c r="G310" s="198"/>
      <c r="H310" s="198"/>
      <c r="I310" s="210" t="e">
        <f t="shared" si="30"/>
        <v>#DIV/0!</v>
      </c>
      <c r="J310" s="198"/>
      <c r="K310" s="210" t="e">
        <f t="shared" si="31"/>
        <v>#DIV/0!</v>
      </c>
      <c r="L310" s="199"/>
      <c r="M310" s="211" t="e">
        <f t="shared" si="32"/>
        <v>#DIV/0!</v>
      </c>
      <c r="N310" s="199"/>
      <c r="O310" s="198"/>
      <c r="P310" s="200"/>
      <c r="Q310" s="198"/>
      <c r="R310" s="200"/>
      <c r="S310" s="199"/>
      <c r="T310" s="198"/>
      <c r="U310" s="198"/>
      <c r="V310" s="198"/>
      <c r="W310" s="205">
        <v>1</v>
      </c>
      <c r="X310" s="198"/>
    </row>
    <row r="311" spans="2:24">
      <c r="B311" s="495"/>
      <c r="C311" s="498"/>
      <c r="D311" s="209">
        <v>205</v>
      </c>
      <c r="E311" s="198"/>
      <c r="F311" s="199"/>
      <c r="G311" s="198"/>
      <c r="H311" s="198"/>
      <c r="I311" s="210" t="e">
        <f t="shared" si="30"/>
        <v>#DIV/0!</v>
      </c>
      <c r="J311" s="198"/>
      <c r="K311" s="210" t="e">
        <f t="shared" si="31"/>
        <v>#DIV/0!</v>
      </c>
      <c r="L311" s="199"/>
      <c r="M311" s="211" t="e">
        <f t="shared" si="32"/>
        <v>#DIV/0!</v>
      </c>
      <c r="N311" s="199"/>
      <c r="O311" s="198"/>
      <c r="P311" s="200"/>
      <c r="Q311" s="198"/>
      <c r="R311" s="200"/>
      <c r="S311" s="199"/>
      <c r="T311" s="198"/>
      <c r="U311" s="198"/>
      <c r="V311" s="198"/>
      <c r="W311" s="205">
        <v>1</v>
      </c>
      <c r="X311" s="198"/>
    </row>
    <row r="312" spans="2:24">
      <c r="B312" s="495"/>
      <c r="C312" s="498"/>
      <c r="D312" s="209">
        <v>206</v>
      </c>
      <c r="E312" s="198"/>
      <c r="F312" s="199"/>
      <c r="G312" s="198"/>
      <c r="H312" s="198"/>
      <c r="I312" s="210" t="e">
        <f t="shared" si="30"/>
        <v>#DIV/0!</v>
      </c>
      <c r="J312" s="198"/>
      <c r="K312" s="210" t="e">
        <f t="shared" si="31"/>
        <v>#DIV/0!</v>
      </c>
      <c r="L312" s="199"/>
      <c r="M312" s="211" t="e">
        <f t="shared" si="32"/>
        <v>#DIV/0!</v>
      </c>
      <c r="N312" s="199"/>
      <c r="O312" s="198"/>
      <c r="P312" s="200"/>
      <c r="Q312" s="198"/>
      <c r="R312" s="200"/>
      <c r="S312" s="199"/>
      <c r="T312" s="198"/>
      <c r="U312" s="198"/>
      <c r="V312" s="198"/>
      <c r="W312" s="205">
        <v>1</v>
      </c>
      <c r="X312" s="198"/>
    </row>
    <row r="313" spans="2:24">
      <c r="B313" s="495"/>
      <c r="C313" s="498"/>
      <c r="D313" s="209">
        <v>207</v>
      </c>
      <c r="E313" s="198"/>
      <c r="F313" s="199"/>
      <c r="G313" s="198"/>
      <c r="H313" s="198"/>
      <c r="I313" s="210" t="e">
        <f t="shared" si="30"/>
        <v>#DIV/0!</v>
      </c>
      <c r="J313" s="198"/>
      <c r="K313" s="210" t="e">
        <f t="shared" si="31"/>
        <v>#DIV/0!</v>
      </c>
      <c r="L313" s="199"/>
      <c r="M313" s="211" t="e">
        <f t="shared" si="32"/>
        <v>#DIV/0!</v>
      </c>
      <c r="N313" s="199"/>
      <c r="O313" s="198"/>
      <c r="P313" s="200"/>
      <c r="Q313" s="198"/>
      <c r="R313" s="200"/>
      <c r="S313" s="199"/>
      <c r="T313" s="198"/>
      <c r="U313" s="198"/>
      <c r="V313" s="198"/>
      <c r="W313" s="205">
        <v>1</v>
      </c>
      <c r="X313" s="198"/>
    </row>
    <row r="314" spans="2:24">
      <c r="B314" s="495"/>
      <c r="C314" s="498"/>
      <c r="D314" s="209">
        <v>208</v>
      </c>
      <c r="E314" s="198"/>
      <c r="F314" s="199"/>
      <c r="G314" s="198"/>
      <c r="H314" s="198"/>
      <c r="I314" s="210" t="e">
        <f t="shared" si="30"/>
        <v>#DIV/0!</v>
      </c>
      <c r="J314" s="198"/>
      <c r="K314" s="210" t="e">
        <f t="shared" si="31"/>
        <v>#DIV/0!</v>
      </c>
      <c r="L314" s="199"/>
      <c r="M314" s="211" t="e">
        <f t="shared" si="32"/>
        <v>#DIV/0!</v>
      </c>
      <c r="N314" s="199"/>
      <c r="O314" s="198"/>
      <c r="P314" s="200"/>
      <c r="Q314" s="198"/>
      <c r="R314" s="200"/>
      <c r="S314" s="199"/>
      <c r="T314" s="198"/>
      <c r="U314" s="198"/>
      <c r="V314" s="198"/>
      <c r="W314" s="205">
        <v>1</v>
      </c>
      <c r="X314" s="198"/>
    </row>
    <row r="315" spans="2:24">
      <c r="B315" s="495"/>
      <c r="C315" s="498"/>
      <c r="D315" s="209">
        <v>209</v>
      </c>
      <c r="E315" s="198"/>
      <c r="F315" s="199"/>
      <c r="G315" s="198"/>
      <c r="H315" s="198"/>
      <c r="I315" s="210" t="e">
        <f t="shared" si="30"/>
        <v>#DIV/0!</v>
      </c>
      <c r="J315" s="198"/>
      <c r="K315" s="210" t="e">
        <f t="shared" si="31"/>
        <v>#DIV/0!</v>
      </c>
      <c r="L315" s="199"/>
      <c r="M315" s="211" t="e">
        <f t="shared" si="32"/>
        <v>#DIV/0!</v>
      </c>
      <c r="N315" s="199"/>
      <c r="O315" s="198"/>
      <c r="P315" s="200"/>
      <c r="Q315" s="198"/>
      <c r="R315" s="200"/>
      <c r="S315" s="199"/>
      <c r="T315" s="198"/>
      <c r="U315" s="198"/>
      <c r="V315" s="198"/>
      <c r="W315" s="205">
        <v>1</v>
      </c>
      <c r="X315" s="198"/>
    </row>
    <row r="316" spans="2:24">
      <c r="B316" s="496"/>
      <c r="C316" s="498"/>
      <c r="D316" s="209">
        <v>210</v>
      </c>
      <c r="E316" s="198"/>
      <c r="F316" s="199"/>
      <c r="G316" s="198"/>
      <c r="H316" s="198"/>
      <c r="I316" s="210" t="e">
        <f t="shared" si="30"/>
        <v>#DIV/0!</v>
      </c>
      <c r="J316" s="198"/>
      <c r="K316" s="210" t="e">
        <f t="shared" si="31"/>
        <v>#DIV/0!</v>
      </c>
      <c r="L316" s="199"/>
      <c r="M316" s="211" t="e">
        <f t="shared" si="32"/>
        <v>#DIV/0!</v>
      </c>
      <c r="N316" s="199"/>
      <c r="O316" s="198"/>
      <c r="P316" s="200"/>
      <c r="Q316" s="198"/>
      <c r="R316" s="200"/>
      <c r="S316" s="199"/>
      <c r="T316" s="198"/>
      <c r="U316" s="198"/>
      <c r="V316" s="198"/>
      <c r="W316" s="205">
        <v>1</v>
      </c>
      <c r="X316" s="198"/>
    </row>
    <row r="317" spans="2:24">
      <c r="C317" s="516"/>
    </row>
    <row r="318" spans="2:24">
      <c r="C318" s="516"/>
    </row>
    <row r="319" spans="2:24">
      <c r="C319" s="516"/>
    </row>
    <row r="320" spans="2:24">
      <c r="C320" s="516"/>
    </row>
    <row r="321" spans="3:3">
      <c r="C321" s="516"/>
    </row>
    <row r="322" spans="3:3">
      <c r="C322" s="516"/>
    </row>
    <row r="323" spans="3:3">
      <c r="C323" s="516"/>
    </row>
    <row r="324" spans="3:3">
      <c r="C324" s="516"/>
    </row>
    <row r="325" spans="3:3">
      <c r="C325" s="516"/>
    </row>
    <row r="326" spans="3:3">
      <c r="C326" s="516"/>
    </row>
  </sheetData>
  <mergeCells count="82">
    <mergeCell ref="C247:C256"/>
    <mergeCell ref="C257:C266"/>
    <mergeCell ref="C317:C326"/>
    <mergeCell ref="C267:C276"/>
    <mergeCell ref="C277:C286"/>
    <mergeCell ref="C287:C296"/>
    <mergeCell ref="C297:C306"/>
    <mergeCell ref="C307:C31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B237:B246"/>
    <mergeCell ref="B247:B256"/>
    <mergeCell ref="B257:B266"/>
    <mergeCell ref="B267:B276"/>
    <mergeCell ref="B277:B286"/>
    <mergeCell ref="B187:B196"/>
    <mergeCell ref="B197:B206"/>
    <mergeCell ref="B207:B216"/>
    <mergeCell ref="B217:B226"/>
    <mergeCell ref="B227:B236"/>
    <mergeCell ref="B137:B146"/>
    <mergeCell ref="B147:B156"/>
    <mergeCell ref="B157:B166"/>
    <mergeCell ref="B167:B176"/>
    <mergeCell ref="B177:B186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</mergeCells>
  <phoneticPr fontId="16" type="noConversion"/>
  <dataValidations count="2">
    <dataValidation type="list" allowBlank="1" showInputMessage="1" showErrorMessage="1" sqref="U1:U1048576">
      <formula1>$AB$28:$AB$35</formula1>
    </dataValidation>
    <dataValidation type="list" allowBlank="1" showInputMessage="1" showErrorMessage="1" sqref="T1:T1048576">
      <formula1>$AB$38:$AB$42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26"/>
  <sheetViews>
    <sheetView zoomScale="70" zoomScaleNormal="70" workbookViewId="0">
      <pane xSplit="4" ySplit="6" topLeftCell="Q7" activePane="bottomRight" state="frozen"/>
      <selection activeCell="Z121" sqref="Z121"/>
      <selection pane="topRight" activeCell="Z121" sqref="Z121"/>
      <selection pane="bottomLeft" activeCell="Z121" sqref="Z121"/>
      <selection pane="bottomRight" activeCell="E57" sqref="E57:X66"/>
    </sheetView>
  </sheetViews>
  <sheetFormatPr defaultColWidth="8.85546875" defaultRowHeight="14.25"/>
  <cols>
    <col min="1" max="1" width="8.85546875" style="196"/>
    <col min="2" max="2" width="12.42578125" style="196" customWidth="1"/>
    <col min="3" max="3" width="8.85546875" style="196"/>
    <col min="4" max="4" width="6.85546875" style="196" customWidth="1"/>
    <col min="5" max="5" width="39.28515625" style="196" bestFit="1" customWidth="1"/>
    <col min="6" max="6" width="13.5703125" style="196" bestFit="1" customWidth="1"/>
    <col min="7" max="7" width="16" style="196" bestFit="1" customWidth="1"/>
    <col min="8" max="8" width="13.5703125" style="196" bestFit="1" customWidth="1"/>
    <col min="9" max="9" width="16.85546875" style="196" customWidth="1"/>
    <col min="10" max="10" width="10.28515625" style="196" bestFit="1" customWidth="1"/>
    <col min="11" max="11" width="11.5703125" style="196" bestFit="1" customWidth="1"/>
    <col min="12" max="12" width="10.28515625" style="196" bestFit="1" customWidth="1"/>
    <col min="13" max="13" width="19.42578125" style="196" customWidth="1"/>
    <col min="14" max="14" width="13.5703125" style="196" bestFit="1" customWidth="1"/>
    <col min="15" max="18" width="14" style="196" customWidth="1"/>
    <col min="19" max="19" width="17.42578125" style="196" bestFit="1" customWidth="1"/>
    <col min="20" max="20" width="16.42578125" style="196" bestFit="1" customWidth="1"/>
    <col min="21" max="21" width="35.28515625" style="196" bestFit="1" customWidth="1"/>
    <col min="22" max="22" width="96.28515625" style="196" customWidth="1"/>
    <col min="23" max="23" width="7.42578125" style="196" bestFit="1" customWidth="1"/>
    <col min="24" max="24" width="39.285156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1" t="s">
        <v>357</v>
      </c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02"/>
      <c r="X2" s="502"/>
      <c r="Z2" s="197"/>
      <c r="AA2" s="197"/>
    </row>
    <row r="3" spans="2:34" ht="17.100000000000001" customHeight="1">
      <c r="B3" s="503" t="s">
        <v>246</v>
      </c>
      <c r="C3" s="504"/>
      <c r="D3" s="500" t="s">
        <v>175</v>
      </c>
      <c r="E3" s="500"/>
      <c r="F3" s="500"/>
      <c r="G3" s="500" t="s">
        <v>189</v>
      </c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 t="s">
        <v>176</v>
      </c>
      <c r="U3" s="512" t="s">
        <v>247</v>
      </c>
      <c r="V3" s="512" t="s">
        <v>262</v>
      </c>
      <c r="W3" s="512" t="s">
        <v>248</v>
      </c>
      <c r="X3" s="515" t="s">
        <v>177</v>
      </c>
      <c r="Z3" s="500" t="s">
        <v>249</v>
      </c>
      <c r="AA3" s="500"/>
      <c r="AB3" s="500"/>
      <c r="AC3" s="500"/>
      <c r="AD3" s="500"/>
      <c r="AE3" s="500"/>
      <c r="AF3" s="500"/>
      <c r="AG3" s="500"/>
      <c r="AH3" s="500"/>
    </row>
    <row r="4" spans="2:34" ht="17.100000000000001" customHeight="1">
      <c r="B4" s="505"/>
      <c r="C4" s="506"/>
      <c r="D4" s="499" t="s">
        <v>174</v>
      </c>
      <c r="E4" s="500" t="s">
        <v>178</v>
      </c>
      <c r="F4" s="500"/>
      <c r="G4" s="500" t="s">
        <v>190</v>
      </c>
      <c r="H4" s="500"/>
      <c r="I4" s="500"/>
      <c r="J4" s="500"/>
      <c r="K4" s="500"/>
      <c r="L4" s="500"/>
      <c r="M4" s="500"/>
      <c r="N4" s="500"/>
      <c r="O4" s="500" t="s">
        <v>179</v>
      </c>
      <c r="P4" s="500"/>
      <c r="Q4" s="500"/>
      <c r="R4" s="500"/>
      <c r="S4" s="500"/>
      <c r="T4" s="500"/>
      <c r="U4" s="513"/>
      <c r="V4" s="513"/>
      <c r="W4" s="513"/>
      <c r="X4" s="515"/>
      <c r="Z4" s="500"/>
      <c r="AA4" s="500"/>
      <c r="AB4" s="500"/>
      <c r="AC4" s="500"/>
      <c r="AD4" s="500"/>
      <c r="AE4" s="500"/>
      <c r="AF4" s="500"/>
      <c r="AG4" s="500"/>
      <c r="AH4" s="500"/>
    </row>
    <row r="5" spans="2:34" ht="17.100000000000001" customHeight="1">
      <c r="B5" s="505"/>
      <c r="C5" s="506"/>
      <c r="D5" s="499"/>
      <c r="E5" s="499" t="s">
        <v>180</v>
      </c>
      <c r="F5" s="515" t="s">
        <v>427</v>
      </c>
      <c r="G5" s="493" t="s">
        <v>191</v>
      </c>
      <c r="H5" s="493"/>
      <c r="I5" s="493"/>
      <c r="J5" s="493"/>
      <c r="K5" s="493"/>
      <c r="L5" s="493"/>
      <c r="M5" s="493"/>
      <c r="N5" s="493"/>
      <c r="O5" s="517" t="s">
        <v>173</v>
      </c>
      <c r="P5" s="518"/>
      <c r="Q5" s="519"/>
      <c r="R5" s="493" t="s">
        <v>181</v>
      </c>
      <c r="S5" s="493"/>
      <c r="T5" s="500"/>
      <c r="U5" s="513"/>
      <c r="V5" s="513"/>
      <c r="W5" s="513"/>
      <c r="X5" s="515"/>
      <c r="Z5" s="500"/>
      <c r="AA5" s="500"/>
      <c r="AB5" s="500"/>
      <c r="AC5" s="500"/>
      <c r="AD5" s="500"/>
      <c r="AE5" s="500"/>
      <c r="AF5" s="500"/>
      <c r="AG5" s="500"/>
      <c r="AH5" s="500"/>
    </row>
    <row r="6" spans="2:34" ht="38.450000000000003" customHeight="1">
      <c r="B6" s="507"/>
      <c r="C6" s="508"/>
      <c r="D6" s="499"/>
      <c r="E6" s="499"/>
      <c r="F6" s="515"/>
      <c r="G6" s="207" t="s">
        <v>182</v>
      </c>
      <c r="H6" s="207" t="s">
        <v>263</v>
      </c>
      <c r="I6" s="207" t="s">
        <v>264</v>
      </c>
      <c r="J6" s="207" t="s">
        <v>183</v>
      </c>
      <c r="K6" s="207" t="s">
        <v>257</v>
      </c>
      <c r="L6" s="207" t="s">
        <v>184</v>
      </c>
      <c r="M6" s="207" t="s">
        <v>192</v>
      </c>
      <c r="N6" s="207" t="s">
        <v>185</v>
      </c>
      <c r="O6" s="208" t="s">
        <v>186</v>
      </c>
      <c r="P6" s="208" t="s">
        <v>187</v>
      </c>
      <c r="Q6" s="207" t="s">
        <v>188</v>
      </c>
      <c r="R6" s="208" t="s">
        <v>186</v>
      </c>
      <c r="S6" s="208" t="s">
        <v>187</v>
      </c>
      <c r="T6" s="500"/>
      <c r="U6" s="514"/>
      <c r="V6" s="514"/>
      <c r="W6" s="514"/>
      <c r="X6" s="515"/>
      <c r="Z6" s="231" t="s">
        <v>242</v>
      </c>
      <c r="AA6" s="231" t="s">
        <v>259</v>
      </c>
      <c r="AB6" s="222" t="s">
        <v>265</v>
      </c>
      <c r="AC6" s="222" t="s">
        <v>266</v>
      </c>
      <c r="AD6" s="222" t="s">
        <v>243</v>
      </c>
      <c r="AE6" s="222" t="s">
        <v>244</v>
      </c>
      <c r="AF6" s="222" t="s">
        <v>254</v>
      </c>
      <c r="AG6" s="222" t="s">
        <v>255</v>
      </c>
      <c r="AH6" s="222" t="s">
        <v>260</v>
      </c>
    </row>
    <row r="7" spans="2:34" ht="16.5">
      <c r="B7" s="494">
        <v>45931</v>
      </c>
      <c r="C7" s="497" t="s">
        <v>114</v>
      </c>
      <c r="D7" s="209">
        <v>1</v>
      </c>
      <c r="E7" s="198" t="s">
        <v>574</v>
      </c>
      <c r="F7" s="287">
        <v>4651.3728000000065</v>
      </c>
      <c r="G7" s="287">
        <v>185.01</v>
      </c>
      <c r="H7" s="287">
        <v>188.05</v>
      </c>
      <c r="I7" s="210">
        <f>H7/G7</f>
        <v>1.016431544240852</v>
      </c>
      <c r="J7" s="249">
        <v>8.85</v>
      </c>
      <c r="K7" s="210">
        <f>J7/G7</f>
        <v>4.7835252148532514E-2</v>
      </c>
      <c r="L7" s="249">
        <v>421.32</v>
      </c>
      <c r="M7" s="211">
        <f>(H7+J7)/G7</f>
        <v>1.0642667963893844</v>
      </c>
      <c r="N7" s="287">
        <v>5009.4948000000059</v>
      </c>
      <c r="O7" s="287">
        <v>0.85</v>
      </c>
      <c r="P7" s="206">
        <v>4.5943462515539704E-3</v>
      </c>
      <c r="Q7" s="287">
        <v>358.12199999999996</v>
      </c>
      <c r="R7" s="287">
        <v>11.040000000000015</v>
      </c>
      <c r="S7" s="206">
        <v>5.9672450137830471E-2</v>
      </c>
      <c r="T7" s="245" t="s">
        <v>418</v>
      </c>
      <c r="U7" s="198" t="s">
        <v>217</v>
      </c>
      <c r="V7" s="205" t="s">
        <v>587</v>
      </c>
      <c r="W7" s="205">
        <v>1</v>
      </c>
      <c r="X7" s="205" t="s">
        <v>585</v>
      </c>
      <c r="Y7" s="201" t="s">
        <v>351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0</v>
      </c>
      <c r="AC7" s="227">
        <f t="shared" ref="AC7:AH7" ca="1" si="0">SUMIF($U$7:$U$10000,TRIM(AC6),$W$7:$W$46)</f>
        <v>0</v>
      </c>
      <c r="AD7" s="227">
        <f t="shared" ca="1" si="0"/>
        <v>39</v>
      </c>
      <c r="AE7" s="227">
        <f t="shared" ca="1" si="0"/>
        <v>7</v>
      </c>
      <c r="AF7" s="227">
        <f t="shared" ca="1" si="0"/>
        <v>5</v>
      </c>
      <c r="AG7" s="227">
        <f t="shared" ca="1" si="0"/>
        <v>0</v>
      </c>
      <c r="AH7" s="227">
        <f t="shared" ca="1" si="0"/>
        <v>0</v>
      </c>
    </row>
    <row r="8" spans="2:34" ht="16.5">
      <c r="B8" s="495"/>
      <c r="C8" s="498"/>
      <c r="D8" s="209">
        <v>2</v>
      </c>
      <c r="E8" s="198" t="s">
        <v>526</v>
      </c>
      <c r="F8" s="287">
        <v>2447.2799999999993</v>
      </c>
      <c r="G8" s="287">
        <v>8.6240000000000006</v>
      </c>
      <c r="H8" s="287">
        <v>11</v>
      </c>
      <c r="I8" s="210">
        <f t="shared" ref="I8:I71" si="1">H8/G8</f>
        <v>1.2755102040816326</v>
      </c>
      <c r="J8" s="249"/>
      <c r="K8" s="210">
        <f t="shared" ref="K8:K71" si="2">J8/G8</f>
        <v>0</v>
      </c>
      <c r="L8" s="249">
        <v>1030</v>
      </c>
      <c r="M8" s="211">
        <f t="shared" ref="M8:M71" si="3">(H8+J8)/G8</f>
        <v>1.2755102040816326</v>
      </c>
      <c r="N8" s="287">
        <v>2447.2799999999993</v>
      </c>
      <c r="O8" s="287">
        <v>0</v>
      </c>
      <c r="P8" s="206">
        <v>0</v>
      </c>
      <c r="Q8" s="287">
        <v>0</v>
      </c>
      <c r="R8" s="287">
        <v>2.3759999999999994</v>
      </c>
      <c r="S8" s="206">
        <v>0.27551020408163257</v>
      </c>
      <c r="T8" s="245" t="s">
        <v>418</v>
      </c>
      <c r="U8" s="198" t="s">
        <v>217</v>
      </c>
      <c r="V8" s="245"/>
      <c r="W8" s="205">
        <v>1</v>
      </c>
      <c r="X8" s="205" t="s">
        <v>530</v>
      </c>
      <c r="Y8" s="201"/>
      <c r="Z8" s="228"/>
      <c r="AA8" s="230">
        <f t="shared" ref="AA8:AH8" ca="1" si="4">SUMIF($U$7:$U$466,TRIM(AA6),$F$7:$F$46)</f>
        <v>0</v>
      </c>
      <c r="AB8" s="230">
        <f t="shared" ca="1" si="4"/>
        <v>0</v>
      </c>
      <c r="AC8" s="230">
        <f t="shared" ca="1" si="4"/>
        <v>0</v>
      </c>
      <c r="AD8" s="230">
        <f t="shared" ca="1" si="4"/>
        <v>57937.380934756759</v>
      </c>
      <c r="AE8" s="230">
        <f t="shared" ca="1" si="4"/>
        <v>6922.7712100000062</v>
      </c>
      <c r="AF8" s="230">
        <f t="shared" ca="1" si="4"/>
        <v>5374.8589999999958</v>
      </c>
      <c r="AG8" s="230">
        <f t="shared" ca="1" si="4"/>
        <v>0</v>
      </c>
      <c r="AH8" s="230">
        <f t="shared" ca="1" si="4"/>
        <v>0</v>
      </c>
    </row>
    <row r="9" spans="2:34" ht="15.75">
      <c r="B9" s="495"/>
      <c r="C9" s="498"/>
      <c r="D9" s="209">
        <v>3</v>
      </c>
      <c r="E9" s="198" t="s">
        <v>424</v>
      </c>
      <c r="F9" s="287">
        <v>1584.9631000000052</v>
      </c>
      <c r="G9" s="287">
        <v>172.26</v>
      </c>
      <c r="H9" s="287">
        <v>179.78700000000001</v>
      </c>
      <c r="I9" s="210">
        <f t="shared" si="1"/>
        <v>1.0436955764541973</v>
      </c>
      <c r="J9" s="249">
        <v>0</v>
      </c>
      <c r="K9" s="210">
        <f t="shared" si="2"/>
        <v>0</v>
      </c>
      <c r="L9" s="249">
        <v>335.3</v>
      </c>
      <c r="M9" s="211">
        <f t="shared" si="3"/>
        <v>1.0436955764541973</v>
      </c>
      <c r="N9" s="287">
        <v>2523.8031000000051</v>
      </c>
      <c r="O9" s="287">
        <v>2.8</v>
      </c>
      <c r="P9" s="206">
        <v>1.6254499013119702E-2</v>
      </c>
      <c r="Q9" s="287">
        <v>938.83999999999992</v>
      </c>
      <c r="R9" s="287">
        <v>4.7270000000000154</v>
      </c>
      <c r="S9" s="206">
        <v>2.7441077441077533E-2</v>
      </c>
      <c r="T9" s="251" t="s">
        <v>432</v>
      </c>
      <c r="U9" s="198" t="s">
        <v>218</v>
      </c>
      <c r="V9" s="205" t="s">
        <v>445</v>
      </c>
      <c r="W9" s="205">
        <v>1</v>
      </c>
      <c r="X9" s="205" t="s">
        <v>392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0</v>
      </c>
      <c r="AC9" s="227">
        <f t="shared" si="5"/>
        <v>0</v>
      </c>
      <c r="AD9" s="227">
        <f t="shared" si="5"/>
        <v>7</v>
      </c>
      <c r="AE9" s="227">
        <f t="shared" si="5"/>
        <v>3</v>
      </c>
      <c r="AF9" s="227">
        <f t="shared" si="5"/>
        <v>2</v>
      </c>
      <c r="AG9" s="227">
        <f t="shared" si="5"/>
        <v>0</v>
      </c>
      <c r="AH9" s="227">
        <f t="shared" si="5"/>
        <v>0</v>
      </c>
    </row>
    <row r="10" spans="2:34" ht="16.5">
      <c r="B10" s="495"/>
      <c r="C10" s="498"/>
      <c r="D10" s="209">
        <v>4</v>
      </c>
      <c r="E10" s="198" t="s">
        <v>528</v>
      </c>
      <c r="F10" s="287">
        <v>1432.0900000000004</v>
      </c>
      <c r="G10" s="287">
        <v>18.905999999999999</v>
      </c>
      <c r="H10" s="287">
        <v>25</v>
      </c>
      <c r="I10" s="210">
        <f t="shared" si="1"/>
        <v>1.3223315349624458</v>
      </c>
      <c r="J10" s="249"/>
      <c r="K10" s="210">
        <f t="shared" si="2"/>
        <v>0</v>
      </c>
      <c r="L10" s="249">
        <v>235</v>
      </c>
      <c r="M10" s="211">
        <f t="shared" si="3"/>
        <v>1.3223315349624458</v>
      </c>
      <c r="N10" s="287">
        <v>1432.0900000000004</v>
      </c>
      <c r="O10" s="287">
        <v>0</v>
      </c>
      <c r="P10" s="206">
        <v>0</v>
      </c>
      <c r="Q10" s="287">
        <v>0</v>
      </c>
      <c r="R10" s="287">
        <v>6.0940000000000012</v>
      </c>
      <c r="S10" s="206">
        <v>0.32233153496244588</v>
      </c>
      <c r="T10" s="245" t="s">
        <v>418</v>
      </c>
      <c r="U10" s="198" t="s">
        <v>217</v>
      </c>
      <c r="V10" s="205"/>
      <c r="W10" s="205">
        <v>1</v>
      </c>
      <c r="X10" s="205" t="s">
        <v>400</v>
      </c>
      <c r="Y10" s="201" t="s">
        <v>352</v>
      </c>
      <c r="Z10" s="227"/>
      <c r="AA10" s="230">
        <f t="shared" ref="AA10:AH10" si="6">SUMIF($U$47:$U$116,TRIM(AA6),$F$47:$F$116)</f>
        <v>0</v>
      </c>
      <c r="AB10" s="230">
        <f t="shared" si="6"/>
        <v>0</v>
      </c>
      <c r="AC10" s="230">
        <f t="shared" si="6"/>
        <v>0</v>
      </c>
      <c r="AD10" s="230">
        <f t="shared" si="6"/>
        <v>16008.0072</v>
      </c>
      <c r="AE10" s="230">
        <f t="shared" si="6"/>
        <v>3067.4441100000004</v>
      </c>
      <c r="AF10" s="230">
        <f t="shared" si="6"/>
        <v>2078.8599999999979</v>
      </c>
      <c r="AG10" s="230">
        <f t="shared" si="6"/>
        <v>0</v>
      </c>
      <c r="AH10" s="230">
        <f t="shared" si="6"/>
        <v>0</v>
      </c>
    </row>
    <row r="11" spans="2:34" ht="16.5">
      <c r="B11" s="495"/>
      <c r="C11" s="498"/>
      <c r="D11" s="209">
        <v>5</v>
      </c>
      <c r="E11" s="198" t="s">
        <v>560</v>
      </c>
      <c r="F11" s="287">
        <v>1233.4127999999998</v>
      </c>
      <c r="G11" s="287">
        <v>15.992000000000001</v>
      </c>
      <c r="H11" s="287">
        <v>19.5</v>
      </c>
      <c r="I11" s="210">
        <f t="shared" si="1"/>
        <v>1.21935967983992</v>
      </c>
      <c r="J11" s="249"/>
      <c r="K11" s="210">
        <f t="shared" si="2"/>
        <v>0</v>
      </c>
      <c r="L11" s="249">
        <v>351.6</v>
      </c>
      <c r="M11" s="211">
        <f t="shared" si="3"/>
        <v>1.21935967983992</v>
      </c>
      <c r="N11" s="287">
        <v>1233.4127999999998</v>
      </c>
      <c r="O11" s="287">
        <v>0</v>
      </c>
      <c r="P11" s="206">
        <v>0</v>
      </c>
      <c r="Q11" s="287">
        <v>0</v>
      </c>
      <c r="R11" s="287">
        <v>3.5079999999999991</v>
      </c>
      <c r="S11" s="206">
        <v>0.21935967983991989</v>
      </c>
      <c r="T11" s="245" t="s">
        <v>418</v>
      </c>
      <c r="U11" s="198" t="s">
        <v>217</v>
      </c>
      <c r="V11" s="205"/>
      <c r="W11" s="205">
        <v>1</v>
      </c>
      <c r="X11" s="205" t="s">
        <v>555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 ht="16.5">
      <c r="B12" s="495"/>
      <c r="C12" s="498"/>
      <c r="D12" s="209">
        <v>6</v>
      </c>
      <c r="E12" s="198" t="s">
        <v>551</v>
      </c>
      <c r="F12" s="287">
        <v>908.42319999999893</v>
      </c>
      <c r="G12" s="287">
        <v>63.02</v>
      </c>
      <c r="H12" s="287">
        <v>66</v>
      </c>
      <c r="I12" s="210">
        <f t="shared" si="1"/>
        <v>1.047286575690257</v>
      </c>
      <c r="J12" s="249"/>
      <c r="K12" s="210">
        <f t="shared" si="2"/>
        <v>0</v>
      </c>
      <c r="L12" s="249">
        <v>304.83999999999997</v>
      </c>
      <c r="M12" s="211">
        <f t="shared" si="3"/>
        <v>1.047286575690257</v>
      </c>
      <c r="N12" s="287">
        <v>908.42319999999893</v>
      </c>
      <c r="O12" s="287">
        <v>0</v>
      </c>
      <c r="P12" s="206">
        <v>0</v>
      </c>
      <c r="Q12" s="287">
        <v>0</v>
      </c>
      <c r="R12" s="287">
        <v>2.9799999999999969</v>
      </c>
      <c r="S12" s="206">
        <v>4.7286575690257009E-2</v>
      </c>
      <c r="T12" s="245" t="s">
        <v>418</v>
      </c>
      <c r="U12" s="198" t="s">
        <v>217</v>
      </c>
      <c r="V12" s="205"/>
      <c r="W12" s="205">
        <v>1</v>
      </c>
      <c r="X12" s="205" t="s">
        <v>400</v>
      </c>
      <c r="Y12" s="201"/>
      <c r="Z12" s="228">
        <f>SUM(W117:W186)</f>
        <v>68</v>
      </c>
      <c r="AA12" s="227">
        <f t="shared" ref="AA12:AH12" si="7">SUMIF($U$117:$U$186,TRIM(AA6),$W$117:$W$186)</f>
        <v>0</v>
      </c>
      <c r="AB12" s="227">
        <f t="shared" si="7"/>
        <v>0</v>
      </c>
      <c r="AC12" s="227">
        <f t="shared" si="7"/>
        <v>0</v>
      </c>
      <c r="AD12" s="227">
        <f t="shared" si="7"/>
        <v>0</v>
      </c>
      <c r="AE12" s="227">
        <f t="shared" si="7"/>
        <v>0</v>
      </c>
      <c r="AF12" s="227">
        <f t="shared" si="7"/>
        <v>0</v>
      </c>
      <c r="AG12" s="227">
        <f t="shared" si="7"/>
        <v>0</v>
      </c>
      <c r="AH12" s="227">
        <f t="shared" si="7"/>
        <v>0</v>
      </c>
    </row>
    <row r="13" spans="2:34" ht="16.5">
      <c r="B13" s="495"/>
      <c r="C13" s="498"/>
      <c r="D13" s="209">
        <v>7</v>
      </c>
      <c r="E13" s="198" t="s">
        <v>558</v>
      </c>
      <c r="F13" s="287">
        <v>537.875</v>
      </c>
      <c r="G13" s="287">
        <v>63.45</v>
      </c>
      <c r="H13" s="287">
        <v>63.5</v>
      </c>
      <c r="I13" s="210">
        <f t="shared" si="1"/>
        <v>1.0007880220646177</v>
      </c>
      <c r="J13" s="249">
        <v>2.4500000000000002</v>
      </c>
      <c r="K13" s="210">
        <f t="shared" si="2"/>
        <v>3.8613081166272656E-2</v>
      </c>
      <c r="L13" s="249">
        <v>215.15</v>
      </c>
      <c r="M13" s="211">
        <f t="shared" si="3"/>
        <v>1.0394011032308905</v>
      </c>
      <c r="N13" s="287">
        <v>537.875</v>
      </c>
      <c r="O13" s="287">
        <v>0</v>
      </c>
      <c r="P13" s="206">
        <v>0</v>
      </c>
      <c r="Q13" s="287">
        <v>0</v>
      </c>
      <c r="R13" s="287">
        <v>2.5</v>
      </c>
      <c r="S13" s="206">
        <v>3.9401103230890466E-2</v>
      </c>
      <c r="T13" s="245" t="s">
        <v>418</v>
      </c>
      <c r="U13" s="198" t="s">
        <v>217</v>
      </c>
      <c r="V13" s="205"/>
      <c r="W13" s="205">
        <v>1</v>
      </c>
      <c r="X13" s="205" t="s">
        <v>554</v>
      </c>
      <c r="Y13" s="201" t="s">
        <v>353</v>
      </c>
      <c r="Z13" s="227"/>
      <c r="AA13" s="230">
        <f t="shared" ref="AA13:AH13" si="8">SUMIF($U$117:$U$186,TRIM(AA6),$F$117:$F$186)</f>
        <v>0</v>
      </c>
      <c r="AB13" s="230">
        <f t="shared" si="8"/>
        <v>0</v>
      </c>
      <c r="AC13" s="230">
        <f t="shared" si="8"/>
        <v>0</v>
      </c>
      <c r="AD13" s="230">
        <f t="shared" si="8"/>
        <v>0</v>
      </c>
      <c r="AE13" s="230">
        <f t="shared" si="8"/>
        <v>0</v>
      </c>
      <c r="AF13" s="230">
        <f t="shared" si="8"/>
        <v>0</v>
      </c>
      <c r="AG13" s="230">
        <f t="shared" si="8"/>
        <v>0</v>
      </c>
      <c r="AH13" s="230">
        <f t="shared" si="8"/>
        <v>0</v>
      </c>
    </row>
    <row r="14" spans="2:34" ht="16.5">
      <c r="B14" s="495"/>
      <c r="C14" s="498"/>
      <c r="D14" s="209">
        <v>8</v>
      </c>
      <c r="E14" s="198" t="s">
        <v>416</v>
      </c>
      <c r="F14" s="287">
        <v>371.41945945946208</v>
      </c>
      <c r="G14" s="287">
        <v>579.04999999999995</v>
      </c>
      <c r="H14" s="287">
        <v>588</v>
      </c>
      <c r="I14" s="210">
        <f t="shared" si="1"/>
        <v>1.0154563509196097</v>
      </c>
      <c r="J14" s="249"/>
      <c r="K14" s="210">
        <f t="shared" si="2"/>
        <v>0</v>
      </c>
      <c r="L14" s="249">
        <v>58.21621621621621</v>
      </c>
      <c r="M14" s="211">
        <f t="shared" si="3"/>
        <v>1.0154563509196097</v>
      </c>
      <c r="N14" s="287">
        <v>521.03513513513769</v>
      </c>
      <c r="O14" s="287">
        <v>2.57</v>
      </c>
      <c r="P14" s="206">
        <v>4.438304118815301E-3</v>
      </c>
      <c r="Q14" s="287">
        <v>149.61567567567565</v>
      </c>
      <c r="R14" s="287">
        <v>6.3800000000000452</v>
      </c>
      <c r="S14" s="206">
        <v>1.1018046800794483E-2</v>
      </c>
      <c r="T14" s="245" t="s">
        <v>418</v>
      </c>
      <c r="U14" s="198" t="s">
        <v>217</v>
      </c>
      <c r="V14" s="205"/>
      <c r="W14" s="205">
        <v>1</v>
      </c>
      <c r="X14" s="205" t="s">
        <v>394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 ht="16.5">
      <c r="B15" s="495"/>
      <c r="C15" s="498"/>
      <c r="D15" s="209">
        <v>9</v>
      </c>
      <c r="E15" s="198" t="s">
        <v>531</v>
      </c>
      <c r="F15" s="287">
        <v>365.51304999999974</v>
      </c>
      <c r="G15" s="287">
        <v>632.995</v>
      </c>
      <c r="H15" s="287">
        <v>643</v>
      </c>
      <c r="I15" s="210">
        <f t="shared" si="1"/>
        <v>1.015805812052228</v>
      </c>
      <c r="J15" s="249"/>
      <c r="K15" s="210">
        <f t="shared" si="2"/>
        <v>0</v>
      </c>
      <c r="L15" s="249">
        <v>54.11</v>
      </c>
      <c r="M15" s="211">
        <f t="shared" si="3"/>
        <v>1.015805812052228</v>
      </c>
      <c r="N15" s="287">
        <v>541.37054999999975</v>
      </c>
      <c r="O15" s="287">
        <v>3.25</v>
      </c>
      <c r="P15" s="206">
        <v>5.1343217560960198E-3</v>
      </c>
      <c r="Q15" s="287">
        <v>175.85749999999999</v>
      </c>
      <c r="R15" s="287">
        <v>6.7549999999999955</v>
      </c>
      <c r="S15" s="206">
        <v>1.0671490296131873E-2</v>
      </c>
      <c r="T15" s="245" t="s">
        <v>418</v>
      </c>
      <c r="U15" s="198" t="s">
        <v>217</v>
      </c>
      <c r="V15" s="205"/>
      <c r="W15" s="205">
        <v>1</v>
      </c>
      <c r="X15" s="205" t="s">
        <v>443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0</v>
      </c>
      <c r="AC15" s="227">
        <f t="shared" si="9"/>
        <v>0</v>
      </c>
      <c r="AD15" s="227">
        <f t="shared" si="9"/>
        <v>0</v>
      </c>
      <c r="AE15" s="227">
        <f t="shared" si="9"/>
        <v>0</v>
      </c>
      <c r="AF15" s="227">
        <f t="shared" si="9"/>
        <v>0</v>
      </c>
      <c r="AG15" s="227">
        <f t="shared" si="9"/>
        <v>0</v>
      </c>
      <c r="AH15" s="227">
        <f t="shared" si="9"/>
        <v>0</v>
      </c>
    </row>
    <row r="16" spans="2:34" ht="15.75">
      <c r="B16" s="496"/>
      <c r="C16" s="498"/>
      <c r="D16" s="209">
        <v>10</v>
      </c>
      <c r="E16" s="198" t="s">
        <v>544</v>
      </c>
      <c r="F16" s="287">
        <v>343.2</v>
      </c>
      <c r="G16" s="287">
        <v>4660</v>
      </c>
      <c r="H16" s="287">
        <v>4660</v>
      </c>
      <c r="I16" s="210">
        <f t="shared" si="1"/>
        <v>1</v>
      </c>
      <c r="J16" s="249">
        <v>80</v>
      </c>
      <c r="K16" s="210">
        <f t="shared" si="2"/>
        <v>1.7167381974248927E-2</v>
      </c>
      <c r="L16" s="249">
        <v>4.29</v>
      </c>
      <c r="M16" s="211">
        <f t="shared" si="3"/>
        <v>1.0171673819742488</v>
      </c>
      <c r="N16" s="287">
        <v>343.2</v>
      </c>
      <c r="O16" s="287">
        <v>0</v>
      </c>
      <c r="P16" s="206">
        <v>0</v>
      </c>
      <c r="Q16" s="287">
        <v>0</v>
      </c>
      <c r="R16" s="287">
        <v>80</v>
      </c>
      <c r="S16" s="206">
        <v>1.7167381974248927E-2</v>
      </c>
      <c r="T16" s="251" t="s">
        <v>432</v>
      </c>
      <c r="U16" s="198" t="s">
        <v>218</v>
      </c>
      <c r="V16" s="205" t="s">
        <v>588</v>
      </c>
      <c r="W16" s="205">
        <v>1</v>
      </c>
      <c r="X16" s="205" t="s">
        <v>534</v>
      </c>
      <c r="Y16" s="201" t="s">
        <v>354</v>
      </c>
      <c r="Z16" s="227"/>
      <c r="AA16" s="230">
        <f t="shared" ref="AA16:AH16" si="10">SUMIF($U$187:$U$256,TRIM(AA6),$F$187:$F$256)</f>
        <v>0</v>
      </c>
      <c r="AB16" s="230">
        <f t="shared" si="10"/>
        <v>0</v>
      </c>
      <c r="AC16" s="230">
        <f t="shared" si="10"/>
        <v>0</v>
      </c>
      <c r="AD16" s="230">
        <f t="shared" si="10"/>
        <v>0</v>
      </c>
      <c r="AE16" s="230">
        <f t="shared" si="10"/>
        <v>0</v>
      </c>
      <c r="AF16" s="230">
        <f t="shared" si="10"/>
        <v>0</v>
      </c>
      <c r="AG16" s="230">
        <f t="shared" si="10"/>
        <v>0</v>
      </c>
      <c r="AH16" s="230">
        <f t="shared" si="10"/>
        <v>0</v>
      </c>
    </row>
    <row r="17" spans="2:34" ht="16.5">
      <c r="B17" s="494">
        <v>45932</v>
      </c>
      <c r="C17" s="497" t="s">
        <v>115</v>
      </c>
      <c r="D17" s="209">
        <v>1</v>
      </c>
      <c r="E17" s="198" t="s">
        <v>574</v>
      </c>
      <c r="F17" s="287">
        <v>6498.8609999999926</v>
      </c>
      <c r="G17" s="287">
        <v>172.02500000000001</v>
      </c>
      <c r="H17" s="287">
        <v>187.45</v>
      </c>
      <c r="I17" s="210">
        <f t="shared" si="1"/>
        <v>1.0896671995349512</v>
      </c>
      <c r="J17" s="249"/>
      <c r="K17" s="210">
        <f t="shared" si="2"/>
        <v>0</v>
      </c>
      <c r="L17" s="249">
        <v>421.32</v>
      </c>
      <c r="M17" s="211">
        <f t="shared" si="3"/>
        <v>1.0896671995349512</v>
      </c>
      <c r="N17" s="287">
        <v>6498.8609999999926</v>
      </c>
      <c r="O17" s="287">
        <v>0</v>
      </c>
      <c r="P17" s="206">
        <v>0</v>
      </c>
      <c r="Q17" s="287">
        <v>0</v>
      </c>
      <c r="R17" s="287">
        <v>15.424999999999983</v>
      </c>
      <c r="S17" s="206">
        <v>8.9667199534951211E-2</v>
      </c>
      <c r="T17" s="245" t="s">
        <v>418</v>
      </c>
      <c r="U17" s="198" t="s">
        <v>217</v>
      </c>
      <c r="V17" s="205" t="s">
        <v>586</v>
      </c>
      <c r="W17" s="205">
        <v>1</v>
      </c>
      <c r="X17" s="205" t="s">
        <v>585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 ht="16.5">
      <c r="B18" s="495"/>
      <c r="C18" s="498"/>
      <c r="D18" s="209">
        <v>2</v>
      </c>
      <c r="E18" s="198" t="s">
        <v>446</v>
      </c>
      <c r="F18" s="287">
        <v>4004.8</v>
      </c>
      <c r="G18" s="287">
        <v>86.975999999999999</v>
      </c>
      <c r="H18" s="287">
        <v>107</v>
      </c>
      <c r="I18" s="210">
        <f t="shared" si="1"/>
        <v>1.2302244297277409</v>
      </c>
      <c r="J18" s="249"/>
      <c r="K18" s="210">
        <f t="shared" si="2"/>
        <v>0</v>
      </c>
      <c r="L18" s="249">
        <v>200</v>
      </c>
      <c r="M18" s="211">
        <f t="shared" si="3"/>
        <v>1.2302244297277409</v>
      </c>
      <c r="N18" s="287">
        <v>4004.8</v>
      </c>
      <c r="O18" s="287">
        <v>0</v>
      </c>
      <c r="P18" s="206">
        <v>0</v>
      </c>
      <c r="Q18" s="287">
        <v>0</v>
      </c>
      <c r="R18" s="287">
        <v>20.024000000000001</v>
      </c>
      <c r="S18" s="206">
        <v>0.23022442972774099</v>
      </c>
      <c r="T18" s="245" t="s">
        <v>418</v>
      </c>
      <c r="U18" s="198" t="s">
        <v>217</v>
      </c>
      <c r="V18" s="205"/>
      <c r="W18" s="205">
        <v>1</v>
      </c>
      <c r="X18" s="205" t="s">
        <v>399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0</v>
      </c>
      <c r="AE18" s="227">
        <f t="shared" si="11"/>
        <v>0</v>
      </c>
      <c r="AF18" s="227">
        <f t="shared" si="11"/>
        <v>0</v>
      </c>
      <c r="AG18" s="227">
        <f t="shared" si="11"/>
        <v>0</v>
      </c>
      <c r="AH18" s="227">
        <f t="shared" si="11"/>
        <v>0</v>
      </c>
    </row>
    <row r="19" spans="2:34" ht="16.5">
      <c r="B19" s="495"/>
      <c r="C19" s="498"/>
      <c r="D19" s="209">
        <v>3</v>
      </c>
      <c r="E19" s="198" t="s">
        <v>560</v>
      </c>
      <c r="F19" s="287">
        <v>1295.2943999999998</v>
      </c>
      <c r="G19" s="287">
        <v>12.816000000000001</v>
      </c>
      <c r="H19" s="287">
        <v>16.5</v>
      </c>
      <c r="I19" s="210">
        <f t="shared" si="1"/>
        <v>1.2874531835205991</v>
      </c>
      <c r="J19" s="249"/>
      <c r="K19" s="210">
        <f t="shared" si="2"/>
        <v>0</v>
      </c>
      <c r="L19" s="249">
        <v>351.6</v>
      </c>
      <c r="M19" s="211">
        <f t="shared" si="3"/>
        <v>1.2874531835205991</v>
      </c>
      <c r="N19" s="287">
        <v>1295.2943999999998</v>
      </c>
      <c r="O19" s="287">
        <v>0</v>
      </c>
      <c r="P19" s="206">
        <v>0</v>
      </c>
      <c r="Q19" s="287">
        <v>0</v>
      </c>
      <c r="R19" s="287">
        <v>3.6839999999999993</v>
      </c>
      <c r="S19" s="206">
        <v>0.28745318352059918</v>
      </c>
      <c r="T19" s="245" t="s">
        <v>418</v>
      </c>
      <c r="U19" s="198" t="s">
        <v>217</v>
      </c>
      <c r="V19" s="205"/>
      <c r="W19" s="205">
        <v>1</v>
      </c>
      <c r="X19" s="205" t="s">
        <v>555</v>
      </c>
      <c r="Y19" s="201" t="s">
        <v>355</v>
      </c>
      <c r="Z19" s="227"/>
      <c r="AA19" s="230">
        <f t="shared" ref="AA19:AH19" si="12">SUMIF($U$257:$U$326,TRIM(AA6),$F$257:$F$326)</f>
        <v>0</v>
      </c>
      <c r="AB19" s="230">
        <f t="shared" si="12"/>
        <v>0</v>
      </c>
      <c r="AC19" s="230">
        <f t="shared" si="12"/>
        <v>0</v>
      </c>
      <c r="AD19" s="230">
        <f t="shared" si="12"/>
        <v>0</v>
      </c>
      <c r="AE19" s="230">
        <f t="shared" si="12"/>
        <v>0</v>
      </c>
      <c r="AF19" s="230">
        <f t="shared" si="12"/>
        <v>0</v>
      </c>
      <c r="AG19" s="230">
        <f t="shared" si="12"/>
        <v>0</v>
      </c>
      <c r="AH19" s="230">
        <f t="shared" si="12"/>
        <v>0</v>
      </c>
    </row>
    <row r="20" spans="2:34" ht="16.5">
      <c r="B20" s="495"/>
      <c r="C20" s="498"/>
      <c r="D20" s="209">
        <v>4</v>
      </c>
      <c r="E20" s="198" t="s">
        <v>424</v>
      </c>
      <c r="F20" s="287">
        <v>1264.0809999999979</v>
      </c>
      <c r="G20" s="287">
        <v>159.18</v>
      </c>
      <c r="H20" s="287">
        <v>164.5</v>
      </c>
      <c r="I20" s="210">
        <f t="shared" si="1"/>
        <v>1.0334212840809147</v>
      </c>
      <c r="J20" s="249"/>
      <c r="K20" s="210">
        <f t="shared" si="2"/>
        <v>0</v>
      </c>
      <c r="L20" s="249">
        <v>335.3</v>
      </c>
      <c r="M20" s="211">
        <f t="shared" si="3"/>
        <v>1.0334212840809147</v>
      </c>
      <c r="N20" s="287">
        <v>1783.7959999999978</v>
      </c>
      <c r="O20" s="287">
        <v>1.55</v>
      </c>
      <c r="P20" s="206">
        <v>9.7374041965070986E-3</v>
      </c>
      <c r="Q20" s="287">
        <v>519.71500000000003</v>
      </c>
      <c r="R20" s="287">
        <v>3.7699999999999934</v>
      </c>
      <c r="S20" s="206">
        <v>2.3683879884407545E-2</v>
      </c>
      <c r="T20" s="245" t="s">
        <v>433</v>
      </c>
      <c r="U20" s="198" t="s">
        <v>219</v>
      </c>
      <c r="V20" s="205" t="s">
        <v>529</v>
      </c>
      <c r="W20" s="205">
        <v>1</v>
      </c>
      <c r="X20" s="205" t="s">
        <v>392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 ht="16.5">
      <c r="B21" s="495"/>
      <c r="C21" s="498"/>
      <c r="D21" s="209">
        <v>5</v>
      </c>
      <c r="E21" s="198" t="s">
        <v>537</v>
      </c>
      <c r="F21" s="287">
        <v>520.53600000000108</v>
      </c>
      <c r="G21" s="287">
        <v>176.126</v>
      </c>
      <c r="H21" s="287">
        <v>179.3</v>
      </c>
      <c r="I21" s="210">
        <f t="shared" si="1"/>
        <v>1.0180211893757878</v>
      </c>
      <c r="J21" s="249"/>
      <c r="K21" s="210">
        <f t="shared" si="2"/>
        <v>0</v>
      </c>
      <c r="L21" s="249">
        <v>164</v>
      </c>
      <c r="M21" s="211">
        <f t="shared" si="3"/>
        <v>1.0180211893757878</v>
      </c>
      <c r="N21" s="287">
        <v>520.53600000000108</v>
      </c>
      <c r="O21" s="287">
        <v>0</v>
      </c>
      <c r="P21" s="206">
        <v>0</v>
      </c>
      <c r="Q21" s="287">
        <v>0</v>
      </c>
      <c r="R21" s="287">
        <v>3.1740000000000066</v>
      </c>
      <c r="S21" s="206">
        <v>1.8021189375787824E-2</v>
      </c>
      <c r="T21" s="245" t="s">
        <v>432</v>
      </c>
      <c r="U21" s="198" t="s">
        <v>218</v>
      </c>
      <c r="V21" s="205" t="s">
        <v>591</v>
      </c>
      <c r="W21" s="205">
        <v>1</v>
      </c>
      <c r="X21" s="205" t="s">
        <v>423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 ht="16.5">
      <c r="B22" s="495"/>
      <c r="C22" s="498"/>
      <c r="D22" s="209">
        <v>6</v>
      </c>
      <c r="E22" s="198" t="s">
        <v>551</v>
      </c>
      <c r="F22" s="287">
        <v>466.40520000000032</v>
      </c>
      <c r="G22" s="287">
        <v>56.72</v>
      </c>
      <c r="H22" s="287">
        <v>58.25</v>
      </c>
      <c r="I22" s="210">
        <f t="shared" si="1"/>
        <v>1.0269746121297603</v>
      </c>
      <c r="J22" s="249"/>
      <c r="K22" s="210">
        <f t="shared" si="2"/>
        <v>0</v>
      </c>
      <c r="L22" s="249">
        <v>304.83999999999997</v>
      </c>
      <c r="M22" s="211">
        <f t="shared" si="3"/>
        <v>1.0269746121297603</v>
      </c>
      <c r="N22" s="287">
        <v>466.40520000000032</v>
      </c>
      <c r="O22" s="287">
        <v>0</v>
      </c>
      <c r="P22" s="206">
        <v>0</v>
      </c>
      <c r="Q22" s="287">
        <v>0</v>
      </c>
      <c r="R22" s="287">
        <v>1.5300000000000011</v>
      </c>
      <c r="S22" s="206">
        <v>2.6974612129760246E-2</v>
      </c>
      <c r="T22" s="245" t="s">
        <v>418</v>
      </c>
      <c r="U22" s="198" t="s">
        <v>217</v>
      </c>
      <c r="V22" s="205"/>
      <c r="W22" s="205">
        <v>1</v>
      </c>
      <c r="X22" s="205" t="s">
        <v>400</v>
      </c>
      <c r="Y22" s="229" t="s">
        <v>356</v>
      </c>
      <c r="Z22" s="227">
        <f>SUM(W7:W10000)</f>
        <v>308</v>
      </c>
      <c r="AA22" s="228">
        <f t="shared" ref="AA22:AH22" si="13">SUMIF($U$7:$U$10000,TRIM(AA6),$W$7:$W$10000)</f>
        <v>0</v>
      </c>
      <c r="AB22" s="228">
        <f t="shared" si="13"/>
        <v>0</v>
      </c>
      <c r="AC22" s="227">
        <f t="shared" si="13"/>
        <v>0</v>
      </c>
      <c r="AD22" s="227">
        <f t="shared" si="13"/>
        <v>39</v>
      </c>
      <c r="AE22" s="227">
        <f t="shared" si="13"/>
        <v>7</v>
      </c>
      <c r="AF22" s="227">
        <f t="shared" si="13"/>
        <v>5</v>
      </c>
      <c r="AG22" s="227">
        <f t="shared" si="13"/>
        <v>0</v>
      </c>
      <c r="AH22" s="227">
        <f t="shared" si="13"/>
        <v>0</v>
      </c>
    </row>
    <row r="23" spans="2:34" ht="16.5">
      <c r="B23" s="495"/>
      <c r="C23" s="498"/>
      <c r="D23" s="209">
        <v>7</v>
      </c>
      <c r="E23" s="198" t="s">
        <v>412</v>
      </c>
      <c r="F23" s="287">
        <v>424.7450000000012</v>
      </c>
      <c r="G23" s="287">
        <v>373.05</v>
      </c>
      <c r="H23" s="287">
        <v>378.04700000000003</v>
      </c>
      <c r="I23" s="210">
        <f t="shared" si="1"/>
        <v>1.0133949872671224</v>
      </c>
      <c r="J23" s="249"/>
      <c r="K23" s="210">
        <f t="shared" si="2"/>
        <v>0</v>
      </c>
      <c r="L23" s="249">
        <v>85</v>
      </c>
      <c r="M23" s="211">
        <f t="shared" si="3"/>
        <v>1.0133949872671224</v>
      </c>
      <c r="N23" s="287">
        <v>424.7450000000012</v>
      </c>
      <c r="O23" s="287">
        <v>0</v>
      </c>
      <c r="P23" s="206">
        <v>0</v>
      </c>
      <c r="Q23" s="287">
        <v>0</v>
      </c>
      <c r="R23" s="287">
        <v>4.9970000000000141</v>
      </c>
      <c r="S23" s="206">
        <v>1.3394987267122406E-2</v>
      </c>
      <c r="T23" s="245" t="s">
        <v>418</v>
      </c>
      <c r="U23" s="198" t="s">
        <v>217</v>
      </c>
      <c r="V23" s="205"/>
      <c r="W23" s="205">
        <v>1</v>
      </c>
      <c r="X23" s="205" t="s">
        <v>397</v>
      </c>
      <c r="Z23" s="227"/>
      <c r="AA23" s="230">
        <f t="shared" ref="AA23:AH23" si="14">SUMIF($U$7:$U$10000,TRIM(AA6),$F$7:$F$10000)</f>
        <v>0</v>
      </c>
      <c r="AB23" s="230">
        <f t="shared" si="14"/>
        <v>0</v>
      </c>
      <c r="AC23" s="230">
        <f t="shared" si="14"/>
        <v>0</v>
      </c>
      <c r="AD23" s="230">
        <f t="shared" si="14"/>
        <v>57937.380934756759</v>
      </c>
      <c r="AE23" s="230">
        <f t="shared" si="14"/>
        <v>6922.7712100000062</v>
      </c>
      <c r="AF23" s="230">
        <f t="shared" si="14"/>
        <v>5374.8589999999958</v>
      </c>
      <c r="AG23" s="230">
        <f t="shared" si="14"/>
        <v>0</v>
      </c>
      <c r="AH23" s="230">
        <f t="shared" si="14"/>
        <v>0</v>
      </c>
    </row>
    <row r="24" spans="2:34" ht="16.5">
      <c r="B24" s="495"/>
      <c r="C24" s="498"/>
      <c r="D24" s="209">
        <v>8</v>
      </c>
      <c r="E24" s="198" t="s">
        <v>557</v>
      </c>
      <c r="F24" s="287">
        <v>289.69684000000115</v>
      </c>
      <c r="G24" s="287">
        <v>92.915999999999997</v>
      </c>
      <c r="H24" s="287">
        <v>106.9</v>
      </c>
      <c r="I24" s="210">
        <f t="shared" si="1"/>
        <v>1.1505015282620863</v>
      </c>
      <c r="J24" s="249"/>
      <c r="K24" s="210">
        <f t="shared" si="2"/>
        <v>0</v>
      </c>
      <c r="L24" s="249">
        <v>139.01</v>
      </c>
      <c r="M24" s="211">
        <f t="shared" si="3"/>
        <v>1.1505015282620863</v>
      </c>
      <c r="N24" s="287">
        <v>1943.915840000001</v>
      </c>
      <c r="O24" s="287">
        <v>11.9</v>
      </c>
      <c r="P24" s="206">
        <v>0.12807266778595722</v>
      </c>
      <c r="Q24" s="287">
        <v>1654.2190000000001</v>
      </c>
      <c r="R24" s="287">
        <v>2.0840000000000085</v>
      </c>
      <c r="S24" s="206">
        <v>2.2428860476129069E-2</v>
      </c>
      <c r="T24" s="245" t="s">
        <v>418</v>
      </c>
      <c r="U24" s="198" t="s">
        <v>217</v>
      </c>
      <c r="V24" s="205"/>
      <c r="W24" s="205">
        <v>1</v>
      </c>
      <c r="X24" s="205" t="s">
        <v>555</v>
      </c>
    </row>
    <row r="25" spans="2:34" ht="16.5">
      <c r="B25" s="495"/>
      <c r="C25" s="498"/>
      <c r="D25" s="209">
        <v>9</v>
      </c>
      <c r="E25" s="198" t="s">
        <v>558</v>
      </c>
      <c r="F25" s="287">
        <v>221.6045000000012</v>
      </c>
      <c r="G25" s="287">
        <v>60.57</v>
      </c>
      <c r="H25" s="287">
        <v>68.900000000000006</v>
      </c>
      <c r="I25" s="210">
        <f t="shared" si="1"/>
        <v>1.1375268284629356</v>
      </c>
      <c r="J25" s="249"/>
      <c r="K25" s="210">
        <f t="shared" si="2"/>
        <v>0</v>
      </c>
      <c r="L25" s="249">
        <v>215.15</v>
      </c>
      <c r="M25" s="211">
        <f t="shared" si="3"/>
        <v>1.1375268284629356</v>
      </c>
      <c r="N25" s="287">
        <v>1792.1995000000013</v>
      </c>
      <c r="O25" s="287">
        <v>7.3</v>
      </c>
      <c r="P25" s="206">
        <v>0.12052171041769853</v>
      </c>
      <c r="Q25" s="287">
        <v>1570.595</v>
      </c>
      <c r="R25" s="287">
        <v>1.0300000000000056</v>
      </c>
      <c r="S25" s="206">
        <v>1.7005118045237008E-2</v>
      </c>
      <c r="T25" s="245" t="s">
        <v>418</v>
      </c>
      <c r="U25" s="198" t="s">
        <v>217</v>
      </c>
      <c r="V25" s="205"/>
      <c r="W25" s="205">
        <v>1</v>
      </c>
      <c r="X25" s="205" t="s">
        <v>554</v>
      </c>
    </row>
    <row r="26" spans="2:34" ht="16.5">
      <c r="B26" s="496"/>
      <c r="C26" s="498"/>
      <c r="D26" s="209">
        <v>10</v>
      </c>
      <c r="E26" s="198" t="s">
        <v>590</v>
      </c>
      <c r="F26" s="287">
        <v>216.01599999999914</v>
      </c>
      <c r="G26" s="287">
        <v>30.632000000000001</v>
      </c>
      <c r="H26" s="287">
        <v>31</v>
      </c>
      <c r="I26" s="210">
        <f t="shared" si="1"/>
        <v>1.0120135805693391</v>
      </c>
      <c r="J26" s="249"/>
      <c r="K26" s="210">
        <f t="shared" si="2"/>
        <v>0</v>
      </c>
      <c r="L26" s="249">
        <v>587</v>
      </c>
      <c r="M26" s="211">
        <f t="shared" si="3"/>
        <v>1.0120135805693391</v>
      </c>
      <c r="N26" s="287">
        <v>216.01599999999914</v>
      </c>
      <c r="O26" s="287">
        <v>0</v>
      </c>
      <c r="P26" s="206">
        <v>0</v>
      </c>
      <c r="Q26" s="287">
        <v>0</v>
      </c>
      <c r="R26" s="287">
        <v>0.36799999999999855</v>
      </c>
      <c r="S26" s="206">
        <v>1.2013580569339205E-2</v>
      </c>
      <c r="T26" s="245" t="s">
        <v>418</v>
      </c>
      <c r="U26" s="198" t="s">
        <v>217</v>
      </c>
      <c r="V26" s="205"/>
      <c r="W26" s="205">
        <v>1</v>
      </c>
      <c r="X26" s="205" t="s">
        <v>530</v>
      </c>
    </row>
    <row r="27" spans="2:34" ht="16.5">
      <c r="B27" s="494">
        <v>45933</v>
      </c>
      <c r="C27" s="497" t="s">
        <v>116</v>
      </c>
      <c r="D27" s="209">
        <v>1</v>
      </c>
      <c r="E27" s="198" t="s">
        <v>410</v>
      </c>
      <c r="F27" s="288">
        <v>2153.9706999999985</v>
      </c>
      <c r="G27" s="288">
        <v>99.135000000000005</v>
      </c>
      <c r="H27" s="288">
        <v>100</v>
      </c>
      <c r="I27" s="210">
        <f t="shared" si="1"/>
        <v>1.0087254753618802</v>
      </c>
      <c r="J27" s="250">
        <v>15.05</v>
      </c>
      <c r="K27" s="210">
        <f t="shared" si="2"/>
        <v>0.15181318404196298</v>
      </c>
      <c r="L27" s="250">
        <v>162.38</v>
      </c>
      <c r="M27" s="211">
        <f t="shared" si="3"/>
        <v>1.1605386594038432</v>
      </c>
      <c r="N27" s="288">
        <v>2584.2776999999987</v>
      </c>
      <c r="O27" s="288">
        <v>2.65</v>
      </c>
      <c r="P27" s="200">
        <v>2.6731225097089823E-2</v>
      </c>
      <c r="Q27" s="288">
        <v>430.30699999999996</v>
      </c>
      <c r="R27" s="288">
        <v>13.264999999999992</v>
      </c>
      <c r="S27" s="200">
        <v>0.13380743430675332</v>
      </c>
      <c r="T27" s="245" t="s">
        <v>418</v>
      </c>
      <c r="U27" s="198" t="s">
        <v>217</v>
      </c>
      <c r="V27" s="198"/>
      <c r="W27" s="205">
        <v>1</v>
      </c>
      <c r="X27" s="198" t="s">
        <v>404</v>
      </c>
    </row>
    <row r="28" spans="2:34" ht="16.5">
      <c r="B28" s="495"/>
      <c r="C28" s="498"/>
      <c r="D28" s="209">
        <v>2</v>
      </c>
      <c r="E28" s="198" t="s">
        <v>535</v>
      </c>
      <c r="F28" s="288">
        <v>1757.4408000000024</v>
      </c>
      <c r="G28" s="288">
        <v>937.42</v>
      </c>
      <c r="H28" s="288">
        <v>975.6</v>
      </c>
      <c r="I28" s="210">
        <f t="shared" si="1"/>
        <v>1.0407288088583559</v>
      </c>
      <c r="J28" s="250">
        <v>12.25</v>
      </c>
      <c r="K28" s="210">
        <f t="shared" si="2"/>
        <v>1.3067781784045572E-2</v>
      </c>
      <c r="L28" s="250">
        <v>39.96</v>
      </c>
      <c r="M28" s="211">
        <f t="shared" si="3"/>
        <v>1.0537965906424016</v>
      </c>
      <c r="N28" s="288">
        <v>2015.1828000000025</v>
      </c>
      <c r="O28" s="288">
        <v>6.45</v>
      </c>
      <c r="P28" s="200">
        <v>6.88058714343624E-3</v>
      </c>
      <c r="Q28" s="288">
        <v>257.74200000000002</v>
      </c>
      <c r="R28" s="288">
        <v>43.980000000000061</v>
      </c>
      <c r="S28" s="200">
        <v>4.6916003498965311E-2</v>
      </c>
      <c r="T28" s="245" t="s">
        <v>418</v>
      </c>
      <c r="U28" s="198" t="s">
        <v>217</v>
      </c>
      <c r="V28" s="205"/>
      <c r="W28" s="205">
        <v>1</v>
      </c>
      <c r="X28" s="198" t="s">
        <v>585</v>
      </c>
    </row>
    <row r="29" spans="2:34" ht="16.5">
      <c r="B29" s="495"/>
      <c r="C29" s="498"/>
      <c r="D29" s="209">
        <v>3</v>
      </c>
      <c r="E29" s="198" t="s">
        <v>537</v>
      </c>
      <c r="F29" s="288">
        <v>1406.6279999999997</v>
      </c>
      <c r="G29" s="288">
        <v>151.97300000000001</v>
      </c>
      <c r="H29" s="288">
        <v>160.55000000000001</v>
      </c>
      <c r="I29" s="210">
        <f t="shared" si="1"/>
        <v>1.056437656689017</v>
      </c>
      <c r="J29" s="250"/>
      <c r="K29" s="210">
        <f t="shared" si="2"/>
        <v>0</v>
      </c>
      <c r="L29" s="250">
        <v>164</v>
      </c>
      <c r="M29" s="211">
        <f t="shared" si="3"/>
        <v>1.056437656689017</v>
      </c>
      <c r="N29" s="288">
        <v>1406.6279999999997</v>
      </c>
      <c r="O29" s="288">
        <v>0</v>
      </c>
      <c r="P29" s="200">
        <v>0</v>
      </c>
      <c r="Q29" s="288">
        <v>0</v>
      </c>
      <c r="R29" s="288">
        <v>8.5769999999999982</v>
      </c>
      <c r="S29" s="200">
        <v>5.643765668901711E-2</v>
      </c>
      <c r="T29" s="245" t="s">
        <v>432</v>
      </c>
      <c r="U29" s="198" t="s">
        <v>218</v>
      </c>
      <c r="V29" s="198" t="s">
        <v>591</v>
      </c>
      <c r="W29" s="205">
        <v>1</v>
      </c>
      <c r="X29" s="198" t="s">
        <v>423</v>
      </c>
    </row>
    <row r="30" spans="2:34" ht="16.5">
      <c r="B30" s="495"/>
      <c r="C30" s="498"/>
      <c r="D30" s="209">
        <v>4</v>
      </c>
      <c r="E30" s="198" t="s">
        <v>424</v>
      </c>
      <c r="F30" s="288">
        <v>979.07599999999968</v>
      </c>
      <c r="G30" s="288">
        <v>129.18</v>
      </c>
      <c r="H30" s="288">
        <v>132.65</v>
      </c>
      <c r="I30" s="210">
        <f t="shared" si="1"/>
        <v>1.0268617433039171</v>
      </c>
      <c r="J30" s="250"/>
      <c r="K30" s="210">
        <f t="shared" si="2"/>
        <v>0</v>
      </c>
      <c r="L30" s="250">
        <v>335.3</v>
      </c>
      <c r="M30" s="211">
        <f t="shared" si="3"/>
        <v>1.0268617433039171</v>
      </c>
      <c r="N30" s="288">
        <v>1163.4909999999998</v>
      </c>
      <c r="O30" s="288">
        <v>0.55000000000000004</v>
      </c>
      <c r="P30" s="200">
        <v>4.2576250193528415E-3</v>
      </c>
      <c r="Q30" s="288">
        <v>184.41500000000002</v>
      </c>
      <c r="R30" s="288">
        <v>2.919999999999999</v>
      </c>
      <c r="S30" s="200">
        <v>2.2604118284564167E-2</v>
      </c>
      <c r="T30" s="245" t="s">
        <v>433</v>
      </c>
      <c r="U30" s="198" t="s">
        <v>219</v>
      </c>
      <c r="V30" s="198" t="s">
        <v>529</v>
      </c>
      <c r="W30" s="205">
        <v>1</v>
      </c>
      <c r="X30" s="198" t="s">
        <v>392</v>
      </c>
      <c r="AA30" s="196">
        <v>1</v>
      </c>
      <c r="AB30" s="196" t="s">
        <v>422</v>
      </c>
    </row>
    <row r="31" spans="2:34" ht="16.5">
      <c r="B31" s="495"/>
      <c r="C31" s="498"/>
      <c r="D31" s="209">
        <v>5</v>
      </c>
      <c r="E31" s="198" t="s">
        <v>590</v>
      </c>
      <c r="F31" s="288">
        <v>737.27200000000016</v>
      </c>
      <c r="G31" s="288">
        <v>21.643999999999998</v>
      </c>
      <c r="H31" s="288">
        <v>21.5</v>
      </c>
      <c r="I31" s="210">
        <f t="shared" si="1"/>
        <v>0.99334688597301801</v>
      </c>
      <c r="J31" s="250">
        <v>1.4</v>
      </c>
      <c r="K31" s="210">
        <f t="shared" si="2"/>
        <v>6.4683053040103494E-2</v>
      </c>
      <c r="L31" s="250">
        <v>587</v>
      </c>
      <c r="M31" s="211">
        <f t="shared" si="3"/>
        <v>1.0580299390131214</v>
      </c>
      <c r="N31" s="288">
        <v>737.27200000000016</v>
      </c>
      <c r="O31" s="288">
        <v>0</v>
      </c>
      <c r="P31" s="200">
        <v>0</v>
      </c>
      <c r="Q31" s="288">
        <v>0</v>
      </c>
      <c r="R31" s="288">
        <v>1.2560000000000002</v>
      </c>
      <c r="S31" s="200">
        <v>5.8029939013121437E-2</v>
      </c>
      <c r="T31" s="245" t="s">
        <v>418</v>
      </c>
      <c r="U31" s="198" t="s">
        <v>217</v>
      </c>
      <c r="V31" s="205"/>
      <c r="W31" s="205">
        <v>1</v>
      </c>
      <c r="X31" s="198" t="s">
        <v>530</v>
      </c>
      <c r="AA31" s="196">
        <v>2</v>
      </c>
      <c r="AB31" s="196" t="s">
        <v>419</v>
      </c>
    </row>
    <row r="32" spans="2:34" ht="16.5">
      <c r="B32" s="495"/>
      <c r="C32" s="498"/>
      <c r="D32" s="209">
        <v>6</v>
      </c>
      <c r="E32" s="198" t="s">
        <v>526</v>
      </c>
      <c r="F32" s="288">
        <v>606.67000000000041</v>
      </c>
      <c r="G32" s="288">
        <v>5.4109999999999996</v>
      </c>
      <c r="H32" s="288">
        <v>6</v>
      </c>
      <c r="I32" s="210">
        <f t="shared" si="1"/>
        <v>1.1088523378303456</v>
      </c>
      <c r="J32" s="250"/>
      <c r="K32" s="210">
        <f t="shared" si="2"/>
        <v>0</v>
      </c>
      <c r="L32" s="250">
        <v>1030</v>
      </c>
      <c r="M32" s="211">
        <f t="shared" si="3"/>
        <v>1.1088523378303456</v>
      </c>
      <c r="N32" s="288">
        <v>606.67000000000041</v>
      </c>
      <c r="O32" s="288">
        <v>0</v>
      </c>
      <c r="P32" s="200">
        <v>0</v>
      </c>
      <c r="Q32" s="288">
        <v>0</v>
      </c>
      <c r="R32" s="288">
        <v>0.58900000000000041</v>
      </c>
      <c r="S32" s="200">
        <v>0.10885233783034567</v>
      </c>
      <c r="T32" s="245" t="s">
        <v>418</v>
      </c>
      <c r="U32" s="198" t="s">
        <v>217</v>
      </c>
      <c r="V32" s="198"/>
      <c r="W32" s="205">
        <v>1</v>
      </c>
      <c r="X32" s="198" t="s">
        <v>530</v>
      </c>
      <c r="AA32" s="196">
        <v>3</v>
      </c>
      <c r="AB32" s="196" t="s">
        <v>428</v>
      </c>
    </row>
    <row r="33" spans="2:28" ht="16.5">
      <c r="B33" s="495"/>
      <c r="C33" s="498"/>
      <c r="D33" s="209">
        <v>7</v>
      </c>
      <c r="E33" s="198" t="s">
        <v>426</v>
      </c>
      <c r="F33" s="288">
        <v>568.81472999999767</v>
      </c>
      <c r="G33" s="288">
        <v>53.688000000000002</v>
      </c>
      <c r="H33" s="288">
        <v>55.040999999999997</v>
      </c>
      <c r="I33" s="210">
        <f t="shared" si="1"/>
        <v>1.0252011622708985</v>
      </c>
      <c r="J33" s="250"/>
      <c r="K33" s="210">
        <f t="shared" si="2"/>
        <v>0</v>
      </c>
      <c r="L33" s="250">
        <v>420.41</v>
      </c>
      <c r="M33" s="211">
        <f t="shared" si="3"/>
        <v>1.0252011622708985</v>
      </c>
      <c r="N33" s="288">
        <v>568.81472999999767</v>
      </c>
      <c r="O33" s="288">
        <v>0</v>
      </c>
      <c r="P33" s="200">
        <v>0</v>
      </c>
      <c r="Q33" s="288">
        <v>0</v>
      </c>
      <c r="R33" s="288">
        <v>1.3529999999999944</v>
      </c>
      <c r="S33" s="200">
        <v>2.5201162270898421E-2</v>
      </c>
      <c r="T33" s="245" t="s">
        <v>431</v>
      </c>
      <c r="U33" s="198" t="s">
        <v>430</v>
      </c>
      <c r="V33" s="198"/>
      <c r="W33" s="205">
        <v>1</v>
      </c>
      <c r="X33" s="198" t="s">
        <v>402</v>
      </c>
      <c r="AA33" s="196">
        <v>4</v>
      </c>
      <c r="AB33" s="196" t="s">
        <v>217</v>
      </c>
    </row>
    <row r="34" spans="2:28" ht="16.5">
      <c r="B34" s="495"/>
      <c r="C34" s="498"/>
      <c r="D34" s="209">
        <v>8</v>
      </c>
      <c r="E34" s="198" t="s">
        <v>412</v>
      </c>
      <c r="F34" s="288">
        <v>466.64999999999981</v>
      </c>
      <c r="G34" s="288">
        <v>293.76</v>
      </c>
      <c r="H34" s="288">
        <v>300.2</v>
      </c>
      <c r="I34" s="210">
        <f t="shared" si="1"/>
        <v>1.0219226579520697</v>
      </c>
      <c r="J34" s="250"/>
      <c r="K34" s="210">
        <f t="shared" si="2"/>
        <v>0</v>
      </c>
      <c r="L34" s="250">
        <v>85</v>
      </c>
      <c r="M34" s="211">
        <f t="shared" si="3"/>
        <v>1.0219226579520697</v>
      </c>
      <c r="N34" s="288">
        <v>547.39999999999986</v>
      </c>
      <c r="O34" s="288">
        <v>0.95</v>
      </c>
      <c r="P34" s="200">
        <v>3.2339324618736384E-3</v>
      </c>
      <c r="Q34" s="288">
        <v>80.75</v>
      </c>
      <c r="R34" s="288">
        <v>5.4899999999999975</v>
      </c>
      <c r="S34" s="200">
        <v>1.8688725490196071E-2</v>
      </c>
      <c r="T34" s="245" t="s">
        <v>418</v>
      </c>
      <c r="U34" s="198" t="s">
        <v>217</v>
      </c>
      <c r="V34" s="205"/>
      <c r="W34" s="205">
        <v>1</v>
      </c>
      <c r="X34" s="198" t="s">
        <v>397</v>
      </c>
      <c r="AA34" s="196">
        <v>5</v>
      </c>
      <c r="AB34" s="196" t="s">
        <v>218</v>
      </c>
    </row>
    <row r="35" spans="2:28" ht="16.5">
      <c r="B35" s="495"/>
      <c r="C35" s="498"/>
      <c r="D35" s="209">
        <v>9</v>
      </c>
      <c r="E35" s="198" t="s">
        <v>589</v>
      </c>
      <c r="F35" s="288">
        <v>298.85644799999943</v>
      </c>
      <c r="G35" s="288">
        <v>4.0196000000000005</v>
      </c>
      <c r="H35" s="288">
        <v>4.46</v>
      </c>
      <c r="I35" s="210">
        <f t="shared" si="1"/>
        <v>1.109563140611006</v>
      </c>
      <c r="J35" s="250"/>
      <c r="K35" s="210">
        <f t="shared" si="2"/>
        <v>0</v>
      </c>
      <c r="L35" s="250">
        <v>1029.1200000000001</v>
      </c>
      <c r="M35" s="211">
        <f t="shared" si="3"/>
        <v>1.109563140611006</v>
      </c>
      <c r="N35" s="288">
        <v>453.22444799999948</v>
      </c>
      <c r="O35" s="288">
        <v>0.15</v>
      </c>
      <c r="P35" s="200">
        <v>3.7317145984675087E-2</v>
      </c>
      <c r="Q35" s="288">
        <v>154.36800000000002</v>
      </c>
      <c r="R35" s="288">
        <v>0.29039999999999944</v>
      </c>
      <c r="S35" s="200">
        <v>7.2245994626330828E-2</v>
      </c>
      <c r="T35" s="245" t="s">
        <v>418</v>
      </c>
      <c r="U35" s="198" t="s">
        <v>217</v>
      </c>
      <c r="V35" s="198"/>
      <c r="W35" s="205">
        <v>1</v>
      </c>
      <c r="X35" s="198" t="s">
        <v>554</v>
      </c>
      <c r="AA35" s="196">
        <v>6</v>
      </c>
      <c r="AB35" s="196" t="s">
        <v>219</v>
      </c>
    </row>
    <row r="36" spans="2:28" ht="16.5">
      <c r="B36" s="496"/>
      <c r="C36" s="498"/>
      <c r="D36" s="209">
        <v>10</v>
      </c>
      <c r="E36" s="198" t="s">
        <v>416</v>
      </c>
      <c r="F36" s="288">
        <v>284.67729729729649</v>
      </c>
      <c r="G36" s="288">
        <v>496.91</v>
      </c>
      <c r="H36" s="288">
        <v>501.8</v>
      </c>
      <c r="I36" s="210">
        <f t="shared" si="1"/>
        <v>1.0098408162443904</v>
      </c>
      <c r="J36" s="250"/>
      <c r="K36" s="210">
        <f t="shared" si="2"/>
        <v>0</v>
      </c>
      <c r="L36" s="250">
        <v>58.21621621621621</v>
      </c>
      <c r="M36" s="211">
        <f t="shared" si="3"/>
        <v>1.0098408162443904</v>
      </c>
      <c r="N36" s="288">
        <v>284.67729729729649</v>
      </c>
      <c r="O36" s="288">
        <v>0</v>
      </c>
      <c r="P36" s="200">
        <v>0</v>
      </c>
      <c r="Q36" s="288">
        <v>0</v>
      </c>
      <c r="R36" s="288">
        <v>4.8899999999999864</v>
      </c>
      <c r="S36" s="200">
        <v>9.8408162443903036E-3</v>
      </c>
      <c r="T36" s="245" t="s">
        <v>418</v>
      </c>
      <c r="U36" s="198" t="s">
        <v>217</v>
      </c>
      <c r="V36" s="198"/>
      <c r="W36" s="205">
        <v>1</v>
      </c>
      <c r="X36" s="198" t="s">
        <v>394</v>
      </c>
      <c r="AA36" s="196">
        <v>7</v>
      </c>
      <c r="AB36" s="196" t="s">
        <v>429</v>
      </c>
    </row>
    <row r="37" spans="2:28" ht="16.5">
      <c r="B37" s="494">
        <v>45934</v>
      </c>
      <c r="C37" s="497" t="s">
        <v>117</v>
      </c>
      <c r="D37" s="209">
        <v>1</v>
      </c>
      <c r="E37" s="198" t="s">
        <v>574</v>
      </c>
      <c r="F37" s="288">
        <v>5215.9415999999983</v>
      </c>
      <c r="G37" s="288">
        <v>194.32</v>
      </c>
      <c r="H37" s="288">
        <v>206.7</v>
      </c>
      <c r="I37" s="210">
        <f t="shared" si="1"/>
        <v>1.0637093454096336</v>
      </c>
      <c r="J37" s="250"/>
      <c r="K37" s="210">
        <f t="shared" si="2"/>
        <v>0</v>
      </c>
      <c r="L37" s="250">
        <v>421.32</v>
      </c>
      <c r="M37" s="211">
        <f t="shared" si="3"/>
        <v>1.0637093454096336</v>
      </c>
      <c r="N37" s="288">
        <v>5215.9415999999983</v>
      </c>
      <c r="O37" s="288">
        <v>0</v>
      </c>
      <c r="P37" s="200">
        <v>0</v>
      </c>
      <c r="Q37" s="288">
        <v>0</v>
      </c>
      <c r="R37" s="288">
        <v>12.379999999999995</v>
      </c>
      <c r="S37" s="200">
        <v>6.3709345409633578E-2</v>
      </c>
      <c r="T37" s="245" t="s">
        <v>418</v>
      </c>
      <c r="U37" s="198" t="s">
        <v>217</v>
      </c>
      <c r="V37" s="198"/>
      <c r="W37" s="205">
        <v>1</v>
      </c>
      <c r="X37" s="198" t="s">
        <v>585</v>
      </c>
      <c r="AA37" s="196">
        <v>8</v>
      </c>
      <c r="AB37" s="196" t="s">
        <v>430</v>
      </c>
    </row>
    <row r="38" spans="2:28" ht="16.5">
      <c r="B38" s="495"/>
      <c r="C38" s="498"/>
      <c r="D38" s="209">
        <v>2</v>
      </c>
      <c r="E38" s="198" t="s">
        <v>560</v>
      </c>
      <c r="F38" s="288">
        <v>1562.5104000000003</v>
      </c>
      <c r="G38" s="288">
        <v>9.0559999999999992</v>
      </c>
      <c r="H38" s="288">
        <v>13.5</v>
      </c>
      <c r="I38" s="210">
        <f t="shared" si="1"/>
        <v>1.4907243816254419</v>
      </c>
      <c r="J38" s="250"/>
      <c r="K38" s="210">
        <f t="shared" si="2"/>
        <v>0</v>
      </c>
      <c r="L38" s="250">
        <v>351.6</v>
      </c>
      <c r="M38" s="211">
        <f t="shared" si="3"/>
        <v>1.4907243816254419</v>
      </c>
      <c r="N38" s="288">
        <v>1562.5104000000003</v>
      </c>
      <c r="O38" s="288">
        <v>0</v>
      </c>
      <c r="P38" s="200">
        <v>0</v>
      </c>
      <c r="Q38" s="288">
        <v>0</v>
      </c>
      <c r="R38" s="288">
        <v>4.4440000000000008</v>
      </c>
      <c r="S38" s="200">
        <v>0.49072438162544185</v>
      </c>
      <c r="T38" s="245" t="s">
        <v>418</v>
      </c>
      <c r="U38" s="198" t="s">
        <v>217</v>
      </c>
      <c r="V38" s="198"/>
      <c r="W38" s="205">
        <v>1</v>
      </c>
      <c r="X38" s="198" t="s">
        <v>555</v>
      </c>
    </row>
    <row r="39" spans="2:28" ht="16.5">
      <c r="B39" s="495"/>
      <c r="C39" s="498"/>
      <c r="D39" s="209">
        <v>3</v>
      </c>
      <c r="E39" s="198" t="s">
        <v>424</v>
      </c>
      <c r="F39" s="288">
        <v>1052.8420000000006</v>
      </c>
      <c r="G39" s="288">
        <v>130.08000000000001</v>
      </c>
      <c r="H39" s="288">
        <v>134.36000000000001</v>
      </c>
      <c r="I39" s="210">
        <f t="shared" si="1"/>
        <v>1.0329028290282902</v>
      </c>
      <c r="J39" s="250"/>
      <c r="K39" s="210">
        <f t="shared" si="2"/>
        <v>0</v>
      </c>
      <c r="L39" s="250">
        <v>335.3</v>
      </c>
      <c r="M39" s="211">
        <f t="shared" si="3"/>
        <v>1.0329028290282902</v>
      </c>
      <c r="N39" s="288">
        <v>1435.0840000000005</v>
      </c>
      <c r="O39" s="288">
        <v>1.1399999999999999</v>
      </c>
      <c r="P39" s="200">
        <v>8.763837638376383E-3</v>
      </c>
      <c r="Q39" s="288">
        <v>382.24199999999996</v>
      </c>
      <c r="R39" s="288">
        <v>3.1400000000000015</v>
      </c>
      <c r="S39" s="200">
        <v>2.4138991389913909E-2</v>
      </c>
      <c r="T39" s="245" t="s">
        <v>433</v>
      </c>
      <c r="U39" s="198" t="s">
        <v>219</v>
      </c>
      <c r="V39" s="198" t="s">
        <v>529</v>
      </c>
      <c r="W39" s="205">
        <v>1</v>
      </c>
      <c r="X39" s="198" t="s">
        <v>392</v>
      </c>
    </row>
    <row r="40" spans="2:28" ht="16.5">
      <c r="B40" s="495"/>
      <c r="C40" s="498"/>
      <c r="D40" s="209">
        <v>4</v>
      </c>
      <c r="E40" s="198" t="s">
        <v>528</v>
      </c>
      <c r="F40" s="288">
        <v>764.45500000000004</v>
      </c>
      <c r="G40" s="288">
        <v>12.747</v>
      </c>
      <c r="H40" s="288">
        <v>16</v>
      </c>
      <c r="I40" s="210">
        <f t="shared" si="1"/>
        <v>1.2551973013258022</v>
      </c>
      <c r="J40" s="250"/>
      <c r="K40" s="210">
        <f t="shared" si="2"/>
        <v>0</v>
      </c>
      <c r="L40" s="250">
        <v>235</v>
      </c>
      <c r="M40" s="211">
        <f t="shared" si="3"/>
        <v>1.2551973013258022</v>
      </c>
      <c r="N40" s="288">
        <v>764.45500000000004</v>
      </c>
      <c r="O40" s="288">
        <v>0</v>
      </c>
      <c r="P40" s="200">
        <v>0</v>
      </c>
      <c r="Q40" s="288">
        <v>0</v>
      </c>
      <c r="R40" s="288">
        <v>3.2530000000000001</v>
      </c>
      <c r="S40" s="200">
        <v>0.25519730132580215</v>
      </c>
      <c r="T40" s="245" t="s">
        <v>418</v>
      </c>
      <c r="U40" s="198" t="s">
        <v>217</v>
      </c>
      <c r="V40" s="247"/>
      <c r="W40" s="205">
        <v>1</v>
      </c>
      <c r="X40" s="198" t="s">
        <v>400</v>
      </c>
      <c r="AA40" s="252">
        <v>1</v>
      </c>
      <c r="AB40" s="196" t="s">
        <v>431</v>
      </c>
    </row>
    <row r="41" spans="2:28" ht="16.5">
      <c r="B41" s="495"/>
      <c r="C41" s="498"/>
      <c r="D41" s="209">
        <v>5</v>
      </c>
      <c r="E41" s="198" t="s">
        <v>556</v>
      </c>
      <c r="F41" s="288">
        <v>635.28720000000033</v>
      </c>
      <c r="G41" s="288">
        <v>105.21</v>
      </c>
      <c r="H41" s="288">
        <v>117.3</v>
      </c>
      <c r="I41" s="210">
        <f t="shared" si="1"/>
        <v>1.1149130310806958</v>
      </c>
      <c r="J41" s="250"/>
      <c r="K41" s="210">
        <f t="shared" si="2"/>
        <v>0</v>
      </c>
      <c r="L41" s="250">
        <v>105.17999999999999</v>
      </c>
      <c r="M41" s="211">
        <f t="shared" si="3"/>
        <v>1.1149130310806958</v>
      </c>
      <c r="N41" s="288">
        <v>1271.6262000000004</v>
      </c>
      <c r="O41" s="288">
        <v>6.05</v>
      </c>
      <c r="P41" s="200">
        <v>5.7504039539967688E-2</v>
      </c>
      <c r="Q41" s="288">
        <v>636.33899999999994</v>
      </c>
      <c r="R41" s="288">
        <v>6.0400000000000036</v>
      </c>
      <c r="S41" s="200">
        <v>5.7408991540728108E-2</v>
      </c>
      <c r="T41" s="245" t="s">
        <v>418</v>
      </c>
      <c r="U41" s="198" t="s">
        <v>217</v>
      </c>
      <c r="V41" s="198"/>
      <c r="W41" s="205">
        <v>1</v>
      </c>
      <c r="X41" s="198" t="s">
        <v>554</v>
      </c>
      <c r="AA41" s="196">
        <v>2</v>
      </c>
      <c r="AB41" s="196" t="s">
        <v>418</v>
      </c>
    </row>
    <row r="42" spans="2:28" ht="16.5">
      <c r="B42" s="495"/>
      <c r="C42" s="498"/>
      <c r="D42" s="209">
        <v>6</v>
      </c>
      <c r="E42" s="198" t="s">
        <v>558</v>
      </c>
      <c r="F42" s="288">
        <v>507.75399999999894</v>
      </c>
      <c r="G42" s="288">
        <v>45.09</v>
      </c>
      <c r="H42" s="288">
        <v>50.9</v>
      </c>
      <c r="I42" s="210">
        <f t="shared" si="1"/>
        <v>1.128853404302506</v>
      </c>
      <c r="J42" s="250"/>
      <c r="K42" s="210">
        <f t="shared" si="2"/>
        <v>0</v>
      </c>
      <c r="L42" s="250">
        <v>215.15</v>
      </c>
      <c r="M42" s="211">
        <f t="shared" si="3"/>
        <v>1.128853404302506</v>
      </c>
      <c r="N42" s="288">
        <v>1250.0214999999989</v>
      </c>
      <c r="O42" s="288">
        <v>3.45</v>
      </c>
      <c r="P42" s="200">
        <v>7.651363938789088E-2</v>
      </c>
      <c r="Q42" s="288">
        <v>742.26750000000004</v>
      </c>
      <c r="R42" s="288">
        <v>2.359999999999995</v>
      </c>
      <c r="S42" s="200">
        <v>5.2339764914615096E-2</v>
      </c>
      <c r="T42" s="245" t="s">
        <v>418</v>
      </c>
      <c r="U42" s="198" t="s">
        <v>217</v>
      </c>
      <c r="V42" s="198"/>
      <c r="W42" s="205">
        <v>1</v>
      </c>
      <c r="X42" s="198" t="s">
        <v>554</v>
      </c>
      <c r="AA42" s="253">
        <v>3</v>
      </c>
      <c r="AB42" s="196" t="s">
        <v>433</v>
      </c>
    </row>
    <row r="43" spans="2:28" ht="16.5">
      <c r="B43" s="495"/>
      <c r="C43" s="498"/>
      <c r="D43" s="209">
        <v>7</v>
      </c>
      <c r="E43" s="198" t="s">
        <v>415</v>
      </c>
      <c r="F43" s="288">
        <v>444.73000000000206</v>
      </c>
      <c r="G43" s="288">
        <v>886.4</v>
      </c>
      <c r="H43" s="288">
        <v>900.7</v>
      </c>
      <c r="I43" s="210">
        <f t="shared" si="1"/>
        <v>1.0161326714801444</v>
      </c>
      <c r="J43" s="250"/>
      <c r="K43" s="210">
        <f t="shared" si="2"/>
        <v>0</v>
      </c>
      <c r="L43" s="250">
        <v>31.099999999999998</v>
      </c>
      <c r="M43" s="211">
        <f t="shared" si="3"/>
        <v>1.0161326714801444</v>
      </c>
      <c r="N43" s="288">
        <v>444.73000000000206</v>
      </c>
      <c r="O43" s="288">
        <v>0</v>
      </c>
      <c r="P43" s="200">
        <v>0</v>
      </c>
      <c r="Q43" s="288">
        <v>0</v>
      </c>
      <c r="R43" s="288">
        <v>14.300000000000068</v>
      </c>
      <c r="S43" s="200">
        <v>1.6132671480144481E-2</v>
      </c>
      <c r="T43" s="245" t="s">
        <v>418</v>
      </c>
      <c r="U43" s="198" t="s">
        <v>217</v>
      </c>
      <c r="V43" s="198"/>
      <c r="W43" s="205">
        <v>1</v>
      </c>
      <c r="X43" s="198" t="s">
        <v>402</v>
      </c>
      <c r="AA43" s="253">
        <v>4</v>
      </c>
      <c r="AB43" s="196" t="s">
        <v>434</v>
      </c>
    </row>
    <row r="44" spans="2:28" ht="16.5">
      <c r="B44" s="495"/>
      <c r="C44" s="498"/>
      <c r="D44" s="209">
        <v>8</v>
      </c>
      <c r="E44" s="198" t="s">
        <v>412</v>
      </c>
      <c r="F44" s="288">
        <v>432.64999999999986</v>
      </c>
      <c r="G44" s="288">
        <v>282.95999999999998</v>
      </c>
      <c r="H44" s="288">
        <v>288.64999999999998</v>
      </c>
      <c r="I44" s="210">
        <f t="shared" si="1"/>
        <v>1.0201088493073225</v>
      </c>
      <c r="J44" s="250"/>
      <c r="K44" s="210">
        <f t="shared" si="2"/>
        <v>0</v>
      </c>
      <c r="L44" s="250">
        <v>85</v>
      </c>
      <c r="M44" s="211">
        <f t="shared" si="3"/>
        <v>1.0201088493073225</v>
      </c>
      <c r="N44" s="288">
        <v>483.64999999999981</v>
      </c>
      <c r="O44" s="288">
        <v>0.6</v>
      </c>
      <c r="P44" s="200">
        <v>2.1204410517387615E-3</v>
      </c>
      <c r="Q44" s="288">
        <v>51</v>
      </c>
      <c r="R44" s="288">
        <v>5.0899999999999981</v>
      </c>
      <c r="S44" s="200">
        <v>1.7988408255583822E-2</v>
      </c>
      <c r="T44" s="245" t="s">
        <v>418</v>
      </c>
      <c r="U44" s="198" t="s">
        <v>217</v>
      </c>
      <c r="V44" s="198"/>
      <c r="W44" s="205">
        <v>1</v>
      </c>
      <c r="X44" s="198" t="s">
        <v>397</v>
      </c>
      <c r="AA44" s="196">
        <v>5</v>
      </c>
      <c r="AB44" s="196" t="s">
        <v>432</v>
      </c>
    </row>
    <row r="45" spans="2:28" ht="16.5">
      <c r="B45" s="495"/>
      <c r="C45" s="498"/>
      <c r="D45" s="209">
        <v>9</v>
      </c>
      <c r="E45" s="198" t="s">
        <v>557</v>
      </c>
      <c r="F45" s="288">
        <v>353.64144000000005</v>
      </c>
      <c r="G45" s="288">
        <v>65.656000000000006</v>
      </c>
      <c r="H45" s="288">
        <v>82.65</v>
      </c>
      <c r="I45" s="210">
        <f t="shared" si="1"/>
        <v>1.2588339222614842</v>
      </c>
      <c r="J45" s="250"/>
      <c r="K45" s="210">
        <f t="shared" si="2"/>
        <v>0</v>
      </c>
      <c r="L45" s="250">
        <v>139.01</v>
      </c>
      <c r="M45" s="211">
        <f t="shared" si="3"/>
        <v>1.2588339222614842</v>
      </c>
      <c r="N45" s="288">
        <v>2362.3359399999999</v>
      </c>
      <c r="O45" s="288">
        <v>14.45</v>
      </c>
      <c r="P45" s="200">
        <v>0.22008651151456071</v>
      </c>
      <c r="Q45" s="288">
        <v>2008.6944999999998</v>
      </c>
      <c r="R45" s="288">
        <v>2.5440000000000005</v>
      </c>
      <c r="S45" s="200">
        <v>3.8747410746923359E-2</v>
      </c>
      <c r="T45" s="245" t="s">
        <v>418</v>
      </c>
      <c r="U45" s="198" t="s">
        <v>217</v>
      </c>
      <c r="V45" s="247"/>
      <c r="W45" s="205">
        <v>1</v>
      </c>
      <c r="X45" s="198" t="s">
        <v>555</v>
      </c>
    </row>
    <row r="46" spans="2:28" ht="16.5">
      <c r="B46" s="496"/>
      <c r="C46" s="498"/>
      <c r="D46" s="209">
        <v>10</v>
      </c>
      <c r="E46" s="198" t="s">
        <v>535</v>
      </c>
      <c r="F46" s="288">
        <v>342.05759999999782</v>
      </c>
      <c r="G46" s="288">
        <v>1221.44</v>
      </c>
      <c r="H46" s="288">
        <v>1230</v>
      </c>
      <c r="I46" s="210">
        <f t="shared" si="1"/>
        <v>1.0070081215614357</v>
      </c>
      <c r="J46" s="250"/>
      <c r="K46" s="210">
        <f t="shared" si="2"/>
        <v>0</v>
      </c>
      <c r="L46" s="250">
        <v>39.96</v>
      </c>
      <c r="M46" s="211">
        <f t="shared" si="3"/>
        <v>1.0070081215614357</v>
      </c>
      <c r="N46" s="288">
        <v>342.05759999999782</v>
      </c>
      <c r="O46" s="288">
        <v>0</v>
      </c>
      <c r="P46" s="200">
        <v>0</v>
      </c>
      <c r="Q46" s="288">
        <v>0</v>
      </c>
      <c r="R46" s="288">
        <v>8.5599999999999454</v>
      </c>
      <c r="S46" s="200">
        <v>7.0081215614356375E-3</v>
      </c>
      <c r="T46" s="245" t="s">
        <v>418</v>
      </c>
      <c r="U46" s="198" t="s">
        <v>217</v>
      </c>
      <c r="V46" s="198"/>
      <c r="W46" s="205">
        <v>1</v>
      </c>
      <c r="X46" s="198" t="s">
        <v>585</v>
      </c>
    </row>
    <row r="47" spans="2:28" ht="16.5">
      <c r="B47" s="494">
        <v>45935</v>
      </c>
      <c r="C47" s="497" t="s">
        <v>118</v>
      </c>
      <c r="D47" s="209">
        <v>1</v>
      </c>
      <c r="E47" s="198" t="s">
        <v>446</v>
      </c>
      <c r="F47" s="288">
        <v>2214.4000000000005</v>
      </c>
      <c r="G47" s="288">
        <v>68.927999999999997</v>
      </c>
      <c r="H47" s="288">
        <v>80</v>
      </c>
      <c r="I47" s="210">
        <f t="shared" si="1"/>
        <v>1.1606313834726092</v>
      </c>
      <c r="J47" s="250"/>
      <c r="K47" s="210">
        <f t="shared" si="2"/>
        <v>0</v>
      </c>
      <c r="L47" s="250">
        <v>200</v>
      </c>
      <c r="M47" s="211">
        <f t="shared" si="3"/>
        <v>1.1606313834726092</v>
      </c>
      <c r="N47" s="288">
        <v>2214.4000000000005</v>
      </c>
      <c r="O47" s="288">
        <v>0</v>
      </c>
      <c r="P47" s="200">
        <v>0</v>
      </c>
      <c r="Q47" s="288">
        <v>0</v>
      </c>
      <c r="R47" s="288">
        <v>11.072000000000003</v>
      </c>
      <c r="S47" s="200">
        <v>0.16063138347260913</v>
      </c>
      <c r="T47" s="245" t="s">
        <v>418</v>
      </c>
      <c r="U47" s="198" t="s">
        <v>181</v>
      </c>
      <c r="V47" s="198"/>
      <c r="W47" s="205">
        <v>1</v>
      </c>
      <c r="X47" s="198" t="s">
        <v>399</v>
      </c>
    </row>
    <row r="48" spans="2:28" ht="16.5">
      <c r="B48" s="495"/>
      <c r="C48" s="498"/>
      <c r="D48" s="209">
        <v>2</v>
      </c>
      <c r="E48" s="198" t="s">
        <v>551</v>
      </c>
      <c r="F48" s="288">
        <v>1097.4240000000004</v>
      </c>
      <c r="G48" s="288">
        <v>51.9</v>
      </c>
      <c r="H48" s="288">
        <v>55.5</v>
      </c>
      <c r="I48" s="210">
        <f t="shared" si="1"/>
        <v>1.0693641618497109</v>
      </c>
      <c r="J48" s="250"/>
      <c r="K48" s="210">
        <f t="shared" si="2"/>
        <v>0</v>
      </c>
      <c r="L48" s="250">
        <v>304.83999999999997</v>
      </c>
      <c r="M48" s="211">
        <f t="shared" si="3"/>
        <v>1.0693641618497109</v>
      </c>
      <c r="N48" s="288">
        <v>1097.4240000000004</v>
      </c>
      <c r="O48" s="288">
        <v>0</v>
      </c>
      <c r="P48" s="200">
        <v>0</v>
      </c>
      <c r="Q48" s="288">
        <v>0</v>
      </c>
      <c r="R48" s="288">
        <v>3.6000000000000014</v>
      </c>
      <c r="S48" s="200">
        <v>6.9364161849711017E-2</v>
      </c>
      <c r="T48" s="245" t="s">
        <v>418</v>
      </c>
      <c r="U48" s="198" t="s">
        <v>181</v>
      </c>
      <c r="V48" s="198"/>
      <c r="W48" s="205">
        <v>1</v>
      </c>
      <c r="X48" s="198" t="s">
        <v>400</v>
      </c>
    </row>
    <row r="49" spans="2:24" ht="16.5">
      <c r="B49" s="495"/>
      <c r="C49" s="498"/>
      <c r="D49" s="209">
        <v>3</v>
      </c>
      <c r="E49" s="198" t="s">
        <v>546</v>
      </c>
      <c r="F49" s="288">
        <v>786.64990999999998</v>
      </c>
      <c r="G49" s="288">
        <v>26.811</v>
      </c>
      <c r="H49" s="288">
        <v>36.5</v>
      </c>
      <c r="I49" s="210">
        <f t="shared" si="1"/>
        <v>1.3613815225094177</v>
      </c>
      <c r="J49" s="250"/>
      <c r="K49" s="210">
        <f t="shared" si="2"/>
        <v>0</v>
      </c>
      <c r="L49" s="250">
        <v>81.19</v>
      </c>
      <c r="M49" s="211">
        <f t="shared" si="3"/>
        <v>1.3613815225094177</v>
      </c>
      <c r="N49" s="288">
        <v>786.64990999999998</v>
      </c>
      <c r="O49" s="288">
        <v>0</v>
      </c>
      <c r="P49" s="200">
        <v>0</v>
      </c>
      <c r="Q49" s="288">
        <v>0</v>
      </c>
      <c r="R49" s="288">
        <v>9.6890000000000001</v>
      </c>
      <c r="S49" s="200">
        <v>0.3613815225094178</v>
      </c>
      <c r="T49" s="245" t="s">
        <v>432</v>
      </c>
      <c r="U49" s="198" t="s">
        <v>218</v>
      </c>
      <c r="V49" s="198" t="s">
        <v>595</v>
      </c>
      <c r="W49" s="205">
        <v>1</v>
      </c>
      <c r="X49" s="198" t="s">
        <v>534</v>
      </c>
    </row>
    <row r="50" spans="2:24" ht="16.5">
      <c r="B50" s="495"/>
      <c r="C50" s="498"/>
      <c r="D50" s="209">
        <v>4</v>
      </c>
      <c r="E50" s="198" t="s">
        <v>537</v>
      </c>
      <c r="F50" s="288">
        <v>707.33200000000079</v>
      </c>
      <c r="G50" s="288">
        <v>156.78700000000001</v>
      </c>
      <c r="H50" s="288">
        <v>162.30000000000001</v>
      </c>
      <c r="I50" s="210">
        <f t="shared" si="1"/>
        <v>1.0351623540216983</v>
      </c>
      <c r="J50" s="250"/>
      <c r="K50" s="210">
        <f t="shared" si="2"/>
        <v>0</v>
      </c>
      <c r="L50" s="250">
        <v>164</v>
      </c>
      <c r="M50" s="211">
        <f t="shared" si="3"/>
        <v>1.0351623540216983</v>
      </c>
      <c r="N50" s="288">
        <v>904.13200000000086</v>
      </c>
      <c r="O50" s="288">
        <v>1.2</v>
      </c>
      <c r="P50" s="200">
        <v>7.6536957783489698E-3</v>
      </c>
      <c r="Q50" s="288">
        <v>196.79999999999998</v>
      </c>
      <c r="R50" s="288">
        <v>4.3130000000000051</v>
      </c>
      <c r="S50" s="200">
        <v>2.7508658243349287E-2</v>
      </c>
      <c r="T50" s="245" t="s">
        <v>432</v>
      </c>
      <c r="U50" s="198" t="s">
        <v>218</v>
      </c>
      <c r="V50" s="198" t="s">
        <v>596</v>
      </c>
      <c r="W50" s="205">
        <v>1</v>
      </c>
      <c r="X50" s="198" t="s">
        <v>423</v>
      </c>
    </row>
    <row r="51" spans="2:24" ht="16.5">
      <c r="B51" s="495"/>
      <c r="C51" s="498"/>
      <c r="D51" s="209">
        <v>5</v>
      </c>
      <c r="E51" s="198" t="s">
        <v>424</v>
      </c>
      <c r="F51" s="288">
        <v>640.42299999999659</v>
      </c>
      <c r="G51" s="288">
        <v>134.52000000000001</v>
      </c>
      <c r="H51" s="288">
        <v>138</v>
      </c>
      <c r="I51" s="210">
        <f t="shared" si="1"/>
        <v>1.0258697591436217</v>
      </c>
      <c r="J51" s="250"/>
      <c r="K51" s="210">
        <f t="shared" si="2"/>
        <v>0</v>
      </c>
      <c r="L51" s="250">
        <v>335.3</v>
      </c>
      <c r="M51" s="211">
        <f t="shared" si="3"/>
        <v>1.0258697591436217</v>
      </c>
      <c r="N51" s="288">
        <v>1166.8439999999966</v>
      </c>
      <c r="O51" s="288">
        <v>1.57</v>
      </c>
      <c r="P51" s="200">
        <v>1.1671126969967291E-2</v>
      </c>
      <c r="Q51" s="288">
        <v>526.42100000000005</v>
      </c>
      <c r="R51" s="288">
        <v>1.9099999999999897</v>
      </c>
      <c r="S51" s="200">
        <v>1.4198632173654397E-2</v>
      </c>
      <c r="T51" s="245" t="s">
        <v>433</v>
      </c>
      <c r="U51" s="198" t="s">
        <v>219</v>
      </c>
      <c r="V51" s="198" t="s">
        <v>529</v>
      </c>
      <c r="W51" s="205">
        <v>1</v>
      </c>
      <c r="X51" s="198" t="s">
        <v>392</v>
      </c>
    </row>
    <row r="52" spans="2:24" ht="16.5">
      <c r="B52" s="495"/>
      <c r="C52" s="498"/>
      <c r="D52" s="209">
        <v>6</v>
      </c>
      <c r="E52" s="198" t="s">
        <v>556</v>
      </c>
      <c r="F52" s="288">
        <v>456.48120000000006</v>
      </c>
      <c r="G52" s="288">
        <v>99.26</v>
      </c>
      <c r="H52" s="288">
        <v>107.65</v>
      </c>
      <c r="I52" s="210">
        <f t="shared" si="1"/>
        <v>1.0845254886157567</v>
      </c>
      <c r="J52" s="250"/>
      <c r="K52" s="210">
        <f t="shared" si="2"/>
        <v>0</v>
      </c>
      <c r="L52" s="250">
        <v>105.17999999999999</v>
      </c>
      <c r="M52" s="211">
        <f t="shared" si="3"/>
        <v>1.0845254886157567</v>
      </c>
      <c r="N52" s="288">
        <v>882.46019999999999</v>
      </c>
      <c r="O52" s="288">
        <v>4.05</v>
      </c>
      <c r="P52" s="200">
        <v>4.0801934313923024E-2</v>
      </c>
      <c r="Q52" s="288">
        <v>425.97899999999993</v>
      </c>
      <c r="R52" s="288">
        <v>4.3400000000000007</v>
      </c>
      <c r="S52" s="200">
        <v>4.3723554301833577E-2</v>
      </c>
      <c r="T52" s="245" t="s">
        <v>418</v>
      </c>
      <c r="U52" s="198" t="s">
        <v>181</v>
      </c>
      <c r="V52" s="198"/>
      <c r="W52" s="205">
        <v>1</v>
      </c>
      <c r="X52" s="198" t="s">
        <v>554</v>
      </c>
    </row>
    <row r="53" spans="2:24" ht="16.5">
      <c r="B53" s="495"/>
      <c r="C53" s="498"/>
      <c r="D53" s="209">
        <v>7</v>
      </c>
      <c r="E53" s="198" t="s">
        <v>563</v>
      </c>
      <c r="F53" s="288">
        <v>336.3583999999999</v>
      </c>
      <c r="G53" s="288">
        <v>17.010000000000002</v>
      </c>
      <c r="H53" s="288">
        <v>18.3</v>
      </c>
      <c r="I53" s="210">
        <f t="shared" si="1"/>
        <v>1.0758377425044092</v>
      </c>
      <c r="J53" s="250">
        <v>2</v>
      </c>
      <c r="K53" s="210">
        <f t="shared" si="2"/>
        <v>0.11757789535567312</v>
      </c>
      <c r="L53" s="250">
        <v>150.16</v>
      </c>
      <c r="M53" s="211">
        <f t="shared" si="3"/>
        <v>1.1934156378600822</v>
      </c>
      <c r="N53" s="288">
        <v>494.02639999999985</v>
      </c>
      <c r="O53" s="288">
        <v>1.05</v>
      </c>
      <c r="P53" s="200">
        <v>6.1728395061728392E-2</v>
      </c>
      <c r="Q53" s="288">
        <v>157.66800000000001</v>
      </c>
      <c r="R53" s="288">
        <v>2.2399999999999993</v>
      </c>
      <c r="S53" s="200">
        <v>0.13168724279835387</v>
      </c>
      <c r="T53" s="245" t="s">
        <v>418</v>
      </c>
      <c r="U53" s="198" t="s">
        <v>181</v>
      </c>
      <c r="V53" s="198"/>
      <c r="W53" s="205">
        <v>1</v>
      </c>
      <c r="X53" s="198" t="s">
        <v>555</v>
      </c>
    </row>
    <row r="54" spans="2:24" ht="16.5">
      <c r="B54" s="495"/>
      <c r="C54" s="498"/>
      <c r="D54" s="209">
        <v>8</v>
      </c>
      <c r="E54" s="198" t="s">
        <v>558</v>
      </c>
      <c r="F54" s="288">
        <v>281.84650000000022</v>
      </c>
      <c r="G54" s="288">
        <v>42.54</v>
      </c>
      <c r="H54" s="288">
        <v>46.5</v>
      </c>
      <c r="I54" s="210">
        <f t="shared" si="1"/>
        <v>1.0930888575458393</v>
      </c>
      <c r="J54" s="250"/>
      <c r="K54" s="210">
        <f t="shared" si="2"/>
        <v>0</v>
      </c>
      <c r="L54" s="250">
        <v>215.15</v>
      </c>
      <c r="M54" s="211">
        <f t="shared" si="3"/>
        <v>1.0930888575458393</v>
      </c>
      <c r="N54" s="288">
        <v>851.99400000000026</v>
      </c>
      <c r="O54" s="288">
        <v>2.65</v>
      </c>
      <c r="P54" s="200">
        <v>6.229431123648331E-2</v>
      </c>
      <c r="Q54" s="288">
        <v>570.14750000000004</v>
      </c>
      <c r="R54" s="288">
        <v>1.3100000000000009</v>
      </c>
      <c r="S54" s="200">
        <v>3.0794546309355922E-2</v>
      </c>
      <c r="T54" s="245" t="s">
        <v>418</v>
      </c>
      <c r="U54" s="198" t="s">
        <v>181</v>
      </c>
      <c r="V54" s="198"/>
      <c r="W54" s="205">
        <v>1</v>
      </c>
      <c r="X54" s="198" t="s">
        <v>554</v>
      </c>
    </row>
    <row r="55" spans="2:24" ht="16.5">
      <c r="B55" s="495"/>
      <c r="C55" s="498"/>
      <c r="D55" s="209">
        <v>9</v>
      </c>
      <c r="E55" s="198" t="s">
        <v>559</v>
      </c>
      <c r="F55" s="288">
        <v>240.09600000000066</v>
      </c>
      <c r="G55" s="288">
        <v>55.89</v>
      </c>
      <c r="H55" s="288">
        <v>70.7</v>
      </c>
      <c r="I55" s="210">
        <f t="shared" si="1"/>
        <v>1.26498479155484</v>
      </c>
      <c r="J55" s="250"/>
      <c r="K55" s="210">
        <f t="shared" si="2"/>
        <v>0</v>
      </c>
      <c r="L55" s="250">
        <v>250.1</v>
      </c>
      <c r="M55" s="211">
        <f t="shared" si="3"/>
        <v>1.26498479155484</v>
      </c>
      <c r="N55" s="288">
        <v>3703.9810000000007</v>
      </c>
      <c r="O55" s="288">
        <v>13.85</v>
      </c>
      <c r="P55" s="200">
        <v>0.24780819466809803</v>
      </c>
      <c r="Q55" s="288">
        <v>3463.8849999999998</v>
      </c>
      <c r="R55" s="288">
        <v>0.96000000000000263</v>
      </c>
      <c r="S55" s="200">
        <v>1.7176596886741863E-2</v>
      </c>
      <c r="T55" s="245" t="s">
        <v>418</v>
      </c>
      <c r="U55" s="198" t="s">
        <v>181</v>
      </c>
      <c r="V55" s="198"/>
      <c r="W55" s="205">
        <v>1</v>
      </c>
      <c r="X55" s="198" t="s">
        <v>555</v>
      </c>
    </row>
    <row r="56" spans="2:24" ht="16.5">
      <c r="B56" s="496"/>
      <c r="C56" s="498"/>
      <c r="D56" s="209">
        <v>10</v>
      </c>
      <c r="E56" s="198" t="s">
        <v>557</v>
      </c>
      <c r="F56" s="288">
        <v>196.00409999999951</v>
      </c>
      <c r="G56" s="288">
        <v>70.47</v>
      </c>
      <c r="H56" s="288">
        <v>87.88</v>
      </c>
      <c r="I56" s="210">
        <f t="shared" si="1"/>
        <v>1.2470554846033772</v>
      </c>
      <c r="J56" s="250"/>
      <c r="K56" s="210">
        <f t="shared" si="2"/>
        <v>0</v>
      </c>
      <c r="L56" s="250">
        <v>139.01</v>
      </c>
      <c r="M56" s="211">
        <f t="shared" si="3"/>
        <v>1.2470554846033772</v>
      </c>
      <c r="N56" s="288">
        <v>2420.1640999999995</v>
      </c>
      <c r="O56" s="288">
        <v>16</v>
      </c>
      <c r="P56" s="200">
        <v>0.22704697034198951</v>
      </c>
      <c r="Q56" s="288">
        <v>2224.16</v>
      </c>
      <c r="R56" s="288">
        <v>1.4099999999999966</v>
      </c>
      <c r="S56" s="200">
        <v>2.0008514261387778E-2</v>
      </c>
      <c r="T56" s="245" t="s">
        <v>418</v>
      </c>
      <c r="U56" s="198" t="s">
        <v>181</v>
      </c>
      <c r="V56" s="198"/>
      <c r="W56" s="205">
        <v>1</v>
      </c>
      <c r="X56" s="198" t="s">
        <v>555</v>
      </c>
    </row>
    <row r="57" spans="2:24">
      <c r="B57" s="494">
        <v>45936</v>
      </c>
      <c r="C57" s="497" t="s">
        <v>119</v>
      </c>
      <c r="D57" s="209">
        <v>1</v>
      </c>
      <c r="E57" s="198" t="s">
        <v>537</v>
      </c>
      <c r="F57" s="288">
        <v>8041.5759999999964</v>
      </c>
      <c r="G57" s="288">
        <v>195.21600000000001</v>
      </c>
      <c r="H57" s="288">
        <v>195.2</v>
      </c>
      <c r="I57" s="210">
        <f t="shared" si="1"/>
        <v>0.9999180395049585</v>
      </c>
      <c r="J57" s="250">
        <v>53</v>
      </c>
      <c r="K57" s="210">
        <f t="shared" si="2"/>
        <v>0.27149413982460452</v>
      </c>
      <c r="L57" s="250">
        <v>164</v>
      </c>
      <c r="M57" s="211">
        <f t="shared" si="3"/>
        <v>1.271412179329563</v>
      </c>
      <c r="N57" s="288">
        <v>8689.3759999999966</v>
      </c>
      <c r="O57" s="288">
        <v>3.95</v>
      </c>
      <c r="P57" s="200">
        <v>2.023399721334317E-2</v>
      </c>
      <c r="Q57" s="288">
        <v>647.80000000000007</v>
      </c>
      <c r="R57" s="288">
        <v>49.033999999999978</v>
      </c>
      <c r="S57" s="200">
        <v>0.25117818211621984</v>
      </c>
      <c r="T57" s="198" t="s">
        <v>418</v>
      </c>
      <c r="U57" s="198" t="s">
        <v>217</v>
      </c>
      <c r="V57" s="198"/>
      <c r="W57" s="205">
        <v>1</v>
      </c>
      <c r="X57" s="198" t="s">
        <v>423</v>
      </c>
    </row>
    <row r="58" spans="2:24">
      <c r="B58" s="495"/>
      <c r="C58" s="498"/>
      <c r="D58" s="209">
        <v>2</v>
      </c>
      <c r="E58" s="198" t="s">
        <v>446</v>
      </c>
      <c r="F58" s="288">
        <v>4072</v>
      </c>
      <c r="G58" s="288">
        <v>94.64</v>
      </c>
      <c r="H58" s="288">
        <v>115</v>
      </c>
      <c r="I58" s="210">
        <f t="shared" si="1"/>
        <v>1.2151310228233305</v>
      </c>
      <c r="J58" s="250"/>
      <c r="K58" s="210">
        <f t="shared" si="2"/>
        <v>0</v>
      </c>
      <c r="L58" s="250">
        <v>200</v>
      </c>
      <c r="M58" s="211">
        <f t="shared" si="3"/>
        <v>1.2151310228233305</v>
      </c>
      <c r="N58" s="288">
        <v>4072</v>
      </c>
      <c r="O58" s="288">
        <v>0</v>
      </c>
      <c r="P58" s="200">
        <v>0</v>
      </c>
      <c r="Q58" s="288">
        <v>0</v>
      </c>
      <c r="R58" s="288">
        <v>20.36</v>
      </c>
      <c r="S58" s="200">
        <v>0.21513102282333052</v>
      </c>
      <c r="T58" s="198" t="s">
        <v>418</v>
      </c>
      <c r="U58" s="198" t="s">
        <v>217</v>
      </c>
      <c r="V58" s="198"/>
      <c r="W58" s="205">
        <v>1</v>
      </c>
      <c r="X58" s="198" t="s">
        <v>399</v>
      </c>
    </row>
    <row r="59" spans="2:24">
      <c r="B59" s="495"/>
      <c r="C59" s="498"/>
      <c r="D59" s="209">
        <v>3</v>
      </c>
      <c r="E59" s="198" t="s">
        <v>546</v>
      </c>
      <c r="F59" s="288">
        <v>1573.4621999999995</v>
      </c>
      <c r="G59" s="288">
        <v>40.770000000000003</v>
      </c>
      <c r="H59" s="288">
        <v>60.15</v>
      </c>
      <c r="I59" s="210">
        <f t="shared" si="1"/>
        <v>1.4753495217071375</v>
      </c>
      <c r="J59" s="250"/>
      <c r="K59" s="210">
        <f t="shared" si="2"/>
        <v>0</v>
      </c>
      <c r="L59" s="250">
        <v>81.19</v>
      </c>
      <c r="M59" s="211">
        <f t="shared" si="3"/>
        <v>1.4753495217071375</v>
      </c>
      <c r="N59" s="288">
        <v>1573.4621999999995</v>
      </c>
      <c r="O59" s="288">
        <v>0</v>
      </c>
      <c r="P59" s="200">
        <v>0</v>
      </c>
      <c r="Q59" s="288">
        <v>0</v>
      </c>
      <c r="R59" s="288">
        <v>19.379999999999995</v>
      </c>
      <c r="S59" s="200">
        <v>0.47534952170713746</v>
      </c>
      <c r="T59" s="198" t="s">
        <v>432</v>
      </c>
      <c r="U59" s="198" t="s">
        <v>218</v>
      </c>
      <c r="V59" s="198" t="s">
        <v>594</v>
      </c>
      <c r="W59" s="205">
        <v>1</v>
      </c>
      <c r="X59" s="198" t="s">
        <v>534</v>
      </c>
    </row>
    <row r="60" spans="2:24">
      <c r="B60" s="495"/>
      <c r="C60" s="498"/>
      <c r="D60" s="209">
        <v>4</v>
      </c>
      <c r="E60" s="198" t="s">
        <v>560</v>
      </c>
      <c r="F60" s="288">
        <v>1549.8527999999999</v>
      </c>
      <c r="G60" s="288">
        <v>14.592000000000001</v>
      </c>
      <c r="H60" s="288">
        <v>19</v>
      </c>
      <c r="I60" s="210">
        <f t="shared" si="1"/>
        <v>1.3020833333333333</v>
      </c>
      <c r="J60" s="250"/>
      <c r="K60" s="210">
        <f t="shared" si="2"/>
        <v>0</v>
      </c>
      <c r="L60" s="250">
        <v>351.6</v>
      </c>
      <c r="M60" s="211">
        <f t="shared" si="3"/>
        <v>1.3020833333333333</v>
      </c>
      <c r="N60" s="288">
        <v>1549.8527999999999</v>
      </c>
      <c r="O60" s="288">
        <v>0</v>
      </c>
      <c r="P60" s="200">
        <v>0</v>
      </c>
      <c r="Q60" s="288">
        <v>0</v>
      </c>
      <c r="R60" s="288">
        <v>4.4079999999999995</v>
      </c>
      <c r="S60" s="200">
        <v>0.30208333333333326</v>
      </c>
      <c r="T60" s="198" t="s">
        <v>418</v>
      </c>
      <c r="U60" s="198" t="s">
        <v>217</v>
      </c>
      <c r="V60" s="198"/>
      <c r="W60" s="205">
        <v>1</v>
      </c>
      <c r="X60" s="198" t="s">
        <v>555</v>
      </c>
    </row>
    <row r="61" spans="2:24">
      <c r="B61" s="495"/>
      <c r="C61" s="498"/>
      <c r="D61" s="209">
        <v>5</v>
      </c>
      <c r="E61" s="198" t="s">
        <v>424</v>
      </c>
      <c r="F61" s="288">
        <v>1438.4370000000015</v>
      </c>
      <c r="G61" s="288">
        <v>173.46</v>
      </c>
      <c r="H61" s="288">
        <v>178.83</v>
      </c>
      <c r="I61" s="210">
        <f t="shared" si="1"/>
        <v>1.0309581459702526</v>
      </c>
      <c r="J61" s="250"/>
      <c r="K61" s="210">
        <f t="shared" si="2"/>
        <v>0</v>
      </c>
      <c r="L61" s="250">
        <v>335.3</v>
      </c>
      <c r="M61" s="211">
        <f t="shared" si="3"/>
        <v>1.0309581459702526</v>
      </c>
      <c r="N61" s="288">
        <v>1800.5610000000015</v>
      </c>
      <c r="O61" s="288">
        <v>1.08</v>
      </c>
      <c r="P61" s="200">
        <v>6.2262193012798343E-3</v>
      </c>
      <c r="Q61" s="288">
        <v>362.12400000000002</v>
      </c>
      <c r="R61" s="288">
        <v>4.2900000000000045</v>
      </c>
      <c r="S61" s="200">
        <v>2.4731926668972698E-2</v>
      </c>
      <c r="T61" s="198" t="s">
        <v>433</v>
      </c>
      <c r="U61" s="198" t="s">
        <v>219</v>
      </c>
      <c r="V61" s="198" t="s">
        <v>529</v>
      </c>
      <c r="W61" s="205">
        <v>1</v>
      </c>
      <c r="X61" s="198" t="s">
        <v>392</v>
      </c>
    </row>
    <row r="62" spans="2:24">
      <c r="B62" s="495"/>
      <c r="C62" s="498"/>
      <c r="D62" s="209">
        <v>6</v>
      </c>
      <c r="E62" s="198" t="s">
        <v>600</v>
      </c>
      <c r="F62" s="288">
        <v>874.65060000000028</v>
      </c>
      <c r="G62" s="288">
        <v>443.95499999999998</v>
      </c>
      <c r="H62" s="288">
        <v>497.7</v>
      </c>
      <c r="I62" s="210">
        <f t="shared" si="1"/>
        <v>1.1210595668479915</v>
      </c>
      <c r="J62" s="250"/>
      <c r="K62" s="210">
        <f t="shared" si="2"/>
        <v>0</v>
      </c>
      <c r="L62" s="250">
        <v>80.28</v>
      </c>
      <c r="M62" s="211">
        <f t="shared" si="3"/>
        <v>1.1210595668479915</v>
      </c>
      <c r="N62" s="288">
        <v>4314.6486000000004</v>
      </c>
      <c r="O62" s="288">
        <v>42.85</v>
      </c>
      <c r="P62" s="200">
        <v>9.6518791318939992E-2</v>
      </c>
      <c r="Q62" s="288">
        <v>3439.998</v>
      </c>
      <c r="R62" s="288">
        <v>10.895000000000003</v>
      </c>
      <c r="S62" s="200">
        <v>2.4540775529051376E-2</v>
      </c>
      <c r="T62" s="198" t="s">
        <v>418</v>
      </c>
      <c r="U62" s="198" t="s">
        <v>217</v>
      </c>
      <c r="V62" s="198"/>
      <c r="W62" s="205">
        <v>1</v>
      </c>
      <c r="X62" s="198" t="s">
        <v>585</v>
      </c>
    </row>
    <row r="63" spans="2:24">
      <c r="B63" s="495"/>
      <c r="C63" s="498"/>
      <c r="D63" s="209">
        <v>7</v>
      </c>
      <c r="E63" s="198" t="s">
        <v>556</v>
      </c>
      <c r="F63" s="288">
        <v>604.78499999999872</v>
      </c>
      <c r="G63" s="288">
        <v>120.75</v>
      </c>
      <c r="H63" s="288">
        <v>128.94999999999999</v>
      </c>
      <c r="I63" s="210">
        <f t="shared" si="1"/>
        <v>1.0679089026915114</v>
      </c>
      <c r="J63" s="250"/>
      <c r="K63" s="210">
        <f t="shared" si="2"/>
        <v>0</v>
      </c>
      <c r="L63" s="250">
        <v>105.17999999999999</v>
      </c>
      <c r="M63" s="211">
        <f t="shared" si="3"/>
        <v>1.0679089026915114</v>
      </c>
      <c r="N63" s="288">
        <v>862.47599999999875</v>
      </c>
      <c r="O63" s="288">
        <v>2.4500000000000002</v>
      </c>
      <c r="P63" s="200">
        <v>2.028985507246377E-2</v>
      </c>
      <c r="Q63" s="288">
        <v>257.69099999999997</v>
      </c>
      <c r="R63" s="288">
        <v>5.7499999999999885</v>
      </c>
      <c r="S63" s="200">
        <v>4.7619047619047526E-2</v>
      </c>
      <c r="T63" s="198" t="s">
        <v>418</v>
      </c>
      <c r="U63" s="198" t="s">
        <v>217</v>
      </c>
      <c r="V63" s="198"/>
      <c r="W63" s="205">
        <v>1</v>
      </c>
      <c r="X63" s="198" t="s">
        <v>554</v>
      </c>
    </row>
    <row r="64" spans="2:24">
      <c r="B64" s="495"/>
      <c r="C64" s="498"/>
      <c r="D64" s="209">
        <v>8</v>
      </c>
      <c r="E64" s="198" t="s">
        <v>605</v>
      </c>
      <c r="F64" s="288">
        <v>578.52820000000008</v>
      </c>
      <c r="G64" s="288">
        <v>7.1239999999999997</v>
      </c>
      <c r="H64" s="288">
        <v>9</v>
      </c>
      <c r="I64" s="210">
        <f t="shared" si="1"/>
        <v>1.2633352049410445</v>
      </c>
      <c r="J64" s="250"/>
      <c r="K64" s="210">
        <f t="shared" si="2"/>
        <v>0</v>
      </c>
      <c r="L64" s="250">
        <v>405.7</v>
      </c>
      <c r="M64" s="211">
        <f t="shared" si="3"/>
        <v>1.2633352049410445</v>
      </c>
      <c r="N64" s="288">
        <v>761.09320000000014</v>
      </c>
      <c r="O64" s="288">
        <v>0.45</v>
      </c>
      <c r="P64" s="200">
        <v>6.3166760247052228E-2</v>
      </c>
      <c r="Q64" s="288">
        <v>182.565</v>
      </c>
      <c r="R64" s="288">
        <v>1.4260000000000004</v>
      </c>
      <c r="S64" s="200">
        <v>0.2001684446939922</v>
      </c>
      <c r="T64" s="198" t="s">
        <v>418</v>
      </c>
      <c r="U64" s="198" t="s">
        <v>217</v>
      </c>
      <c r="V64" s="198"/>
      <c r="W64" s="205">
        <v>1</v>
      </c>
      <c r="X64" s="198" t="s">
        <v>443</v>
      </c>
    </row>
    <row r="65" spans="2:24">
      <c r="B65" s="495"/>
      <c r="C65" s="498"/>
      <c r="D65" s="209">
        <v>9</v>
      </c>
      <c r="E65" s="198" t="s">
        <v>559</v>
      </c>
      <c r="F65" s="288">
        <v>286.61460000000244</v>
      </c>
      <c r="G65" s="288">
        <v>83.903999999999996</v>
      </c>
      <c r="H65" s="288">
        <v>95.9</v>
      </c>
      <c r="I65" s="210">
        <f t="shared" si="1"/>
        <v>1.1429729214340199</v>
      </c>
      <c r="J65" s="250"/>
      <c r="K65" s="210">
        <f t="shared" si="2"/>
        <v>0</v>
      </c>
      <c r="L65" s="250">
        <v>250.1</v>
      </c>
      <c r="M65" s="211">
        <f t="shared" si="3"/>
        <v>1.1429729214340199</v>
      </c>
      <c r="N65" s="288">
        <v>3000.1996000000022</v>
      </c>
      <c r="O65" s="288">
        <v>10.85</v>
      </c>
      <c r="P65" s="200">
        <v>0.12931445461479787</v>
      </c>
      <c r="Q65" s="288">
        <v>2713.585</v>
      </c>
      <c r="R65" s="288">
        <v>1.1460000000000097</v>
      </c>
      <c r="S65" s="200">
        <v>1.3658466819222084E-2</v>
      </c>
      <c r="T65" s="198" t="s">
        <v>418</v>
      </c>
      <c r="U65" s="198" t="s">
        <v>217</v>
      </c>
      <c r="V65" s="198"/>
      <c r="W65" s="205">
        <v>1</v>
      </c>
      <c r="X65" s="198" t="s">
        <v>555</v>
      </c>
    </row>
    <row r="66" spans="2:24">
      <c r="B66" s="496"/>
      <c r="C66" s="498"/>
      <c r="D66" s="209">
        <v>10</v>
      </c>
      <c r="E66" s="198" t="s">
        <v>606</v>
      </c>
      <c r="F66" s="288">
        <v>204.4</v>
      </c>
      <c r="G66" s="288">
        <v>10686</v>
      </c>
      <c r="H66" s="288">
        <v>10800</v>
      </c>
      <c r="I66" s="210">
        <f t="shared" si="1"/>
        <v>1.0106681639528354</v>
      </c>
      <c r="J66" s="250"/>
      <c r="K66" s="210">
        <f t="shared" si="2"/>
        <v>0</v>
      </c>
      <c r="L66" s="250">
        <v>2.92</v>
      </c>
      <c r="M66" s="211">
        <f t="shared" si="3"/>
        <v>1.0106681639528354</v>
      </c>
      <c r="N66" s="288">
        <v>114</v>
      </c>
      <c r="O66" s="288">
        <v>44</v>
      </c>
      <c r="P66" s="200">
        <v>4.1175369642522924E-3</v>
      </c>
      <c r="Q66" s="288">
        <v>128.47999999999999</v>
      </c>
      <c r="R66" s="288">
        <v>70</v>
      </c>
      <c r="S66" s="200">
        <v>6.5506269885831931E-3</v>
      </c>
      <c r="T66" s="198" t="s">
        <v>431</v>
      </c>
      <c r="U66" s="198" t="s">
        <v>430</v>
      </c>
      <c r="V66" s="198"/>
      <c r="W66" s="205">
        <v>1</v>
      </c>
      <c r="X66" s="198" t="s">
        <v>443</v>
      </c>
    </row>
    <row r="67" spans="2:24" ht="16.5">
      <c r="B67" s="494">
        <v>45937</v>
      </c>
      <c r="C67" s="497" t="s">
        <v>120</v>
      </c>
      <c r="D67" s="209">
        <v>1</v>
      </c>
      <c r="E67" s="198"/>
      <c r="F67" s="288"/>
      <c r="G67" s="288"/>
      <c r="H67" s="288"/>
      <c r="I67" s="210" t="e">
        <f t="shared" si="1"/>
        <v>#DIV/0!</v>
      </c>
      <c r="J67" s="250"/>
      <c r="K67" s="210" t="e">
        <f t="shared" si="2"/>
        <v>#DIV/0!</v>
      </c>
      <c r="L67" s="250"/>
      <c r="M67" s="211" t="e">
        <f t="shared" si="3"/>
        <v>#DIV/0!</v>
      </c>
      <c r="N67" s="288"/>
      <c r="O67" s="288"/>
      <c r="P67" s="200"/>
      <c r="Q67" s="288"/>
      <c r="R67" s="288"/>
      <c r="S67" s="200"/>
      <c r="T67" s="245"/>
      <c r="U67" s="198"/>
      <c r="V67" s="198"/>
      <c r="W67" s="205">
        <v>1</v>
      </c>
      <c r="X67" s="198"/>
    </row>
    <row r="68" spans="2:24">
      <c r="B68" s="495"/>
      <c r="C68" s="498"/>
      <c r="D68" s="209">
        <v>2</v>
      </c>
      <c r="E68" s="198"/>
      <c r="F68" s="288"/>
      <c r="G68" s="288"/>
      <c r="H68" s="288"/>
      <c r="I68" s="210" t="e">
        <f t="shared" si="1"/>
        <v>#DIV/0!</v>
      </c>
      <c r="J68" s="250"/>
      <c r="K68" s="210" t="e">
        <f t="shared" si="2"/>
        <v>#DIV/0!</v>
      </c>
      <c r="L68" s="250"/>
      <c r="M68" s="211" t="e">
        <f t="shared" si="3"/>
        <v>#DIV/0!</v>
      </c>
      <c r="N68" s="288"/>
      <c r="O68" s="288"/>
      <c r="P68" s="200"/>
      <c r="Q68" s="288"/>
      <c r="R68" s="288"/>
      <c r="S68" s="200"/>
      <c r="T68" s="198"/>
      <c r="U68" s="198"/>
      <c r="V68" s="198"/>
      <c r="W68" s="205">
        <v>1</v>
      </c>
      <c r="X68" s="198"/>
    </row>
    <row r="69" spans="2:24" ht="16.5">
      <c r="B69" s="495"/>
      <c r="C69" s="498"/>
      <c r="D69" s="209">
        <v>3</v>
      </c>
      <c r="E69" s="198"/>
      <c r="F69" s="288"/>
      <c r="G69" s="288"/>
      <c r="H69" s="288"/>
      <c r="I69" s="210" t="e">
        <f t="shared" si="1"/>
        <v>#DIV/0!</v>
      </c>
      <c r="J69" s="250"/>
      <c r="K69" s="210" t="e">
        <f t="shared" si="2"/>
        <v>#DIV/0!</v>
      </c>
      <c r="L69" s="250"/>
      <c r="M69" s="211" t="e">
        <f t="shared" si="3"/>
        <v>#DIV/0!</v>
      </c>
      <c r="N69" s="288"/>
      <c r="O69" s="288"/>
      <c r="P69" s="200"/>
      <c r="Q69" s="288"/>
      <c r="R69" s="288"/>
      <c r="S69" s="200"/>
      <c r="T69" s="198"/>
      <c r="U69" s="198"/>
      <c r="V69" s="247"/>
      <c r="W69" s="205">
        <v>1</v>
      </c>
      <c r="X69" s="198"/>
    </row>
    <row r="70" spans="2:24">
      <c r="B70" s="495"/>
      <c r="C70" s="498"/>
      <c r="D70" s="209">
        <v>4</v>
      </c>
      <c r="E70" s="198"/>
      <c r="F70" s="288"/>
      <c r="G70" s="288"/>
      <c r="H70" s="288"/>
      <c r="I70" s="210" t="e">
        <f t="shared" si="1"/>
        <v>#DIV/0!</v>
      </c>
      <c r="J70" s="250"/>
      <c r="K70" s="210" t="e">
        <f t="shared" si="2"/>
        <v>#DIV/0!</v>
      </c>
      <c r="L70" s="250"/>
      <c r="M70" s="211" t="e">
        <f t="shared" si="3"/>
        <v>#DIV/0!</v>
      </c>
      <c r="N70" s="288"/>
      <c r="O70" s="288"/>
      <c r="P70" s="200"/>
      <c r="Q70" s="288"/>
      <c r="R70" s="288"/>
      <c r="S70" s="200"/>
      <c r="T70" s="198"/>
      <c r="U70" s="198"/>
      <c r="V70" s="198"/>
      <c r="W70" s="205">
        <v>1</v>
      </c>
      <c r="X70" s="198"/>
    </row>
    <row r="71" spans="2:24" ht="16.5">
      <c r="B71" s="495"/>
      <c r="C71" s="498"/>
      <c r="D71" s="209">
        <v>5</v>
      </c>
      <c r="E71" s="198"/>
      <c r="F71" s="288"/>
      <c r="G71" s="288"/>
      <c r="H71" s="288"/>
      <c r="I71" s="210" t="e">
        <f t="shared" si="1"/>
        <v>#DIV/0!</v>
      </c>
      <c r="J71" s="250"/>
      <c r="K71" s="210" t="e">
        <f t="shared" si="2"/>
        <v>#DIV/0!</v>
      </c>
      <c r="L71" s="250"/>
      <c r="M71" s="211" t="e">
        <f t="shared" si="3"/>
        <v>#DIV/0!</v>
      </c>
      <c r="N71" s="288"/>
      <c r="O71" s="288"/>
      <c r="P71" s="200"/>
      <c r="Q71" s="288"/>
      <c r="R71" s="288"/>
      <c r="S71" s="200"/>
      <c r="T71" s="198"/>
      <c r="U71" s="198"/>
      <c r="V71" s="247"/>
      <c r="W71" s="205">
        <v>1</v>
      </c>
      <c r="X71" s="198"/>
    </row>
    <row r="72" spans="2:24">
      <c r="B72" s="495"/>
      <c r="C72" s="498"/>
      <c r="D72" s="209">
        <v>6</v>
      </c>
      <c r="E72" s="198"/>
      <c r="F72" s="288"/>
      <c r="G72" s="288"/>
      <c r="H72" s="288"/>
      <c r="I72" s="210" t="e">
        <f t="shared" ref="I72:I135" si="15">H72/G72</f>
        <v>#DIV/0!</v>
      </c>
      <c r="J72" s="250"/>
      <c r="K72" s="210" t="e">
        <f t="shared" ref="K72:K135" si="16">J72/G72</f>
        <v>#DIV/0!</v>
      </c>
      <c r="L72" s="250"/>
      <c r="M72" s="211" t="e">
        <f t="shared" ref="M72:M135" si="17">(H72+J72)/G72</f>
        <v>#DIV/0!</v>
      </c>
      <c r="N72" s="288"/>
      <c r="O72" s="288"/>
      <c r="P72" s="200"/>
      <c r="Q72" s="288"/>
      <c r="R72" s="288"/>
      <c r="S72" s="200"/>
      <c r="T72" s="198"/>
      <c r="U72" s="198"/>
      <c r="V72" s="198"/>
      <c r="W72" s="205">
        <v>1</v>
      </c>
      <c r="X72" s="198"/>
    </row>
    <row r="73" spans="2:24">
      <c r="B73" s="495"/>
      <c r="C73" s="498"/>
      <c r="D73" s="209">
        <v>7</v>
      </c>
      <c r="E73" s="198"/>
      <c r="F73" s="288"/>
      <c r="G73" s="288"/>
      <c r="H73" s="288"/>
      <c r="I73" s="210" t="e">
        <f t="shared" si="15"/>
        <v>#DIV/0!</v>
      </c>
      <c r="J73" s="250"/>
      <c r="K73" s="210" t="e">
        <f t="shared" si="16"/>
        <v>#DIV/0!</v>
      </c>
      <c r="L73" s="250"/>
      <c r="M73" s="211" t="e">
        <f t="shared" si="17"/>
        <v>#DIV/0!</v>
      </c>
      <c r="N73" s="288"/>
      <c r="O73" s="288"/>
      <c r="P73" s="200"/>
      <c r="Q73" s="288"/>
      <c r="R73" s="288"/>
      <c r="S73" s="200"/>
      <c r="T73" s="198"/>
      <c r="U73" s="198"/>
      <c r="V73" s="198"/>
      <c r="W73" s="205">
        <v>1</v>
      </c>
      <c r="X73" s="198"/>
    </row>
    <row r="74" spans="2:24">
      <c r="B74" s="495"/>
      <c r="C74" s="498"/>
      <c r="D74" s="209">
        <v>8</v>
      </c>
      <c r="E74" s="198"/>
      <c r="F74" s="288"/>
      <c r="G74" s="288"/>
      <c r="H74" s="288"/>
      <c r="I74" s="210" t="e">
        <f t="shared" si="15"/>
        <v>#DIV/0!</v>
      </c>
      <c r="J74" s="250"/>
      <c r="K74" s="210" t="e">
        <f t="shared" si="16"/>
        <v>#DIV/0!</v>
      </c>
      <c r="L74" s="250"/>
      <c r="M74" s="211" t="e">
        <f t="shared" si="17"/>
        <v>#DIV/0!</v>
      </c>
      <c r="N74" s="288"/>
      <c r="O74" s="288"/>
      <c r="P74" s="200"/>
      <c r="Q74" s="288"/>
      <c r="R74" s="288"/>
      <c r="S74" s="200"/>
      <c r="T74" s="198"/>
      <c r="U74" s="198"/>
      <c r="V74" s="198"/>
      <c r="W74" s="205">
        <v>1</v>
      </c>
      <c r="X74" s="198"/>
    </row>
    <row r="75" spans="2:24">
      <c r="B75" s="495"/>
      <c r="C75" s="498"/>
      <c r="D75" s="209">
        <v>9</v>
      </c>
      <c r="E75" s="198"/>
      <c r="F75" s="288"/>
      <c r="G75" s="288"/>
      <c r="H75" s="288"/>
      <c r="I75" s="210" t="e">
        <f t="shared" si="15"/>
        <v>#DIV/0!</v>
      </c>
      <c r="J75" s="250"/>
      <c r="K75" s="210" t="e">
        <f t="shared" si="16"/>
        <v>#DIV/0!</v>
      </c>
      <c r="L75" s="250"/>
      <c r="M75" s="211" t="e">
        <f t="shared" si="17"/>
        <v>#DIV/0!</v>
      </c>
      <c r="N75" s="288"/>
      <c r="O75" s="288"/>
      <c r="P75" s="200"/>
      <c r="Q75" s="288"/>
      <c r="R75" s="288"/>
      <c r="S75" s="200"/>
      <c r="T75" s="198"/>
      <c r="U75" s="198"/>
      <c r="V75" s="198"/>
      <c r="W75" s="205">
        <v>1</v>
      </c>
      <c r="X75" s="198"/>
    </row>
    <row r="76" spans="2:24">
      <c r="B76" s="496"/>
      <c r="C76" s="498"/>
      <c r="D76" s="209">
        <v>10</v>
      </c>
      <c r="E76" s="198"/>
      <c r="F76" s="288"/>
      <c r="G76" s="288"/>
      <c r="H76" s="288"/>
      <c r="I76" s="210" t="e">
        <f t="shared" si="15"/>
        <v>#DIV/0!</v>
      </c>
      <c r="J76" s="250"/>
      <c r="K76" s="210" t="e">
        <f t="shared" si="16"/>
        <v>#DIV/0!</v>
      </c>
      <c r="L76" s="250"/>
      <c r="M76" s="211" t="e">
        <f t="shared" si="17"/>
        <v>#DIV/0!</v>
      </c>
      <c r="N76" s="288"/>
      <c r="O76" s="288"/>
      <c r="P76" s="200"/>
      <c r="Q76" s="288"/>
      <c r="R76" s="288"/>
      <c r="S76" s="200"/>
      <c r="T76" s="198"/>
      <c r="U76" s="198"/>
      <c r="V76" s="198"/>
      <c r="W76" s="205">
        <v>1</v>
      </c>
      <c r="X76" s="198"/>
    </row>
    <row r="77" spans="2:24" ht="16.5">
      <c r="B77" s="494">
        <v>45938</v>
      </c>
      <c r="C77" s="497" t="s">
        <v>114</v>
      </c>
      <c r="D77" s="209">
        <v>1</v>
      </c>
      <c r="E77" s="198"/>
      <c r="F77" s="288"/>
      <c r="G77" s="288"/>
      <c r="H77" s="288"/>
      <c r="I77" s="210" t="e">
        <f t="shared" si="15"/>
        <v>#DIV/0!</v>
      </c>
      <c r="J77" s="250"/>
      <c r="K77" s="210" t="e">
        <f t="shared" si="16"/>
        <v>#DIV/0!</v>
      </c>
      <c r="L77" s="250"/>
      <c r="M77" s="211" t="e">
        <f t="shared" si="17"/>
        <v>#DIV/0!</v>
      </c>
      <c r="N77" s="288"/>
      <c r="O77" s="288"/>
      <c r="P77" s="200"/>
      <c r="Q77" s="288"/>
      <c r="R77" s="288"/>
      <c r="S77" s="200"/>
      <c r="T77" s="245"/>
      <c r="U77" s="198"/>
      <c r="V77" s="198"/>
      <c r="W77" s="205">
        <v>1</v>
      </c>
      <c r="X77" s="198"/>
    </row>
    <row r="78" spans="2:24">
      <c r="B78" s="495"/>
      <c r="C78" s="498"/>
      <c r="D78" s="209">
        <v>2</v>
      </c>
      <c r="E78" s="198"/>
      <c r="F78" s="288"/>
      <c r="G78" s="288"/>
      <c r="H78" s="288"/>
      <c r="I78" s="210" t="e">
        <f t="shared" si="15"/>
        <v>#DIV/0!</v>
      </c>
      <c r="J78" s="250"/>
      <c r="K78" s="210" t="e">
        <f t="shared" si="16"/>
        <v>#DIV/0!</v>
      </c>
      <c r="L78" s="250"/>
      <c r="M78" s="211" t="e">
        <f t="shared" si="17"/>
        <v>#DIV/0!</v>
      </c>
      <c r="N78" s="288"/>
      <c r="O78" s="288"/>
      <c r="P78" s="200"/>
      <c r="Q78" s="288"/>
      <c r="R78" s="288"/>
      <c r="S78" s="200"/>
      <c r="T78" s="198"/>
      <c r="U78" s="198"/>
      <c r="V78" s="198"/>
      <c r="W78" s="205">
        <v>1</v>
      </c>
      <c r="X78" s="198"/>
    </row>
    <row r="79" spans="2:24">
      <c r="B79" s="495"/>
      <c r="C79" s="498"/>
      <c r="D79" s="209">
        <v>3</v>
      </c>
      <c r="E79" s="198"/>
      <c r="F79" s="288"/>
      <c r="G79" s="288"/>
      <c r="H79" s="288"/>
      <c r="I79" s="210" t="e">
        <f t="shared" si="15"/>
        <v>#DIV/0!</v>
      </c>
      <c r="J79" s="250"/>
      <c r="K79" s="210" t="e">
        <f t="shared" si="16"/>
        <v>#DIV/0!</v>
      </c>
      <c r="L79" s="250"/>
      <c r="M79" s="211" t="e">
        <f t="shared" si="17"/>
        <v>#DIV/0!</v>
      </c>
      <c r="N79" s="288"/>
      <c r="O79" s="288"/>
      <c r="P79" s="200"/>
      <c r="Q79" s="288"/>
      <c r="R79" s="288"/>
      <c r="S79" s="200"/>
      <c r="T79" s="198"/>
      <c r="U79" s="198"/>
      <c r="V79" s="198"/>
      <c r="W79" s="205">
        <v>1</v>
      </c>
      <c r="X79" s="198"/>
    </row>
    <row r="80" spans="2:24">
      <c r="B80" s="495"/>
      <c r="C80" s="498"/>
      <c r="D80" s="209">
        <v>4</v>
      </c>
      <c r="E80" s="198"/>
      <c r="F80" s="288"/>
      <c r="G80" s="288"/>
      <c r="H80" s="288"/>
      <c r="I80" s="210" t="e">
        <f t="shared" si="15"/>
        <v>#DIV/0!</v>
      </c>
      <c r="J80" s="250"/>
      <c r="K80" s="210" t="e">
        <f t="shared" si="16"/>
        <v>#DIV/0!</v>
      </c>
      <c r="L80" s="250"/>
      <c r="M80" s="211" t="e">
        <f t="shared" si="17"/>
        <v>#DIV/0!</v>
      </c>
      <c r="N80" s="288"/>
      <c r="O80" s="288"/>
      <c r="P80" s="200"/>
      <c r="Q80" s="288"/>
      <c r="R80" s="288"/>
      <c r="S80" s="200"/>
      <c r="T80" s="198"/>
      <c r="U80" s="198"/>
      <c r="V80" s="198"/>
      <c r="W80" s="205">
        <v>1</v>
      </c>
      <c r="X80" s="198"/>
    </row>
    <row r="81" spans="2:24">
      <c r="B81" s="495"/>
      <c r="C81" s="498"/>
      <c r="D81" s="209">
        <v>5</v>
      </c>
      <c r="E81" s="198"/>
      <c r="F81" s="288"/>
      <c r="G81" s="288"/>
      <c r="H81" s="288"/>
      <c r="I81" s="210" t="e">
        <f t="shared" si="15"/>
        <v>#DIV/0!</v>
      </c>
      <c r="J81" s="250"/>
      <c r="K81" s="210" t="e">
        <f t="shared" si="16"/>
        <v>#DIV/0!</v>
      </c>
      <c r="L81" s="250"/>
      <c r="M81" s="211" t="e">
        <f t="shared" si="17"/>
        <v>#DIV/0!</v>
      </c>
      <c r="N81" s="288"/>
      <c r="O81" s="288"/>
      <c r="P81" s="200"/>
      <c r="Q81" s="288"/>
      <c r="R81" s="288"/>
      <c r="S81" s="200"/>
      <c r="T81" s="198"/>
      <c r="U81" s="198"/>
      <c r="V81" s="198"/>
      <c r="W81" s="205">
        <v>1</v>
      </c>
      <c r="X81" s="198"/>
    </row>
    <row r="82" spans="2:24">
      <c r="B82" s="495"/>
      <c r="C82" s="498"/>
      <c r="D82" s="209">
        <v>6</v>
      </c>
      <c r="E82" s="198"/>
      <c r="F82" s="288"/>
      <c r="G82" s="288"/>
      <c r="H82" s="288"/>
      <c r="I82" s="210" t="e">
        <f t="shared" si="15"/>
        <v>#DIV/0!</v>
      </c>
      <c r="J82" s="250"/>
      <c r="K82" s="210" t="e">
        <f t="shared" si="16"/>
        <v>#DIV/0!</v>
      </c>
      <c r="L82" s="250"/>
      <c r="M82" s="211" t="e">
        <f t="shared" si="17"/>
        <v>#DIV/0!</v>
      </c>
      <c r="N82" s="288"/>
      <c r="O82" s="288"/>
      <c r="P82" s="200"/>
      <c r="Q82" s="288"/>
      <c r="R82" s="288"/>
      <c r="S82" s="200"/>
      <c r="T82" s="198"/>
      <c r="U82" s="198"/>
      <c r="V82" s="198"/>
      <c r="W82" s="205">
        <v>1</v>
      </c>
      <c r="X82" s="198"/>
    </row>
    <row r="83" spans="2:24">
      <c r="B83" s="495"/>
      <c r="C83" s="498"/>
      <c r="D83" s="209">
        <v>7</v>
      </c>
      <c r="E83" s="198"/>
      <c r="F83" s="288"/>
      <c r="G83" s="288"/>
      <c r="H83" s="288"/>
      <c r="I83" s="210" t="e">
        <f t="shared" si="15"/>
        <v>#DIV/0!</v>
      </c>
      <c r="J83" s="250"/>
      <c r="K83" s="210" t="e">
        <f t="shared" si="16"/>
        <v>#DIV/0!</v>
      </c>
      <c r="L83" s="250"/>
      <c r="M83" s="211" t="e">
        <f t="shared" si="17"/>
        <v>#DIV/0!</v>
      </c>
      <c r="N83" s="288"/>
      <c r="O83" s="288"/>
      <c r="P83" s="200"/>
      <c r="Q83" s="288"/>
      <c r="R83" s="288"/>
      <c r="S83" s="200"/>
      <c r="T83" s="198"/>
      <c r="U83" s="198"/>
      <c r="V83" s="198"/>
      <c r="W83" s="205">
        <v>1</v>
      </c>
      <c r="X83" s="198"/>
    </row>
    <row r="84" spans="2:24">
      <c r="B84" s="495"/>
      <c r="C84" s="498"/>
      <c r="D84" s="209">
        <v>8</v>
      </c>
      <c r="E84" s="198"/>
      <c r="F84" s="288"/>
      <c r="G84" s="288"/>
      <c r="H84" s="288"/>
      <c r="I84" s="210" t="e">
        <f t="shared" si="15"/>
        <v>#DIV/0!</v>
      </c>
      <c r="J84" s="250"/>
      <c r="K84" s="210" t="e">
        <f t="shared" si="16"/>
        <v>#DIV/0!</v>
      </c>
      <c r="L84" s="250"/>
      <c r="M84" s="211" t="e">
        <f t="shared" si="17"/>
        <v>#DIV/0!</v>
      </c>
      <c r="N84" s="288"/>
      <c r="O84" s="288"/>
      <c r="P84" s="200"/>
      <c r="Q84" s="288"/>
      <c r="R84" s="288"/>
      <c r="S84" s="200"/>
      <c r="T84" s="198"/>
      <c r="U84" s="198"/>
      <c r="V84" s="198"/>
      <c r="W84" s="205">
        <v>1</v>
      </c>
      <c r="X84" s="198"/>
    </row>
    <row r="85" spans="2:24" ht="16.5">
      <c r="B85" s="495"/>
      <c r="C85" s="498"/>
      <c r="D85" s="209">
        <v>9</v>
      </c>
      <c r="E85" s="198"/>
      <c r="F85" s="288"/>
      <c r="G85" s="288"/>
      <c r="H85" s="288"/>
      <c r="I85" s="210" t="e">
        <f t="shared" si="15"/>
        <v>#DIV/0!</v>
      </c>
      <c r="J85" s="250"/>
      <c r="K85" s="210" t="e">
        <f t="shared" si="16"/>
        <v>#DIV/0!</v>
      </c>
      <c r="L85" s="250"/>
      <c r="M85" s="211" t="e">
        <f t="shared" si="17"/>
        <v>#DIV/0!</v>
      </c>
      <c r="N85" s="288"/>
      <c r="O85" s="288"/>
      <c r="P85" s="200"/>
      <c r="Q85" s="288"/>
      <c r="R85" s="288"/>
      <c r="S85" s="200"/>
      <c r="T85" s="198"/>
      <c r="U85" s="198"/>
      <c r="V85" s="247"/>
      <c r="W85" s="205">
        <v>1</v>
      </c>
      <c r="X85" s="198"/>
    </row>
    <row r="86" spans="2:24">
      <c r="B86" s="496"/>
      <c r="C86" s="498"/>
      <c r="D86" s="209">
        <v>10</v>
      </c>
      <c r="E86" s="198"/>
      <c r="F86" s="288"/>
      <c r="G86" s="288"/>
      <c r="H86" s="288"/>
      <c r="I86" s="210" t="e">
        <f t="shared" si="15"/>
        <v>#DIV/0!</v>
      </c>
      <c r="J86" s="250"/>
      <c r="K86" s="210" t="e">
        <f t="shared" si="16"/>
        <v>#DIV/0!</v>
      </c>
      <c r="L86" s="250"/>
      <c r="M86" s="211" t="e">
        <f t="shared" si="17"/>
        <v>#DIV/0!</v>
      </c>
      <c r="N86" s="288"/>
      <c r="O86" s="288"/>
      <c r="P86" s="200"/>
      <c r="Q86" s="288"/>
      <c r="R86" s="288"/>
      <c r="S86" s="200"/>
      <c r="T86" s="198"/>
      <c r="U86" s="198"/>
      <c r="V86" s="198"/>
      <c r="W86" s="205">
        <v>1</v>
      </c>
      <c r="X86" s="198"/>
    </row>
    <row r="87" spans="2:24" ht="16.5">
      <c r="B87" s="494">
        <v>45939</v>
      </c>
      <c r="C87" s="497" t="s">
        <v>115</v>
      </c>
      <c r="D87" s="209">
        <v>1</v>
      </c>
      <c r="E87" s="198"/>
      <c r="F87" s="288"/>
      <c r="G87" s="288"/>
      <c r="H87" s="288"/>
      <c r="I87" s="210" t="e">
        <f t="shared" si="15"/>
        <v>#DIV/0!</v>
      </c>
      <c r="J87" s="250"/>
      <c r="K87" s="210" t="e">
        <f t="shared" si="16"/>
        <v>#DIV/0!</v>
      </c>
      <c r="L87" s="250"/>
      <c r="M87" s="211" t="e">
        <f t="shared" si="17"/>
        <v>#DIV/0!</v>
      </c>
      <c r="N87" s="288"/>
      <c r="O87" s="288"/>
      <c r="P87" s="200"/>
      <c r="Q87" s="288"/>
      <c r="R87" s="288"/>
      <c r="S87" s="200"/>
      <c r="T87" s="245"/>
      <c r="U87" s="198"/>
      <c r="V87" s="198"/>
      <c r="W87" s="205">
        <v>1</v>
      </c>
      <c r="X87" s="198"/>
    </row>
    <row r="88" spans="2:24">
      <c r="B88" s="495"/>
      <c r="C88" s="498"/>
      <c r="D88" s="209">
        <v>2</v>
      </c>
      <c r="E88" s="198"/>
      <c r="F88" s="288"/>
      <c r="G88" s="288"/>
      <c r="H88" s="288"/>
      <c r="I88" s="210" t="e">
        <f t="shared" si="15"/>
        <v>#DIV/0!</v>
      </c>
      <c r="J88" s="250"/>
      <c r="K88" s="210" t="e">
        <f t="shared" si="16"/>
        <v>#DIV/0!</v>
      </c>
      <c r="L88" s="250"/>
      <c r="M88" s="211" t="e">
        <f t="shared" si="17"/>
        <v>#DIV/0!</v>
      </c>
      <c r="N88" s="288"/>
      <c r="O88" s="288"/>
      <c r="P88" s="200"/>
      <c r="Q88" s="288"/>
      <c r="R88" s="288"/>
      <c r="S88" s="200"/>
      <c r="T88" s="198"/>
      <c r="U88" s="198"/>
      <c r="V88" s="198"/>
      <c r="W88" s="205">
        <v>1</v>
      </c>
      <c r="X88" s="198"/>
    </row>
    <row r="89" spans="2:24">
      <c r="B89" s="495"/>
      <c r="C89" s="498"/>
      <c r="D89" s="209">
        <v>3</v>
      </c>
      <c r="E89" s="198"/>
      <c r="F89" s="288"/>
      <c r="G89" s="288"/>
      <c r="H89" s="288"/>
      <c r="I89" s="210" t="e">
        <f t="shared" si="15"/>
        <v>#DIV/0!</v>
      </c>
      <c r="J89" s="250"/>
      <c r="K89" s="210" t="e">
        <f t="shared" si="16"/>
        <v>#DIV/0!</v>
      </c>
      <c r="L89" s="250"/>
      <c r="M89" s="211" t="e">
        <f t="shared" si="17"/>
        <v>#DIV/0!</v>
      </c>
      <c r="N89" s="288"/>
      <c r="O89" s="288"/>
      <c r="P89" s="200"/>
      <c r="Q89" s="288"/>
      <c r="R89" s="288"/>
      <c r="S89" s="200"/>
      <c r="T89" s="198"/>
      <c r="U89" s="198"/>
      <c r="V89" s="198"/>
      <c r="W89" s="205">
        <v>1</v>
      </c>
      <c r="X89" s="198"/>
    </row>
    <row r="90" spans="2:24">
      <c r="B90" s="495"/>
      <c r="C90" s="498"/>
      <c r="D90" s="209">
        <v>4</v>
      </c>
      <c r="E90" s="198"/>
      <c r="F90" s="288"/>
      <c r="G90" s="288"/>
      <c r="H90" s="288"/>
      <c r="I90" s="210" t="e">
        <f t="shared" si="15"/>
        <v>#DIV/0!</v>
      </c>
      <c r="J90" s="250"/>
      <c r="K90" s="210" t="e">
        <f t="shared" si="16"/>
        <v>#DIV/0!</v>
      </c>
      <c r="L90" s="250"/>
      <c r="M90" s="211" t="e">
        <f t="shared" si="17"/>
        <v>#DIV/0!</v>
      </c>
      <c r="N90" s="288"/>
      <c r="O90" s="288"/>
      <c r="P90" s="200"/>
      <c r="Q90" s="288"/>
      <c r="R90" s="288"/>
      <c r="S90" s="200"/>
      <c r="T90" s="198"/>
      <c r="U90" s="198"/>
      <c r="V90" s="198"/>
      <c r="W90" s="205">
        <v>1</v>
      </c>
      <c r="X90" s="198"/>
    </row>
    <row r="91" spans="2:24">
      <c r="B91" s="495"/>
      <c r="C91" s="498"/>
      <c r="D91" s="209">
        <v>5</v>
      </c>
      <c r="E91" s="198"/>
      <c r="F91" s="288"/>
      <c r="G91" s="288"/>
      <c r="H91" s="288"/>
      <c r="I91" s="210" t="e">
        <f t="shared" si="15"/>
        <v>#DIV/0!</v>
      </c>
      <c r="J91" s="250"/>
      <c r="K91" s="210" t="e">
        <f t="shared" si="16"/>
        <v>#DIV/0!</v>
      </c>
      <c r="L91" s="250"/>
      <c r="M91" s="211" t="e">
        <f t="shared" si="17"/>
        <v>#DIV/0!</v>
      </c>
      <c r="N91" s="288"/>
      <c r="O91" s="288"/>
      <c r="P91" s="200"/>
      <c r="Q91" s="288"/>
      <c r="R91" s="288"/>
      <c r="S91" s="200"/>
      <c r="T91" s="198"/>
      <c r="U91" s="198"/>
      <c r="V91" s="198"/>
      <c r="W91" s="205">
        <v>1</v>
      </c>
      <c r="X91" s="198"/>
    </row>
    <row r="92" spans="2:24">
      <c r="B92" s="495"/>
      <c r="C92" s="498"/>
      <c r="D92" s="209">
        <v>6</v>
      </c>
      <c r="E92" s="198"/>
      <c r="F92" s="288"/>
      <c r="G92" s="288"/>
      <c r="H92" s="288"/>
      <c r="I92" s="210" t="e">
        <f t="shared" si="15"/>
        <v>#DIV/0!</v>
      </c>
      <c r="J92" s="250"/>
      <c r="K92" s="210" t="e">
        <f t="shared" si="16"/>
        <v>#DIV/0!</v>
      </c>
      <c r="L92" s="250"/>
      <c r="M92" s="211" t="e">
        <f t="shared" si="17"/>
        <v>#DIV/0!</v>
      </c>
      <c r="N92" s="288"/>
      <c r="O92" s="288"/>
      <c r="P92" s="200"/>
      <c r="Q92" s="288"/>
      <c r="R92" s="288"/>
      <c r="S92" s="200"/>
      <c r="T92" s="198"/>
      <c r="U92" s="198"/>
      <c r="V92" s="198"/>
      <c r="W92" s="205">
        <v>1</v>
      </c>
      <c r="X92" s="198"/>
    </row>
    <row r="93" spans="2:24">
      <c r="B93" s="495"/>
      <c r="C93" s="498"/>
      <c r="D93" s="209">
        <v>7</v>
      </c>
      <c r="E93" s="198"/>
      <c r="F93" s="288"/>
      <c r="G93" s="288"/>
      <c r="H93" s="288"/>
      <c r="I93" s="210" t="e">
        <f t="shared" si="15"/>
        <v>#DIV/0!</v>
      </c>
      <c r="J93" s="250"/>
      <c r="K93" s="210" t="e">
        <f t="shared" si="16"/>
        <v>#DIV/0!</v>
      </c>
      <c r="L93" s="250"/>
      <c r="M93" s="211" t="e">
        <f t="shared" si="17"/>
        <v>#DIV/0!</v>
      </c>
      <c r="N93" s="288"/>
      <c r="O93" s="288"/>
      <c r="P93" s="200"/>
      <c r="Q93" s="288"/>
      <c r="R93" s="288"/>
      <c r="S93" s="200"/>
      <c r="T93" s="198"/>
      <c r="U93" s="198"/>
      <c r="V93" s="198"/>
      <c r="W93" s="205">
        <v>1</v>
      </c>
      <c r="X93" s="198"/>
    </row>
    <row r="94" spans="2:24">
      <c r="B94" s="495"/>
      <c r="C94" s="498"/>
      <c r="D94" s="209">
        <v>8</v>
      </c>
      <c r="E94" s="198"/>
      <c r="F94" s="288"/>
      <c r="G94" s="288"/>
      <c r="H94" s="288"/>
      <c r="I94" s="210" t="e">
        <f t="shared" si="15"/>
        <v>#DIV/0!</v>
      </c>
      <c r="J94" s="250"/>
      <c r="K94" s="210" t="e">
        <f t="shared" si="16"/>
        <v>#DIV/0!</v>
      </c>
      <c r="L94" s="250"/>
      <c r="M94" s="211" t="e">
        <f t="shared" si="17"/>
        <v>#DIV/0!</v>
      </c>
      <c r="N94" s="288"/>
      <c r="O94" s="288"/>
      <c r="P94" s="200"/>
      <c r="Q94" s="288"/>
      <c r="R94" s="288"/>
      <c r="S94" s="200"/>
      <c r="T94" s="198"/>
      <c r="U94" s="198"/>
      <c r="V94" s="198"/>
      <c r="W94" s="205">
        <v>1</v>
      </c>
      <c r="X94" s="198"/>
    </row>
    <row r="95" spans="2:24">
      <c r="B95" s="495"/>
      <c r="C95" s="498"/>
      <c r="D95" s="209">
        <v>9</v>
      </c>
      <c r="E95" s="198"/>
      <c r="F95" s="288"/>
      <c r="G95" s="288"/>
      <c r="H95" s="288"/>
      <c r="I95" s="210" t="e">
        <f t="shared" si="15"/>
        <v>#DIV/0!</v>
      </c>
      <c r="J95" s="250"/>
      <c r="K95" s="210" t="e">
        <f t="shared" si="16"/>
        <v>#DIV/0!</v>
      </c>
      <c r="L95" s="250"/>
      <c r="M95" s="211" t="e">
        <f t="shared" si="17"/>
        <v>#DIV/0!</v>
      </c>
      <c r="N95" s="288"/>
      <c r="O95" s="288"/>
      <c r="P95" s="200"/>
      <c r="Q95" s="288"/>
      <c r="R95" s="288"/>
      <c r="S95" s="200"/>
      <c r="T95" s="198"/>
      <c r="U95" s="198"/>
      <c r="V95" s="198"/>
      <c r="W95" s="205">
        <v>1</v>
      </c>
      <c r="X95" s="198"/>
    </row>
    <row r="96" spans="2:24">
      <c r="B96" s="496"/>
      <c r="C96" s="498"/>
      <c r="D96" s="209">
        <v>10</v>
      </c>
      <c r="E96" s="198"/>
      <c r="F96" s="288"/>
      <c r="G96" s="288"/>
      <c r="H96" s="288"/>
      <c r="I96" s="210" t="e">
        <f t="shared" si="15"/>
        <v>#DIV/0!</v>
      </c>
      <c r="J96" s="250"/>
      <c r="K96" s="210" t="e">
        <f t="shared" si="16"/>
        <v>#DIV/0!</v>
      </c>
      <c r="L96" s="250"/>
      <c r="M96" s="211" t="e">
        <f t="shared" si="17"/>
        <v>#DIV/0!</v>
      </c>
      <c r="N96" s="288"/>
      <c r="O96" s="288"/>
      <c r="P96" s="200"/>
      <c r="Q96" s="288"/>
      <c r="R96" s="288"/>
      <c r="S96" s="200"/>
      <c r="T96" s="198"/>
      <c r="U96" s="198"/>
      <c r="V96" s="198"/>
      <c r="W96" s="205">
        <v>1</v>
      </c>
      <c r="X96" s="198"/>
    </row>
    <row r="97" spans="2:24">
      <c r="B97" s="494">
        <v>45940</v>
      </c>
      <c r="C97" s="497" t="s">
        <v>116</v>
      </c>
      <c r="D97" s="209">
        <v>1</v>
      </c>
      <c r="E97" s="198"/>
      <c r="F97" s="288"/>
      <c r="G97" s="288"/>
      <c r="H97" s="288"/>
      <c r="I97" s="210" t="e">
        <f t="shared" si="15"/>
        <v>#DIV/0!</v>
      </c>
      <c r="J97" s="250"/>
      <c r="K97" s="210" t="e">
        <f t="shared" si="16"/>
        <v>#DIV/0!</v>
      </c>
      <c r="L97" s="250"/>
      <c r="M97" s="211" t="e">
        <f t="shared" si="17"/>
        <v>#DIV/0!</v>
      </c>
      <c r="N97" s="288"/>
      <c r="O97" s="288"/>
      <c r="P97" s="200"/>
      <c r="Q97" s="288"/>
      <c r="R97" s="288"/>
      <c r="S97" s="200"/>
      <c r="T97" s="198"/>
      <c r="U97" s="198"/>
      <c r="V97" s="198"/>
      <c r="W97" s="205">
        <v>1</v>
      </c>
      <c r="X97" s="198"/>
    </row>
    <row r="98" spans="2:24" ht="16.5">
      <c r="B98" s="495"/>
      <c r="C98" s="498"/>
      <c r="D98" s="209">
        <v>2</v>
      </c>
      <c r="E98" s="198"/>
      <c r="F98" s="288"/>
      <c r="G98" s="288"/>
      <c r="H98" s="288"/>
      <c r="I98" s="210" t="e">
        <f t="shared" si="15"/>
        <v>#DIV/0!</v>
      </c>
      <c r="J98" s="250"/>
      <c r="K98" s="210" t="e">
        <f t="shared" si="16"/>
        <v>#DIV/0!</v>
      </c>
      <c r="L98" s="250"/>
      <c r="M98" s="211" t="e">
        <f t="shared" si="17"/>
        <v>#DIV/0!</v>
      </c>
      <c r="N98" s="288"/>
      <c r="O98" s="288"/>
      <c r="P98" s="200"/>
      <c r="Q98" s="288"/>
      <c r="R98" s="288"/>
      <c r="S98" s="200"/>
      <c r="T98" s="245"/>
      <c r="U98" s="198"/>
      <c r="V98" s="198"/>
      <c r="W98" s="205">
        <v>1</v>
      </c>
      <c r="X98" s="198"/>
    </row>
    <row r="99" spans="2:24">
      <c r="B99" s="495"/>
      <c r="C99" s="498"/>
      <c r="D99" s="209">
        <v>3</v>
      </c>
      <c r="E99" s="198"/>
      <c r="F99" s="288"/>
      <c r="G99" s="288"/>
      <c r="H99" s="288"/>
      <c r="I99" s="210" t="e">
        <f t="shared" si="15"/>
        <v>#DIV/0!</v>
      </c>
      <c r="J99" s="250"/>
      <c r="K99" s="210" t="e">
        <f t="shared" si="16"/>
        <v>#DIV/0!</v>
      </c>
      <c r="L99" s="250"/>
      <c r="M99" s="211" t="e">
        <f t="shared" si="17"/>
        <v>#DIV/0!</v>
      </c>
      <c r="N99" s="288"/>
      <c r="O99" s="288"/>
      <c r="P99" s="200"/>
      <c r="Q99" s="288"/>
      <c r="R99" s="288"/>
      <c r="S99" s="200"/>
      <c r="T99" s="198"/>
      <c r="U99" s="198"/>
      <c r="V99" s="198"/>
      <c r="W99" s="205">
        <v>1</v>
      </c>
      <c r="X99" s="198"/>
    </row>
    <row r="100" spans="2:24">
      <c r="B100" s="495"/>
      <c r="C100" s="498"/>
      <c r="D100" s="209">
        <v>4</v>
      </c>
      <c r="E100" s="198"/>
      <c r="F100" s="288"/>
      <c r="G100" s="288"/>
      <c r="H100" s="288"/>
      <c r="I100" s="210" t="e">
        <f t="shared" si="15"/>
        <v>#DIV/0!</v>
      </c>
      <c r="J100" s="250"/>
      <c r="K100" s="210" t="e">
        <f t="shared" si="16"/>
        <v>#DIV/0!</v>
      </c>
      <c r="L100" s="250"/>
      <c r="M100" s="211" t="e">
        <f t="shared" si="17"/>
        <v>#DIV/0!</v>
      </c>
      <c r="N100" s="288"/>
      <c r="O100" s="288"/>
      <c r="P100" s="200"/>
      <c r="Q100" s="288"/>
      <c r="R100" s="288"/>
      <c r="S100" s="200"/>
      <c r="T100" s="198"/>
      <c r="U100" s="198"/>
      <c r="V100" s="198"/>
      <c r="W100" s="205">
        <v>1</v>
      </c>
      <c r="X100" s="198"/>
    </row>
    <row r="101" spans="2:24">
      <c r="B101" s="495"/>
      <c r="C101" s="498"/>
      <c r="D101" s="209">
        <v>5</v>
      </c>
      <c r="E101" s="198"/>
      <c r="F101" s="288"/>
      <c r="G101" s="288"/>
      <c r="H101" s="288"/>
      <c r="I101" s="210" t="e">
        <f t="shared" si="15"/>
        <v>#DIV/0!</v>
      </c>
      <c r="J101" s="250"/>
      <c r="K101" s="210" t="e">
        <f t="shared" si="16"/>
        <v>#DIV/0!</v>
      </c>
      <c r="L101" s="250"/>
      <c r="M101" s="211" t="e">
        <f t="shared" si="17"/>
        <v>#DIV/0!</v>
      </c>
      <c r="N101" s="288"/>
      <c r="O101" s="288"/>
      <c r="P101" s="200"/>
      <c r="Q101" s="288"/>
      <c r="R101" s="288"/>
      <c r="S101" s="200"/>
      <c r="T101" s="198"/>
      <c r="U101" s="198"/>
      <c r="V101" s="198"/>
      <c r="W101" s="205">
        <v>1</v>
      </c>
      <c r="X101" s="198"/>
    </row>
    <row r="102" spans="2:24" ht="16.5">
      <c r="B102" s="495"/>
      <c r="C102" s="498"/>
      <c r="D102" s="209">
        <v>6</v>
      </c>
      <c r="E102" s="198"/>
      <c r="F102" s="288"/>
      <c r="G102" s="288"/>
      <c r="H102" s="288"/>
      <c r="I102" s="210" t="e">
        <f t="shared" si="15"/>
        <v>#DIV/0!</v>
      </c>
      <c r="J102" s="250"/>
      <c r="K102" s="210" t="e">
        <f t="shared" si="16"/>
        <v>#DIV/0!</v>
      </c>
      <c r="L102" s="250"/>
      <c r="M102" s="211" t="e">
        <f t="shared" si="17"/>
        <v>#DIV/0!</v>
      </c>
      <c r="N102" s="288"/>
      <c r="O102" s="288"/>
      <c r="P102" s="200"/>
      <c r="Q102" s="288"/>
      <c r="R102" s="288"/>
      <c r="S102" s="200"/>
      <c r="T102" s="198"/>
      <c r="U102" s="198"/>
      <c r="V102" s="247"/>
      <c r="W102" s="205">
        <v>1</v>
      </c>
      <c r="X102" s="198"/>
    </row>
    <row r="103" spans="2:24">
      <c r="B103" s="495"/>
      <c r="C103" s="498"/>
      <c r="D103" s="209">
        <v>7</v>
      </c>
      <c r="E103" s="198"/>
      <c r="F103" s="288"/>
      <c r="G103" s="288"/>
      <c r="H103" s="288"/>
      <c r="I103" s="210" t="e">
        <f t="shared" si="15"/>
        <v>#DIV/0!</v>
      </c>
      <c r="J103" s="250"/>
      <c r="K103" s="210" t="e">
        <f t="shared" si="16"/>
        <v>#DIV/0!</v>
      </c>
      <c r="L103" s="250"/>
      <c r="M103" s="211" t="e">
        <f t="shared" si="17"/>
        <v>#DIV/0!</v>
      </c>
      <c r="N103" s="288"/>
      <c r="O103" s="288"/>
      <c r="P103" s="200"/>
      <c r="Q103" s="288"/>
      <c r="R103" s="288"/>
      <c r="S103" s="200"/>
      <c r="T103" s="198"/>
      <c r="U103" s="198"/>
      <c r="V103" s="198"/>
      <c r="W103" s="205">
        <v>1</v>
      </c>
      <c r="X103" s="198"/>
    </row>
    <row r="104" spans="2:24" ht="16.5">
      <c r="B104" s="495"/>
      <c r="C104" s="498"/>
      <c r="D104" s="209">
        <v>8</v>
      </c>
      <c r="E104" s="198"/>
      <c r="F104" s="288"/>
      <c r="G104" s="288"/>
      <c r="H104" s="288"/>
      <c r="I104" s="210" t="e">
        <f t="shared" si="15"/>
        <v>#DIV/0!</v>
      </c>
      <c r="J104" s="250"/>
      <c r="K104" s="210" t="e">
        <f t="shared" si="16"/>
        <v>#DIV/0!</v>
      </c>
      <c r="L104" s="250"/>
      <c r="M104" s="211" t="e">
        <f t="shared" si="17"/>
        <v>#DIV/0!</v>
      </c>
      <c r="N104" s="288"/>
      <c r="O104" s="288"/>
      <c r="P104" s="200"/>
      <c r="Q104" s="288"/>
      <c r="R104" s="288"/>
      <c r="S104" s="200"/>
      <c r="T104" s="198"/>
      <c r="U104" s="198"/>
      <c r="V104" s="247"/>
      <c r="W104" s="205">
        <v>1</v>
      </c>
      <c r="X104" s="198"/>
    </row>
    <row r="105" spans="2:24">
      <c r="B105" s="495"/>
      <c r="C105" s="498"/>
      <c r="D105" s="209">
        <v>9</v>
      </c>
      <c r="E105" s="198"/>
      <c r="F105" s="288"/>
      <c r="G105" s="288"/>
      <c r="H105" s="288"/>
      <c r="I105" s="210" t="e">
        <f t="shared" si="15"/>
        <v>#DIV/0!</v>
      </c>
      <c r="J105" s="250"/>
      <c r="K105" s="210" t="e">
        <f t="shared" si="16"/>
        <v>#DIV/0!</v>
      </c>
      <c r="L105" s="250"/>
      <c r="M105" s="211" t="e">
        <f t="shared" si="17"/>
        <v>#DIV/0!</v>
      </c>
      <c r="N105" s="288"/>
      <c r="O105" s="288"/>
      <c r="P105" s="200"/>
      <c r="Q105" s="288"/>
      <c r="R105" s="288"/>
      <c r="S105" s="200"/>
      <c r="T105" s="198"/>
      <c r="U105" s="198"/>
      <c r="V105" s="198"/>
      <c r="W105" s="205">
        <v>1</v>
      </c>
      <c r="X105" s="198"/>
    </row>
    <row r="106" spans="2:24">
      <c r="B106" s="496"/>
      <c r="C106" s="498"/>
      <c r="D106" s="209">
        <v>10</v>
      </c>
      <c r="E106" s="198"/>
      <c r="F106" s="288"/>
      <c r="G106" s="288"/>
      <c r="H106" s="288"/>
      <c r="I106" s="210" t="e">
        <f t="shared" si="15"/>
        <v>#DIV/0!</v>
      </c>
      <c r="J106" s="250"/>
      <c r="K106" s="210" t="e">
        <f t="shared" si="16"/>
        <v>#DIV/0!</v>
      </c>
      <c r="L106" s="250"/>
      <c r="M106" s="211" t="e">
        <f t="shared" si="17"/>
        <v>#DIV/0!</v>
      </c>
      <c r="N106" s="288"/>
      <c r="O106" s="288"/>
      <c r="P106" s="200"/>
      <c r="Q106" s="288"/>
      <c r="R106" s="288"/>
      <c r="S106" s="200"/>
      <c r="T106" s="198"/>
      <c r="U106" s="198"/>
      <c r="V106" s="198"/>
      <c r="W106" s="205">
        <v>1</v>
      </c>
      <c r="X106" s="198"/>
    </row>
    <row r="107" spans="2:24">
      <c r="B107" s="494">
        <v>45941</v>
      </c>
      <c r="C107" s="497" t="s">
        <v>117</v>
      </c>
      <c r="D107" s="209">
        <v>1</v>
      </c>
      <c r="E107" s="198"/>
      <c r="F107" s="288"/>
      <c r="G107" s="288"/>
      <c r="H107" s="288"/>
      <c r="I107" s="210" t="e">
        <f t="shared" si="15"/>
        <v>#DIV/0!</v>
      </c>
      <c r="J107" s="250"/>
      <c r="K107" s="210" t="e">
        <f t="shared" si="16"/>
        <v>#DIV/0!</v>
      </c>
      <c r="L107" s="250"/>
      <c r="M107" s="211" t="e">
        <f t="shared" si="17"/>
        <v>#DIV/0!</v>
      </c>
      <c r="N107" s="288"/>
      <c r="O107" s="288"/>
      <c r="P107" s="200"/>
      <c r="Q107" s="288"/>
      <c r="R107" s="288"/>
      <c r="S107" s="200"/>
      <c r="T107" s="198"/>
      <c r="U107" s="198"/>
      <c r="V107" s="198"/>
      <c r="W107" s="205">
        <v>1</v>
      </c>
      <c r="X107" s="198"/>
    </row>
    <row r="108" spans="2:24" ht="16.5">
      <c r="B108" s="495"/>
      <c r="C108" s="498"/>
      <c r="D108" s="209">
        <v>2</v>
      </c>
      <c r="E108" s="198"/>
      <c r="F108" s="288"/>
      <c r="G108" s="288"/>
      <c r="H108" s="288"/>
      <c r="I108" s="210" t="e">
        <f t="shared" si="15"/>
        <v>#DIV/0!</v>
      </c>
      <c r="J108" s="250"/>
      <c r="K108" s="210" t="e">
        <f t="shared" si="16"/>
        <v>#DIV/0!</v>
      </c>
      <c r="L108" s="250"/>
      <c r="M108" s="211" t="e">
        <f t="shared" si="17"/>
        <v>#DIV/0!</v>
      </c>
      <c r="N108" s="288"/>
      <c r="O108" s="288"/>
      <c r="P108" s="200"/>
      <c r="Q108" s="288"/>
      <c r="R108" s="288"/>
      <c r="S108" s="200"/>
      <c r="T108" s="245"/>
      <c r="U108" s="198"/>
      <c r="V108" s="198"/>
      <c r="W108" s="205">
        <v>1</v>
      </c>
      <c r="X108" s="198"/>
    </row>
    <row r="109" spans="2:24">
      <c r="B109" s="495"/>
      <c r="C109" s="498"/>
      <c r="D109" s="209">
        <v>3</v>
      </c>
      <c r="E109" s="198"/>
      <c r="F109" s="288"/>
      <c r="G109" s="288"/>
      <c r="H109" s="288"/>
      <c r="I109" s="210" t="e">
        <f t="shared" si="15"/>
        <v>#DIV/0!</v>
      </c>
      <c r="J109" s="250"/>
      <c r="K109" s="210" t="e">
        <f t="shared" si="16"/>
        <v>#DIV/0!</v>
      </c>
      <c r="L109" s="250"/>
      <c r="M109" s="211" t="e">
        <f t="shared" si="17"/>
        <v>#DIV/0!</v>
      </c>
      <c r="N109" s="288"/>
      <c r="O109" s="288"/>
      <c r="P109" s="200"/>
      <c r="Q109" s="288"/>
      <c r="R109" s="288"/>
      <c r="S109" s="200"/>
      <c r="T109" s="198"/>
      <c r="U109" s="198"/>
      <c r="V109" s="198"/>
      <c r="W109" s="205">
        <v>1</v>
      </c>
      <c r="X109" s="198"/>
    </row>
    <row r="110" spans="2:24">
      <c r="B110" s="495"/>
      <c r="C110" s="498"/>
      <c r="D110" s="209">
        <v>4</v>
      </c>
      <c r="E110" s="198"/>
      <c r="F110" s="288"/>
      <c r="G110" s="288"/>
      <c r="H110" s="288"/>
      <c r="I110" s="210" t="e">
        <f t="shared" si="15"/>
        <v>#DIV/0!</v>
      </c>
      <c r="J110" s="250"/>
      <c r="K110" s="210" t="e">
        <f t="shared" si="16"/>
        <v>#DIV/0!</v>
      </c>
      <c r="L110" s="250"/>
      <c r="M110" s="211" t="e">
        <f t="shared" si="17"/>
        <v>#DIV/0!</v>
      </c>
      <c r="N110" s="288"/>
      <c r="O110" s="288"/>
      <c r="P110" s="200"/>
      <c r="Q110" s="288"/>
      <c r="R110" s="288"/>
      <c r="S110" s="200"/>
      <c r="T110" s="198"/>
      <c r="U110" s="198"/>
      <c r="V110" s="198"/>
      <c r="W110" s="205">
        <v>1</v>
      </c>
      <c r="X110" s="198"/>
    </row>
    <row r="111" spans="2:24">
      <c r="B111" s="495"/>
      <c r="C111" s="498"/>
      <c r="D111" s="209">
        <v>5</v>
      </c>
      <c r="E111" s="198"/>
      <c r="F111" s="288"/>
      <c r="G111" s="288"/>
      <c r="H111" s="288"/>
      <c r="I111" s="210" t="e">
        <f t="shared" si="15"/>
        <v>#DIV/0!</v>
      </c>
      <c r="J111" s="250"/>
      <c r="K111" s="210" t="e">
        <f t="shared" si="16"/>
        <v>#DIV/0!</v>
      </c>
      <c r="L111" s="250"/>
      <c r="M111" s="211" t="e">
        <f t="shared" si="17"/>
        <v>#DIV/0!</v>
      </c>
      <c r="N111" s="288"/>
      <c r="O111" s="288"/>
      <c r="P111" s="200"/>
      <c r="Q111" s="288"/>
      <c r="R111" s="288"/>
      <c r="S111" s="200"/>
      <c r="T111" s="198"/>
      <c r="U111" s="198"/>
      <c r="V111" s="198"/>
      <c r="W111" s="205">
        <v>1</v>
      </c>
      <c r="X111" s="198"/>
    </row>
    <row r="112" spans="2:24">
      <c r="B112" s="495"/>
      <c r="C112" s="498"/>
      <c r="D112" s="209">
        <v>6</v>
      </c>
      <c r="E112" s="198"/>
      <c r="F112" s="288"/>
      <c r="G112" s="288"/>
      <c r="H112" s="288"/>
      <c r="I112" s="210" t="e">
        <f t="shared" si="15"/>
        <v>#DIV/0!</v>
      </c>
      <c r="J112" s="250"/>
      <c r="K112" s="210" t="e">
        <f t="shared" si="16"/>
        <v>#DIV/0!</v>
      </c>
      <c r="L112" s="250"/>
      <c r="M112" s="211" t="e">
        <f t="shared" si="17"/>
        <v>#DIV/0!</v>
      </c>
      <c r="N112" s="288"/>
      <c r="O112" s="288"/>
      <c r="P112" s="200"/>
      <c r="Q112" s="288"/>
      <c r="R112" s="288"/>
      <c r="S112" s="200"/>
      <c r="T112" s="198"/>
      <c r="U112" s="198"/>
      <c r="V112" s="198"/>
      <c r="W112" s="205">
        <v>1</v>
      </c>
      <c r="X112" s="198"/>
    </row>
    <row r="113" spans="2:25">
      <c r="B113" s="495"/>
      <c r="C113" s="498"/>
      <c r="D113" s="209">
        <v>7</v>
      </c>
      <c r="E113" s="198"/>
      <c r="F113" s="288"/>
      <c r="G113" s="288"/>
      <c r="H113" s="288"/>
      <c r="I113" s="210" t="e">
        <f t="shared" si="15"/>
        <v>#DIV/0!</v>
      </c>
      <c r="J113" s="250"/>
      <c r="K113" s="210" t="e">
        <f t="shared" si="16"/>
        <v>#DIV/0!</v>
      </c>
      <c r="L113" s="250"/>
      <c r="M113" s="211" t="e">
        <f t="shared" si="17"/>
        <v>#DIV/0!</v>
      </c>
      <c r="N113" s="288"/>
      <c r="O113" s="288"/>
      <c r="P113" s="200"/>
      <c r="Q113" s="288"/>
      <c r="R113" s="288"/>
      <c r="S113" s="200"/>
      <c r="T113" s="198"/>
      <c r="U113" s="198"/>
      <c r="V113" s="198"/>
      <c r="W113" s="205">
        <v>1</v>
      </c>
      <c r="X113" s="198"/>
    </row>
    <row r="114" spans="2:25">
      <c r="B114" s="495"/>
      <c r="C114" s="498"/>
      <c r="D114" s="209">
        <v>8</v>
      </c>
      <c r="E114" s="198"/>
      <c r="F114" s="288"/>
      <c r="G114" s="288"/>
      <c r="H114" s="288"/>
      <c r="I114" s="210" t="e">
        <f t="shared" si="15"/>
        <v>#DIV/0!</v>
      </c>
      <c r="J114" s="250"/>
      <c r="K114" s="210" t="e">
        <f t="shared" si="16"/>
        <v>#DIV/0!</v>
      </c>
      <c r="L114" s="250"/>
      <c r="M114" s="211" t="e">
        <f t="shared" si="17"/>
        <v>#DIV/0!</v>
      </c>
      <c r="N114" s="288"/>
      <c r="O114" s="288"/>
      <c r="P114" s="200"/>
      <c r="Q114" s="288"/>
      <c r="R114" s="288"/>
      <c r="S114" s="200"/>
      <c r="T114" s="198"/>
      <c r="U114" s="198"/>
      <c r="V114" s="198"/>
      <c r="W114" s="205">
        <v>1</v>
      </c>
      <c r="X114" s="198"/>
    </row>
    <row r="115" spans="2:25">
      <c r="B115" s="495"/>
      <c r="C115" s="498"/>
      <c r="D115" s="209">
        <v>9</v>
      </c>
      <c r="E115" s="198"/>
      <c r="F115" s="288"/>
      <c r="G115" s="288"/>
      <c r="H115" s="288"/>
      <c r="I115" s="210" t="e">
        <f t="shared" si="15"/>
        <v>#DIV/0!</v>
      </c>
      <c r="J115" s="250"/>
      <c r="K115" s="210" t="e">
        <f t="shared" si="16"/>
        <v>#DIV/0!</v>
      </c>
      <c r="L115" s="250"/>
      <c r="M115" s="211" t="e">
        <f t="shared" si="17"/>
        <v>#DIV/0!</v>
      </c>
      <c r="N115" s="288"/>
      <c r="O115" s="288"/>
      <c r="P115" s="200"/>
      <c r="Q115" s="288"/>
      <c r="R115" s="288"/>
      <c r="S115" s="200"/>
      <c r="T115" s="198"/>
      <c r="U115" s="198"/>
      <c r="V115" s="198"/>
      <c r="W115" s="205">
        <v>1</v>
      </c>
      <c r="X115" s="198"/>
    </row>
    <row r="116" spans="2:25">
      <c r="B116" s="496"/>
      <c r="C116" s="498"/>
      <c r="D116" s="209">
        <v>10</v>
      </c>
      <c r="E116" s="198"/>
      <c r="F116" s="288"/>
      <c r="G116" s="288"/>
      <c r="H116" s="288"/>
      <c r="I116" s="210" t="e">
        <f t="shared" si="15"/>
        <v>#DIV/0!</v>
      </c>
      <c r="J116" s="250"/>
      <c r="K116" s="210" t="e">
        <f t="shared" si="16"/>
        <v>#DIV/0!</v>
      </c>
      <c r="L116" s="250"/>
      <c r="M116" s="211" t="e">
        <f t="shared" si="17"/>
        <v>#DIV/0!</v>
      </c>
      <c r="N116" s="288"/>
      <c r="O116" s="288"/>
      <c r="P116" s="200"/>
      <c r="Q116" s="288"/>
      <c r="R116" s="288"/>
      <c r="S116" s="200"/>
      <c r="T116" s="198"/>
      <c r="U116" s="198"/>
      <c r="V116" s="198"/>
      <c r="W116" s="205">
        <v>1</v>
      </c>
      <c r="X116" s="198"/>
    </row>
    <row r="117" spans="2:25" ht="16.5">
      <c r="B117" s="494">
        <v>45942</v>
      </c>
      <c r="C117" s="497" t="s">
        <v>118</v>
      </c>
      <c r="D117" s="209">
        <v>11</v>
      </c>
      <c r="E117" s="198"/>
      <c r="F117" s="288"/>
      <c r="G117" s="288"/>
      <c r="H117" s="288"/>
      <c r="I117" s="210" t="e">
        <f t="shared" si="15"/>
        <v>#DIV/0!</v>
      </c>
      <c r="J117" s="250"/>
      <c r="K117" s="210" t="e">
        <f t="shared" si="16"/>
        <v>#DIV/0!</v>
      </c>
      <c r="L117" s="250"/>
      <c r="M117" s="211" t="e">
        <f t="shared" si="17"/>
        <v>#DIV/0!</v>
      </c>
      <c r="N117" s="288"/>
      <c r="O117" s="288"/>
      <c r="P117" s="200"/>
      <c r="Q117" s="288"/>
      <c r="R117" s="288"/>
      <c r="S117" s="200"/>
      <c r="T117" s="245"/>
      <c r="U117" s="198"/>
      <c r="V117" s="198"/>
      <c r="W117" s="205">
        <v>1</v>
      </c>
      <c r="X117" s="198"/>
    </row>
    <row r="118" spans="2:25">
      <c r="B118" s="495"/>
      <c r="C118" s="498"/>
      <c r="D118" s="209">
        <v>12</v>
      </c>
      <c r="E118" s="198"/>
      <c r="F118" s="288"/>
      <c r="G118" s="288"/>
      <c r="H118" s="288"/>
      <c r="I118" s="210" t="e">
        <f t="shared" si="15"/>
        <v>#DIV/0!</v>
      </c>
      <c r="J118" s="250"/>
      <c r="K118" s="210" t="e">
        <f t="shared" si="16"/>
        <v>#DIV/0!</v>
      </c>
      <c r="L118" s="250"/>
      <c r="M118" s="211" t="e">
        <f t="shared" si="17"/>
        <v>#DIV/0!</v>
      </c>
      <c r="N118" s="288"/>
      <c r="O118" s="288"/>
      <c r="P118" s="200"/>
      <c r="Q118" s="288"/>
      <c r="R118" s="288"/>
      <c r="S118" s="200"/>
      <c r="T118" s="198"/>
      <c r="U118" s="198"/>
      <c r="V118" s="198"/>
      <c r="W118" s="205">
        <v>1</v>
      </c>
      <c r="X118" s="198"/>
    </row>
    <row r="119" spans="2:25">
      <c r="B119" s="495"/>
      <c r="C119" s="498"/>
      <c r="D119" s="209">
        <v>13</v>
      </c>
      <c r="E119" s="198"/>
      <c r="F119" s="288"/>
      <c r="G119" s="288"/>
      <c r="H119" s="288"/>
      <c r="I119" s="210" t="e">
        <f t="shared" si="15"/>
        <v>#DIV/0!</v>
      </c>
      <c r="J119" s="250"/>
      <c r="K119" s="210" t="e">
        <f t="shared" si="16"/>
        <v>#DIV/0!</v>
      </c>
      <c r="L119" s="250"/>
      <c r="M119" s="211" t="e">
        <f t="shared" si="17"/>
        <v>#DIV/0!</v>
      </c>
      <c r="N119" s="288"/>
      <c r="O119" s="288"/>
      <c r="P119" s="200"/>
      <c r="Q119" s="288"/>
      <c r="R119" s="288"/>
      <c r="S119" s="200"/>
      <c r="T119" s="198"/>
      <c r="U119" s="198"/>
      <c r="V119" s="198"/>
      <c r="W119" s="205">
        <v>1</v>
      </c>
      <c r="X119" s="198"/>
    </row>
    <row r="120" spans="2:25">
      <c r="B120" s="495"/>
      <c r="C120" s="498"/>
      <c r="D120" s="209">
        <v>14</v>
      </c>
      <c r="E120" s="198"/>
      <c r="F120" s="288"/>
      <c r="G120" s="288"/>
      <c r="H120" s="288"/>
      <c r="I120" s="210" t="e">
        <f t="shared" si="15"/>
        <v>#DIV/0!</v>
      </c>
      <c r="J120" s="250"/>
      <c r="K120" s="210" t="e">
        <f t="shared" si="16"/>
        <v>#DIV/0!</v>
      </c>
      <c r="L120" s="250"/>
      <c r="M120" s="211" t="e">
        <f t="shared" si="17"/>
        <v>#DIV/0!</v>
      </c>
      <c r="N120" s="288"/>
      <c r="O120" s="288"/>
      <c r="P120" s="200"/>
      <c r="Q120" s="288"/>
      <c r="R120" s="288"/>
      <c r="S120" s="200"/>
      <c r="T120" s="198"/>
      <c r="U120" s="198"/>
      <c r="V120" s="198"/>
      <c r="W120" s="205">
        <v>1</v>
      </c>
      <c r="X120" s="198"/>
    </row>
    <row r="121" spans="2:25" ht="16.5">
      <c r="B121" s="495"/>
      <c r="C121" s="498"/>
      <c r="D121" s="209">
        <v>15</v>
      </c>
      <c r="E121" s="198"/>
      <c r="F121" s="288"/>
      <c r="G121" s="288"/>
      <c r="H121" s="288"/>
      <c r="I121" s="210" t="e">
        <f t="shared" si="15"/>
        <v>#DIV/0!</v>
      </c>
      <c r="J121" s="250"/>
      <c r="K121" s="210" t="e">
        <f t="shared" si="16"/>
        <v>#DIV/0!</v>
      </c>
      <c r="L121" s="250"/>
      <c r="M121" s="211" t="e">
        <f t="shared" si="17"/>
        <v>#DIV/0!</v>
      </c>
      <c r="N121" s="288"/>
      <c r="O121" s="288"/>
      <c r="P121" s="200"/>
      <c r="Q121" s="288"/>
      <c r="R121" s="288"/>
      <c r="S121" s="200"/>
      <c r="T121" s="198"/>
      <c r="U121" s="198"/>
      <c r="V121" s="247"/>
      <c r="W121" s="205">
        <v>1</v>
      </c>
      <c r="X121" s="198"/>
    </row>
    <row r="122" spans="2:25">
      <c r="B122" s="495"/>
      <c r="C122" s="498"/>
      <c r="D122" s="209">
        <v>16</v>
      </c>
      <c r="E122" s="198"/>
      <c r="F122" s="288"/>
      <c r="G122" s="288"/>
      <c r="H122" s="288"/>
      <c r="I122" s="210" t="e">
        <f t="shared" si="15"/>
        <v>#DIV/0!</v>
      </c>
      <c r="J122" s="250"/>
      <c r="K122" s="210" t="e">
        <f t="shared" si="16"/>
        <v>#DIV/0!</v>
      </c>
      <c r="L122" s="250"/>
      <c r="M122" s="211" t="e">
        <f t="shared" si="17"/>
        <v>#DIV/0!</v>
      </c>
      <c r="N122" s="288"/>
      <c r="O122" s="288"/>
      <c r="P122" s="200"/>
      <c r="Q122" s="288"/>
      <c r="R122" s="288"/>
      <c r="S122" s="200"/>
      <c r="T122" s="198"/>
      <c r="U122" s="198"/>
      <c r="V122" s="198"/>
      <c r="W122" s="205">
        <v>1</v>
      </c>
      <c r="X122" s="198"/>
    </row>
    <row r="123" spans="2:25">
      <c r="B123" s="495"/>
      <c r="C123" s="498"/>
      <c r="D123" s="209">
        <v>17</v>
      </c>
      <c r="E123" s="198"/>
      <c r="F123" s="288"/>
      <c r="G123" s="288"/>
      <c r="H123" s="288"/>
      <c r="I123" s="210" t="e">
        <f t="shared" si="15"/>
        <v>#DIV/0!</v>
      </c>
      <c r="J123" s="250"/>
      <c r="K123" s="210" t="e">
        <f t="shared" si="16"/>
        <v>#DIV/0!</v>
      </c>
      <c r="L123" s="250"/>
      <c r="M123" s="211" t="e">
        <f t="shared" si="17"/>
        <v>#DIV/0!</v>
      </c>
      <c r="N123" s="288"/>
      <c r="O123" s="288"/>
      <c r="P123" s="200"/>
      <c r="Q123" s="288"/>
      <c r="R123" s="288"/>
      <c r="S123" s="200"/>
      <c r="T123" s="198"/>
      <c r="U123" s="198"/>
      <c r="V123" s="198"/>
      <c r="W123" s="205">
        <v>1</v>
      </c>
      <c r="X123" s="198"/>
    </row>
    <row r="124" spans="2:25">
      <c r="B124" s="495"/>
      <c r="C124" s="498"/>
      <c r="D124" s="209">
        <v>18</v>
      </c>
      <c r="E124" s="198"/>
      <c r="F124" s="288"/>
      <c r="G124" s="288"/>
      <c r="H124" s="288"/>
      <c r="I124" s="210" t="e">
        <f t="shared" si="15"/>
        <v>#DIV/0!</v>
      </c>
      <c r="J124" s="250"/>
      <c r="K124" s="210" t="e">
        <f t="shared" si="16"/>
        <v>#DIV/0!</v>
      </c>
      <c r="L124" s="250"/>
      <c r="M124" s="211" t="e">
        <f t="shared" si="17"/>
        <v>#DIV/0!</v>
      </c>
      <c r="N124" s="288"/>
      <c r="O124" s="288"/>
      <c r="P124" s="200"/>
      <c r="Q124" s="288"/>
      <c r="R124" s="288"/>
      <c r="S124" s="200"/>
      <c r="T124" s="198"/>
      <c r="U124" s="198"/>
      <c r="V124" s="198"/>
      <c r="W124" s="205">
        <v>1</v>
      </c>
      <c r="X124" s="198"/>
    </row>
    <row r="125" spans="2:25">
      <c r="B125" s="495"/>
      <c r="C125" s="498"/>
      <c r="D125" s="209">
        <v>19</v>
      </c>
      <c r="E125" s="198"/>
      <c r="F125" s="288"/>
      <c r="G125" s="288"/>
      <c r="H125" s="288"/>
      <c r="I125" s="210" t="e">
        <f t="shared" si="15"/>
        <v>#DIV/0!</v>
      </c>
      <c r="J125" s="250"/>
      <c r="K125" s="210" t="e">
        <f t="shared" si="16"/>
        <v>#DIV/0!</v>
      </c>
      <c r="L125" s="250"/>
      <c r="M125" s="211" t="e">
        <f t="shared" si="17"/>
        <v>#DIV/0!</v>
      </c>
      <c r="N125" s="288"/>
      <c r="O125" s="288"/>
      <c r="P125" s="200"/>
      <c r="Q125" s="288"/>
      <c r="R125" s="288"/>
      <c r="S125" s="200"/>
      <c r="T125" s="198"/>
      <c r="U125" s="198"/>
      <c r="V125" s="198"/>
      <c r="W125" s="205">
        <v>1</v>
      </c>
      <c r="X125" s="198"/>
    </row>
    <row r="126" spans="2:25" ht="16.5">
      <c r="B126" s="496"/>
      <c r="C126" s="498"/>
      <c r="D126" s="209">
        <v>20</v>
      </c>
      <c r="E126" s="198"/>
      <c r="F126" s="288"/>
      <c r="G126" s="288"/>
      <c r="H126" s="288"/>
      <c r="I126" s="210" t="e">
        <f t="shared" si="15"/>
        <v>#DIV/0!</v>
      </c>
      <c r="J126" s="250"/>
      <c r="K126" s="210" t="e">
        <f t="shared" si="16"/>
        <v>#DIV/0!</v>
      </c>
      <c r="L126" s="250"/>
      <c r="M126" s="211" t="e">
        <f t="shared" si="17"/>
        <v>#DIV/0!</v>
      </c>
      <c r="N126" s="288"/>
      <c r="O126" s="288"/>
      <c r="P126" s="200"/>
      <c r="Q126" s="288"/>
      <c r="R126" s="288"/>
      <c r="S126" s="200"/>
      <c r="T126" s="198"/>
      <c r="U126" s="198"/>
      <c r="V126" s="247"/>
      <c r="W126" s="205">
        <v>1</v>
      </c>
      <c r="X126" s="198"/>
    </row>
    <row r="127" spans="2:25">
      <c r="B127" s="494">
        <v>45943</v>
      </c>
      <c r="C127" s="497" t="s">
        <v>119</v>
      </c>
      <c r="D127" s="209">
        <v>21</v>
      </c>
      <c r="E127" s="198"/>
      <c r="F127" s="288"/>
      <c r="G127" s="288"/>
      <c r="H127" s="288"/>
      <c r="I127" s="210" t="e">
        <f t="shared" si="15"/>
        <v>#DIV/0!</v>
      </c>
      <c r="J127" s="250"/>
      <c r="K127" s="210" t="e">
        <f t="shared" si="16"/>
        <v>#DIV/0!</v>
      </c>
      <c r="L127" s="250"/>
      <c r="M127" s="211" t="e">
        <f t="shared" si="17"/>
        <v>#DIV/0!</v>
      </c>
      <c r="N127" s="288"/>
      <c r="O127" s="288"/>
      <c r="P127" s="200"/>
      <c r="Q127" s="288"/>
      <c r="R127" s="288"/>
      <c r="S127" s="200"/>
      <c r="T127" s="198"/>
      <c r="U127" s="198"/>
      <c r="V127" s="198"/>
      <c r="W127" s="205">
        <v>1</v>
      </c>
      <c r="X127" s="198"/>
      <c r="Y127" s="201" t="s">
        <v>245</v>
      </c>
    </row>
    <row r="128" spans="2:25" ht="16.5">
      <c r="B128" s="495"/>
      <c r="C128" s="498"/>
      <c r="D128" s="209">
        <v>22</v>
      </c>
      <c r="E128" s="198"/>
      <c r="F128" s="288"/>
      <c r="G128" s="288"/>
      <c r="H128" s="288"/>
      <c r="I128" s="210" t="e">
        <f t="shared" si="15"/>
        <v>#DIV/0!</v>
      </c>
      <c r="J128" s="250"/>
      <c r="K128" s="210" t="e">
        <f t="shared" si="16"/>
        <v>#DIV/0!</v>
      </c>
      <c r="L128" s="250"/>
      <c r="M128" s="211" t="e">
        <f t="shared" si="17"/>
        <v>#DIV/0!</v>
      </c>
      <c r="N128" s="288"/>
      <c r="O128" s="288"/>
      <c r="P128" s="200"/>
      <c r="Q128" s="288"/>
      <c r="R128" s="288"/>
      <c r="S128" s="200"/>
      <c r="T128" s="245"/>
      <c r="U128" s="198"/>
      <c r="V128" s="198"/>
      <c r="W128" s="205">
        <v>1</v>
      </c>
      <c r="X128" s="198"/>
      <c r="Y128" s="203" t="s">
        <v>256</v>
      </c>
    </row>
    <row r="129" spans="2:24">
      <c r="B129" s="495"/>
      <c r="C129" s="498"/>
      <c r="D129" s="209">
        <v>23</v>
      </c>
      <c r="E129" s="198"/>
      <c r="F129" s="288"/>
      <c r="G129" s="288"/>
      <c r="H129" s="288"/>
      <c r="I129" s="210" t="e">
        <f t="shared" si="15"/>
        <v>#DIV/0!</v>
      </c>
      <c r="J129" s="250"/>
      <c r="K129" s="210" t="e">
        <f t="shared" si="16"/>
        <v>#DIV/0!</v>
      </c>
      <c r="L129" s="250"/>
      <c r="M129" s="211" t="e">
        <f t="shared" si="17"/>
        <v>#DIV/0!</v>
      </c>
      <c r="N129" s="288"/>
      <c r="O129" s="288"/>
      <c r="P129" s="200"/>
      <c r="Q129" s="288"/>
      <c r="R129" s="288"/>
      <c r="S129" s="200"/>
      <c r="T129" s="198"/>
      <c r="U129" s="198"/>
      <c r="V129" s="198"/>
      <c r="W129" s="205">
        <v>1</v>
      </c>
      <c r="X129" s="198"/>
    </row>
    <row r="130" spans="2:24">
      <c r="B130" s="495"/>
      <c r="C130" s="498"/>
      <c r="D130" s="209">
        <v>24</v>
      </c>
      <c r="E130" s="198"/>
      <c r="F130" s="288"/>
      <c r="G130" s="288"/>
      <c r="H130" s="288"/>
      <c r="I130" s="210" t="e">
        <f t="shared" si="15"/>
        <v>#DIV/0!</v>
      </c>
      <c r="J130" s="250"/>
      <c r="K130" s="210" t="e">
        <f t="shared" si="16"/>
        <v>#DIV/0!</v>
      </c>
      <c r="L130" s="250"/>
      <c r="M130" s="211" t="e">
        <f t="shared" si="17"/>
        <v>#DIV/0!</v>
      </c>
      <c r="N130" s="288"/>
      <c r="O130" s="288"/>
      <c r="P130" s="200"/>
      <c r="Q130" s="288"/>
      <c r="R130" s="288"/>
      <c r="S130" s="200"/>
      <c r="T130" s="198"/>
      <c r="U130" s="198"/>
      <c r="V130" s="198"/>
      <c r="W130" s="205">
        <v>1</v>
      </c>
      <c r="X130" s="198"/>
    </row>
    <row r="131" spans="2:24" ht="16.5">
      <c r="B131" s="495"/>
      <c r="C131" s="498"/>
      <c r="D131" s="209">
        <v>25</v>
      </c>
      <c r="E131" s="198"/>
      <c r="F131" s="288"/>
      <c r="G131" s="288"/>
      <c r="H131" s="288"/>
      <c r="I131" s="210" t="e">
        <f t="shared" si="15"/>
        <v>#DIV/0!</v>
      </c>
      <c r="J131" s="250"/>
      <c r="K131" s="210" t="e">
        <f t="shared" si="16"/>
        <v>#DIV/0!</v>
      </c>
      <c r="L131" s="250"/>
      <c r="M131" s="211" t="e">
        <f t="shared" si="17"/>
        <v>#DIV/0!</v>
      </c>
      <c r="N131" s="288"/>
      <c r="O131" s="288"/>
      <c r="P131" s="200"/>
      <c r="Q131" s="288"/>
      <c r="R131" s="288"/>
      <c r="S131" s="200"/>
      <c r="T131" s="198"/>
      <c r="U131" s="198"/>
      <c r="V131" s="247"/>
      <c r="W131" s="205">
        <v>1</v>
      </c>
      <c r="X131" s="198"/>
    </row>
    <row r="132" spans="2:24">
      <c r="B132" s="495"/>
      <c r="C132" s="498"/>
      <c r="D132" s="209">
        <v>26</v>
      </c>
      <c r="E132" s="198"/>
      <c r="F132" s="288"/>
      <c r="G132" s="288"/>
      <c r="H132" s="288"/>
      <c r="I132" s="210" t="e">
        <f t="shared" si="15"/>
        <v>#DIV/0!</v>
      </c>
      <c r="J132" s="250"/>
      <c r="K132" s="210" t="e">
        <f t="shared" si="16"/>
        <v>#DIV/0!</v>
      </c>
      <c r="L132" s="250"/>
      <c r="M132" s="211" t="e">
        <f t="shared" si="17"/>
        <v>#DIV/0!</v>
      </c>
      <c r="N132" s="288"/>
      <c r="O132" s="288"/>
      <c r="P132" s="200"/>
      <c r="Q132" s="288"/>
      <c r="R132" s="288"/>
      <c r="S132" s="200"/>
      <c r="T132" s="198"/>
      <c r="U132" s="198"/>
      <c r="V132" s="198"/>
      <c r="W132" s="205">
        <v>1</v>
      </c>
      <c r="X132" s="198"/>
    </row>
    <row r="133" spans="2:24">
      <c r="B133" s="495"/>
      <c r="C133" s="498"/>
      <c r="D133" s="209">
        <v>27</v>
      </c>
      <c r="E133" s="198"/>
      <c r="F133" s="288"/>
      <c r="G133" s="288"/>
      <c r="H133" s="288"/>
      <c r="I133" s="210" t="e">
        <f t="shared" si="15"/>
        <v>#DIV/0!</v>
      </c>
      <c r="J133" s="250"/>
      <c r="K133" s="210" t="e">
        <f t="shared" si="16"/>
        <v>#DIV/0!</v>
      </c>
      <c r="L133" s="250"/>
      <c r="M133" s="211" t="e">
        <f t="shared" si="17"/>
        <v>#DIV/0!</v>
      </c>
      <c r="N133" s="288"/>
      <c r="O133" s="288"/>
      <c r="P133" s="200"/>
      <c r="Q133" s="288"/>
      <c r="R133" s="288"/>
      <c r="S133" s="200"/>
      <c r="T133" s="198"/>
      <c r="U133" s="198"/>
      <c r="V133" s="198"/>
      <c r="W133" s="205">
        <v>1</v>
      </c>
      <c r="X133" s="198"/>
    </row>
    <row r="134" spans="2:24">
      <c r="B134" s="495"/>
      <c r="C134" s="498"/>
      <c r="D134" s="209">
        <v>28</v>
      </c>
      <c r="E134" s="198"/>
      <c r="F134" s="288"/>
      <c r="G134" s="288"/>
      <c r="H134" s="288"/>
      <c r="I134" s="210" t="e">
        <f t="shared" si="15"/>
        <v>#DIV/0!</v>
      </c>
      <c r="J134" s="250"/>
      <c r="K134" s="210" t="e">
        <f t="shared" si="16"/>
        <v>#DIV/0!</v>
      </c>
      <c r="L134" s="250"/>
      <c r="M134" s="211" t="e">
        <f t="shared" si="17"/>
        <v>#DIV/0!</v>
      </c>
      <c r="N134" s="288"/>
      <c r="O134" s="288"/>
      <c r="P134" s="200"/>
      <c r="Q134" s="288"/>
      <c r="R134" s="288"/>
      <c r="S134" s="200"/>
      <c r="T134" s="198"/>
      <c r="U134" s="198"/>
      <c r="V134" s="198"/>
      <c r="W134" s="205">
        <v>1</v>
      </c>
      <c r="X134" s="198"/>
    </row>
    <row r="135" spans="2:24">
      <c r="B135" s="495"/>
      <c r="C135" s="498"/>
      <c r="D135" s="209">
        <v>29</v>
      </c>
      <c r="E135" s="198"/>
      <c r="F135" s="288"/>
      <c r="G135" s="288"/>
      <c r="H135" s="288"/>
      <c r="I135" s="210" t="e">
        <f t="shared" si="15"/>
        <v>#DIV/0!</v>
      </c>
      <c r="J135" s="250"/>
      <c r="K135" s="210" t="e">
        <f t="shared" si="16"/>
        <v>#DIV/0!</v>
      </c>
      <c r="L135" s="250"/>
      <c r="M135" s="211" t="e">
        <f t="shared" si="17"/>
        <v>#DIV/0!</v>
      </c>
      <c r="N135" s="288"/>
      <c r="O135" s="288"/>
      <c r="P135" s="200"/>
      <c r="Q135" s="288"/>
      <c r="R135" s="288"/>
      <c r="S135" s="200"/>
      <c r="T135" s="198"/>
      <c r="U135" s="198"/>
      <c r="V135" s="198"/>
      <c r="W135" s="205">
        <v>1</v>
      </c>
      <c r="X135" s="198"/>
    </row>
    <row r="136" spans="2:24">
      <c r="B136" s="496"/>
      <c r="C136" s="498"/>
      <c r="D136" s="209">
        <v>30</v>
      </c>
      <c r="E136" s="198"/>
      <c r="F136" s="288"/>
      <c r="G136" s="288"/>
      <c r="H136" s="288"/>
      <c r="I136" s="210" t="e">
        <f t="shared" ref="I136:I199" si="18">H136/G136</f>
        <v>#DIV/0!</v>
      </c>
      <c r="J136" s="250"/>
      <c r="K136" s="210" t="e">
        <f t="shared" ref="K136:K199" si="19">J136/G136</f>
        <v>#DIV/0!</v>
      </c>
      <c r="L136" s="250"/>
      <c r="M136" s="211" t="e">
        <f t="shared" ref="M136:M199" si="20">(H136+J136)/G136</f>
        <v>#DIV/0!</v>
      </c>
      <c r="N136" s="288"/>
      <c r="O136" s="288"/>
      <c r="P136" s="200"/>
      <c r="Q136" s="288"/>
      <c r="R136" s="288"/>
      <c r="S136" s="200"/>
      <c r="T136" s="198"/>
      <c r="U136" s="198"/>
      <c r="V136" s="198"/>
      <c r="W136" s="205">
        <v>1</v>
      </c>
      <c r="X136" s="198"/>
    </row>
    <row r="137" spans="2:24" ht="16.5">
      <c r="B137" s="494">
        <v>45944</v>
      </c>
      <c r="C137" s="497" t="s">
        <v>120</v>
      </c>
      <c r="D137" s="209">
        <v>31</v>
      </c>
      <c r="E137" s="198"/>
      <c r="F137" s="288"/>
      <c r="G137" s="288"/>
      <c r="H137" s="288"/>
      <c r="I137" s="210" t="e">
        <f t="shared" si="18"/>
        <v>#DIV/0!</v>
      </c>
      <c r="J137" s="250"/>
      <c r="K137" s="210" t="e">
        <f t="shared" si="19"/>
        <v>#DIV/0!</v>
      </c>
      <c r="L137" s="250"/>
      <c r="M137" s="211" t="e">
        <f t="shared" si="20"/>
        <v>#DIV/0!</v>
      </c>
      <c r="N137" s="288"/>
      <c r="O137" s="288"/>
      <c r="P137" s="200"/>
      <c r="Q137" s="288"/>
      <c r="R137" s="288"/>
      <c r="S137" s="200"/>
      <c r="T137" s="198"/>
      <c r="U137" s="198"/>
      <c r="V137" s="247"/>
      <c r="W137" s="205">
        <v>1</v>
      </c>
      <c r="X137" s="198"/>
    </row>
    <row r="138" spans="2:24" ht="16.5">
      <c r="B138" s="495"/>
      <c r="C138" s="498"/>
      <c r="D138" s="209">
        <v>32</v>
      </c>
      <c r="E138" s="198"/>
      <c r="F138" s="288"/>
      <c r="G138" s="288"/>
      <c r="H138" s="288"/>
      <c r="I138" s="210" t="e">
        <f t="shared" si="18"/>
        <v>#DIV/0!</v>
      </c>
      <c r="J138" s="250"/>
      <c r="K138" s="210" t="e">
        <f t="shared" si="19"/>
        <v>#DIV/0!</v>
      </c>
      <c r="L138" s="250"/>
      <c r="M138" s="211" t="e">
        <f t="shared" si="20"/>
        <v>#DIV/0!</v>
      </c>
      <c r="N138" s="288"/>
      <c r="O138" s="288"/>
      <c r="P138" s="200"/>
      <c r="Q138" s="288"/>
      <c r="R138" s="288"/>
      <c r="S138" s="200"/>
      <c r="T138" s="245"/>
      <c r="U138" s="198"/>
      <c r="V138" s="198"/>
      <c r="W138" s="205">
        <v>1</v>
      </c>
      <c r="X138" s="198"/>
    </row>
    <row r="139" spans="2:24" ht="16.5">
      <c r="B139" s="495"/>
      <c r="C139" s="498"/>
      <c r="D139" s="209">
        <v>33</v>
      </c>
      <c r="E139" s="198"/>
      <c r="F139" s="288"/>
      <c r="G139" s="288"/>
      <c r="H139" s="288"/>
      <c r="I139" s="210" t="e">
        <f t="shared" si="18"/>
        <v>#DIV/0!</v>
      </c>
      <c r="J139" s="250"/>
      <c r="K139" s="210" t="e">
        <f t="shared" si="19"/>
        <v>#DIV/0!</v>
      </c>
      <c r="L139" s="250"/>
      <c r="M139" s="211" t="e">
        <f t="shared" si="20"/>
        <v>#DIV/0!</v>
      </c>
      <c r="N139" s="288"/>
      <c r="O139" s="288"/>
      <c r="P139" s="200"/>
      <c r="Q139" s="288"/>
      <c r="R139" s="288"/>
      <c r="S139" s="200"/>
      <c r="T139" s="198"/>
      <c r="U139" s="198"/>
      <c r="V139" s="247"/>
      <c r="W139" s="205">
        <v>1</v>
      </c>
      <c r="X139" s="198"/>
    </row>
    <row r="140" spans="2:24">
      <c r="B140" s="495"/>
      <c r="C140" s="498"/>
      <c r="D140" s="209">
        <v>34</v>
      </c>
      <c r="E140" s="198"/>
      <c r="F140" s="288"/>
      <c r="G140" s="288"/>
      <c r="H140" s="288"/>
      <c r="I140" s="210" t="e">
        <f t="shared" si="18"/>
        <v>#DIV/0!</v>
      </c>
      <c r="J140" s="250"/>
      <c r="K140" s="210" t="e">
        <f t="shared" si="19"/>
        <v>#DIV/0!</v>
      </c>
      <c r="L140" s="250"/>
      <c r="M140" s="211" t="e">
        <f t="shared" si="20"/>
        <v>#DIV/0!</v>
      </c>
      <c r="N140" s="288"/>
      <c r="O140" s="288"/>
      <c r="P140" s="200"/>
      <c r="Q140" s="288"/>
      <c r="R140" s="288"/>
      <c r="S140" s="200"/>
      <c r="T140" s="198"/>
      <c r="U140" s="198"/>
      <c r="V140" s="198"/>
      <c r="W140" s="205">
        <v>1</v>
      </c>
      <c r="X140" s="198"/>
    </row>
    <row r="141" spans="2:24">
      <c r="B141" s="495"/>
      <c r="C141" s="498"/>
      <c r="D141" s="209">
        <v>35</v>
      </c>
      <c r="E141" s="198"/>
      <c r="F141" s="288"/>
      <c r="G141" s="288"/>
      <c r="H141" s="288"/>
      <c r="I141" s="210" t="e">
        <f t="shared" si="18"/>
        <v>#DIV/0!</v>
      </c>
      <c r="J141" s="250"/>
      <c r="K141" s="210" t="e">
        <f t="shared" si="19"/>
        <v>#DIV/0!</v>
      </c>
      <c r="L141" s="250"/>
      <c r="M141" s="211" t="e">
        <f t="shared" si="20"/>
        <v>#DIV/0!</v>
      </c>
      <c r="N141" s="288"/>
      <c r="O141" s="288"/>
      <c r="P141" s="200"/>
      <c r="Q141" s="288"/>
      <c r="R141" s="288"/>
      <c r="S141" s="200"/>
      <c r="T141" s="198"/>
      <c r="U141" s="198"/>
      <c r="V141" s="198"/>
      <c r="W141" s="205">
        <v>1</v>
      </c>
      <c r="X141" s="198"/>
    </row>
    <row r="142" spans="2:24">
      <c r="B142" s="495"/>
      <c r="C142" s="498"/>
      <c r="D142" s="209">
        <v>36</v>
      </c>
      <c r="E142" s="198"/>
      <c r="F142" s="288"/>
      <c r="G142" s="288"/>
      <c r="H142" s="288"/>
      <c r="I142" s="210" t="e">
        <f t="shared" si="18"/>
        <v>#DIV/0!</v>
      </c>
      <c r="J142" s="250"/>
      <c r="K142" s="210" t="e">
        <f t="shared" si="19"/>
        <v>#DIV/0!</v>
      </c>
      <c r="L142" s="250"/>
      <c r="M142" s="211" t="e">
        <f t="shared" si="20"/>
        <v>#DIV/0!</v>
      </c>
      <c r="N142" s="288"/>
      <c r="O142" s="288"/>
      <c r="P142" s="200"/>
      <c r="Q142" s="288"/>
      <c r="R142" s="288"/>
      <c r="S142" s="200"/>
      <c r="T142" s="198"/>
      <c r="U142" s="198"/>
      <c r="V142" s="198"/>
      <c r="W142" s="205">
        <v>1</v>
      </c>
      <c r="X142" s="198"/>
    </row>
    <row r="143" spans="2:24">
      <c r="B143" s="495"/>
      <c r="C143" s="498"/>
      <c r="D143" s="209">
        <v>37</v>
      </c>
      <c r="E143" s="198"/>
      <c r="F143" s="288"/>
      <c r="G143" s="288"/>
      <c r="H143" s="288"/>
      <c r="I143" s="210" t="e">
        <f t="shared" si="18"/>
        <v>#DIV/0!</v>
      </c>
      <c r="J143" s="250"/>
      <c r="K143" s="210" t="e">
        <f t="shared" si="19"/>
        <v>#DIV/0!</v>
      </c>
      <c r="L143" s="250"/>
      <c r="M143" s="211" t="e">
        <f t="shared" si="20"/>
        <v>#DIV/0!</v>
      </c>
      <c r="N143" s="288"/>
      <c r="O143" s="288"/>
      <c r="P143" s="200"/>
      <c r="Q143" s="288"/>
      <c r="R143" s="288"/>
      <c r="S143" s="200"/>
      <c r="T143" s="198"/>
      <c r="U143" s="198"/>
      <c r="V143" s="198"/>
      <c r="W143" s="205">
        <v>1</v>
      </c>
      <c r="X143" s="198"/>
    </row>
    <row r="144" spans="2:24">
      <c r="B144" s="495"/>
      <c r="C144" s="498"/>
      <c r="D144" s="209">
        <v>38</v>
      </c>
      <c r="E144" s="198"/>
      <c r="F144" s="288"/>
      <c r="G144" s="288"/>
      <c r="H144" s="288"/>
      <c r="I144" s="210" t="e">
        <f t="shared" si="18"/>
        <v>#DIV/0!</v>
      </c>
      <c r="J144" s="250"/>
      <c r="K144" s="210" t="e">
        <f t="shared" si="19"/>
        <v>#DIV/0!</v>
      </c>
      <c r="L144" s="250"/>
      <c r="M144" s="211" t="e">
        <f t="shared" si="20"/>
        <v>#DIV/0!</v>
      </c>
      <c r="N144" s="288"/>
      <c r="O144" s="288"/>
      <c r="P144" s="200"/>
      <c r="Q144" s="288"/>
      <c r="R144" s="288"/>
      <c r="S144" s="200"/>
      <c r="T144" s="198"/>
      <c r="U144" s="198"/>
      <c r="V144" s="198"/>
      <c r="W144" s="205">
        <v>1</v>
      </c>
      <c r="X144" s="198"/>
    </row>
    <row r="145" spans="2:24">
      <c r="B145" s="495"/>
      <c r="C145" s="498"/>
      <c r="D145" s="209">
        <v>39</v>
      </c>
      <c r="E145" s="198"/>
      <c r="F145" s="288"/>
      <c r="G145" s="288"/>
      <c r="H145" s="288"/>
      <c r="I145" s="210" t="e">
        <f t="shared" si="18"/>
        <v>#DIV/0!</v>
      </c>
      <c r="J145" s="250"/>
      <c r="K145" s="210" t="e">
        <f t="shared" si="19"/>
        <v>#DIV/0!</v>
      </c>
      <c r="L145" s="250"/>
      <c r="M145" s="211" t="e">
        <f t="shared" si="20"/>
        <v>#DIV/0!</v>
      </c>
      <c r="N145" s="288"/>
      <c r="O145" s="288"/>
      <c r="P145" s="200"/>
      <c r="Q145" s="288"/>
      <c r="R145" s="288"/>
      <c r="S145" s="200"/>
      <c r="T145" s="198"/>
      <c r="U145" s="198"/>
      <c r="V145" s="198"/>
      <c r="W145" s="205">
        <v>1</v>
      </c>
      <c r="X145" s="198"/>
    </row>
    <row r="146" spans="2:24">
      <c r="B146" s="496"/>
      <c r="C146" s="498"/>
      <c r="D146" s="209">
        <v>40</v>
      </c>
      <c r="E146" s="198"/>
      <c r="F146" s="288"/>
      <c r="G146" s="288"/>
      <c r="H146" s="288"/>
      <c r="I146" s="210" t="e">
        <f t="shared" si="18"/>
        <v>#DIV/0!</v>
      </c>
      <c r="J146" s="250"/>
      <c r="K146" s="210" t="e">
        <f t="shared" si="19"/>
        <v>#DIV/0!</v>
      </c>
      <c r="L146" s="250"/>
      <c r="M146" s="211" t="e">
        <f t="shared" si="20"/>
        <v>#DIV/0!</v>
      </c>
      <c r="N146" s="288"/>
      <c r="O146" s="288"/>
      <c r="P146" s="200"/>
      <c r="Q146" s="288"/>
      <c r="R146" s="288"/>
      <c r="S146" s="200"/>
      <c r="T146" s="198"/>
      <c r="U146" s="198"/>
      <c r="V146" s="198"/>
      <c r="W146" s="205">
        <v>1</v>
      </c>
      <c r="X146" s="198"/>
    </row>
    <row r="147" spans="2:24" ht="16.5">
      <c r="B147" s="494">
        <v>45945</v>
      </c>
      <c r="C147" s="497" t="s">
        <v>114</v>
      </c>
      <c r="D147" s="209">
        <v>41</v>
      </c>
      <c r="E147" s="198"/>
      <c r="F147" s="288"/>
      <c r="G147" s="288"/>
      <c r="H147" s="288"/>
      <c r="I147" s="210" t="e">
        <f t="shared" si="18"/>
        <v>#DIV/0!</v>
      </c>
      <c r="J147" s="250"/>
      <c r="K147" s="210" t="e">
        <f t="shared" si="19"/>
        <v>#DIV/0!</v>
      </c>
      <c r="L147" s="250"/>
      <c r="M147" s="211" t="e">
        <f t="shared" si="20"/>
        <v>#DIV/0!</v>
      </c>
      <c r="N147" s="288"/>
      <c r="O147" s="288"/>
      <c r="P147" s="200"/>
      <c r="Q147" s="288"/>
      <c r="R147" s="288"/>
      <c r="S147" s="200"/>
      <c r="T147" s="198"/>
      <c r="U147" s="198"/>
      <c r="V147" s="247"/>
      <c r="W147" s="205">
        <v>1</v>
      </c>
      <c r="X147" s="198"/>
    </row>
    <row r="148" spans="2:24">
      <c r="B148" s="495"/>
      <c r="C148" s="498"/>
      <c r="D148" s="209">
        <v>42</v>
      </c>
      <c r="E148" s="198"/>
      <c r="F148" s="288"/>
      <c r="G148" s="288"/>
      <c r="H148" s="288"/>
      <c r="I148" s="210" t="e">
        <f t="shared" si="18"/>
        <v>#DIV/0!</v>
      </c>
      <c r="J148" s="250"/>
      <c r="K148" s="210" t="e">
        <f t="shared" si="19"/>
        <v>#DIV/0!</v>
      </c>
      <c r="L148" s="250"/>
      <c r="M148" s="211" t="e">
        <f t="shared" si="20"/>
        <v>#DIV/0!</v>
      </c>
      <c r="N148" s="288"/>
      <c r="O148" s="288"/>
      <c r="P148" s="200"/>
      <c r="Q148" s="288"/>
      <c r="R148" s="288"/>
      <c r="S148" s="200"/>
      <c r="T148" s="198"/>
      <c r="U148" s="198"/>
      <c r="V148" s="198"/>
      <c r="W148" s="205">
        <v>1</v>
      </c>
      <c r="X148" s="198"/>
    </row>
    <row r="149" spans="2:24">
      <c r="B149" s="495"/>
      <c r="C149" s="498"/>
      <c r="D149" s="209">
        <v>43</v>
      </c>
      <c r="E149" s="198"/>
      <c r="F149" s="288"/>
      <c r="G149" s="288"/>
      <c r="H149" s="288"/>
      <c r="I149" s="210" t="e">
        <f t="shared" si="18"/>
        <v>#DIV/0!</v>
      </c>
      <c r="J149" s="250"/>
      <c r="K149" s="210" t="e">
        <f t="shared" si="19"/>
        <v>#DIV/0!</v>
      </c>
      <c r="L149" s="250"/>
      <c r="M149" s="211" t="e">
        <f t="shared" si="20"/>
        <v>#DIV/0!</v>
      </c>
      <c r="N149" s="288"/>
      <c r="O149" s="288"/>
      <c r="P149" s="200"/>
      <c r="Q149" s="288"/>
      <c r="R149" s="288"/>
      <c r="S149" s="200"/>
      <c r="T149" s="198"/>
      <c r="U149" s="198"/>
      <c r="V149" s="198"/>
      <c r="W149" s="205">
        <v>1</v>
      </c>
      <c r="X149" s="198"/>
    </row>
    <row r="150" spans="2:24">
      <c r="B150" s="495"/>
      <c r="C150" s="498"/>
      <c r="D150" s="209">
        <v>44</v>
      </c>
      <c r="E150" s="198"/>
      <c r="F150" s="288"/>
      <c r="G150" s="288"/>
      <c r="H150" s="288"/>
      <c r="I150" s="210" t="e">
        <f t="shared" si="18"/>
        <v>#DIV/0!</v>
      </c>
      <c r="J150" s="250"/>
      <c r="K150" s="210" t="e">
        <f t="shared" si="19"/>
        <v>#DIV/0!</v>
      </c>
      <c r="L150" s="250"/>
      <c r="M150" s="211" t="e">
        <f t="shared" si="20"/>
        <v>#DIV/0!</v>
      </c>
      <c r="N150" s="288"/>
      <c r="O150" s="288"/>
      <c r="P150" s="200"/>
      <c r="Q150" s="288"/>
      <c r="R150" s="288"/>
      <c r="S150" s="200"/>
      <c r="T150" s="198"/>
      <c r="U150" s="198"/>
      <c r="V150" s="198"/>
      <c r="W150" s="205">
        <v>1</v>
      </c>
      <c r="X150" s="198"/>
    </row>
    <row r="151" spans="2:24" ht="16.5">
      <c r="B151" s="495"/>
      <c r="C151" s="498"/>
      <c r="D151" s="209">
        <v>45</v>
      </c>
      <c r="E151" s="198"/>
      <c r="F151" s="288"/>
      <c r="G151" s="288"/>
      <c r="H151" s="288"/>
      <c r="I151" s="210" t="e">
        <f t="shared" si="18"/>
        <v>#DIV/0!</v>
      </c>
      <c r="J151" s="250"/>
      <c r="K151" s="210" t="e">
        <f t="shared" si="19"/>
        <v>#DIV/0!</v>
      </c>
      <c r="L151" s="250"/>
      <c r="M151" s="211" t="e">
        <f t="shared" si="20"/>
        <v>#DIV/0!</v>
      </c>
      <c r="N151" s="288"/>
      <c r="O151" s="288"/>
      <c r="P151" s="200"/>
      <c r="Q151" s="288"/>
      <c r="R151" s="288"/>
      <c r="S151" s="200"/>
      <c r="T151" s="245"/>
      <c r="U151" s="198"/>
      <c r="V151" s="198"/>
      <c r="W151" s="205">
        <v>1</v>
      </c>
      <c r="X151" s="198"/>
    </row>
    <row r="152" spans="2:24">
      <c r="B152" s="495"/>
      <c r="C152" s="498"/>
      <c r="D152" s="209">
        <v>46</v>
      </c>
      <c r="E152" s="198"/>
      <c r="F152" s="288"/>
      <c r="G152" s="288"/>
      <c r="H152" s="288"/>
      <c r="I152" s="210" t="e">
        <f t="shared" si="18"/>
        <v>#DIV/0!</v>
      </c>
      <c r="J152" s="250"/>
      <c r="K152" s="210" t="e">
        <f t="shared" si="19"/>
        <v>#DIV/0!</v>
      </c>
      <c r="L152" s="250"/>
      <c r="M152" s="211" t="e">
        <f t="shared" si="20"/>
        <v>#DIV/0!</v>
      </c>
      <c r="N152" s="288"/>
      <c r="O152" s="288"/>
      <c r="P152" s="200"/>
      <c r="Q152" s="288"/>
      <c r="R152" s="288"/>
      <c r="S152" s="200"/>
      <c r="T152" s="198"/>
      <c r="U152" s="198"/>
      <c r="V152" s="198"/>
      <c r="W152" s="205">
        <v>1</v>
      </c>
      <c r="X152" s="198"/>
    </row>
    <row r="153" spans="2:24">
      <c r="B153" s="495"/>
      <c r="C153" s="498"/>
      <c r="D153" s="209">
        <v>47</v>
      </c>
      <c r="E153" s="198"/>
      <c r="F153" s="288"/>
      <c r="G153" s="288"/>
      <c r="H153" s="288"/>
      <c r="I153" s="210" t="e">
        <f t="shared" si="18"/>
        <v>#DIV/0!</v>
      </c>
      <c r="J153" s="250"/>
      <c r="K153" s="210" t="e">
        <f t="shared" si="19"/>
        <v>#DIV/0!</v>
      </c>
      <c r="L153" s="250"/>
      <c r="M153" s="211" t="e">
        <f t="shared" si="20"/>
        <v>#DIV/0!</v>
      </c>
      <c r="N153" s="288"/>
      <c r="O153" s="288"/>
      <c r="P153" s="200"/>
      <c r="Q153" s="288"/>
      <c r="R153" s="288"/>
      <c r="S153" s="200"/>
      <c r="T153" s="198"/>
      <c r="U153" s="198"/>
      <c r="V153" s="198"/>
      <c r="W153" s="205">
        <v>1</v>
      </c>
      <c r="X153" s="198"/>
    </row>
    <row r="154" spans="2:24">
      <c r="B154" s="495"/>
      <c r="C154" s="498"/>
      <c r="D154" s="209">
        <v>48</v>
      </c>
      <c r="E154" s="198"/>
      <c r="F154" s="288"/>
      <c r="G154" s="288"/>
      <c r="H154" s="288"/>
      <c r="I154" s="210" t="e">
        <f t="shared" si="18"/>
        <v>#DIV/0!</v>
      </c>
      <c r="J154" s="250"/>
      <c r="K154" s="210" t="e">
        <f t="shared" si="19"/>
        <v>#DIV/0!</v>
      </c>
      <c r="L154" s="250"/>
      <c r="M154" s="211" t="e">
        <f t="shared" si="20"/>
        <v>#DIV/0!</v>
      </c>
      <c r="N154" s="288"/>
      <c r="O154" s="288"/>
      <c r="P154" s="200"/>
      <c r="Q154" s="288"/>
      <c r="R154" s="288"/>
      <c r="S154" s="200"/>
      <c r="T154" s="198"/>
      <c r="U154" s="198"/>
      <c r="V154" s="198"/>
      <c r="W154" s="205">
        <v>1</v>
      </c>
      <c r="X154" s="198"/>
    </row>
    <row r="155" spans="2:24">
      <c r="B155" s="495"/>
      <c r="C155" s="498"/>
      <c r="D155" s="209">
        <v>49</v>
      </c>
      <c r="E155" s="198"/>
      <c r="F155" s="288"/>
      <c r="G155" s="288"/>
      <c r="H155" s="288"/>
      <c r="I155" s="210" t="e">
        <f t="shared" si="18"/>
        <v>#DIV/0!</v>
      </c>
      <c r="J155" s="250"/>
      <c r="K155" s="210" t="e">
        <f t="shared" si="19"/>
        <v>#DIV/0!</v>
      </c>
      <c r="L155" s="250"/>
      <c r="M155" s="211" t="e">
        <f t="shared" si="20"/>
        <v>#DIV/0!</v>
      </c>
      <c r="N155" s="288"/>
      <c r="O155" s="288"/>
      <c r="P155" s="200"/>
      <c r="Q155" s="288"/>
      <c r="R155" s="288"/>
      <c r="S155" s="200"/>
      <c r="T155" s="198"/>
      <c r="U155" s="198"/>
      <c r="V155" s="198"/>
      <c r="W155" s="205">
        <v>1</v>
      </c>
      <c r="X155" s="198"/>
    </row>
    <row r="156" spans="2:24">
      <c r="B156" s="496"/>
      <c r="C156" s="498"/>
      <c r="D156" s="209">
        <v>50</v>
      </c>
      <c r="E156" s="198"/>
      <c r="F156" s="288"/>
      <c r="G156" s="288"/>
      <c r="H156" s="288"/>
      <c r="I156" s="210" t="e">
        <f t="shared" si="18"/>
        <v>#DIV/0!</v>
      </c>
      <c r="J156" s="250"/>
      <c r="K156" s="210" t="e">
        <f t="shared" si="19"/>
        <v>#DIV/0!</v>
      </c>
      <c r="L156" s="250"/>
      <c r="M156" s="211" t="e">
        <f t="shared" si="20"/>
        <v>#DIV/0!</v>
      </c>
      <c r="N156" s="288"/>
      <c r="O156" s="288"/>
      <c r="P156" s="200"/>
      <c r="Q156" s="288"/>
      <c r="R156" s="288"/>
      <c r="S156" s="200"/>
      <c r="T156" s="198"/>
      <c r="U156" s="198"/>
      <c r="V156" s="198"/>
      <c r="W156" s="205">
        <v>1</v>
      </c>
      <c r="X156" s="198"/>
    </row>
    <row r="157" spans="2:24">
      <c r="B157" s="494">
        <v>45946</v>
      </c>
      <c r="C157" s="497" t="s">
        <v>115</v>
      </c>
      <c r="D157" s="209">
        <v>51</v>
      </c>
      <c r="E157" s="198"/>
      <c r="F157" s="288"/>
      <c r="G157" s="288"/>
      <c r="H157" s="288"/>
      <c r="I157" s="210" t="e">
        <f t="shared" si="18"/>
        <v>#DIV/0!</v>
      </c>
      <c r="J157" s="250"/>
      <c r="K157" s="210" t="e">
        <f t="shared" si="19"/>
        <v>#DIV/0!</v>
      </c>
      <c r="L157" s="250"/>
      <c r="M157" s="211" t="e">
        <f t="shared" si="20"/>
        <v>#DIV/0!</v>
      </c>
      <c r="N157" s="288"/>
      <c r="O157" s="288"/>
      <c r="P157" s="200"/>
      <c r="Q157" s="288"/>
      <c r="R157" s="288"/>
      <c r="S157" s="200"/>
      <c r="T157" s="198"/>
      <c r="U157" s="198"/>
      <c r="V157" s="198"/>
      <c r="W157" s="205">
        <v>1</v>
      </c>
      <c r="X157" s="198"/>
    </row>
    <row r="158" spans="2:24">
      <c r="B158" s="495"/>
      <c r="C158" s="498"/>
      <c r="D158" s="209">
        <v>52</v>
      </c>
      <c r="E158" s="198"/>
      <c r="F158" s="288"/>
      <c r="G158" s="288"/>
      <c r="H158" s="288"/>
      <c r="I158" s="210" t="e">
        <f t="shared" si="18"/>
        <v>#DIV/0!</v>
      </c>
      <c r="J158" s="250"/>
      <c r="K158" s="210" t="e">
        <f t="shared" si="19"/>
        <v>#DIV/0!</v>
      </c>
      <c r="L158" s="250"/>
      <c r="M158" s="211" t="e">
        <f t="shared" si="20"/>
        <v>#DIV/0!</v>
      </c>
      <c r="N158" s="288"/>
      <c r="O158" s="288"/>
      <c r="P158" s="200"/>
      <c r="Q158" s="288"/>
      <c r="R158" s="288"/>
      <c r="S158" s="200"/>
      <c r="T158" s="198"/>
      <c r="U158" s="198"/>
      <c r="V158" s="198"/>
      <c r="W158" s="205">
        <v>1</v>
      </c>
      <c r="X158" s="198"/>
    </row>
    <row r="159" spans="2:24" ht="16.5">
      <c r="B159" s="495"/>
      <c r="C159" s="498"/>
      <c r="D159" s="209">
        <v>53</v>
      </c>
      <c r="E159" s="198"/>
      <c r="F159" s="288"/>
      <c r="G159" s="288"/>
      <c r="H159" s="288"/>
      <c r="I159" s="210" t="e">
        <f t="shared" si="18"/>
        <v>#DIV/0!</v>
      </c>
      <c r="J159" s="250"/>
      <c r="K159" s="210" t="e">
        <f t="shared" si="19"/>
        <v>#DIV/0!</v>
      </c>
      <c r="L159" s="250"/>
      <c r="M159" s="211" t="e">
        <f t="shared" si="20"/>
        <v>#DIV/0!</v>
      </c>
      <c r="N159" s="288"/>
      <c r="O159" s="288"/>
      <c r="P159" s="200"/>
      <c r="Q159" s="288"/>
      <c r="R159" s="288"/>
      <c r="S159" s="200"/>
      <c r="T159" s="198"/>
      <c r="U159" s="198"/>
      <c r="V159" s="247"/>
      <c r="W159" s="205">
        <v>1</v>
      </c>
      <c r="X159" s="198"/>
    </row>
    <row r="160" spans="2:24" ht="15.75" customHeight="1">
      <c r="B160" s="495"/>
      <c r="C160" s="498"/>
      <c r="D160" s="209">
        <v>54</v>
      </c>
      <c r="E160" s="198"/>
      <c r="F160" s="288"/>
      <c r="G160" s="288"/>
      <c r="H160" s="288"/>
      <c r="I160" s="210" t="e">
        <f t="shared" si="18"/>
        <v>#DIV/0!</v>
      </c>
      <c r="J160" s="250"/>
      <c r="K160" s="210" t="e">
        <f t="shared" si="19"/>
        <v>#DIV/0!</v>
      </c>
      <c r="L160" s="250"/>
      <c r="M160" s="211" t="e">
        <f t="shared" si="20"/>
        <v>#DIV/0!</v>
      </c>
      <c r="N160" s="288"/>
      <c r="O160" s="288"/>
      <c r="P160" s="200"/>
      <c r="Q160" s="288"/>
      <c r="R160" s="288"/>
      <c r="S160" s="200"/>
      <c r="T160" s="198"/>
      <c r="U160" s="198"/>
      <c r="V160" s="198"/>
      <c r="W160" s="205">
        <v>1</v>
      </c>
      <c r="X160" s="198"/>
    </row>
    <row r="161" spans="2:24">
      <c r="B161" s="495"/>
      <c r="C161" s="498"/>
      <c r="D161" s="209">
        <v>55</v>
      </c>
      <c r="E161" s="198"/>
      <c r="F161" s="288"/>
      <c r="G161" s="288"/>
      <c r="H161" s="288"/>
      <c r="I161" s="210" t="e">
        <f t="shared" si="18"/>
        <v>#DIV/0!</v>
      </c>
      <c r="J161" s="250"/>
      <c r="K161" s="210" t="e">
        <f t="shared" si="19"/>
        <v>#DIV/0!</v>
      </c>
      <c r="L161" s="250"/>
      <c r="M161" s="211" t="e">
        <f t="shared" si="20"/>
        <v>#DIV/0!</v>
      </c>
      <c r="N161" s="288"/>
      <c r="O161" s="288"/>
      <c r="P161" s="200"/>
      <c r="Q161" s="288"/>
      <c r="R161" s="288"/>
      <c r="S161" s="200"/>
      <c r="T161" s="198"/>
      <c r="U161" s="198"/>
      <c r="V161" s="198"/>
      <c r="W161" s="205">
        <v>1</v>
      </c>
      <c r="X161" s="198"/>
    </row>
    <row r="162" spans="2:24">
      <c r="B162" s="495"/>
      <c r="C162" s="498"/>
      <c r="D162" s="209">
        <v>56</v>
      </c>
      <c r="E162" s="198"/>
      <c r="F162" s="288"/>
      <c r="G162" s="288"/>
      <c r="H162" s="288"/>
      <c r="I162" s="210" t="e">
        <f t="shared" si="18"/>
        <v>#DIV/0!</v>
      </c>
      <c r="J162" s="250"/>
      <c r="K162" s="210" t="e">
        <f t="shared" si="19"/>
        <v>#DIV/0!</v>
      </c>
      <c r="L162" s="250"/>
      <c r="M162" s="211" t="e">
        <f t="shared" si="20"/>
        <v>#DIV/0!</v>
      </c>
      <c r="N162" s="288"/>
      <c r="O162" s="288"/>
      <c r="P162" s="200"/>
      <c r="Q162" s="288"/>
      <c r="R162" s="288"/>
      <c r="S162" s="200"/>
      <c r="T162" s="198"/>
      <c r="U162" s="198"/>
      <c r="V162" s="198"/>
      <c r="W162" s="205">
        <v>1</v>
      </c>
      <c r="X162" s="198"/>
    </row>
    <row r="163" spans="2:24" ht="16.5">
      <c r="B163" s="495"/>
      <c r="C163" s="498"/>
      <c r="D163" s="209">
        <v>57</v>
      </c>
      <c r="E163" s="198"/>
      <c r="F163" s="288"/>
      <c r="G163" s="288"/>
      <c r="H163" s="288"/>
      <c r="I163" s="210" t="e">
        <f t="shared" si="18"/>
        <v>#DIV/0!</v>
      </c>
      <c r="J163" s="250"/>
      <c r="K163" s="210" t="e">
        <f t="shared" si="19"/>
        <v>#DIV/0!</v>
      </c>
      <c r="L163" s="250"/>
      <c r="M163" s="211" t="e">
        <f t="shared" si="20"/>
        <v>#DIV/0!</v>
      </c>
      <c r="N163" s="288"/>
      <c r="O163" s="288"/>
      <c r="P163" s="200"/>
      <c r="Q163" s="288"/>
      <c r="R163" s="288"/>
      <c r="S163" s="200"/>
      <c r="T163" s="245"/>
      <c r="U163" s="198"/>
      <c r="V163" s="198"/>
      <c r="W163" s="205">
        <v>1</v>
      </c>
      <c r="X163" s="198"/>
    </row>
    <row r="164" spans="2:24" ht="16.5">
      <c r="B164" s="495"/>
      <c r="C164" s="498"/>
      <c r="D164" s="209">
        <v>58</v>
      </c>
      <c r="E164" s="198"/>
      <c r="F164" s="288"/>
      <c r="G164" s="288"/>
      <c r="H164" s="288"/>
      <c r="I164" s="210" t="e">
        <f t="shared" si="18"/>
        <v>#DIV/0!</v>
      </c>
      <c r="J164" s="250"/>
      <c r="K164" s="210" t="e">
        <f t="shared" si="19"/>
        <v>#DIV/0!</v>
      </c>
      <c r="L164" s="250"/>
      <c r="M164" s="211" t="e">
        <f t="shared" si="20"/>
        <v>#DIV/0!</v>
      </c>
      <c r="N164" s="288"/>
      <c r="O164" s="288"/>
      <c r="P164" s="200"/>
      <c r="Q164" s="288"/>
      <c r="R164" s="288"/>
      <c r="S164" s="200"/>
      <c r="T164" s="198"/>
      <c r="U164" s="198"/>
      <c r="V164" s="247"/>
      <c r="W164" s="205">
        <v>1</v>
      </c>
      <c r="X164" s="198"/>
    </row>
    <row r="165" spans="2:24">
      <c r="B165" s="495"/>
      <c r="C165" s="498"/>
      <c r="D165" s="209">
        <v>59</v>
      </c>
      <c r="E165" s="198"/>
      <c r="F165" s="288"/>
      <c r="G165" s="288"/>
      <c r="H165" s="288"/>
      <c r="I165" s="210" t="e">
        <f t="shared" si="18"/>
        <v>#DIV/0!</v>
      </c>
      <c r="J165" s="250"/>
      <c r="K165" s="210" t="e">
        <f t="shared" si="19"/>
        <v>#DIV/0!</v>
      </c>
      <c r="L165" s="250"/>
      <c r="M165" s="211" t="e">
        <f t="shared" si="20"/>
        <v>#DIV/0!</v>
      </c>
      <c r="N165" s="288"/>
      <c r="O165" s="288"/>
      <c r="P165" s="200"/>
      <c r="Q165" s="288"/>
      <c r="R165" s="288"/>
      <c r="S165" s="200"/>
      <c r="T165" s="198"/>
      <c r="U165" s="198"/>
      <c r="V165" s="198"/>
      <c r="W165" s="205">
        <v>1</v>
      </c>
      <c r="X165" s="198"/>
    </row>
    <row r="166" spans="2:24">
      <c r="B166" s="496"/>
      <c r="C166" s="498"/>
      <c r="D166" s="209">
        <v>60</v>
      </c>
      <c r="E166" s="198"/>
      <c r="F166" s="288"/>
      <c r="G166" s="288"/>
      <c r="H166" s="288"/>
      <c r="I166" s="210" t="e">
        <f t="shared" si="18"/>
        <v>#DIV/0!</v>
      </c>
      <c r="J166" s="250"/>
      <c r="K166" s="210" t="e">
        <f t="shared" si="19"/>
        <v>#DIV/0!</v>
      </c>
      <c r="L166" s="250"/>
      <c r="M166" s="211" t="e">
        <f t="shared" si="20"/>
        <v>#DIV/0!</v>
      </c>
      <c r="N166" s="288"/>
      <c r="O166" s="288"/>
      <c r="P166" s="200"/>
      <c r="Q166" s="288"/>
      <c r="R166" s="288"/>
      <c r="S166" s="200"/>
      <c r="T166" s="198"/>
      <c r="U166" s="198"/>
      <c r="V166" s="198"/>
      <c r="W166" s="205">
        <v>1</v>
      </c>
      <c r="X166" s="198"/>
    </row>
    <row r="167" spans="2:24">
      <c r="B167" s="494">
        <v>45947</v>
      </c>
      <c r="C167" s="497" t="s">
        <v>116</v>
      </c>
      <c r="D167" s="209">
        <v>61</v>
      </c>
      <c r="E167" s="198"/>
      <c r="F167" s="288"/>
      <c r="G167" s="288"/>
      <c r="H167" s="288"/>
      <c r="I167" s="210" t="e">
        <f t="shared" si="18"/>
        <v>#DIV/0!</v>
      </c>
      <c r="J167" s="250"/>
      <c r="K167" s="210" t="e">
        <f t="shared" si="19"/>
        <v>#DIV/0!</v>
      </c>
      <c r="L167" s="250"/>
      <c r="M167" s="211" t="e">
        <f t="shared" si="20"/>
        <v>#DIV/0!</v>
      </c>
      <c r="N167" s="288"/>
      <c r="O167" s="288"/>
      <c r="P167" s="200"/>
      <c r="Q167" s="288"/>
      <c r="R167" s="288"/>
      <c r="S167" s="200"/>
      <c r="T167" s="198"/>
      <c r="U167" s="198"/>
      <c r="V167" s="198"/>
      <c r="W167" s="205">
        <v>1</v>
      </c>
      <c r="X167" s="198"/>
    </row>
    <row r="168" spans="2:24">
      <c r="B168" s="495"/>
      <c r="C168" s="498"/>
      <c r="D168" s="209">
        <v>62</v>
      </c>
      <c r="E168" s="198"/>
      <c r="F168" s="288"/>
      <c r="G168" s="288"/>
      <c r="H168" s="288"/>
      <c r="I168" s="210" t="e">
        <f t="shared" si="18"/>
        <v>#DIV/0!</v>
      </c>
      <c r="J168" s="250"/>
      <c r="K168" s="210" t="e">
        <f t="shared" si="19"/>
        <v>#DIV/0!</v>
      </c>
      <c r="L168" s="250"/>
      <c r="M168" s="211" t="e">
        <f t="shared" si="20"/>
        <v>#DIV/0!</v>
      </c>
      <c r="N168" s="288"/>
      <c r="O168" s="288"/>
      <c r="P168" s="200"/>
      <c r="Q168" s="288"/>
      <c r="R168" s="288"/>
      <c r="S168" s="200"/>
      <c r="T168" s="198"/>
      <c r="U168" s="198"/>
      <c r="V168" s="198"/>
      <c r="W168" s="205">
        <v>1</v>
      </c>
      <c r="X168" s="198"/>
    </row>
    <row r="169" spans="2:24">
      <c r="B169" s="495"/>
      <c r="C169" s="498"/>
      <c r="D169" s="209">
        <v>63</v>
      </c>
      <c r="E169" s="198"/>
      <c r="F169" s="288"/>
      <c r="G169" s="288"/>
      <c r="H169" s="288"/>
      <c r="I169" s="210" t="e">
        <f t="shared" si="18"/>
        <v>#DIV/0!</v>
      </c>
      <c r="J169" s="250"/>
      <c r="K169" s="210" t="e">
        <f t="shared" si="19"/>
        <v>#DIV/0!</v>
      </c>
      <c r="L169" s="250"/>
      <c r="M169" s="211" t="e">
        <f t="shared" si="20"/>
        <v>#DIV/0!</v>
      </c>
      <c r="N169" s="288"/>
      <c r="O169" s="288"/>
      <c r="P169" s="200"/>
      <c r="Q169" s="288"/>
      <c r="R169" s="288"/>
      <c r="S169" s="200"/>
      <c r="T169" s="198"/>
      <c r="U169" s="198"/>
      <c r="V169" s="198"/>
      <c r="W169" s="205">
        <v>1</v>
      </c>
      <c r="X169" s="198"/>
    </row>
    <row r="170" spans="2:24">
      <c r="B170" s="495"/>
      <c r="C170" s="498"/>
      <c r="D170" s="209">
        <v>64</v>
      </c>
      <c r="E170" s="198"/>
      <c r="F170" s="288"/>
      <c r="G170" s="288"/>
      <c r="H170" s="288"/>
      <c r="I170" s="210" t="e">
        <f t="shared" si="18"/>
        <v>#DIV/0!</v>
      </c>
      <c r="J170" s="250"/>
      <c r="K170" s="210" t="e">
        <f t="shared" si="19"/>
        <v>#DIV/0!</v>
      </c>
      <c r="L170" s="250"/>
      <c r="M170" s="211" t="e">
        <f t="shared" si="20"/>
        <v>#DIV/0!</v>
      </c>
      <c r="N170" s="288"/>
      <c r="O170" s="288"/>
      <c r="P170" s="200"/>
      <c r="Q170" s="288"/>
      <c r="R170" s="288"/>
      <c r="S170" s="200"/>
      <c r="T170" s="198"/>
      <c r="U170" s="198"/>
      <c r="V170" s="198"/>
      <c r="W170" s="205">
        <v>1</v>
      </c>
      <c r="X170" s="198"/>
    </row>
    <row r="171" spans="2:24">
      <c r="B171" s="495"/>
      <c r="C171" s="498"/>
      <c r="D171" s="209">
        <v>65</v>
      </c>
      <c r="E171" s="198"/>
      <c r="F171" s="288"/>
      <c r="G171" s="288"/>
      <c r="H171" s="288"/>
      <c r="I171" s="210" t="e">
        <f t="shared" si="18"/>
        <v>#DIV/0!</v>
      </c>
      <c r="J171" s="250"/>
      <c r="K171" s="210" t="e">
        <f t="shared" si="19"/>
        <v>#DIV/0!</v>
      </c>
      <c r="L171" s="250"/>
      <c r="M171" s="211" t="e">
        <f t="shared" si="20"/>
        <v>#DIV/0!</v>
      </c>
      <c r="N171" s="288"/>
      <c r="O171" s="288"/>
      <c r="P171" s="200"/>
      <c r="Q171" s="288"/>
      <c r="R171" s="288"/>
      <c r="S171" s="200"/>
      <c r="T171" s="198"/>
      <c r="U171" s="198"/>
      <c r="V171" s="198"/>
      <c r="W171" s="205">
        <v>1</v>
      </c>
      <c r="X171" s="198"/>
    </row>
    <row r="172" spans="2:24">
      <c r="B172" s="495"/>
      <c r="C172" s="498"/>
      <c r="D172" s="209">
        <v>66</v>
      </c>
      <c r="E172" s="198"/>
      <c r="F172" s="288"/>
      <c r="G172" s="288"/>
      <c r="H172" s="288"/>
      <c r="I172" s="210" t="e">
        <f t="shared" si="18"/>
        <v>#DIV/0!</v>
      </c>
      <c r="J172" s="250"/>
      <c r="K172" s="210" t="e">
        <f t="shared" si="19"/>
        <v>#DIV/0!</v>
      </c>
      <c r="L172" s="250"/>
      <c r="M172" s="211" t="e">
        <f t="shared" si="20"/>
        <v>#DIV/0!</v>
      </c>
      <c r="N172" s="288"/>
      <c r="O172" s="288"/>
      <c r="P172" s="200"/>
      <c r="Q172" s="288"/>
      <c r="R172" s="288"/>
      <c r="S172" s="200"/>
      <c r="T172" s="198"/>
      <c r="U172" s="198"/>
      <c r="V172" s="198"/>
      <c r="W172" s="205">
        <v>1</v>
      </c>
      <c r="X172" s="198"/>
    </row>
    <row r="173" spans="2:24">
      <c r="B173" s="495"/>
      <c r="C173" s="498"/>
      <c r="D173" s="209">
        <v>67</v>
      </c>
      <c r="E173" s="198"/>
      <c r="F173" s="288"/>
      <c r="G173" s="288"/>
      <c r="H173" s="288"/>
      <c r="I173" s="210" t="e">
        <f t="shared" si="18"/>
        <v>#DIV/0!</v>
      </c>
      <c r="J173" s="250"/>
      <c r="K173" s="210" t="e">
        <f t="shared" si="19"/>
        <v>#DIV/0!</v>
      </c>
      <c r="L173" s="250"/>
      <c r="M173" s="211" t="e">
        <f t="shared" si="20"/>
        <v>#DIV/0!</v>
      </c>
      <c r="N173" s="288"/>
      <c r="O173" s="288"/>
      <c r="P173" s="200"/>
      <c r="Q173" s="288"/>
      <c r="R173" s="288"/>
      <c r="S173" s="200"/>
      <c r="T173" s="198"/>
      <c r="U173" s="198"/>
      <c r="V173" s="198"/>
      <c r="W173" s="205">
        <v>1</v>
      </c>
      <c r="X173" s="198"/>
    </row>
    <row r="174" spans="2:24">
      <c r="B174" s="495"/>
      <c r="C174" s="498"/>
      <c r="D174" s="209">
        <v>68</v>
      </c>
      <c r="E174" s="198"/>
      <c r="F174" s="288"/>
      <c r="G174" s="288"/>
      <c r="H174" s="288"/>
      <c r="I174" s="210" t="e">
        <f t="shared" si="18"/>
        <v>#DIV/0!</v>
      </c>
      <c r="J174" s="250"/>
      <c r="K174" s="210" t="e">
        <f t="shared" si="19"/>
        <v>#DIV/0!</v>
      </c>
      <c r="L174" s="250"/>
      <c r="M174" s="211" t="e">
        <f t="shared" si="20"/>
        <v>#DIV/0!</v>
      </c>
      <c r="N174" s="288"/>
      <c r="O174" s="288"/>
      <c r="P174" s="200"/>
      <c r="Q174" s="288"/>
      <c r="R174" s="288"/>
      <c r="S174" s="200"/>
      <c r="T174" s="198"/>
      <c r="U174" s="198"/>
      <c r="V174" s="198"/>
      <c r="W174" s="205">
        <v>1</v>
      </c>
      <c r="X174" s="198"/>
    </row>
    <row r="175" spans="2:24">
      <c r="B175" s="495"/>
      <c r="C175" s="498"/>
      <c r="D175" s="209">
        <v>69</v>
      </c>
      <c r="E175" s="198"/>
      <c r="F175" s="288"/>
      <c r="G175" s="288"/>
      <c r="H175" s="288"/>
      <c r="I175" s="210" t="e">
        <f t="shared" si="18"/>
        <v>#DIV/0!</v>
      </c>
      <c r="J175" s="250"/>
      <c r="K175" s="210" t="e">
        <f t="shared" si="19"/>
        <v>#DIV/0!</v>
      </c>
      <c r="L175" s="250"/>
      <c r="M175" s="211" t="e">
        <f t="shared" si="20"/>
        <v>#DIV/0!</v>
      </c>
      <c r="N175" s="288"/>
      <c r="O175" s="288"/>
      <c r="P175" s="200"/>
      <c r="Q175" s="288"/>
      <c r="R175" s="288"/>
      <c r="S175" s="200"/>
      <c r="T175" s="198"/>
      <c r="U175" s="198"/>
      <c r="V175" s="198"/>
      <c r="W175" s="205">
        <v>1</v>
      </c>
      <c r="X175" s="198"/>
    </row>
    <row r="176" spans="2:24">
      <c r="B176" s="496"/>
      <c r="C176" s="498"/>
      <c r="D176" s="209">
        <v>70</v>
      </c>
      <c r="E176" s="198"/>
      <c r="F176" s="288"/>
      <c r="G176" s="288"/>
      <c r="H176" s="288"/>
      <c r="I176" s="210" t="e">
        <f t="shared" si="18"/>
        <v>#DIV/0!</v>
      </c>
      <c r="J176" s="250"/>
      <c r="K176" s="210" t="e">
        <f t="shared" si="19"/>
        <v>#DIV/0!</v>
      </c>
      <c r="L176" s="250"/>
      <c r="M176" s="211" t="e">
        <f t="shared" si="20"/>
        <v>#DIV/0!</v>
      </c>
      <c r="N176" s="288"/>
      <c r="O176" s="288"/>
      <c r="P176" s="200"/>
      <c r="Q176" s="288"/>
      <c r="R176" s="288"/>
      <c r="S176" s="200"/>
      <c r="T176" s="198"/>
      <c r="U176" s="198"/>
      <c r="V176" s="198"/>
      <c r="W176" s="205">
        <v>1</v>
      </c>
      <c r="X176" s="198"/>
    </row>
    <row r="177" spans="2:24">
      <c r="B177" s="494">
        <v>45948</v>
      </c>
      <c r="C177" s="497" t="s">
        <v>117</v>
      </c>
      <c r="D177" s="209">
        <v>71</v>
      </c>
      <c r="E177" s="198"/>
      <c r="F177" s="288"/>
      <c r="G177" s="288"/>
      <c r="H177" s="288"/>
      <c r="I177" s="210" t="e">
        <f t="shared" si="18"/>
        <v>#DIV/0!</v>
      </c>
      <c r="J177" s="250"/>
      <c r="K177" s="210" t="e">
        <f t="shared" si="19"/>
        <v>#DIV/0!</v>
      </c>
      <c r="L177" s="250"/>
      <c r="M177" s="211" t="e">
        <f t="shared" si="20"/>
        <v>#DIV/0!</v>
      </c>
      <c r="N177" s="288"/>
      <c r="O177" s="288"/>
      <c r="P177" s="200"/>
      <c r="Q177" s="288"/>
      <c r="R177" s="288"/>
      <c r="S177" s="200"/>
      <c r="T177" s="198"/>
      <c r="U177" s="198"/>
      <c r="V177" s="198"/>
      <c r="W177" s="205">
        <v>1</v>
      </c>
      <c r="X177" s="198"/>
    </row>
    <row r="178" spans="2:24">
      <c r="B178" s="495"/>
      <c r="C178" s="498"/>
      <c r="D178" s="209">
        <v>72</v>
      </c>
      <c r="E178" s="198"/>
      <c r="F178" s="288"/>
      <c r="G178" s="288"/>
      <c r="H178" s="288"/>
      <c r="I178" s="210" t="e">
        <f t="shared" si="18"/>
        <v>#DIV/0!</v>
      </c>
      <c r="J178" s="250"/>
      <c r="K178" s="210" t="e">
        <f t="shared" si="19"/>
        <v>#DIV/0!</v>
      </c>
      <c r="L178" s="250"/>
      <c r="M178" s="211" t="e">
        <f t="shared" si="20"/>
        <v>#DIV/0!</v>
      </c>
      <c r="N178" s="288"/>
      <c r="O178" s="288"/>
      <c r="P178" s="200"/>
      <c r="Q178" s="288"/>
      <c r="R178" s="288"/>
      <c r="S178" s="200"/>
      <c r="T178" s="198"/>
      <c r="U178" s="198"/>
      <c r="V178" s="198"/>
      <c r="W178" s="205">
        <v>1</v>
      </c>
      <c r="X178" s="198"/>
    </row>
    <row r="179" spans="2:24">
      <c r="B179" s="495"/>
      <c r="C179" s="498"/>
      <c r="D179" s="209">
        <v>73</v>
      </c>
      <c r="E179" s="198"/>
      <c r="F179" s="288"/>
      <c r="G179" s="288"/>
      <c r="H179" s="288"/>
      <c r="I179" s="210" t="e">
        <f t="shared" si="18"/>
        <v>#DIV/0!</v>
      </c>
      <c r="J179" s="250"/>
      <c r="K179" s="210" t="e">
        <f t="shared" si="19"/>
        <v>#DIV/0!</v>
      </c>
      <c r="L179" s="250"/>
      <c r="M179" s="211" t="e">
        <f t="shared" si="20"/>
        <v>#DIV/0!</v>
      </c>
      <c r="N179" s="288"/>
      <c r="O179" s="288"/>
      <c r="P179" s="200"/>
      <c r="Q179" s="288"/>
      <c r="R179" s="288"/>
      <c r="S179" s="200"/>
      <c r="T179" s="198"/>
      <c r="U179" s="198"/>
      <c r="V179" s="198"/>
      <c r="W179" s="205">
        <v>1</v>
      </c>
      <c r="X179" s="198"/>
    </row>
    <row r="180" spans="2:24" ht="16.5">
      <c r="B180" s="495"/>
      <c r="C180" s="498"/>
      <c r="D180" s="209">
        <v>74</v>
      </c>
      <c r="E180" s="198"/>
      <c r="F180" s="288"/>
      <c r="G180" s="288"/>
      <c r="H180" s="288"/>
      <c r="I180" s="210" t="e">
        <f t="shared" si="18"/>
        <v>#DIV/0!</v>
      </c>
      <c r="J180" s="250"/>
      <c r="K180" s="210" t="e">
        <f t="shared" si="19"/>
        <v>#DIV/0!</v>
      </c>
      <c r="L180" s="250"/>
      <c r="M180" s="211" t="e">
        <f t="shared" si="20"/>
        <v>#DIV/0!</v>
      </c>
      <c r="N180" s="288"/>
      <c r="O180" s="288"/>
      <c r="P180" s="200"/>
      <c r="Q180" s="288"/>
      <c r="R180" s="288"/>
      <c r="S180" s="200"/>
      <c r="T180" s="198"/>
      <c r="U180" s="198"/>
      <c r="V180" s="247"/>
      <c r="W180" s="198" t="s">
        <v>217</v>
      </c>
      <c r="X180" s="198"/>
    </row>
    <row r="181" spans="2:24">
      <c r="B181" s="495"/>
      <c r="C181" s="498"/>
      <c r="D181" s="209">
        <v>75</v>
      </c>
      <c r="E181" s="198"/>
      <c r="F181" s="288"/>
      <c r="G181" s="288"/>
      <c r="H181" s="288"/>
      <c r="I181" s="210" t="e">
        <f t="shared" si="18"/>
        <v>#DIV/0!</v>
      </c>
      <c r="J181" s="250"/>
      <c r="K181" s="210" t="e">
        <f t="shared" si="19"/>
        <v>#DIV/0!</v>
      </c>
      <c r="L181" s="250"/>
      <c r="M181" s="211" t="e">
        <f t="shared" si="20"/>
        <v>#DIV/0!</v>
      </c>
      <c r="N181" s="288"/>
      <c r="O181" s="288"/>
      <c r="P181" s="200"/>
      <c r="Q181" s="288"/>
      <c r="R181" s="288"/>
      <c r="S181" s="200"/>
      <c r="T181" s="198"/>
      <c r="U181" s="198"/>
      <c r="V181" s="198"/>
      <c r="W181" s="205">
        <v>1</v>
      </c>
      <c r="X181" s="198"/>
    </row>
    <row r="182" spans="2:24">
      <c r="B182" s="495"/>
      <c r="C182" s="498"/>
      <c r="D182" s="209">
        <v>76</v>
      </c>
      <c r="E182" s="198"/>
      <c r="F182" s="288"/>
      <c r="G182" s="288"/>
      <c r="H182" s="288"/>
      <c r="I182" s="210" t="e">
        <f t="shared" si="18"/>
        <v>#DIV/0!</v>
      </c>
      <c r="J182" s="250"/>
      <c r="K182" s="210" t="e">
        <f t="shared" si="19"/>
        <v>#DIV/0!</v>
      </c>
      <c r="L182" s="250"/>
      <c r="M182" s="211" t="e">
        <f t="shared" si="20"/>
        <v>#DIV/0!</v>
      </c>
      <c r="N182" s="288"/>
      <c r="O182" s="288"/>
      <c r="P182" s="200"/>
      <c r="Q182" s="288"/>
      <c r="R182" s="288"/>
      <c r="S182" s="200"/>
      <c r="T182" s="198"/>
      <c r="U182" s="198"/>
      <c r="V182" s="198"/>
      <c r="W182" s="205">
        <v>1</v>
      </c>
      <c r="X182" s="198"/>
    </row>
    <row r="183" spans="2:24">
      <c r="B183" s="495"/>
      <c r="C183" s="498"/>
      <c r="D183" s="209">
        <v>77</v>
      </c>
      <c r="E183" s="198"/>
      <c r="F183" s="288"/>
      <c r="G183" s="288"/>
      <c r="H183" s="288"/>
      <c r="I183" s="210" t="e">
        <f t="shared" si="18"/>
        <v>#DIV/0!</v>
      </c>
      <c r="J183" s="250"/>
      <c r="K183" s="210" t="e">
        <f t="shared" si="19"/>
        <v>#DIV/0!</v>
      </c>
      <c r="L183" s="250"/>
      <c r="M183" s="211" t="e">
        <f t="shared" si="20"/>
        <v>#DIV/0!</v>
      </c>
      <c r="N183" s="288"/>
      <c r="O183" s="288"/>
      <c r="P183" s="200"/>
      <c r="Q183" s="288"/>
      <c r="R183" s="288"/>
      <c r="S183" s="200"/>
      <c r="T183" s="198"/>
      <c r="U183" s="198"/>
      <c r="V183" s="198"/>
      <c r="W183" s="205">
        <v>1</v>
      </c>
      <c r="X183" s="198"/>
    </row>
    <row r="184" spans="2:24" ht="16.5">
      <c r="B184" s="495"/>
      <c r="C184" s="498"/>
      <c r="D184" s="209">
        <v>78</v>
      </c>
      <c r="E184" s="198"/>
      <c r="F184" s="288"/>
      <c r="G184" s="288"/>
      <c r="H184" s="288"/>
      <c r="I184" s="210" t="e">
        <f t="shared" si="18"/>
        <v>#DIV/0!</v>
      </c>
      <c r="J184" s="250"/>
      <c r="K184" s="210" t="e">
        <f t="shared" si="19"/>
        <v>#DIV/0!</v>
      </c>
      <c r="L184" s="250"/>
      <c r="M184" s="211" t="e">
        <f t="shared" si="20"/>
        <v>#DIV/0!</v>
      </c>
      <c r="N184" s="288"/>
      <c r="O184" s="288"/>
      <c r="P184" s="200"/>
      <c r="Q184" s="288"/>
      <c r="R184" s="288"/>
      <c r="S184" s="200"/>
      <c r="T184" s="198"/>
      <c r="U184" s="198"/>
      <c r="V184" s="247"/>
      <c r="W184" s="198" t="s">
        <v>217</v>
      </c>
      <c r="X184" s="198"/>
    </row>
    <row r="185" spans="2:24">
      <c r="B185" s="495"/>
      <c r="C185" s="498"/>
      <c r="D185" s="209">
        <v>79</v>
      </c>
      <c r="E185" s="198"/>
      <c r="F185" s="288"/>
      <c r="G185" s="288"/>
      <c r="H185" s="288"/>
      <c r="I185" s="210" t="e">
        <f t="shared" si="18"/>
        <v>#DIV/0!</v>
      </c>
      <c r="J185" s="250"/>
      <c r="K185" s="210" t="e">
        <f t="shared" si="19"/>
        <v>#DIV/0!</v>
      </c>
      <c r="L185" s="250"/>
      <c r="M185" s="211" t="e">
        <f t="shared" si="20"/>
        <v>#DIV/0!</v>
      </c>
      <c r="N185" s="288"/>
      <c r="O185" s="288"/>
      <c r="P185" s="200"/>
      <c r="Q185" s="288"/>
      <c r="R185" s="288"/>
      <c r="S185" s="200"/>
      <c r="T185" s="198"/>
      <c r="U185" s="198"/>
      <c r="V185" s="198"/>
      <c r="W185" s="205">
        <v>1</v>
      </c>
      <c r="X185" s="198"/>
    </row>
    <row r="186" spans="2:24" ht="16.5">
      <c r="B186" s="496"/>
      <c r="C186" s="498"/>
      <c r="D186" s="209">
        <v>80</v>
      </c>
      <c r="E186" s="198"/>
      <c r="F186" s="288"/>
      <c r="G186" s="288"/>
      <c r="H186" s="288"/>
      <c r="I186" s="210" t="e">
        <f t="shared" si="18"/>
        <v>#DIV/0!</v>
      </c>
      <c r="J186" s="250"/>
      <c r="K186" s="210" t="e">
        <f t="shared" si="19"/>
        <v>#DIV/0!</v>
      </c>
      <c r="L186" s="250"/>
      <c r="M186" s="211" t="e">
        <f t="shared" si="20"/>
        <v>#DIV/0!</v>
      </c>
      <c r="N186" s="288"/>
      <c r="O186" s="288"/>
      <c r="P186" s="200"/>
      <c r="Q186" s="288"/>
      <c r="R186" s="288"/>
      <c r="S186" s="200"/>
      <c r="T186" s="198"/>
      <c r="U186" s="198"/>
      <c r="V186" s="247"/>
      <c r="W186" s="205">
        <v>1</v>
      </c>
      <c r="X186" s="198"/>
    </row>
    <row r="187" spans="2:24">
      <c r="B187" s="494">
        <v>45949</v>
      </c>
      <c r="C187" s="497" t="s">
        <v>118</v>
      </c>
      <c r="D187" s="209">
        <v>81</v>
      </c>
      <c r="E187" s="198"/>
      <c r="F187" s="288"/>
      <c r="G187" s="288"/>
      <c r="H187" s="288"/>
      <c r="I187" s="210" t="e">
        <f t="shared" si="18"/>
        <v>#DIV/0!</v>
      </c>
      <c r="J187" s="250"/>
      <c r="K187" s="210" t="e">
        <f t="shared" si="19"/>
        <v>#DIV/0!</v>
      </c>
      <c r="L187" s="250"/>
      <c r="M187" s="211" t="e">
        <f t="shared" si="20"/>
        <v>#DIV/0!</v>
      </c>
      <c r="N187" s="288"/>
      <c r="O187" s="288"/>
      <c r="P187" s="200"/>
      <c r="Q187" s="288"/>
      <c r="R187" s="288"/>
      <c r="S187" s="200"/>
      <c r="T187" s="198"/>
      <c r="U187" s="198"/>
      <c r="V187" s="198"/>
      <c r="W187" s="205">
        <v>1</v>
      </c>
      <c r="X187" s="198"/>
    </row>
    <row r="188" spans="2:24" ht="16.5">
      <c r="B188" s="495"/>
      <c r="C188" s="498"/>
      <c r="D188" s="209">
        <v>82</v>
      </c>
      <c r="E188" s="198"/>
      <c r="F188" s="288"/>
      <c r="G188" s="288"/>
      <c r="H188" s="288"/>
      <c r="I188" s="210" t="e">
        <f t="shared" si="18"/>
        <v>#DIV/0!</v>
      </c>
      <c r="J188" s="250"/>
      <c r="K188" s="210" t="e">
        <f t="shared" si="19"/>
        <v>#DIV/0!</v>
      </c>
      <c r="L188" s="250"/>
      <c r="M188" s="211" t="e">
        <f t="shared" si="20"/>
        <v>#DIV/0!</v>
      </c>
      <c r="N188" s="288"/>
      <c r="O188" s="288"/>
      <c r="P188" s="200"/>
      <c r="Q188" s="288"/>
      <c r="R188" s="288"/>
      <c r="S188" s="200"/>
      <c r="T188" s="198"/>
      <c r="U188" s="198"/>
      <c r="V188" s="247"/>
      <c r="W188" s="205">
        <v>1</v>
      </c>
      <c r="X188" s="198"/>
    </row>
    <row r="189" spans="2:24" ht="16.5">
      <c r="B189" s="495"/>
      <c r="C189" s="498"/>
      <c r="D189" s="209">
        <v>83</v>
      </c>
      <c r="E189" s="198"/>
      <c r="F189" s="288"/>
      <c r="G189" s="288"/>
      <c r="H189" s="288"/>
      <c r="I189" s="210" t="e">
        <f t="shared" si="18"/>
        <v>#DIV/0!</v>
      </c>
      <c r="J189" s="250"/>
      <c r="K189" s="210" t="e">
        <f t="shared" si="19"/>
        <v>#DIV/0!</v>
      </c>
      <c r="L189" s="250"/>
      <c r="M189" s="211" t="e">
        <f t="shared" si="20"/>
        <v>#DIV/0!</v>
      </c>
      <c r="N189" s="288"/>
      <c r="O189" s="288"/>
      <c r="P189" s="200"/>
      <c r="Q189" s="288"/>
      <c r="R189" s="288"/>
      <c r="S189" s="200"/>
      <c r="T189" s="198"/>
      <c r="U189" s="198"/>
      <c r="V189" s="247"/>
      <c r="W189" s="205">
        <v>1</v>
      </c>
      <c r="X189" s="198"/>
    </row>
    <row r="190" spans="2:24" ht="16.5">
      <c r="B190" s="495"/>
      <c r="C190" s="498"/>
      <c r="D190" s="209">
        <v>84</v>
      </c>
      <c r="E190" s="198"/>
      <c r="F190" s="288"/>
      <c r="G190" s="288"/>
      <c r="H190" s="288"/>
      <c r="I190" s="210" t="e">
        <f t="shared" si="18"/>
        <v>#DIV/0!</v>
      </c>
      <c r="J190" s="250"/>
      <c r="K190" s="210" t="e">
        <f t="shared" si="19"/>
        <v>#DIV/0!</v>
      </c>
      <c r="L190" s="250"/>
      <c r="M190" s="211" t="e">
        <f t="shared" si="20"/>
        <v>#DIV/0!</v>
      </c>
      <c r="N190" s="288"/>
      <c r="O190" s="288"/>
      <c r="P190" s="200"/>
      <c r="Q190" s="288"/>
      <c r="R190" s="288"/>
      <c r="S190" s="200"/>
      <c r="T190" s="198"/>
      <c r="U190" s="198"/>
      <c r="V190" s="247"/>
      <c r="W190" s="205">
        <v>1</v>
      </c>
      <c r="X190" s="198"/>
    </row>
    <row r="191" spans="2:24" ht="16.5">
      <c r="B191" s="495"/>
      <c r="C191" s="498"/>
      <c r="D191" s="209">
        <v>85</v>
      </c>
      <c r="E191" s="198"/>
      <c r="F191" s="288"/>
      <c r="G191" s="288"/>
      <c r="H191" s="288"/>
      <c r="I191" s="210" t="e">
        <f t="shared" si="18"/>
        <v>#DIV/0!</v>
      </c>
      <c r="J191" s="250"/>
      <c r="K191" s="210" t="e">
        <f t="shared" si="19"/>
        <v>#DIV/0!</v>
      </c>
      <c r="L191" s="250"/>
      <c r="M191" s="211" t="e">
        <f t="shared" si="20"/>
        <v>#DIV/0!</v>
      </c>
      <c r="N191" s="288"/>
      <c r="O191" s="288"/>
      <c r="P191" s="200"/>
      <c r="Q191" s="288"/>
      <c r="R191" s="288"/>
      <c r="S191" s="200"/>
      <c r="T191" s="198"/>
      <c r="U191" s="198"/>
      <c r="V191" s="247"/>
      <c r="W191" s="205">
        <v>1</v>
      </c>
      <c r="X191" s="198"/>
    </row>
    <row r="192" spans="2:24" ht="16.5">
      <c r="B192" s="495"/>
      <c r="C192" s="498"/>
      <c r="D192" s="209">
        <v>86</v>
      </c>
      <c r="E192" s="198"/>
      <c r="F192" s="288"/>
      <c r="G192" s="288"/>
      <c r="H192" s="288"/>
      <c r="I192" s="210" t="e">
        <f t="shared" si="18"/>
        <v>#DIV/0!</v>
      </c>
      <c r="J192" s="250"/>
      <c r="K192" s="210" t="e">
        <f t="shared" si="19"/>
        <v>#DIV/0!</v>
      </c>
      <c r="L192" s="250"/>
      <c r="M192" s="211" t="e">
        <f t="shared" si="20"/>
        <v>#DIV/0!</v>
      </c>
      <c r="N192" s="288"/>
      <c r="O192" s="288"/>
      <c r="P192" s="200"/>
      <c r="Q192" s="288"/>
      <c r="R192" s="288"/>
      <c r="S192" s="200"/>
      <c r="T192" s="198"/>
      <c r="U192" s="198"/>
      <c r="V192" s="247"/>
      <c r="W192" s="205">
        <v>1</v>
      </c>
      <c r="X192" s="198"/>
    </row>
    <row r="193" spans="2:24">
      <c r="B193" s="495"/>
      <c r="C193" s="498"/>
      <c r="D193" s="209">
        <v>87</v>
      </c>
      <c r="E193" s="198"/>
      <c r="F193" s="288"/>
      <c r="G193" s="288"/>
      <c r="H193" s="288"/>
      <c r="I193" s="210" t="e">
        <f t="shared" si="18"/>
        <v>#DIV/0!</v>
      </c>
      <c r="J193" s="250"/>
      <c r="K193" s="210" t="e">
        <f t="shared" si="19"/>
        <v>#DIV/0!</v>
      </c>
      <c r="L193" s="250"/>
      <c r="M193" s="211" t="e">
        <f t="shared" si="20"/>
        <v>#DIV/0!</v>
      </c>
      <c r="N193" s="288"/>
      <c r="O193" s="288"/>
      <c r="P193" s="200"/>
      <c r="Q193" s="288"/>
      <c r="R193" s="288"/>
      <c r="S193" s="200"/>
      <c r="T193" s="198"/>
      <c r="U193" s="198"/>
      <c r="V193" s="198"/>
      <c r="W193" s="205">
        <v>1</v>
      </c>
      <c r="X193" s="198"/>
    </row>
    <row r="194" spans="2:24">
      <c r="B194" s="495"/>
      <c r="C194" s="498"/>
      <c r="D194" s="209">
        <v>88</v>
      </c>
      <c r="E194" s="198"/>
      <c r="F194" s="288"/>
      <c r="G194" s="288"/>
      <c r="H194" s="288"/>
      <c r="I194" s="210" t="e">
        <f t="shared" si="18"/>
        <v>#DIV/0!</v>
      </c>
      <c r="J194" s="250"/>
      <c r="K194" s="210" t="e">
        <f t="shared" si="19"/>
        <v>#DIV/0!</v>
      </c>
      <c r="L194" s="250"/>
      <c r="M194" s="211" t="e">
        <f t="shared" si="20"/>
        <v>#DIV/0!</v>
      </c>
      <c r="N194" s="288"/>
      <c r="O194" s="288"/>
      <c r="P194" s="200"/>
      <c r="Q194" s="288"/>
      <c r="R194" s="288"/>
      <c r="S194" s="200"/>
      <c r="T194" s="198"/>
      <c r="U194" s="198"/>
      <c r="V194" s="198"/>
      <c r="W194" s="205">
        <v>1</v>
      </c>
      <c r="X194" s="198"/>
    </row>
    <row r="195" spans="2:24" ht="16.5">
      <c r="B195" s="495"/>
      <c r="C195" s="498"/>
      <c r="D195" s="209">
        <v>89</v>
      </c>
      <c r="E195" s="198"/>
      <c r="F195" s="288"/>
      <c r="G195" s="288"/>
      <c r="H195" s="288"/>
      <c r="I195" s="210" t="e">
        <f t="shared" si="18"/>
        <v>#DIV/0!</v>
      </c>
      <c r="J195" s="250"/>
      <c r="K195" s="210" t="e">
        <f t="shared" si="19"/>
        <v>#DIV/0!</v>
      </c>
      <c r="L195" s="250"/>
      <c r="M195" s="211" t="e">
        <f t="shared" si="20"/>
        <v>#DIV/0!</v>
      </c>
      <c r="N195" s="288"/>
      <c r="O195" s="288"/>
      <c r="P195" s="200"/>
      <c r="Q195" s="288"/>
      <c r="R195" s="288"/>
      <c r="S195" s="200"/>
      <c r="T195" s="198"/>
      <c r="U195" s="198"/>
      <c r="V195" s="247"/>
      <c r="W195" s="205">
        <v>1</v>
      </c>
      <c r="X195" s="198"/>
    </row>
    <row r="196" spans="2:24" ht="16.5">
      <c r="B196" s="496"/>
      <c r="C196" s="498"/>
      <c r="D196" s="209">
        <v>90</v>
      </c>
      <c r="E196" s="198"/>
      <c r="F196" s="288"/>
      <c r="G196" s="288"/>
      <c r="H196" s="288"/>
      <c r="I196" s="210" t="e">
        <f t="shared" si="18"/>
        <v>#DIV/0!</v>
      </c>
      <c r="J196" s="250"/>
      <c r="K196" s="210" t="e">
        <f t="shared" si="19"/>
        <v>#DIV/0!</v>
      </c>
      <c r="L196" s="250"/>
      <c r="M196" s="211" t="e">
        <f t="shared" si="20"/>
        <v>#DIV/0!</v>
      </c>
      <c r="N196" s="288"/>
      <c r="O196" s="288"/>
      <c r="P196" s="200"/>
      <c r="Q196" s="288"/>
      <c r="R196" s="288"/>
      <c r="S196" s="200"/>
      <c r="T196" s="198"/>
      <c r="U196" s="198"/>
      <c r="V196" s="247"/>
      <c r="W196" s="205">
        <v>1</v>
      </c>
      <c r="X196" s="198"/>
    </row>
    <row r="197" spans="2:24">
      <c r="B197" s="494">
        <v>45950</v>
      </c>
      <c r="C197" s="497" t="s">
        <v>119</v>
      </c>
      <c r="D197" s="209">
        <v>91</v>
      </c>
      <c r="E197" s="198"/>
      <c r="F197" s="288"/>
      <c r="G197" s="288"/>
      <c r="H197" s="288"/>
      <c r="I197" s="210" t="e">
        <f t="shared" si="18"/>
        <v>#DIV/0!</v>
      </c>
      <c r="J197" s="250"/>
      <c r="K197" s="210" t="e">
        <f t="shared" si="19"/>
        <v>#DIV/0!</v>
      </c>
      <c r="L197" s="250"/>
      <c r="M197" s="211" t="e">
        <f t="shared" si="20"/>
        <v>#DIV/0!</v>
      </c>
      <c r="N197" s="288"/>
      <c r="O197" s="288"/>
      <c r="P197" s="200"/>
      <c r="Q197" s="288"/>
      <c r="R197" s="288"/>
      <c r="S197" s="200"/>
      <c r="T197" s="198"/>
      <c r="U197" s="198"/>
      <c r="V197" s="198"/>
      <c r="W197" s="205">
        <v>1</v>
      </c>
      <c r="X197" s="198"/>
    </row>
    <row r="198" spans="2:24">
      <c r="B198" s="495"/>
      <c r="C198" s="498"/>
      <c r="D198" s="209">
        <v>92</v>
      </c>
      <c r="E198" s="198"/>
      <c r="F198" s="288"/>
      <c r="G198" s="288"/>
      <c r="H198" s="288"/>
      <c r="I198" s="210" t="e">
        <f t="shared" si="18"/>
        <v>#DIV/0!</v>
      </c>
      <c r="J198" s="250"/>
      <c r="K198" s="210" t="e">
        <f t="shared" si="19"/>
        <v>#DIV/0!</v>
      </c>
      <c r="L198" s="250"/>
      <c r="M198" s="211" t="e">
        <f t="shared" si="20"/>
        <v>#DIV/0!</v>
      </c>
      <c r="N198" s="288"/>
      <c r="O198" s="288"/>
      <c r="P198" s="200"/>
      <c r="Q198" s="288"/>
      <c r="R198" s="288"/>
      <c r="S198" s="200"/>
      <c r="T198" s="198"/>
      <c r="U198" s="198"/>
      <c r="V198" s="198"/>
      <c r="W198" s="205">
        <v>1</v>
      </c>
      <c r="X198" s="198"/>
    </row>
    <row r="199" spans="2:24" ht="16.5">
      <c r="B199" s="495"/>
      <c r="C199" s="498"/>
      <c r="D199" s="209">
        <v>93</v>
      </c>
      <c r="E199" s="198"/>
      <c r="F199" s="288"/>
      <c r="G199" s="288"/>
      <c r="H199" s="288"/>
      <c r="I199" s="210" t="e">
        <f t="shared" si="18"/>
        <v>#DIV/0!</v>
      </c>
      <c r="J199" s="250"/>
      <c r="K199" s="210" t="e">
        <f t="shared" si="19"/>
        <v>#DIV/0!</v>
      </c>
      <c r="L199" s="250"/>
      <c r="M199" s="211" t="e">
        <f t="shared" si="20"/>
        <v>#DIV/0!</v>
      </c>
      <c r="N199" s="288"/>
      <c r="O199" s="288"/>
      <c r="P199" s="200"/>
      <c r="Q199" s="288"/>
      <c r="R199" s="288"/>
      <c r="S199" s="200"/>
      <c r="T199" s="198"/>
      <c r="U199" s="198"/>
      <c r="V199" s="247"/>
      <c r="W199" s="205">
        <v>1</v>
      </c>
      <c r="X199" s="198"/>
    </row>
    <row r="200" spans="2:24" ht="16.5">
      <c r="B200" s="495"/>
      <c r="C200" s="498"/>
      <c r="D200" s="209">
        <v>94</v>
      </c>
      <c r="E200" s="198"/>
      <c r="F200" s="288"/>
      <c r="G200" s="288"/>
      <c r="H200" s="288"/>
      <c r="I200" s="210" t="e">
        <f t="shared" ref="I200:I263" si="21">H200/G200</f>
        <v>#DIV/0!</v>
      </c>
      <c r="J200" s="250"/>
      <c r="K200" s="210" t="e">
        <f t="shared" ref="K200:K263" si="22">J200/G200</f>
        <v>#DIV/0!</v>
      </c>
      <c r="L200" s="250"/>
      <c r="M200" s="211" t="e">
        <f t="shared" ref="M200:M263" si="23">(H200+J200)/G200</f>
        <v>#DIV/0!</v>
      </c>
      <c r="N200" s="288"/>
      <c r="O200" s="288"/>
      <c r="P200" s="200"/>
      <c r="Q200" s="288"/>
      <c r="R200" s="288"/>
      <c r="S200" s="200"/>
      <c r="T200" s="198"/>
      <c r="U200" s="198"/>
      <c r="V200" s="247"/>
      <c r="W200" s="205">
        <v>1</v>
      </c>
      <c r="X200" s="198"/>
    </row>
    <row r="201" spans="2:24">
      <c r="B201" s="495"/>
      <c r="C201" s="498"/>
      <c r="D201" s="209">
        <v>95</v>
      </c>
      <c r="E201" s="198"/>
      <c r="F201" s="288"/>
      <c r="G201" s="288"/>
      <c r="H201" s="288"/>
      <c r="I201" s="210" t="e">
        <f t="shared" si="21"/>
        <v>#DIV/0!</v>
      </c>
      <c r="J201" s="250"/>
      <c r="K201" s="210" t="e">
        <f t="shared" si="22"/>
        <v>#DIV/0!</v>
      </c>
      <c r="L201" s="250"/>
      <c r="M201" s="211" t="e">
        <f t="shared" si="23"/>
        <v>#DIV/0!</v>
      </c>
      <c r="N201" s="288"/>
      <c r="O201" s="288"/>
      <c r="P201" s="200"/>
      <c r="Q201" s="288"/>
      <c r="R201" s="288"/>
      <c r="S201" s="200"/>
      <c r="T201" s="198"/>
      <c r="U201" s="198"/>
      <c r="V201" s="198"/>
      <c r="W201" s="205">
        <v>1</v>
      </c>
      <c r="X201" s="198"/>
    </row>
    <row r="202" spans="2:24" ht="16.5">
      <c r="B202" s="495"/>
      <c r="C202" s="498"/>
      <c r="D202" s="209">
        <v>96</v>
      </c>
      <c r="E202" s="198"/>
      <c r="F202" s="288"/>
      <c r="G202" s="288"/>
      <c r="H202" s="288"/>
      <c r="I202" s="210" t="e">
        <f t="shared" si="21"/>
        <v>#DIV/0!</v>
      </c>
      <c r="J202" s="250"/>
      <c r="K202" s="210" t="e">
        <f t="shared" si="22"/>
        <v>#DIV/0!</v>
      </c>
      <c r="L202" s="250"/>
      <c r="M202" s="211" t="e">
        <f t="shared" si="23"/>
        <v>#DIV/0!</v>
      </c>
      <c r="N202" s="288"/>
      <c r="O202" s="288"/>
      <c r="P202" s="200"/>
      <c r="Q202" s="288"/>
      <c r="R202" s="288"/>
      <c r="S202" s="200"/>
      <c r="T202" s="198"/>
      <c r="U202" s="198"/>
      <c r="V202" s="247"/>
      <c r="W202" s="205">
        <v>1</v>
      </c>
      <c r="X202" s="198"/>
    </row>
    <row r="203" spans="2:24" ht="16.5">
      <c r="B203" s="495"/>
      <c r="C203" s="498"/>
      <c r="D203" s="209">
        <v>97</v>
      </c>
      <c r="E203" s="198"/>
      <c r="F203" s="288"/>
      <c r="G203" s="288"/>
      <c r="H203" s="288"/>
      <c r="I203" s="210" t="e">
        <f t="shared" si="21"/>
        <v>#DIV/0!</v>
      </c>
      <c r="J203" s="250"/>
      <c r="K203" s="210" t="e">
        <f t="shared" si="22"/>
        <v>#DIV/0!</v>
      </c>
      <c r="L203" s="250"/>
      <c r="M203" s="211" t="e">
        <f t="shared" si="23"/>
        <v>#DIV/0!</v>
      </c>
      <c r="N203" s="288"/>
      <c r="O203" s="288"/>
      <c r="P203" s="200"/>
      <c r="Q203" s="288"/>
      <c r="R203" s="288"/>
      <c r="S203" s="200"/>
      <c r="T203" s="198"/>
      <c r="U203" s="198"/>
      <c r="V203" s="247"/>
      <c r="W203" s="205">
        <v>1</v>
      </c>
      <c r="X203" s="198"/>
    </row>
    <row r="204" spans="2:24">
      <c r="B204" s="495"/>
      <c r="C204" s="498"/>
      <c r="D204" s="209">
        <v>98</v>
      </c>
      <c r="E204" s="198"/>
      <c r="F204" s="288"/>
      <c r="G204" s="288"/>
      <c r="H204" s="288"/>
      <c r="I204" s="210" t="e">
        <f t="shared" si="21"/>
        <v>#DIV/0!</v>
      </c>
      <c r="J204" s="250"/>
      <c r="K204" s="210" t="e">
        <f t="shared" si="22"/>
        <v>#DIV/0!</v>
      </c>
      <c r="L204" s="250"/>
      <c r="M204" s="211" t="e">
        <f t="shared" si="23"/>
        <v>#DIV/0!</v>
      </c>
      <c r="N204" s="288"/>
      <c r="O204" s="288"/>
      <c r="P204" s="200"/>
      <c r="Q204" s="288"/>
      <c r="R204" s="288"/>
      <c r="S204" s="200"/>
      <c r="T204" s="198"/>
      <c r="U204" s="198"/>
      <c r="V204" s="198"/>
      <c r="W204" s="205">
        <v>1</v>
      </c>
      <c r="X204" s="198"/>
    </row>
    <row r="205" spans="2:24" ht="16.5">
      <c r="B205" s="495"/>
      <c r="C205" s="498"/>
      <c r="D205" s="209">
        <v>99</v>
      </c>
      <c r="E205" s="198"/>
      <c r="F205" s="288"/>
      <c r="G205" s="288"/>
      <c r="H205" s="288"/>
      <c r="I205" s="210" t="e">
        <f t="shared" si="21"/>
        <v>#DIV/0!</v>
      </c>
      <c r="J205" s="250"/>
      <c r="K205" s="210" t="e">
        <f t="shared" si="22"/>
        <v>#DIV/0!</v>
      </c>
      <c r="L205" s="250"/>
      <c r="M205" s="211" t="e">
        <f t="shared" si="23"/>
        <v>#DIV/0!</v>
      </c>
      <c r="N205" s="288"/>
      <c r="O205" s="288"/>
      <c r="P205" s="200"/>
      <c r="Q205" s="288"/>
      <c r="R205" s="288"/>
      <c r="S205" s="200"/>
      <c r="T205" s="198"/>
      <c r="U205" s="198"/>
      <c r="V205" s="247"/>
      <c r="W205" s="205">
        <v>1</v>
      </c>
      <c r="X205" s="198"/>
    </row>
    <row r="206" spans="2:24">
      <c r="B206" s="496"/>
      <c r="C206" s="498"/>
      <c r="D206" s="209">
        <v>100</v>
      </c>
      <c r="E206" s="198"/>
      <c r="F206" s="288"/>
      <c r="G206" s="288"/>
      <c r="H206" s="288"/>
      <c r="I206" s="210" t="e">
        <f t="shared" si="21"/>
        <v>#DIV/0!</v>
      </c>
      <c r="J206" s="250"/>
      <c r="K206" s="210" t="e">
        <f t="shared" si="22"/>
        <v>#DIV/0!</v>
      </c>
      <c r="L206" s="250"/>
      <c r="M206" s="211" t="e">
        <f t="shared" si="23"/>
        <v>#DIV/0!</v>
      </c>
      <c r="N206" s="288"/>
      <c r="O206" s="288"/>
      <c r="P206" s="200"/>
      <c r="Q206" s="288"/>
      <c r="R206" s="288"/>
      <c r="S206" s="200"/>
      <c r="T206" s="198"/>
      <c r="U206" s="198"/>
      <c r="V206" s="198"/>
      <c r="W206" s="205">
        <v>1</v>
      </c>
      <c r="X206" s="198"/>
    </row>
    <row r="207" spans="2:24">
      <c r="B207" s="494">
        <v>45951</v>
      </c>
      <c r="C207" s="497" t="s">
        <v>120</v>
      </c>
      <c r="D207" s="209">
        <v>101</v>
      </c>
      <c r="E207" s="198"/>
      <c r="F207" s="288"/>
      <c r="G207" s="288"/>
      <c r="H207" s="288"/>
      <c r="I207" s="210" t="e">
        <f t="shared" si="21"/>
        <v>#DIV/0!</v>
      </c>
      <c r="J207" s="250"/>
      <c r="K207" s="210" t="e">
        <f t="shared" si="22"/>
        <v>#DIV/0!</v>
      </c>
      <c r="L207" s="250"/>
      <c r="M207" s="211" t="e">
        <f t="shared" si="23"/>
        <v>#DIV/0!</v>
      </c>
      <c r="N207" s="288"/>
      <c r="O207" s="288"/>
      <c r="P207" s="200"/>
      <c r="Q207" s="288"/>
      <c r="R207" s="288"/>
      <c r="S207" s="200"/>
      <c r="T207" s="198"/>
      <c r="U207" s="198"/>
      <c r="V207" s="198"/>
      <c r="W207" s="205">
        <v>1</v>
      </c>
      <c r="X207" s="198"/>
    </row>
    <row r="208" spans="2:24">
      <c r="B208" s="495"/>
      <c r="C208" s="498"/>
      <c r="D208" s="209">
        <v>102</v>
      </c>
      <c r="E208" s="198"/>
      <c r="F208" s="288"/>
      <c r="G208" s="288"/>
      <c r="H208" s="288"/>
      <c r="I208" s="210" t="e">
        <f t="shared" si="21"/>
        <v>#DIV/0!</v>
      </c>
      <c r="J208" s="250"/>
      <c r="K208" s="210" t="e">
        <f t="shared" si="22"/>
        <v>#DIV/0!</v>
      </c>
      <c r="L208" s="250"/>
      <c r="M208" s="211" t="e">
        <f t="shared" si="23"/>
        <v>#DIV/0!</v>
      </c>
      <c r="N208" s="288"/>
      <c r="O208" s="288"/>
      <c r="P208" s="200"/>
      <c r="Q208" s="288"/>
      <c r="R208" s="288"/>
      <c r="S208" s="200"/>
      <c r="T208" s="198"/>
      <c r="U208" s="198"/>
      <c r="V208" s="198"/>
      <c r="W208" s="205">
        <v>1</v>
      </c>
      <c r="X208" s="198"/>
    </row>
    <row r="209" spans="2:24" ht="16.5">
      <c r="B209" s="495"/>
      <c r="C209" s="498"/>
      <c r="D209" s="209">
        <v>103</v>
      </c>
      <c r="E209" s="198"/>
      <c r="F209" s="288"/>
      <c r="G209" s="288"/>
      <c r="H209" s="288"/>
      <c r="I209" s="210" t="e">
        <f t="shared" si="21"/>
        <v>#DIV/0!</v>
      </c>
      <c r="J209" s="250"/>
      <c r="K209" s="210" t="e">
        <f t="shared" si="22"/>
        <v>#DIV/0!</v>
      </c>
      <c r="L209" s="250"/>
      <c r="M209" s="211" t="e">
        <f t="shared" si="23"/>
        <v>#DIV/0!</v>
      </c>
      <c r="N209" s="288"/>
      <c r="O209" s="288"/>
      <c r="P209" s="200"/>
      <c r="Q209" s="288"/>
      <c r="R209" s="288"/>
      <c r="S209" s="200"/>
      <c r="T209" s="198"/>
      <c r="U209" s="198"/>
      <c r="V209" s="247"/>
      <c r="W209" s="205">
        <v>1</v>
      </c>
      <c r="X209" s="198"/>
    </row>
    <row r="210" spans="2:24">
      <c r="B210" s="495"/>
      <c r="C210" s="498"/>
      <c r="D210" s="209">
        <v>104</v>
      </c>
      <c r="E210" s="198"/>
      <c r="F210" s="288"/>
      <c r="G210" s="288"/>
      <c r="H210" s="288"/>
      <c r="I210" s="210" t="e">
        <f t="shared" si="21"/>
        <v>#DIV/0!</v>
      </c>
      <c r="J210" s="250"/>
      <c r="K210" s="210" t="e">
        <f t="shared" si="22"/>
        <v>#DIV/0!</v>
      </c>
      <c r="L210" s="250"/>
      <c r="M210" s="211" t="e">
        <f t="shared" si="23"/>
        <v>#DIV/0!</v>
      </c>
      <c r="N210" s="288"/>
      <c r="O210" s="288"/>
      <c r="P210" s="200"/>
      <c r="Q210" s="288"/>
      <c r="R210" s="288"/>
      <c r="S210" s="200"/>
      <c r="T210" s="198"/>
      <c r="U210" s="198"/>
      <c r="V210" s="198"/>
      <c r="W210" s="205">
        <v>1</v>
      </c>
      <c r="X210" s="198"/>
    </row>
    <row r="211" spans="2:24">
      <c r="B211" s="495"/>
      <c r="C211" s="498"/>
      <c r="D211" s="209">
        <v>105</v>
      </c>
      <c r="E211" s="198"/>
      <c r="F211" s="288"/>
      <c r="G211" s="288"/>
      <c r="H211" s="288"/>
      <c r="I211" s="210" t="e">
        <f t="shared" si="21"/>
        <v>#DIV/0!</v>
      </c>
      <c r="J211" s="250"/>
      <c r="K211" s="210" t="e">
        <f t="shared" si="22"/>
        <v>#DIV/0!</v>
      </c>
      <c r="L211" s="250"/>
      <c r="M211" s="211" t="e">
        <f t="shared" si="23"/>
        <v>#DIV/0!</v>
      </c>
      <c r="N211" s="288"/>
      <c r="O211" s="288"/>
      <c r="P211" s="200"/>
      <c r="Q211" s="288"/>
      <c r="R211" s="288"/>
      <c r="S211" s="200"/>
      <c r="T211" s="198"/>
      <c r="U211" s="198"/>
      <c r="V211" s="198"/>
      <c r="W211" s="205">
        <v>1</v>
      </c>
      <c r="X211" s="198"/>
    </row>
    <row r="212" spans="2:24" ht="16.5">
      <c r="B212" s="495"/>
      <c r="C212" s="498"/>
      <c r="D212" s="209">
        <v>106</v>
      </c>
      <c r="E212" s="198"/>
      <c r="F212" s="288"/>
      <c r="G212" s="288"/>
      <c r="H212" s="288"/>
      <c r="I212" s="210" t="e">
        <f t="shared" si="21"/>
        <v>#DIV/0!</v>
      </c>
      <c r="J212" s="250"/>
      <c r="K212" s="210" t="e">
        <f t="shared" si="22"/>
        <v>#DIV/0!</v>
      </c>
      <c r="L212" s="250"/>
      <c r="M212" s="211" t="e">
        <f t="shared" si="23"/>
        <v>#DIV/0!</v>
      </c>
      <c r="N212" s="288"/>
      <c r="O212" s="288"/>
      <c r="P212" s="200"/>
      <c r="Q212" s="288"/>
      <c r="R212" s="288"/>
      <c r="S212" s="200"/>
      <c r="T212" s="198"/>
      <c r="U212" s="198"/>
      <c r="V212" s="247"/>
      <c r="W212" s="205">
        <v>1</v>
      </c>
      <c r="X212" s="198"/>
    </row>
    <row r="213" spans="2:24">
      <c r="B213" s="495"/>
      <c r="C213" s="498"/>
      <c r="D213" s="209">
        <v>107</v>
      </c>
      <c r="E213" s="198"/>
      <c r="F213" s="288"/>
      <c r="G213" s="288"/>
      <c r="H213" s="288"/>
      <c r="I213" s="210" t="e">
        <f t="shared" si="21"/>
        <v>#DIV/0!</v>
      </c>
      <c r="J213" s="250"/>
      <c r="K213" s="210" t="e">
        <f t="shared" si="22"/>
        <v>#DIV/0!</v>
      </c>
      <c r="L213" s="250"/>
      <c r="M213" s="211" t="e">
        <f t="shared" si="23"/>
        <v>#DIV/0!</v>
      </c>
      <c r="N213" s="288"/>
      <c r="O213" s="288"/>
      <c r="P213" s="200"/>
      <c r="Q213" s="288"/>
      <c r="R213" s="288"/>
      <c r="S213" s="200"/>
      <c r="T213" s="198"/>
      <c r="U213" s="198"/>
      <c r="V213" s="198"/>
      <c r="W213" s="205">
        <v>1</v>
      </c>
      <c r="X213" s="198"/>
    </row>
    <row r="214" spans="2:24">
      <c r="B214" s="495"/>
      <c r="C214" s="498"/>
      <c r="D214" s="209">
        <v>108</v>
      </c>
      <c r="E214" s="198"/>
      <c r="F214" s="288"/>
      <c r="G214" s="288"/>
      <c r="H214" s="288"/>
      <c r="I214" s="210" t="e">
        <f t="shared" si="21"/>
        <v>#DIV/0!</v>
      </c>
      <c r="J214" s="250"/>
      <c r="K214" s="210" t="e">
        <f t="shared" si="22"/>
        <v>#DIV/0!</v>
      </c>
      <c r="L214" s="250"/>
      <c r="M214" s="211" t="e">
        <f t="shared" si="23"/>
        <v>#DIV/0!</v>
      </c>
      <c r="N214" s="288"/>
      <c r="O214" s="288"/>
      <c r="P214" s="200"/>
      <c r="Q214" s="288"/>
      <c r="R214" s="288"/>
      <c r="S214" s="200"/>
      <c r="T214" s="198"/>
      <c r="U214" s="198"/>
      <c r="V214" s="198"/>
      <c r="W214" s="205">
        <v>1</v>
      </c>
      <c r="X214" s="198"/>
    </row>
    <row r="215" spans="2:24">
      <c r="B215" s="495"/>
      <c r="C215" s="498"/>
      <c r="D215" s="209">
        <v>109</v>
      </c>
      <c r="E215" s="198"/>
      <c r="F215" s="288"/>
      <c r="G215" s="288"/>
      <c r="H215" s="288"/>
      <c r="I215" s="210" t="e">
        <f t="shared" si="21"/>
        <v>#DIV/0!</v>
      </c>
      <c r="J215" s="250"/>
      <c r="K215" s="210" t="e">
        <f t="shared" si="22"/>
        <v>#DIV/0!</v>
      </c>
      <c r="L215" s="250"/>
      <c r="M215" s="211" t="e">
        <f t="shared" si="23"/>
        <v>#DIV/0!</v>
      </c>
      <c r="N215" s="288"/>
      <c r="O215" s="288"/>
      <c r="P215" s="200"/>
      <c r="Q215" s="288"/>
      <c r="R215" s="288"/>
      <c r="S215" s="200"/>
      <c r="T215" s="198"/>
      <c r="U215" s="198"/>
      <c r="V215" s="198"/>
      <c r="W215" s="205">
        <v>1</v>
      </c>
      <c r="X215" s="198"/>
    </row>
    <row r="216" spans="2:24">
      <c r="B216" s="496"/>
      <c r="C216" s="498"/>
      <c r="D216" s="209">
        <v>110</v>
      </c>
      <c r="E216" s="198"/>
      <c r="F216" s="288"/>
      <c r="G216" s="288"/>
      <c r="H216" s="288"/>
      <c r="I216" s="210" t="e">
        <f t="shared" si="21"/>
        <v>#DIV/0!</v>
      </c>
      <c r="J216" s="250"/>
      <c r="K216" s="210" t="e">
        <f t="shared" si="22"/>
        <v>#DIV/0!</v>
      </c>
      <c r="L216" s="250"/>
      <c r="M216" s="211" t="e">
        <f t="shared" si="23"/>
        <v>#DIV/0!</v>
      </c>
      <c r="N216" s="288"/>
      <c r="O216" s="288"/>
      <c r="P216" s="200"/>
      <c r="Q216" s="288"/>
      <c r="R216" s="288"/>
      <c r="S216" s="200"/>
      <c r="T216" s="198"/>
      <c r="U216" s="198"/>
      <c r="V216" s="198"/>
      <c r="W216" s="205">
        <v>1</v>
      </c>
      <c r="X216" s="198"/>
    </row>
    <row r="217" spans="2:24">
      <c r="B217" s="494">
        <v>45952</v>
      </c>
      <c r="C217" s="497" t="s">
        <v>114</v>
      </c>
      <c r="D217" s="209">
        <v>111</v>
      </c>
      <c r="E217" s="198"/>
      <c r="F217" s="288"/>
      <c r="G217" s="288"/>
      <c r="H217" s="288"/>
      <c r="I217" s="210" t="e">
        <f t="shared" si="21"/>
        <v>#DIV/0!</v>
      </c>
      <c r="J217" s="250"/>
      <c r="K217" s="210" t="e">
        <f t="shared" si="22"/>
        <v>#DIV/0!</v>
      </c>
      <c r="L217" s="250"/>
      <c r="M217" s="211" t="e">
        <f t="shared" si="23"/>
        <v>#DIV/0!</v>
      </c>
      <c r="N217" s="288"/>
      <c r="O217" s="288"/>
      <c r="P217" s="200"/>
      <c r="Q217" s="288"/>
      <c r="R217" s="288"/>
      <c r="S217" s="200"/>
      <c r="T217" s="198"/>
      <c r="U217" s="198"/>
      <c r="V217" s="198"/>
      <c r="W217" s="205">
        <v>1</v>
      </c>
      <c r="X217" s="198"/>
    </row>
    <row r="218" spans="2:24" ht="16.5">
      <c r="B218" s="495"/>
      <c r="C218" s="498"/>
      <c r="D218" s="209">
        <v>112</v>
      </c>
      <c r="E218" s="198"/>
      <c r="F218" s="288"/>
      <c r="G218" s="288"/>
      <c r="H218" s="288"/>
      <c r="I218" s="210" t="e">
        <f t="shared" si="21"/>
        <v>#DIV/0!</v>
      </c>
      <c r="J218" s="250"/>
      <c r="K218" s="210" t="e">
        <f t="shared" si="22"/>
        <v>#DIV/0!</v>
      </c>
      <c r="L218" s="250"/>
      <c r="M218" s="211" t="e">
        <f t="shared" si="23"/>
        <v>#DIV/0!</v>
      </c>
      <c r="N218" s="288"/>
      <c r="O218" s="288"/>
      <c r="P218" s="200"/>
      <c r="Q218" s="288"/>
      <c r="R218" s="288"/>
      <c r="S218" s="200"/>
      <c r="T218" s="198"/>
      <c r="U218" s="198"/>
      <c r="V218" s="247"/>
      <c r="W218" s="205">
        <v>1</v>
      </c>
      <c r="X218" s="198"/>
    </row>
    <row r="219" spans="2:24" ht="16.5">
      <c r="B219" s="495"/>
      <c r="C219" s="498"/>
      <c r="D219" s="209">
        <v>113</v>
      </c>
      <c r="E219" s="198"/>
      <c r="F219" s="288"/>
      <c r="G219" s="288"/>
      <c r="H219" s="288"/>
      <c r="I219" s="210" t="e">
        <f t="shared" si="21"/>
        <v>#DIV/0!</v>
      </c>
      <c r="J219" s="250"/>
      <c r="K219" s="210" t="e">
        <f t="shared" si="22"/>
        <v>#DIV/0!</v>
      </c>
      <c r="L219" s="250"/>
      <c r="M219" s="211" t="e">
        <f t="shared" si="23"/>
        <v>#DIV/0!</v>
      </c>
      <c r="N219" s="288"/>
      <c r="O219" s="288"/>
      <c r="P219" s="200"/>
      <c r="Q219" s="288"/>
      <c r="R219" s="288"/>
      <c r="S219" s="200"/>
      <c r="T219" s="198"/>
      <c r="U219" s="198"/>
      <c r="V219" s="247"/>
      <c r="W219" s="205">
        <v>1</v>
      </c>
      <c r="X219" s="198"/>
    </row>
    <row r="220" spans="2:24">
      <c r="B220" s="495"/>
      <c r="C220" s="498"/>
      <c r="D220" s="209">
        <v>114</v>
      </c>
      <c r="E220" s="198"/>
      <c r="F220" s="288"/>
      <c r="G220" s="288"/>
      <c r="H220" s="288"/>
      <c r="I220" s="210" t="e">
        <f t="shared" si="21"/>
        <v>#DIV/0!</v>
      </c>
      <c r="J220" s="250"/>
      <c r="K220" s="210" t="e">
        <f t="shared" si="22"/>
        <v>#DIV/0!</v>
      </c>
      <c r="L220" s="250"/>
      <c r="M220" s="211" t="e">
        <f t="shared" si="23"/>
        <v>#DIV/0!</v>
      </c>
      <c r="N220" s="288"/>
      <c r="O220" s="288"/>
      <c r="P220" s="200"/>
      <c r="Q220" s="288"/>
      <c r="R220" s="288"/>
      <c r="S220" s="200"/>
      <c r="T220" s="198"/>
      <c r="U220" s="198"/>
      <c r="V220" s="198"/>
      <c r="W220" s="205">
        <v>1</v>
      </c>
      <c r="X220" s="198"/>
    </row>
    <row r="221" spans="2:24">
      <c r="B221" s="495"/>
      <c r="C221" s="498"/>
      <c r="D221" s="209">
        <v>115</v>
      </c>
      <c r="E221" s="198"/>
      <c r="F221" s="288"/>
      <c r="G221" s="288"/>
      <c r="H221" s="288"/>
      <c r="I221" s="210" t="e">
        <f t="shared" si="21"/>
        <v>#DIV/0!</v>
      </c>
      <c r="J221" s="250"/>
      <c r="K221" s="210" t="e">
        <f t="shared" si="22"/>
        <v>#DIV/0!</v>
      </c>
      <c r="L221" s="250"/>
      <c r="M221" s="211" t="e">
        <f t="shared" si="23"/>
        <v>#DIV/0!</v>
      </c>
      <c r="N221" s="288"/>
      <c r="O221" s="288"/>
      <c r="P221" s="200"/>
      <c r="Q221" s="288"/>
      <c r="R221" s="288"/>
      <c r="S221" s="200"/>
      <c r="T221" s="198"/>
      <c r="U221" s="198"/>
      <c r="V221" s="198"/>
      <c r="W221" s="205">
        <v>1</v>
      </c>
      <c r="X221" s="198"/>
    </row>
    <row r="222" spans="2:24" ht="16.5">
      <c r="B222" s="495"/>
      <c r="C222" s="498"/>
      <c r="D222" s="209">
        <v>116</v>
      </c>
      <c r="E222" s="198"/>
      <c r="F222" s="288"/>
      <c r="G222" s="288"/>
      <c r="H222" s="288"/>
      <c r="I222" s="210" t="e">
        <f t="shared" si="21"/>
        <v>#DIV/0!</v>
      </c>
      <c r="J222" s="250"/>
      <c r="K222" s="210" t="e">
        <f t="shared" si="22"/>
        <v>#DIV/0!</v>
      </c>
      <c r="L222" s="250"/>
      <c r="M222" s="211" t="e">
        <f t="shared" si="23"/>
        <v>#DIV/0!</v>
      </c>
      <c r="N222" s="288"/>
      <c r="O222" s="288"/>
      <c r="P222" s="200"/>
      <c r="Q222" s="288"/>
      <c r="R222" s="288"/>
      <c r="S222" s="200"/>
      <c r="T222" s="198"/>
      <c r="U222" s="198"/>
      <c r="V222" s="247"/>
      <c r="W222" s="205">
        <v>1</v>
      </c>
      <c r="X222" s="198"/>
    </row>
    <row r="223" spans="2:24">
      <c r="B223" s="495"/>
      <c r="C223" s="498"/>
      <c r="D223" s="209">
        <v>117</v>
      </c>
      <c r="E223" s="198"/>
      <c r="F223" s="288"/>
      <c r="G223" s="288"/>
      <c r="H223" s="288"/>
      <c r="I223" s="210" t="e">
        <f t="shared" si="21"/>
        <v>#DIV/0!</v>
      </c>
      <c r="J223" s="250"/>
      <c r="K223" s="210" t="e">
        <f t="shared" si="22"/>
        <v>#DIV/0!</v>
      </c>
      <c r="L223" s="250"/>
      <c r="M223" s="211" t="e">
        <f t="shared" si="23"/>
        <v>#DIV/0!</v>
      </c>
      <c r="N223" s="288"/>
      <c r="O223" s="288"/>
      <c r="P223" s="200"/>
      <c r="Q223" s="288"/>
      <c r="R223" s="288"/>
      <c r="S223" s="200"/>
      <c r="T223" s="198"/>
      <c r="U223" s="198"/>
      <c r="V223" s="198"/>
      <c r="W223" s="205">
        <v>1</v>
      </c>
      <c r="X223" s="198"/>
    </row>
    <row r="224" spans="2:24">
      <c r="B224" s="495"/>
      <c r="C224" s="498"/>
      <c r="D224" s="209">
        <v>118</v>
      </c>
      <c r="E224" s="198"/>
      <c r="F224" s="288"/>
      <c r="G224" s="288"/>
      <c r="H224" s="288"/>
      <c r="I224" s="210" t="e">
        <f t="shared" si="21"/>
        <v>#DIV/0!</v>
      </c>
      <c r="J224" s="250"/>
      <c r="K224" s="210" t="e">
        <f t="shared" si="22"/>
        <v>#DIV/0!</v>
      </c>
      <c r="L224" s="250"/>
      <c r="M224" s="211" t="e">
        <f t="shared" si="23"/>
        <v>#DIV/0!</v>
      </c>
      <c r="N224" s="288"/>
      <c r="O224" s="288"/>
      <c r="P224" s="200"/>
      <c r="Q224" s="288"/>
      <c r="R224" s="288"/>
      <c r="S224" s="200"/>
      <c r="T224" s="198"/>
      <c r="U224" s="198"/>
      <c r="V224" s="198"/>
      <c r="W224" s="205">
        <v>1</v>
      </c>
      <c r="X224" s="198"/>
    </row>
    <row r="225" spans="2:24">
      <c r="B225" s="495"/>
      <c r="C225" s="498"/>
      <c r="D225" s="209">
        <v>119</v>
      </c>
      <c r="E225" s="198"/>
      <c r="F225" s="288"/>
      <c r="G225" s="288"/>
      <c r="H225" s="288"/>
      <c r="I225" s="210" t="e">
        <f t="shared" si="21"/>
        <v>#DIV/0!</v>
      </c>
      <c r="J225" s="250"/>
      <c r="K225" s="210" t="e">
        <f t="shared" si="22"/>
        <v>#DIV/0!</v>
      </c>
      <c r="L225" s="250"/>
      <c r="M225" s="211" t="e">
        <f t="shared" si="23"/>
        <v>#DIV/0!</v>
      </c>
      <c r="N225" s="288"/>
      <c r="O225" s="288"/>
      <c r="P225" s="200"/>
      <c r="Q225" s="288"/>
      <c r="R225" s="288"/>
      <c r="S225" s="200"/>
      <c r="T225" s="198"/>
      <c r="U225" s="198"/>
      <c r="V225" s="198"/>
      <c r="W225" s="205">
        <v>1</v>
      </c>
      <c r="X225" s="198"/>
    </row>
    <row r="226" spans="2:24">
      <c r="B226" s="496"/>
      <c r="C226" s="498"/>
      <c r="D226" s="209">
        <v>120</v>
      </c>
      <c r="E226" s="198"/>
      <c r="F226" s="288"/>
      <c r="G226" s="288"/>
      <c r="H226" s="288"/>
      <c r="I226" s="210" t="e">
        <f t="shared" si="21"/>
        <v>#DIV/0!</v>
      </c>
      <c r="J226" s="250"/>
      <c r="K226" s="210" t="e">
        <f t="shared" si="22"/>
        <v>#DIV/0!</v>
      </c>
      <c r="L226" s="250"/>
      <c r="M226" s="211" t="e">
        <f t="shared" si="23"/>
        <v>#DIV/0!</v>
      </c>
      <c r="N226" s="288"/>
      <c r="O226" s="288"/>
      <c r="P226" s="200"/>
      <c r="Q226" s="288"/>
      <c r="R226" s="288"/>
      <c r="S226" s="200"/>
      <c r="T226" s="198"/>
      <c r="U226" s="198"/>
      <c r="V226" s="198"/>
      <c r="W226" s="205">
        <v>1</v>
      </c>
      <c r="X226" s="198"/>
    </row>
    <row r="227" spans="2:24">
      <c r="B227" s="494">
        <v>45953</v>
      </c>
      <c r="C227" s="497" t="s">
        <v>115</v>
      </c>
      <c r="D227" s="209">
        <v>121</v>
      </c>
      <c r="E227" s="198"/>
      <c r="F227" s="288"/>
      <c r="G227" s="288"/>
      <c r="H227" s="288"/>
      <c r="I227" s="210" t="e">
        <f t="shared" si="21"/>
        <v>#DIV/0!</v>
      </c>
      <c r="J227" s="250"/>
      <c r="K227" s="210" t="e">
        <f t="shared" si="22"/>
        <v>#DIV/0!</v>
      </c>
      <c r="L227" s="250"/>
      <c r="M227" s="211" t="e">
        <f t="shared" si="23"/>
        <v>#DIV/0!</v>
      </c>
      <c r="N227" s="288"/>
      <c r="O227" s="288"/>
      <c r="P227" s="200"/>
      <c r="Q227" s="288"/>
      <c r="R227" s="288"/>
      <c r="S227" s="200"/>
      <c r="T227" s="198"/>
      <c r="U227" s="198"/>
      <c r="V227" s="198"/>
      <c r="W227" s="205">
        <v>1</v>
      </c>
      <c r="X227" s="198"/>
    </row>
    <row r="228" spans="2:24" ht="16.5">
      <c r="B228" s="495"/>
      <c r="C228" s="498"/>
      <c r="D228" s="209">
        <v>122</v>
      </c>
      <c r="E228" s="198"/>
      <c r="F228" s="288"/>
      <c r="G228" s="288"/>
      <c r="H228" s="288"/>
      <c r="I228" s="210" t="e">
        <f t="shared" si="21"/>
        <v>#DIV/0!</v>
      </c>
      <c r="J228" s="250"/>
      <c r="K228" s="210" t="e">
        <f t="shared" si="22"/>
        <v>#DIV/0!</v>
      </c>
      <c r="L228" s="250"/>
      <c r="M228" s="211" t="e">
        <f t="shared" si="23"/>
        <v>#DIV/0!</v>
      </c>
      <c r="N228" s="288"/>
      <c r="O228" s="288"/>
      <c r="P228" s="200"/>
      <c r="Q228" s="288"/>
      <c r="R228" s="288"/>
      <c r="S228" s="200"/>
      <c r="T228" s="198"/>
      <c r="U228" s="198"/>
      <c r="V228" s="247"/>
      <c r="W228" s="205">
        <v>1</v>
      </c>
      <c r="X228" s="198"/>
    </row>
    <row r="229" spans="2:24" ht="16.5">
      <c r="B229" s="495"/>
      <c r="C229" s="498"/>
      <c r="D229" s="209">
        <v>123</v>
      </c>
      <c r="E229" s="198"/>
      <c r="F229" s="288"/>
      <c r="G229" s="288"/>
      <c r="H229" s="288"/>
      <c r="I229" s="210" t="e">
        <f t="shared" si="21"/>
        <v>#DIV/0!</v>
      </c>
      <c r="J229" s="250"/>
      <c r="K229" s="210" t="e">
        <f t="shared" si="22"/>
        <v>#DIV/0!</v>
      </c>
      <c r="L229" s="250"/>
      <c r="M229" s="211" t="e">
        <f t="shared" si="23"/>
        <v>#DIV/0!</v>
      </c>
      <c r="N229" s="288"/>
      <c r="O229" s="288"/>
      <c r="P229" s="200"/>
      <c r="Q229" s="288"/>
      <c r="R229" s="288"/>
      <c r="S229" s="200"/>
      <c r="T229" s="198"/>
      <c r="U229" s="198"/>
      <c r="V229" s="247"/>
      <c r="W229" s="205">
        <v>1</v>
      </c>
      <c r="X229" s="198"/>
    </row>
    <row r="230" spans="2:24" ht="16.5">
      <c r="B230" s="495"/>
      <c r="C230" s="498"/>
      <c r="D230" s="209">
        <v>124</v>
      </c>
      <c r="E230" s="198"/>
      <c r="F230" s="288"/>
      <c r="G230" s="288"/>
      <c r="H230" s="288"/>
      <c r="I230" s="210" t="e">
        <f t="shared" si="21"/>
        <v>#DIV/0!</v>
      </c>
      <c r="J230" s="250"/>
      <c r="K230" s="210" t="e">
        <f t="shared" si="22"/>
        <v>#DIV/0!</v>
      </c>
      <c r="L230" s="250"/>
      <c r="M230" s="211" t="e">
        <f t="shared" si="23"/>
        <v>#DIV/0!</v>
      </c>
      <c r="N230" s="288"/>
      <c r="O230" s="288"/>
      <c r="P230" s="200"/>
      <c r="Q230" s="288"/>
      <c r="R230" s="288"/>
      <c r="S230" s="200"/>
      <c r="T230" s="198"/>
      <c r="U230" s="198"/>
      <c r="V230" s="247"/>
      <c r="W230" s="205">
        <v>1</v>
      </c>
      <c r="X230" s="198"/>
    </row>
    <row r="231" spans="2:24">
      <c r="B231" s="495"/>
      <c r="C231" s="498"/>
      <c r="D231" s="209">
        <v>125</v>
      </c>
      <c r="E231" s="198"/>
      <c r="F231" s="288"/>
      <c r="G231" s="288"/>
      <c r="H231" s="288"/>
      <c r="I231" s="210" t="e">
        <f t="shared" si="21"/>
        <v>#DIV/0!</v>
      </c>
      <c r="J231" s="250"/>
      <c r="K231" s="210" t="e">
        <f t="shared" si="22"/>
        <v>#DIV/0!</v>
      </c>
      <c r="L231" s="250"/>
      <c r="M231" s="211" t="e">
        <f t="shared" si="23"/>
        <v>#DIV/0!</v>
      </c>
      <c r="N231" s="288"/>
      <c r="O231" s="288"/>
      <c r="P231" s="200"/>
      <c r="Q231" s="288"/>
      <c r="R231" s="288"/>
      <c r="S231" s="200"/>
      <c r="T231" s="198"/>
      <c r="U231" s="198"/>
      <c r="V231" s="198"/>
      <c r="W231" s="205">
        <v>1</v>
      </c>
      <c r="X231" s="198"/>
    </row>
    <row r="232" spans="2:24">
      <c r="B232" s="495"/>
      <c r="C232" s="498"/>
      <c r="D232" s="209">
        <v>126</v>
      </c>
      <c r="E232" s="198"/>
      <c r="F232" s="288"/>
      <c r="G232" s="288"/>
      <c r="H232" s="288"/>
      <c r="I232" s="210" t="e">
        <f t="shared" si="21"/>
        <v>#DIV/0!</v>
      </c>
      <c r="J232" s="250"/>
      <c r="K232" s="210" t="e">
        <f t="shared" si="22"/>
        <v>#DIV/0!</v>
      </c>
      <c r="L232" s="250"/>
      <c r="M232" s="211" t="e">
        <f t="shared" si="23"/>
        <v>#DIV/0!</v>
      </c>
      <c r="N232" s="288"/>
      <c r="O232" s="288"/>
      <c r="P232" s="200"/>
      <c r="Q232" s="288"/>
      <c r="R232" s="288"/>
      <c r="S232" s="200"/>
      <c r="T232" s="198"/>
      <c r="U232" s="198"/>
      <c r="V232" s="198"/>
      <c r="W232" s="205">
        <v>1</v>
      </c>
      <c r="X232" s="198"/>
    </row>
    <row r="233" spans="2:24">
      <c r="B233" s="495"/>
      <c r="C233" s="498"/>
      <c r="D233" s="209">
        <v>127</v>
      </c>
      <c r="E233" s="198"/>
      <c r="F233" s="288"/>
      <c r="G233" s="288"/>
      <c r="H233" s="288"/>
      <c r="I233" s="210" t="e">
        <f t="shared" si="21"/>
        <v>#DIV/0!</v>
      </c>
      <c r="J233" s="250"/>
      <c r="K233" s="210" t="e">
        <f t="shared" si="22"/>
        <v>#DIV/0!</v>
      </c>
      <c r="L233" s="250"/>
      <c r="M233" s="211" t="e">
        <f t="shared" si="23"/>
        <v>#DIV/0!</v>
      </c>
      <c r="N233" s="288"/>
      <c r="O233" s="288"/>
      <c r="P233" s="200"/>
      <c r="Q233" s="288"/>
      <c r="R233" s="288"/>
      <c r="S233" s="200"/>
      <c r="T233" s="198"/>
      <c r="U233" s="198"/>
      <c r="V233" s="198"/>
      <c r="W233" s="205">
        <v>1</v>
      </c>
      <c r="X233" s="198"/>
    </row>
    <row r="234" spans="2:24" ht="16.5">
      <c r="B234" s="495"/>
      <c r="C234" s="498"/>
      <c r="D234" s="209">
        <v>128</v>
      </c>
      <c r="E234" s="198"/>
      <c r="F234" s="288"/>
      <c r="G234" s="288"/>
      <c r="H234" s="288"/>
      <c r="I234" s="210" t="e">
        <f t="shared" si="21"/>
        <v>#DIV/0!</v>
      </c>
      <c r="J234" s="250"/>
      <c r="K234" s="210" t="e">
        <f t="shared" si="22"/>
        <v>#DIV/0!</v>
      </c>
      <c r="L234" s="250"/>
      <c r="M234" s="211" t="e">
        <f t="shared" si="23"/>
        <v>#DIV/0!</v>
      </c>
      <c r="N234" s="288"/>
      <c r="O234" s="288"/>
      <c r="P234" s="200"/>
      <c r="Q234" s="288"/>
      <c r="R234" s="288"/>
      <c r="S234" s="200"/>
      <c r="T234" s="198"/>
      <c r="U234" s="198"/>
      <c r="V234" s="247"/>
      <c r="W234" s="205">
        <v>1</v>
      </c>
      <c r="X234" s="198"/>
    </row>
    <row r="235" spans="2:24">
      <c r="B235" s="495"/>
      <c r="C235" s="498"/>
      <c r="D235" s="209">
        <v>129</v>
      </c>
      <c r="E235" s="198"/>
      <c r="F235" s="288"/>
      <c r="G235" s="288"/>
      <c r="H235" s="288"/>
      <c r="I235" s="210" t="e">
        <f t="shared" si="21"/>
        <v>#DIV/0!</v>
      </c>
      <c r="J235" s="250"/>
      <c r="K235" s="210" t="e">
        <f t="shared" si="22"/>
        <v>#DIV/0!</v>
      </c>
      <c r="L235" s="250"/>
      <c r="M235" s="211" t="e">
        <f t="shared" si="23"/>
        <v>#DIV/0!</v>
      </c>
      <c r="N235" s="288"/>
      <c r="O235" s="288"/>
      <c r="P235" s="200"/>
      <c r="Q235" s="288"/>
      <c r="R235" s="288"/>
      <c r="S235" s="200"/>
      <c r="T235" s="198"/>
      <c r="U235" s="198"/>
      <c r="V235" s="198"/>
      <c r="W235" s="205">
        <v>1</v>
      </c>
      <c r="X235" s="198"/>
    </row>
    <row r="236" spans="2:24">
      <c r="B236" s="496"/>
      <c r="C236" s="498"/>
      <c r="D236" s="209">
        <v>130</v>
      </c>
      <c r="E236" s="198"/>
      <c r="F236" s="288"/>
      <c r="G236" s="288"/>
      <c r="H236" s="288"/>
      <c r="I236" s="210" t="e">
        <f t="shared" si="21"/>
        <v>#DIV/0!</v>
      </c>
      <c r="J236" s="250"/>
      <c r="K236" s="210" t="e">
        <f t="shared" si="22"/>
        <v>#DIV/0!</v>
      </c>
      <c r="L236" s="250"/>
      <c r="M236" s="211" t="e">
        <f t="shared" si="23"/>
        <v>#DIV/0!</v>
      </c>
      <c r="N236" s="288"/>
      <c r="O236" s="288"/>
      <c r="P236" s="200"/>
      <c r="Q236" s="288"/>
      <c r="R236" s="288"/>
      <c r="S236" s="200"/>
      <c r="T236" s="198"/>
      <c r="U236" s="198"/>
      <c r="V236" s="198"/>
      <c r="W236" s="205">
        <v>1</v>
      </c>
      <c r="X236" s="198"/>
    </row>
    <row r="237" spans="2:24">
      <c r="B237" s="494">
        <v>45954</v>
      </c>
      <c r="C237" s="497" t="s">
        <v>116</v>
      </c>
      <c r="D237" s="209">
        <v>131</v>
      </c>
      <c r="E237" s="198"/>
      <c r="F237" s="288"/>
      <c r="G237" s="288"/>
      <c r="H237" s="288"/>
      <c r="I237" s="210" t="e">
        <f t="shared" si="21"/>
        <v>#DIV/0!</v>
      </c>
      <c r="J237" s="250"/>
      <c r="K237" s="210" t="e">
        <f t="shared" si="22"/>
        <v>#DIV/0!</v>
      </c>
      <c r="L237" s="250"/>
      <c r="M237" s="211" t="e">
        <f t="shared" si="23"/>
        <v>#DIV/0!</v>
      </c>
      <c r="N237" s="288"/>
      <c r="O237" s="288"/>
      <c r="P237" s="200"/>
      <c r="Q237" s="288"/>
      <c r="R237" s="288"/>
      <c r="S237" s="200"/>
      <c r="T237" s="198"/>
      <c r="U237" s="198"/>
      <c r="V237" s="198"/>
      <c r="W237" s="205">
        <v>1</v>
      </c>
      <c r="X237" s="198"/>
    </row>
    <row r="238" spans="2:24">
      <c r="B238" s="495"/>
      <c r="C238" s="498"/>
      <c r="D238" s="209">
        <v>132</v>
      </c>
      <c r="E238" s="198"/>
      <c r="F238" s="288"/>
      <c r="G238" s="288"/>
      <c r="H238" s="288"/>
      <c r="I238" s="210" t="e">
        <f t="shared" si="21"/>
        <v>#DIV/0!</v>
      </c>
      <c r="J238" s="250"/>
      <c r="K238" s="210" t="e">
        <f t="shared" si="22"/>
        <v>#DIV/0!</v>
      </c>
      <c r="L238" s="250"/>
      <c r="M238" s="211" t="e">
        <f t="shared" si="23"/>
        <v>#DIV/0!</v>
      </c>
      <c r="N238" s="288"/>
      <c r="O238" s="288"/>
      <c r="P238" s="200"/>
      <c r="Q238" s="288"/>
      <c r="R238" s="288"/>
      <c r="S238" s="200"/>
      <c r="T238" s="198"/>
      <c r="U238" s="198"/>
      <c r="V238" s="198"/>
      <c r="W238" s="205">
        <v>1</v>
      </c>
      <c r="X238" s="198"/>
    </row>
    <row r="239" spans="2:24">
      <c r="B239" s="495"/>
      <c r="C239" s="498"/>
      <c r="D239" s="209">
        <v>133</v>
      </c>
      <c r="E239" s="198"/>
      <c r="F239" s="288"/>
      <c r="G239" s="288"/>
      <c r="H239" s="288"/>
      <c r="I239" s="210" t="e">
        <f t="shared" si="21"/>
        <v>#DIV/0!</v>
      </c>
      <c r="J239" s="250"/>
      <c r="K239" s="210" t="e">
        <f t="shared" si="22"/>
        <v>#DIV/0!</v>
      </c>
      <c r="L239" s="250"/>
      <c r="M239" s="211" t="e">
        <f t="shared" si="23"/>
        <v>#DIV/0!</v>
      </c>
      <c r="N239" s="288"/>
      <c r="O239" s="288"/>
      <c r="P239" s="200"/>
      <c r="Q239" s="288"/>
      <c r="R239" s="288"/>
      <c r="S239" s="200"/>
      <c r="T239" s="198"/>
      <c r="U239" s="198"/>
      <c r="V239" s="198"/>
      <c r="W239" s="205">
        <v>1</v>
      </c>
      <c r="X239" s="198"/>
    </row>
    <row r="240" spans="2:24">
      <c r="B240" s="495"/>
      <c r="C240" s="498"/>
      <c r="D240" s="209">
        <v>134</v>
      </c>
      <c r="E240" s="198"/>
      <c r="F240" s="288"/>
      <c r="G240" s="288"/>
      <c r="H240" s="288"/>
      <c r="I240" s="210" t="e">
        <f t="shared" si="21"/>
        <v>#DIV/0!</v>
      </c>
      <c r="J240" s="250"/>
      <c r="K240" s="210" t="e">
        <f t="shared" si="22"/>
        <v>#DIV/0!</v>
      </c>
      <c r="L240" s="250"/>
      <c r="M240" s="211" t="e">
        <f t="shared" si="23"/>
        <v>#DIV/0!</v>
      </c>
      <c r="N240" s="288"/>
      <c r="O240" s="288"/>
      <c r="P240" s="200"/>
      <c r="Q240" s="288"/>
      <c r="R240" s="288"/>
      <c r="S240" s="200"/>
      <c r="T240" s="198"/>
      <c r="U240" s="198"/>
      <c r="V240" s="198"/>
      <c r="W240" s="205">
        <v>1</v>
      </c>
      <c r="X240" s="198"/>
    </row>
    <row r="241" spans="2:24">
      <c r="B241" s="495"/>
      <c r="C241" s="498"/>
      <c r="D241" s="209">
        <v>135</v>
      </c>
      <c r="E241" s="198"/>
      <c r="F241" s="288"/>
      <c r="G241" s="288"/>
      <c r="H241" s="288"/>
      <c r="I241" s="210" t="e">
        <f t="shared" si="21"/>
        <v>#DIV/0!</v>
      </c>
      <c r="J241" s="250"/>
      <c r="K241" s="210" t="e">
        <f t="shared" si="22"/>
        <v>#DIV/0!</v>
      </c>
      <c r="L241" s="250"/>
      <c r="M241" s="211" t="e">
        <f t="shared" si="23"/>
        <v>#DIV/0!</v>
      </c>
      <c r="N241" s="288"/>
      <c r="O241" s="288"/>
      <c r="P241" s="200"/>
      <c r="Q241" s="288"/>
      <c r="R241" s="288"/>
      <c r="S241" s="200"/>
      <c r="T241" s="198"/>
      <c r="U241" s="198"/>
      <c r="V241" s="198"/>
      <c r="W241" s="205">
        <v>1</v>
      </c>
      <c r="X241" s="198"/>
    </row>
    <row r="242" spans="2:24">
      <c r="B242" s="495"/>
      <c r="C242" s="498"/>
      <c r="D242" s="209">
        <v>136</v>
      </c>
      <c r="E242" s="198"/>
      <c r="F242" s="288"/>
      <c r="G242" s="288"/>
      <c r="H242" s="288"/>
      <c r="I242" s="210" t="e">
        <f t="shared" si="21"/>
        <v>#DIV/0!</v>
      </c>
      <c r="J242" s="250"/>
      <c r="K242" s="210" t="e">
        <f t="shared" si="22"/>
        <v>#DIV/0!</v>
      </c>
      <c r="L242" s="250"/>
      <c r="M242" s="211" t="e">
        <f t="shared" si="23"/>
        <v>#DIV/0!</v>
      </c>
      <c r="N242" s="288"/>
      <c r="O242" s="288"/>
      <c r="P242" s="200"/>
      <c r="Q242" s="288"/>
      <c r="R242" s="288"/>
      <c r="S242" s="200"/>
      <c r="T242" s="198"/>
      <c r="U242" s="198"/>
      <c r="V242" s="198"/>
      <c r="W242" s="205">
        <v>1</v>
      </c>
      <c r="X242" s="198"/>
    </row>
    <row r="243" spans="2:24">
      <c r="B243" s="495"/>
      <c r="C243" s="498"/>
      <c r="D243" s="209">
        <v>137</v>
      </c>
      <c r="E243" s="198"/>
      <c r="F243" s="288"/>
      <c r="G243" s="288"/>
      <c r="H243" s="288"/>
      <c r="I243" s="210" t="e">
        <f t="shared" si="21"/>
        <v>#DIV/0!</v>
      </c>
      <c r="J243" s="250"/>
      <c r="K243" s="210" t="e">
        <f t="shared" si="22"/>
        <v>#DIV/0!</v>
      </c>
      <c r="L243" s="250"/>
      <c r="M243" s="211" t="e">
        <f t="shared" si="23"/>
        <v>#DIV/0!</v>
      </c>
      <c r="N243" s="288"/>
      <c r="O243" s="288"/>
      <c r="P243" s="200"/>
      <c r="Q243" s="288"/>
      <c r="R243" s="288"/>
      <c r="S243" s="200"/>
      <c r="T243" s="198"/>
      <c r="U243" s="198"/>
      <c r="V243" s="198"/>
      <c r="W243" s="205">
        <v>1</v>
      </c>
      <c r="X243" s="198"/>
    </row>
    <row r="244" spans="2:24">
      <c r="B244" s="495"/>
      <c r="C244" s="498"/>
      <c r="D244" s="209">
        <v>138</v>
      </c>
      <c r="E244" s="198"/>
      <c r="F244" s="288"/>
      <c r="G244" s="288"/>
      <c r="H244" s="288"/>
      <c r="I244" s="210" t="e">
        <f t="shared" si="21"/>
        <v>#DIV/0!</v>
      </c>
      <c r="J244" s="250"/>
      <c r="K244" s="210" t="e">
        <f t="shared" si="22"/>
        <v>#DIV/0!</v>
      </c>
      <c r="L244" s="250"/>
      <c r="M244" s="211" t="e">
        <f t="shared" si="23"/>
        <v>#DIV/0!</v>
      </c>
      <c r="N244" s="288"/>
      <c r="O244" s="288"/>
      <c r="P244" s="200"/>
      <c r="Q244" s="288"/>
      <c r="R244" s="288"/>
      <c r="S244" s="200"/>
      <c r="T244" s="198"/>
      <c r="U244" s="198"/>
      <c r="V244" s="198"/>
      <c r="W244" s="205">
        <v>1</v>
      </c>
      <c r="X244" s="198"/>
    </row>
    <row r="245" spans="2:24">
      <c r="B245" s="495"/>
      <c r="C245" s="498"/>
      <c r="D245" s="209">
        <v>139</v>
      </c>
      <c r="E245" s="198"/>
      <c r="F245" s="288"/>
      <c r="G245" s="288"/>
      <c r="H245" s="288"/>
      <c r="I245" s="210" t="e">
        <f t="shared" si="21"/>
        <v>#DIV/0!</v>
      </c>
      <c r="J245" s="250"/>
      <c r="K245" s="210" t="e">
        <f t="shared" si="22"/>
        <v>#DIV/0!</v>
      </c>
      <c r="L245" s="250"/>
      <c r="M245" s="211" t="e">
        <f t="shared" si="23"/>
        <v>#DIV/0!</v>
      </c>
      <c r="N245" s="288"/>
      <c r="O245" s="288"/>
      <c r="P245" s="200"/>
      <c r="Q245" s="288"/>
      <c r="R245" s="288"/>
      <c r="S245" s="200"/>
      <c r="T245" s="198"/>
      <c r="U245" s="198"/>
      <c r="V245" s="198"/>
      <c r="W245" s="205">
        <v>1</v>
      </c>
      <c r="X245" s="198"/>
    </row>
    <row r="246" spans="2:24">
      <c r="B246" s="496"/>
      <c r="C246" s="498"/>
      <c r="D246" s="209">
        <v>140</v>
      </c>
      <c r="E246" s="198"/>
      <c r="F246" s="288"/>
      <c r="G246" s="288"/>
      <c r="H246" s="288"/>
      <c r="I246" s="210" t="e">
        <f t="shared" si="21"/>
        <v>#DIV/0!</v>
      </c>
      <c r="J246" s="250"/>
      <c r="K246" s="210" t="e">
        <f t="shared" si="22"/>
        <v>#DIV/0!</v>
      </c>
      <c r="L246" s="250"/>
      <c r="M246" s="211" t="e">
        <f t="shared" si="23"/>
        <v>#DIV/0!</v>
      </c>
      <c r="N246" s="288"/>
      <c r="O246" s="288"/>
      <c r="P246" s="200"/>
      <c r="Q246" s="288"/>
      <c r="R246" s="288"/>
      <c r="S246" s="200"/>
      <c r="T246" s="198"/>
      <c r="U246" s="198"/>
      <c r="V246" s="198"/>
      <c r="W246" s="205">
        <v>1</v>
      </c>
      <c r="X246" s="198"/>
    </row>
    <row r="247" spans="2:24">
      <c r="B247" s="494">
        <v>45955</v>
      </c>
      <c r="C247" s="497" t="s">
        <v>117</v>
      </c>
      <c r="D247" s="209">
        <v>141</v>
      </c>
      <c r="E247" s="198"/>
      <c r="F247" s="288"/>
      <c r="G247" s="288"/>
      <c r="H247" s="288"/>
      <c r="I247" s="210" t="e">
        <f t="shared" si="21"/>
        <v>#DIV/0!</v>
      </c>
      <c r="J247" s="250"/>
      <c r="K247" s="210" t="e">
        <f t="shared" si="22"/>
        <v>#DIV/0!</v>
      </c>
      <c r="L247" s="250"/>
      <c r="M247" s="211" t="e">
        <f t="shared" si="23"/>
        <v>#DIV/0!</v>
      </c>
      <c r="N247" s="288"/>
      <c r="O247" s="288"/>
      <c r="P247" s="200"/>
      <c r="Q247" s="288"/>
      <c r="R247" s="288"/>
      <c r="S247" s="200"/>
      <c r="T247" s="198"/>
      <c r="U247" s="198"/>
      <c r="V247" s="198"/>
      <c r="W247" s="205">
        <v>1</v>
      </c>
      <c r="X247" s="198"/>
    </row>
    <row r="248" spans="2:24">
      <c r="B248" s="495"/>
      <c r="C248" s="498"/>
      <c r="D248" s="209">
        <v>142</v>
      </c>
      <c r="E248" s="198"/>
      <c r="F248" s="288"/>
      <c r="G248" s="288"/>
      <c r="H248" s="288"/>
      <c r="I248" s="210" t="e">
        <f t="shared" si="21"/>
        <v>#DIV/0!</v>
      </c>
      <c r="J248" s="250"/>
      <c r="K248" s="210" t="e">
        <f t="shared" si="22"/>
        <v>#DIV/0!</v>
      </c>
      <c r="L248" s="250"/>
      <c r="M248" s="211" t="e">
        <f t="shared" si="23"/>
        <v>#DIV/0!</v>
      </c>
      <c r="N248" s="288"/>
      <c r="O248" s="288"/>
      <c r="P248" s="200"/>
      <c r="Q248" s="288"/>
      <c r="R248" s="288"/>
      <c r="S248" s="200"/>
      <c r="T248" s="198"/>
      <c r="U248" s="198"/>
      <c r="V248" s="198"/>
      <c r="W248" s="205">
        <v>1</v>
      </c>
      <c r="X248" s="198"/>
    </row>
    <row r="249" spans="2:24">
      <c r="B249" s="495"/>
      <c r="C249" s="498"/>
      <c r="D249" s="209">
        <v>143</v>
      </c>
      <c r="E249" s="198"/>
      <c r="F249" s="288"/>
      <c r="G249" s="288"/>
      <c r="H249" s="288"/>
      <c r="I249" s="210" t="e">
        <f t="shared" si="21"/>
        <v>#DIV/0!</v>
      </c>
      <c r="J249" s="250"/>
      <c r="K249" s="210" t="e">
        <f t="shared" si="22"/>
        <v>#DIV/0!</v>
      </c>
      <c r="L249" s="250"/>
      <c r="M249" s="211" t="e">
        <f t="shared" si="23"/>
        <v>#DIV/0!</v>
      </c>
      <c r="N249" s="288"/>
      <c r="O249" s="288"/>
      <c r="P249" s="200"/>
      <c r="Q249" s="288"/>
      <c r="R249" s="288"/>
      <c r="S249" s="200"/>
      <c r="T249" s="198"/>
      <c r="U249" s="198"/>
      <c r="V249" s="198"/>
      <c r="W249" s="205">
        <v>1</v>
      </c>
      <c r="X249" s="198"/>
    </row>
    <row r="250" spans="2:24">
      <c r="B250" s="495"/>
      <c r="C250" s="498"/>
      <c r="D250" s="209">
        <v>144</v>
      </c>
      <c r="E250" s="198"/>
      <c r="F250" s="288"/>
      <c r="G250" s="288"/>
      <c r="H250" s="288"/>
      <c r="I250" s="210" t="e">
        <f t="shared" si="21"/>
        <v>#DIV/0!</v>
      </c>
      <c r="J250" s="250"/>
      <c r="K250" s="210" t="e">
        <f t="shared" si="22"/>
        <v>#DIV/0!</v>
      </c>
      <c r="L250" s="250"/>
      <c r="M250" s="211" t="e">
        <f t="shared" si="23"/>
        <v>#DIV/0!</v>
      </c>
      <c r="N250" s="288"/>
      <c r="O250" s="288"/>
      <c r="P250" s="200"/>
      <c r="Q250" s="288"/>
      <c r="R250" s="288"/>
      <c r="S250" s="200"/>
      <c r="T250" s="198"/>
      <c r="U250" s="198"/>
      <c r="V250" s="198"/>
      <c r="W250" s="205">
        <v>1</v>
      </c>
      <c r="X250" s="198"/>
    </row>
    <row r="251" spans="2:24">
      <c r="B251" s="495"/>
      <c r="C251" s="498"/>
      <c r="D251" s="209">
        <v>145</v>
      </c>
      <c r="E251" s="198"/>
      <c r="F251" s="288"/>
      <c r="G251" s="288"/>
      <c r="H251" s="288"/>
      <c r="I251" s="210" t="e">
        <f t="shared" si="21"/>
        <v>#DIV/0!</v>
      </c>
      <c r="J251" s="250"/>
      <c r="K251" s="210" t="e">
        <f t="shared" si="22"/>
        <v>#DIV/0!</v>
      </c>
      <c r="L251" s="250"/>
      <c r="M251" s="211" t="e">
        <f t="shared" si="23"/>
        <v>#DIV/0!</v>
      </c>
      <c r="N251" s="288"/>
      <c r="O251" s="288"/>
      <c r="P251" s="200"/>
      <c r="Q251" s="288"/>
      <c r="R251" s="288"/>
      <c r="S251" s="200"/>
      <c r="T251" s="198"/>
      <c r="U251" s="198"/>
      <c r="V251" s="198"/>
      <c r="W251" s="205">
        <v>1</v>
      </c>
      <c r="X251" s="198"/>
    </row>
    <row r="252" spans="2:24">
      <c r="B252" s="495"/>
      <c r="C252" s="498"/>
      <c r="D252" s="209">
        <v>146</v>
      </c>
      <c r="E252" s="198"/>
      <c r="F252" s="288"/>
      <c r="G252" s="288"/>
      <c r="H252" s="288"/>
      <c r="I252" s="210" t="e">
        <f t="shared" si="21"/>
        <v>#DIV/0!</v>
      </c>
      <c r="J252" s="250"/>
      <c r="K252" s="210" t="e">
        <f t="shared" si="22"/>
        <v>#DIV/0!</v>
      </c>
      <c r="L252" s="250"/>
      <c r="M252" s="211" t="e">
        <f t="shared" si="23"/>
        <v>#DIV/0!</v>
      </c>
      <c r="N252" s="288"/>
      <c r="O252" s="288"/>
      <c r="P252" s="200"/>
      <c r="Q252" s="288"/>
      <c r="R252" s="288"/>
      <c r="S252" s="200"/>
      <c r="T252" s="198"/>
      <c r="U252" s="198"/>
      <c r="V252" s="198"/>
      <c r="W252" s="205">
        <v>1</v>
      </c>
      <c r="X252" s="198"/>
    </row>
    <row r="253" spans="2:24">
      <c r="B253" s="495"/>
      <c r="C253" s="498"/>
      <c r="D253" s="209">
        <v>147</v>
      </c>
      <c r="E253" s="198"/>
      <c r="F253" s="288"/>
      <c r="G253" s="288"/>
      <c r="H253" s="288"/>
      <c r="I253" s="210" t="e">
        <f t="shared" si="21"/>
        <v>#DIV/0!</v>
      </c>
      <c r="J253" s="250"/>
      <c r="K253" s="210" t="e">
        <f t="shared" si="22"/>
        <v>#DIV/0!</v>
      </c>
      <c r="L253" s="250"/>
      <c r="M253" s="211" t="e">
        <f t="shared" si="23"/>
        <v>#DIV/0!</v>
      </c>
      <c r="N253" s="288"/>
      <c r="O253" s="288"/>
      <c r="P253" s="200"/>
      <c r="Q253" s="288"/>
      <c r="R253" s="288"/>
      <c r="S253" s="200"/>
      <c r="T253" s="198"/>
      <c r="U253" s="198"/>
      <c r="V253" s="198"/>
      <c r="W253" s="205">
        <v>1</v>
      </c>
      <c r="X253" s="198"/>
    </row>
    <row r="254" spans="2:24">
      <c r="B254" s="495"/>
      <c r="C254" s="498"/>
      <c r="D254" s="209">
        <v>148</v>
      </c>
      <c r="E254" s="198"/>
      <c r="F254" s="288"/>
      <c r="G254" s="288"/>
      <c r="H254" s="288"/>
      <c r="I254" s="210" t="e">
        <f t="shared" si="21"/>
        <v>#DIV/0!</v>
      </c>
      <c r="J254" s="250"/>
      <c r="K254" s="210" t="e">
        <f t="shared" si="22"/>
        <v>#DIV/0!</v>
      </c>
      <c r="L254" s="250"/>
      <c r="M254" s="211" t="e">
        <f t="shared" si="23"/>
        <v>#DIV/0!</v>
      </c>
      <c r="N254" s="288"/>
      <c r="O254" s="288"/>
      <c r="P254" s="200"/>
      <c r="Q254" s="288"/>
      <c r="R254" s="288"/>
      <c r="S254" s="200"/>
      <c r="T254" s="198"/>
      <c r="U254" s="198"/>
      <c r="V254" s="198"/>
      <c r="W254" s="205">
        <v>1</v>
      </c>
      <c r="X254" s="198"/>
    </row>
    <row r="255" spans="2:24">
      <c r="B255" s="495"/>
      <c r="C255" s="498"/>
      <c r="D255" s="209">
        <v>149</v>
      </c>
      <c r="E255" s="198"/>
      <c r="F255" s="288"/>
      <c r="G255" s="288"/>
      <c r="H255" s="288"/>
      <c r="I255" s="210" t="e">
        <f t="shared" si="21"/>
        <v>#DIV/0!</v>
      </c>
      <c r="J255" s="250"/>
      <c r="K255" s="210" t="e">
        <f t="shared" si="22"/>
        <v>#DIV/0!</v>
      </c>
      <c r="L255" s="250"/>
      <c r="M255" s="211" t="e">
        <f t="shared" si="23"/>
        <v>#DIV/0!</v>
      </c>
      <c r="N255" s="288"/>
      <c r="O255" s="288"/>
      <c r="P255" s="200"/>
      <c r="Q255" s="288"/>
      <c r="R255" s="288"/>
      <c r="S255" s="200"/>
      <c r="T255" s="198"/>
      <c r="U255" s="198"/>
      <c r="V255" s="198"/>
      <c r="W255" s="205">
        <v>1</v>
      </c>
      <c r="X255" s="198"/>
    </row>
    <row r="256" spans="2:24">
      <c r="B256" s="496"/>
      <c r="C256" s="498"/>
      <c r="D256" s="209">
        <v>150</v>
      </c>
      <c r="E256" s="198"/>
      <c r="F256" s="288"/>
      <c r="G256" s="288"/>
      <c r="H256" s="288"/>
      <c r="I256" s="210" t="e">
        <f t="shared" si="21"/>
        <v>#DIV/0!</v>
      </c>
      <c r="J256" s="250"/>
      <c r="K256" s="210" t="e">
        <f t="shared" si="22"/>
        <v>#DIV/0!</v>
      </c>
      <c r="L256" s="250"/>
      <c r="M256" s="211" t="e">
        <f t="shared" si="23"/>
        <v>#DIV/0!</v>
      </c>
      <c r="N256" s="288"/>
      <c r="O256" s="288"/>
      <c r="P256" s="200"/>
      <c r="Q256" s="288"/>
      <c r="R256" s="288"/>
      <c r="S256" s="200"/>
      <c r="T256" s="198"/>
      <c r="U256" s="198"/>
      <c r="V256" s="198"/>
      <c r="W256" s="205">
        <v>1</v>
      </c>
      <c r="X256" s="198"/>
    </row>
    <row r="257" spans="2:24">
      <c r="B257" s="494">
        <v>45956</v>
      </c>
      <c r="C257" s="497" t="s">
        <v>118</v>
      </c>
      <c r="D257" s="209">
        <v>151</v>
      </c>
      <c r="E257" s="198"/>
      <c r="F257" s="288"/>
      <c r="G257" s="288"/>
      <c r="H257" s="288"/>
      <c r="I257" s="210" t="e">
        <f t="shared" si="21"/>
        <v>#DIV/0!</v>
      </c>
      <c r="J257" s="250"/>
      <c r="K257" s="210" t="e">
        <f t="shared" si="22"/>
        <v>#DIV/0!</v>
      </c>
      <c r="L257" s="250"/>
      <c r="M257" s="211" t="e">
        <f t="shared" si="23"/>
        <v>#DIV/0!</v>
      </c>
      <c r="N257" s="288"/>
      <c r="O257" s="288"/>
      <c r="P257" s="200"/>
      <c r="Q257" s="288"/>
      <c r="R257" s="288"/>
      <c r="S257" s="200"/>
      <c r="T257" s="198"/>
      <c r="U257" s="198"/>
      <c r="V257" s="198"/>
      <c r="W257" s="205">
        <v>1</v>
      </c>
      <c r="X257" s="198"/>
    </row>
    <row r="258" spans="2:24">
      <c r="B258" s="495"/>
      <c r="C258" s="498"/>
      <c r="D258" s="209">
        <v>152</v>
      </c>
      <c r="E258" s="198"/>
      <c r="F258" s="288"/>
      <c r="G258" s="288"/>
      <c r="H258" s="288"/>
      <c r="I258" s="210" t="e">
        <f t="shared" si="21"/>
        <v>#DIV/0!</v>
      </c>
      <c r="J258" s="250"/>
      <c r="K258" s="210" t="e">
        <f t="shared" si="22"/>
        <v>#DIV/0!</v>
      </c>
      <c r="L258" s="250"/>
      <c r="M258" s="211" t="e">
        <f t="shared" si="23"/>
        <v>#DIV/0!</v>
      </c>
      <c r="N258" s="288"/>
      <c r="O258" s="288"/>
      <c r="P258" s="200"/>
      <c r="Q258" s="288"/>
      <c r="R258" s="288"/>
      <c r="S258" s="200"/>
      <c r="T258" s="198"/>
      <c r="U258" s="198"/>
      <c r="V258" s="198"/>
      <c r="W258" s="205">
        <v>1</v>
      </c>
      <c r="X258" s="198"/>
    </row>
    <row r="259" spans="2:24">
      <c r="B259" s="495"/>
      <c r="C259" s="498"/>
      <c r="D259" s="209">
        <v>153</v>
      </c>
      <c r="E259" s="198"/>
      <c r="F259" s="288"/>
      <c r="G259" s="288"/>
      <c r="H259" s="288"/>
      <c r="I259" s="210" t="e">
        <f t="shared" si="21"/>
        <v>#DIV/0!</v>
      </c>
      <c r="J259" s="250"/>
      <c r="K259" s="210" t="e">
        <f t="shared" si="22"/>
        <v>#DIV/0!</v>
      </c>
      <c r="L259" s="250"/>
      <c r="M259" s="211" t="e">
        <f t="shared" si="23"/>
        <v>#DIV/0!</v>
      </c>
      <c r="N259" s="288"/>
      <c r="O259" s="288"/>
      <c r="P259" s="200"/>
      <c r="Q259" s="288"/>
      <c r="R259" s="288"/>
      <c r="S259" s="200"/>
      <c r="T259" s="198"/>
      <c r="U259" s="198"/>
      <c r="V259" s="198"/>
      <c r="W259" s="205">
        <v>1</v>
      </c>
      <c r="X259" s="198"/>
    </row>
    <row r="260" spans="2:24">
      <c r="B260" s="495"/>
      <c r="C260" s="498"/>
      <c r="D260" s="209">
        <v>154</v>
      </c>
      <c r="E260" s="198"/>
      <c r="F260" s="288"/>
      <c r="G260" s="288"/>
      <c r="H260" s="288"/>
      <c r="I260" s="210" t="e">
        <f t="shared" si="21"/>
        <v>#DIV/0!</v>
      </c>
      <c r="J260" s="250"/>
      <c r="K260" s="210" t="e">
        <f t="shared" si="22"/>
        <v>#DIV/0!</v>
      </c>
      <c r="L260" s="250"/>
      <c r="M260" s="211" t="e">
        <f t="shared" si="23"/>
        <v>#DIV/0!</v>
      </c>
      <c r="N260" s="288"/>
      <c r="O260" s="288"/>
      <c r="P260" s="200"/>
      <c r="Q260" s="288"/>
      <c r="R260" s="288"/>
      <c r="S260" s="200"/>
      <c r="T260" s="198"/>
      <c r="U260" s="198"/>
      <c r="V260" s="198"/>
      <c r="W260" s="205">
        <v>1</v>
      </c>
      <c r="X260" s="198"/>
    </row>
    <row r="261" spans="2:24">
      <c r="B261" s="495"/>
      <c r="C261" s="498"/>
      <c r="D261" s="209">
        <v>155</v>
      </c>
      <c r="E261" s="198"/>
      <c r="F261" s="288"/>
      <c r="G261" s="288"/>
      <c r="H261" s="288"/>
      <c r="I261" s="210" t="e">
        <f t="shared" si="21"/>
        <v>#DIV/0!</v>
      </c>
      <c r="J261" s="250"/>
      <c r="K261" s="210" t="e">
        <f t="shared" si="22"/>
        <v>#DIV/0!</v>
      </c>
      <c r="L261" s="250"/>
      <c r="M261" s="211" t="e">
        <f t="shared" si="23"/>
        <v>#DIV/0!</v>
      </c>
      <c r="N261" s="288"/>
      <c r="O261" s="288"/>
      <c r="P261" s="200"/>
      <c r="Q261" s="288"/>
      <c r="R261" s="288"/>
      <c r="S261" s="200"/>
      <c r="T261" s="198"/>
      <c r="U261" s="198"/>
      <c r="V261" s="198"/>
      <c r="W261" s="205">
        <v>1</v>
      </c>
      <c r="X261" s="198"/>
    </row>
    <row r="262" spans="2:24" ht="16.5">
      <c r="B262" s="495"/>
      <c r="C262" s="498"/>
      <c r="D262" s="209">
        <v>156</v>
      </c>
      <c r="E262" s="198"/>
      <c r="F262" s="288"/>
      <c r="G262" s="288"/>
      <c r="H262" s="288"/>
      <c r="I262" s="210" t="e">
        <f t="shared" si="21"/>
        <v>#DIV/0!</v>
      </c>
      <c r="J262" s="250"/>
      <c r="K262" s="210" t="e">
        <f t="shared" si="22"/>
        <v>#DIV/0!</v>
      </c>
      <c r="L262" s="250"/>
      <c r="M262" s="211" t="e">
        <f t="shared" si="23"/>
        <v>#DIV/0!</v>
      </c>
      <c r="N262" s="288"/>
      <c r="O262" s="288"/>
      <c r="P262" s="200"/>
      <c r="Q262" s="288"/>
      <c r="R262" s="288"/>
      <c r="S262" s="200"/>
      <c r="T262" s="198"/>
      <c r="U262" s="198"/>
      <c r="V262" s="247"/>
      <c r="W262" s="205">
        <v>1</v>
      </c>
      <c r="X262" s="198"/>
    </row>
    <row r="263" spans="2:24">
      <c r="B263" s="495"/>
      <c r="C263" s="498"/>
      <c r="D263" s="209">
        <v>157</v>
      </c>
      <c r="E263" s="198"/>
      <c r="F263" s="288"/>
      <c r="G263" s="288"/>
      <c r="H263" s="288"/>
      <c r="I263" s="210" t="e">
        <f t="shared" si="21"/>
        <v>#DIV/0!</v>
      </c>
      <c r="J263" s="250"/>
      <c r="K263" s="210" t="e">
        <f t="shared" si="22"/>
        <v>#DIV/0!</v>
      </c>
      <c r="L263" s="250"/>
      <c r="M263" s="211" t="e">
        <f t="shared" si="23"/>
        <v>#DIV/0!</v>
      </c>
      <c r="N263" s="288"/>
      <c r="O263" s="288"/>
      <c r="P263" s="200"/>
      <c r="Q263" s="288"/>
      <c r="R263" s="288"/>
      <c r="S263" s="200"/>
      <c r="T263" s="198"/>
      <c r="U263" s="198"/>
      <c r="V263" s="198"/>
      <c r="W263" s="205">
        <v>1</v>
      </c>
      <c r="X263" s="198"/>
    </row>
    <row r="264" spans="2:24" ht="16.5">
      <c r="B264" s="495"/>
      <c r="C264" s="498"/>
      <c r="D264" s="209">
        <v>158</v>
      </c>
      <c r="E264" s="198"/>
      <c r="F264" s="288"/>
      <c r="G264" s="288"/>
      <c r="H264" s="288"/>
      <c r="I264" s="210" t="e">
        <f t="shared" ref="I264:I316" si="24">H264/G264</f>
        <v>#DIV/0!</v>
      </c>
      <c r="J264" s="250"/>
      <c r="K264" s="210" t="e">
        <f t="shared" ref="K264:K316" si="25">J264/G264</f>
        <v>#DIV/0!</v>
      </c>
      <c r="L264" s="250"/>
      <c r="M264" s="211" t="e">
        <f t="shared" ref="M264:M316" si="26">(H264+J264)/G264</f>
        <v>#DIV/0!</v>
      </c>
      <c r="N264" s="288"/>
      <c r="O264" s="288"/>
      <c r="P264" s="200"/>
      <c r="Q264" s="288"/>
      <c r="R264" s="288"/>
      <c r="S264" s="200"/>
      <c r="T264" s="198"/>
      <c r="U264" s="198"/>
      <c r="V264" s="247"/>
      <c r="W264" s="205">
        <v>1</v>
      </c>
      <c r="X264" s="198"/>
    </row>
    <row r="265" spans="2:24">
      <c r="B265" s="495"/>
      <c r="C265" s="498"/>
      <c r="D265" s="209">
        <v>159</v>
      </c>
      <c r="E265" s="198"/>
      <c r="F265" s="288"/>
      <c r="G265" s="288"/>
      <c r="H265" s="288"/>
      <c r="I265" s="210" t="e">
        <f t="shared" si="24"/>
        <v>#DIV/0!</v>
      </c>
      <c r="J265" s="250"/>
      <c r="K265" s="210" t="e">
        <f t="shared" si="25"/>
        <v>#DIV/0!</v>
      </c>
      <c r="L265" s="250"/>
      <c r="M265" s="211" t="e">
        <f t="shared" si="26"/>
        <v>#DIV/0!</v>
      </c>
      <c r="N265" s="288"/>
      <c r="O265" s="288"/>
      <c r="P265" s="200"/>
      <c r="Q265" s="288"/>
      <c r="R265" s="288"/>
      <c r="S265" s="200"/>
      <c r="T265" s="198"/>
      <c r="U265" s="198"/>
      <c r="V265" s="198"/>
      <c r="W265" s="205">
        <v>1</v>
      </c>
      <c r="X265" s="198"/>
    </row>
    <row r="266" spans="2:24" ht="16.5">
      <c r="B266" s="496"/>
      <c r="C266" s="498"/>
      <c r="D266" s="209">
        <v>160</v>
      </c>
      <c r="E266" s="198"/>
      <c r="F266" s="288"/>
      <c r="G266" s="288"/>
      <c r="H266" s="288"/>
      <c r="I266" s="210" t="e">
        <f t="shared" si="24"/>
        <v>#DIV/0!</v>
      </c>
      <c r="J266" s="250"/>
      <c r="K266" s="210" t="e">
        <f t="shared" si="25"/>
        <v>#DIV/0!</v>
      </c>
      <c r="L266" s="250"/>
      <c r="M266" s="211" t="e">
        <f t="shared" si="26"/>
        <v>#DIV/0!</v>
      </c>
      <c r="N266" s="288"/>
      <c r="O266" s="288"/>
      <c r="P266" s="200"/>
      <c r="Q266" s="288"/>
      <c r="R266" s="288"/>
      <c r="S266" s="200"/>
      <c r="T266" s="198"/>
      <c r="U266" s="198"/>
      <c r="V266" s="247"/>
      <c r="W266" s="205">
        <v>1</v>
      </c>
      <c r="X266" s="198"/>
    </row>
    <row r="267" spans="2:24">
      <c r="B267" s="494">
        <v>45957</v>
      </c>
      <c r="C267" s="497" t="s">
        <v>119</v>
      </c>
      <c r="D267" s="209">
        <v>161</v>
      </c>
      <c r="E267" s="198"/>
      <c r="F267" s="288"/>
      <c r="G267" s="288"/>
      <c r="H267" s="288"/>
      <c r="I267" s="210" t="e">
        <f t="shared" si="24"/>
        <v>#DIV/0!</v>
      </c>
      <c r="J267" s="250"/>
      <c r="K267" s="210" t="e">
        <f t="shared" si="25"/>
        <v>#DIV/0!</v>
      </c>
      <c r="L267" s="250"/>
      <c r="M267" s="211" t="e">
        <f t="shared" si="26"/>
        <v>#DIV/0!</v>
      </c>
      <c r="N267" s="288"/>
      <c r="O267" s="288"/>
      <c r="P267" s="200"/>
      <c r="Q267" s="288"/>
      <c r="R267" s="288"/>
      <c r="S267" s="200"/>
      <c r="T267" s="198"/>
      <c r="U267" s="198"/>
      <c r="V267" s="198"/>
      <c r="W267" s="205">
        <v>1</v>
      </c>
      <c r="X267" s="198"/>
    </row>
    <row r="268" spans="2:24">
      <c r="B268" s="495"/>
      <c r="C268" s="498"/>
      <c r="D268" s="209">
        <v>162</v>
      </c>
      <c r="E268" s="198"/>
      <c r="F268" s="288"/>
      <c r="G268" s="288"/>
      <c r="H268" s="288"/>
      <c r="I268" s="210" t="e">
        <f t="shared" si="24"/>
        <v>#DIV/0!</v>
      </c>
      <c r="J268" s="250"/>
      <c r="K268" s="210" t="e">
        <f t="shared" si="25"/>
        <v>#DIV/0!</v>
      </c>
      <c r="L268" s="250"/>
      <c r="M268" s="211" t="e">
        <f t="shared" si="26"/>
        <v>#DIV/0!</v>
      </c>
      <c r="N268" s="288"/>
      <c r="O268" s="288"/>
      <c r="P268" s="200"/>
      <c r="Q268" s="288"/>
      <c r="R268" s="288"/>
      <c r="S268" s="200"/>
      <c r="T268" s="198"/>
      <c r="U268" s="198"/>
      <c r="V268" s="198"/>
      <c r="W268" s="205">
        <v>1</v>
      </c>
      <c r="X268" s="198"/>
    </row>
    <row r="269" spans="2:24">
      <c r="B269" s="495"/>
      <c r="C269" s="498"/>
      <c r="D269" s="209">
        <v>163</v>
      </c>
      <c r="E269" s="198"/>
      <c r="F269" s="288"/>
      <c r="G269" s="288"/>
      <c r="H269" s="288"/>
      <c r="I269" s="210" t="e">
        <f t="shared" si="24"/>
        <v>#DIV/0!</v>
      </c>
      <c r="J269" s="250"/>
      <c r="K269" s="210" t="e">
        <f t="shared" si="25"/>
        <v>#DIV/0!</v>
      </c>
      <c r="L269" s="250"/>
      <c r="M269" s="211" t="e">
        <f t="shared" si="26"/>
        <v>#DIV/0!</v>
      </c>
      <c r="N269" s="288"/>
      <c r="O269" s="288"/>
      <c r="P269" s="200"/>
      <c r="Q269" s="288"/>
      <c r="R269" s="288"/>
      <c r="S269" s="200"/>
      <c r="T269" s="198"/>
      <c r="U269" s="198"/>
      <c r="V269" s="198"/>
      <c r="W269" s="205">
        <v>1</v>
      </c>
      <c r="X269" s="198"/>
    </row>
    <row r="270" spans="2:24">
      <c r="B270" s="495"/>
      <c r="C270" s="498"/>
      <c r="D270" s="209">
        <v>164</v>
      </c>
      <c r="E270" s="198"/>
      <c r="F270" s="288"/>
      <c r="G270" s="288"/>
      <c r="H270" s="288"/>
      <c r="I270" s="210" t="e">
        <f t="shared" si="24"/>
        <v>#DIV/0!</v>
      </c>
      <c r="J270" s="250"/>
      <c r="K270" s="210" t="e">
        <f t="shared" si="25"/>
        <v>#DIV/0!</v>
      </c>
      <c r="L270" s="250"/>
      <c r="M270" s="211" t="e">
        <f t="shared" si="26"/>
        <v>#DIV/0!</v>
      </c>
      <c r="N270" s="288"/>
      <c r="O270" s="288"/>
      <c r="P270" s="200"/>
      <c r="Q270" s="288"/>
      <c r="R270" s="288"/>
      <c r="S270" s="200"/>
      <c r="T270" s="198"/>
      <c r="U270" s="198"/>
      <c r="V270" s="198"/>
      <c r="W270" s="205">
        <v>1</v>
      </c>
      <c r="X270" s="198"/>
    </row>
    <row r="271" spans="2:24">
      <c r="B271" s="495"/>
      <c r="C271" s="498"/>
      <c r="D271" s="209">
        <v>165</v>
      </c>
      <c r="E271" s="198"/>
      <c r="F271" s="288"/>
      <c r="G271" s="288"/>
      <c r="H271" s="288"/>
      <c r="I271" s="210" t="e">
        <f t="shared" si="24"/>
        <v>#DIV/0!</v>
      </c>
      <c r="J271" s="250"/>
      <c r="K271" s="210" t="e">
        <f t="shared" si="25"/>
        <v>#DIV/0!</v>
      </c>
      <c r="L271" s="250"/>
      <c r="M271" s="211" t="e">
        <f t="shared" si="26"/>
        <v>#DIV/0!</v>
      </c>
      <c r="N271" s="288"/>
      <c r="O271" s="288"/>
      <c r="P271" s="200"/>
      <c r="Q271" s="288"/>
      <c r="R271" s="288"/>
      <c r="S271" s="200"/>
      <c r="T271" s="198"/>
      <c r="U271" s="198"/>
      <c r="V271" s="198"/>
      <c r="W271" s="205">
        <v>1</v>
      </c>
      <c r="X271" s="198"/>
    </row>
    <row r="272" spans="2:24">
      <c r="B272" s="495"/>
      <c r="C272" s="498"/>
      <c r="D272" s="209">
        <v>166</v>
      </c>
      <c r="E272" s="198"/>
      <c r="F272" s="288"/>
      <c r="G272" s="288"/>
      <c r="H272" s="288"/>
      <c r="I272" s="210" t="e">
        <f t="shared" si="24"/>
        <v>#DIV/0!</v>
      </c>
      <c r="J272" s="250"/>
      <c r="K272" s="210" t="e">
        <f t="shared" si="25"/>
        <v>#DIV/0!</v>
      </c>
      <c r="L272" s="250"/>
      <c r="M272" s="211" t="e">
        <f t="shared" si="26"/>
        <v>#DIV/0!</v>
      </c>
      <c r="N272" s="288"/>
      <c r="O272" s="288"/>
      <c r="P272" s="200"/>
      <c r="Q272" s="288"/>
      <c r="R272" s="288"/>
      <c r="S272" s="200"/>
      <c r="T272" s="198"/>
      <c r="U272" s="198"/>
      <c r="V272" s="198"/>
      <c r="W272" s="205">
        <v>1</v>
      </c>
      <c r="X272" s="198"/>
    </row>
    <row r="273" spans="2:24">
      <c r="B273" s="495"/>
      <c r="C273" s="498"/>
      <c r="D273" s="209">
        <v>167</v>
      </c>
      <c r="E273" s="198"/>
      <c r="F273" s="288"/>
      <c r="G273" s="288"/>
      <c r="H273" s="288"/>
      <c r="I273" s="210" t="e">
        <f t="shared" si="24"/>
        <v>#DIV/0!</v>
      </c>
      <c r="J273" s="250"/>
      <c r="K273" s="210" t="e">
        <f t="shared" si="25"/>
        <v>#DIV/0!</v>
      </c>
      <c r="L273" s="250"/>
      <c r="M273" s="211" t="e">
        <f t="shared" si="26"/>
        <v>#DIV/0!</v>
      </c>
      <c r="N273" s="288"/>
      <c r="O273" s="288"/>
      <c r="P273" s="200"/>
      <c r="Q273" s="288"/>
      <c r="R273" s="288"/>
      <c r="S273" s="200"/>
      <c r="T273" s="198"/>
      <c r="U273" s="198"/>
      <c r="V273" s="198"/>
      <c r="W273" s="205">
        <v>1</v>
      </c>
      <c r="X273" s="198"/>
    </row>
    <row r="274" spans="2:24">
      <c r="B274" s="495"/>
      <c r="C274" s="498"/>
      <c r="D274" s="209">
        <v>168</v>
      </c>
      <c r="E274" s="198"/>
      <c r="F274" s="288"/>
      <c r="G274" s="288"/>
      <c r="H274" s="288"/>
      <c r="I274" s="210" t="e">
        <f t="shared" si="24"/>
        <v>#DIV/0!</v>
      </c>
      <c r="J274" s="250"/>
      <c r="K274" s="210" t="e">
        <f t="shared" si="25"/>
        <v>#DIV/0!</v>
      </c>
      <c r="L274" s="250"/>
      <c r="M274" s="211" t="e">
        <f t="shared" si="26"/>
        <v>#DIV/0!</v>
      </c>
      <c r="N274" s="288"/>
      <c r="O274" s="288"/>
      <c r="P274" s="200"/>
      <c r="Q274" s="288"/>
      <c r="R274" s="288"/>
      <c r="S274" s="200"/>
      <c r="T274" s="198"/>
      <c r="U274" s="198"/>
      <c r="V274" s="198"/>
      <c r="W274" s="205">
        <v>1</v>
      </c>
      <c r="X274" s="198"/>
    </row>
    <row r="275" spans="2:24">
      <c r="B275" s="495"/>
      <c r="C275" s="498"/>
      <c r="D275" s="209">
        <v>169</v>
      </c>
      <c r="E275" s="198"/>
      <c r="F275" s="288"/>
      <c r="G275" s="288"/>
      <c r="H275" s="288"/>
      <c r="I275" s="210" t="e">
        <f t="shared" si="24"/>
        <v>#DIV/0!</v>
      </c>
      <c r="J275" s="250"/>
      <c r="K275" s="210" t="e">
        <f t="shared" si="25"/>
        <v>#DIV/0!</v>
      </c>
      <c r="L275" s="250"/>
      <c r="M275" s="211" t="e">
        <f t="shared" si="26"/>
        <v>#DIV/0!</v>
      </c>
      <c r="N275" s="288"/>
      <c r="O275" s="288"/>
      <c r="P275" s="200"/>
      <c r="Q275" s="288"/>
      <c r="R275" s="288"/>
      <c r="S275" s="200"/>
      <c r="T275" s="198"/>
      <c r="U275" s="198"/>
      <c r="V275" s="198"/>
      <c r="W275" s="205">
        <v>1</v>
      </c>
      <c r="X275" s="198"/>
    </row>
    <row r="276" spans="2:24">
      <c r="B276" s="496"/>
      <c r="C276" s="498"/>
      <c r="D276" s="209">
        <v>170</v>
      </c>
      <c r="E276" s="198"/>
      <c r="F276" s="288"/>
      <c r="G276" s="288"/>
      <c r="H276" s="288"/>
      <c r="I276" s="210" t="e">
        <f t="shared" si="24"/>
        <v>#DIV/0!</v>
      </c>
      <c r="J276" s="250"/>
      <c r="K276" s="210" t="e">
        <f t="shared" si="25"/>
        <v>#DIV/0!</v>
      </c>
      <c r="L276" s="250"/>
      <c r="M276" s="211" t="e">
        <f t="shared" si="26"/>
        <v>#DIV/0!</v>
      </c>
      <c r="N276" s="288"/>
      <c r="O276" s="288"/>
      <c r="P276" s="200"/>
      <c r="Q276" s="288"/>
      <c r="R276" s="288"/>
      <c r="S276" s="200"/>
      <c r="T276" s="198"/>
      <c r="U276" s="198"/>
      <c r="V276" s="198"/>
      <c r="W276" s="205">
        <v>1</v>
      </c>
      <c r="X276" s="198"/>
    </row>
    <row r="277" spans="2:24">
      <c r="B277" s="494">
        <v>45958</v>
      </c>
      <c r="C277" s="497" t="s">
        <v>120</v>
      </c>
      <c r="D277" s="209">
        <v>171</v>
      </c>
      <c r="E277" s="198"/>
      <c r="F277" s="288"/>
      <c r="G277" s="288"/>
      <c r="H277" s="288"/>
      <c r="I277" s="210" t="e">
        <f t="shared" si="24"/>
        <v>#DIV/0!</v>
      </c>
      <c r="J277" s="250"/>
      <c r="K277" s="210" t="e">
        <f t="shared" si="25"/>
        <v>#DIV/0!</v>
      </c>
      <c r="L277" s="250"/>
      <c r="M277" s="211" t="e">
        <f t="shared" si="26"/>
        <v>#DIV/0!</v>
      </c>
      <c r="N277" s="288"/>
      <c r="O277" s="288"/>
      <c r="P277" s="200"/>
      <c r="Q277" s="288"/>
      <c r="R277" s="288"/>
      <c r="S277" s="200"/>
      <c r="T277" s="198"/>
      <c r="U277" s="198"/>
      <c r="V277" s="198"/>
      <c r="W277" s="205">
        <v>1</v>
      </c>
      <c r="X277" s="198"/>
    </row>
    <row r="278" spans="2:24" ht="16.5">
      <c r="B278" s="495"/>
      <c r="C278" s="498"/>
      <c r="D278" s="209">
        <v>172</v>
      </c>
      <c r="E278" s="198"/>
      <c r="F278" s="288"/>
      <c r="G278" s="288"/>
      <c r="H278" s="288"/>
      <c r="I278" s="210" t="e">
        <f t="shared" si="24"/>
        <v>#DIV/0!</v>
      </c>
      <c r="J278" s="250"/>
      <c r="K278" s="210" t="e">
        <f t="shared" si="25"/>
        <v>#DIV/0!</v>
      </c>
      <c r="L278" s="250"/>
      <c r="M278" s="211" t="e">
        <f t="shared" si="26"/>
        <v>#DIV/0!</v>
      </c>
      <c r="N278" s="288"/>
      <c r="O278" s="288"/>
      <c r="P278" s="200"/>
      <c r="Q278" s="288"/>
      <c r="R278" s="288"/>
      <c r="S278" s="200"/>
      <c r="T278" s="198"/>
      <c r="U278" s="198"/>
      <c r="V278" s="247"/>
      <c r="W278" s="205">
        <v>1</v>
      </c>
      <c r="X278" s="198"/>
    </row>
    <row r="279" spans="2:24">
      <c r="B279" s="495"/>
      <c r="C279" s="498"/>
      <c r="D279" s="209">
        <v>173</v>
      </c>
      <c r="E279" s="198"/>
      <c r="F279" s="288"/>
      <c r="G279" s="288"/>
      <c r="H279" s="288"/>
      <c r="I279" s="210" t="e">
        <f t="shared" si="24"/>
        <v>#DIV/0!</v>
      </c>
      <c r="J279" s="250"/>
      <c r="K279" s="210" t="e">
        <f t="shared" si="25"/>
        <v>#DIV/0!</v>
      </c>
      <c r="L279" s="250"/>
      <c r="M279" s="211" t="e">
        <f t="shared" si="26"/>
        <v>#DIV/0!</v>
      </c>
      <c r="N279" s="288"/>
      <c r="O279" s="288"/>
      <c r="P279" s="200"/>
      <c r="Q279" s="288"/>
      <c r="R279" s="288"/>
      <c r="S279" s="200"/>
      <c r="T279" s="198"/>
      <c r="U279" s="198"/>
      <c r="V279" s="198"/>
      <c r="W279" s="205">
        <v>1</v>
      </c>
      <c r="X279" s="198"/>
    </row>
    <row r="280" spans="2:24" ht="16.5">
      <c r="B280" s="495"/>
      <c r="C280" s="498"/>
      <c r="D280" s="209">
        <v>174</v>
      </c>
      <c r="E280" s="198"/>
      <c r="F280" s="288"/>
      <c r="G280" s="288"/>
      <c r="H280" s="288"/>
      <c r="I280" s="210" t="e">
        <f t="shared" si="24"/>
        <v>#DIV/0!</v>
      </c>
      <c r="J280" s="250"/>
      <c r="K280" s="210" t="e">
        <f t="shared" si="25"/>
        <v>#DIV/0!</v>
      </c>
      <c r="L280" s="250"/>
      <c r="M280" s="211" t="e">
        <f t="shared" si="26"/>
        <v>#DIV/0!</v>
      </c>
      <c r="N280" s="288"/>
      <c r="O280" s="288"/>
      <c r="P280" s="200"/>
      <c r="Q280" s="288"/>
      <c r="R280" s="288"/>
      <c r="S280" s="200"/>
      <c r="T280" s="198"/>
      <c r="U280" s="198"/>
      <c r="V280" s="247"/>
      <c r="W280" s="205">
        <v>1</v>
      </c>
      <c r="X280" s="198"/>
    </row>
    <row r="281" spans="2:24" ht="16.5">
      <c r="B281" s="495"/>
      <c r="C281" s="498"/>
      <c r="D281" s="209">
        <v>175</v>
      </c>
      <c r="E281" s="198"/>
      <c r="F281" s="288"/>
      <c r="G281" s="288"/>
      <c r="H281" s="288"/>
      <c r="I281" s="210" t="e">
        <f t="shared" si="24"/>
        <v>#DIV/0!</v>
      </c>
      <c r="J281" s="250"/>
      <c r="K281" s="210" t="e">
        <f t="shared" si="25"/>
        <v>#DIV/0!</v>
      </c>
      <c r="L281" s="250"/>
      <c r="M281" s="211" t="e">
        <f t="shared" si="26"/>
        <v>#DIV/0!</v>
      </c>
      <c r="N281" s="288"/>
      <c r="O281" s="288"/>
      <c r="P281" s="200"/>
      <c r="Q281" s="288"/>
      <c r="R281" s="288"/>
      <c r="S281" s="200"/>
      <c r="T281" s="198"/>
      <c r="U281" s="198"/>
      <c r="V281" s="247"/>
      <c r="W281" s="205">
        <v>1</v>
      </c>
      <c r="X281" s="198"/>
    </row>
    <row r="282" spans="2:24">
      <c r="B282" s="495"/>
      <c r="C282" s="498"/>
      <c r="D282" s="209">
        <v>176</v>
      </c>
      <c r="E282" s="198"/>
      <c r="F282" s="288"/>
      <c r="G282" s="288"/>
      <c r="H282" s="288"/>
      <c r="I282" s="210" t="e">
        <f t="shared" si="24"/>
        <v>#DIV/0!</v>
      </c>
      <c r="J282" s="250"/>
      <c r="K282" s="210" t="e">
        <f t="shared" si="25"/>
        <v>#DIV/0!</v>
      </c>
      <c r="L282" s="250"/>
      <c r="M282" s="211" t="e">
        <f t="shared" si="26"/>
        <v>#DIV/0!</v>
      </c>
      <c r="N282" s="288"/>
      <c r="O282" s="288"/>
      <c r="P282" s="200"/>
      <c r="Q282" s="288"/>
      <c r="R282" s="288"/>
      <c r="S282" s="200"/>
      <c r="T282" s="198"/>
      <c r="U282" s="198"/>
      <c r="V282" s="198"/>
      <c r="W282" s="205">
        <v>1</v>
      </c>
      <c r="X282" s="198"/>
    </row>
    <row r="283" spans="2:24" ht="16.5">
      <c r="B283" s="495"/>
      <c r="C283" s="498"/>
      <c r="D283" s="209">
        <v>177</v>
      </c>
      <c r="E283" s="198"/>
      <c r="F283" s="288"/>
      <c r="G283" s="288"/>
      <c r="H283" s="288"/>
      <c r="I283" s="210" t="e">
        <f t="shared" si="24"/>
        <v>#DIV/0!</v>
      </c>
      <c r="J283" s="250"/>
      <c r="K283" s="210" t="e">
        <f t="shared" si="25"/>
        <v>#DIV/0!</v>
      </c>
      <c r="L283" s="250"/>
      <c r="M283" s="211" t="e">
        <f t="shared" si="26"/>
        <v>#DIV/0!</v>
      </c>
      <c r="N283" s="288"/>
      <c r="O283" s="288"/>
      <c r="P283" s="200"/>
      <c r="Q283" s="288"/>
      <c r="R283" s="288"/>
      <c r="S283" s="200"/>
      <c r="T283" s="198"/>
      <c r="U283" s="198"/>
      <c r="V283" s="247"/>
      <c r="W283" s="205">
        <v>1</v>
      </c>
      <c r="X283" s="198"/>
    </row>
    <row r="284" spans="2:24">
      <c r="B284" s="495"/>
      <c r="C284" s="498"/>
      <c r="D284" s="209">
        <v>178</v>
      </c>
      <c r="E284" s="198"/>
      <c r="F284" s="288"/>
      <c r="G284" s="288"/>
      <c r="H284" s="288"/>
      <c r="I284" s="210" t="e">
        <f t="shared" si="24"/>
        <v>#DIV/0!</v>
      </c>
      <c r="J284" s="250"/>
      <c r="K284" s="210" t="e">
        <f t="shared" si="25"/>
        <v>#DIV/0!</v>
      </c>
      <c r="L284" s="250"/>
      <c r="M284" s="211" t="e">
        <f t="shared" si="26"/>
        <v>#DIV/0!</v>
      </c>
      <c r="N284" s="288"/>
      <c r="O284" s="288"/>
      <c r="P284" s="200"/>
      <c r="Q284" s="288"/>
      <c r="R284" s="288"/>
      <c r="S284" s="200"/>
      <c r="T284" s="198"/>
      <c r="U284" s="198"/>
      <c r="V284" s="198"/>
      <c r="W284" s="205">
        <v>1</v>
      </c>
      <c r="X284" s="198"/>
    </row>
    <row r="285" spans="2:24" ht="16.5">
      <c r="B285" s="495"/>
      <c r="C285" s="498"/>
      <c r="D285" s="209">
        <v>179</v>
      </c>
      <c r="E285" s="198"/>
      <c r="F285" s="288"/>
      <c r="G285" s="288"/>
      <c r="H285" s="288"/>
      <c r="I285" s="210" t="e">
        <f t="shared" si="24"/>
        <v>#DIV/0!</v>
      </c>
      <c r="J285" s="250"/>
      <c r="K285" s="210" t="e">
        <f t="shared" si="25"/>
        <v>#DIV/0!</v>
      </c>
      <c r="L285" s="250"/>
      <c r="M285" s="211" t="e">
        <f t="shared" si="26"/>
        <v>#DIV/0!</v>
      </c>
      <c r="N285" s="288"/>
      <c r="O285" s="288"/>
      <c r="P285" s="200"/>
      <c r="Q285" s="288"/>
      <c r="R285" s="288"/>
      <c r="S285" s="200"/>
      <c r="T285" s="198"/>
      <c r="U285" s="198"/>
      <c r="V285" s="247"/>
      <c r="W285" s="205">
        <v>1</v>
      </c>
      <c r="X285" s="198"/>
    </row>
    <row r="286" spans="2:24" ht="16.5">
      <c r="B286" s="496"/>
      <c r="C286" s="498"/>
      <c r="D286" s="209">
        <v>180</v>
      </c>
      <c r="E286" s="198"/>
      <c r="F286" s="288"/>
      <c r="G286" s="288"/>
      <c r="H286" s="288"/>
      <c r="I286" s="210" t="e">
        <f t="shared" si="24"/>
        <v>#DIV/0!</v>
      </c>
      <c r="J286" s="250"/>
      <c r="K286" s="210" t="e">
        <f t="shared" si="25"/>
        <v>#DIV/0!</v>
      </c>
      <c r="L286" s="250"/>
      <c r="M286" s="211" t="e">
        <f t="shared" si="26"/>
        <v>#DIV/0!</v>
      </c>
      <c r="N286" s="288"/>
      <c r="O286" s="288"/>
      <c r="P286" s="200"/>
      <c r="Q286" s="288"/>
      <c r="R286" s="288"/>
      <c r="S286" s="200"/>
      <c r="T286" s="198"/>
      <c r="U286" s="198"/>
      <c r="V286" s="247"/>
      <c r="W286" s="205">
        <v>1</v>
      </c>
      <c r="X286" s="198"/>
    </row>
    <row r="287" spans="2:24">
      <c r="B287" s="494">
        <v>45959</v>
      </c>
      <c r="C287" s="497" t="s">
        <v>114</v>
      </c>
      <c r="D287" s="209">
        <v>181</v>
      </c>
      <c r="E287" s="198"/>
      <c r="F287" s="288"/>
      <c r="G287" s="288"/>
      <c r="H287" s="288"/>
      <c r="I287" s="210" t="e">
        <f t="shared" si="24"/>
        <v>#DIV/0!</v>
      </c>
      <c r="J287" s="250"/>
      <c r="K287" s="210" t="e">
        <f t="shared" si="25"/>
        <v>#DIV/0!</v>
      </c>
      <c r="L287" s="250"/>
      <c r="M287" s="211" t="e">
        <f t="shared" si="26"/>
        <v>#DIV/0!</v>
      </c>
      <c r="N287" s="288"/>
      <c r="O287" s="288"/>
      <c r="P287" s="200"/>
      <c r="Q287" s="288"/>
      <c r="R287" s="288"/>
      <c r="S287" s="200"/>
      <c r="T287" s="198"/>
      <c r="U287" s="198"/>
      <c r="V287" s="198"/>
      <c r="W287" s="205">
        <v>1</v>
      </c>
      <c r="X287" s="198"/>
    </row>
    <row r="288" spans="2:24">
      <c r="B288" s="495"/>
      <c r="C288" s="498"/>
      <c r="D288" s="209">
        <v>182</v>
      </c>
      <c r="E288" s="198"/>
      <c r="F288" s="288"/>
      <c r="G288" s="288"/>
      <c r="H288" s="288"/>
      <c r="I288" s="210" t="e">
        <f t="shared" si="24"/>
        <v>#DIV/0!</v>
      </c>
      <c r="J288" s="250"/>
      <c r="K288" s="210" t="e">
        <f t="shared" si="25"/>
        <v>#DIV/0!</v>
      </c>
      <c r="L288" s="250"/>
      <c r="M288" s="211" t="e">
        <f t="shared" si="26"/>
        <v>#DIV/0!</v>
      </c>
      <c r="N288" s="288"/>
      <c r="O288" s="288"/>
      <c r="P288" s="200"/>
      <c r="Q288" s="288"/>
      <c r="R288" s="288"/>
      <c r="S288" s="200"/>
      <c r="T288" s="198"/>
      <c r="U288" s="198"/>
      <c r="V288" s="198"/>
      <c r="W288" s="205">
        <v>1</v>
      </c>
      <c r="X288" s="198"/>
    </row>
    <row r="289" spans="2:24" ht="16.5">
      <c r="B289" s="495"/>
      <c r="C289" s="498"/>
      <c r="D289" s="209">
        <v>183</v>
      </c>
      <c r="E289" s="198"/>
      <c r="F289" s="288"/>
      <c r="G289" s="288"/>
      <c r="H289" s="288"/>
      <c r="I289" s="210" t="e">
        <f t="shared" si="24"/>
        <v>#DIV/0!</v>
      </c>
      <c r="J289" s="250"/>
      <c r="K289" s="210" t="e">
        <f t="shared" si="25"/>
        <v>#DIV/0!</v>
      </c>
      <c r="L289" s="250"/>
      <c r="M289" s="211" t="e">
        <f t="shared" si="26"/>
        <v>#DIV/0!</v>
      </c>
      <c r="N289" s="288"/>
      <c r="O289" s="288"/>
      <c r="P289" s="200"/>
      <c r="Q289" s="288"/>
      <c r="R289" s="288"/>
      <c r="S289" s="200"/>
      <c r="T289" s="198"/>
      <c r="U289" s="198"/>
      <c r="V289" s="247"/>
      <c r="W289" s="205">
        <v>1</v>
      </c>
      <c r="X289" s="198"/>
    </row>
    <row r="290" spans="2:24" ht="16.5">
      <c r="B290" s="495"/>
      <c r="C290" s="498"/>
      <c r="D290" s="209">
        <v>184</v>
      </c>
      <c r="E290" s="198"/>
      <c r="F290" s="288"/>
      <c r="G290" s="288"/>
      <c r="H290" s="288"/>
      <c r="I290" s="210" t="e">
        <f t="shared" si="24"/>
        <v>#DIV/0!</v>
      </c>
      <c r="J290" s="250"/>
      <c r="K290" s="210" t="e">
        <f t="shared" si="25"/>
        <v>#DIV/0!</v>
      </c>
      <c r="L290" s="250"/>
      <c r="M290" s="211" t="e">
        <f t="shared" si="26"/>
        <v>#DIV/0!</v>
      </c>
      <c r="N290" s="288"/>
      <c r="O290" s="288"/>
      <c r="P290" s="200"/>
      <c r="Q290" s="288"/>
      <c r="R290" s="288"/>
      <c r="S290" s="200"/>
      <c r="T290" s="198"/>
      <c r="U290" s="198"/>
      <c r="V290" s="247"/>
      <c r="W290" s="205">
        <v>1</v>
      </c>
      <c r="X290" s="198"/>
    </row>
    <row r="291" spans="2:24">
      <c r="B291" s="495"/>
      <c r="C291" s="498"/>
      <c r="D291" s="209">
        <v>185</v>
      </c>
      <c r="E291" s="198"/>
      <c r="F291" s="288"/>
      <c r="G291" s="288"/>
      <c r="H291" s="288"/>
      <c r="I291" s="210" t="e">
        <f t="shared" si="24"/>
        <v>#DIV/0!</v>
      </c>
      <c r="J291" s="250"/>
      <c r="K291" s="210" t="e">
        <f t="shared" si="25"/>
        <v>#DIV/0!</v>
      </c>
      <c r="L291" s="250"/>
      <c r="M291" s="211" t="e">
        <f t="shared" si="26"/>
        <v>#DIV/0!</v>
      </c>
      <c r="N291" s="288"/>
      <c r="O291" s="288"/>
      <c r="P291" s="200"/>
      <c r="Q291" s="288"/>
      <c r="R291" s="288"/>
      <c r="S291" s="200"/>
      <c r="T291" s="198"/>
      <c r="U291" s="198"/>
      <c r="V291" s="198"/>
      <c r="W291" s="205">
        <v>1</v>
      </c>
      <c r="X291" s="198"/>
    </row>
    <row r="292" spans="2:24">
      <c r="B292" s="495"/>
      <c r="C292" s="498"/>
      <c r="D292" s="209">
        <v>186</v>
      </c>
      <c r="E292" s="198"/>
      <c r="F292" s="288"/>
      <c r="G292" s="288"/>
      <c r="H292" s="288"/>
      <c r="I292" s="210" t="e">
        <f t="shared" si="24"/>
        <v>#DIV/0!</v>
      </c>
      <c r="J292" s="250"/>
      <c r="K292" s="210" t="e">
        <f t="shared" si="25"/>
        <v>#DIV/0!</v>
      </c>
      <c r="L292" s="250"/>
      <c r="M292" s="211" t="e">
        <f t="shared" si="26"/>
        <v>#DIV/0!</v>
      </c>
      <c r="N292" s="288"/>
      <c r="O292" s="288"/>
      <c r="P292" s="200"/>
      <c r="Q292" s="288"/>
      <c r="R292" s="288"/>
      <c r="S292" s="200"/>
      <c r="T292" s="198"/>
      <c r="U292" s="198"/>
      <c r="V292" s="198"/>
      <c r="W292" s="205">
        <v>1</v>
      </c>
      <c r="X292" s="198"/>
    </row>
    <row r="293" spans="2:24">
      <c r="B293" s="495"/>
      <c r="C293" s="498"/>
      <c r="D293" s="209">
        <v>187</v>
      </c>
      <c r="E293" s="198"/>
      <c r="F293" s="288"/>
      <c r="G293" s="288"/>
      <c r="H293" s="288"/>
      <c r="I293" s="210" t="e">
        <f t="shared" si="24"/>
        <v>#DIV/0!</v>
      </c>
      <c r="J293" s="250"/>
      <c r="K293" s="210" t="e">
        <f t="shared" si="25"/>
        <v>#DIV/0!</v>
      </c>
      <c r="L293" s="250"/>
      <c r="M293" s="211" t="e">
        <f t="shared" si="26"/>
        <v>#DIV/0!</v>
      </c>
      <c r="N293" s="288"/>
      <c r="O293" s="288"/>
      <c r="P293" s="200"/>
      <c r="Q293" s="288"/>
      <c r="R293" s="288"/>
      <c r="S293" s="200"/>
      <c r="T293" s="198"/>
      <c r="U293" s="198"/>
      <c r="V293" s="198"/>
      <c r="W293" s="205">
        <v>1</v>
      </c>
      <c r="X293" s="198"/>
    </row>
    <row r="294" spans="2:24">
      <c r="B294" s="495"/>
      <c r="C294" s="498"/>
      <c r="D294" s="209">
        <v>188</v>
      </c>
      <c r="E294" s="198"/>
      <c r="F294" s="288"/>
      <c r="G294" s="288"/>
      <c r="H294" s="288"/>
      <c r="I294" s="210" t="e">
        <f t="shared" si="24"/>
        <v>#DIV/0!</v>
      </c>
      <c r="J294" s="250"/>
      <c r="K294" s="210" t="e">
        <f t="shared" si="25"/>
        <v>#DIV/0!</v>
      </c>
      <c r="L294" s="250"/>
      <c r="M294" s="211" t="e">
        <f t="shared" si="26"/>
        <v>#DIV/0!</v>
      </c>
      <c r="N294" s="288"/>
      <c r="O294" s="288"/>
      <c r="P294" s="200"/>
      <c r="Q294" s="288"/>
      <c r="R294" s="288"/>
      <c r="S294" s="200"/>
      <c r="T294" s="198"/>
      <c r="U294" s="198"/>
      <c r="V294" s="198"/>
      <c r="W294" s="205">
        <v>1</v>
      </c>
      <c r="X294" s="198"/>
    </row>
    <row r="295" spans="2:24">
      <c r="B295" s="495"/>
      <c r="C295" s="498"/>
      <c r="D295" s="209">
        <v>189</v>
      </c>
      <c r="E295" s="198"/>
      <c r="F295" s="288"/>
      <c r="G295" s="288"/>
      <c r="H295" s="288"/>
      <c r="I295" s="210" t="e">
        <f t="shared" si="24"/>
        <v>#DIV/0!</v>
      </c>
      <c r="J295" s="250"/>
      <c r="K295" s="210" t="e">
        <f t="shared" si="25"/>
        <v>#DIV/0!</v>
      </c>
      <c r="L295" s="250"/>
      <c r="M295" s="211" t="e">
        <f t="shared" si="26"/>
        <v>#DIV/0!</v>
      </c>
      <c r="N295" s="288"/>
      <c r="O295" s="288"/>
      <c r="P295" s="200"/>
      <c r="Q295" s="288"/>
      <c r="R295" s="288"/>
      <c r="S295" s="200"/>
      <c r="T295" s="198"/>
      <c r="U295" s="198"/>
      <c r="V295" s="198"/>
      <c r="W295" s="205">
        <v>1</v>
      </c>
      <c r="X295" s="198"/>
    </row>
    <row r="296" spans="2:24">
      <c r="B296" s="496"/>
      <c r="C296" s="498"/>
      <c r="D296" s="209">
        <v>190</v>
      </c>
      <c r="E296" s="198"/>
      <c r="F296" s="288"/>
      <c r="G296" s="288"/>
      <c r="H296" s="288"/>
      <c r="I296" s="210" t="e">
        <f t="shared" si="24"/>
        <v>#DIV/0!</v>
      </c>
      <c r="J296" s="250"/>
      <c r="K296" s="210" t="e">
        <f t="shared" si="25"/>
        <v>#DIV/0!</v>
      </c>
      <c r="L296" s="250"/>
      <c r="M296" s="211" t="e">
        <f t="shared" si="26"/>
        <v>#DIV/0!</v>
      </c>
      <c r="N296" s="288"/>
      <c r="O296" s="288"/>
      <c r="P296" s="200"/>
      <c r="Q296" s="288"/>
      <c r="R296" s="288"/>
      <c r="S296" s="200"/>
      <c r="T296" s="198"/>
      <c r="U296" s="198"/>
      <c r="V296" s="198"/>
      <c r="W296" s="205">
        <v>1</v>
      </c>
      <c r="X296" s="198"/>
    </row>
    <row r="297" spans="2:24">
      <c r="B297" s="494">
        <v>45960</v>
      </c>
      <c r="C297" s="497" t="s">
        <v>115</v>
      </c>
      <c r="D297" s="209">
        <v>191</v>
      </c>
      <c r="E297" s="198"/>
      <c r="F297" s="288"/>
      <c r="G297" s="288"/>
      <c r="H297" s="288"/>
      <c r="I297" s="210" t="e">
        <f t="shared" si="24"/>
        <v>#DIV/0!</v>
      </c>
      <c r="J297" s="250"/>
      <c r="K297" s="210" t="e">
        <f t="shared" si="25"/>
        <v>#DIV/0!</v>
      </c>
      <c r="L297" s="250"/>
      <c r="M297" s="211" t="e">
        <f t="shared" si="26"/>
        <v>#DIV/0!</v>
      </c>
      <c r="N297" s="288"/>
      <c r="O297" s="288"/>
      <c r="P297" s="200"/>
      <c r="Q297" s="288"/>
      <c r="R297" s="288"/>
      <c r="S297" s="200"/>
      <c r="T297" s="198"/>
      <c r="U297" s="198"/>
      <c r="V297" s="198"/>
      <c r="W297" s="205">
        <v>1</v>
      </c>
      <c r="X297" s="198"/>
    </row>
    <row r="298" spans="2:24" ht="16.5">
      <c r="B298" s="495"/>
      <c r="C298" s="498"/>
      <c r="D298" s="209">
        <v>192</v>
      </c>
      <c r="E298" s="198"/>
      <c r="F298" s="288"/>
      <c r="G298" s="288"/>
      <c r="H298" s="288"/>
      <c r="I298" s="210" t="e">
        <f t="shared" si="24"/>
        <v>#DIV/0!</v>
      </c>
      <c r="J298" s="250"/>
      <c r="K298" s="210" t="e">
        <f t="shared" si="25"/>
        <v>#DIV/0!</v>
      </c>
      <c r="L298" s="250"/>
      <c r="M298" s="211" t="e">
        <f t="shared" si="26"/>
        <v>#DIV/0!</v>
      </c>
      <c r="N298" s="288"/>
      <c r="O298" s="288"/>
      <c r="P298" s="200"/>
      <c r="Q298" s="288"/>
      <c r="R298" s="288"/>
      <c r="S298" s="200"/>
      <c r="T298" s="198"/>
      <c r="U298" s="198"/>
      <c r="V298" s="247"/>
      <c r="W298" s="205">
        <v>1</v>
      </c>
      <c r="X298" s="198"/>
    </row>
    <row r="299" spans="2:24">
      <c r="B299" s="495"/>
      <c r="C299" s="498"/>
      <c r="D299" s="209">
        <v>193</v>
      </c>
      <c r="E299" s="198"/>
      <c r="F299" s="288"/>
      <c r="G299" s="288"/>
      <c r="H299" s="288"/>
      <c r="I299" s="210" t="e">
        <f t="shared" si="24"/>
        <v>#DIV/0!</v>
      </c>
      <c r="J299" s="250"/>
      <c r="K299" s="210" t="e">
        <f t="shared" si="25"/>
        <v>#DIV/0!</v>
      </c>
      <c r="L299" s="250"/>
      <c r="M299" s="211" t="e">
        <f t="shared" si="26"/>
        <v>#DIV/0!</v>
      </c>
      <c r="N299" s="288"/>
      <c r="O299" s="288"/>
      <c r="P299" s="200"/>
      <c r="Q299" s="288"/>
      <c r="R299" s="288"/>
      <c r="S299" s="200"/>
      <c r="T299" s="198"/>
      <c r="U299" s="198"/>
      <c r="V299" s="198"/>
      <c r="W299" s="205">
        <v>1</v>
      </c>
      <c r="X299" s="198"/>
    </row>
    <row r="300" spans="2:24">
      <c r="B300" s="495"/>
      <c r="C300" s="498"/>
      <c r="D300" s="209">
        <v>194</v>
      </c>
      <c r="E300" s="198"/>
      <c r="F300" s="288"/>
      <c r="G300" s="288"/>
      <c r="H300" s="288"/>
      <c r="I300" s="210" t="e">
        <f t="shared" si="24"/>
        <v>#DIV/0!</v>
      </c>
      <c r="J300" s="250"/>
      <c r="K300" s="210" t="e">
        <f t="shared" si="25"/>
        <v>#DIV/0!</v>
      </c>
      <c r="L300" s="250"/>
      <c r="M300" s="211" t="e">
        <f t="shared" si="26"/>
        <v>#DIV/0!</v>
      </c>
      <c r="N300" s="288"/>
      <c r="O300" s="288"/>
      <c r="P300" s="200"/>
      <c r="Q300" s="288"/>
      <c r="R300" s="288"/>
      <c r="S300" s="200"/>
      <c r="T300" s="198"/>
      <c r="U300" s="198"/>
      <c r="V300" s="198"/>
      <c r="W300" s="205">
        <v>1</v>
      </c>
      <c r="X300" s="198"/>
    </row>
    <row r="301" spans="2:24" ht="16.5">
      <c r="B301" s="495"/>
      <c r="C301" s="498"/>
      <c r="D301" s="209">
        <v>195</v>
      </c>
      <c r="E301" s="198"/>
      <c r="F301" s="288"/>
      <c r="G301" s="288"/>
      <c r="H301" s="288"/>
      <c r="I301" s="210" t="e">
        <f t="shared" si="24"/>
        <v>#DIV/0!</v>
      </c>
      <c r="J301" s="250"/>
      <c r="K301" s="210" t="e">
        <f t="shared" si="25"/>
        <v>#DIV/0!</v>
      </c>
      <c r="L301" s="250"/>
      <c r="M301" s="211" t="e">
        <f t="shared" si="26"/>
        <v>#DIV/0!</v>
      </c>
      <c r="N301" s="288"/>
      <c r="O301" s="288"/>
      <c r="P301" s="200"/>
      <c r="Q301" s="288"/>
      <c r="R301" s="288"/>
      <c r="S301" s="200"/>
      <c r="T301" s="198"/>
      <c r="U301" s="198"/>
      <c r="V301" s="247"/>
      <c r="W301" s="205">
        <v>1</v>
      </c>
      <c r="X301" s="198"/>
    </row>
    <row r="302" spans="2:24">
      <c r="B302" s="495"/>
      <c r="C302" s="498"/>
      <c r="D302" s="209">
        <v>196</v>
      </c>
      <c r="E302" s="198"/>
      <c r="F302" s="288"/>
      <c r="G302" s="288"/>
      <c r="H302" s="288"/>
      <c r="I302" s="210" t="e">
        <f t="shared" si="24"/>
        <v>#DIV/0!</v>
      </c>
      <c r="J302" s="250"/>
      <c r="K302" s="210" t="e">
        <f t="shared" si="25"/>
        <v>#DIV/0!</v>
      </c>
      <c r="L302" s="250"/>
      <c r="M302" s="211" t="e">
        <f t="shared" si="26"/>
        <v>#DIV/0!</v>
      </c>
      <c r="N302" s="288"/>
      <c r="O302" s="288"/>
      <c r="P302" s="200"/>
      <c r="Q302" s="288"/>
      <c r="R302" s="288"/>
      <c r="S302" s="200"/>
      <c r="T302" s="198"/>
      <c r="U302" s="198"/>
      <c r="V302" s="198"/>
      <c r="W302" s="205">
        <v>1</v>
      </c>
      <c r="X302" s="198"/>
    </row>
    <row r="303" spans="2:24">
      <c r="B303" s="495"/>
      <c r="C303" s="498"/>
      <c r="D303" s="209">
        <v>197</v>
      </c>
      <c r="E303" s="198"/>
      <c r="F303" s="288"/>
      <c r="G303" s="288"/>
      <c r="H303" s="288"/>
      <c r="I303" s="210" t="e">
        <f t="shared" si="24"/>
        <v>#DIV/0!</v>
      </c>
      <c r="J303" s="250"/>
      <c r="K303" s="210" t="e">
        <f t="shared" si="25"/>
        <v>#DIV/0!</v>
      </c>
      <c r="L303" s="250"/>
      <c r="M303" s="211" t="e">
        <f t="shared" si="26"/>
        <v>#DIV/0!</v>
      </c>
      <c r="N303" s="288"/>
      <c r="O303" s="288"/>
      <c r="P303" s="200"/>
      <c r="Q303" s="288"/>
      <c r="R303" s="288"/>
      <c r="S303" s="200"/>
      <c r="T303" s="198"/>
      <c r="U303" s="198"/>
      <c r="V303" s="198"/>
      <c r="W303" s="205">
        <v>1</v>
      </c>
      <c r="X303" s="198"/>
    </row>
    <row r="304" spans="2:24">
      <c r="B304" s="495"/>
      <c r="C304" s="498"/>
      <c r="D304" s="209">
        <v>198</v>
      </c>
      <c r="E304" s="198"/>
      <c r="F304" s="288"/>
      <c r="G304" s="288"/>
      <c r="H304" s="288"/>
      <c r="I304" s="210" t="e">
        <f t="shared" si="24"/>
        <v>#DIV/0!</v>
      </c>
      <c r="J304" s="250"/>
      <c r="K304" s="210" t="e">
        <f t="shared" si="25"/>
        <v>#DIV/0!</v>
      </c>
      <c r="L304" s="250"/>
      <c r="M304" s="211" t="e">
        <f t="shared" si="26"/>
        <v>#DIV/0!</v>
      </c>
      <c r="N304" s="288"/>
      <c r="O304" s="288"/>
      <c r="P304" s="200"/>
      <c r="Q304" s="288"/>
      <c r="R304" s="288"/>
      <c r="S304" s="200"/>
      <c r="T304" s="198"/>
      <c r="U304" s="198"/>
      <c r="V304" s="198"/>
      <c r="W304" s="205">
        <v>1</v>
      </c>
      <c r="X304" s="198"/>
    </row>
    <row r="305" spans="2:24">
      <c r="B305" s="495"/>
      <c r="C305" s="498"/>
      <c r="D305" s="209">
        <v>199</v>
      </c>
      <c r="E305" s="198"/>
      <c r="F305" s="288"/>
      <c r="G305" s="288"/>
      <c r="H305" s="288"/>
      <c r="I305" s="210" t="e">
        <f t="shared" si="24"/>
        <v>#DIV/0!</v>
      </c>
      <c r="J305" s="250"/>
      <c r="K305" s="210" t="e">
        <f t="shared" si="25"/>
        <v>#DIV/0!</v>
      </c>
      <c r="L305" s="250"/>
      <c r="M305" s="211" t="e">
        <f t="shared" si="26"/>
        <v>#DIV/0!</v>
      </c>
      <c r="N305" s="288"/>
      <c r="O305" s="288"/>
      <c r="P305" s="200"/>
      <c r="Q305" s="288"/>
      <c r="R305" s="288"/>
      <c r="S305" s="200"/>
      <c r="T305" s="198"/>
      <c r="U305" s="198"/>
      <c r="V305" s="198"/>
      <c r="W305" s="205">
        <v>1</v>
      </c>
      <c r="X305" s="198"/>
    </row>
    <row r="306" spans="2:24">
      <c r="B306" s="496"/>
      <c r="C306" s="498"/>
      <c r="D306" s="209">
        <v>200</v>
      </c>
      <c r="E306" s="198"/>
      <c r="F306" s="288"/>
      <c r="G306" s="288"/>
      <c r="H306" s="288"/>
      <c r="I306" s="210" t="e">
        <f t="shared" si="24"/>
        <v>#DIV/0!</v>
      </c>
      <c r="J306" s="250"/>
      <c r="K306" s="210" t="e">
        <f t="shared" si="25"/>
        <v>#DIV/0!</v>
      </c>
      <c r="L306" s="250"/>
      <c r="M306" s="211" t="e">
        <f t="shared" si="26"/>
        <v>#DIV/0!</v>
      </c>
      <c r="N306" s="288"/>
      <c r="O306" s="288"/>
      <c r="P306" s="200"/>
      <c r="Q306" s="288"/>
      <c r="R306" s="288"/>
      <c r="S306" s="200"/>
      <c r="T306" s="198"/>
      <c r="U306" s="198"/>
      <c r="V306" s="198"/>
      <c r="W306" s="205">
        <v>1</v>
      </c>
      <c r="X306" s="198"/>
    </row>
    <row r="307" spans="2:24">
      <c r="B307" s="494">
        <v>45961</v>
      </c>
      <c r="C307" s="497" t="s">
        <v>116</v>
      </c>
      <c r="D307" s="209">
        <v>201</v>
      </c>
      <c r="E307" s="198"/>
      <c r="F307" s="288"/>
      <c r="G307" s="288"/>
      <c r="H307" s="288"/>
      <c r="I307" s="210" t="e">
        <f t="shared" si="24"/>
        <v>#DIV/0!</v>
      </c>
      <c r="J307" s="250"/>
      <c r="K307" s="210" t="e">
        <f t="shared" si="25"/>
        <v>#DIV/0!</v>
      </c>
      <c r="L307" s="250"/>
      <c r="M307" s="211" t="e">
        <f t="shared" si="26"/>
        <v>#DIV/0!</v>
      </c>
      <c r="N307" s="288"/>
      <c r="O307" s="288"/>
      <c r="P307" s="200"/>
      <c r="Q307" s="288"/>
      <c r="R307" s="288"/>
      <c r="S307" s="200"/>
      <c r="T307" s="198"/>
      <c r="U307" s="198"/>
      <c r="V307" s="198"/>
      <c r="W307" s="205">
        <v>1</v>
      </c>
      <c r="X307" s="198"/>
    </row>
    <row r="308" spans="2:24">
      <c r="B308" s="495"/>
      <c r="C308" s="498"/>
      <c r="D308" s="209">
        <v>202</v>
      </c>
      <c r="E308" s="198"/>
      <c r="F308" s="288"/>
      <c r="G308" s="288"/>
      <c r="H308" s="288"/>
      <c r="I308" s="210" t="e">
        <f t="shared" si="24"/>
        <v>#DIV/0!</v>
      </c>
      <c r="J308" s="250"/>
      <c r="K308" s="210" t="e">
        <f t="shared" si="25"/>
        <v>#DIV/0!</v>
      </c>
      <c r="L308" s="250"/>
      <c r="M308" s="211" t="e">
        <f t="shared" si="26"/>
        <v>#DIV/0!</v>
      </c>
      <c r="N308" s="288"/>
      <c r="O308" s="288"/>
      <c r="P308" s="200"/>
      <c r="Q308" s="288"/>
      <c r="R308" s="288"/>
      <c r="S308" s="200"/>
      <c r="T308" s="198"/>
      <c r="U308" s="198"/>
      <c r="V308" s="198"/>
      <c r="W308" s="205">
        <v>1</v>
      </c>
      <c r="X308" s="198"/>
    </row>
    <row r="309" spans="2:24">
      <c r="B309" s="495"/>
      <c r="C309" s="498"/>
      <c r="D309" s="209">
        <v>203</v>
      </c>
      <c r="E309" s="198"/>
      <c r="F309" s="288"/>
      <c r="G309" s="288"/>
      <c r="H309" s="288"/>
      <c r="I309" s="210" t="e">
        <f t="shared" si="24"/>
        <v>#DIV/0!</v>
      </c>
      <c r="J309" s="250"/>
      <c r="K309" s="210" t="e">
        <f t="shared" si="25"/>
        <v>#DIV/0!</v>
      </c>
      <c r="L309" s="250"/>
      <c r="M309" s="211" t="e">
        <f t="shared" si="26"/>
        <v>#DIV/0!</v>
      </c>
      <c r="N309" s="288"/>
      <c r="O309" s="288"/>
      <c r="P309" s="200"/>
      <c r="Q309" s="288"/>
      <c r="R309" s="288"/>
      <c r="S309" s="200"/>
      <c r="T309" s="198"/>
      <c r="U309" s="198"/>
      <c r="V309" s="198"/>
      <c r="W309" s="205">
        <v>1</v>
      </c>
      <c r="X309" s="198"/>
    </row>
    <row r="310" spans="2:24">
      <c r="B310" s="495"/>
      <c r="C310" s="498"/>
      <c r="D310" s="209">
        <v>204</v>
      </c>
      <c r="E310" s="198"/>
      <c r="F310" s="288"/>
      <c r="G310" s="288"/>
      <c r="H310" s="288"/>
      <c r="I310" s="210" t="e">
        <f t="shared" si="24"/>
        <v>#DIV/0!</v>
      </c>
      <c r="J310" s="250"/>
      <c r="K310" s="210" t="e">
        <f t="shared" si="25"/>
        <v>#DIV/0!</v>
      </c>
      <c r="L310" s="250"/>
      <c r="M310" s="211" t="e">
        <f t="shared" si="26"/>
        <v>#DIV/0!</v>
      </c>
      <c r="N310" s="288"/>
      <c r="O310" s="288"/>
      <c r="P310" s="200"/>
      <c r="Q310" s="288"/>
      <c r="R310" s="288"/>
      <c r="S310" s="200"/>
      <c r="T310" s="198"/>
      <c r="U310" s="198"/>
      <c r="V310" s="198"/>
      <c r="W310" s="205">
        <v>1</v>
      </c>
      <c r="X310" s="198"/>
    </row>
    <row r="311" spans="2:24">
      <c r="B311" s="495"/>
      <c r="C311" s="498"/>
      <c r="D311" s="209">
        <v>205</v>
      </c>
      <c r="E311" s="198"/>
      <c r="F311" s="288"/>
      <c r="G311" s="288"/>
      <c r="H311" s="288"/>
      <c r="I311" s="210" t="e">
        <f t="shared" si="24"/>
        <v>#DIV/0!</v>
      </c>
      <c r="J311" s="250"/>
      <c r="K311" s="210" t="e">
        <f t="shared" si="25"/>
        <v>#DIV/0!</v>
      </c>
      <c r="L311" s="250"/>
      <c r="M311" s="211" t="e">
        <f t="shared" si="26"/>
        <v>#DIV/0!</v>
      </c>
      <c r="N311" s="288"/>
      <c r="O311" s="288"/>
      <c r="P311" s="200"/>
      <c r="Q311" s="288"/>
      <c r="R311" s="288"/>
      <c r="S311" s="200"/>
      <c r="T311" s="198"/>
      <c r="U311" s="198"/>
      <c r="V311" s="198"/>
      <c r="W311" s="205">
        <v>1</v>
      </c>
      <c r="X311" s="198"/>
    </row>
    <row r="312" spans="2:24">
      <c r="B312" s="495"/>
      <c r="C312" s="498"/>
      <c r="D312" s="209">
        <v>206</v>
      </c>
      <c r="E312" s="198"/>
      <c r="F312" s="288"/>
      <c r="G312" s="288"/>
      <c r="H312" s="288"/>
      <c r="I312" s="210" t="e">
        <f t="shared" si="24"/>
        <v>#DIV/0!</v>
      </c>
      <c r="J312" s="250"/>
      <c r="K312" s="210" t="e">
        <f t="shared" si="25"/>
        <v>#DIV/0!</v>
      </c>
      <c r="L312" s="250"/>
      <c r="M312" s="211" t="e">
        <f t="shared" si="26"/>
        <v>#DIV/0!</v>
      </c>
      <c r="N312" s="288"/>
      <c r="O312" s="288"/>
      <c r="P312" s="200"/>
      <c r="Q312" s="288"/>
      <c r="R312" s="288"/>
      <c r="S312" s="200"/>
      <c r="T312" s="198"/>
      <c r="U312" s="198"/>
      <c r="V312" s="198"/>
      <c r="W312" s="205">
        <v>1</v>
      </c>
      <c r="X312" s="198"/>
    </row>
    <row r="313" spans="2:24">
      <c r="B313" s="495"/>
      <c r="C313" s="498"/>
      <c r="D313" s="209">
        <v>207</v>
      </c>
      <c r="E313" s="198"/>
      <c r="F313" s="288"/>
      <c r="G313" s="288"/>
      <c r="H313" s="288"/>
      <c r="I313" s="210" t="e">
        <f t="shared" si="24"/>
        <v>#DIV/0!</v>
      </c>
      <c r="J313" s="250"/>
      <c r="K313" s="210" t="e">
        <f t="shared" si="25"/>
        <v>#DIV/0!</v>
      </c>
      <c r="L313" s="250"/>
      <c r="M313" s="211" t="e">
        <f t="shared" si="26"/>
        <v>#DIV/0!</v>
      </c>
      <c r="N313" s="288"/>
      <c r="O313" s="288"/>
      <c r="P313" s="200"/>
      <c r="Q313" s="288"/>
      <c r="R313" s="288"/>
      <c r="S313" s="200"/>
      <c r="T313" s="198"/>
      <c r="U313" s="198"/>
      <c r="V313" s="198"/>
      <c r="W313" s="205">
        <v>1</v>
      </c>
      <c r="X313" s="198"/>
    </row>
    <row r="314" spans="2:24">
      <c r="B314" s="495"/>
      <c r="C314" s="498"/>
      <c r="D314" s="209">
        <v>208</v>
      </c>
      <c r="E314" s="198"/>
      <c r="F314" s="288"/>
      <c r="G314" s="288"/>
      <c r="H314" s="288"/>
      <c r="I314" s="210" t="e">
        <f t="shared" si="24"/>
        <v>#DIV/0!</v>
      </c>
      <c r="J314" s="250"/>
      <c r="K314" s="210" t="e">
        <f t="shared" si="25"/>
        <v>#DIV/0!</v>
      </c>
      <c r="L314" s="250"/>
      <c r="M314" s="211" t="e">
        <f t="shared" si="26"/>
        <v>#DIV/0!</v>
      </c>
      <c r="N314" s="288"/>
      <c r="O314" s="288"/>
      <c r="P314" s="200"/>
      <c r="Q314" s="288"/>
      <c r="R314" s="288"/>
      <c r="S314" s="200"/>
      <c r="T314" s="198"/>
      <c r="U314" s="198"/>
      <c r="V314" s="198"/>
      <c r="W314" s="205">
        <v>1</v>
      </c>
      <c r="X314" s="198"/>
    </row>
    <row r="315" spans="2:24">
      <c r="B315" s="495"/>
      <c r="C315" s="498"/>
      <c r="D315" s="209">
        <v>209</v>
      </c>
      <c r="E315" s="198"/>
      <c r="F315" s="288"/>
      <c r="G315" s="288"/>
      <c r="H315" s="288"/>
      <c r="I315" s="210" t="e">
        <f t="shared" si="24"/>
        <v>#DIV/0!</v>
      </c>
      <c r="J315" s="250"/>
      <c r="K315" s="210" t="e">
        <f t="shared" si="25"/>
        <v>#DIV/0!</v>
      </c>
      <c r="L315" s="250"/>
      <c r="M315" s="211" t="e">
        <f t="shared" si="26"/>
        <v>#DIV/0!</v>
      </c>
      <c r="N315" s="288"/>
      <c r="O315" s="288"/>
      <c r="P315" s="200"/>
      <c r="Q315" s="288"/>
      <c r="R315" s="288"/>
      <c r="S315" s="200"/>
      <c r="T315" s="198"/>
      <c r="U315" s="198"/>
      <c r="V315" s="198"/>
      <c r="W315" s="205">
        <v>1</v>
      </c>
      <c r="X315" s="198"/>
    </row>
    <row r="316" spans="2:24">
      <c r="B316" s="496"/>
      <c r="C316" s="498"/>
      <c r="D316" s="209">
        <v>210</v>
      </c>
      <c r="E316" s="198"/>
      <c r="F316" s="288"/>
      <c r="G316" s="288"/>
      <c r="H316" s="288"/>
      <c r="I316" s="210" t="e">
        <f t="shared" si="24"/>
        <v>#DIV/0!</v>
      </c>
      <c r="J316" s="250"/>
      <c r="K316" s="210" t="e">
        <f t="shared" si="25"/>
        <v>#DIV/0!</v>
      </c>
      <c r="L316" s="250"/>
      <c r="M316" s="211" t="e">
        <f t="shared" si="26"/>
        <v>#DIV/0!</v>
      </c>
      <c r="N316" s="288"/>
      <c r="O316" s="288"/>
      <c r="P316" s="200"/>
      <c r="Q316" s="288"/>
      <c r="R316" s="288"/>
      <c r="S316" s="200"/>
      <c r="T316" s="198"/>
      <c r="U316" s="198"/>
      <c r="V316" s="198"/>
      <c r="W316" s="205">
        <v>1</v>
      </c>
      <c r="X316" s="198"/>
    </row>
    <row r="317" spans="2:24">
      <c r="C317" s="516"/>
    </row>
    <row r="318" spans="2:24">
      <c r="C318" s="516"/>
    </row>
    <row r="319" spans="2:24">
      <c r="C319" s="516"/>
    </row>
    <row r="320" spans="2:24">
      <c r="C320" s="516"/>
    </row>
    <row r="321" spans="3:3">
      <c r="C321" s="516"/>
    </row>
    <row r="322" spans="3:3">
      <c r="C322" s="516"/>
    </row>
    <row r="323" spans="3:3">
      <c r="C323" s="516"/>
    </row>
    <row r="324" spans="3:3">
      <c r="C324" s="516"/>
    </row>
    <row r="325" spans="3:3">
      <c r="C325" s="516"/>
    </row>
    <row r="326" spans="3:3">
      <c r="C326" s="516"/>
    </row>
  </sheetData>
  <mergeCells count="82"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</mergeCells>
  <phoneticPr fontId="16" type="noConversion"/>
  <dataValidations count="2">
    <dataValidation type="list" allowBlank="1" showInputMessage="1" showErrorMessage="1" sqref="V42:V46 W184 W180 U1:U1048576">
      <formula1>$AB$30:$AB$37</formula1>
    </dataValidation>
    <dataValidation type="list" allowBlank="1" showInputMessage="1" showErrorMessage="1" sqref="T1:T1048576">
      <formula1>$AB$40:$AB$44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523" t="s">
        <v>12</v>
      </c>
      <c r="D21" s="521"/>
      <c r="E21" s="522"/>
      <c r="F21" s="49" t="s">
        <v>46</v>
      </c>
      <c r="G21" s="49" t="s">
        <v>48</v>
      </c>
      <c r="H21" s="49" t="s">
        <v>49</v>
      </c>
      <c r="I21" s="8" t="s">
        <v>13</v>
      </c>
      <c r="J21" s="534" t="s">
        <v>51</v>
      </c>
      <c r="K21" s="522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479" t="s">
        <v>14</v>
      </c>
      <c r="D22" s="521"/>
      <c r="E22" s="522"/>
      <c r="F22" s="4">
        <v>3</v>
      </c>
      <c r="G22" s="4">
        <v>3000</v>
      </c>
      <c r="H22" s="4">
        <v>1000</v>
      </c>
      <c r="I22" s="4">
        <v>10</v>
      </c>
      <c r="J22" s="524" t="s">
        <v>76</v>
      </c>
      <c r="K22" s="522"/>
      <c r="M22" s="52" t="s">
        <v>26</v>
      </c>
      <c r="N22" s="57" t="s">
        <v>47</v>
      </c>
      <c r="O22" s="529" t="s">
        <v>12</v>
      </c>
      <c r="P22" s="521"/>
      <c r="Q22" s="522"/>
      <c r="R22" s="535" t="s">
        <v>53</v>
      </c>
      <c r="S22" s="521"/>
      <c r="T22" s="522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534" t="s">
        <v>51</v>
      </c>
      <c r="AA22" s="522"/>
    </row>
    <row r="23" spans="1:27" ht="15.75" customHeight="1">
      <c r="A23" s="23"/>
      <c r="B23" s="6">
        <v>2</v>
      </c>
      <c r="C23" s="520"/>
      <c r="D23" s="521"/>
      <c r="E23" s="522"/>
      <c r="F23" s="4"/>
      <c r="G23" s="4"/>
      <c r="H23" s="4"/>
      <c r="I23" s="4"/>
      <c r="J23" s="520"/>
      <c r="K23" s="522"/>
      <c r="M23" s="56" t="s">
        <v>42</v>
      </c>
      <c r="N23" s="24">
        <v>1</v>
      </c>
      <c r="O23" s="524" t="s">
        <v>82</v>
      </c>
      <c r="P23" s="521"/>
      <c r="Q23" s="522"/>
      <c r="R23" s="524" t="s">
        <v>85</v>
      </c>
      <c r="S23" s="521"/>
      <c r="T23" s="522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24" t="s">
        <v>86</v>
      </c>
      <c r="AA23" s="522"/>
    </row>
    <row r="24" spans="1:27" ht="15.75" customHeight="1">
      <c r="A24" s="23"/>
      <c r="B24" s="6">
        <v>3</v>
      </c>
      <c r="C24" s="520"/>
      <c r="D24" s="521"/>
      <c r="E24" s="522"/>
      <c r="F24" s="4"/>
      <c r="G24" s="4"/>
      <c r="H24" s="4"/>
      <c r="I24" s="4"/>
      <c r="J24" s="520"/>
      <c r="K24" s="522"/>
      <c r="M24" s="25"/>
      <c r="N24" s="24">
        <v>2</v>
      </c>
      <c r="O24" s="479"/>
      <c r="P24" s="521"/>
      <c r="Q24" s="522"/>
      <c r="R24" s="479"/>
      <c r="S24" s="521"/>
      <c r="T24" s="522"/>
      <c r="U24" s="4"/>
      <c r="V24" s="14"/>
      <c r="W24" s="4"/>
      <c r="X24" s="16">
        <f t="shared" si="16"/>
        <v>0</v>
      </c>
      <c r="Y24" s="4"/>
      <c r="Z24" s="479"/>
      <c r="AA24" s="522"/>
    </row>
    <row r="25" spans="1:27" ht="15.75" customHeight="1">
      <c r="A25" s="23"/>
      <c r="B25" s="6">
        <v>4</v>
      </c>
      <c r="C25" s="520"/>
      <c r="D25" s="521"/>
      <c r="E25" s="522"/>
      <c r="F25" s="4"/>
      <c r="G25" s="4"/>
      <c r="H25" s="4"/>
      <c r="I25" s="4"/>
      <c r="J25" s="520"/>
      <c r="K25" s="522"/>
      <c r="M25" s="25"/>
      <c r="N25" s="24">
        <v>3</v>
      </c>
      <c r="O25" s="479"/>
      <c r="P25" s="521"/>
      <c r="Q25" s="522"/>
      <c r="R25" s="479"/>
      <c r="S25" s="521"/>
      <c r="T25" s="522"/>
      <c r="U25" s="4"/>
      <c r="V25" s="14"/>
      <c r="W25" s="4"/>
      <c r="X25" s="16">
        <f t="shared" si="16"/>
        <v>0</v>
      </c>
      <c r="Y25" s="4"/>
      <c r="Z25" s="479"/>
      <c r="AA25" s="522"/>
    </row>
    <row r="26" spans="1:27" ht="15.75" customHeight="1">
      <c r="A26" s="23"/>
      <c r="B26" s="26">
        <v>5</v>
      </c>
      <c r="C26" s="532"/>
      <c r="D26" s="528"/>
      <c r="E26" s="525"/>
      <c r="F26" s="27"/>
      <c r="G26" s="27"/>
      <c r="H26" s="27"/>
      <c r="I26" s="27"/>
      <c r="J26" s="532"/>
      <c r="K26" s="525"/>
      <c r="M26" s="25"/>
      <c r="N26" s="24">
        <v>4</v>
      </c>
      <c r="O26" s="479"/>
      <c r="P26" s="521"/>
      <c r="Q26" s="522"/>
      <c r="R26" s="479"/>
      <c r="S26" s="521"/>
      <c r="T26" s="522"/>
      <c r="U26" s="4"/>
      <c r="V26" s="14"/>
      <c r="W26" s="4"/>
      <c r="X26" s="16">
        <f t="shared" si="16"/>
        <v>0</v>
      </c>
      <c r="Y26" s="4"/>
      <c r="Z26" s="479"/>
      <c r="AA26" s="522"/>
    </row>
    <row r="27" spans="1:27" ht="15.75" customHeight="1">
      <c r="A27" s="23"/>
      <c r="B27" s="69" t="s">
        <v>101</v>
      </c>
      <c r="C27" s="526" t="s">
        <v>75</v>
      </c>
      <c r="D27" s="533"/>
      <c r="E27" s="527"/>
      <c r="F27" s="28">
        <v>4</v>
      </c>
      <c r="G27" s="28">
        <v>2800</v>
      </c>
      <c r="H27" s="28">
        <v>700</v>
      </c>
      <c r="I27" s="28" t="s">
        <v>15</v>
      </c>
      <c r="J27" s="526" t="s">
        <v>77</v>
      </c>
      <c r="K27" s="527"/>
      <c r="M27" s="25"/>
      <c r="N27" s="29">
        <v>5</v>
      </c>
      <c r="O27" s="478"/>
      <c r="P27" s="528"/>
      <c r="Q27" s="525"/>
      <c r="R27" s="478"/>
      <c r="S27" s="528"/>
      <c r="T27" s="525"/>
      <c r="U27" s="27"/>
      <c r="V27" s="30"/>
      <c r="W27" s="27"/>
      <c r="X27" s="31">
        <f t="shared" si="16"/>
        <v>0</v>
      </c>
      <c r="Y27" s="4"/>
      <c r="Z27" s="478"/>
      <c r="AA27" s="525"/>
    </row>
    <row r="28" spans="1:27" ht="15.75" customHeight="1">
      <c r="A28" s="23"/>
      <c r="B28" s="70" t="s">
        <v>102</v>
      </c>
      <c r="C28" s="520"/>
      <c r="D28" s="521"/>
      <c r="E28" s="522"/>
      <c r="F28" s="4"/>
      <c r="G28" s="4"/>
      <c r="H28" s="4"/>
      <c r="I28" s="4"/>
      <c r="J28" s="520"/>
      <c r="K28" s="522"/>
      <c r="M28" s="32"/>
      <c r="N28" s="55"/>
      <c r="O28" s="530"/>
      <c r="P28" s="521"/>
      <c r="Q28" s="521"/>
      <c r="R28" s="530"/>
      <c r="S28" s="521"/>
      <c r="T28" s="521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530"/>
      <c r="AA28" s="522"/>
    </row>
    <row r="29" spans="1:27" ht="15.75" customHeight="1">
      <c r="A29" s="23"/>
      <c r="B29" s="70" t="s">
        <v>100</v>
      </c>
      <c r="C29" s="520"/>
      <c r="D29" s="521"/>
      <c r="E29" s="522"/>
      <c r="F29" s="4"/>
      <c r="G29" s="4"/>
      <c r="H29" s="4"/>
      <c r="I29" s="4"/>
      <c r="J29" s="520"/>
      <c r="K29" s="522"/>
      <c r="M29" s="56" t="s">
        <v>43</v>
      </c>
      <c r="N29" s="24">
        <v>1</v>
      </c>
      <c r="O29" s="543" t="s">
        <v>16</v>
      </c>
      <c r="P29" s="539"/>
      <c r="Q29" s="540"/>
      <c r="R29" s="538" t="s">
        <v>87</v>
      </c>
      <c r="S29" s="539"/>
      <c r="T29" s="54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538" t="s">
        <v>88</v>
      </c>
      <c r="AA29" s="540"/>
    </row>
    <row r="30" spans="1:27" ht="15.75" customHeight="1">
      <c r="A30" s="23"/>
      <c r="B30" s="70" t="s">
        <v>99</v>
      </c>
      <c r="C30" s="520"/>
      <c r="D30" s="521"/>
      <c r="E30" s="522"/>
      <c r="F30" s="4"/>
      <c r="G30" s="4"/>
      <c r="H30" s="4"/>
      <c r="I30" s="4"/>
      <c r="J30" s="520"/>
      <c r="K30" s="522"/>
      <c r="M30" s="25"/>
      <c r="N30" s="24">
        <v>2</v>
      </c>
      <c r="O30" s="479"/>
      <c r="P30" s="521"/>
      <c r="Q30" s="522"/>
      <c r="R30" s="479"/>
      <c r="S30" s="521"/>
      <c r="T30" s="522"/>
      <c r="U30" s="4"/>
      <c r="V30" s="14"/>
      <c r="W30" s="4"/>
      <c r="X30" s="16">
        <f t="shared" si="17"/>
        <v>0</v>
      </c>
      <c r="Y30" s="4"/>
      <c r="Z30" s="479"/>
      <c r="AA30" s="522"/>
    </row>
    <row r="31" spans="1:27" ht="15.75" customHeight="1">
      <c r="A31" s="20"/>
      <c r="B31" s="70" t="s">
        <v>103</v>
      </c>
      <c r="C31" s="520"/>
      <c r="D31" s="521"/>
      <c r="E31" s="522"/>
      <c r="F31" s="4"/>
      <c r="G31" s="4"/>
      <c r="H31" s="4"/>
      <c r="I31" s="4"/>
      <c r="J31" s="520"/>
      <c r="K31" s="522"/>
      <c r="M31" s="25"/>
      <c r="N31" s="24">
        <v>3</v>
      </c>
      <c r="O31" s="479"/>
      <c r="P31" s="521"/>
      <c r="Q31" s="522"/>
      <c r="R31" s="479"/>
      <c r="S31" s="521"/>
      <c r="T31" s="522"/>
      <c r="U31" s="4"/>
      <c r="V31" s="14"/>
      <c r="W31" s="4"/>
      <c r="X31" s="16">
        <f t="shared" si="17"/>
        <v>0</v>
      </c>
      <c r="Y31" s="4"/>
      <c r="Z31" s="479"/>
      <c r="AA31" s="522"/>
    </row>
    <row r="32" spans="1:27" ht="15.75" customHeight="1">
      <c r="A32" s="67"/>
      <c r="M32" s="25"/>
      <c r="N32" s="24">
        <v>4</v>
      </c>
      <c r="O32" s="479"/>
      <c r="P32" s="521"/>
      <c r="Q32" s="522"/>
      <c r="R32" s="479"/>
      <c r="S32" s="521"/>
      <c r="T32" s="522"/>
      <c r="U32" s="4"/>
      <c r="V32" s="14"/>
      <c r="W32" s="4"/>
      <c r="X32" s="16">
        <f t="shared" si="17"/>
        <v>0</v>
      </c>
      <c r="Y32" s="4"/>
      <c r="Z32" s="479"/>
      <c r="AA32" s="522"/>
    </row>
    <row r="33" spans="1:27" ht="15.75" customHeight="1">
      <c r="A33" s="18"/>
      <c r="B33" s="49" t="s">
        <v>47</v>
      </c>
      <c r="C33" s="523" t="s">
        <v>12</v>
      </c>
      <c r="D33" s="521"/>
      <c r="E33" s="522"/>
      <c r="F33" s="49" t="s">
        <v>46</v>
      </c>
      <c r="G33" s="49" t="s">
        <v>48</v>
      </c>
      <c r="H33" s="49" t="s">
        <v>49</v>
      </c>
      <c r="I33" s="8" t="s">
        <v>13</v>
      </c>
      <c r="J33" s="534" t="s">
        <v>51</v>
      </c>
      <c r="K33" s="522"/>
      <c r="M33" s="25"/>
      <c r="N33" s="29">
        <v>5</v>
      </c>
      <c r="O33" s="479"/>
      <c r="P33" s="521"/>
      <c r="Q33" s="522"/>
      <c r="R33" s="479"/>
      <c r="S33" s="521"/>
      <c r="T33" s="522"/>
      <c r="U33" s="27"/>
      <c r="V33" s="30"/>
      <c r="W33" s="27"/>
      <c r="X33" s="31">
        <f t="shared" si="17"/>
        <v>0</v>
      </c>
      <c r="Y33" s="4"/>
      <c r="Z33" s="479"/>
      <c r="AA33" s="522"/>
    </row>
    <row r="34" spans="1:27" ht="15.75" customHeight="1">
      <c r="A34" s="52" t="s">
        <v>35</v>
      </c>
      <c r="B34" s="6">
        <v>1</v>
      </c>
      <c r="C34" s="524" t="s">
        <v>79</v>
      </c>
      <c r="D34" s="521"/>
      <c r="E34" s="522"/>
      <c r="F34" s="4">
        <v>3</v>
      </c>
      <c r="G34" s="4">
        <v>2500</v>
      </c>
      <c r="H34" s="4">
        <v>833.33</v>
      </c>
      <c r="I34" s="4">
        <v>20</v>
      </c>
      <c r="J34" s="524" t="s">
        <v>78</v>
      </c>
      <c r="K34" s="522"/>
      <c r="M34" s="68"/>
      <c r="N34" s="45"/>
      <c r="O34" s="530"/>
      <c r="P34" s="521"/>
      <c r="Q34" s="521"/>
      <c r="R34" s="530"/>
      <c r="S34" s="521"/>
      <c r="T34" s="521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530"/>
      <c r="AA34" s="522"/>
    </row>
    <row r="35" spans="1:27" ht="15.75" customHeight="1">
      <c r="A35" s="23"/>
      <c r="B35" s="6">
        <v>2</v>
      </c>
      <c r="C35" s="479"/>
      <c r="D35" s="521"/>
      <c r="E35" s="522"/>
      <c r="F35" s="4"/>
      <c r="G35" s="4"/>
      <c r="H35" s="4"/>
      <c r="I35" s="4"/>
      <c r="J35" s="479"/>
      <c r="K35" s="522"/>
      <c r="M35" s="1"/>
      <c r="N35" s="1"/>
      <c r="O35" s="541"/>
      <c r="P35" s="542"/>
      <c r="Q35" s="542"/>
      <c r="R35" s="541"/>
      <c r="S35" s="542"/>
      <c r="T35" s="542"/>
      <c r="U35" s="1"/>
      <c r="V35" s="38"/>
      <c r="W35" s="1"/>
      <c r="X35" s="1"/>
      <c r="Y35" s="541"/>
      <c r="Z35" s="542"/>
      <c r="AA35" s="542"/>
    </row>
    <row r="36" spans="1:27" ht="15.75" customHeight="1">
      <c r="A36" s="23"/>
      <c r="B36" s="6">
        <v>3</v>
      </c>
      <c r="C36" s="479"/>
      <c r="D36" s="521"/>
      <c r="E36" s="522"/>
      <c r="F36" s="4"/>
      <c r="G36" s="4"/>
      <c r="H36" s="4"/>
      <c r="I36" s="4"/>
      <c r="J36" s="479"/>
      <c r="K36" s="522"/>
      <c r="M36" s="52" t="s">
        <v>27</v>
      </c>
      <c r="N36" s="57" t="s">
        <v>47</v>
      </c>
      <c r="O36" s="529" t="s">
        <v>12</v>
      </c>
      <c r="P36" s="530"/>
      <c r="Q36" s="531"/>
      <c r="R36" s="535" t="s">
        <v>53</v>
      </c>
      <c r="S36" s="536"/>
      <c r="T36" s="53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534" t="s">
        <v>51</v>
      </c>
      <c r="AA36" s="544"/>
    </row>
    <row r="37" spans="1:27" ht="15.75" customHeight="1">
      <c r="A37" s="23"/>
      <c r="B37" s="6">
        <v>4</v>
      </c>
      <c r="C37" s="479"/>
      <c r="D37" s="521"/>
      <c r="E37" s="522"/>
      <c r="F37" s="4"/>
      <c r="G37" s="4"/>
      <c r="H37" s="4"/>
      <c r="I37" s="4"/>
      <c r="J37" s="479"/>
      <c r="K37" s="522"/>
      <c r="M37" s="56" t="s">
        <v>42</v>
      </c>
      <c r="N37" s="24">
        <v>1</v>
      </c>
      <c r="O37" s="524" t="s">
        <v>89</v>
      </c>
      <c r="P37" s="521"/>
      <c r="Q37" s="522"/>
      <c r="R37" s="524" t="s">
        <v>90</v>
      </c>
      <c r="S37" s="521"/>
      <c r="T37" s="522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24" t="s">
        <v>91</v>
      </c>
      <c r="AA37" s="522"/>
    </row>
    <row r="38" spans="1:27" ht="15.75" customHeight="1">
      <c r="A38" s="23"/>
      <c r="B38" s="26">
        <v>5</v>
      </c>
      <c r="C38" s="478"/>
      <c r="D38" s="528"/>
      <c r="E38" s="525"/>
      <c r="F38" s="27"/>
      <c r="G38" s="27"/>
      <c r="H38" s="27"/>
      <c r="I38" s="27"/>
      <c r="J38" s="478"/>
      <c r="K38" s="525"/>
      <c r="M38" s="25"/>
      <c r="N38" s="24">
        <v>2</v>
      </c>
      <c r="O38" s="479"/>
      <c r="P38" s="521"/>
      <c r="Q38" s="522"/>
      <c r="R38" s="479"/>
      <c r="S38" s="521"/>
      <c r="T38" s="522"/>
      <c r="U38" s="4"/>
      <c r="V38" s="14"/>
      <c r="W38" s="4"/>
      <c r="X38" s="16">
        <f t="shared" si="18"/>
        <v>0</v>
      </c>
      <c r="Y38" s="4"/>
      <c r="Z38" s="479"/>
      <c r="AA38" s="522"/>
    </row>
    <row r="39" spans="1:27" ht="14.25">
      <c r="A39" s="23"/>
      <c r="B39" s="69" t="s">
        <v>101</v>
      </c>
      <c r="C39" s="526" t="s">
        <v>80</v>
      </c>
      <c r="D39" s="533"/>
      <c r="E39" s="527"/>
      <c r="F39" s="28">
        <v>7</v>
      </c>
      <c r="G39" s="28">
        <v>2200</v>
      </c>
      <c r="H39" s="28">
        <v>314.29000000000002</v>
      </c>
      <c r="I39" s="28">
        <v>-15</v>
      </c>
      <c r="J39" s="526" t="s">
        <v>81</v>
      </c>
      <c r="K39" s="527"/>
      <c r="M39" s="25"/>
      <c r="N39" s="24">
        <v>3</v>
      </c>
      <c r="O39" s="479"/>
      <c r="P39" s="521"/>
      <c r="Q39" s="522"/>
      <c r="R39" s="479"/>
      <c r="S39" s="521"/>
      <c r="T39" s="522"/>
      <c r="U39" s="4"/>
      <c r="V39" s="14"/>
      <c r="W39" s="4"/>
      <c r="X39" s="16">
        <f t="shared" si="18"/>
        <v>0</v>
      </c>
      <c r="Y39" s="4"/>
      <c r="Z39" s="479"/>
      <c r="AA39" s="522"/>
    </row>
    <row r="40" spans="1:27" ht="14.25">
      <c r="A40" s="23"/>
      <c r="B40" s="70" t="s">
        <v>102</v>
      </c>
      <c r="C40" s="479"/>
      <c r="D40" s="521"/>
      <c r="E40" s="522"/>
      <c r="F40" s="4"/>
      <c r="G40" s="4"/>
      <c r="H40" s="4"/>
      <c r="I40" s="4"/>
      <c r="J40" s="479"/>
      <c r="K40" s="522"/>
      <c r="M40" s="25"/>
      <c r="N40" s="24">
        <v>4</v>
      </c>
      <c r="O40" s="479"/>
      <c r="P40" s="521"/>
      <c r="Q40" s="522"/>
      <c r="R40" s="479"/>
      <c r="S40" s="521"/>
      <c r="T40" s="522"/>
      <c r="U40" s="4"/>
      <c r="V40" s="14"/>
      <c r="W40" s="4"/>
      <c r="X40" s="16">
        <f t="shared" si="18"/>
        <v>0</v>
      </c>
      <c r="Y40" s="4"/>
      <c r="Z40" s="479"/>
      <c r="AA40" s="522"/>
    </row>
    <row r="41" spans="1:27" ht="14.25">
      <c r="A41" s="23"/>
      <c r="B41" s="70" t="s">
        <v>100</v>
      </c>
      <c r="C41" s="479"/>
      <c r="D41" s="521"/>
      <c r="E41" s="522"/>
      <c r="F41" s="4"/>
      <c r="G41" s="4"/>
      <c r="H41" s="4"/>
      <c r="I41" s="4"/>
      <c r="J41" s="479"/>
      <c r="K41" s="522"/>
      <c r="M41" s="25"/>
      <c r="N41" s="29">
        <v>5</v>
      </c>
      <c r="O41" s="478"/>
      <c r="P41" s="528"/>
      <c r="Q41" s="525"/>
      <c r="R41" s="478"/>
      <c r="S41" s="528"/>
      <c r="T41" s="525"/>
      <c r="U41" s="27"/>
      <c r="V41" s="30"/>
      <c r="W41" s="27"/>
      <c r="X41" s="31">
        <f t="shared" si="18"/>
        <v>0</v>
      </c>
      <c r="Y41" s="4"/>
      <c r="Z41" s="479"/>
      <c r="AA41" s="522"/>
    </row>
    <row r="42" spans="1:27" ht="14.25">
      <c r="A42" s="23"/>
      <c r="B42" s="70" t="s">
        <v>99</v>
      </c>
      <c r="C42" s="479"/>
      <c r="D42" s="521"/>
      <c r="E42" s="522"/>
      <c r="F42" s="4"/>
      <c r="G42" s="4"/>
      <c r="H42" s="4"/>
      <c r="I42" s="4"/>
      <c r="J42" s="479"/>
      <c r="K42" s="522"/>
      <c r="M42" s="32"/>
      <c r="N42" s="54"/>
      <c r="O42" s="530"/>
      <c r="P42" s="521"/>
      <c r="Q42" s="521"/>
      <c r="R42" s="530"/>
      <c r="S42" s="521"/>
      <c r="T42" s="521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530"/>
      <c r="AA42" s="522"/>
    </row>
    <row r="43" spans="1:27" ht="14.25">
      <c r="A43" s="20"/>
      <c r="B43" s="70" t="s">
        <v>103</v>
      </c>
      <c r="C43" s="479"/>
      <c r="D43" s="521"/>
      <c r="E43" s="522"/>
      <c r="F43" s="4"/>
      <c r="G43" s="4"/>
      <c r="H43" s="4"/>
      <c r="I43" s="4"/>
      <c r="J43" s="479"/>
      <c r="K43" s="522"/>
      <c r="M43" s="56" t="s">
        <v>43</v>
      </c>
      <c r="N43" s="24">
        <v>1</v>
      </c>
      <c r="O43" s="524" t="s">
        <v>89</v>
      </c>
      <c r="P43" s="521"/>
      <c r="Q43" s="522"/>
      <c r="R43" s="538" t="s">
        <v>93</v>
      </c>
      <c r="S43" s="539"/>
      <c r="T43" s="54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24" t="s">
        <v>92</v>
      </c>
      <c r="AA43" s="522"/>
    </row>
    <row r="44" spans="1:27" ht="14.25">
      <c r="A44" s="67"/>
      <c r="M44" s="25"/>
      <c r="N44" s="24">
        <v>2</v>
      </c>
      <c r="O44" s="479"/>
      <c r="P44" s="521"/>
      <c r="Q44" s="522"/>
      <c r="R44" s="479"/>
      <c r="S44" s="521"/>
      <c r="T44" s="522"/>
      <c r="U44" s="4"/>
      <c r="V44" s="14"/>
      <c r="W44" s="4"/>
      <c r="X44" s="37">
        <f t="shared" si="19"/>
        <v>0</v>
      </c>
      <c r="Y44" s="4"/>
      <c r="Z44" s="479"/>
      <c r="AA44" s="522"/>
    </row>
    <row r="45" spans="1:27" ht="14.25">
      <c r="A45" s="18"/>
      <c r="B45" s="49" t="s">
        <v>47</v>
      </c>
      <c r="C45" s="523" t="s">
        <v>12</v>
      </c>
      <c r="D45" s="521"/>
      <c r="E45" s="522"/>
      <c r="F45" s="49" t="s">
        <v>46</v>
      </c>
      <c r="G45" s="49" t="s">
        <v>48</v>
      </c>
      <c r="H45" s="49" t="s">
        <v>49</v>
      </c>
      <c r="I45" s="8" t="s">
        <v>13</v>
      </c>
      <c r="J45" s="534" t="s">
        <v>51</v>
      </c>
      <c r="K45" s="522"/>
      <c r="M45" s="25"/>
      <c r="N45" s="24">
        <v>3</v>
      </c>
      <c r="O45" s="479"/>
      <c r="P45" s="521"/>
      <c r="Q45" s="522"/>
      <c r="R45" s="479"/>
      <c r="S45" s="521"/>
      <c r="T45" s="522"/>
      <c r="U45" s="4"/>
      <c r="V45" s="14"/>
      <c r="W45" s="4"/>
      <c r="X45" s="37">
        <f t="shared" si="19"/>
        <v>0</v>
      </c>
      <c r="Y45" s="4"/>
      <c r="Z45" s="479"/>
      <c r="AA45" s="522"/>
    </row>
    <row r="46" spans="1:27" ht="14.25">
      <c r="A46" s="52" t="s">
        <v>36</v>
      </c>
      <c r="B46" s="6">
        <v>1</v>
      </c>
      <c r="C46" s="524" t="s">
        <v>82</v>
      </c>
      <c r="D46" s="521"/>
      <c r="E46" s="522"/>
      <c r="F46" s="4">
        <v>15</v>
      </c>
      <c r="G46" s="4">
        <v>1200</v>
      </c>
      <c r="H46" s="4">
        <v>80</v>
      </c>
      <c r="I46" s="4">
        <v>5</v>
      </c>
      <c r="J46" s="524" t="s">
        <v>83</v>
      </c>
      <c r="K46" s="522"/>
      <c r="M46" s="25"/>
      <c r="N46" s="24">
        <v>4</v>
      </c>
      <c r="O46" s="479"/>
      <c r="P46" s="521"/>
      <c r="Q46" s="522"/>
      <c r="R46" s="479"/>
      <c r="S46" s="521"/>
      <c r="T46" s="522"/>
      <c r="U46" s="4"/>
      <c r="V46" s="14"/>
      <c r="W46" s="4"/>
      <c r="X46" s="37">
        <f t="shared" si="19"/>
        <v>0</v>
      </c>
      <c r="Y46" s="4"/>
      <c r="Z46" s="479"/>
      <c r="AA46" s="522"/>
    </row>
    <row r="47" spans="1:27" ht="14.25">
      <c r="A47" s="23"/>
      <c r="B47" s="6">
        <v>2</v>
      </c>
      <c r="C47" s="479"/>
      <c r="D47" s="521"/>
      <c r="E47" s="522"/>
      <c r="F47" s="4"/>
      <c r="G47" s="4"/>
      <c r="H47" s="4"/>
      <c r="I47" s="4"/>
      <c r="J47" s="479"/>
      <c r="K47" s="522"/>
      <c r="M47" s="25"/>
      <c r="N47" s="29">
        <v>5</v>
      </c>
      <c r="O47" s="479"/>
      <c r="P47" s="521"/>
      <c r="Q47" s="522"/>
      <c r="R47" s="479"/>
      <c r="S47" s="521"/>
      <c r="T47" s="522"/>
      <c r="U47" s="27"/>
      <c r="V47" s="30"/>
      <c r="W47" s="27"/>
      <c r="X47" s="40">
        <f t="shared" si="19"/>
        <v>0</v>
      </c>
      <c r="Y47" s="4"/>
      <c r="Z47" s="479"/>
      <c r="AA47" s="522"/>
    </row>
    <row r="48" spans="1:27" ht="14.25">
      <c r="A48" s="23"/>
      <c r="B48" s="6">
        <v>3</v>
      </c>
      <c r="C48" s="479"/>
      <c r="D48" s="521"/>
      <c r="E48" s="522"/>
      <c r="F48" s="4"/>
      <c r="G48" s="4"/>
      <c r="H48" s="4"/>
      <c r="I48" s="4"/>
      <c r="J48" s="479"/>
      <c r="K48" s="522"/>
      <c r="M48" s="68"/>
      <c r="N48" s="45"/>
      <c r="O48" s="530"/>
      <c r="P48" s="521"/>
      <c r="Q48" s="521"/>
      <c r="R48" s="530"/>
      <c r="S48" s="521"/>
      <c r="T48" s="521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530"/>
      <c r="AA48" s="522"/>
    </row>
    <row r="49" spans="1:27" ht="14.25">
      <c r="A49" s="23"/>
      <c r="B49" s="6">
        <v>4</v>
      </c>
      <c r="C49" s="479"/>
      <c r="D49" s="521"/>
      <c r="E49" s="522"/>
      <c r="F49" s="4"/>
      <c r="G49" s="4"/>
      <c r="H49" s="4"/>
      <c r="I49" s="4"/>
      <c r="J49" s="479"/>
      <c r="K49" s="52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78"/>
      <c r="D50" s="528"/>
      <c r="E50" s="525"/>
      <c r="F50" s="27"/>
      <c r="G50" s="27"/>
      <c r="H50" s="27"/>
      <c r="I50" s="27"/>
      <c r="J50" s="478"/>
      <c r="K50" s="52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526" t="s">
        <v>89</v>
      </c>
      <c r="D51" s="533"/>
      <c r="E51" s="527"/>
      <c r="F51" s="28">
        <v>18</v>
      </c>
      <c r="G51" s="28">
        <v>800</v>
      </c>
      <c r="H51" s="28">
        <v>44.44</v>
      </c>
      <c r="I51" s="28">
        <v>-15</v>
      </c>
      <c r="J51" s="526" t="s">
        <v>84</v>
      </c>
      <c r="K51" s="527"/>
      <c r="M51" s="8"/>
      <c r="N51" s="8" t="s">
        <v>18</v>
      </c>
      <c r="O51" s="529" t="s">
        <v>12</v>
      </c>
      <c r="P51" s="530"/>
      <c r="Q51" s="531"/>
      <c r="R51" s="535" t="s">
        <v>53</v>
      </c>
      <c r="S51" s="536"/>
      <c r="T51" s="537"/>
      <c r="U51" s="57" t="s">
        <v>54</v>
      </c>
      <c r="V51" s="39" t="s">
        <v>19</v>
      </c>
      <c r="W51" s="57" t="s">
        <v>57</v>
      </c>
      <c r="X51" s="8" t="s">
        <v>2</v>
      </c>
      <c r="Y51" s="529" t="s">
        <v>50</v>
      </c>
      <c r="Z51" s="530"/>
      <c r="AA51" s="531"/>
    </row>
    <row r="52" spans="1:27" ht="14.25">
      <c r="A52" s="23"/>
      <c r="B52" s="70" t="s">
        <v>102</v>
      </c>
      <c r="C52" s="479"/>
      <c r="D52" s="521"/>
      <c r="E52" s="522"/>
      <c r="F52" s="4"/>
      <c r="G52" s="4"/>
      <c r="H52" s="4"/>
      <c r="I52" s="4"/>
      <c r="J52" s="479"/>
      <c r="K52" s="522"/>
      <c r="M52" s="56" t="s">
        <v>42</v>
      </c>
      <c r="N52" s="24">
        <v>1</v>
      </c>
      <c r="O52" s="524" t="s">
        <v>89</v>
      </c>
      <c r="P52" s="521"/>
      <c r="Q52" s="522"/>
      <c r="R52" s="538" t="s">
        <v>93</v>
      </c>
      <c r="S52" s="539"/>
      <c r="T52" s="54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24" t="s">
        <v>97</v>
      </c>
      <c r="Z52" s="521"/>
      <c r="AA52" s="522"/>
    </row>
    <row r="53" spans="1:27" ht="14.25">
      <c r="A53" s="23"/>
      <c r="B53" s="70" t="s">
        <v>100</v>
      </c>
      <c r="C53" s="479"/>
      <c r="D53" s="521"/>
      <c r="E53" s="522"/>
      <c r="F53" s="4"/>
      <c r="G53" s="4"/>
      <c r="H53" s="4"/>
      <c r="I53" s="4"/>
      <c r="J53" s="479"/>
      <c r="K53" s="522"/>
      <c r="M53" s="25"/>
      <c r="N53" s="29">
        <v>2</v>
      </c>
      <c r="O53" s="478"/>
      <c r="P53" s="528"/>
      <c r="Q53" s="525"/>
      <c r="R53" s="478"/>
      <c r="S53" s="528"/>
      <c r="T53" s="525"/>
      <c r="U53" s="27"/>
      <c r="V53" s="30"/>
      <c r="W53" s="30"/>
      <c r="X53" s="41">
        <f t="shared" si="20"/>
        <v>0</v>
      </c>
      <c r="Y53" s="478"/>
      <c r="Z53" s="528"/>
      <c r="AA53" s="525"/>
    </row>
    <row r="54" spans="1:27" ht="14.25">
      <c r="A54" s="23"/>
      <c r="B54" s="70" t="s">
        <v>99</v>
      </c>
      <c r="C54" s="479"/>
      <c r="D54" s="521"/>
      <c r="E54" s="522"/>
      <c r="F54" s="4"/>
      <c r="G54" s="4"/>
      <c r="H54" s="4"/>
      <c r="I54" s="4"/>
      <c r="J54" s="479"/>
      <c r="K54" s="522"/>
      <c r="M54" s="56" t="s">
        <v>43</v>
      </c>
      <c r="N54" s="42">
        <v>1</v>
      </c>
      <c r="O54" s="526" t="s">
        <v>94</v>
      </c>
      <c r="P54" s="533"/>
      <c r="Q54" s="527"/>
      <c r="R54" s="526" t="s">
        <v>95</v>
      </c>
      <c r="S54" s="533"/>
      <c r="T54" s="527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526" t="s">
        <v>96</v>
      </c>
      <c r="Z54" s="533"/>
      <c r="AA54" s="527"/>
    </row>
    <row r="55" spans="1:27" ht="14.25">
      <c r="A55" s="20"/>
      <c r="B55" s="70" t="s">
        <v>103</v>
      </c>
      <c r="C55" s="479"/>
      <c r="D55" s="521"/>
      <c r="E55" s="522"/>
      <c r="F55" s="4"/>
      <c r="G55" s="4"/>
      <c r="H55" s="4"/>
      <c r="I55" s="4"/>
      <c r="J55" s="479"/>
      <c r="K55" s="522"/>
      <c r="M55" s="22"/>
      <c r="N55" s="24">
        <v>2</v>
      </c>
      <c r="O55" s="479"/>
      <c r="P55" s="521"/>
      <c r="Q55" s="522"/>
      <c r="R55" s="479"/>
      <c r="S55" s="521"/>
      <c r="T55" s="522"/>
      <c r="U55" s="4"/>
      <c r="V55" s="14"/>
      <c r="W55" s="14"/>
      <c r="X55" s="13">
        <f t="shared" si="20"/>
        <v>0</v>
      </c>
      <c r="Y55" s="479"/>
      <c r="Z55" s="521"/>
      <c r="AA55" s="522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3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215"/>
    <col min="3" max="3" width="14" style="215" bestFit="1" customWidth="1"/>
    <col min="4" max="4" width="0.28515625" style="215" customWidth="1"/>
    <col min="5" max="5" width="8.7109375" style="215"/>
    <col min="6" max="6" width="16.28515625" style="215" bestFit="1" customWidth="1"/>
    <col min="7" max="16384" width="8.7109375" style="215"/>
  </cols>
  <sheetData>
    <row r="2" spans="2:7" ht="15.75">
      <c r="B2" s="545" t="s">
        <v>268</v>
      </c>
      <c r="C2" s="545"/>
      <c r="D2" s="545"/>
      <c r="E2" s="545"/>
      <c r="F2" s="545"/>
    </row>
    <row r="3" spans="2:7" ht="15">
      <c r="B3" s="216" t="s">
        <v>269</v>
      </c>
      <c r="C3" s="216" t="s">
        <v>270</v>
      </c>
      <c r="D3" s="217"/>
      <c r="E3" s="216" t="s">
        <v>271</v>
      </c>
      <c r="F3" s="216" t="s">
        <v>272</v>
      </c>
      <c r="G3" s="217"/>
    </row>
    <row r="4" spans="2:7" ht="15">
      <c r="B4" s="218" t="s">
        <v>273</v>
      </c>
      <c r="C4" s="218" t="s">
        <v>274</v>
      </c>
      <c r="D4" s="217"/>
      <c r="E4" s="218" t="s">
        <v>275</v>
      </c>
      <c r="F4" s="218" t="s">
        <v>276</v>
      </c>
      <c r="G4" s="217"/>
    </row>
    <row r="5" spans="2:7" ht="15">
      <c r="B5" s="218" t="s">
        <v>277</v>
      </c>
      <c r="C5" s="218" t="s">
        <v>278</v>
      </c>
      <c r="D5" s="217"/>
      <c r="E5" s="218" t="s">
        <v>279</v>
      </c>
      <c r="F5" s="218" t="s">
        <v>280</v>
      </c>
      <c r="G5" s="217"/>
    </row>
    <row r="6" spans="2:7" ht="15">
      <c r="B6" s="218" t="s">
        <v>281</v>
      </c>
      <c r="C6" s="218" t="s">
        <v>282</v>
      </c>
      <c r="D6" s="217"/>
      <c r="E6" s="219" t="s">
        <v>283</v>
      </c>
      <c r="F6" s="219" t="s">
        <v>140</v>
      </c>
      <c r="G6" s="217"/>
    </row>
    <row r="7" spans="2:7" ht="15">
      <c r="B7" s="219" t="s">
        <v>284</v>
      </c>
      <c r="C7" s="219" t="s">
        <v>285</v>
      </c>
      <c r="D7" s="217"/>
      <c r="E7" s="218" t="s">
        <v>286</v>
      </c>
      <c r="F7" s="218" t="s">
        <v>287</v>
      </c>
      <c r="G7" s="217"/>
    </row>
    <row r="8" spans="2:7" ht="15">
      <c r="B8" s="218" t="s">
        <v>288</v>
      </c>
      <c r="C8" s="218" t="s">
        <v>289</v>
      </c>
      <c r="D8" s="217"/>
      <c r="E8" s="218" t="s">
        <v>290</v>
      </c>
      <c r="F8" s="218" t="s">
        <v>291</v>
      </c>
      <c r="G8" s="217"/>
    </row>
    <row r="9" spans="2:7" ht="15">
      <c r="B9" s="218" t="s">
        <v>292</v>
      </c>
      <c r="C9" s="218" t="s">
        <v>293</v>
      </c>
      <c r="D9" s="217"/>
      <c r="E9" s="219" t="s">
        <v>294</v>
      </c>
      <c r="F9" s="219" t="s">
        <v>139</v>
      </c>
      <c r="G9" s="217"/>
    </row>
    <row r="10" spans="2:7" ht="15">
      <c r="B10" s="218" t="s">
        <v>295</v>
      </c>
      <c r="C10" s="218" t="s">
        <v>296</v>
      </c>
      <c r="D10" s="217"/>
      <c r="E10" s="218" t="s">
        <v>297</v>
      </c>
      <c r="F10" s="218" t="s">
        <v>298</v>
      </c>
      <c r="G10" s="217"/>
    </row>
    <row r="11" spans="2:7" ht="15">
      <c r="B11" s="218" t="s">
        <v>299</v>
      </c>
      <c r="C11" s="218" t="s">
        <v>300</v>
      </c>
      <c r="D11" s="217"/>
      <c r="E11" s="218" t="s">
        <v>301</v>
      </c>
      <c r="F11" s="218" t="s">
        <v>291</v>
      </c>
      <c r="G11" s="217"/>
    </row>
    <row r="12" spans="2:7" ht="15">
      <c r="B12" s="218" t="s">
        <v>302</v>
      </c>
      <c r="C12" s="218" t="s">
        <v>303</v>
      </c>
      <c r="D12" s="217"/>
      <c r="E12" s="218" t="s">
        <v>304</v>
      </c>
      <c r="F12" s="218" t="s">
        <v>305</v>
      </c>
      <c r="G12" s="217"/>
    </row>
    <row r="13" spans="2:7" ht="15">
      <c r="B13" s="219" t="s">
        <v>306</v>
      </c>
      <c r="C13" s="219" t="s">
        <v>138</v>
      </c>
      <c r="D13" s="217"/>
      <c r="E13" s="218" t="s">
        <v>307</v>
      </c>
      <c r="F13" s="218" t="s">
        <v>308</v>
      </c>
      <c r="G13" s="217"/>
    </row>
    <row r="14" spans="2:7" ht="15">
      <c r="B14" s="218" t="s">
        <v>309</v>
      </c>
      <c r="C14" s="218" t="s">
        <v>310</v>
      </c>
      <c r="D14" s="217"/>
      <c r="E14" s="219" t="s">
        <v>311</v>
      </c>
      <c r="F14" s="219" t="s">
        <v>312</v>
      </c>
      <c r="G14" s="217"/>
    </row>
    <row r="15" spans="2:7" ht="15">
      <c r="B15" s="219" t="s">
        <v>313</v>
      </c>
      <c r="C15" s="219" t="s">
        <v>314</v>
      </c>
      <c r="D15" s="217"/>
      <c r="E15" s="218" t="s">
        <v>315</v>
      </c>
      <c r="F15" s="218" t="s">
        <v>312</v>
      </c>
      <c r="G15" s="217"/>
    </row>
    <row r="16" spans="2:7" ht="15">
      <c r="B16" s="218" t="s">
        <v>316</v>
      </c>
      <c r="C16" s="218" t="s">
        <v>317</v>
      </c>
      <c r="D16" s="217"/>
      <c r="E16" s="219" t="s">
        <v>318</v>
      </c>
      <c r="F16" s="219" t="s">
        <v>319</v>
      </c>
      <c r="G16" s="217"/>
    </row>
    <row r="17" spans="2:7" ht="15">
      <c r="B17" s="218" t="s">
        <v>320</v>
      </c>
      <c r="C17" s="218" t="s">
        <v>321</v>
      </c>
      <c r="D17" s="217"/>
      <c r="E17" s="218" t="s">
        <v>322</v>
      </c>
      <c r="F17" s="218" t="s">
        <v>323</v>
      </c>
      <c r="G17" s="217"/>
    </row>
    <row r="18" spans="2:7" ht="15">
      <c r="B18" s="218" t="s">
        <v>324</v>
      </c>
      <c r="C18" s="218" t="s">
        <v>325</v>
      </c>
      <c r="D18" s="217"/>
      <c r="E18" s="218" t="s">
        <v>326</v>
      </c>
      <c r="F18" s="218" t="s">
        <v>327</v>
      </c>
      <c r="G18" s="217"/>
    </row>
    <row r="19" spans="2:7" ht="15">
      <c r="B19" s="218" t="s">
        <v>328</v>
      </c>
      <c r="C19" s="218" t="s">
        <v>329</v>
      </c>
      <c r="D19" s="217"/>
      <c r="E19" s="218" t="s">
        <v>330</v>
      </c>
      <c r="F19" s="218" t="s">
        <v>331</v>
      </c>
      <c r="G19" s="217"/>
    </row>
    <row r="20" spans="2:7" ht="15">
      <c r="B20" s="218" t="s">
        <v>332</v>
      </c>
      <c r="C20" s="218" t="s">
        <v>333</v>
      </c>
      <c r="D20" s="217"/>
      <c r="G20" s="217"/>
    </row>
    <row r="21" spans="2:7" ht="15">
      <c r="D21" s="217"/>
      <c r="G21" s="217"/>
    </row>
    <row r="22" spans="2:7" ht="15">
      <c r="D22" s="217"/>
      <c r="G22" s="217"/>
    </row>
    <row r="23" spans="2:7" ht="15">
      <c r="D23" s="217"/>
      <c r="G23" s="217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24" sqref="E24"/>
    </sheetView>
  </sheetViews>
  <sheetFormatPr defaultRowHeight="15"/>
  <cols>
    <col min="1" max="1" width="33.42578125" style="262" customWidth="1"/>
    <col min="2" max="6" width="9.140625" style="262"/>
    <col min="7" max="7" width="26" style="262" bestFit="1" customWidth="1"/>
    <col min="8" max="16384" width="9.140625" style="262"/>
  </cols>
  <sheetData>
    <row r="1" spans="1:4" ht="15.75">
      <c r="A1" s="260" t="s">
        <v>382</v>
      </c>
      <c r="B1" s="260" t="s">
        <v>383</v>
      </c>
      <c r="C1" s="260" t="s">
        <v>384</v>
      </c>
      <c r="D1" s="261"/>
    </row>
    <row r="2" spans="1:4" ht="15.75">
      <c r="A2" s="289" t="s">
        <v>385</v>
      </c>
      <c r="B2" s="289">
        <v>13</v>
      </c>
      <c r="C2" s="289">
        <v>2000</v>
      </c>
      <c r="D2" s="263" t="s">
        <v>386</v>
      </c>
    </row>
    <row r="3" spans="1:4" ht="15.75">
      <c r="A3" s="289" t="s">
        <v>539</v>
      </c>
      <c r="B3" s="289">
        <v>15</v>
      </c>
      <c r="C3" s="289">
        <v>1565</v>
      </c>
      <c r="D3" s="263" t="s">
        <v>387</v>
      </c>
    </row>
    <row r="4" spans="1:4" ht="15.75">
      <c r="A4" s="289" t="s">
        <v>388</v>
      </c>
      <c r="B4" s="289">
        <v>16</v>
      </c>
      <c r="C4" s="289">
        <v>1915</v>
      </c>
      <c r="D4" s="261"/>
    </row>
    <row r="5" spans="1:4" ht="15.75">
      <c r="A5" s="289" t="s">
        <v>389</v>
      </c>
      <c r="B5" s="289">
        <v>12</v>
      </c>
      <c r="C5" s="289">
        <v>2000</v>
      </c>
      <c r="D5" s="261"/>
    </row>
    <row r="6" spans="1:4" ht="15.75">
      <c r="A6" s="289" t="s">
        <v>390</v>
      </c>
      <c r="B6" s="289">
        <v>18</v>
      </c>
      <c r="C6" s="289">
        <v>1565</v>
      </c>
      <c r="D6" s="261"/>
    </row>
    <row r="7" spans="1:4" ht="15.75">
      <c r="A7" s="289" t="s">
        <v>391</v>
      </c>
      <c r="B7" s="289">
        <v>13</v>
      </c>
      <c r="C7" s="289">
        <v>2000</v>
      </c>
      <c r="D7" s="261"/>
    </row>
    <row r="8" spans="1:4" ht="15.75">
      <c r="A8" s="289" t="s">
        <v>420</v>
      </c>
      <c r="B8" s="289">
        <v>14</v>
      </c>
      <c r="C8" s="289">
        <v>1895</v>
      </c>
      <c r="D8" s="261"/>
    </row>
    <row r="9" spans="1:4" ht="15.75">
      <c r="A9" s="289" t="s">
        <v>554</v>
      </c>
      <c r="B9" s="289">
        <v>15</v>
      </c>
      <c r="C9" s="289">
        <v>1800</v>
      </c>
      <c r="D9" s="261"/>
    </row>
    <row r="10" spans="1:4" ht="15.75">
      <c r="A10" s="289" t="s">
        <v>566</v>
      </c>
      <c r="B10" s="289">
        <v>17</v>
      </c>
      <c r="C10" s="289">
        <v>1500</v>
      </c>
      <c r="D10" s="261"/>
    </row>
    <row r="11" spans="1:4" ht="15.75">
      <c r="A11" s="289" t="s">
        <v>394</v>
      </c>
      <c r="B11" s="289">
        <v>16</v>
      </c>
      <c r="C11" s="289">
        <v>1429</v>
      </c>
      <c r="D11" s="261"/>
    </row>
    <row r="12" spans="1:4" ht="15.75">
      <c r="A12" s="289" t="s">
        <v>555</v>
      </c>
      <c r="B12" s="289">
        <v>18</v>
      </c>
      <c r="C12" s="289">
        <v>1636</v>
      </c>
      <c r="D12" s="261"/>
    </row>
    <row r="13" spans="1:4" ht="15.75">
      <c r="A13" s="289" t="s">
        <v>567</v>
      </c>
      <c r="B13" s="289">
        <v>16</v>
      </c>
      <c r="C13" s="289">
        <v>1440</v>
      </c>
      <c r="D13" s="261"/>
    </row>
    <row r="14" spans="1:4" ht="15.75">
      <c r="A14" s="289" t="s">
        <v>395</v>
      </c>
      <c r="B14" s="289">
        <v>18</v>
      </c>
      <c r="C14" s="289">
        <v>1500</v>
      </c>
      <c r="D14" s="261"/>
    </row>
    <row r="15" spans="1:4" ht="15.75">
      <c r="A15" s="289" t="s">
        <v>540</v>
      </c>
      <c r="B15" s="289">
        <v>13</v>
      </c>
      <c r="C15" s="289">
        <v>1385</v>
      </c>
      <c r="D15" s="261"/>
    </row>
    <row r="16" spans="1:4" ht="15.75">
      <c r="A16" s="289" t="s">
        <v>442</v>
      </c>
      <c r="B16" s="289">
        <v>17</v>
      </c>
      <c r="C16" s="289">
        <v>1565</v>
      </c>
      <c r="D16" s="261"/>
    </row>
    <row r="17" spans="1:5" ht="15.75">
      <c r="A17" s="289" t="s">
        <v>568</v>
      </c>
      <c r="B17" s="289">
        <v>14</v>
      </c>
      <c r="C17" s="289">
        <v>1385</v>
      </c>
      <c r="D17" s="261"/>
    </row>
    <row r="18" spans="1:5" ht="15.75">
      <c r="A18" s="289" t="s">
        <v>396</v>
      </c>
      <c r="B18" s="289">
        <v>18</v>
      </c>
      <c r="C18" s="289">
        <v>1385</v>
      </c>
      <c r="D18" s="261"/>
    </row>
    <row r="19" spans="1:5" ht="15.75">
      <c r="A19" s="289" t="s">
        <v>542</v>
      </c>
      <c r="B19" s="289">
        <v>16</v>
      </c>
      <c r="C19" s="289">
        <v>1385</v>
      </c>
      <c r="D19" s="261"/>
    </row>
    <row r="20" spans="1:5" ht="15.75">
      <c r="A20" s="289" t="s">
        <v>541</v>
      </c>
      <c r="B20" s="289">
        <v>17</v>
      </c>
      <c r="C20" s="289">
        <v>1636</v>
      </c>
      <c r="D20" s="261"/>
    </row>
    <row r="21" spans="1:5" ht="15.75">
      <c r="A21" s="289" t="s">
        <v>397</v>
      </c>
      <c r="B21" s="289">
        <v>13</v>
      </c>
      <c r="C21" s="289">
        <v>1565</v>
      </c>
      <c r="D21" s="261"/>
    </row>
    <row r="22" spans="1:5" ht="15.75">
      <c r="A22" s="289" t="s">
        <v>398</v>
      </c>
      <c r="B22" s="289">
        <v>12</v>
      </c>
      <c r="C22" s="289">
        <v>1565</v>
      </c>
    </row>
    <row r="23" spans="1:5" ht="15.75">
      <c r="A23" s="289" t="s">
        <v>543</v>
      </c>
      <c r="B23" s="289">
        <v>12</v>
      </c>
      <c r="C23" s="289">
        <v>1565</v>
      </c>
      <c r="E23" s="298" t="s">
        <v>569</v>
      </c>
    </row>
    <row r="24" spans="1:5" ht="15.75">
      <c r="A24" s="289"/>
      <c r="B24" s="289"/>
      <c r="C24" s="289"/>
    </row>
    <row r="25" spans="1:5" ht="15.75">
      <c r="A25" s="289"/>
      <c r="B25" s="289"/>
      <c r="C25" s="289"/>
    </row>
    <row r="26" spans="1:5" ht="15.75">
      <c r="A26" s="289"/>
      <c r="B26" s="289"/>
      <c r="C26" s="289"/>
    </row>
    <row r="27" spans="1:5" ht="15.75">
      <c r="A27" s="289"/>
      <c r="B27" s="289"/>
      <c r="C27" s="289"/>
    </row>
  </sheetData>
  <phoneticPr fontId="16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4CCE48-F563-4323-BAF9-DBA98485AC95}"/>
</file>

<file path=customXml/itemProps2.xml><?xml version="1.0" encoding="utf-8"?>
<ds:datastoreItem xmlns:ds="http://schemas.openxmlformats.org/officeDocument/2006/customXml" ds:itemID="{43DEFB4F-1A56-4339-8C11-2B87F1C7F34F}"/>
</file>

<file path=customXml/itemProps3.xml><?xml version="1.0" encoding="utf-8"?>
<ds:datastoreItem xmlns:ds="http://schemas.openxmlformats.org/officeDocument/2006/customXml" ds:itemID="{E0470DDE-021B-432E-9DFF-DA8BEAA4D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6</vt:i4>
      </vt:variant>
    </vt:vector>
  </HeadingPairs>
  <TitlesOfParts>
    <vt:vector size="26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</vt:lpstr>
      <vt:lpstr>生產管理報表 7-1(月)</vt:lpstr>
      <vt:lpstr>生產管理報表 7-1 (週)</vt:lpstr>
      <vt:lpstr>生產管理報表 8-1</vt:lpstr>
      <vt:lpstr>生產管理報表 8-2</vt:lpstr>
      <vt:lpstr>生產管理報表 9</vt:lpstr>
      <vt:lpstr>報廢－原因別分析</vt:lpstr>
      <vt:lpstr>超用－原因別分析</vt:lpstr>
      <vt:lpstr>填寫舉例</vt:lpstr>
      <vt:lpstr>鮮食品群番</vt:lpstr>
      <vt:lpstr>10產線配置圖</vt:lpstr>
      <vt:lpstr>'生產管理報表 6-1'!Print_Area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2025-10-09T01:03:09Z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