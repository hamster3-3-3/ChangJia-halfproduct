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xr:revisionPtr revIDLastSave="1" documentId="11_D0D6AE16664C8447D73EF44A7D425B696B3D4289" xr6:coauthVersionLast="47" xr6:coauthVersionMax="47" xr10:uidLastSave="{14F8077D-E5EB-4136-AA79-D4A49BFEEAAB}"/>
  <bookViews>
    <workbookView xWindow="-120" yWindow="-120" windowWidth="29040" windowHeight="15720" tabRatio="865" activeTab="5" xr2:uid="{00000000-000D-0000-FFFF-FFFF00000000}"/>
  </bookViews>
  <sheets>
    <sheet name="生產管理報表(月)" sheetId="13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月)" sheetId="44" r:id="rId9"/>
    <sheet name="生產管理報表 7-1(月)" sheetId="40" r:id="rId10"/>
    <sheet name="生產管理報表 8-1(月報廢)" sheetId="19" r:id="rId11"/>
    <sheet name="生產管理報表 8-2(月報廢)" sheetId="20" r:id="rId12"/>
    <sheet name="生產管理報表 8-3(月超用)" sheetId="50" r:id="rId13"/>
    <sheet name="生產管理報表 8-4(月超用)" sheetId="51" r:id="rId14"/>
    <sheet name="生產管理報表 9(月)" sheetId="21" r:id="rId15"/>
    <sheet name="報廢－原因別分析 (月)" sheetId="52" r:id="rId16"/>
    <sheet name="超用－原因別分析 (月) " sheetId="55" r:id="rId17"/>
    <sheet name="日別報廢率總表 " sheetId="56" r:id="rId18"/>
    <sheet name="填寫舉例" sheetId="1" r:id="rId19"/>
    <sheet name="鮮食品群番" sheetId="38" r:id="rId20"/>
    <sheet name="10產線配置圖" sheetId="47" r:id="rId21"/>
  </sheet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(月)'!$U$7:$U$26</definedName>
    <definedName name="_xlnm._FilterDatabase" localSheetId="16" hidden="1">'超用－原因別分析 (月) '!$U$7:$U$26</definedName>
    <definedName name="_xlnm.Print_Area" localSheetId="8">'生產管理報表 6-1(月)'!$A$1:$L$39</definedName>
    <definedName name="_xlnm.Print_Area" localSheetId="9">'生產管理報表 7-1(月)'!$A$1:$M$15</definedName>
    <definedName name="_xlnm.Print_Area" localSheetId="14">'生產管理報表 9(月)'!#REF!</definedName>
    <definedName name="_xlnm.Print_Area" localSheetId="0">'生產管理報表(月)'!$A$1:$K$24</definedName>
    <definedName name="_xlnm.Print_Area" localSheetId="1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3" l="1"/>
  <c r="C10" i="13"/>
  <c r="L34" i="56" l="1"/>
  <c r="J34" i="56"/>
  <c r="H34" i="56"/>
  <c r="F34" i="56"/>
  <c r="D34" i="56"/>
  <c r="K36" i="56"/>
  <c r="K35" i="56"/>
  <c r="I36" i="56"/>
  <c r="I35" i="56"/>
  <c r="G36" i="56"/>
  <c r="G35" i="56"/>
  <c r="E36" i="56"/>
  <c r="E35" i="56"/>
  <c r="C35" i="56"/>
  <c r="C36" i="56"/>
  <c r="B36" i="56"/>
  <c r="B35" i="56"/>
  <c r="M29" i="51"/>
  <c r="M28" i="51"/>
  <c r="M27" i="51"/>
  <c r="M26" i="51"/>
  <c r="M25" i="51"/>
  <c r="M17" i="51"/>
  <c r="M18" i="51"/>
  <c r="M19" i="51"/>
  <c r="M20" i="51"/>
  <c r="M9" i="51"/>
  <c r="M10" i="51"/>
  <c r="M11" i="51"/>
  <c r="M12" i="51"/>
  <c r="I7" i="55"/>
  <c r="I8" i="55"/>
  <c r="I9" i="55"/>
  <c r="I10" i="55"/>
  <c r="I11" i="55"/>
  <c r="I12" i="55"/>
  <c r="I13" i="55"/>
  <c r="I14" i="55"/>
  <c r="I15" i="55"/>
  <c r="I16" i="55"/>
  <c r="I17" i="55"/>
  <c r="I18" i="55"/>
  <c r="I19" i="55"/>
  <c r="I20" i="55"/>
  <c r="I21" i="55"/>
  <c r="I22" i="55"/>
  <c r="I23" i="55"/>
  <c r="I24" i="55"/>
  <c r="I25" i="55"/>
  <c r="I26" i="55"/>
  <c r="M10" i="40"/>
  <c r="M29" i="20"/>
  <c r="M28" i="20"/>
  <c r="M27" i="20"/>
  <c r="M26" i="20"/>
  <c r="M25" i="20"/>
  <c r="M17" i="20"/>
  <c r="M18" i="20"/>
  <c r="M19" i="20"/>
  <c r="M20" i="20"/>
  <c r="M9" i="20"/>
  <c r="M10" i="20"/>
  <c r="M11" i="20"/>
  <c r="M12" i="20"/>
  <c r="J35" i="56" l="1"/>
  <c r="I15" i="40"/>
  <c r="G15" i="40"/>
  <c r="G14" i="40"/>
  <c r="M9" i="40"/>
  <c r="G10" i="40"/>
  <c r="G9" i="40"/>
  <c r="K5" i="3"/>
  <c r="F37" i="6"/>
  <c r="N37" i="6" s="1"/>
  <c r="F36" i="6"/>
  <c r="F35" i="6"/>
  <c r="J35" i="6" s="1"/>
  <c r="F34" i="6"/>
  <c r="N34" i="6" s="1"/>
  <c r="F33" i="6"/>
  <c r="N33" i="6" s="1"/>
  <c r="F32" i="6"/>
  <c r="F31" i="6"/>
  <c r="J31" i="6" s="1"/>
  <c r="F30" i="6"/>
  <c r="N30" i="6" s="1"/>
  <c r="F29" i="6"/>
  <c r="F28" i="6"/>
  <c r="J28" i="6" s="1"/>
  <c r="F27" i="6"/>
  <c r="G27" i="6" s="1"/>
  <c r="F26" i="6"/>
  <c r="F25" i="6"/>
  <c r="F24" i="6"/>
  <c r="J24" i="6" s="1"/>
  <c r="F23" i="6"/>
  <c r="F22" i="6"/>
  <c r="F21" i="6"/>
  <c r="J21" i="6" s="1"/>
  <c r="F20" i="6"/>
  <c r="F19" i="6"/>
  <c r="F18" i="6"/>
  <c r="J18" i="6" s="1"/>
  <c r="F17" i="6"/>
  <c r="F16" i="6"/>
  <c r="F15" i="6"/>
  <c r="L15" i="6" s="1"/>
  <c r="F14" i="6"/>
  <c r="F13" i="6"/>
  <c r="F12" i="6"/>
  <c r="J12" i="6" s="1"/>
  <c r="F11" i="6"/>
  <c r="N11" i="6" s="1"/>
  <c r="F10" i="6"/>
  <c r="F9" i="6"/>
  <c r="L9" i="6" s="1"/>
  <c r="F8" i="6"/>
  <c r="N8" i="6" s="1"/>
  <c r="F7" i="6"/>
  <c r="N7" i="6" s="1"/>
  <c r="F37" i="7"/>
  <c r="F36" i="7"/>
  <c r="F35" i="7"/>
  <c r="N35" i="7" s="1"/>
  <c r="F34" i="7"/>
  <c r="N34" i="7" s="1"/>
  <c r="F33" i="7"/>
  <c r="F32" i="7"/>
  <c r="F31" i="7"/>
  <c r="N31" i="7" s="1"/>
  <c r="F30" i="7"/>
  <c r="F29" i="7"/>
  <c r="F28" i="7"/>
  <c r="N28" i="7" s="1"/>
  <c r="F27" i="7"/>
  <c r="F26" i="7"/>
  <c r="F25" i="7"/>
  <c r="J25" i="7" s="1"/>
  <c r="F24" i="7"/>
  <c r="N24" i="7" s="1"/>
  <c r="F23" i="7"/>
  <c r="F22" i="7"/>
  <c r="N22" i="7" s="1"/>
  <c r="F21" i="7"/>
  <c r="F20" i="7"/>
  <c r="F19" i="7"/>
  <c r="F18" i="7"/>
  <c r="N18" i="7" s="1"/>
  <c r="F17" i="7"/>
  <c r="F16" i="7"/>
  <c r="F15" i="7"/>
  <c r="N15" i="7" s="1"/>
  <c r="F14" i="7"/>
  <c r="F13" i="7"/>
  <c r="F12" i="7"/>
  <c r="N12" i="7" s="1"/>
  <c r="F11" i="7"/>
  <c r="F10" i="7"/>
  <c r="F9" i="7"/>
  <c r="N9" i="7" s="1"/>
  <c r="F8" i="7"/>
  <c r="F7" i="7"/>
  <c r="V32" i="5"/>
  <c r="S32" i="5"/>
  <c r="P32" i="5"/>
  <c r="M32" i="5"/>
  <c r="J7" i="13"/>
  <c r="I7" i="13"/>
  <c r="I43" i="5"/>
  <c r="I42" i="5"/>
  <c r="I41" i="5"/>
  <c r="I40" i="5"/>
  <c r="I39" i="5"/>
  <c r="I38" i="5"/>
  <c r="I37" i="5"/>
  <c r="I36" i="5"/>
  <c r="I35" i="5"/>
  <c r="I34" i="5"/>
  <c r="I33" i="5"/>
  <c r="I32" i="5"/>
  <c r="J32" i="5" s="1"/>
  <c r="G32" i="5"/>
  <c r="I31" i="5"/>
  <c r="I30" i="5"/>
  <c r="I29" i="5"/>
  <c r="I28" i="5"/>
  <c r="I27" i="5"/>
  <c r="I26" i="5"/>
  <c r="V25" i="5"/>
  <c r="S25" i="5"/>
  <c r="P25" i="5"/>
  <c r="M25" i="5"/>
  <c r="I25" i="5"/>
  <c r="J25" i="5" s="1"/>
  <c r="G25" i="5"/>
  <c r="I24" i="5"/>
  <c r="I23" i="5"/>
  <c r="I22" i="5"/>
  <c r="I21" i="5"/>
  <c r="I20" i="5"/>
  <c r="I19" i="5"/>
  <c r="V18" i="5"/>
  <c r="S18" i="5"/>
  <c r="P18" i="5"/>
  <c r="M18" i="5"/>
  <c r="I18" i="5"/>
  <c r="G18" i="5"/>
  <c r="I17" i="5"/>
  <c r="I16" i="5"/>
  <c r="I15" i="5"/>
  <c r="I14" i="5"/>
  <c r="I13" i="5"/>
  <c r="I12" i="5"/>
  <c r="V11" i="5"/>
  <c r="S11" i="5"/>
  <c r="P11" i="5"/>
  <c r="M11" i="5"/>
  <c r="I11" i="5"/>
  <c r="J11" i="5" s="1"/>
  <c r="G11" i="5"/>
  <c r="I10" i="5"/>
  <c r="I9" i="5"/>
  <c r="I8" i="5"/>
  <c r="I7" i="5"/>
  <c r="I6" i="5"/>
  <c r="W5" i="5"/>
  <c r="V5" i="5"/>
  <c r="T5" i="5"/>
  <c r="S5" i="5"/>
  <c r="Q5" i="5"/>
  <c r="P5" i="5"/>
  <c r="N5" i="5"/>
  <c r="M5" i="5"/>
  <c r="I5" i="5"/>
  <c r="K5" i="5" s="1"/>
  <c r="H5" i="5"/>
  <c r="G5" i="5"/>
  <c r="V37" i="3"/>
  <c r="S37" i="3"/>
  <c r="U35" i="3"/>
  <c r="O35" i="3"/>
  <c r="U34" i="3"/>
  <c r="O34" i="3"/>
  <c r="U33" i="3"/>
  <c r="O33" i="3"/>
  <c r="U32" i="3"/>
  <c r="O32" i="3"/>
  <c r="M32" i="3"/>
  <c r="J32" i="3"/>
  <c r="G32" i="3"/>
  <c r="U31" i="3"/>
  <c r="O31" i="3"/>
  <c r="U30" i="3"/>
  <c r="O30" i="3"/>
  <c r="U29" i="3"/>
  <c r="O29" i="3"/>
  <c r="U28" i="3"/>
  <c r="O28" i="3"/>
  <c r="U27" i="3"/>
  <c r="V27" i="3" s="1"/>
  <c r="S27" i="3"/>
  <c r="O27" i="3"/>
  <c r="U26" i="3"/>
  <c r="O26" i="3"/>
  <c r="U25" i="3"/>
  <c r="O25" i="3"/>
  <c r="M25" i="3"/>
  <c r="J25" i="3"/>
  <c r="G25" i="3"/>
  <c r="U24" i="3"/>
  <c r="O24" i="3"/>
  <c r="U23" i="3"/>
  <c r="O23" i="3"/>
  <c r="U22" i="3"/>
  <c r="O22" i="3"/>
  <c r="U21" i="3"/>
  <c r="O21" i="3"/>
  <c r="U20" i="3"/>
  <c r="S20" i="3"/>
  <c r="O20" i="3"/>
  <c r="U19" i="3"/>
  <c r="O19" i="3"/>
  <c r="U18" i="3"/>
  <c r="O18" i="3"/>
  <c r="M18" i="3"/>
  <c r="J18" i="3"/>
  <c r="G18" i="3"/>
  <c r="U17" i="3"/>
  <c r="O17" i="3"/>
  <c r="U16" i="3"/>
  <c r="O16" i="3"/>
  <c r="U15" i="3"/>
  <c r="O15" i="3"/>
  <c r="U14" i="3"/>
  <c r="O14" i="3"/>
  <c r="U13" i="3"/>
  <c r="V13" i="3" s="1"/>
  <c r="S13" i="3"/>
  <c r="O13" i="3"/>
  <c r="U12" i="3"/>
  <c r="O12" i="3"/>
  <c r="U11" i="3"/>
  <c r="O11" i="3"/>
  <c r="M11" i="3"/>
  <c r="J11" i="3"/>
  <c r="G11" i="3"/>
  <c r="U10" i="3"/>
  <c r="O10" i="3"/>
  <c r="U9" i="3"/>
  <c r="O9" i="3"/>
  <c r="U8" i="3"/>
  <c r="O8" i="3"/>
  <c r="U7" i="3"/>
  <c r="O7" i="3"/>
  <c r="U6" i="3"/>
  <c r="V6" i="3" s="1"/>
  <c r="S6" i="3"/>
  <c r="O6" i="3"/>
  <c r="U5" i="3"/>
  <c r="V5" i="3" s="1"/>
  <c r="T5" i="3"/>
  <c r="S5" i="3"/>
  <c r="O5" i="3"/>
  <c r="N5" i="3"/>
  <c r="M5" i="3"/>
  <c r="J5" i="3"/>
  <c r="H5" i="3"/>
  <c r="G5" i="3"/>
  <c r="P5" i="3" l="1"/>
  <c r="Q5" i="3"/>
  <c r="W5" i="3"/>
  <c r="P11" i="3"/>
  <c r="P18" i="3"/>
  <c r="V20" i="3"/>
  <c r="P25" i="3"/>
  <c r="J18" i="5"/>
  <c r="J7" i="7"/>
  <c r="N7" i="7"/>
  <c r="L7" i="7"/>
  <c r="N8" i="7"/>
  <c r="L8" i="7"/>
  <c r="J10" i="7"/>
  <c r="N10" i="7"/>
  <c r="L10" i="7"/>
  <c r="N11" i="7"/>
  <c r="L11" i="7"/>
  <c r="G13" i="7"/>
  <c r="N13" i="7"/>
  <c r="L13" i="7"/>
  <c r="J13" i="7"/>
  <c r="N14" i="7"/>
  <c r="L14" i="7"/>
  <c r="J14" i="7"/>
  <c r="N16" i="7"/>
  <c r="L16" i="7"/>
  <c r="J16" i="7"/>
  <c r="N17" i="7"/>
  <c r="L17" i="7"/>
  <c r="J17" i="7"/>
  <c r="N19" i="7"/>
  <c r="L19" i="7"/>
  <c r="J19" i="7"/>
  <c r="N20" i="7"/>
  <c r="L20" i="7"/>
  <c r="J20" i="7"/>
  <c r="G20" i="7"/>
  <c r="J23" i="7"/>
  <c r="N23" i="7"/>
  <c r="L23" i="7"/>
  <c r="J26" i="7"/>
  <c r="N26" i="7"/>
  <c r="L26" i="7"/>
  <c r="L27" i="7"/>
  <c r="N27" i="7"/>
  <c r="N29" i="7"/>
  <c r="L29" i="7"/>
  <c r="J29" i="7"/>
  <c r="L30" i="7"/>
  <c r="N30" i="7"/>
  <c r="N32" i="7"/>
  <c r="L32" i="7"/>
  <c r="J32" i="7"/>
  <c r="L33" i="7"/>
  <c r="N33" i="7"/>
  <c r="J36" i="7"/>
  <c r="N36" i="7"/>
  <c r="L36" i="7"/>
  <c r="N37" i="7"/>
  <c r="L37" i="7"/>
  <c r="L10" i="6"/>
  <c r="N10" i="6"/>
  <c r="N13" i="6"/>
  <c r="L13" i="6"/>
  <c r="L14" i="6"/>
  <c r="N14" i="6"/>
  <c r="J16" i="6"/>
  <c r="N16" i="6"/>
  <c r="L16" i="6"/>
  <c r="L17" i="6"/>
  <c r="N17" i="6"/>
  <c r="J19" i="6"/>
  <c r="N19" i="6"/>
  <c r="L19" i="6"/>
  <c r="J20" i="6"/>
  <c r="N20" i="6"/>
  <c r="L20" i="6"/>
  <c r="N22" i="6"/>
  <c r="L22" i="6"/>
  <c r="J22" i="6"/>
  <c r="N23" i="6"/>
  <c r="L23" i="6"/>
  <c r="J23" i="6"/>
  <c r="N25" i="6"/>
  <c r="L25" i="6"/>
  <c r="J25" i="6"/>
  <c r="N26" i="6"/>
  <c r="L26" i="6"/>
  <c r="J26" i="6"/>
  <c r="N29" i="6"/>
  <c r="L29" i="6"/>
  <c r="J29" i="6"/>
  <c r="N32" i="6"/>
  <c r="L32" i="6"/>
  <c r="J32" i="6"/>
  <c r="L36" i="6"/>
  <c r="N36" i="6"/>
  <c r="L35" i="6"/>
  <c r="N9" i="6"/>
  <c r="H7" i="6"/>
  <c r="N15" i="6"/>
  <c r="N18" i="6"/>
  <c r="L21" i="6"/>
  <c r="L24" i="6"/>
  <c r="J27" i="6"/>
  <c r="J30" i="6"/>
  <c r="J33" i="6"/>
  <c r="J15" i="6"/>
  <c r="J10" i="6"/>
  <c r="J9" i="6"/>
  <c r="N12" i="6"/>
  <c r="L18" i="6"/>
  <c r="N35" i="6"/>
  <c r="J7" i="6"/>
  <c r="G13" i="6"/>
  <c r="N21" i="6"/>
  <c r="N24" i="6"/>
  <c r="L27" i="6"/>
  <c r="L30" i="6"/>
  <c r="L33" i="6"/>
  <c r="J36" i="6"/>
  <c r="L7" i="6"/>
  <c r="J13" i="6"/>
  <c r="N27" i="6"/>
  <c r="G34" i="6"/>
  <c r="J8" i="6"/>
  <c r="J11" i="6"/>
  <c r="L28" i="6"/>
  <c r="L31" i="6"/>
  <c r="J34" i="6"/>
  <c r="J37" i="6"/>
  <c r="L12" i="6"/>
  <c r="G7" i="6"/>
  <c r="L8" i="6"/>
  <c r="L11" i="6"/>
  <c r="J14" i="6"/>
  <c r="J17" i="6"/>
  <c r="G20" i="6"/>
  <c r="N28" i="6"/>
  <c r="N31" i="6"/>
  <c r="L34" i="6"/>
  <c r="L37" i="6"/>
  <c r="J9" i="7"/>
  <c r="J12" i="7"/>
  <c r="J35" i="7"/>
  <c r="L9" i="7"/>
  <c r="L12" i="7"/>
  <c r="J15" i="7"/>
  <c r="J18" i="7"/>
  <c r="L35" i="7"/>
  <c r="G7" i="7"/>
  <c r="L15" i="7"/>
  <c r="L18" i="7"/>
  <c r="J21" i="7"/>
  <c r="J24" i="7"/>
  <c r="G27" i="7"/>
  <c r="H7" i="7"/>
  <c r="L21" i="7"/>
  <c r="L24" i="7"/>
  <c r="J27" i="7"/>
  <c r="J30" i="7"/>
  <c r="J33" i="7"/>
  <c r="N21" i="7"/>
  <c r="J22" i="7"/>
  <c r="J28" i="7"/>
  <c r="L22" i="7"/>
  <c r="L25" i="7"/>
  <c r="J31" i="7"/>
  <c r="G34" i="7"/>
  <c r="J8" i="7"/>
  <c r="J11" i="7"/>
  <c r="N25" i="7"/>
  <c r="L28" i="7"/>
  <c r="L31" i="7"/>
  <c r="J34" i="7"/>
  <c r="J37" i="7"/>
  <c r="L34" i="7"/>
  <c r="J5" i="5"/>
  <c r="AB136" i="48" l="1"/>
  <c r="AC136" i="48" s="1"/>
  <c r="W136" i="48"/>
  <c r="X136" i="48" s="1"/>
  <c r="AB135" i="48"/>
  <c r="AC135" i="48" s="1"/>
  <c r="W135" i="48"/>
  <c r="X135" i="48" s="1"/>
  <c r="R135" i="48"/>
  <c r="S135" i="48" s="1"/>
  <c r="K135" i="48"/>
  <c r="M135" i="48" s="1"/>
  <c r="J135" i="48"/>
  <c r="I135" i="48"/>
  <c r="AB134" i="48"/>
  <c r="AC134" i="48" s="1"/>
  <c r="W134" i="48"/>
  <c r="X134" i="48" s="1"/>
  <c r="R134" i="48"/>
  <c r="K134" i="48" s="1"/>
  <c r="M134" i="48"/>
  <c r="J134" i="48"/>
  <c r="I134" i="48"/>
  <c r="AV133" i="48"/>
  <c r="AW133" i="48" s="1"/>
  <c r="AB133" i="48"/>
  <c r="AC133" i="48" s="1"/>
  <c r="W133" i="48"/>
  <c r="X133" i="48" s="1"/>
  <c r="R133" i="48"/>
  <c r="S133" i="48" s="1"/>
  <c r="K133" i="48"/>
  <c r="M133" i="48" s="1"/>
  <c r="J133" i="48"/>
  <c r="I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F132" i="48"/>
  <c r="E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S131" i="48" s="1"/>
  <c r="K131" i="48"/>
  <c r="M131" i="48" s="1"/>
  <c r="J131" i="48"/>
  <c r="I131" i="48"/>
  <c r="F131" i="48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S130" i="48" s="1"/>
  <c r="K130" i="48"/>
  <c r="M130" i="48" s="1"/>
  <c r="J130" i="48"/>
  <c r="I130" i="48"/>
  <c r="F130" i="48"/>
  <c r="E130" i="48"/>
  <c r="AV129" i="48"/>
  <c r="AW129" i="48" s="1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R129" i="48"/>
  <c r="S129" i="48" s="1"/>
  <c r="J129" i="48"/>
  <c r="I129" i="48"/>
  <c r="F129" i="48"/>
  <c r="E129" i="48"/>
  <c r="AV128" i="48"/>
  <c r="AW128" i="48" s="1"/>
  <c r="AQ128" i="48"/>
  <c r="AR128" i="48" s="1"/>
  <c r="AL128" i="48"/>
  <c r="AM128" i="48" s="1"/>
  <c r="AG128" i="48"/>
  <c r="AH128" i="48" s="1"/>
  <c r="AB128" i="48"/>
  <c r="AC128" i="48" s="1"/>
  <c r="W128" i="48"/>
  <c r="X128" i="48" s="1"/>
  <c r="F128" i="48"/>
  <c r="E128" i="48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S127" i="48" s="1"/>
  <c r="K127" i="48"/>
  <c r="M127" i="48" s="1"/>
  <c r="J127" i="48"/>
  <c r="I127" i="48"/>
  <c r="F127" i="48"/>
  <c r="E127" i="48"/>
  <c r="AV126" i="48"/>
  <c r="AW126" i="48" s="1"/>
  <c r="AQ126" i="48"/>
  <c r="AR126" i="48" s="1"/>
  <c r="AL126" i="48"/>
  <c r="AM126" i="48" s="1"/>
  <c r="AG126" i="48"/>
  <c r="AH126" i="48" s="1"/>
  <c r="AB126" i="48"/>
  <c r="AC126" i="48" s="1"/>
  <c r="W126" i="48"/>
  <c r="X126" i="48" s="1"/>
  <c r="R126" i="48"/>
  <c r="S126" i="48" s="1"/>
  <c r="J126" i="48"/>
  <c r="I126" i="48"/>
  <c r="F126" i="48"/>
  <c r="E126" i="48"/>
  <c r="G126" i="48" s="1"/>
  <c r="AV125" i="48"/>
  <c r="AW125" i="48" s="1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F125" i="48"/>
  <c r="E125" i="48"/>
  <c r="AV124" i="48"/>
  <c r="AW124" i="48" s="1"/>
  <c r="AQ124" i="48"/>
  <c r="AR124" i="48" s="1"/>
  <c r="AL124" i="48"/>
  <c r="AM124" i="48" s="1"/>
  <c r="AG124" i="48"/>
  <c r="AH124" i="48" s="1"/>
  <c r="AB124" i="48"/>
  <c r="AC124" i="48" s="1"/>
  <c r="W124" i="48"/>
  <c r="X124" i="48" s="1"/>
  <c r="R124" i="48"/>
  <c r="S124" i="48" s="1"/>
  <c r="K124" i="48"/>
  <c r="M124" i="48" s="1"/>
  <c r="J124" i="48"/>
  <c r="I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S123" i="48" s="1"/>
  <c r="K123" i="48"/>
  <c r="M123" i="48" s="1"/>
  <c r="J123" i="48"/>
  <c r="I123" i="48"/>
  <c r="F123" i="48"/>
  <c r="E123" i="48"/>
  <c r="AV122" i="48"/>
  <c r="AW122" i="48" s="1"/>
  <c r="AQ122" i="48"/>
  <c r="AR122" i="48" s="1"/>
  <c r="AL122" i="48"/>
  <c r="AM122" i="48" s="1"/>
  <c r="AG122" i="48"/>
  <c r="AH122" i="48" s="1"/>
  <c r="AB122" i="48"/>
  <c r="AC122" i="48" s="1"/>
  <c r="W122" i="48"/>
  <c r="X122" i="48" s="1"/>
  <c r="R122" i="48"/>
  <c r="J122" i="48"/>
  <c r="I122" i="48"/>
  <c r="F122" i="48"/>
  <c r="E122" i="48"/>
  <c r="AV121" i="48"/>
  <c r="AW121" i="48" s="1"/>
  <c r="AQ121" i="48"/>
  <c r="AR121" i="48" s="1"/>
  <c r="AL121" i="48"/>
  <c r="AM121" i="48" s="1"/>
  <c r="AG121" i="48"/>
  <c r="AH121" i="48" s="1"/>
  <c r="AB121" i="48"/>
  <c r="AC121" i="48" s="1"/>
  <c r="W121" i="48"/>
  <c r="X121" i="48" s="1"/>
  <c r="R121" i="48"/>
  <c r="S121" i="48" s="1"/>
  <c r="J121" i="48"/>
  <c r="I121" i="48"/>
  <c r="F121" i="48"/>
  <c r="E121" i="48"/>
  <c r="AV120" i="48"/>
  <c r="AW120" i="48" s="1"/>
  <c r="AQ120" i="48"/>
  <c r="AR120" i="48" s="1"/>
  <c r="AL120" i="48"/>
  <c r="AM120" i="48" s="1"/>
  <c r="AG120" i="48"/>
  <c r="AH120" i="48" s="1"/>
  <c r="AB120" i="48"/>
  <c r="AC120" i="48" s="1"/>
  <c r="W120" i="48"/>
  <c r="X120" i="48" s="1"/>
  <c r="R120" i="48"/>
  <c r="S120" i="48" s="1"/>
  <c r="J120" i="48"/>
  <c r="I120" i="48"/>
  <c r="F120" i="48"/>
  <c r="E120" i="48"/>
  <c r="AV119" i="48"/>
  <c r="AX119" i="48" s="1"/>
  <c r="AQ119" i="48"/>
  <c r="AL119" i="48"/>
  <c r="AG119" i="48"/>
  <c r="AB119" i="48"/>
  <c r="W119" i="48"/>
  <c r="R119" i="48"/>
  <c r="K119" i="48"/>
  <c r="J119" i="48"/>
  <c r="I119" i="48"/>
  <c r="F119" i="48"/>
  <c r="E119" i="48"/>
  <c r="AV112" i="48"/>
  <c r="AQ112" i="48"/>
  <c r="AR112" i="48" s="1"/>
  <c r="AL112" i="48"/>
  <c r="AM112" i="48" s="1"/>
  <c r="AG112" i="48"/>
  <c r="AH112" i="48" s="1"/>
  <c r="AV111" i="48"/>
  <c r="AW111" i="48" s="1"/>
  <c r="AQ111" i="48"/>
  <c r="AR111" i="48" s="1"/>
  <c r="AL111" i="48"/>
  <c r="AM111" i="48" s="1"/>
  <c r="AG111" i="48"/>
  <c r="AH111" i="48" s="1"/>
  <c r="AV110" i="48"/>
  <c r="AW110" i="48" s="1"/>
  <c r="AQ110" i="48"/>
  <c r="AR110" i="48" s="1"/>
  <c r="AL110" i="48"/>
  <c r="AM110" i="48" s="1"/>
  <c r="AG110" i="48"/>
  <c r="AH110" i="48" s="1"/>
  <c r="AV109" i="48"/>
  <c r="AW109" i="48" s="1"/>
  <c r="AQ109" i="48"/>
  <c r="AR109" i="48" s="1"/>
  <c r="AL109" i="48"/>
  <c r="AM109" i="48" s="1"/>
  <c r="AG109" i="48"/>
  <c r="AH109" i="48" s="1"/>
  <c r="AV108" i="48"/>
  <c r="AW108" i="48" s="1"/>
  <c r="AQ108" i="48"/>
  <c r="AR108" i="48" s="1"/>
  <c r="AL108" i="48"/>
  <c r="AM108" i="48" s="1"/>
  <c r="AG108" i="48"/>
  <c r="AH108" i="48" s="1"/>
  <c r="AV107" i="48"/>
  <c r="AW107" i="48" s="1"/>
  <c r="AQ107" i="48"/>
  <c r="AR107" i="48" s="1"/>
  <c r="AL107" i="48"/>
  <c r="AM107" i="48" s="1"/>
  <c r="AG107" i="48"/>
  <c r="AB107" i="48"/>
  <c r="W107" i="48"/>
  <c r="R107" i="48"/>
  <c r="J107" i="48"/>
  <c r="I107" i="48"/>
  <c r="F107" i="48"/>
  <c r="E107" i="48"/>
  <c r="AV106" i="48"/>
  <c r="AW106" i="48" s="1"/>
  <c r="AQ106" i="48"/>
  <c r="AR106" i="48" s="1"/>
  <c r="AL106" i="48"/>
  <c r="AM106" i="48" s="1"/>
  <c r="AG106" i="48"/>
  <c r="AB106" i="48"/>
  <c r="W106" i="48"/>
  <c r="R106" i="48"/>
  <c r="J106" i="48"/>
  <c r="I106" i="48"/>
  <c r="F106" i="48"/>
  <c r="E106" i="48"/>
  <c r="G106" i="48" s="1"/>
  <c r="AQ105" i="48"/>
  <c r="AR105" i="48" s="1"/>
  <c r="AL105" i="48"/>
  <c r="AM105" i="48" s="1"/>
  <c r="AG105" i="48"/>
  <c r="AB105" i="48"/>
  <c r="W105" i="48"/>
  <c r="R105" i="48"/>
  <c r="J105" i="48"/>
  <c r="I105" i="48"/>
  <c r="F105" i="48"/>
  <c r="E105" i="48"/>
  <c r="AV104" i="48"/>
  <c r="AW104" i="48" s="1"/>
  <c r="AQ104" i="48"/>
  <c r="AR104" i="48" s="1"/>
  <c r="AL104" i="48"/>
  <c r="AM104" i="48" s="1"/>
  <c r="AG104" i="48"/>
  <c r="AB104" i="48"/>
  <c r="W104" i="48"/>
  <c r="R104" i="48"/>
  <c r="K104" i="48" s="1"/>
  <c r="J104" i="48"/>
  <c r="I104" i="48"/>
  <c r="F104" i="48"/>
  <c r="E104" i="48"/>
  <c r="AV103" i="48"/>
  <c r="AW103" i="48" s="1"/>
  <c r="AQ103" i="48"/>
  <c r="AR103" i="48" s="1"/>
  <c r="AL103" i="48"/>
  <c r="AM103" i="48" s="1"/>
  <c r="AG103" i="48"/>
  <c r="AB103" i="48"/>
  <c r="W103" i="48"/>
  <c r="R103" i="48"/>
  <c r="J103" i="48"/>
  <c r="I103" i="48"/>
  <c r="F103" i="48"/>
  <c r="E103" i="48"/>
  <c r="AG102" i="48"/>
  <c r="AB102" i="48"/>
  <c r="W102" i="48"/>
  <c r="R102" i="48"/>
  <c r="K102" i="48"/>
  <c r="J102" i="48"/>
  <c r="I102" i="48"/>
  <c r="F102" i="48"/>
  <c r="E102" i="48"/>
  <c r="G102" i="48" s="1"/>
  <c r="AV101" i="48"/>
  <c r="AW101" i="48" s="1"/>
  <c r="AQ101" i="48"/>
  <c r="AR101" i="48" s="1"/>
  <c r="AL101" i="48"/>
  <c r="AM101" i="48" s="1"/>
  <c r="AG101" i="48"/>
  <c r="AB101" i="48"/>
  <c r="W101" i="48"/>
  <c r="R101" i="48"/>
  <c r="K101" i="48" s="1"/>
  <c r="J101" i="48"/>
  <c r="I101" i="48"/>
  <c r="F101" i="48"/>
  <c r="E101" i="48"/>
  <c r="G101" i="48" s="1"/>
  <c r="AV100" i="48"/>
  <c r="AW100" i="48" s="1"/>
  <c r="AQ100" i="48"/>
  <c r="AR100" i="48" s="1"/>
  <c r="AL100" i="48"/>
  <c r="AM100" i="48" s="1"/>
  <c r="AG100" i="48"/>
  <c r="AB100" i="48"/>
  <c r="W100" i="48"/>
  <c r="R100" i="48"/>
  <c r="J100" i="48"/>
  <c r="I100" i="48"/>
  <c r="F100" i="48"/>
  <c r="E100" i="48"/>
  <c r="AV99" i="48"/>
  <c r="AW99" i="48" s="1"/>
  <c r="AQ99" i="48"/>
  <c r="AR99" i="48" s="1"/>
  <c r="AL99" i="48"/>
  <c r="AM99" i="48" s="1"/>
  <c r="AG99" i="48"/>
  <c r="AB99" i="48"/>
  <c r="W99" i="48"/>
  <c r="R99" i="48"/>
  <c r="J99" i="48"/>
  <c r="I99" i="48"/>
  <c r="F99" i="48"/>
  <c r="E99" i="48"/>
  <c r="AV98" i="48"/>
  <c r="AW98" i="48" s="1"/>
  <c r="AQ98" i="48"/>
  <c r="AR98" i="48" s="1"/>
  <c r="AL98" i="48"/>
  <c r="AM98" i="48" s="1"/>
  <c r="AG98" i="48"/>
  <c r="AB98" i="48"/>
  <c r="W98" i="48"/>
  <c r="R98" i="48"/>
  <c r="K98" i="48"/>
  <c r="J98" i="48"/>
  <c r="I98" i="48"/>
  <c r="F98" i="48"/>
  <c r="E98" i="48"/>
  <c r="AV97" i="48"/>
  <c r="AW97" i="48" s="1"/>
  <c r="AQ97" i="48"/>
  <c r="AR97" i="48" s="1"/>
  <c r="AL97" i="48"/>
  <c r="AM97" i="48" s="1"/>
  <c r="AG97" i="48"/>
  <c r="AB97" i="48"/>
  <c r="W97" i="48"/>
  <c r="R97" i="48"/>
  <c r="J97" i="48"/>
  <c r="I97" i="48"/>
  <c r="F97" i="48"/>
  <c r="E97" i="48"/>
  <c r="AV96" i="48"/>
  <c r="AQ96" i="48"/>
  <c r="AS96" i="48" s="1"/>
  <c r="AL96" i="48"/>
  <c r="AG96" i="48"/>
  <c r="AH103" i="48" s="1"/>
  <c r="AB96" i="48"/>
  <c r="AD96" i="48" s="1"/>
  <c r="W96" i="48"/>
  <c r="R96" i="48"/>
  <c r="J96" i="48"/>
  <c r="I96" i="48"/>
  <c r="F96" i="48"/>
  <c r="E96" i="48"/>
  <c r="I85" i="48"/>
  <c r="F85" i="48"/>
  <c r="E85" i="48"/>
  <c r="I84" i="48"/>
  <c r="F84" i="48"/>
  <c r="E84" i="48"/>
  <c r="I83" i="48"/>
  <c r="F83" i="48"/>
  <c r="E83" i="48"/>
  <c r="AV82" i="48"/>
  <c r="AQ82" i="48"/>
  <c r="AL82" i="48"/>
  <c r="AG82" i="48"/>
  <c r="AB82" i="48"/>
  <c r="W82" i="48"/>
  <c r="R82" i="48"/>
  <c r="J82" i="48"/>
  <c r="I82" i="48"/>
  <c r="F82" i="48"/>
  <c r="E82" i="48"/>
  <c r="AV81" i="48"/>
  <c r="AQ81" i="48"/>
  <c r="AL81" i="48"/>
  <c r="AG81" i="48"/>
  <c r="AB81" i="48"/>
  <c r="W81" i="48"/>
  <c r="R81" i="48"/>
  <c r="J81" i="48"/>
  <c r="I81" i="48"/>
  <c r="F81" i="48"/>
  <c r="E81" i="48"/>
  <c r="AV80" i="48"/>
  <c r="AQ80" i="48"/>
  <c r="AL80" i="48"/>
  <c r="AG80" i="48"/>
  <c r="AB80" i="48"/>
  <c r="W80" i="48"/>
  <c r="R80" i="48"/>
  <c r="J80" i="48"/>
  <c r="I80" i="48"/>
  <c r="F80" i="48"/>
  <c r="E80" i="48"/>
  <c r="AV79" i="48"/>
  <c r="AQ79" i="48"/>
  <c r="AL79" i="48"/>
  <c r="AG79" i="48"/>
  <c r="AB79" i="48"/>
  <c r="W79" i="48"/>
  <c r="R79" i="48"/>
  <c r="J79" i="48"/>
  <c r="I79" i="48"/>
  <c r="F79" i="48"/>
  <c r="E79" i="48"/>
  <c r="AV78" i="48"/>
  <c r="AQ78" i="48"/>
  <c r="AL78" i="48"/>
  <c r="AG78" i="48"/>
  <c r="AB78" i="48"/>
  <c r="W78" i="48"/>
  <c r="R78" i="48"/>
  <c r="K78" i="48"/>
  <c r="J78" i="48"/>
  <c r="I78" i="48"/>
  <c r="F78" i="48"/>
  <c r="E78" i="48"/>
  <c r="AV77" i="48"/>
  <c r="AQ77" i="48"/>
  <c r="AL77" i="48"/>
  <c r="AG77" i="48"/>
  <c r="AB77" i="48"/>
  <c r="W77" i="48"/>
  <c r="R77" i="48"/>
  <c r="J77" i="48"/>
  <c r="I77" i="48"/>
  <c r="F77" i="48"/>
  <c r="E77" i="48"/>
  <c r="AV76" i="48"/>
  <c r="AQ76" i="48"/>
  <c r="AL76" i="48"/>
  <c r="AG76" i="48"/>
  <c r="AB76" i="48"/>
  <c r="W76" i="48"/>
  <c r="R76" i="48"/>
  <c r="J76" i="48"/>
  <c r="I76" i="48"/>
  <c r="F76" i="48"/>
  <c r="E76" i="48"/>
  <c r="AV75" i="48"/>
  <c r="AQ75" i="48"/>
  <c r="AL75" i="48"/>
  <c r="AG75" i="48"/>
  <c r="AB75" i="48"/>
  <c r="W75" i="48"/>
  <c r="R75" i="48"/>
  <c r="J75" i="48"/>
  <c r="I75" i="48"/>
  <c r="F75" i="48"/>
  <c r="E75" i="48"/>
  <c r="AV74" i="48"/>
  <c r="AQ74" i="48"/>
  <c r="AL74" i="48"/>
  <c r="AG74" i="48"/>
  <c r="AB74" i="48"/>
  <c r="W74" i="48"/>
  <c r="R74" i="48"/>
  <c r="J74" i="48"/>
  <c r="I74" i="48"/>
  <c r="F74" i="48"/>
  <c r="E74" i="48"/>
  <c r="AV73" i="48"/>
  <c r="AQ73" i="48"/>
  <c r="AL73" i="48"/>
  <c r="AG73" i="48"/>
  <c r="AB73" i="48"/>
  <c r="W73" i="48"/>
  <c r="R73" i="48"/>
  <c r="J73" i="48"/>
  <c r="I73" i="48"/>
  <c r="F73" i="48"/>
  <c r="E73" i="48"/>
  <c r="AV62" i="48"/>
  <c r="AQ62" i="48"/>
  <c r="AL62" i="48"/>
  <c r="AG62" i="48"/>
  <c r="AB62" i="48"/>
  <c r="W62" i="48"/>
  <c r="R62" i="48"/>
  <c r="J62" i="48"/>
  <c r="I62" i="48"/>
  <c r="F62" i="48"/>
  <c r="E62" i="48"/>
  <c r="AV61" i="48"/>
  <c r="AQ61" i="48"/>
  <c r="AL61" i="48"/>
  <c r="AG61" i="48"/>
  <c r="AB61" i="48"/>
  <c r="W61" i="48"/>
  <c r="R61" i="48"/>
  <c r="J61" i="48"/>
  <c r="I61" i="48"/>
  <c r="F61" i="48"/>
  <c r="E61" i="48"/>
  <c r="AV60" i="48"/>
  <c r="AQ60" i="48"/>
  <c r="AL60" i="48"/>
  <c r="AG60" i="48"/>
  <c r="AB60" i="48"/>
  <c r="W60" i="48"/>
  <c r="R60" i="48"/>
  <c r="K60" i="48"/>
  <c r="J60" i="48"/>
  <c r="I60" i="48"/>
  <c r="F60" i="48"/>
  <c r="E60" i="48"/>
  <c r="G60" i="48" s="1"/>
  <c r="AV59" i="48"/>
  <c r="AQ59" i="48"/>
  <c r="AL59" i="48"/>
  <c r="AG59" i="48"/>
  <c r="AB59" i="48"/>
  <c r="W59" i="48"/>
  <c r="R59" i="48"/>
  <c r="J59" i="48"/>
  <c r="I59" i="48"/>
  <c r="F59" i="48"/>
  <c r="E59" i="48"/>
  <c r="AV58" i="48"/>
  <c r="AQ58" i="48"/>
  <c r="AL58" i="48"/>
  <c r="AG58" i="48"/>
  <c r="AB58" i="48"/>
  <c r="W58" i="48"/>
  <c r="R58" i="48"/>
  <c r="J58" i="48"/>
  <c r="I58" i="48"/>
  <c r="F58" i="48"/>
  <c r="E58" i="48"/>
  <c r="AV57" i="48"/>
  <c r="AQ57" i="48"/>
  <c r="AL57" i="48"/>
  <c r="AG57" i="48"/>
  <c r="AB57" i="48"/>
  <c r="W57" i="48"/>
  <c r="R57" i="48"/>
  <c r="J57" i="48"/>
  <c r="I57" i="48"/>
  <c r="F57" i="48"/>
  <c r="E57" i="48"/>
  <c r="AV56" i="48"/>
  <c r="AQ56" i="48"/>
  <c r="AL56" i="48"/>
  <c r="AG56" i="48"/>
  <c r="AB56" i="48"/>
  <c r="W56" i="48"/>
  <c r="R56" i="48"/>
  <c r="K56" i="48" s="1"/>
  <c r="J56" i="48"/>
  <c r="I56" i="48"/>
  <c r="F56" i="48"/>
  <c r="E56" i="48"/>
  <c r="AV55" i="48"/>
  <c r="AQ55" i="48"/>
  <c r="AL55" i="48"/>
  <c r="AG55" i="48"/>
  <c r="AB55" i="48"/>
  <c r="W55" i="48"/>
  <c r="R55" i="48"/>
  <c r="J55" i="48"/>
  <c r="I55" i="48"/>
  <c r="F55" i="48"/>
  <c r="E55" i="48"/>
  <c r="AV54" i="48"/>
  <c r="AQ54" i="48"/>
  <c r="AL54" i="48"/>
  <c r="AG54" i="48"/>
  <c r="AB54" i="48"/>
  <c r="W54" i="48"/>
  <c r="R54" i="48"/>
  <c r="K54" i="48"/>
  <c r="J54" i="48"/>
  <c r="I54" i="48"/>
  <c r="F54" i="48"/>
  <c r="E54" i="48"/>
  <c r="AV53" i="48"/>
  <c r="AQ53" i="48"/>
  <c r="AR59" i="48" s="1"/>
  <c r="AL53" i="48"/>
  <c r="AG53" i="48"/>
  <c r="AB53" i="48"/>
  <c r="AD53" i="48" s="1"/>
  <c r="W53" i="48"/>
  <c r="R53" i="48"/>
  <c r="J53" i="48"/>
  <c r="I53" i="48"/>
  <c r="F53" i="48"/>
  <c r="E53" i="48"/>
  <c r="F43" i="48"/>
  <c r="E43" i="48"/>
  <c r="AV42" i="48"/>
  <c r="AQ42" i="48"/>
  <c r="AL42" i="48"/>
  <c r="AG42" i="48"/>
  <c r="AB42" i="48"/>
  <c r="W42" i="48"/>
  <c r="R42" i="48"/>
  <c r="K42" i="48"/>
  <c r="J42" i="48"/>
  <c r="I42" i="48"/>
  <c r="F42" i="48"/>
  <c r="E42" i="48"/>
  <c r="AV41" i="48"/>
  <c r="AQ41" i="48"/>
  <c r="AL41" i="48"/>
  <c r="AG41" i="48"/>
  <c r="AB41" i="48"/>
  <c r="W41" i="48"/>
  <c r="R41" i="48"/>
  <c r="J41" i="48"/>
  <c r="I41" i="48"/>
  <c r="F41" i="48"/>
  <c r="E41" i="48"/>
  <c r="AV40" i="48"/>
  <c r="AQ40" i="48"/>
  <c r="AL40" i="48"/>
  <c r="AG40" i="48"/>
  <c r="AB40" i="48"/>
  <c r="W40" i="48"/>
  <c r="R40" i="48"/>
  <c r="K40" i="48"/>
  <c r="J40" i="48"/>
  <c r="I40" i="48"/>
  <c r="F40" i="48"/>
  <c r="E40" i="48"/>
  <c r="AV39" i="48"/>
  <c r="AQ39" i="48"/>
  <c r="AL39" i="48"/>
  <c r="AG39" i="48"/>
  <c r="AB39" i="48"/>
  <c r="W39" i="48"/>
  <c r="R39" i="48"/>
  <c r="K39" i="48"/>
  <c r="J39" i="48"/>
  <c r="I39" i="48"/>
  <c r="F39" i="48"/>
  <c r="E39" i="48"/>
  <c r="AV38" i="48"/>
  <c r="AQ38" i="48"/>
  <c r="AL38" i="48"/>
  <c r="AG38" i="48"/>
  <c r="AB38" i="48"/>
  <c r="W38" i="48"/>
  <c r="R38" i="48"/>
  <c r="J38" i="48"/>
  <c r="I38" i="48"/>
  <c r="F38" i="48"/>
  <c r="E38" i="48"/>
  <c r="AG37" i="48"/>
  <c r="AB37" i="48"/>
  <c r="W37" i="48"/>
  <c r="R37" i="48"/>
  <c r="J37" i="48"/>
  <c r="I37" i="48"/>
  <c r="F37" i="48"/>
  <c r="E37" i="48"/>
  <c r="AG36" i="48"/>
  <c r="AB36" i="48"/>
  <c r="W36" i="48"/>
  <c r="R36" i="48"/>
  <c r="K36" i="48"/>
  <c r="J36" i="48"/>
  <c r="I36" i="48"/>
  <c r="F36" i="48"/>
  <c r="E36" i="48"/>
  <c r="AV35" i="48"/>
  <c r="AQ35" i="48"/>
  <c r="AL35" i="48"/>
  <c r="AG35" i="48"/>
  <c r="AB35" i="48"/>
  <c r="W35" i="48"/>
  <c r="R35" i="48"/>
  <c r="J35" i="48"/>
  <c r="I35" i="48"/>
  <c r="F35" i="48"/>
  <c r="E35" i="48"/>
  <c r="AV34" i="48"/>
  <c r="AQ34" i="48"/>
  <c r="AL34" i="48"/>
  <c r="AG34" i="48"/>
  <c r="AB34" i="48"/>
  <c r="W34" i="48"/>
  <c r="R34" i="48"/>
  <c r="J34" i="48"/>
  <c r="I34" i="48"/>
  <c r="F34" i="48"/>
  <c r="E34" i="48"/>
  <c r="AV33" i="48"/>
  <c r="AQ33" i="48"/>
  <c r="AL33" i="48"/>
  <c r="AG33" i="48"/>
  <c r="AB33" i="48"/>
  <c r="W33" i="48"/>
  <c r="R33" i="48"/>
  <c r="J33" i="48"/>
  <c r="I33" i="48"/>
  <c r="F33" i="48"/>
  <c r="E33" i="48"/>
  <c r="AG32" i="48"/>
  <c r="AB32" i="48"/>
  <c r="W32" i="48"/>
  <c r="R32" i="48"/>
  <c r="J32" i="48"/>
  <c r="I32" i="48"/>
  <c r="F32" i="48"/>
  <c r="E32" i="48"/>
  <c r="AV31" i="48"/>
  <c r="AQ31" i="48"/>
  <c r="AL31" i="48"/>
  <c r="AG31" i="48"/>
  <c r="AB31" i="48"/>
  <c r="W31" i="48"/>
  <c r="R31" i="48"/>
  <c r="J31" i="48"/>
  <c r="I31" i="48"/>
  <c r="F31" i="48"/>
  <c r="E31" i="48"/>
  <c r="AV30" i="48"/>
  <c r="AQ30" i="48"/>
  <c r="AL30" i="48"/>
  <c r="AM30" i="48" s="1"/>
  <c r="AG30" i="48"/>
  <c r="AB30" i="48"/>
  <c r="W30" i="48"/>
  <c r="R30" i="48"/>
  <c r="J30" i="48"/>
  <c r="I30" i="48"/>
  <c r="F30" i="48"/>
  <c r="E30" i="48"/>
  <c r="R24" i="48"/>
  <c r="S24" i="48" s="1"/>
  <c r="R23" i="48"/>
  <c r="S23" i="48" s="1"/>
  <c r="R22" i="48"/>
  <c r="S22" i="48" s="1"/>
  <c r="R21" i="48"/>
  <c r="S21" i="48" s="1"/>
  <c r="AG20" i="48"/>
  <c r="AB20" i="48"/>
  <c r="W20" i="48"/>
  <c r="R20" i="48"/>
  <c r="S20" i="48" s="1"/>
  <c r="J20" i="48"/>
  <c r="I20" i="48"/>
  <c r="F20" i="48"/>
  <c r="E20" i="48"/>
  <c r="AV19" i="48"/>
  <c r="AQ19" i="48"/>
  <c r="AL19" i="48"/>
  <c r="AG19" i="48"/>
  <c r="AB19" i="48"/>
  <c r="W19" i="48"/>
  <c r="R19" i="48"/>
  <c r="S19" i="48" s="1"/>
  <c r="J19" i="48"/>
  <c r="I19" i="48"/>
  <c r="F19" i="48"/>
  <c r="E19" i="48"/>
  <c r="AV18" i="48"/>
  <c r="AQ18" i="48"/>
  <c r="AL18" i="48"/>
  <c r="AG18" i="48"/>
  <c r="AB18" i="48"/>
  <c r="W18" i="48"/>
  <c r="R18" i="48"/>
  <c r="S18" i="48" s="1"/>
  <c r="J18" i="48"/>
  <c r="I18" i="48"/>
  <c r="F18" i="48"/>
  <c r="E18" i="48"/>
  <c r="AV17" i="48"/>
  <c r="AQ17" i="48"/>
  <c r="AL17" i="48"/>
  <c r="AG17" i="48"/>
  <c r="AB17" i="48"/>
  <c r="W17" i="48"/>
  <c r="R17" i="48"/>
  <c r="S17" i="48" s="1"/>
  <c r="J17" i="48"/>
  <c r="I17" i="48"/>
  <c r="F17" i="48"/>
  <c r="E17" i="48"/>
  <c r="AV16" i="48"/>
  <c r="AQ16" i="48"/>
  <c r="AL16" i="48"/>
  <c r="AG16" i="48"/>
  <c r="AB16" i="48"/>
  <c r="W16" i="48"/>
  <c r="R16" i="48"/>
  <c r="S16" i="48" s="1"/>
  <c r="J16" i="48"/>
  <c r="I16" i="48"/>
  <c r="F16" i="48"/>
  <c r="E16" i="48"/>
  <c r="AV15" i="48"/>
  <c r="AQ15" i="48"/>
  <c r="AL15" i="48"/>
  <c r="AG15" i="48"/>
  <c r="AB15" i="48"/>
  <c r="W15" i="48"/>
  <c r="R15" i="48"/>
  <c r="S15" i="48" s="1"/>
  <c r="J15" i="48"/>
  <c r="I15" i="48"/>
  <c r="F15" i="48"/>
  <c r="E15" i="48"/>
  <c r="AV14" i="48"/>
  <c r="AQ14" i="48"/>
  <c r="AL14" i="48"/>
  <c r="AG14" i="48"/>
  <c r="AB14" i="48"/>
  <c r="W14" i="48"/>
  <c r="R14" i="48"/>
  <c r="S14" i="48" s="1"/>
  <c r="J14" i="48"/>
  <c r="I14" i="48"/>
  <c r="F14" i="48"/>
  <c r="E14" i="48"/>
  <c r="AV13" i="48"/>
  <c r="AQ13" i="48"/>
  <c r="AL13" i="48"/>
  <c r="AG13" i="48"/>
  <c r="AB13" i="48"/>
  <c r="W13" i="48"/>
  <c r="R13" i="48"/>
  <c r="S13" i="48" s="1"/>
  <c r="J13" i="48"/>
  <c r="I13" i="48"/>
  <c r="F13" i="48"/>
  <c r="E13" i="48"/>
  <c r="G13" i="48" s="1"/>
  <c r="AV12" i="48"/>
  <c r="AQ12" i="48"/>
  <c r="AL12" i="48"/>
  <c r="AG12" i="48"/>
  <c r="AB12" i="48"/>
  <c r="W12" i="48"/>
  <c r="R12" i="48"/>
  <c r="S12" i="48" s="1"/>
  <c r="J12" i="48"/>
  <c r="I12" i="48"/>
  <c r="F12" i="48"/>
  <c r="E12" i="48"/>
  <c r="G12" i="48" s="1"/>
  <c r="AV11" i="48"/>
  <c r="AQ11" i="48"/>
  <c r="AL11" i="48"/>
  <c r="AG11" i="48"/>
  <c r="AB11" i="48"/>
  <c r="W11" i="48"/>
  <c r="R11" i="48"/>
  <c r="S11" i="48" s="1"/>
  <c r="J11" i="48"/>
  <c r="I11" i="48"/>
  <c r="F11" i="48"/>
  <c r="E11" i="48"/>
  <c r="AV10" i="48"/>
  <c r="AQ10" i="48"/>
  <c r="AL10" i="48"/>
  <c r="AG10" i="48"/>
  <c r="AB10" i="48"/>
  <c r="W10" i="48"/>
  <c r="R10" i="48"/>
  <c r="S10" i="48" s="1"/>
  <c r="K10" i="48"/>
  <c r="J10" i="48"/>
  <c r="I10" i="48"/>
  <c r="F10" i="48"/>
  <c r="E10" i="48"/>
  <c r="G10" i="48" s="1"/>
  <c r="AV9" i="48"/>
  <c r="AQ9" i="48"/>
  <c r="AL9" i="48"/>
  <c r="AG9" i="48"/>
  <c r="AB9" i="48"/>
  <c r="W9" i="48"/>
  <c r="R9" i="48"/>
  <c r="S9" i="48" s="1"/>
  <c r="J9" i="48"/>
  <c r="I9" i="48"/>
  <c r="F9" i="48"/>
  <c r="E9" i="48"/>
  <c r="AV8" i="48"/>
  <c r="AQ8" i="48"/>
  <c r="AL8" i="48"/>
  <c r="AG8" i="48"/>
  <c r="AB8" i="48"/>
  <c r="W8" i="48"/>
  <c r="R8" i="48"/>
  <c r="S8" i="48" s="1"/>
  <c r="J8" i="48"/>
  <c r="I8" i="48"/>
  <c r="F8" i="48"/>
  <c r="E8" i="48"/>
  <c r="AV7" i="48"/>
  <c r="AQ7" i="48"/>
  <c r="AL7" i="48"/>
  <c r="AG7" i="48"/>
  <c r="AB7" i="48"/>
  <c r="W7" i="48"/>
  <c r="R7" i="48"/>
  <c r="T7" i="48" s="1"/>
  <c r="J7" i="48"/>
  <c r="I7" i="48"/>
  <c r="F7" i="48"/>
  <c r="E7" i="48"/>
  <c r="AB113" i="49"/>
  <c r="AC113" i="49" s="1"/>
  <c r="W113" i="49"/>
  <c r="X113" i="49" s="1"/>
  <c r="R113" i="49"/>
  <c r="S113" i="49" s="1"/>
  <c r="AB112" i="49"/>
  <c r="AC112" i="49" s="1"/>
  <c r="W112" i="49"/>
  <c r="X112" i="49" s="1"/>
  <c r="R112" i="49"/>
  <c r="S112" i="49" s="1"/>
  <c r="AB111" i="49"/>
  <c r="AC111" i="49" s="1"/>
  <c r="W111" i="49"/>
  <c r="X111" i="49" s="1"/>
  <c r="R111" i="49"/>
  <c r="S111" i="49" s="1"/>
  <c r="AB110" i="49"/>
  <c r="AC110" i="49" s="1"/>
  <c r="W110" i="49"/>
  <c r="X110" i="49" s="1"/>
  <c r="R110" i="49"/>
  <c r="S110" i="49" s="1"/>
  <c r="AV109" i="49"/>
  <c r="AW109" i="49" s="1"/>
  <c r="AQ109" i="49"/>
  <c r="AR109" i="49" s="1"/>
  <c r="AL109" i="49"/>
  <c r="AM109" i="49" s="1"/>
  <c r="AG109" i="49"/>
  <c r="K109" i="49" s="1"/>
  <c r="M109" i="49" s="1"/>
  <c r="AB109" i="49"/>
  <c r="AC109" i="49" s="1"/>
  <c r="W109" i="49"/>
  <c r="X109" i="49" s="1"/>
  <c r="R109" i="49"/>
  <c r="S109" i="49" s="1"/>
  <c r="J109" i="49"/>
  <c r="I109" i="49"/>
  <c r="F109" i="49"/>
  <c r="E109" i="49"/>
  <c r="AV108" i="49"/>
  <c r="AW108" i="49" s="1"/>
  <c r="AQ108" i="49"/>
  <c r="AR108" i="49" s="1"/>
  <c r="AL108" i="49"/>
  <c r="AM108" i="49" s="1"/>
  <c r="AG108" i="49"/>
  <c r="K108" i="49" s="1"/>
  <c r="M108" i="49" s="1"/>
  <c r="AB108" i="49"/>
  <c r="AC108" i="49" s="1"/>
  <c r="W108" i="49"/>
  <c r="X108" i="49" s="1"/>
  <c r="R108" i="49"/>
  <c r="S108" i="49" s="1"/>
  <c r="J108" i="49"/>
  <c r="I108" i="49"/>
  <c r="F108" i="49"/>
  <c r="E108" i="49"/>
  <c r="AV107" i="49"/>
  <c r="AQ107" i="49"/>
  <c r="AS107" i="49" s="1"/>
  <c r="AL107" i="49"/>
  <c r="AG107" i="49"/>
  <c r="AH107" i="49" s="1"/>
  <c r="AB107" i="49"/>
  <c r="W107" i="49"/>
  <c r="Y107" i="49" s="1"/>
  <c r="R107" i="49"/>
  <c r="K107" i="49"/>
  <c r="L107" i="49" s="1"/>
  <c r="J107" i="49"/>
  <c r="I107" i="49"/>
  <c r="F107" i="49"/>
  <c r="E107" i="49"/>
  <c r="AV89" i="49"/>
  <c r="AW89" i="49" s="1"/>
  <c r="AQ89" i="49"/>
  <c r="AR89" i="49" s="1"/>
  <c r="AL89" i="49"/>
  <c r="AM89" i="49" s="1"/>
  <c r="AG89" i="49"/>
  <c r="AB89" i="49"/>
  <c r="W89" i="49"/>
  <c r="R89" i="49"/>
  <c r="J89" i="49"/>
  <c r="I89" i="49"/>
  <c r="F89" i="49"/>
  <c r="E89" i="49"/>
  <c r="AV88" i="49"/>
  <c r="AW88" i="49" s="1"/>
  <c r="AQ88" i="49"/>
  <c r="AR88" i="49" s="1"/>
  <c r="AL88" i="49"/>
  <c r="AM88" i="49" s="1"/>
  <c r="AG88" i="49"/>
  <c r="AB88" i="49"/>
  <c r="W88" i="49"/>
  <c r="R88" i="49"/>
  <c r="K88" i="49" s="1"/>
  <c r="J88" i="49"/>
  <c r="I88" i="49"/>
  <c r="F88" i="49"/>
  <c r="E88" i="49"/>
  <c r="AV87" i="49"/>
  <c r="AQ87" i="49"/>
  <c r="AS87" i="49" s="1"/>
  <c r="AL87" i="49"/>
  <c r="AG87" i="49"/>
  <c r="AH87" i="49" s="1"/>
  <c r="AB87" i="49"/>
  <c r="AC89" i="49" s="1"/>
  <c r="W87" i="49"/>
  <c r="R87" i="49"/>
  <c r="J87" i="49"/>
  <c r="I87" i="49"/>
  <c r="F87" i="49"/>
  <c r="E87" i="49"/>
  <c r="AV69" i="49"/>
  <c r="AQ69" i="49"/>
  <c r="AL69" i="49"/>
  <c r="AG69" i="49"/>
  <c r="AB69" i="49"/>
  <c r="W69" i="49"/>
  <c r="R69" i="49"/>
  <c r="J69" i="49"/>
  <c r="I69" i="49"/>
  <c r="F69" i="49"/>
  <c r="E69" i="49"/>
  <c r="AV68" i="49"/>
  <c r="AQ68" i="49"/>
  <c r="AL68" i="49"/>
  <c r="AG68" i="49"/>
  <c r="AB68" i="49"/>
  <c r="W68" i="49"/>
  <c r="R68" i="49"/>
  <c r="K68" i="49" s="1"/>
  <c r="J68" i="49"/>
  <c r="I68" i="49"/>
  <c r="F68" i="49"/>
  <c r="E68" i="49"/>
  <c r="AV67" i="49"/>
  <c r="AQ67" i="49"/>
  <c r="AS67" i="49" s="1"/>
  <c r="AL67" i="49"/>
  <c r="AG67" i="49"/>
  <c r="AH67" i="49" s="1"/>
  <c r="AB67" i="49"/>
  <c r="W67" i="49"/>
  <c r="Y67" i="49" s="1"/>
  <c r="R67" i="49"/>
  <c r="S67" i="49" s="1"/>
  <c r="J67" i="49"/>
  <c r="I67" i="49"/>
  <c r="F67" i="49"/>
  <c r="E67" i="49"/>
  <c r="AV49" i="49"/>
  <c r="AQ49" i="49"/>
  <c r="AL49" i="49"/>
  <c r="AG49" i="49"/>
  <c r="AB49" i="49"/>
  <c r="W49" i="49"/>
  <c r="R49" i="49"/>
  <c r="J49" i="49"/>
  <c r="I49" i="49"/>
  <c r="F49" i="49"/>
  <c r="E49" i="49"/>
  <c r="AV48" i="49"/>
  <c r="AQ48" i="49"/>
  <c r="AL48" i="49"/>
  <c r="AG48" i="49"/>
  <c r="AB48" i="49"/>
  <c r="W48" i="49"/>
  <c r="R48" i="49"/>
  <c r="K48" i="49" s="1"/>
  <c r="J48" i="49"/>
  <c r="I48" i="49"/>
  <c r="F48" i="49"/>
  <c r="E48" i="49"/>
  <c r="AV47" i="49"/>
  <c r="AQ47" i="49"/>
  <c r="AS47" i="49" s="1"/>
  <c r="AL47" i="49"/>
  <c r="AN47" i="49" s="1"/>
  <c r="AG47" i="49"/>
  <c r="AH47" i="49" s="1"/>
  <c r="AB47" i="49"/>
  <c r="W47" i="49"/>
  <c r="Y47" i="49" s="1"/>
  <c r="R47" i="49"/>
  <c r="S47" i="49" s="1"/>
  <c r="J47" i="49"/>
  <c r="I47" i="49"/>
  <c r="F47" i="49"/>
  <c r="E47" i="49"/>
  <c r="AV29" i="49"/>
  <c r="AQ29" i="49"/>
  <c r="AL29" i="49"/>
  <c r="AG29" i="49"/>
  <c r="AB29" i="49"/>
  <c r="W29" i="49"/>
  <c r="R29" i="49"/>
  <c r="J29" i="49"/>
  <c r="I29" i="49"/>
  <c r="F29" i="49"/>
  <c r="E29" i="49"/>
  <c r="AV28" i="49"/>
  <c r="AQ28" i="49"/>
  <c r="AL28" i="49"/>
  <c r="AG28" i="49"/>
  <c r="AB28" i="49"/>
  <c r="W28" i="49"/>
  <c r="R28" i="49"/>
  <c r="J28" i="49"/>
  <c r="I28" i="49"/>
  <c r="F28" i="49"/>
  <c r="E28" i="49"/>
  <c r="AV27" i="49"/>
  <c r="AQ27" i="49"/>
  <c r="AS27" i="49" s="1"/>
  <c r="AL27" i="49"/>
  <c r="AN27" i="49" s="1"/>
  <c r="AG27" i="49"/>
  <c r="AH27" i="49" s="1"/>
  <c r="AB27" i="49"/>
  <c r="AC27" i="49" s="1"/>
  <c r="W27" i="49"/>
  <c r="Y27" i="49" s="1"/>
  <c r="R27" i="49"/>
  <c r="T27" i="49" s="1"/>
  <c r="J27" i="49"/>
  <c r="I27" i="49"/>
  <c r="F27" i="49"/>
  <c r="E27" i="49"/>
  <c r="R13" i="49"/>
  <c r="S13" i="49" s="1"/>
  <c r="R12" i="49"/>
  <c r="S12" i="49" s="1"/>
  <c r="R11" i="49"/>
  <c r="S11" i="49" s="1"/>
  <c r="R10" i="49"/>
  <c r="S10" i="49" s="1"/>
  <c r="AV9" i="49"/>
  <c r="AQ9" i="49"/>
  <c r="AL9" i="49"/>
  <c r="AG9" i="49"/>
  <c r="AB9" i="49"/>
  <c r="W9" i="49"/>
  <c r="R9" i="49"/>
  <c r="S9" i="49" s="1"/>
  <c r="J9" i="49"/>
  <c r="I9" i="49"/>
  <c r="F9" i="49"/>
  <c r="E9" i="49"/>
  <c r="AV8" i="49"/>
  <c r="AQ8" i="49"/>
  <c r="AL8" i="49"/>
  <c r="AG8" i="49"/>
  <c r="AB8" i="49"/>
  <c r="W8" i="49"/>
  <c r="R8" i="49"/>
  <c r="S8" i="49" s="1"/>
  <c r="J8" i="49"/>
  <c r="I8" i="49"/>
  <c r="F8" i="49"/>
  <c r="E8" i="49"/>
  <c r="AV7" i="49"/>
  <c r="AW7" i="49" s="1"/>
  <c r="AQ7" i="49"/>
  <c r="AL7" i="49"/>
  <c r="AG7" i="49"/>
  <c r="AB7" i="49"/>
  <c r="AC8" i="49" s="1"/>
  <c r="W7" i="49"/>
  <c r="R7" i="49"/>
  <c r="J7" i="49"/>
  <c r="I7" i="49"/>
  <c r="F7" i="49"/>
  <c r="E7" i="49"/>
  <c r="I9" i="44"/>
  <c r="I10" i="44"/>
  <c r="I11" i="44"/>
  <c r="I12" i="44"/>
  <c r="I13" i="44"/>
  <c r="I14" i="44"/>
  <c r="I15" i="44"/>
  <c r="I16" i="44"/>
  <c r="I17" i="44"/>
  <c r="I8" i="44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S7" i="49" l="1"/>
  <c r="T7" i="49"/>
  <c r="AH7" i="49"/>
  <c r="AI7" i="49"/>
  <c r="AM7" i="49"/>
  <c r="AN7" i="49"/>
  <c r="G8" i="49"/>
  <c r="X8" i="49"/>
  <c r="AH8" i="49"/>
  <c r="AM8" i="49"/>
  <c r="K8" i="49"/>
  <c r="AW8" i="49"/>
  <c r="AC9" i="49"/>
  <c r="AH9" i="49"/>
  <c r="AM9" i="49"/>
  <c r="AW9" i="49"/>
  <c r="X28" i="49"/>
  <c r="AH28" i="49"/>
  <c r="S29" i="49"/>
  <c r="AC29" i="49"/>
  <c r="AH29" i="49"/>
  <c r="AM28" i="49"/>
  <c r="AR29" i="49"/>
  <c r="G47" i="49"/>
  <c r="G48" i="49"/>
  <c r="X48" i="49"/>
  <c r="AH48" i="49"/>
  <c r="AW48" i="49"/>
  <c r="S49" i="49"/>
  <c r="X49" i="49"/>
  <c r="AC49" i="49"/>
  <c r="AH49" i="49"/>
  <c r="AM48" i="49"/>
  <c r="AR49" i="49"/>
  <c r="AW49" i="49"/>
  <c r="G67" i="49"/>
  <c r="G68" i="49"/>
  <c r="X68" i="49"/>
  <c r="AH68" i="49"/>
  <c r="AW68" i="49"/>
  <c r="S69" i="49"/>
  <c r="X69" i="49"/>
  <c r="AC69" i="49"/>
  <c r="AH69" i="49"/>
  <c r="AN67" i="49"/>
  <c r="AR69" i="49"/>
  <c r="AW69" i="49"/>
  <c r="G87" i="49"/>
  <c r="T87" i="49"/>
  <c r="K87" i="49"/>
  <c r="S87" i="49"/>
  <c r="AN87" i="49"/>
  <c r="AM87" i="49"/>
  <c r="G88" i="49"/>
  <c r="X88" i="49"/>
  <c r="AH88" i="49"/>
  <c r="S89" i="49"/>
  <c r="K89" i="49"/>
  <c r="AH89" i="49"/>
  <c r="G107" i="49"/>
  <c r="T107" i="49"/>
  <c r="S107" i="49"/>
  <c r="AN107" i="49"/>
  <c r="AM107" i="49"/>
  <c r="G7" i="48"/>
  <c r="G8" i="48"/>
  <c r="X13" i="48"/>
  <c r="AH9" i="48"/>
  <c r="AM17" i="48"/>
  <c r="G9" i="48"/>
  <c r="AW9" i="48"/>
  <c r="AR10" i="48"/>
  <c r="AH11" i="48"/>
  <c r="AC12" i="48"/>
  <c r="AW12" i="48"/>
  <c r="AC13" i="48"/>
  <c r="AR14" i="48"/>
  <c r="AW14" i="48"/>
  <c r="AM15" i="48"/>
  <c r="AR15" i="48"/>
  <c r="G16" i="48"/>
  <c r="AH16" i="48"/>
  <c r="G17" i="48"/>
  <c r="K17" i="48"/>
  <c r="AR18" i="48"/>
  <c r="AW18" i="48"/>
  <c r="AH20" i="48"/>
  <c r="AM31" i="48"/>
  <c r="AR31" i="48"/>
  <c r="G32" i="48"/>
  <c r="AC33" i="48"/>
  <c r="G34" i="48"/>
  <c r="AM34" i="48"/>
  <c r="K34" i="48"/>
  <c r="X35" i="48"/>
  <c r="G36" i="48"/>
  <c r="G37" i="48"/>
  <c r="AH37" i="48"/>
  <c r="K38" i="48"/>
  <c r="AH38" i="48"/>
  <c r="AM39" i="48"/>
  <c r="G40" i="48"/>
  <c r="AM40" i="48"/>
  <c r="G41" i="48"/>
  <c r="AC41" i="48"/>
  <c r="AW41" i="48"/>
  <c r="G42" i="48"/>
  <c r="AH42" i="48"/>
  <c r="AM42" i="48"/>
  <c r="AR42" i="48"/>
  <c r="G43" i="48"/>
  <c r="G53" i="48"/>
  <c r="S54" i="48"/>
  <c r="AC54" i="48"/>
  <c r="S55" i="48"/>
  <c r="AR55" i="48"/>
  <c r="AC56" i="48"/>
  <c r="AR56" i="48"/>
  <c r="AC57" i="48"/>
  <c r="AH57" i="48"/>
  <c r="AR57" i="48"/>
  <c r="S58" i="48"/>
  <c r="X58" i="48"/>
  <c r="AR58" i="48"/>
  <c r="K58" i="48"/>
  <c r="X59" i="48"/>
  <c r="AC59" i="48"/>
  <c r="AH59" i="48"/>
  <c r="AC60" i="48"/>
  <c r="S61" i="48"/>
  <c r="AW61" i="48"/>
  <c r="S62" i="48"/>
  <c r="AC62" i="48"/>
  <c r="AM62" i="48"/>
  <c r="K73" i="48"/>
  <c r="G74" i="48"/>
  <c r="AW82" i="48"/>
  <c r="AM75" i="48"/>
  <c r="S76" i="48"/>
  <c r="Y73" i="48"/>
  <c r="G77" i="48"/>
  <c r="AC77" i="48"/>
  <c r="S78" i="48"/>
  <c r="AR78" i="48"/>
  <c r="AW78" i="48"/>
  <c r="AR79" i="48"/>
  <c r="G80" i="48"/>
  <c r="X80" i="48"/>
  <c r="AH80" i="48"/>
  <c r="G81" i="48"/>
  <c r="X82" i="48"/>
  <c r="G96" i="48"/>
  <c r="AM96" i="48"/>
  <c r="AN96" i="48"/>
  <c r="G97" i="48"/>
  <c r="S106" i="48"/>
  <c r="X97" i="48"/>
  <c r="AC101" i="48"/>
  <c r="S102" i="48"/>
  <c r="AC102" i="48"/>
  <c r="G103" i="48"/>
  <c r="K103" i="48"/>
  <c r="G104" i="48"/>
  <c r="AC105" i="48"/>
  <c r="K106" i="48"/>
  <c r="G107" i="48"/>
  <c r="AC107" i="48"/>
  <c r="G119" i="48"/>
  <c r="M119" i="48"/>
  <c r="L119" i="48"/>
  <c r="T119" i="48"/>
  <c r="S119" i="48"/>
  <c r="AD119" i="48"/>
  <c r="AC119" i="48"/>
  <c r="AI119" i="48"/>
  <c r="AH119" i="48"/>
  <c r="AN119" i="48"/>
  <c r="AM119" i="48"/>
  <c r="G123" i="48"/>
  <c r="G125" i="48"/>
  <c r="G129" i="48"/>
  <c r="G131" i="48"/>
  <c r="G15" i="48"/>
  <c r="G33" i="48"/>
  <c r="G20" i="48"/>
  <c r="G9" i="49"/>
  <c r="G18" i="48"/>
  <c r="G121" i="48"/>
  <c r="G31" i="48"/>
  <c r="G39" i="48"/>
  <c r="G76" i="48"/>
  <c r="G78" i="48"/>
  <c r="G122" i="48"/>
  <c r="G130" i="48"/>
  <c r="G14" i="48"/>
  <c r="G98" i="48"/>
  <c r="G120" i="48"/>
  <c r="G100" i="48"/>
  <c r="G79" i="48"/>
  <c r="G128" i="48"/>
  <c r="G11" i="48"/>
  <c r="G27" i="49"/>
  <c r="G28" i="49"/>
  <c r="G108" i="49"/>
  <c r="H107" i="49" s="1"/>
  <c r="G61" i="48"/>
  <c r="G109" i="49"/>
  <c r="G55" i="48"/>
  <c r="G56" i="48"/>
  <c r="G57" i="48"/>
  <c r="G58" i="48"/>
  <c r="G59" i="48"/>
  <c r="G85" i="48"/>
  <c r="G124" i="48"/>
  <c r="G132" i="48"/>
  <c r="AW55" i="48"/>
  <c r="AC73" i="48"/>
  <c r="AW10" i="48"/>
  <c r="AC16" i="48"/>
  <c r="X37" i="48"/>
  <c r="X36" i="48"/>
  <c r="X34" i="48"/>
  <c r="X40" i="48"/>
  <c r="AH75" i="48"/>
  <c r="AI73" i="48"/>
  <c r="AR136" i="48"/>
  <c r="AR134" i="48"/>
  <c r="AR135" i="48"/>
  <c r="AR19" i="48"/>
  <c r="AR17" i="48"/>
  <c r="AR13" i="48"/>
  <c r="AR9" i="48"/>
  <c r="AR133" i="48"/>
  <c r="AW19" i="48"/>
  <c r="X30" i="48"/>
  <c r="AC37" i="48"/>
  <c r="X39" i="48"/>
  <c r="AI53" i="48"/>
  <c r="AH55" i="48"/>
  <c r="X57" i="48"/>
  <c r="X53" i="48"/>
  <c r="Y53" i="48"/>
  <c r="K61" i="48"/>
  <c r="AM73" i="48"/>
  <c r="AM74" i="48"/>
  <c r="AM80" i="48"/>
  <c r="AM78" i="48"/>
  <c r="AM76" i="48"/>
  <c r="X76" i="48"/>
  <c r="AC82" i="48"/>
  <c r="X102" i="48"/>
  <c r="G105" i="48"/>
  <c r="H96" i="48" s="1"/>
  <c r="K14" i="48"/>
  <c r="Y30" i="48"/>
  <c r="AH35" i="48"/>
  <c r="AH53" i="48"/>
  <c r="X60" i="48"/>
  <c r="AR74" i="48"/>
  <c r="AC76" i="48"/>
  <c r="AH82" i="48"/>
  <c r="AH96" i="48"/>
  <c r="S104" i="48"/>
  <c r="K9" i="48"/>
  <c r="X9" i="48"/>
  <c r="AC40" i="48"/>
  <c r="AC34" i="48"/>
  <c r="AD30" i="48"/>
  <c r="AC39" i="48"/>
  <c r="AM56" i="48"/>
  <c r="AN53" i="48"/>
  <c r="AM60" i="48"/>
  <c r="AM58" i="48"/>
  <c r="AM54" i="48"/>
  <c r="AM57" i="48"/>
  <c r="AR76" i="48"/>
  <c r="AR81" i="48"/>
  <c r="AW7" i="48"/>
  <c r="AX7" i="48"/>
  <c r="AW15" i="48"/>
  <c r="AW13" i="48"/>
  <c r="AW11" i="48"/>
  <c r="AW16" i="48"/>
  <c r="AC9" i="48"/>
  <c r="AH77" i="48"/>
  <c r="AW81" i="48"/>
  <c r="AR82" i="48"/>
  <c r="S7" i="48"/>
  <c r="AR8" i="48"/>
  <c r="X10" i="48"/>
  <c r="AH13" i="48"/>
  <c r="K18" i="48"/>
  <c r="AH30" i="48"/>
  <c r="X31" i="48"/>
  <c r="S32" i="48"/>
  <c r="K32" i="48"/>
  <c r="AW35" i="48"/>
  <c r="AR39" i="48"/>
  <c r="AH41" i="48"/>
  <c r="AW58" i="48"/>
  <c r="AW75" i="48"/>
  <c r="AM77" i="48"/>
  <c r="AH78" i="48"/>
  <c r="X79" i="48"/>
  <c r="S99" i="48"/>
  <c r="K120" i="48"/>
  <c r="M120" i="48" s="1"/>
  <c r="AW8" i="48"/>
  <c r="AC10" i="48"/>
  <c r="AM13" i="48"/>
  <c r="AC14" i="48"/>
  <c r="AH18" i="48"/>
  <c r="K19" i="48"/>
  <c r="AC31" i="48"/>
  <c r="X33" i="48"/>
  <c r="G35" i="48"/>
  <c r="X56" i="48"/>
  <c r="K57" i="48"/>
  <c r="AW59" i="48"/>
  <c r="X62" i="48"/>
  <c r="G75" i="48"/>
  <c r="AH98" i="48"/>
  <c r="K99" i="48"/>
  <c r="H119" i="48"/>
  <c r="AW39" i="48"/>
  <c r="AW33" i="48"/>
  <c r="AX30" i="48"/>
  <c r="AW31" i="48"/>
  <c r="AH34" i="48"/>
  <c r="AH32" i="48"/>
  <c r="AI30" i="48"/>
  <c r="AD73" i="48"/>
  <c r="AC74" i="48"/>
  <c r="AC78" i="48"/>
  <c r="AC80" i="48"/>
  <c r="AM11" i="48"/>
  <c r="X16" i="48"/>
  <c r="K16" i="48"/>
  <c r="T30" i="48"/>
  <c r="S30" i="48"/>
  <c r="S39" i="48"/>
  <c r="S36" i="48"/>
  <c r="S33" i="48"/>
  <c r="S40" i="48"/>
  <c r="S37" i="48"/>
  <c r="K30" i="48"/>
  <c r="S41" i="48"/>
  <c r="S31" i="48"/>
  <c r="AW30" i="48"/>
  <c r="AC38" i="48"/>
  <c r="AS119" i="48"/>
  <c r="AR119" i="48"/>
  <c r="S122" i="48"/>
  <c r="K122" i="48"/>
  <c r="M122" i="48" s="1"/>
  <c r="X8" i="48"/>
  <c r="K8" i="48"/>
  <c r="AH81" i="48"/>
  <c r="X103" i="48"/>
  <c r="AC8" i="48"/>
  <c r="AD7" i="48"/>
  <c r="AR11" i="48"/>
  <c r="X17" i="48"/>
  <c r="AC35" i="48"/>
  <c r="AM81" i="48"/>
  <c r="AH106" i="48"/>
  <c r="AH102" i="48"/>
  <c r="AI96" i="48"/>
  <c r="AH104" i="48"/>
  <c r="AH107" i="48"/>
  <c r="AH100" i="48"/>
  <c r="K96" i="48"/>
  <c r="S97" i="48"/>
  <c r="K97" i="48"/>
  <c r="S105" i="48"/>
  <c r="S107" i="48"/>
  <c r="S100" i="48"/>
  <c r="T96" i="48"/>
  <c r="S96" i="48"/>
  <c r="AH101" i="48"/>
  <c r="AR7" i="48"/>
  <c r="AH8" i="48"/>
  <c r="AI7" i="48"/>
  <c r="AH7" i="48"/>
  <c r="AH17" i="48"/>
  <c r="AM16" i="48"/>
  <c r="AR35" i="48"/>
  <c r="AR33" i="48"/>
  <c r="AR30" i="48"/>
  <c r="AR38" i="48"/>
  <c r="X41" i="48"/>
  <c r="X54" i="48"/>
  <c r="G73" i="48"/>
  <c r="X105" i="48"/>
  <c r="AS7" i="48"/>
  <c r="AN7" i="48"/>
  <c r="AM7" i="48"/>
  <c r="AM9" i="48"/>
  <c r="AR12" i="48"/>
  <c r="AR34" i="48"/>
  <c r="AC36" i="48"/>
  <c r="AW73" i="48"/>
  <c r="AW76" i="48"/>
  <c r="X104" i="48"/>
  <c r="AM8" i="48"/>
  <c r="AC30" i="48"/>
  <c r="AW34" i="48"/>
  <c r="AH36" i="48"/>
  <c r="AM53" i="48"/>
  <c r="AM59" i="48"/>
  <c r="AW74" i="48"/>
  <c r="AR75" i="48"/>
  <c r="K7" i="48"/>
  <c r="K12" i="48"/>
  <c r="AM18" i="48"/>
  <c r="X19" i="48"/>
  <c r="X32" i="48"/>
  <c r="AR40" i="48"/>
  <c r="AC42" i="48"/>
  <c r="AM61" i="48"/>
  <c r="AC79" i="48"/>
  <c r="X99" i="48"/>
  <c r="X106" i="48"/>
  <c r="X7" i="48"/>
  <c r="AH10" i="48"/>
  <c r="AC11" i="48"/>
  <c r="K11" i="48"/>
  <c r="AC15" i="48"/>
  <c r="AW17" i="48"/>
  <c r="AC19" i="48"/>
  <c r="AW40" i="48"/>
  <c r="AM55" i="48"/>
  <c r="AR54" i="48"/>
  <c r="AS53" i="48"/>
  <c r="K81" i="48"/>
  <c r="AC99" i="48"/>
  <c r="AC98" i="48"/>
  <c r="AH105" i="48"/>
  <c r="AC106" i="48"/>
  <c r="G127" i="48"/>
  <c r="Y7" i="48"/>
  <c r="AH15" i="48"/>
  <c r="AS30" i="48"/>
  <c r="AC32" i="48"/>
  <c r="AH33" i="48"/>
  <c r="X38" i="48"/>
  <c r="K53" i="48"/>
  <c r="AH56" i="48"/>
  <c r="AR61" i="48"/>
  <c r="AH62" i="48"/>
  <c r="K74" i="48"/>
  <c r="S79" i="48"/>
  <c r="T73" i="48"/>
  <c r="S74" i="48"/>
  <c r="AM79" i="48"/>
  <c r="X100" i="48"/>
  <c r="X107" i="48"/>
  <c r="K126" i="48"/>
  <c r="M126" i="48" s="1"/>
  <c r="AR16" i="48"/>
  <c r="G30" i="48"/>
  <c r="H30" i="48" s="1"/>
  <c r="G38" i="48"/>
  <c r="X55" i="48"/>
  <c r="AW56" i="48"/>
  <c r="AH60" i="48"/>
  <c r="X61" i="48"/>
  <c r="AH76" i="48"/>
  <c r="AW79" i="48"/>
  <c r="K82" i="48"/>
  <c r="G83" i="48"/>
  <c r="AC96" i="48"/>
  <c r="AC104" i="48"/>
  <c r="AC97" i="48"/>
  <c r="AC100" i="48"/>
  <c r="X12" i="48"/>
  <c r="X14" i="48"/>
  <c r="AC17" i="48"/>
  <c r="AH19" i="48"/>
  <c r="AM33" i="48"/>
  <c r="AW38" i="48"/>
  <c r="AH39" i="48"/>
  <c r="K41" i="48"/>
  <c r="AW57" i="48"/>
  <c r="AW54" i="48"/>
  <c r="AW62" i="48"/>
  <c r="AX53" i="48"/>
  <c r="AW53" i="48"/>
  <c r="K62" i="48"/>
  <c r="AH73" i="48"/>
  <c r="X77" i="48"/>
  <c r="X73" i="48"/>
  <c r="X74" i="48"/>
  <c r="S82" i="48"/>
  <c r="AR96" i="48"/>
  <c r="AH97" i="48"/>
  <c r="Y119" i="48"/>
  <c r="X119" i="48"/>
  <c r="AM19" i="48"/>
  <c r="K35" i="48"/>
  <c r="AH61" i="48"/>
  <c r="X75" i="48"/>
  <c r="AW80" i="48"/>
  <c r="AX96" i="48"/>
  <c r="AW96" i="48"/>
  <c r="AH14" i="48"/>
  <c r="K15" i="48"/>
  <c r="G19" i="48"/>
  <c r="H7" i="48" s="1"/>
  <c r="AC20" i="48"/>
  <c r="AR41" i="48"/>
  <c r="S35" i="48"/>
  <c r="S57" i="48"/>
  <c r="T53" i="48"/>
  <c r="S53" i="48"/>
  <c r="S56" i="48"/>
  <c r="AR60" i="48"/>
  <c r="AN73" i="48"/>
  <c r="K75" i="48"/>
  <c r="G84" i="48"/>
  <c r="S101" i="48"/>
  <c r="AW112" i="48"/>
  <c r="AM14" i="48"/>
  <c r="X15" i="48"/>
  <c r="AW42" i="48"/>
  <c r="S59" i="48"/>
  <c r="AW60" i="48"/>
  <c r="AR77" i="48"/>
  <c r="AR80" i="48"/>
  <c r="AS73" i="48"/>
  <c r="AR73" i="48"/>
  <c r="AH74" i="48"/>
  <c r="AC75" i="48"/>
  <c r="K76" i="48"/>
  <c r="K79" i="48"/>
  <c r="K105" i="48"/>
  <c r="AH54" i="48"/>
  <c r="S73" i="48"/>
  <c r="AM82" i="48"/>
  <c r="Y96" i="48"/>
  <c r="X101" i="48"/>
  <c r="AM10" i="48"/>
  <c r="AH12" i="48"/>
  <c r="X20" i="48"/>
  <c r="K20" i="48"/>
  <c r="K37" i="48"/>
  <c r="S38" i="48"/>
  <c r="G62" i="48"/>
  <c r="S77" i="48"/>
  <c r="K77" i="48"/>
  <c r="S81" i="48"/>
  <c r="X96" i="48"/>
  <c r="S98" i="48"/>
  <c r="X78" i="48"/>
  <c r="AX73" i="48"/>
  <c r="X81" i="48"/>
  <c r="AC103" i="48"/>
  <c r="X98" i="48"/>
  <c r="K107" i="48"/>
  <c r="AW119" i="48"/>
  <c r="S134" i="48"/>
  <c r="S34" i="48"/>
  <c r="K55" i="48"/>
  <c r="K59" i="48"/>
  <c r="G82" i="48"/>
  <c r="AM12" i="48"/>
  <c r="X18" i="48"/>
  <c r="AH31" i="48"/>
  <c r="AM41" i="48"/>
  <c r="X42" i="48"/>
  <c r="AC58" i="48"/>
  <c r="AC55" i="48"/>
  <c r="AC61" i="48"/>
  <c r="X11" i="48"/>
  <c r="K13" i="48"/>
  <c r="AC18" i="48"/>
  <c r="AM38" i="48"/>
  <c r="AM35" i="48"/>
  <c r="AC53" i="48"/>
  <c r="G54" i="48"/>
  <c r="H53" i="48" s="1"/>
  <c r="S75" i="48"/>
  <c r="AC81" i="48"/>
  <c r="S103" i="48"/>
  <c r="AC7" i="48"/>
  <c r="AN30" i="48"/>
  <c r="K33" i="48"/>
  <c r="S42" i="48"/>
  <c r="S60" i="48"/>
  <c r="AH79" i="48"/>
  <c r="K121" i="48"/>
  <c r="M121" i="48" s="1"/>
  <c r="K129" i="48"/>
  <c r="M129" i="48" s="1"/>
  <c r="K80" i="48"/>
  <c r="AR62" i="48"/>
  <c r="AH99" i="48"/>
  <c r="K31" i="48"/>
  <c r="M31" i="48" s="1"/>
  <c r="AH40" i="48"/>
  <c r="AR53" i="48"/>
  <c r="AH58" i="48"/>
  <c r="AW77" i="48"/>
  <c r="S80" i="48"/>
  <c r="G99" i="48"/>
  <c r="K100" i="48"/>
  <c r="H67" i="49"/>
  <c r="G7" i="49"/>
  <c r="H7" i="49" s="1"/>
  <c r="AW27" i="49"/>
  <c r="AX27" i="49"/>
  <c r="AW28" i="49"/>
  <c r="AW29" i="49"/>
  <c r="Y87" i="49"/>
  <c r="AC48" i="49"/>
  <c r="K47" i="49"/>
  <c r="AC47" i="49"/>
  <c r="AD47" i="49"/>
  <c r="AC68" i="49"/>
  <c r="AC67" i="49"/>
  <c r="AD67" i="49"/>
  <c r="K67" i="49"/>
  <c r="AC88" i="49"/>
  <c r="AC87" i="49"/>
  <c r="AD87" i="49"/>
  <c r="X89" i="49"/>
  <c r="AR7" i="49"/>
  <c r="AS7" i="49"/>
  <c r="X9" i="49"/>
  <c r="K9" i="49"/>
  <c r="AW47" i="49"/>
  <c r="AX47" i="49"/>
  <c r="AW67" i="49"/>
  <c r="AX67" i="49"/>
  <c r="AC107" i="49"/>
  <c r="AD107" i="49"/>
  <c r="G29" i="49"/>
  <c r="H27" i="49" s="1"/>
  <c r="G49" i="49"/>
  <c r="H47" i="49" s="1"/>
  <c r="G69" i="49"/>
  <c r="AW87" i="49"/>
  <c r="AX87" i="49"/>
  <c r="AR8" i="49"/>
  <c r="K7" i="49"/>
  <c r="X7" i="49"/>
  <c r="Y7" i="49"/>
  <c r="AR9" i="49"/>
  <c r="K28" i="49"/>
  <c r="G89" i="49"/>
  <c r="H87" i="49" s="1"/>
  <c r="X29" i="49"/>
  <c r="AW107" i="49"/>
  <c r="AX107" i="49"/>
  <c r="AC28" i="49"/>
  <c r="K27" i="49"/>
  <c r="AD27" i="49"/>
  <c r="M88" i="49"/>
  <c r="AR28" i="49"/>
  <c r="AR48" i="49"/>
  <c r="AR68" i="49"/>
  <c r="X27" i="49"/>
  <c r="AR27" i="49"/>
  <c r="X47" i="49"/>
  <c r="AR47" i="49"/>
  <c r="X67" i="49"/>
  <c r="AR67" i="49"/>
  <c r="X87" i="49"/>
  <c r="AR87" i="49"/>
  <c r="X107" i="49"/>
  <c r="AR107" i="49"/>
  <c r="S28" i="49"/>
  <c r="S48" i="49"/>
  <c r="S68" i="49"/>
  <c r="S88" i="49"/>
  <c r="AH109" i="49"/>
  <c r="AI27" i="49"/>
  <c r="K29" i="49"/>
  <c r="AI47" i="49"/>
  <c r="K49" i="49"/>
  <c r="AI67" i="49"/>
  <c r="K69" i="49"/>
  <c r="M69" i="49" s="1"/>
  <c r="AI87" i="49"/>
  <c r="M89" i="49"/>
  <c r="M107" i="49"/>
  <c r="AI107" i="49"/>
  <c r="AH108" i="49"/>
  <c r="AD7" i="49"/>
  <c r="AX7" i="49"/>
  <c r="AM29" i="49"/>
  <c r="AM49" i="49"/>
  <c r="AM69" i="49"/>
  <c r="AC7" i="49"/>
  <c r="S27" i="49"/>
  <c r="AM27" i="49"/>
  <c r="AM47" i="49"/>
  <c r="AM67" i="49"/>
  <c r="AM68" i="49"/>
  <c r="T47" i="49"/>
  <c r="T67" i="49"/>
  <c r="H35" i="56"/>
  <c r="L35" i="56"/>
  <c r="H36" i="56"/>
  <c r="D35" i="56"/>
  <c r="D36" i="56"/>
  <c r="F36" i="56"/>
  <c r="J36" i="56"/>
  <c r="L36" i="56"/>
  <c r="F35" i="56"/>
  <c r="Q26" i="55"/>
  <c r="R26" i="55" s="1"/>
  <c r="P26" i="55"/>
  <c r="M26" i="55"/>
  <c r="K26" i="55"/>
  <c r="Q25" i="55"/>
  <c r="R25" i="55" s="1"/>
  <c r="P25" i="55"/>
  <c r="M25" i="55"/>
  <c r="K25" i="55"/>
  <c r="Q24" i="55"/>
  <c r="R24" i="55" s="1"/>
  <c r="P24" i="55"/>
  <c r="M24" i="55"/>
  <c r="K24" i="55"/>
  <c r="Q23" i="55"/>
  <c r="R23" i="55" s="1"/>
  <c r="P23" i="55"/>
  <c r="M23" i="55"/>
  <c r="K23" i="55"/>
  <c r="Q22" i="55"/>
  <c r="R22" i="55" s="1"/>
  <c r="P22" i="55"/>
  <c r="M22" i="55"/>
  <c r="K22" i="55"/>
  <c r="Q21" i="55"/>
  <c r="R21" i="55" s="1"/>
  <c r="P21" i="55"/>
  <c r="M21" i="55"/>
  <c r="K21" i="55"/>
  <c r="Q20" i="55"/>
  <c r="R20" i="55" s="1"/>
  <c r="P20" i="55"/>
  <c r="M20" i="55"/>
  <c r="K20" i="55"/>
  <c r="Q19" i="55"/>
  <c r="R19" i="55" s="1"/>
  <c r="P19" i="55"/>
  <c r="M19" i="55"/>
  <c r="K19" i="55"/>
  <c r="Q18" i="55"/>
  <c r="R18" i="55" s="1"/>
  <c r="P18" i="55"/>
  <c r="M18" i="55"/>
  <c r="K18" i="55"/>
  <c r="Q17" i="55"/>
  <c r="R17" i="55" s="1"/>
  <c r="P17" i="55"/>
  <c r="M17" i="55"/>
  <c r="K17" i="55"/>
  <c r="Q16" i="55"/>
  <c r="R16" i="55" s="1"/>
  <c r="P16" i="55"/>
  <c r="M16" i="55"/>
  <c r="K16" i="55"/>
  <c r="Q15" i="55"/>
  <c r="R15" i="55" s="1"/>
  <c r="P15" i="55"/>
  <c r="M15" i="55"/>
  <c r="K15" i="55"/>
  <c r="Q14" i="55"/>
  <c r="R14" i="55" s="1"/>
  <c r="P14" i="55"/>
  <c r="M14" i="55"/>
  <c r="K14" i="55"/>
  <c r="Q13" i="55"/>
  <c r="R13" i="55" s="1"/>
  <c r="P13" i="55"/>
  <c r="M13" i="55"/>
  <c r="K13" i="55"/>
  <c r="Q12" i="55"/>
  <c r="R12" i="55" s="1"/>
  <c r="P12" i="55"/>
  <c r="M12" i="55"/>
  <c r="K12" i="55"/>
  <c r="Q11" i="55"/>
  <c r="R11" i="55" s="1"/>
  <c r="P11" i="55"/>
  <c r="M11" i="55"/>
  <c r="K11" i="55"/>
  <c r="Q10" i="55"/>
  <c r="R10" i="55" s="1"/>
  <c r="P10" i="55"/>
  <c r="M10" i="55"/>
  <c r="K10" i="55"/>
  <c r="Q9" i="55"/>
  <c r="R9" i="55" s="1"/>
  <c r="P9" i="55"/>
  <c r="M9" i="55"/>
  <c r="K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Q8" i="52"/>
  <c r="R8" i="52" s="1"/>
  <c r="Q9" i="52"/>
  <c r="R9" i="52" s="1"/>
  <c r="Q10" i="52"/>
  <c r="R10" i="52" s="1"/>
  <c r="Q11" i="52"/>
  <c r="R11" i="52" s="1"/>
  <c r="Q12" i="52"/>
  <c r="R12" i="52" s="1"/>
  <c r="Q13" i="52"/>
  <c r="R13" i="52" s="1"/>
  <c r="Q14" i="52"/>
  <c r="R14" i="52" s="1"/>
  <c r="Q15" i="52"/>
  <c r="R15" i="52" s="1"/>
  <c r="Q16" i="52"/>
  <c r="R16" i="52" s="1"/>
  <c r="Q17" i="52"/>
  <c r="R17" i="52" s="1"/>
  <c r="Q18" i="52"/>
  <c r="R18" i="52" s="1"/>
  <c r="Q19" i="52"/>
  <c r="R19" i="52" s="1"/>
  <c r="Q20" i="52"/>
  <c r="R20" i="52" s="1"/>
  <c r="Q21" i="52"/>
  <c r="R21" i="52" s="1"/>
  <c r="Q22" i="52"/>
  <c r="R22" i="52" s="1"/>
  <c r="Q23" i="52"/>
  <c r="R23" i="52" s="1"/>
  <c r="Q24" i="52"/>
  <c r="R24" i="52" s="1"/>
  <c r="Q25" i="52"/>
  <c r="R25" i="52" s="1"/>
  <c r="Q26" i="52"/>
  <c r="R26" i="52" s="1"/>
  <c r="Q7" i="52"/>
  <c r="R7" i="52" s="1"/>
  <c r="AB8" i="52"/>
  <c r="AC8" i="52"/>
  <c r="AC7" i="52"/>
  <c r="AB7" i="52"/>
  <c r="AA7" i="52"/>
  <c r="AD7" i="52"/>
  <c r="P8" i="52"/>
  <c r="P9" i="52"/>
  <c r="P10" i="52"/>
  <c r="P11" i="52"/>
  <c r="P12" i="52"/>
  <c r="P13" i="52"/>
  <c r="P14" i="52"/>
  <c r="P15" i="52"/>
  <c r="P16" i="52"/>
  <c r="P17" i="52"/>
  <c r="P18" i="52"/>
  <c r="P19" i="52"/>
  <c r="P20" i="52"/>
  <c r="P21" i="52"/>
  <c r="P22" i="52"/>
  <c r="P23" i="52"/>
  <c r="P24" i="52"/>
  <c r="P25" i="52"/>
  <c r="P26" i="52"/>
  <c r="P7" i="52"/>
  <c r="M9" i="50"/>
  <c r="M26" i="52"/>
  <c r="K26" i="52"/>
  <c r="I26" i="52"/>
  <c r="M25" i="52"/>
  <c r="K25" i="52"/>
  <c r="I25" i="52"/>
  <c r="M24" i="52"/>
  <c r="K24" i="52"/>
  <c r="I24" i="52"/>
  <c r="M23" i="52"/>
  <c r="K23" i="52"/>
  <c r="I23" i="52"/>
  <c r="M22" i="52"/>
  <c r="K22" i="52"/>
  <c r="I22" i="52"/>
  <c r="M21" i="52"/>
  <c r="K21" i="52"/>
  <c r="I21" i="52"/>
  <c r="M20" i="52"/>
  <c r="K20" i="52"/>
  <c r="I20" i="52"/>
  <c r="M19" i="52"/>
  <c r="K19" i="52"/>
  <c r="I19" i="52"/>
  <c r="M18" i="52"/>
  <c r="K18" i="52"/>
  <c r="I18" i="52"/>
  <c r="M17" i="52"/>
  <c r="K17" i="52"/>
  <c r="I17" i="52"/>
  <c r="M16" i="52"/>
  <c r="K16" i="52"/>
  <c r="I16" i="52"/>
  <c r="M15" i="52"/>
  <c r="K15" i="52"/>
  <c r="I15" i="52"/>
  <c r="M14" i="52"/>
  <c r="K14" i="52"/>
  <c r="I14" i="52"/>
  <c r="M13" i="52"/>
  <c r="K13" i="52"/>
  <c r="I13" i="52"/>
  <c r="M12" i="52"/>
  <c r="K12" i="52"/>
  <c r="I12" i="52"/>
  <c r="M11" i="52"/>
  <c r="K11" i="52"/>
  <c r="I11" i="52"/>
  <c r="M10" i="52"/>
  <c r="K10" i="52"/>
  <c r="I10" i="52"/>
  <c r="M9" i="52"/>
  <c r="K9" i="52"/>
  <c r="I9" i="52"/>
  <c r="AI8" i="52"/>
  <c r="AH8" i="52"/>
  <c r="AG8" i="52"/>
  <c r="AF8" i="52"/>
  <c r="AE8" i="52"/>
  <c r="AD8" i="52"/>
  <c r="M8" i="52"/>
  <c r="K8" i="52"/>
  <c r="I8" i="52"/>
  <c r="AI7" i="52"/>
  <c r="AH7" i="52"/>
  <c r="AG7" i="52"/>
  <c r="AF7" i="52"/>
  <c r="AE7" i="52"/>
  <c r="M7" i="52"/>
  <c r="K7" i="52"/>
  <c r="I7" i="52"/>
  <c r="K38" i="51"/>
  <c r="K30" i="51"/>
  <c r="K22" i="51"/>
  <c r="M21" i="51"/>
  <c r="K14" i="51"/>
  <c r="M13" i="51"/>
  <c r="M29" i="50"/>
  <c r="M28" i="50"/>
  <c r="M27" i="50"/>
  <c r="M26" i="50"/>
  <c r="M25" i="50"/>
  <c r="M22" i="50"/>
  <c r="K22" i="50" s="1"/>
  <c r="M13" i="50"/>
  <c r="M12" i="50"/>
  <c r="M11" i="50"/>
  <c r="M10" i="50"/>
  <c r="M14" i="50" l="1"/>
  <c r="K14" i="50" s="1"/>
  <c r="M49" i="49"/>
  <c r="M48" i="49"/>
  <c r="M28" i="49"/>
  <c r="M107" i="48"/>
  <c r="M79" i="48"/>
  <c r="M58" i="48"/>
  <c r="M12" i="48"/>
  <c r="M17" i="48"/>
  <c r="M36" i="48"/>
  <c r="M101" i="48"/>
  <c r="M19" i="48"/>
  <c r="M37" i="48"/>
  <c r="M7" i="48"/>
  <c r="L7" i="48"/>
  <c r="M75" i="48"/>
  <c r="M60" i="48"/>
  <c r="M40" i="48"/>
  <c r="M57" i="48"/>
  <c r="M42" i="48"/>
  <c r="M78" i="48"/>
  <c r="M13" i="48"/>
  <c r="M55" i="48"/>
  <c r="M96" i="48"/>
  <c r="L96" i="48"/>
  <c r="M104" i="48"/>
  <c r="M16" i="48"/>
  <c r="M18" i="48"/>
  <c r="M33" i="48"/>
  <c r="M77" i="48"/>
  <c r="M62" i="48"/>
  <c r="M8" i="48"/>
  <c r="M30" i="48"/>
  <c r="L30" i="48"/>
  <c r="M39" i="48"/>
  <c r="M14" i="48"/>
  <c r="M103" i="48"/>
  <c r="M76" i="48"/>
  <c r="M106" i="48"/>
  <c r="M9" i="48"/>
  <c r="M20" i="48"/>
  <c r="M99" i="48"/>
  <c r="M80" i="48"/>
  <c r="M15" i="48"/>
  <c r="M41" i="48"/>
  <c r="M53" i="48"/>
  <c r="L53" i="48"/>
  <c r="M81" i="48"/>
  <c r="M98" i="48"/>
  <c r="M82" i="48"/>
  <c r="M38" i="48"/>
  <c r="M32" i="48"/>
  <c r="M34" i="48"/>
  <c r="M100" i="48"/>
  <c r="M56" i="48"/>
  <c r="M10" i="48"/>
  <c r="M97" i="48"/>
  <c r="M54" i="48"/>
  <c r="M59" i="48"/>
  <c r="M35" i="48"/>
  <c r="M61" i="48"/>
  <c r="L73" i="48"/>
  <c r="M105" i="48"/>
  <c r="M74" i="48"/>
  <c r="M11" i="48"/>
  <c r="H73" i="48"/>
  <c r="M102" i="48"/>
  <c r="M73" i="48"/>
  <c r="L27" i="49"/>
  <c r="M27" i="49"/>
  <c r="M121" i="49"/>
  <c r="L7" i="49"/>
  <c r="M120" i="49"/>
  <c r="M117" i="49"/>
  <c r="M111" i="49"/>
  <c r="M119" i="49"/>
  <c r="M113" i="49"/>
  <c r="M118" i="49"/>
  <c r="M116" i="49"/>
  <c r="M115" i="49"/>
  <c r="M114" i="49"/>
  <c r="M112" i="49"/>
  <c r="M110" i="49"/>
  <c r="M7" i="49"/>
  <c r="M9" i="49"/>
  <c r="M29" i="49"/>
  <c r="L87" i="49"/>
  <c r="M87" i="49"/>
  <c r="L67" i="49"/>
  <c r="M67" i="49"/>
  <c r="M8" i="49"/>
  <c r="M68" i="49"/>
  <c r="L47" i="49"/>
  <c r="M47" i="49"/>
  <c r="M30" i="50"/>
  <c r="K30" i="50" s="1"/>
  <c r="C1" i="48" l="1"/>
  <c r="C9" i="40"/>
  <c r="D24" i="13"/>
  <c r="D23" i="13"/>
  <c r="D22" i="13"/>
  <c r="M21" i="20" l="1"/>
  <c r="K76" i="36" l="1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M9" i="19" l="1"/>
  <c r="M10" i="19"/>
  <c r="M11" i="19"/>
  <c r="M13" i="20" l="1"/>
  <c r="AW21" i="36" l="1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Q19" i="1" l="1"/>
  <c r="C10" i="40" l="1"/>
  <c r="C15" i="13" l="1"/>
  <c r="L20" i="21" l="1"/>
  <c r="K38" i="20"/>
  <c r="K30" i="20"/>
  <c r="K22" i="20"/>
  <c r="K14" i="20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C1" i="36" l="1"/>
  <c r="E15" i="13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M30" i="19" l="1"/>
  <c r="K30" i="19" s="1"/>
  <c r="M22" i="19"/>
  <c r="K22" i="19" s="1"/>
  <c r="M14" i="19"/>
  <c r="K14" i="19" s="1"/>
  <c r="C18" i="13"/>
  <c r="I18" i="13"/>
  <c r="X55" i="1" l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X48" i="1" l="1"/>
  <c r="V48" i="1" s="1"/>
  <c r="E11" i="1"/>
  <c r="O14" i="1"/>
  <c r="X28" i="1"/>
  <c r="V28" i="1" s="1"/>
  <c r="X34" i="1"/>
  <c r="V34" i="1" s="1"/>
  <c r="D11" i="1"/>
  <c r="X42" i="1"/>
  <c r="V42" i="1" s="1"/>
  <c r="Q6" i="1"/>
  <c r="D9" i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<sst xmlns="http://schemas.openxmlformats.org/spreadsheetml/2006/main" count="2772" uniqueCount="510">
  <si>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</si>
  <si>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t>月別</t>
    <phoneticPr fontId="14"/>
  </si>
  <si>
    <t>工廠</t>
    <phoneticPr fontId="14"/>
  </si>
  <si>
    <t>長家</t>
    <phoneticPr fontId="17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</si>
  <si>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4"/>
  </si>
  <si>
    <t>※單位：千元</t>
    <phoneticPr fontId="14"/>
  </si>
  <si>
    <t>（２）ＫＰＩ達成進度</t>
    <phoneticPr fontId="14"/>
  </si>
  <si>
    <t>項目</t>
    <phoneticPr fontId="17" type="noConversion"/>
  </si>
  <si>
    <t>當月</t>
    <phoneticPr fontId="14"/>
  </si>
  <si>
    <t>前月</t>
  </si>
  <si>
    <t>差異</t>
  </si>
  <si>
    <t>累計</t>
  </si>
  <si>
    <t>KPI</t>
    <phoneticPr fontId="14"/>
  </si>
  <si>
    <t>前月</t>
    <phoneticPr fontId="14"/>
  </si>
  <si>
    <t>※補充</t>
    <phoneticPr fontId="14"/>
  </si>
  <si>
    <t>業績金額</t>
    <phoneticPr fontId="14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</si>
  <si>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</si>
  <si>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個／MH</t>
    <phoneticPr fontId="14"/>
  </si>
  <si>
    <t>訂單數量</t>
    <phoneticPr fontId="14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</si>
  <si>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</si>
  <si>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達成率</t>
  </si>
  <si>
    <t>材料費</t>
  </si>
  <si>
    <t>半成品-報廢(%)</t>
    <phoneticPr fontId="14"/>
  </si>
  <si>
    <t>報廢率</t>
    <phoneticPr fontId="14"/>
  </si>
  <si>
    <t>材料費率</t>
  </si>
  <si>
    <t>半成品-超用(%)</t>
    <phoneticPr fontId="14"/>
  </si>
  <si>
    <t>超用率</t>
    <phoneticPr fontId="14"/>
  </si>
  <si>
    <t>勞務成本</t>
    <phoneticPr fontId="14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</si>
  <si>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4"/>
  </si>
  <si>
    <t>導入率</t>
  </si>
  <si>
    <t>勞務費率</t>
    <phoneticPr fontId="14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</si>
  <si>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4"/>
  </si>
  <si>
    <t>實施率</t>
    <phoneticPr fontId="14"/>
  </si>
  <si>
    <t>（３）業績構成比</t>
    <phoneticPr fontId="14"/>
  </si>
  <si>
    <t>（４）訂單數量構成比</t>
    <phoneticPr fontId="14"/>
  </si>
  <si>
    <t>比例</t>
    <phoneticPr fontId="14"/>
  </si>
  <si>
    <t>差異</t>
    <phoneticPr fontId="14"/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</si>
  <si>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</si>
  <si>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</si>
  <si>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</si>
  <si>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4"/>
  </si>
  <si>
    <t>品群</t>
    <phoneticPr fontId="14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</si>
  <si>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</si>
  <si>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</si>
  <si>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7" type="noConversion"/>
  </si>
  <si>
    <t>日期</t>
    <phoneticPr fontId="17" type="noConversion"/>
  </si>
  <si>
    <t>營業額(元)</t>
    <phoneticPr fontId="17" type="noConversion"/>
  </si>
  <si>
    <t>訂單數量(個)</t>
    <phoneticPr fontId="17" type="noConversion"/>
  </si>
  <si>
    <t>材料費(元)</t>
    <phoneticPr fontId="17" type="noConversion"/>
  </si>
  <si>
    <t>材料費率（材料費／營業額）</t>
    <phoneticPr fontId="17" type="noConversion"/>
  </si>
  <si>
    <t>勞務成本（全廠人事成本）</t>
    <phoneticPr fontId="17" type="noConversion"/>
  </si>
  <si>
    <t>勞務費率（勞務成本／營業額）</t>
    <phoneticPr fontId="17" type="noConversion"/>
  </si>
  <si>
    <t>日</t>
    <phoneticPr fontId="17" type="noConversion"/>
  </si>
  <si>
    <t>週累積</t>
    <phoneticPr fontId="17" type="noConversion"/>
  </si>
  <si>
    <t>月累積</t>
    <phoneticPr fontId="17" type="noConversion"/>
  </si>
  <si>
    <t>十</t>
    <phoneticPr fontId="17" type="noConversion"/>
  </si>
  <si>
    <t>三</t>
  </si>
  <si>
    <t>四</t>
  </si>
  <si>
    <t>五</t>
  </si>
  <si>
    <t>六</t>
  </si>
  <si>
    <t>日</t>
  </si>
  <si>
    <t>一</t>
  </si>
  <si>
    <t>二</t>
  </si>
  <si>
    <t>（２）ＫＰＩ達成進度</t>
    <phoneticPr fontId="17" type="noConversion"/>
  </si>
  <si>
    <t xml:space="preserve">人時生產性(個/人) </t>
  </si>
  <si>
    <t xml:space="preserve">人時生產性達成率(%) </t>
  </si>
  <si>
    <t xml:space="preserve">半成品報廢(%) </t>
    <phoneticPr fontId="17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</si>
  <si>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</si>
  <si>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</si>
  <si>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</si>
  <si>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7" type="noConversion"/>
  </si>
  <si>
    <t>月平均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</si>
  <si>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</si>
  <si>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</si>
  <si>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</si>
  <si>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</si>
  <si>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一</t>
    <phoneticPr fontId="17" type="noConversion"/>
  </si>
  <si>
    <t>二</t>
    <phoneticPr fontId="17" type="noConversion"/>
  </si>
  <si>
    <t>（3）業績構成比</t>
    <phoneticPr fontId="17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</si>
  <si>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7" type="noConversion"/>
  </si>
  <si>
    <t>營業額</t>
    <phoneticPr fontId="17" type="noConversion"/>
  </si>
  <si>
    <t>品類業績</t>
    <phoneticPr fontId="17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</si>
  <si>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</si>
  <si>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</si>
  <si>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t>微波小吃</t>
    <phoneticPr fontId="17" type="noConversion"/>
  </si>
  <si>
    <t>一配</t>
    <phoneticPr fontId="17" type="noConversion"/>
  </si>
  <si>
    <t>業績(元)</t>
    <phoneticPr fontId="17" type="noConversion"/>
  </si>
  <si>
    <t>比例(%)</t>
    <phoneticPr fontId="17" type="noConversion"/>
  </si>
  <si>
    <t>（4）訂單數量構成比</t>
    <phoneticPr fontId="17" type="noConversion"/>
  </si>
  <si>
    <t>訂單量</t>
    <phoneticPr fontId="17" type="noConversion"/>
  </si>
  <si>
    <t>品類訂單量</t>
    <phoneticPr fontId="17" type="noConversion"/>
  </si>
  <si>
    <t>訂單數</t>
    <phoneticPr fontId="17" type="noConversion"/>
  </si>
  <si>
    <t>月平均人時性</t>
    <phoneticPr fontId="17" type="noConversion"/>
  </si>
  <si>
    <t>產線配置圖－每週更新</t>
    <phoneticPr fontId="17" type="noConversion"/>
  </si>
  <si>
    <t>資料繳交</t>
    <phoneticPr fontId="17" type="noConversion"/>
  </si>
  <si>
    <t>品群</t>
    <phoneticPr fontId="17" type="noConversion"/>
  </si>
  <si>
    <t>商品名稱</t>
    <phoneticPr fontId="17" type="noConversion"/>
  </si>
  <si>
    <t>計畫</t>
    <phoneticPr fontId="17" type="noConversion"/>
  </si>
  <si>
    <t>平均人時性</t>
    <phoneticPr fontId="17" type="noConversion"/>
  </si>
  <si>
    <t>實績</t>
    <phoneticPr fontId="17" type="noConversion"/>
  </si>
  <si>
    <t>排名</t>
    <phoneticPr fontId="17" type="noConversion"/>
  </si>
  <si>
    <t>日報</t>
    <phoneticPr fontId="17" type="noConversion"/>
  </si>
  <si>
    <t>實際</t>
    <phoneticPr fontId="17" type="noConversion"/>
  </si>
  <si>
    <t>產線配置圖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</si>
  <si>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</si>
  <si>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</si>
  <si>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</si>
  <si>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</si>
  <si>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熱食義麵</t>
  </si>
  <si>
    <t>義式蕃茄起司義大利麵</t>
    <phoneticPr fontId="17" type="noConversion"/>
  </si>
  <si>
    <t>奶油培根義大利麵</t>
  </si>
  <si>
    <t>熱那亞青醬義大利麵</t>
  </si>
  <si>
    <t>焗烤起司雙饗筆尖麵</t>
  </si>
  <si>
    <t>白酒蛤蜊義大利麵</t>
  </si>
  <si>
    <t>韓式起司炸雞義大利麵</t>
  </si>
  <si>
    <t>拿坡里義大利麵</t>
  </si>
  <si>
    <t>黑胡椒燻豬腿義大利麵</t>
  </si>
  <si>
    <t>奶油蒜香雞義大利麵</t>
  </si>
  <si>
    <t>青花椒麻雞肉拌麵</t>
  </si>
  <si>
    <t>韓式辣醬肉丸義大利麵</t>
  </si>
  <si>
    <t>家傳炸醬麵</t>
  </si>
  <si>
    <t>剝皮辣椒雞奶油扁麵</t>
  </si>
  <si>
    <t>羊乳起司培根筆尖麵</t>
  </si>
  <si>
    <t>青醬蛤蜊義大利麵</t>
  </si>
  <si>
    <t>焗烤明太子筆尖麵</t>
  </si>
  <si>
    <t>濃拿坡里義大利麵</t>
  </si>
  <si>
    <t>奶油起司蝦仁通心粉</t>
  </si>
  <si>
    <t>月平均人時性</t>
  </si>
  <si>
    <t>熱食調理麵</t>
    <phoneticPr fontId="17" type="noConversion"/>
  </si>
  <si>
    <t>季節調理麵</t>
    <phoneticPr fontId="17" type="noConversion"/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</si>
  <si>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</si>
  <si>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</si>
  <si>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</si>
  <si>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</si>
  <si>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7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</si>
  <si>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</si>
  <si>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</si>
  <si>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t>微波小吃</t>
  </si>
  <si>
    <t>排名</t>
    <phoneticPr fontId="14"/>
  </si>
  <si>
    <t>商品名</t>
  </si>
  <si>
    <t>人數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</si>
  <si>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</si>
  <si>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4"/>
  </si>
  <si>
    <t>前月比</t>
  </si>
  <si>
    <t>主要原因&amp;對策</t>
    <phoneticPr fontId="14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</si>
  <si>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</si>
  <si>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奶油培根義大利麵</t>
    <phoneticPr fontId="17" type="noConversion"/>
  </si>
  <si>
    <t>白酒蛤蜊義大利麵</t>
    <phoneticPr fontId="17" type="noConversion"/>
  </si>
  <si>
    <t>手工線移至自動線</t>
    <phoneticPr fontId="17" type="noConversion"/>
  </si>
  <si>
    <t>韓式起司炸雞義大利麵</t>
    <phoneticPr fontId="17" type="noConversion"/>
  </si>
  <si>
    <t>使用注餡機，減少1人</t>
    <phoneticPr fontId="17" type="noConversion"/>
  </si>
  <si>
    <t>羊乳起司培根筆尖麵</t>
    <phoneticPr fontId="17" type="noConversion"/>
  </si>
  <si>
    <t>▼1</t>
    <phoneticPr fontId="14"/>
  </si>
  <si>
    <t>拿坡里義大利麵</t>
    <phoneticPr fontId="17" type="noConversion"/>
  </si>
  <si>
    <t>▼2</t>
    <phoneticPr fontId="14"/>
  </si>
  <si>
    <t>奶油蒜香雞義大利麵</t>
    <phoneticPr fontId="17" type="noConversion"/>
  </si>
  <si>
    <t>▼3</t>
    <phoneticPr fontId="14"/>
  </si>
  <si>
    <t>濃拿坡里義大利麵</t>
    <phoneticPr fontId="17" type="noConversion"/>
  </si>
  <si>
    <t>新品</t>
    <phoneticPr fontId="17" type="noConversion"/>
  </si>
  <si>
    <t>▼4</t>
    <phoneticPr fontId="14"/>
  </si>
  <si>
    <t>奶油起司蝦仁通心粉</t>
    <phoneticPr fontId="17" type="noConversion"/>
  </si>
  <si>
    <t>▼5</t>
    <phoneticPr fontId="14"/>
  </si>
  <si>
    <t>韓式辣醬肉丸義大利麵</t>
    <phoneticPr fontId="17" type="noConversion"/>
  </si>
  <si>
    <t>自動線移至手工線，已下架</t>
    <phoneticPr fontId="17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</si>
  <si>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</si>
  <si>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小滷青蔬</t>
    <phoneticPr fontId="17" type="noConversion"/>
  </si>
  <si>
    <t>更換袋子材質熟悉度提升</t>
    <phoneticPr fontId="17" type="noConversion"/>
  </si>
  <si>
    <t>起司馬鈴薯</t>
    <phoneticPr fontId="17" type="noConversion"/>
  </si>
  <si>
    <t>台式綜合甜不辣</t>
    <phoneticPr fontId="17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</si>
  <si>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7" type="noConversion"/>
  </si>
  <si>
    <t>業績金額</t>
    <phoneticPr fontId="17" type="noConversion"/>
  </si>
  <si>
    <t>合計</t>
  </si>
  <si>
    <t>展開量高於１０5％</t>
    <phoneticPr fontId="14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</si>
  <si>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4"/>
  </si>
  <si>
    <t>製程不穩</t>
    <phoneticPr fontId="14"/>
  </si>
  <si>
    <t>取樣不穩</t>
    <phoneticPr fontId="14"/>
  </si>
  <si>
    <t>金額</t>
  </si>
  <si>
    <t>報廢</t>
    <phoneticPr fontId="14"/>
  </si>
  <si>
    <t>超用</t>
    <phoneticPr fontId="14"/>
  </si>
  <si>
    <t>原物料規格</t>
    <phoneticPr fontId="14"/>
  </si>
  <si>
    <t>研發設定</t>
    <phoneticPr fontId="14"/>
  </si>
  <si>
    <t>其他原因</t>
    <phoneticPr fontId="14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</si>
  <si>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7" type="noConversion"/>
  </si>
  <si>
    <t>（８）報廢原因別前幾名品項</t>
    <phoneticPr fontId="17" type="noConversion"/>
  </si>
  <si>
    <t>類型</t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</si>
  <si>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</si>
  <si>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</si>
  <si>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t>半成品名</t>
    <phoneticPr fontId="14"/>
  </si>
  <si>
    <t>單價</t>
    <phoneticPr fontId="14"/>
  </si>
  <si>
    <t>數量</t>
    <phoneticPr fontId="14"/>
  </si>
  <si>
    <t>前週比</t>
  </si>
  <si>
    <t>展開量高於１０5％</t>
    <phoneticPr fontId="17" type="noConversion"/>
  </si>
  <si>
    <t>家傳炸醬麵</t>
    <phoneticPr fontId="17" type="noConversion"/>
  </si>
  <si>
    <t>炒家傳炸醬肉燥</t>
    <phoneticPr fontId="17" type="noConversion"/>
  </si>
  <si>
    <t>預估&gt;實際訂單→早上配料80%</t>
    <phoneticPr fontId="17" type="noConversion"/>
  </si>
  <si>
    <t>煮家傳炸醬湯凍</t>
    <phoneticPr fontId="17" type="noConversion"/>
  </si>
  <si>
    <t>預估&gt;實際訂單→早上配料81%</t>
  </si>
  <si>
    <t>黑胡椒燻火腿義大利麵</t>
    <phoneticPr fontId="17" type="noConversion"/>
  </si>
  <si>
    <t>義麵-蒜辣黑胡椒湯凍</t>
    <phoneticPr fontId="17" type="noConversion"/>
  </si>
  <si>
    <t>預估&gt;實際訂單→早上配料82%</t>
  </si>
  <si>
    <t>義麵-韓式辣醬湯凍</t>
    <phoneticPr fontId="17" type="noConversion"/>
  </si>
  <si>
    <t>預估&gt;實際訂單→早上配料83%</t>
  </si>
  <si>
    <t>瀝-煮蕃茄丁</t>
    <phoneticPr fontId="17" type="noConversion"/>
  </si>
  <si>
    <t>預估&gt;實際訂單→早上配料84%</t>
  </si>
  <si>
    <t>前幾名合計比例</t>
    <phoneticPr fontId="14"/>
  </si>
  <si>
    <t>前幾名合計金額</t>
    <phoneticPr fontId="14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</si>
  <si>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7" type="noConversion"/>
  </si>
  <si>
    <t>製程不穩</t>
    <phoneticPr fontId="17" type="noConversion"/>
  </si>
  <si>
    <t>取樣不穩</t>
    <phoneticPr fontId="17" type="noConversion"/>
  </si>
  <si>
    <t>義麵-經典肉醬(114年)</t>
    <phoneticPr fontId="17" type="noConversion"/>
  </si>
  <si>
    <t>抓樣不穩→教育訓練</t>
    <phoneticPr fontId="17" type="noConversion"/>
  </si>
  <si>
    <t>剝皮辣椒雞奶油細扁麵</t>
    <phoneticPr fontId="17" type="noConversion"/>
  </si>
  <si>
    <t>油炒剝皮辣椒段</t>
    <phoneticPr fontId="17" type="noConversion"/>
  </si>
  <si>
    <t>焗烤起司雙饗筆尖麵</t>
    <phoneticPr fontId="17" type="noConversion"/>
  </si>
  <si>
    <t>義麵-蛋黃白醬(113年)</t>
    <phoneticPr fontId="17" type="noConversion"/>
  </si>
  <si>
    <t>滷-切片高麗菜</t>
    <phoneticPr fontId="17" type="noConversion"/>
  </si>
  <si>
    <t>焗烤明太子筆尖麵</t>
    <phoneticPr fontId="17" type="noConversion"/>
  </si>
  <si>
    <t>焗烤奶油白醬</t>
    <phoneticPr fontId="17" type="noConversion"/>
  </si>
  <si>
    <t>原物料規格</t>
  </si>
  <si>
    <t>川燙-甜不辣條</t>
    <phoneticPr fontId="17" type="noConversion"/>
  </si>
  <si>
    <t>研發設定</t>
  </si>
  <si>
    <t>韓式炸雞義大利麵</t>
    <phoneticPr fontId="17" type="noConversion"/>
  </si>
  <si>
    <t>拌韓式炸雞</t>
    <phoneticPr fontId="17" type="noConversion"/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</si>
  <si>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  <phoneticPr fontId="17" type="noConversion"/>
  </si>
  <si>
    <t>取樣不穩</t>
  </si>
  <si>
    <t>香濃起司馬鈴薯</t>
    <phoneticPr fontId="17" type="noConversion"/>
  </si>
  <si>
    <t>烤香料馬鈴薯</t>
    <phoneticPr fontId="17" type="noConversion"/>
  </si>
  <si>
    <t>抓量以塊數，易超用→比照韓式炸脽，設定上下限範圍</t>
    <phoneticPr fontId="17" type="noConversion"/>
  </si>
  <si>
    <t>青醬蛤蜊義大利麵</t>
    <phoneticPr fontId="17" type="noConversion"/>
  </si>
  <si>
    <t>蒸-花蛤肉</t>
    <phoneticPr fontId="17" type="noConversion"/>
  </si>
  <si>
    <t>煮單色彎管麵</t>
    <phoneticPr fontId="17" type="noConversion"/>
  </si>
  <si>
    <t>義麵-奶油起司白醬</t>
    <phoneticPr fontId="17" type="noConversion"/>
  </si>
  <si>
    <r>
      <rPr>
        <sz val="11"/>
        <color theme="1"/>
        <rFont val="細明體"/>
        <family val="2"/>
        <charset val="136"/>
      </rPr>
      <t>瀝水</t>
    </r>
    <r>
      <rPr>
        <sz val="11"/>
        <color theme="1"/>
        <rFont val="Arial"/>
        <family val="2"/>
        <charset val="136"/>
        <scheme val="minor"/>
      </rPr>
      <t>-</t>
    </r>
    <r>
      <rPr>
        <sz val="11"/>
        <color theme="1"/>
        <rFont val="細明體"/>
        <family val="2"/>
        <charset val="136"/>
      </rPr>
      <t>白蘿蔔塊</t>
    </r>
    <phoneticPr fontId="17" type="noConversion"/>
  </si>
  <si>
    <t>烤蒜味雞腿丁</t>
    <phoneticPr fontId="17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</si>
  <si>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7" type="noConversion"/>
  </si>
  <si>
    <t>No.</t>
  </si>
  <si>
    <t>規格</t>
  </si>
  <si>
    <t>實績</t>
    <phoneticPr fontId="14"/>
  </si>
  <si>
    <t>主要原因&amp;對策</t>
  </si>
  <si>
    <t>作業原因</t>
    <phoneticPr fontId="14"/>
  </si>
  <si>
    <t>原料原因</t>
    <phoneticPr fontId="14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</si>
  <si>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</si>
  <si>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t>月別</t>
    <phoneticPr fontId="17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</si>
  <si>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</si>
  <si>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</si>
  <si>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</si>
  <si>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7" type="noConversion"/>
  </si>
  <si>
    <t>原因說明</t>
    <phoneticPr fontId="17" type="noConversion"/>
  </si>
  <si>
    <t>後續對策</t>
    <phoneticPr fontId="17" type="noConversion"/>
  </si>
  <si>
    <t>次數</t>
    <phoneticPr fontId="17" type="noConversion"/>
  </si>
  <si>
    <t>備註-商品名稱</t>
  </si>
  <si>
    <t>分析原因（件）</t>
    <phoneticPr fontId="17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</si>
  <si>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</si>
  <si>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</si>
  <si>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</si>
  <si>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</si>
  <si>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</si>
  <si>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7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</si>
  <si>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</si>
  <si>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</si>
  <si>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</si>
  <si>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</si>
  <si>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7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</si>
  <si>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7" type="noConversion"/>
  </si>
  <si>
    <t>補單
(kg)</t>
  </si>
  <si>
    <t>補單占比</t>
    <phoneticPr fontId="17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</si>
  <si>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</si>
  <si>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</si>
  <si>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</si>
  <si>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</si>
  <si>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</si>
  <si>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</si>
  <si>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7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</si>
  <si>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7" type="noConversion"/>
  </si>
  <si>
    <t>原物料規格</t>
    <phoneticPr fontId="17" type="noConversion"/>
  </si>
  <si>
    <t>研發設定</t>
    <phoneticPr fontId="17" type="noConversion"/>
  </si>
  <si>
    <t>其他原因</t>
    <phoneticPr fontId="17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</si>
  <si>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7" type="noConversion"/>
  </si>
  <si>
    <t>九</t>
    <phoneticPr fontId="17" type="noConversion"/>
  </si>
  <si>
    <t>義麵-經典肉醬(114年)</t>
  </si>
  <si>
    <t>包裝</t>
  </si>
  <si>
    <t>義式蕃茄起司義大利麵</t>
  </si>
  <si>
    <t>月前二十</t>
    <phoneticPr fontId="17" type="noConversion"/>
  </si>
  <si>
    <t>炒家傳炸醬肉燥</t>
  </si>
  <si>
    <t>生管預估</t>
  </si>
  <si>
    <t>其他原因</t>
  </si>
  <si>
    <t>預估&gt;實際訂單</t>
    <phoneticPr fontId="17" type="noConversion"/>
  </si>
  <si>
    <t>早上配料80%</t>
    <phoneticPr fontId="17" type="noConversion"/>
  </si>
  <si>
    <t>煮家傳炸醬湯凍</t>
  </si>
  <si>
    <t>油炒剝皮辣椒段</t>
  </si>
  <si>
    <t>剝皮辣椒雞奶油細扁麵</t>
  </si>
  <si>
    <t>義麵-蒜辣黑胡椒湯凍</t>
  </si>
  <si>
    <t>黑胡椒燻火腿義大利麵</t>
  </si>
  <si>
    <t>義麵-蛋黃白醬(113年)</t>
  </si>
  <si>
    <t>抓樣不穩→教育訓練</t>
  </si>
  <si>
    <t>義麵-蒜味奶油湯凍</t>
  </si>
  <si>
    <t>滷-切片高麗菜</t>
  </si>
  <si>
    <t>調理</t>
  </si>
  <si>
    <t>製程不穩</t>
  </si>
  <si>
    <t>調理多產</t>
  </si>
  <si>
    <t>焗烤奶油白醬</t>
  </si>
  <si>
    <t>義麵-韓式辣醬湯凍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</si>
  <si>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7" type="noConversion"/>
  </si>
  <si>
    <t>奶香白醬</t>
  </si>
  <si>
    <t>瀝-煮蕃茄丁</t>
  </si>
  <si>
    <t>義麵-海鮮湯凍(113年)</t>
  </si>
  <si>
    <t>炒-煮蕃茄牛絞肉</t>
  </si>
  <si>
    <t>步留因素</t>
    <phoneticPr fontId="17" type="noConversion"/>
  </si>
  <si>
    <t>義麵-奶青醬(114年)</t>
  </si>
  <si>
    <t>原物料</t>
  </si>
  <si>
    <t>每份4根，調理後不足重</t>
    <phoneticPr fontId="17" type="noConversion"/>
  </si>
  <si>
    <t>義麵-剝皮辣椒奶醬</t>
  </si>
  <si>
    <t>拌韓式炸雞</t>
  </si>
  <si>
    <t>研發</t>
  </si>
  <si>
    <t>拌醬</t>
    <phoneticPr fontId="17" type="noConversion"/>
  </si>
  <si>
    <t>調整秤重上下限範圍</t>
    <phoneticPr fontId="17" type="noConversion"/>
  </si>
  <si>
    <t>韓式炸雞義大利麵</t>
  </si>
  <si>
    <t>炒芝麻海苔酥</t>
  </si>
  <si>
    <t>川燙-玉米筍塊</t>
  </si>
  <si>
    <t>占比</t>
    <phoneticPr fontId="17" type="noConversion"/>
  </si>
  <si>
    <t>金額</t>
    <phoneticPr fontId="17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</si>
  <si>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</si>
  <si>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t>烤香料馬鈴薯</t>
  </si>
  <si>
    <t>抓量以塊數，易超用</t>
    <phoneticPr fontId="17" type="noConversion"/>
  </si>
  <si>
    <t>比照韓式炸脽，設定上下限範圍</t>
    <phoneticPr fontId="17" type="noConversion"/>
  </si>
  <si>
    <t>香濃起司馬鈴薯</t>
  </si>
  <si>
    <t>瀝水-白蘿蔔塊</t>
  </si>
  <si>
    <t>甜不辣不足重，補重用</t>
    <phoneticPr fontId="17" type="noConversion"/>
  </si>
  <si>
    <t>蒸-花蛤肉</t>
  </si>
  <si>
    <t>烤蒜味雞腿丁</t>
  </si>
  <si>
    <t>原肉分切抓6塊</t>
    <phoneticPr fontId="17" type="noConversion"/>
  </si>
  <si>
    <t>煮單色彎管麵</t>
  </si>
  <si>
    <t>義麵-奶油起司白醬</t>
  </si>
  <si>
    <t>炒蝦仁(9號)</t>
  </si>
  <si>
    <t>混拌浪花麵</t>
  </si>
  <si>
    <t>川燙-切段油菜</t>
  </si>
  <si>
    <t>解凍玉子蛋絲</t>
  </si>
  <si>
    <t>煮土耳其筆尖麵(113年)</t>
  </si>
  <si>
    <t>川燙-切紅甜椒丁</t>
  </si>
  <si>
    <t>羅馬諾羊乾酪絲</t>
  </si>
  <si>
    <t>長家廠半成品管理日別總表</t>
    <phoneticPr fontId="17" type="noConversion"/>
  </si>
  <si>
    <t>日期</t>
    <phoneticPr fontId="79" type="noConversion"/>
  </si>
  <si>
    <t>報廢額</t>
    <phoneticPr fontId="7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</si>
  <si>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7" type="noConversion"/>
  </si>
  <si>
    <t>超用額</t>
    <phoneticPr fontId="79" type="noConversion"/>
  </si>
  <si>
    <t>超用率</t>
    <phoneticPr fontId="17" type="noConversion"/>
  </si>
  <si>
    <t>廢棄前10名</t>
    <phoneticPr fontId="17" type="noConversion"/>
  </si>
  <si>
    <t>超用前10名</t>
    <phoneticPr fontId="17" type="noConversion"/>
  </si>
  <si>
    <t>共用類廢棄</t>
    <phoneticPr fontId="17" type="noConversion"/>
  </si>
  <si>
    <t>金額總計</t>
    <phoneticPr fontId="17" type="noConversion"/>
  </si>
  <si>
    <t>構成比</t>
    <phoneticPr fontId="17" type="noConversion"/>
  </si>
  <si>
    <t>金額總計</t>
    <phoneticPr fontId="7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</si>
  <si>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79" type="noConversion"/>
  </si>
  <si>
    <t>週報廢</t>
    <phoneticPr fontId="17" type="noConversion"/>
  </si>
  <si>
    <t>週超用</t>
    <phoneticPr fontId="17" type="noConversion"/>
  </si>
  <si>
    <t>平均</t>
    <phoneticPr fontId="79" type="noConversion"/>
  </si>
  <si>
    <t>合計</t>
    <phoneticPr fontId="79" type="noConversion"/>
  </si>
  <si>
    <t>工廠名</t>
    <phoneticPr fontId="14"/>
  </si>
  <si>
    <t>・・・・・・・・</t>
  </si>
  <si>
    <t>（１）收支狀況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</si>
  <si>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4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</si>
  <si>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4"/>
  </si>
  <si>
    <t>飯糰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</si>
  <si>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4"/>
  </si>
  <si>
    <t>大口飯糰</t>
    <phoneticPr fontId="14"/>
  </si>
  <si>
    <t>半成品報廢</t>
    <phoneticPr fontId="14"/>
  </si>
  <si>
    <t>便當</t>
    <phoneticPr fontId="14"/>
  </si>
  <si>
    <t>半成品超用</t>
    <phoneticPr fontId="14"/>
  </si>
  <si>
    <t>調理麵</t>
    <phoneticPr fontId="14"/>
  </si>
  <si>
    <t>固定產線</t>
    <phoneticPr fontId="14"/>
  </si>
  <si>
    <t>調理麵包</t>
    <phoneticPr fontId="14"/>
  </si>
  <si>
    <t>-</t>
  </si>
  <si>
    <t>-%</t>
  </si>
  <si>
    <t>教育訓練</t>
    <phoneticPr fontId="14"/>
  </si>
  <si>
    <t>袋裝調理麵包</t>
    <phoneticPr fontId="14"/>
  </si>
  <si>
    <t>義大利麵</t>
    <phoneticPr fontId="14"/>
  </si>
  <si>
    <t>（５）品群別人時生產性</t>
    <phoneticPr fontId="14"/>
  </si>
  <si>
    <t>調理包</t>
    <phoneticPr fontId="14"/>
  </si>
  <si>
    <t>（７）原因別分析</t>
    <phoneticPr fontId="14"/>
  </si>
  <si>
    <t>規格原因</t>
    <phoneticPr fontId="14"/>
  </si>
  <si>
    <t>（６）人時生產性前幾名品項</t>
    <phoneticPr fontId="14"/>
  </si>
  <si>
    <t>產能</t>
    <phoneticPr fontId="14"/>
  </si>
  <si>
    <t>人時生產性</t>
    <phoneticPr fontId="14"/>
  </si>
  <si>
    <t>（８）報廢原因別前幾名品項</t>
    <phoneticPr fontId="14"/>
  </si>
  <si>
    <t>手巻明太子</t>
  </si>
  <si>
    <t>減少暫時停止生產,人時UP</t>
    <phoneticPr fontId="14"/>
  </si>
  <si>
    <t>明太子海苔便當</t>
    <phoneticPr fontId="14"/>
  </si>
  <si>
    <t>油炸白身魚</t>
    <phoneticPr fontId="14"/>
  </si>
  <si>
    <t>油調過多報廢。變更條件。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</si>
  <si>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4"/>
  </si>
  <si>
    <t>手巻卵黄雞絞肉</t>
    <phoneticPr fontId="14"/>
  </si>
  <si>
    <t>6/30新商品</t>
  </si>
  <si>
    <t>因組裝2食材,人員增加,產速減少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</si>
  <si>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</si>
  <si>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4"/>
  </si>
  <si>
    <t>海老炒飯</t>
  </si>
  <si>
    <t>川燙蝦子拌醬</t>
    <phoneticPr fontId="14"/>
  </si>
  <si>
    <t>蝦子入數不足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</si>
  <si>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</si>
  <si>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4"/>
  </si>
  <si>
    <t>直巻明太子美奶茲</t>
    <phoneticPr fontId="14"/>
  </si>
  <si>
    <t>透由調整速度提升。</t>
    <phoneticPr fontId="14"/>
  </si>
  <si>
    <t>特製醬汁炙燒牛五花便當</t>
    <phoneticPr fontId="14"/>
  </si>
  <si>
    <t>牛五花醬汁</t>
    <phoneticPr fontId="14"/>
  </si>
  <si>
    <t>難度有差異。調理指導。</t>
    <phoneticPr fontId="14"/>
  </si>
  <si>
    <t>大口飯糰燒肉美奶滋</t>
    <phoneticPr fontId="14"/>
  </si>
  <si>
    <t>因摺疊增員。實施教育訓練。</t>
    <phoneticPr fontId="14"/>
  </si>
  <si>
    <t>牛五花燒成</t>
    <phoneticPr fontId="14"/>
  </si>
  <si>
    <t>因原料變更。</t>
    <phoneticPr fontId="14"/>
  </si>
  <si>
    <t>指導鋪開炒柴魚片</t>
    <phoneticPr fontId="14"/>
  </si>
  <si>
    <t>（９）歩留</t>
  </si>
  <si>
    <t>肉狀態不良，已連動開發</t>
    <phoneticPr fontId="14"/>
  </si>
  <si>
    <t>燒成過多，調整調理條件。</t>
    <phoneticPr fontId="14"/>
  </si>
  <si>
    <t>大口飯糰三種起司午餐肉</t>
    <phoneticPr fontId="14"/>
  </si>
  <si>
    <t>３種起司燒成</t>
    <phoneticPr fontId="14"/>
  </si>
  <si>
    <t>與燒成範本不同。</t>
    <phoneticPr fontId="14"/>
  </si>
  <si>
    <t>鮮食品群番</t>
    <phoneticPr fontId="17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</si>
  <si>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</si>
  <si>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</si>
  <si>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</si>
  <si>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</si>
  <si>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</si>
  <si>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</si>
  <si>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</si>
  <si>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</si>
  <si>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</si>
  <si>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</si>
  <si>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</si>
  <si>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</si>
  <si>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</si>
  <si>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</si>
  <si>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</si>
  <si>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</si>
  <si>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</si>
  <si>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</si>
  <si>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</si>
  <si>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</si>
  <si>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</si>
  <si>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</si>
  <si>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</si>
  <si>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</si>
  <si>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</si>
  <si>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</si>
  <si>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</si>
  <si>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</si>
  <si>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</si>
  <si>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</si>
  <si>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</si>
  <si>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</si>
  <si>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</si>
  <si>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</si>
  <si>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</si>
  <si>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</si>
  <si>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</si>
  <si>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</si>
  <si>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</si>
  <si>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便當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</si>
  <si>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</si>
  <si>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</si>
  <si>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</si>
  <si>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</si>
  <si>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</si>
  <si>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</si>
  <si>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</si>
  <si>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</si>
  <si>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</si>
  <si>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</si>
  <si>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</si>
  <si>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</si>
  <si>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</si>
  <si>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</si>
  <si>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</si>
  <si>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</si>
  <si>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</si>
  <si>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</si>
  <si>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</si>
  <si>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</si>
  <si>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</si>
  <si>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</si>
  <si>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</si>
  <si>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</si>
  <si>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</si>
  <si>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</si>
  <si>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</si>
  <si>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  <phoneticPr fontId="79" type="noConversion"/>
  </si>
  <si>
    <t>人數</t>
    <phoneticPr fontId="79" type="noConversion"/>
  </si>
  <si>
    <t>產能</t>
    <phoneticPr fontId="79" type="noConversion"/>
  </si>
  <si>
    <t>白酒蛤蜊義大利麵</t>
    <phoneticPr fontId="79" type="noConversion"/>
  </si>
  <si>
    <t>ET-600</t>
    <phoneticPr fontId="79" type="noConversion"/>
  </si>
  <si>
    <t>白酒蛤蜊義大利麵-手</t>
    <phoneticPr fontId="79" type="noConversion"/>
  </si>
  <si>
    <t>ET-55</t>
    <phoneticPr fontId="79" type="noConversion"/>
  </si>
  <si>
    <t>熱那亞青醬義大利麵</t>
    <phoneticPr fontId="79" type="noConversion"/>
  </si>
  <si>
    <t>義式蕃茄起司義大利麵</t>
    <phoneticPr fontId="79" type="noConversion"/>
  </si>
  <si>
    <t>焗烤起司雙饗筆尖麵</t>
    <phoneticPr fontId="79" type="noConversion"/>
  </si>
  <si>
    <t>奶油培根義大利麵</t>
    <phoneticPr fontId="79" type="noConversion"/>
  </si>
  <si>
    <t>韓式起司炸雞義大利麵</t>
    <phoneticPr fontId="79" type="noConversion"/>
  </si>
  <si>
    <t>家傳炸醬麵-降速生產</t>
  </si>
  <si>
    <t>黑胡椒燻豬腿義大利麵-降速生產</t>
    <phoneticPr fontId="79" type="noConversion"/>
  </si>
  <si>
    <t>青花椒麻雞肉拌麵</t>
    <phoneticPr fontId="79" type="noConversion"/>
  </si>
  <si>
    <t>青花椒麻雞肉拌麵-降速生產</t>
    <phoneticPr fontId="79" type="noConversion"/>
  </si>
  <si>
    <t>奶油蒜香雞義大利麵</t>
    <phoneticPr fontId="79" type="noConversion"/>
  </si>
  <si>
    <t>奶油蒜香雞義大利麵-降速生產</t>
    <phoneticPr fontId="79" type="noConversion"/>
  </si>
  <si>
    <t>羊乳起司培根筆尖麵</t>
    <phoneticPr fontId="79" type="noConversion"/>
  </si>
  <si>
    <t>青醬蛤蜊義大利麵</t>
    <phoneticPr fontId="79" type="noConversion"/>
  </si>
  <si>
    <t>焗烤明太子筆尖麵</t>
    <phoneticPr fontId="79" type="noConversion"/>
  </si>
  <si>
    <t>濃拿坡里義大利麵</t>
    <phoneticPr fontId="79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</si>
  <si>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79" type="noConversion"/>
  </si>
  <si>
    <t>奶油起司蝦仁通心粉</t>
    <phoneticPr fontId="79" type="noConversion"/>
  </si>
  <si>
    <t>起司馬鈴薯</t>
    <phoneticPr fontId="79" type="noConversion"/>
  </si>
  <si>
    <t>台式綜合甜不辣</t>
    <phoneticPr fontId="7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</si>
</sst>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</numFmts>
  <fonts count="10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7">
    <xf numFmtId="0" fontId="0" fillId="0" borderId="0"/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  <xf numFmtId="9" fontId="13" fillId="0" borderId="0" applyFont="0" applyFill="0" applyBorder="0" applyAlignment="0" applyProtection="0"/>
    <xf numFmtId="0" fontId="28" fillId="0" borderId="0"/>
    <xf numFmtId="0" fontId="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9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24">
    <xf numFmtId="0" fontId="0" fillId="0" borderId="0" xfId="0"/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" xfId="0" applyFont="1" applyBorder="1" applyAlignment="1">
      <alignment horizontal="right" shrinkToFit="1"/>
    </xf>
    <xf numFmtId="0" fontId="11" fillId="0" borderId="1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3" fontId="11" fillId="0" borderId="1" xfId="0" applyNumberFormat="1" applyFont="1" applyBorder="1" applyAlignment="1">
      <alignment shrinkToFit="1"/>
    </xf>
    <xf numFmtId="3" fontId="11" fillId="3" borderId="1" xfId="0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right" shrinkToFit="1"/>
    </xf>
    <xf numFmtId="10" fontId="11" fillId="2" borderId="1" xfId="0" applyNumberFormat="1" applyFont="1" applyFill="1" applyBorder="1" applyAlignment="1">
      <alignment horizontal="right" shrinkToFit="1"/>
    </xf>
    <xf numFmtId="10" fontId="11" fillId="3" borderId="1" xfId="0" applyNumberFormat="1" applyFont="1" applyFill="1" applyBorder="1" applyAlignment="1">
      <alignment shrinkToFit="1"/>
    </xf>
    <xf numFmtId="10" fontId="11" fillId="0" borderId="1" xfId="0" applyNumberFormat="1" applyFont="1" applyBorder="1" applyAlignment="1">
      <alignment shrinkToFit="1"/>
    </xf>
    <xf numFmtId="10" fontId="12" fillId="0" borderId="0" xfId="0" applyNumberFormat="1" applyFont="1" applyAlignment="1">
      <alignment shrinkToFit="1"/>
    </xf>
    <xf numFmtId="0" fontId="11" fillId="3" borderId="1" xfId="0" applyFont="1" applyFill="1" applyBorder="1" applyAlignment="1">
      <alignment shrinkToFit="1"/>
    </xf>
    <xf numFmtId="4" fontId="11" fillId="0" borderId="1" xfId="0" applyNumberFormat="1" applyFont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2" fillId="0" borderId="8" xfId="0" applyFont="1" applyBorder="1" applyAlignment="1">
      <alignment shrinkToFit="1"/>
    </xf>
    <xf numFmtId="0" fontId="11" fillId="0" borderId="5" xfId="0" applyFont="1" applyBorder="1" applyAlignment="1">
      <alignment shrinkToFit="1"/>
    </xf>
    <xf numFmtId="0" fontId="11" fillId="0" borderId="14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10" fontId="11" fillId="0" borderId="5" xfId="0" applyNumberFormat="1" applyFont="1" applyBorder="1" applyAlignment="1">
      <alignment shrinkToFit="1"/>
    </xf>
    <xf numFmtId="0" fontId="11" fillId="3" borderId="5" xfId="0" applyFont="1" applyFill="1" applyBorder="1" applyAlignment="1">
      <alignment shrinkToFit="1"/>
    </xf>
    <xf numFmtId="0" fontId="11" fillId="2" borderId="15" xfId="0" applyFont="1" applyFill="1" applyBorder="1" applyAlignment="1">
      <alignment shrinkToFit="1"/>
    </xf>
    <xf numFmtId="10" fontId="11" fillId="3" borderId="17" xfId="0" applyNumberFormat="1" applyFont="1" applyFill="1" applyBorder="1" applyAlignment="1">
      <alignment shrinkToFit="1"/>
    </xf>
    <xf numFmtId="0" fontId="11" fillId="3" borderId="18" xfId="0" applyFont="1" applyFill="1" applyBorder="1" applyAlignment="1">
      <alignment shrinkToFit="1"/>
    </xf>
    <xf numFmtId="0" fontId="11" fillId="0" borderId="6" xfId="0" applyFont="1" applyBorder="1" applyAlignment="1">
      <alignment shrinkToFit="1"/>
    </xf>
    <xf numFmtId="10" fontId="11" fillId="0" borderId="6" xfId="0" applyNumberFormat="1" applyFont="1" applyBorder="1" applyAlignment="1">
      <alignment shrinkToFit="1"/>
    </xf>
    <xf numFmtId="0" fontId="11" fillId="3" borderId="6" xfId="0" applyFont="1" applyFill="1" applyBorder="1" applyAlignment="1">
      <alignment shrinkToFit="1"/>
    </xf>
    <xf numFmtId="10" fontId="11" fillId="0" borderId="0" xfId="0" applyNumberFormat="1" applyFont="1" applyAlignment="1">
      <alignment shrinkToFit="1"/>
    </xf>
    <xf numFmtId="10" fontId="11" fillId="2" borderId="1" xfId="0" applyNumberFormat="1" applyFont="1" applyFill="1" applyBorder="1" applyAlignment="1">
      <alignment shrinkToFit="1"/>
    </xf>
    <xf numFmtId="0" fontId="11" fillId="3" borderId="7" xfId="0" applyFont="1" applyFill="1" applyBorder="1" applyAlignment="1">
      <alignment shrinkToFit="1"/>
    </xf>
    <xf numFmtId="10" fontId="11" fillId="3" borderId="5" xfId="0" applyNumberFormat="1" applyFont="1" applyFill="1" applyBorder="1" applyAlignment="1">
      <alignment shrinkToFit="1"/>
    </xf>
    <xf numFmtId="0" fontId="11" fillId="0" borderId="11" xfId="0" applyFont="1" applyBorder="1" applyAlignment="1">
      <alignment shrinkToFit="1"/>
    </xf>
    <xf numFmtId="10" fontId="11" fillId="0" borderId="14" xfId="0" applyNumberFormat="1" applyFont="1" applyBorder="1" applyAlignment="1">
      <alignment shrinkToFit="1"/>
    </xf>
    <xf numFmtId="10" fontId="11" fillId="3" borderId="14" xfId="0" applyNumberFormat="1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5" fillId="0" borderId="1" xfId="0" applyFont="1" applyBorder="1" applyAlignment="1">
      <alignment shrinkToFit="1"/>
    </xf>
    <xf numFmtId="0" fontId="15" fillId="2" borderId="1" xfId="0" applyFont="1" applyFill="1" applyBorder="1" applyAlignment="1">
      <alignment horizontal="left" shrinkToFit="1"/>
    </xf>
    <xf numFmtId="0" fontId="16" fillId="2" borderId="1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23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16" xfId="0" applyFont="1" applyFill="1" applyBorder="1" applyAlignment="1">
      <alignment shrinkToFit="1"/>
    </xf>
    <xf numFmtId="0" fontId="15" fillId="4" borderId="0" xfId="0" applyFont="1" applyFill="1"/>
    <xf numFmtId="0" fontId="16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11" fillId="4" borderId="0" xfId="0" applyFont="1" applyFill="1"/>
    <xf numFmtId="10" fontId="11" fillId="4" borderId="0" xfId="0" applyNumberFormat="1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1" fillId="2" borderId="24" xfId="0" applyFont="1" applyFill="1" applyBorder="1" applyAlignment="1">
      <alignment shrinkToFit="1"/>
    </xf>
    <xf numFmtId="0" fontId="16" fillId="0" borderId="11" xfId="0" applyFont="1" applyBorder="1" applyAlignment="1">
      <alignment horizontal="right" shrinkToFit="1"/>
    </xf>
    <xf numFmtId="0" fontId="16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18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5" fillId="0" borderId="0" xfId="0" applyFont="1"/>
    <xf numFmtId="177" fontId="30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2" fillId="0" borderId="0" xfId="0" applyFont="1" applyAlignment="1">
      <alignment shrinkToFit="1"/>
    </xf>
    <xf numFmtId="0" fontId="51" fillId="0" borderId="0" xfId="0" applyFont="1" applyAlignment="1">
      <alignment shrinkToFit="1"/>
    </xf>
    <xf numFmtId="0" fontId="30" fillId="0" borderId="0" xfId="0" applyFont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30" fillId="0" borderId="0" xfId="0" applyFont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4" fontId="32" fillId="0" borderId="22" xfId="0" applyNumberFormat="1" applyFont="1" applyBorder="1" applyAlignment="1">
      <alignment shrinkToFit="1"/>
    </xf>
    <xf numFmtId="0" fontId="32" fillId="4" borderId="0" xfId="0" applyFont="1" applyFill="1" applyAlignment="1">
      <alignment shrinkToFit="1"/>
    </xf>
    <xf numFmtId="0" fontId="55" fillId="0" borderId="0" xfId="0" applyFont="1"/>
    <xf numFmtId="0" fontId="57" fillId="0" borderId="0" xfId="0" applyFont="1"/>
    <xf numFmtId="10" fontId="51" fillId="0" borderId="0" xfId="0" applyNumberFormat="1" applyFont="1" applyAlignment="1">
      <alignment shrinkToFit="1"/>
    </xf>
    <xf numFmtId="0" fontId="52" fillId="0" borderId="0" xfId="0" applyFont="1"/>
    <xf numFmtId="0" fontId="58" fillId="0" borderId="22" xfId="0" applyFont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3" fontId="32" fillId="0" borderId="22" xfId="0" applyNumberFormat="1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4" fontId="32" fillId="0" borderId="22" xfId="0" applyNumberFormat="1" applyFont="1" applyBorder="1" applyAlignment="1">
      <alignment horizontal="right" shrinkToFit="1"/>
    </xf>
    <xf numFmtId="10" fontId="32" fillId="0" borderId="22" xfId="0" applyNumberFormat="1" applyFont="1" applyBorder="1" applyAlignment="1">
      <alignment horizontal="right" shrinkToFit="1"/>
    </xf>
    <xf numFmtId="0" fontId="51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horizontal="center" shrinkToFit="1"/>
    </xf>
    <xf numFmtId="0" fontId="11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1" fillId="0" borderId="0" xfId="0" applyFont="1" applyAlignment="1">
      <alignment horizontal="right" shrinkToFit="1"/>
    </xf>
    <xf numFmtId="0" fontId="15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62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62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40" fillId="0" borderId="34" xfId="0" applyFont="1" applyBorder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40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0" fillId="0" borderId="0" xfId="11" applyFont="1" applyAlignment="1">
      <alignment shrinkToFit="1"/>
    </xf>
    <xf numFmtId="0" fontId="30" fillId="4" borderId="0" xfId="11" applyFont="1" applyFill="1" applyAlignment="1">
      <alignment shrinkToFit="1"/>
    </xf>
    <xf numFmtId="0" fontId="52" fillId="0" borderId="0" xfId="11" applyFont="1" applyAlignment="1">
      <alignment shrinkToFit="1"/>
    </xf>
    <xf numFmtId="184" fontId="68" fillId="0" borderId="0" xfId="11" applyNumberFormat="1" applyFont="1" applyAlignment="1">
      <alignment shrinkToFit="1"/>
    </xf>
    <xf numFmtId="0" fontId="51" fillId="0" borderId="6" xfId="11" applyFont="1" applyBorder="1" applyAlignment="1">
      <alignment horizontal="center" shrinkToFit="1"/>
    </xf>
    <xf numFmtId="3" fontId="41" fillId="0" borderId="6" xfId="11" applyNumberFormat="1" applyFont="1" applyBorder="1" applyAlignment="1">
      <alignment shrinkToFit="1"/>
    </xf>
    <xf numFmtId="10" fontId="41" fillId="0" borderId="6" xfId="11" applyNumberFormat="1" applyFont="1" applyBorder="1" applyAlignment="1">
      <alignment shrinkToFit="1"/>
    </xf>
    <xf numFmtId="3" fontId="32" fillId="0" borderId="22" xfId="11" applyNumberFormat="1" applyFont="1" applyBorder="1" applyAlignment="1">
      <alignment shrinkToFit="1"/>
    </xf>
    <xf numFmtId="10" fontId="32" fillId="0" borderId="22" xfId="11" applyNumberFormat="1" applyFont="1" applyBorder="1" applyAlignment="1">
      <alignment shrinkToFit="1"/>
    </xf>
    <xf numFmtId="0" fontId="51" fillId="0" borderId="1" xfId="11" applyFont="1" applyBorder="1" applyAlignment="1">
      <alignment horizontal="center" shrinkToFit="1"/>
    </xf>
    <xf numFmtId="3" fontId="41" fillId="0" borderId="1" xfId="11" applyNumberFormat="1" applyFont="1" applyBorder="1" applyAlignment="1">
      <alignment shrinkToFit="1"/>
    </xf>
    <xf numFmtId="0" fontId="35" fillId="0" borderId="0" xfId="11" applyFont="1"/>
    <xf numFmtId="0" fontId="35" fillId="0" borderId="0" xfId="11" applyFont="1" applyAlignment="1">
      <alignment vertical="center"/>
    </xf>
    <xf numFmtId="0" fontId="35" fillId="0" borderId="0" xfId="1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40" fillId="0" borderId="32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11" fillId="0" borderId="0" xfId="5"/>
    <xf numFmtId="0" fontId="74" fillId="9" borderId="30" xfId="5" applyFont="1" applyFill="1" applyBorder="1"/>
    <xf numFmtId="0" fontId="74" fillId="0" borderId="0" xfId="5" applyFont="1"/>
    <xf numFmtId="0" fontId="74" fillId="0" borderId="22" xfId="5" applyFont="1" applyBorder="1"/>
    <xf numFmtId="0" fontId="74" fillId="9" borderId="22" xfId="5" applyFont="1" applyFill="1" applyBorder="1"/>
    <xf numFmtId="185" fontId="30" fillId="0" borderId="0" xfId="0" applyNumberFormat="1" applyFont="1"/>
    <xf numFmtId="0" fontId="32" fillId="0" borderId="22" xfId="11" applyFont="1" applyBorder="1" applyAlignment="1">
      <alignment horizontal="center" vertical="center" shrinkToFit="1"/>
    </xf>
    <xf numFmtId="0" fontId="75" fillId="0" borderId="0" xfId="0" applyFont="1" applyAlignment="1">
      <alignment vertical="center"/>
    </xf>
    <xf numFmtId="0" fontId="35" fillId="5" borderId="23" xfId="11" applyFont="1" applyFill="1" applyBorder="1" applyAlignment="1">
      <alignment horizontal="center" vertical="center"/>
    </xf>
    <xf numFmtId="0" fontId="32" fillId="5" borderId="22" xfId="11" applyFont="1" applyFill="1" applyBorder="1" applyAlignment="1">
      <alignment horizontal="center" vertical="center" shrinkToFit="1"/>
    </xf>
    <xf numFmtId="0" fontId="30" fillId="4" borderId="0" xfId="11" applyFont="1" applyFill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32" fillId="5" borderId="22" xfId="11" applyFont="1" applyFill="1" applyBorder="1" applyAlignment="1">
      <alignment horizontal="center" shrinkToFit="1"/>
    </xf>
    <xf numFmtId="0" fontId="30" fillId="4" borderId="0" xfId="11" applyFont="1" applyFill="1" applyAlignment="1">
      <alignment horizontal="center" shrinkToFit="1"/>
    </xf>
    <xf numFmtId="0" fontId="51" fillId="2" borderId="22" xfId="11" applyFont="1" applyFill="1" applyBorder="1" applyAlignment="1">
      <alignment horizontal="center" vertical="center" shrinkToFit="1"/>
    </xf>
    <xf numFmtId="0" fontId="32" fillId="2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51" fillId="0" borderId="22" xfId="11" applyFont="1" applyBorder="1" applyAlignment="1">
      <alignment horizontal="right" shrinkToFit="1"/>
    </xf>
    <xf numFmtId="0" fontId="51" fillId="2" borderId="22" xfId="11" applyFont="1" applyFill="1" applyBorder="1" applyAlignment="1">
      <alignment horizontal="center" shrinkToFit="1"/>
    </xf>
    <xf numFmtId="0" fontId="32" fillId="2" borderId="22" xfId="11" applyFont="1" applyFill="1" applyBorder="1" applyAlignment="1">
      <alignment horizontal="center" shrinkToFit="1"/>
    </xf>
    <xf numFmtId="0" fontId="30" fillId="0" borderId="0" xfId="11" applyFont="1" applyAlignment="1">
      <alignment horizontal="center" shrinkToFit="1"/>
    </xf>
    <xf numFmtId="0" fontId="84" fillId="0" borderId="22" xfId="0" applyFont="1" applyBorder="1" applyAlignment="1">
      <alignment shrinkToFit="1"/>
    </xf>
    <xf numFmtId="1" fontId="32" fillId="0" borderId="22" xfId="11" applyNumberFormat="1" applyFont="1" applyBorder="1" applyAlignment="1">
      <alignment shrinkToFit="1"/>
    </xf>
    <xf numFmtId="183" fontId="32" fillId="0" borderId="22" xfId="11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1" fillId="3" borderId="1" xfId="0" applyNumberFormat="1" applyFont="1" applyFill="1" applyBorder="1" applyAlignment="1">
      <alignment shrinkToFit="1"/>
    </xf>
    <xf numFmtId="183" fontId="11" fillId="3" borderId="5" xfId="0" applyNumberFormat="1" applyFont="1" applyFill="1" applyBorder="1" applyAlignment="1">
      <alignment shrinkToFit="1"/>
    </xf>
    <xf numFmtId="0" fontId="42" fillId="0" borderId="22" xfId="42" applyFont="1" applyBorder="1" applyAlignment="1">
      <alignment horizontal="center" vertical="center"/>
    </xf>
    <xf numFmtId="0" fontId="42" fillId="0" borderId="0" xfId="42" applyFont="1" applyAlignment="1">
      <alignment horizontal="center" vertical="center"/>
    </xf>
    <xf numFmtId="0" fontId="4" fillId="0" borderId="0" xfId="42">
      <alignment vertical="center"/>
    </xf>
    <xf numFmtId="0" fontId="80" fillId="0" borderId="0" xfId="42" applyFont="1" applyAlignment="1">
      <alignment horizontal="center" vertical="center"/>
    </xf>
    <xf numFmtId="186" fontId="30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11" applyFont="1" applyAlignment="1">
      <alignment horizontal="left" vertical="center"/>
    </xf>
    <xf numFmtId="0" fontId="75" fillId="0" borderId="0" xfId="11" applyFont="1" applyAlignment="1">
      <alignment vertical="center"/>
    </xf>
    <xf numFmtId="183" fontId="28" fillId="0" borderId="0" xfId="11" applyNumberFormat="1" applyAlignment="1">
      <alignment horizontal="center" vertical="center"/>
    </xf>
    <xf numFmtId="0" fontId="28" fillId="0" borderId="0" xfId="11" applyAlignment="1">
      <alignment horizontal="center" vertical="center"/>
    </xf>
    <xf numFmtId="0" fontId="28" fillId="0" borderId="0" xfId="11" applyAlignment="1">
      <alignment vertical="center"/>
    </xf>
    <xf numFmtId="0" fontId="30" fillId="0" borderId="0" xfId="11" applyFont="1" applyAlignment="1">
      <alignment vertical="center"/>
    </xf>
    <xf numFmtId="0" fontId="40" fillId="0" borderId="0" xfId="11" applyFont="1" applyAlignment="1">
      <alignment horizontal="left" vertical="center"/>
    </xf>
    <xf numFmtId="0" fontId="40" fillId="0" borderId="34" xfId="11" applyFont="1" applyBorder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40" fillId="0" borderId="36" xfId="11" applyFont="1" applyBorder="1" applyAlignment="1">
      <alignment horizontal="left" vertical="center"/>
    </xf>
    <xf numFmtId="0" fontId="30" fillId="0" borderId="0" xfId="11" applyFont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" fontId="28" fillId="0" borderId="22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1" fontId="28" fillId="0" borderId="31" xfId="11" applyNumberFormat="1" applyBorder="1" applyAlignment="1">
      <alignment horizontal="center" vertical="center"/>
    </xf>
    <xf numFmtId="0" fontId="78" fillId="0" borderId="22" xfId="11" applyFon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0" fillId="0" borderId="32" xfId="11" applyFont="1" applyBorder="1" applyAlignment="1">
      <alignment horizontal="left" vertical="center"/>
    </xf>
    <xf numFmtId="0" fontId="78" fillId="0" borderId="22" xfId="0" applyFont="1" applyBorder="1" applyAlignment="1">
      <alignment horizontal="center" vertical="center"/>
    </xf>
    <xf numFmtId="176" fontId="30" fillId="0" borderId="0" xfId="0" applyNumberFormat="1" applyFont="1" applyAlignment="1">
      <alignment horizontal="center"/>
    </xf>
    <xf numFmtId="179" fontId="91" fillId="0" borderId="0" xfId="0" applyNumberFormat="1" applyFont="1" applyAlignment="1">
      <alignment horizontal="center"/>
    </xf>
    <xf numFmtId="0" fontId="42" fillId="0" borderId="22" xfId="0" applyFont="1" applyBorder="1" applyAlignment="1">
      <alignment horizontal="center" vertical="center"/>
    </xf>
    <xf numFmtId="185" fontId="11" fillId="0" borderId="1" xfId="14" applyNumberFormat="1" applyFont="1" applyBorder="1" applyAlignment="1">
      <alignment shrinkToFit="1"/>
    </xf>
    <xf numFmtId="185" fontId="32" fillId="0" borderId="22" xfId="14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" fontId="95" fillId="0" borderId="22" xfId="11" applyNumberFormat="1" applyFont="1" applyBorder="1" applyAlignment="1">
      <alignment horizontal="center" vertical="center"/>
    </xf>
    <xf numFmtId="10" fontId="74" fillId="0" borderId="22" xfId="0" applyNumberFormat="1" applyFont="1" applyBorder="1" applyAlignment="1">
      <alignment shrinkToFit="1"/>
    </xf>
    <xf numFmtId="10" fontId="30" fillId="0" borderId="0" xfId="0" applyNumberFormat="1" applyFont="1" applyAlignment="1">
      <alignment horizontal="center" vertical="center"/>
    </xf>
    <xf numFmtId="183" fontId="84" fillId="0" borderId="22" xfId="0" applyNumberFormat="1" applyFont="1" applyBorder="1" applyAlignment="1">
      <alignment shrinkToFit="1"/>
    </xf>
    <xf numFmtId="0" fontId="35" fillId="0" borderId="22" xfId="11" applyFont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/>
    </xf>
    <xf numFmtId="0" fontId="41" fillId="5" borderId="23" xfId="5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 wrapText="1"/>
    </xf>
    <xf numFmtId="0" fontId="35" fillId="0" borderId="0" xfId="11" applyFont="1" applyAlignment="1">
      <alignment horizontal="center" vertical="center"/>
    </xf>
    <xf numFmtId="187" fontId="41" fillId="0" borderId="22" xfId="11" applyNumberFormat="1" applyFont="1" applyBorder="1" applyAlignment="1">
      <alignment horizontal="center" vertical="center"/>
    </xf>
    <xf numFmtId="185" fontId="41" fillId="9" borderId="22" xfId="14" applyNumberFormat="1" applyFont="1" applyFill="1" applyBorder="1" applyAlignment="1">
      <alignment horizontal="center" vertical="center"/>
    </xf>
    <xf numFmtId="185" fontId="41" fillId="9" borderId="22" xfId="13" applyNumberFormat="1" applyFont="1" applyFill="1" applyBorder="1" applyAlignment="1">
      <alignment horizontal="center" vertical="center"/>
    </xf>
    <xf numFmtId="187" fontId="41" fillId="0" borderId="22" xfId="54" applyNumberFormat="1" applyFont="1" applyBorder="1" applyAlignment="1">
      <alignment horizontal="center" vertical="center"/>
    </xf>
    <xf numFmtId="187" fontId="41" fillId="9" borderId="22" xfId="11" applyNumberFormat="1" applyFont="1" applyFill="1" applyBorder="1" applyAlignment="1">
      <alignment horizontal="center" vertical="center"/>
    </xf>
    <xf numFmtId="0" fontId="83" fillId="0" borderId="22" xfId="11" applyFont="1" applyBorder="1" applyAlignment="1">
      <alignment horizontal="center" vertical="center"/>
    </xf>
    <xf numFmtId="0" fontId="41" fillId="0" borderId="22" xfId="11" applyFont="1" applyBorder="1" applyAlignment="1">
      <alignment horizontal="center" vertical="center"/>
    </xf>
    <xf numFmtId="0" fontId="76" fillId="0" borderId="0" xfId="11" applyFont="1" applyAlignment="1">
      <alignment horizontal="center" vertical="center"/>
    </xf>
    <xf numFmtId="1" fontId="35" fillId="0" borderId="41" xfId="11" applyNumberFormat="1" applyFont="1" applyBorder="1" applyAlignment="1">
      <alignment horizontal="center" vertical="center"/>
    </xf>
    <xf numFmtId="0" fontId="35" fillId="0" borderId="41" xfId="11" applyFont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1" fontId="71" fillId="0" borderId="41" xfId="11" applyNumberFormat="1" applyFont="1" applyBorder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83" fillId="0" borderId="0" xfId="11" applyFont="1" applyAlignment="1">
      <alignment horizontal="center" vertical="center"/>
    </xf>
    <xf numFmtId="0" fontId="35" fillId="0" borderId="22" xfId="11" applyFont="1" applyBorder="1" applyAlignment="1">
      <alignment horizontal="left" vertical="center"/>
    </xf>
    <xf numFmtId="0" fontId="41" fillId="0" borderId="22" xfId="11" applyFont="1" applyBorder="1" applyAlignment="1">
      <alignment horizontal="left" vertical="center"/>
    </xf>
    <xf numFmtId="0" fontId="83" fillId="0" borderId="22" xfId="11" applyFont="1" applyBorder="1" applyAlignment="1">
      <alignment horizontal="left" vertical="center"/>
    </xf>
    <xf numFmtId="0" fontId="35" fillId="0" borderId="0" xfId="11" applyFont="1" applyAlignment="1">
      <alignment horizontal="left" vertical="center"/>
    </xf>
    <xf numFmtId="0" fontId="76" fillId="0" borderId="0" xfId="11" applyFont="1" applyAlignment="1">
      <alignment horizontal="left" vertical="center"/>
    </xf>
    <xf numFmtId="186" fontId="30" fillId="0" borderId="22" xfId="0" applyNumberFormat="1" applyFont="1" applyBorder="1"/>
    <xf numFmtId="0" fontId="1" fillId="0" borderId="0" xfId="65">
      <alignment vertical="center"/>
    </xf>
    <xf numFmtId="0" fontId="98" fillId="10" borderId="22" xfId="65" applyFont="1" applyFill="1" applyBorder="1" applyAlignment="1">
      <alignment horizontal="center" vertical="center" wrapText="1"/>
    </xf>
    <xf numFmtId="0" fontId="100" fillId="10" borderId="22" xfId="65" applyFont="1" applyFill="1" applyBorder="1" applyAlignment="1">
      <alignment horizontal="center" vertical="center"/>
    </xf>
    <xf numFmtId="188" fontId="101" fillId="0" borderId="23" xfId="5" applyNumberFormat="1" applyFont="1" applyBorder="1" applyAlignment="1">
      <alignment horizontal="center" vertical="center"/>
    </xf>
    <xf numFmtId="189" fontId="102" fillId="9" borderId="23" xfId="65" applyNumberFormat="1" applyFont="1" applyFill="1" applyBorder="1" applyAlignment="1">
      <alignment horizontal="center" vertical="center"/>
    </xf>
    <xf numFmtId="190" fontId="102" fillId="0" borderId="23" xfId="65" applyNumberFormat="1" applyFont="1" applyBorder="1" applyAlignment="1">
      <alignment horizontal="center" vertical="center"/>
    </xf>
    <xf numFmtId="189" fontId="102" fillId="9" borderId="23" xfId="66" applyNumberFormat="1" applyFont="1" applyFill="1" applyBorder="1" applyAlignment="1">
      <alignment horizontal="center" vertical="center"/>
    </xf>
    <xf numFmtId="10" fontId="102" fillId="0" borderId="23" xfId="22" applyNumberFormat="1" applyFont="1" applyBorder="1" applyAlignment="1">
      <alignment horizontal="center" vertical="center"/>
    </xf>
    <xf numFmtId="189" fontId="102" fillId="9" borderId="23" xfId="22" applyNumberFormat="1" applyFont="1" applyFill="1" applyBorder="1" applyAlignment="1">
      <alignment horizontal="center" vertical="center"/>
    </xf>
    <xf numFmtId="191" fontId="102" fillId="9" borderId="23" xfId="65" applyNumberFormat="1" applyFont="1" applyFill="1" applyBorder="1" applyAlignment="1">
      <alignment horizontal="center" vertical="center"/>
    </xf>
    <xf numFmtId="10" fontId="102" fillId="0" borderId="23" xfId="65" applyNumberFormat="1" applyFont="1" applyBorder="1" applyAlignment="1">
      <alignment horizontal="center" vertical="center"/>
    </xf>
    <xf numFmtId="0" fontId="1" fillId="0" borderId="23" xfId="65" applyBorder="1">
      <alignment vertical="center"/>
    </xf>
    <xf numFmtId="188" fontId="103" fillId="0" borderId="42" xfId="5" applyNumberFormat="1" applyFont="1" applyBorder="1" applyAlignment="1">
      <alignment horizontal="center" vertical="center"/>
    </xf>
    <xf numFmtId="189" fontId="102" fillId="9" borderId="43" xfId="65" applyNumberFormat="1" applyFont="1" applyFill="1" applyBorder="1" applyAlignment="1">
      <alignment horizontal="center" vertical="center"/>
    </xf>
    <xf numFmtId="190" fontId="102" fillId="0" borderId="43" xfId="65" applyNumberFormat="1" applyFont="1" applyBorder="1" applyAlignment="1">
      <alignment horizontal="center" vertical="center"/>
    </xf>
    <xf numFmtId="189" fontId="102" fillId="9" borderId="43" xfId="66" applyNumberFormat="1" applyFont="1" applyFill="1" applyBorder="1" applyAlignment="1">
      <alignment horizontal="center" vertical="center"/>
    </xf>
    <xf numFmtId="10" fontId="102" fillId="0" borderId="43" xfId="22" applyNumberFormat="1" applyFont="1" applyBorder="1" applyAlignment="1">
      <alignment horizontal="center" vertical="center"/>
    </xf>
    <xf numFmtId="189" fontId="102" fillId="9" borderId="43" xfId="22" applyNumberFormat="1" applyFont="1" applyFill="1" applyBorder="1" applyAlignment="1">
      <alignment horizontal="center" vertical="center"/>
    </xf>
    <xf numFmtId="191" fontId="102" fillId="9" borderId="43" xfId="65" applyNumberFormat="1" applyFont="1" applyFill="1" applyBorder="1" applyAlignment="1">
      <alignment horizontal="center" vertical="center"/>
    </xf>
    <xf numFmtId="10" fontId="102" fillId="0" borderId="43" xfId="65" applyNumberFormat="1" applyFont="1" applyBorder="1" applyAlignment="1">
      <alignment horizontal="center" vertical="center"/>
    </xf>
    <xf numFmtId="188" fontId="103" fillId="0" borderId="46" xfId="5" applyNumberFormat="1" applyFont="1" applyBorder="1" applyAlignment="1">
      <alignment horizontal="center" vertical="center"/>
    </xf>
    <xf numFmtId="189" fontId="102" fillId="9" borderId="22" xfId="65" applyNumberFormat="1" applyFont="1" applyFill="1" applyBorder="1" applyAlignment="1">
      <alignment horizontal="center" vertical="center"/>
    </xf>
    <xf numFmtId="190" fontId="102" fillId="0" borderId="22" xfId="65" applyNumberFormat="1" applyFont="1" applyBorder="1" applyAlignment="1">
      <alignment horizontal="center" vertical="center"/>
    </xf>
    <xf numFmtId="189" fontId="102" fillId="9" borderId="22" xfId="66" applyNumberFormat="1" applyFont="1" applyFill="1" applyBorder="1" applyAlignment="1">
      <alignment horizontal="center" vertical="center"/>
    </xf>
    <xf numFmtId="10" fontId="102" fillId="0" borderId="22" xfId="22" applyNumberFormat="1" applyFont="1" applyBorder="1" applyAlignment="1">
      <alignment horizontal="center" vertical="center"/>
    </xf>
    <xf numFmtId="189" fontId="102" fillId="9" borderId="22" xfId="22" applyNumberFormat="1" applyFont="1" applyFill="1" applyBorder="1" applyAlignment="1">
      <alignment horizontal="center" vertical="center"/>
    </xf>
    <xf numFmtId="191" fontId="102" fillId="9" borderId="22" xfId="65" applyNumberFormat="1" applyFont="1" applyFill="1" applyBorder="1" applyAlignment="1">
      <alignment horizontal="center" vertical="center"/>
    </xf>
    <xf numFmtId="10" fontId="102" fillId="0" borderId="22" xfId="65" applyNumberFormat="1" applyFont="1" applyBorder="1" applyAlignment="1">
      <alignment horizontal="center" vertical="center"/>
    </xf>
    <xf numFmtId="1" fontId="1" fillId="0" borderId="0" xfId="65" applyNumberFormat="1">
      <alignment vertical="center"/>
    </xf>
    <xf numFmtId="188" fontId="102" fillId="0" borderId="46" xfId="5" applyNumberFormat="1" applyFont="1" applyBorder="1" applyAlignment="1">
      <alignment horizontal="center" vertical="center"/>
    </xf>
    <xf numFmtId="188" fontId="101" fillId="0" borderId="48" xfId="5" applyNumberFormat="1" applyFont="1" applyBorder="1" applyAlignment="1">
      <alignment horizontal="center" vertical="center"/>
    </xf>
    <xf numFmtId="189" fontId="102" fillId="9" borderId="49" xfId="65" applyNumberFormat="1" applyFont="1" applyFill="1" applyBorder="1" applyAlignment="1">
      <alignment horizontal="center" vertical="center"/>
    </xf>
    <xf numFmtId="190" fontId="102" fillId="0" borderId="49" xfId="65" applyNumberFormat="1" applyFont="1" applyBorder="1" applyAlignment="1">
      <alignment horizontal="center" vertical="center"/>
    </xf>
    <xf numFmtId="10" fontId="102" fillId="0" borderId="49" xfId="22" applyNumberFormat="1" applyFont="1" applyBorder="1" applyAlignment="1">
      <alignment horizontal="center" vertical="center"/>
    </xf>
    <xf numFmtId="10" fontId="102" fillId="0" borderId="49" xfId="65" applyNumberFormat="1" applyFont="1" applyBorder="1" applyAlignment="1">
      <alignment horizontal="center" vertical="center"/>
    </xf>
    <xf numFmtId="189" fontId="101" fillId="9" borderId="43" xfId="65" applyNumberFormat="1" applyFont="1" applyFill="1" applyBorder="1" applyAlignment="1">
      <alignment horizontal="center" vertical="center"/>
    </xf>
    <xf numFmtId="3" fontId="1" fillId="0" borderId="0" xfId="65" applyNumberFormat="1">
      <alignment vertical="center"/>
    </xf>
    <xf numFmtId="189" fontId="101" fillId="9" borderId="22" xfId="66" applyNumberFormat="1" applyFont="1" applyFill="1" applyBorder="1" applyAlignment="1">
      <alignment horizontal="center" vertical="center"/>
    </xf>
    <xf numFmtId="190" fontId="1" fillId="0" borderId="0" xfId="22" applyNumberFormat="1" applyFont="1">
      <alignment vertical="center"/>
    </xf>
    <xf numFmtId="189" fontId="102" fillId="9" borderId="49" xfId="66" applyNumberFormat="1" applyFont="1" applyFill="1" applyBorder="1" applyAlignment="1">
      <alignment horizontal="center" vertical="center"/>
    </xf>
    <xf numFmtId="189" fontId="102" fillId="9" borderId="49" xfId="22" applyNumberFormat="1" applyFont="1" applyFill="1" applyBorder="1" applyAlignment="1">
      <alignment horizontal="center" vertical="center"/>
    </xf>
    <xf numFmtId="191" fontId="102" fillId="9" borderId="49" xfId="65" applyNumberFormat="1" applyFont="1" applyFill="1" applyBorder="1" applyAlignment="1">
      <alignment horizontal="center" vertical="center"/>
    </xf>
    <xf numFmtId="188" fontId="102" fillId="0" borderId="42" xfId="5" applyNumberFormat="1" applyFont="1" applyBorder="1" applyAlignment="1">
      <alignment horizontal="center" vertical="center"/>
    </xf>
    <xf numFmtId="188" fontId="102" fillId="0" borderId="30" xfId="5" applyNumberFormat="1" applyFont="1" applyBorder="1" applyAlignment="1">
      <alignment horizontal="center" vertical="center"/>
    </xf>
    <xf numFmtId="189" fontId="102" fillId="9" borderId="30" xfId="65" applyNumberFormat="1" applyFont="1" applyFill="1" applyBorder="1" applyAlignment="1">
      <alignment horizontal="center" vertical="center"/>
    </xf>
    <xf numFmtId="190" fontId="102" fillId="0" borderId="30" xfId="65" applyNumberFormat="1" applyFont="1" applyBorder="1" applyAlignment="1">
      <alignment horizontal="center" vertical="center"/>
    </xf>
    <xf numFmtId="189" fontId="102" fillId="9" borderId="30" xfId="66" applyNumberFormat="1" applyFont="1" applyFill="1" applyBorder="1" applyAlignment="1">
      <alignment horizontal="center" vertical="center"/>
    </xf>
    <xf numFmtId="10" fontId="102" fillId="0" borderId="30" xfId="22" applyNumberFormat="1" applyFont="1" applyBorder="1" applyAlignment="1">
      <alignment horizontal="center" vertical="center"/>
    </xf>
    <xf numFmtId="189" fontId="102" fillId="9" borderId="30" xfId="22" applyNumberFormat="1" applyFont="1" applyFill="1" applyBorder="1" applyAlignment="1">
      <alignment horizontal="center" vertical="center"/>
    </xf>
    <xf numFmtId="191" fontId="102" fillId="9" borderId="30" xfId="65" applyNumberFormat="1" applyFont="1" applyFill="1" applyBorder="1" applyAlignment="1">
      <alignment horizontal="center" vertical="center"/>
    </xf>
    <xf numFmtId="10" fontId="102" fillId="0" borderId="30" xfId="65" applyNumberFormat="1" applyFont="1" applyBorder="1" applyAlignment="1">
      <alignment horizontal="center" vertical="center"/>
    </xf>
    <xf numFmtId="10" fontId="102" fillId="0" borderId="0" xfId="65" applyNumberFormat="1" applyFont="1" applyAlignment="1">
      <alignment horizontal="center" vertical="center"/>
    </xf>
    <xf numFmtId="188" fontId="103" fillId="0" borderId="22" xfId="5" applyNumberFormat="1" applyFont="1" applyBorder="1" applyAlignment="1">
      <alignment horizontal="center" vertical="center"/>
    </xf>
    <xf numFmtId="10" fontId="101" fillId="0" borderId="22" xfId="22" applyNumberFormat="1" applyFont="1" applyBorder="1" applyAlignment="1">
      <alignment horizontal="center" vertical="center"/>
    </xf>
    <xf numFmtId="0" fontId="102" fillId="0" borderId="0" xfId="65" applyFont="1">
      <alignment vertical="center"/>
    </xf>
    <xf numFmtId="1" fontId="102" fillId="0" borderId="0" xfId="65" applyNumberFormat="1" applyFont="1">
      <alignment vertical="center"/>
    </xf>
    <xf numFmtId="189" fontId="102" fillId="0" borderId="0" xfId="65" applyNumberFormat="1" applyFont="1">
      <alignment vertical="center"/>
    </xf>
    <xf numFmtId="0" fontId="67" fillId="2" borderId="1" xfId="0" applyFont="1" applyFill="1" applyBorder="1" applyAlignment="1">
      <alignment horizontal="center" vertical="center" shrinkToFit="1"/>
    </xf>
    <xf numFmtId="183" fontId="95" fillId="0" borderId="22" xfId="11" applyNumberFormat="1" applyFont="1" applyBorder="1" applyAlignment="1">
      <alignment horizontal="center" vertical="center"/>
    </xf>
    <xf numFmtId="179" fontId="30" fillId="0" borderId="0" xfId="11" applyNumberFormat="1" applyFont="1" applyAlignment="1">
      <alignment horizontal="center"/>
    </xf>
    <xf numFmtId="179" fontId="91" fillId="0" borderId="0" xfId="11" applyNumberFormat="1" applyFont="1" applyAlignment="1">
      <alignment horizontal="center"/>
    </xf>
    <xf numFmtId="10" fontId="30" fillId="0" borderId="0" xfId="0" applyNumberFormat="1" applyFont="1" applyAlignment="1">
      <alignment vertical="center"/>
    </xf>
    <xf numFmtId="186" fontId="30" fillId="0" borderId="0" xfId="0" applyNumberFormat="1" applyFont="1" applyAlignment="1">
      <alignment vertical="center"/>
    </xf>
    <xf numFmtId="193" fontId="32" fillId="0" borderId="22" xfId="0" applyNumberFormat="1" applyFont="1" applyBorder="1" applyAlignment="1">
      <alignment shrinkToFit="1"/>
    </xf>
    <xf numFmtId="0" fontId="48" fillId="0" borderId="0" xfId="0" applyFont="1" applyAlignment="1">
      <alignment horizontal="center" vertical="center" shrinkToFit="1"/>
    </xf>
    <xf numFmtId="0" fontId="92" fillId="9" borderId="22" xfId="0" applyFont="1" applyFill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8" fontId="30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176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76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79" fontId="30" fillId="0" borderId="0" xfId="11" applyNumberFormat="1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8" fontId="30" fillId="0" borderId="0" xfId="11" applyNumberFormat="1" applyFont="1" applyAlignment="1">
      <alignment horizontal="center" vertical="center"/>
    </xf>
    <xf numFmtId="0" fontId="30" fillId="0" borderId="0" xfId="1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177" fontId="36" fillId="0" borderId="22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83" fontId="28" fillId="0" borderId="22" xfId="11" applyNumberForma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83" fontId="28" fillId="0" borderId="31" xfId="11" applyNumberFormat="1" applyBorder="1" applyAlignment="1">
      <alignment horizontal="center" vertical="center"/>
    </xf>
    <xf numFmtId="183" fontId="28" fillId="0" borderId="33" xfId="11" applyNumberFormat="1" applyBorder="1" applyAlignment="1">
      <alignment horizontal="center" vertical="center"/>
    </xf>
    <xf numFmtId="183" fontId="28" fillId="0" borderId="35" xfId="11" applyNumberForma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38" fillId="0" borderId="27" xfId="11" applyFont="1" applyBorder="1" applyAlignment="1">
      <alignment horizontal="center" vertical="center"/>
    </xf>
    <xf numFmtId="0" fontId="38" fillId="0" borderId="28" xfId="11" applyFont="1" applyBorder="1" applyAlignment="1">
      <alignment horizontal="center" vertical="center"/>
    </xf>
    <xf numFmtId="0" fontId="38" fillId="0" borderId="25" xfId="11" applyFont="1" applyBorder="1" applyAlignment="1">
      <alignment horizontal="center" vertical="center"/>
    </xf>
    <xf numFmtId="179" fontId="38" fillId="0" borderId="22" xfId="11" applyNumberFormat="1" applyFont="1" applyBorder="1" applyAlignment="1">
      <alignment horizontal="center" vertical="center"/>
    </xf>
    <xf numFmtId="0" fontId="78" fillId="0" borderId="22" xfId="11" applyFont="1" applyBorder="1" applyAlignment="1">
      <alignment horizontal="center" vertical="center"/>
    </xf>
    <xf numFmtId="0" fontId="38" fillId="0" borderId="31" xfId="11" applyFont="1" applyBorder="1" applyAlignment="1">
      <alignment horizontal="center" vertical="center"/>
    </xf>
    <xf numFmtId="0" fontId="38" fillId="0" borderId="33" xfId="11" applyFont="1" applyBorder="1" applyAlignment="1">
      <alignment horizontal="center" vertical="center"/>
    </xf>
    <xf numFmtId="0" fontId="38" fillId="0" borderId="35" xfId="11" applyFont="1" applyBorder="1" applyAlignment="1">
      <alignment horizontal="center" vertical="center"/>
    </xf>
    <xf numFmtId="0" fontId="38" fillId="0" borderId="23" xfId="11" applyFont="1" applyBorder="1" applyAlignment="1">
      <alignment horizontal="center" vertical="center"/>
    </xf>
    <xf numFmtId="0" fontId="38" fillId="0" borderId="29" xfId="11" applyFont="1" applyBorder="1" applyAlignment="1">
      <alignment horizontal="center" vertical="center"/>
    </xf>
    <xf numFmtId="0" fontId="38" fillId="0" borderId="30" xfId="11" applyFont="1" applyBorder="1" applyAlignment="1">
      <alignment horizontal="center" vertical="center"/>
    </xf>
    <xf numFmtId="0" fontId="82" fillId="0" borderId="0" xfId="11" applyFont="1" applyAlignment="1">
      <alignment horizontal="left" vertical="center"/>
    </xf>
    <xf numFmtId="0" fontId="40" fillId="0" borderId="0" xfId="11" applyFont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39" fillId="0" borderId="37" xfId="11" applyFont="1" applyBorder="1" applyAlignment="1">
      <alignment horizontal="left" vertical="center"/>
    </xf>
    <xf numFmtId="0" fontId="40" fillId="0" borderId="37" xfId="11" applyFont="1" applyBorder="1" applyAlignment="1">
      <alignment horizontal="left" vertical="center"/>
    </xf>
    <xf numFmtId="0" fontId="39" fillId="0" borderId="0" xfId="11" applyFont="1" applyAlignment="1">
      <alignment horizontal="left" vertical="center"/>
    </xf>
    <xf numFmtId="0" fontId="28" fillId="0" borderId="23" xfId="11" applyBorder="1" applyAlignment="1">
      <alignment horizontal="center" vertical="center"/>
    </xf>
    <xf numFmtId="0" fontId="28" fillId="0" borderId="29" xfId="11" applyBorder="1" applyAlignment="1">
      <alignment horizontal="center" vertical="center"/>
    </xf>
    <xf numFmtId="0" fontId="28" fillId="0" borderId="30" xfId="11" applyBorder="1" applyAlignment="1">
      <alignment horizontal="center" vertical="center"/>
    </xf>
    <xf numFmtId="183" fontId="28" fillId="0" borderId="23" xfId="11" applyNumberFormat="1" applyBorder="1" applyAlignment="1">
      <alignment horizontal="center" vertical="center"/>
    </xf>
    <xf numFmtId="183" fontId="28" fillId="0" borderId="29" xfId="11" applyNumberFormat="1" applyBorder="1" applyAlignment="1">
      <alignment horizontal="center" vertical="center"/>
    </xf>
    <xf numFmtId="183" fontId="28" fillId="0" borderId="30" xfId="11" applyNumberFormat="1" applyBorder="1" applyAlignment="1">
      <alignment horizontal="center" vertical="center"/>
    </xf>
    <xf numFmtId="0" fontId="78" fillId="0" borderId="23" xfId="11" applyFont="1" applyBorder="1" applyAlignment="1">
      <alignment horizontal="center" vertical="center"/>
    </xf>
    <xf numFmtId="179" fontId="38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38" fillId="0" borderId="23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78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9" fillId="0" borderId="37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8" fillId="0" borderId="0" xfId="11" applyFont="1" applyAlignment="1">
      <alignment horizontal="center" vertical="center" shrinkToFit="1"/>
    </xf>
    <xf numFmtId="0" fontId="60" fillId="0" borderId="0" xfId="11" applyFont="1" applyAlignment="1">
      <alignment horizontal="left" vertical="center" shrinkToFit="1"/>
    </xf>
    <xf numFmtId="0" fontId="61" fillId="0" borderId="0" xfId="11" applyFont="1" applyAlignment="1">
      <alignment horizontal="left" vertical="center" shrinkToFit="1"/>
    </xf>
    <xf numFmtId="0" fontId="30" fillId="0" borderId="22" xfId="11" applyFont="1" applyBorder="1" applyAlignment="1">
      <alignment horizontal="center" vertical="center" shrinkToFit="1"/>
    </xf>
    <xf numFmtId="0" fontId="51" fillId="2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shrinkToFit="1"/>
    </xf>
    <xf numFmtId="0" fontId="32" fillId="0" borderId="28" xfId="11" applyFont="1" applyBorder="1" applyAlignment="1">
      <alignment shrinkToFit="1"/>
    </xf>
    <xf numFmtId="0" fontId="32" fillId="0" borderId="25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62" fillId="0" borderId="22" xfId="11" applyFont="1" applyBorder="1" applyAlignment="1">
      <alignment shrinkToFit="1"/>
    </xf>
    <xf numFmtId="0" fontId="51" fillId="0" borderId="22" xfId="11" applyFont="1" applyBorder="1" applyAlignment="1">
      <alignment shrinkToFit="1"/>
    </xf>
    <xf numFmtId="0" fontId="88" fillId="0" borderId="22" xfId="11" applyFont="1" applyBorder="1" applyAlignment="1">
      <alignment shrinkToFit="1"/>
    </xf>
    <xf numFmtId="0" fontId="85" fillId="0" borderId="27" xfId="11" applyFont="1" applyBorder="1" applyAlignment="1">
      <alignment shrinkToFit="1"/>
    </xf>
    <xf numFmtId="0" fontId="84" fillId="0" borderId="27" xfId="11" applyFont="1" applyBorder="1" applyAlignment="1">
      <alignment shrinkToFit="1"/>
    </xf>
    <xf numFmtId="0" fontId="51" fillId="2" borderId="22" xfId="11" applyFont="1" applyFill="1" applyBorder="1" applyAlignment="1">
      <alignment horizontal="center" shrinkToFit="1"/>
    </xf>
    <xf numFmtId="0" fontId="62" fillId="0" borderId="22" xfId="11" applyFont="1" applyBorder="1" applyAlignment="1">
      <alignment horizontal="center" shrinkToFit="1"/>
    </xf>
    <xf numFmtId="0" fontId="77" fillId="2" borderId="22" xfId="11" applyFont="1" applyFill="1" applyBorder="1" applyAlignment="1">
      <alignment horizontal="center" vertical="center" shrinkToFit="1"/>
    </xf>
    <xf numFmtId="0" fontId="84" fillId="0" borderId="22" xfId="11" applyFont="1" applyBorder="1" applyAlignment="1">
      <alignment shrinkToFit="1"/>
    </xf>
    <xf numFmtId="0" fontId="52" fillId="0" borderId="22" xfId="11" applyFont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 shrinkToFit="1"/>
    </xf>
    <xf numFmtId="0" fontId="3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horizontal="center" shrinkToFit="1"/>
    </xf>
    <xf numFmtId="0" fontId="65" fillId="0" borderId="22" xfId="11" applyFont="1" applyBorder="1" applyAlignment="1">
      <alignment horizontal="center" vertical="center" shrinkToFit="1"/>
    </xf>
    <xf numFmtId="0" fontId="36" fillId="0" borderId="22" xfId="11" applyFont="1" applyBorder="1" applyAlignment="1">
      <alignment horizontal="center" vertical="center" shrinkToFit="1"/>
    </xf>
    <xf numFmtId="0" fontId="96" fillId="0" borderId="22" xfId="11" applyFont="1" applyBorder="1" applyAlignment="1">
      <alignment horizontal="center" vertical="center" shrinkToFit="1"/>
    </xf>
    <xf numFmtId="0" fontId="84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60" fillId="0" borderId="0" xfId="0" applyFont="1" applyAlignment="1">
      <alignment horizontal="left" vertical="center" shrinkToFit="1"/>
    </xf>
    <xf numFmtId="0" fontId="61" fillId="0" borderId="0" xfId="0" applyFont="1" applyAlignment="1">
      <alignment horizontal="left" vertical="center" shrinkToFit="1"/>
    </xf>
    <xf numFmtId="0" fontId="30" fillId="0" borderId="22" xfId="0" applyFont="1" applyBorder="1" applyAlignment="1">
      <alignment horizontal="center" vertical="center" shrinkToFit="1"/>
    </xf>
    <xf numFmtId="0" fontId="67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51" fillId="2" borderId="4" xfId="0" applyFont="1" applyFill="1" applyBorder="1" applyAlignment="1">
      <alignment horizontal="center" vertical="center" shrinkToFit="1"/>
    </xf>
    <xf numFmtId="0" fontId="51" fillId="2" borderId="3" xfId="0" applyFont="1" applyFill="1" applyBorder="1" applyAlignment="1">
      <alignment horizontal="center" vertical="center" shrinkToFit="1"/>
    </xf>
    <xf numFmtId="0" fontId="84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5" fillId="0" borderId="4" xfId="0" applyFont="1" applyBorder="1" applyAlignment="1">
      <alignment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7" fillId="9" borderId="22" xfId="0" applyFont="1" applyFill="1" applyBorder="1" applyAlignment="1">
      <alignment horizontal="center" vertical="center" shrinkToFit="1"/>
    </xf>
    <xf numFmtId="0" fontId="38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38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84" fillId="0" borderId="9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74" fillId="0" borderId="4" xfId="0" applyFont="1" applyBorder="1" applyAlignment="1">
      <alignment shrinkToFit="1"/>
    </xf>
    <xf numFmtId="0" fontId="94" fillId="0" borderId="4" xfId="0" applyFont="1" applyBorder="1" applyAlignment="1">
      <alignment shrinkToFit="1"/>
    </xf>
    <xf numFmtId="0" fontId="11" fillId="2" borderId="39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85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89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shrinkToFit="1"/>
    </xf>
    <xf numFmtId="0" fontId="85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60" fillId="0" borderId="26" xfId="0" applyFont="1" applyBorder="1" applyAlignment="1">
      <alignment horizontal="left" vertic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0" fontId="62" fillId="0" borderId="22" xfId="0" applyFont="1" applyBorder="1" applyAlignment="1">
      <alignment shrinkToFit="1"/>
    </xf>
    <xf numFmtId="0" fontId="32" fillId="2" borderId="33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35" fillId="0" borderId="0" xfId="11" applyFont="1" applyAlignment="1">
      <alignment horizontal="center" vertical="center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70" fillId="5" borderId="23" xfId="5" applyFont="1" applyFill="1" applyBorder="1" applyAlignment="1">
      <alignment horizontal="center" vertical="center"/>
    </xf>
    <xf numFmtId="0" fontId="70" fillId="5" borderId="29" xfId="5" applyFont="1" applyFill="1" applyBorder="1" applyAlignment="1">
      <alignment horizontal="center" vertical="center"/>
    </xf>
    <xf numFmtId="0" fontId="70" fillId="5" borderId="30" xfId="5" applyFont="1" applyFill="1" applyBorder="1" applyAlignment="1">
      <alignment horizontal="center" vertical="center"/>
    </xf>
    <xf numFmtId="0" fontId="41" fillId="5" borderId="22" xfId="5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 wrapText="1"/>
    </xf>
    <xf numFmtId="0" fontId="43" fillId="5" borderId="22" xfId="12" applyFont="1" applyFill="1" applyBorder="1" applyAlignment="1">
      <alignment horizontal="center"/>
    </xf>
    <xf numFmtId="0" fontId="45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76" fillId="5" borderId="31" xfId="11" applyFont="1" applyFill="1" applyBorder="1" applyAlignment="1">
      <alignment horizontal="center" vertical="center"/>
    </xf>
    <xf numFmtId="0" fontId="35" fillId="5" borderId="32" xfId="11" applyFont="1" applyFill="1" applyBorder="1" applyAlignment="1">
      <alignment horizontal="center" vertical="center"/>
    </xf>
    <xf numFmtId="0" fontId="35" fillId="5" borderId="33" xfId="11" applyFont="1" applyFill="1" applyBorder="1" applyAlignment="1">
      <alignment horizontal="center" vertical="center"/>
    </xf>
    <xf numFmtId="0" fontId="35" fillId="5" borderId="34" xfId="11" applyFont="1" applyFill="1" applyBorder="1" applyAlignment="1">
      <alignment horizontal="center" vertical="center"/>
    </xf>
    <xf numFmtId="0" fontId="35" fillId="5" borderId="35" xfId="11" applyFont="1" applyFill="1" applyBorder="1" applyAlignment="1">
      <alignment horizontal="center" vertical="center"/>
    </xf>
    <xf numFmtId="0" fontId="35" fillId="5" borderId="36" xfId="11" applyFont="1" applyFill="1" applyBorder="1" applyAlignment="1">
      <alignment horizontal="center" vertical="center"/>
    </xf>
    <xf numFmtId="0" fontId="41" fillId="5" borderId="31" xfId="5" applyFont="1" applyFill="1" applyBorder="1" applyAlignment="1">
      <alignment horizontal="center" vertical="center"/>
    </xf>
    <xf numFmtId="0" fontId="41" fillId="5" borderId="33" xfId="5" applyFont="1" applyFill="1" applyBorder="1" applyAlignment="1">
      <alignment horizontal="center" vertical="center"/>
    </xf>
    <xf numFmtId="0" fontId="41" fillId="5" borderId="35" xfId="5" applyFont="1" applyFill="1" applyBorder="1" applyAlignment="1">
      <alignment horizontal="center" vertical="center"/>
    </xf>
    <xf numFmtId="0" fontId="41" fillId="5" borderId="29" xfId="5" applyFont="1" applyFill="1" applyBorder="1" applyAlignment="1">
      <alignment horizontal="center" vertical="center"/>
    </xf>
    <xf numFmtId="0" fontId="41" fillId="5" borderId="30" xfId="5" applyFont="1" applyFill="1" applyBorder="1" applyAlignment="1">
      <alignment horizontal="center" vertical="center"/>
    </xf>
    <xf numFmtId="0" fontId="41" fillId="5" borderId="23" xfId="5" applyFont="1" applyFill="1" applyBorder="1" applyAlignment="1">
      <alignment horizontal="center" vertical="center"/>
    </xf>
    <xf numFmtId="0" fontId="104" fillId="0" borderId="0" xfId="5" applyFont="1" applyAlignment="1">
      <alignment horizontal="left" vertical="center"/>
    </xf>
    <xf numFmtId="192" fontId="102" fillId="0" borderId="44" xfId="2" applyNumberFormat="1" applyFont="1" applyFill="1" applyBorder="1" applyAlignment="1">
      <alignment horizontal="center" vertical="center"/>
    </xf>
    <xf numFmtId="192" fontId="102" fillId="0" borderId="29" xfId="2" applyNumberFormat="1" applyFont="1" applyFill="1" applyBorder="1" applyAlignment="1">
      <alignment horizontal="center" vertical="center"/>
    </xf>
    <xf numFmtId="192" fontId="102" fillId="0" borderId="50" xfId="2" applyNumberFormat="1" applyFont="1" applyFill="1" applyBorder="1" applyAlignment="1">
      <alignment horizontal="center" vertical="center"/>
    </xf>
    <xf numFmtId="189" fontId="42" fillId="0" borderId="43" xfId="65" applyNumberFormat="1" applyFont="1" applyBorder="1" applyAlignment="1">
      <alignment horizontal="center" vertical="center"/>
    </xf>
    <xf numFmtId="0" fontId="42" fillId="0" borderId="22" xfId="65" applyFont="1" applyBorder="1" applyAlignment="1">
      <alignment horizontal="center" vertical="center"/>
    </xf>
    <xf numFmtId="0" fontId="42" fillId="0" borderId="49" xfId="65" applyFont="1" applyBorder="1" applyAlignment="1">
      <alignment horizontal="center" vertical="center"/>
    </xf>
    <xf numFmtId="189" fontId="42" fillId="0" borderId="45" xfId="65" applyNumberFormat="1" applyFont="1" applyBorder="1" applyAlignment="1">
      <alignment horizontal="center" vertical="center"/>
    </xf>
    <xf numFmtId="0" fontId="42" fillId="0" borderId="47" xfId="65" applyFont="1" applyBorder="1" applyAlignment="1">
      <alignment horizontal="center" vertical="center"/>
    </xf>
    <xf numFmtId="0" fontId="42" fillId="0" borderId="51" xfId="65" applyFont="1" applyBorder="1" applyAlignment="1">
      <alignment horizontal="center" vertical="center"/>
    </xf>
    <xf numFmtId="0" fontId="97" fillId="5" borderId="22" xfId="65" applyFont="1" applyFill="1" applyBorder="1" applyAlignment="1">
      <alignment horizontal="center" vertical="center"/>
    </xf>
    <xf numFmtId="0" fontId="98" fillId="10" borderId="22" xfId="65" applyFont="1" applyFill="1" applyBorder="1" applyAlignment="1">
      <alignment horizontal="center" vertical="center" wrapText="1"/>
    </xf>
    <xf numFmtId="0" fontId="100" fillId="10" borderId="27" xfId="65" applyFont="1" applyFill="1" applyBorder="1" applyAlignment="1">
      <alignment horizontal="center" vertical="center"/>
    </xf>
    <xf numFmtId="0" fontId="100" fillId="10" borderId="28" xfId="65" applyFont="1" applyFill="1" applyBorder="1" applyAlignment="1">
      <alignment horizontal="center" vertical="center"/>
    </xf>
    <xf numFmtId="0" fontId="100" fillId="10" borderId="25" xfId="65" applyFont="1" applyFill="1" applyBorder="1" applyAlignment="1">
      <alignment horizontal="center" vertical="center"/>
    </xf>
    <xf numFmtId="0" fontId="12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5" fillId="0" borderId="12" xfId="0" applyFont="1" applyBorder="1" applyAlignment="1">
      <alignment shrinkToFit="1"/>
    </xf>
    <xf numFmtId="0" fontId="13" fillId="0" borderId="11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2" fillId="0" borderId="9" xfId="0" applyFont="1" applyBorder="1" applyAlignment="1">
      <alignment shrinkToFit="1"/>
    </xf>
    <xf numFmtId="0" fontId="13" fillId="0" borderId="13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3" fillId="0" borderId="20" xfId="0" applyFont="1" applyBorder="1" applyAlignment="1">
      <alignment shrinkToFit="1"/>
    </xf>
    <xf numFmtId="0" fontId="13" fillId="0" borderId="21" xfId="0" applyFont="1" applyBorder="1" applyAlignment="1">
      <alignment shrinkToFit="1"/>
    </xf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9" xfId="0" applyFont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42" fillId="5" borderId="22" xfId="5" applyFont="1" applyFill="1" applyBorder="1" applyAlignment="1">
      <alignment horizontal="center"/>
    </xf>
    <xf numFmtId="0" fontId="28" fillId="0" borderId="1" xfId="11" applyBorder="1" applyAlignment="1">
      <alignment horizontal="center" vertical="center"/>
    </xf>
    <xf numFmtId="0" fontId="28" fillId="0" borderId="25" xfId="11" applyBorder="1" applyAlignment="1">
      <alignment horizontal="center" vertical="center"/>
    </xf>
    <xf numFmtId="0" fontId="1" fillId="0" borderId="0" xfId="42" applyFont="1">
      <alignment vertical="center"/>
    </xf>
  </cellXfs>
  <cellStyles count="67">
    <cellStyle name="一般" xfId="0" builtinId="0"/>
    <cellStyle name="一般 10" xfId="44" xr:uid="{00000000-0005-0000-0000-000001000000}"/>
    <cellStyle name="一般 11" xfId="55" xr:uid="{00000000-0005-0000-0000-000002000000}"/>
    <cellStyle name="一般 2" xfId="1" xr:uid="{00000000-0005-0000-0000-000003000000}"/>
    <cellStyle name="一般 2 2 2" xfId="9" xr:uid="{00000000-0005-0000-0000-000004000000}"/>
    <cellStyle name="一般 2 2 30 2 2 30 2" xfId="4" xr:uid="{00000000-0005-0000-0000-000005000000}"/>
    <cellStyle name="一般 2 2 30 2 2 30 2 2" xfId="12" xr:uid="{00000000-0005-0000-0000-000006000000}"/>
    <cellStyle name="一般 2 2 30 2 2 30 2 2 2" xfId="65" xr:uid="{00000000-0005-0000-0000-000007000000}"/>
    <cellStyle name="一般 2 2 30 2 2 30 2 3" xfId="25" xr:uid="{00000000-0005-0000-0000-000008000000}"/>
    <cellStyle name="一般 2 2 30 2 2 30 2 4" xfId="29" xr:uid="{00000000-0005-0000-0000-000009000000}"/>
    <cellStyle name="一般 2 2 30 2 2 30 2 4 2" xfId="39" xr:uid="{00000000-0005-0000-0000-00000A000000}"/>
    <cellStyle name="一般 2 2 30 2 2 30 2 4 3" xfId="30" xr:uid="{00000000-0005-0000-0000-00000B000000}"/>
    <cellStyle name="一般 2 2 30 2 2 30 2 4 3 2" xfId="40" xr:uid="{00000000-0005-0000-0000-00000C000000}"/>
    <cellStyle name="一般 2 2 30 2 2 30 2 4 3 3" xfId="52" xr:uid="{00000000-0005-0000-0000-00000D000000}"/>
    <cellStyle name="一般 2 2 30 2 2 30 2 4 3 4" xfId="63" xr:uid="{00000000-0005-0000-0000-00000E000000}"/>
    <cellStyle name="一般 2 2 30 2 2 30 2 4 4" xfId="51" xr:uid="{00000000-0005-0000-0000-00000F000000}"/>
    <cellStyle name="一般 2 2 30 2 2 30 2 4 5" xfId="62" xr:uid="{00000000-0005-0000-0000-000010000000}"/>
    <cellStyle name="一般 2 2 30 2 2 30 2 5" xfId="35" xr:uid="{00000000-0005-0000-0000-000011000000}"/>
    <cellStyle name="一般 2 2 30 2 2 30 2 6" xfId="47" xr:uid="{00000000-0005-0000-0000-000012000000}"/>
    <cellStyle name="一般 2 2 30 2 2 30 2 7" xfId="58" xr:uid="{00000000-0005-0000-0000-000013000000}"/>
    <cellStyle name="一般 2 2 30 2 3 2" xfId="6" xr:uid="{00000000-0005-0000-0000-000014000000}"/>
    <cellStyle name="一般 2 2 30 2 3 2 2" xfId="66" xr:uid="{00000000-0005-0000-0000-000015000000}"/>
    <cellStyle name="一般 2 2 30 3 30" xfId="7" xr:uid="{00000000-0005-0000-0000-000016000000}"/>
    <cellStyle name="一般 2 2 30 3 30 4" xfId="21" xr:uid="{00000000-0005-0000-0000-000017000000}"/>
    <cellStyle name="一般 2 2 30 3 30 4 2" xfId="33" xr:uid="{00000000-0005-0000-0000-000018000000}"/>
    <cellStyle name="一般 2 2 30 3 30 4 3" xfId="45" xr:uid="{00000000-0005-0000-0000-000019000000}"/>
    <cellStyle name="一般 2 2 30 3 30 4 4" xfId="56" xr:uid="{00000000-0005-0000-0000-00001A000000}"/>
    <cellStyle name="一般 2 2 4" xfId="16" xr:uid="{00000000-0005-0000-0000-00001B000000}"/>
    <cellStyle name="一般 2 2 4 2" xfId="19" xr:uid="{00000000-0005-0000-0000-00001C000000}"/>
    <cellStyle name="一般 2 2 4 3" xfId="43" xr:uid="{00000000-0005-0000-0000-00001D000000}"/>
    <cellStyle name="一般 2 4 2" xfId="17" xr:uid="{00000000-0005-0000-0000-00001E000000}"/>
    <cellStyle name="一般 3" xfId="11" xr:uid="{00000000-0005-0000-0000-00001F000000}"/>
    <cellStyle name="一般 3 3 3 2" xfId="27" xr:uid="{00000000-0005-0000-0000-000020000000}"/>
    <cellStyle name="一般 3 3 3 2 2" xfId="37" xr:uid="{00000000-0005-0000-0000-000021000000}"/>
    <cellStyle name="一般 3 3 3 2 3" xfId="49" xr:uid="{00000000-0005-0000-0000-000022000000}"/>
    <cellStyle name="一般 3 3 3 2 4" xfId="60" xr:uid="{00000000-0005-0000-0000-000023000000}"/>
    <cellStyle name="一般 4" xfId="5" xr:uid="{00000000-0005-0000-0000-000024000000}"/>
    <cellStyle name="一般 5" xfId="15" xr:uid="{00000000-0005-0000-0000-000025000000}"/>
    <cellStyle name="一般 5 2" xfId="26" xr:uid="{00000000-0005-0000-0000-000026000000}"/>
    <cellStyle name="一般 5 3" xfId="36" xr:uid="{00000000-0005-0000-0000-000027000000}"/>
    <cellStyle name="一般 5 4" xfId="48" xr:uid="{00000000-0005-0000-0000-000028000000}"/>
    <cellStyle name="一般 5 5" xfId="59" xr:uid="{00000000-0005-0000-0000-000029000000}"/>
    <cellStyle name="一般 6" xfId="18" xr:uid="{00000000-0005-0000-0000-00002A000000}"/>
    <cellStyle name="一般 7" xfId="20" xr:uid="{00000000-0005-0000-0000-00002B000000}"/>
    <cellStyle name="一般 8" xfId="32" xr:uid="{00000000-0005-0000-0000-00002C000000}"/>
    <cellStyle name="一般 9" xfId="42" xr:uid="{00000000-0005-0000-0000-00002D000000}"/>
    <cellStyle name="千分位" xfId="54" builtinId="3"/>
    <cellStyle name="千分位 2" xfId="2" xr:uid="{00000000-0005-0000-0000-00002F000000}"/>
    <cellStyle name="千分位 2 2" xfId="24" xr:uid="{00000000-0005-0000-0000-000030000000}"/>
    <cellStyle name="千分位 2 3" xfId="34" xr:uid="{00000000-0005-0000-0000-000031000000}"/>
    <cellStyle name="千分位 2 4" xfId="46" xr:uid="{00000000-0005-0000-0000-000032000000}"/>
    <cellStyle name="千分位 2 5" xfId="57" xr:uid="{00000000-0005-0000-0000-000033000000}"/>
    <cellStyle name="百分比" xfId="14" builtinId="5"/>
    <cellStyle name="百分比 2" xfId="8" xr:uid="{00000000-0005-0000-0000-000035000000}"/>
    <cellStyle name="百分比 2 2" xfId="10" xr:uid="{00000000-0005-0000-0000-000036000000}"/>
    <cellStyle name="百分比 2 2 2" xfId="23" xr:uid="{00000000-0005-0000-0000-000037000000}"/>
    <cellStyle name="百分比 2 3" xfId="22" xr:uid="{00000000-0005-0000-0000-000038000000}"/>
    <cellStyle name="百分比 3" xfId="3" xr:uid="{00000000-0005-0000-0000-000039000000}"/>
    <cellStyle name="百分比 4" xfId="13" xr:uid="{00000000-0005-0000-0000-00003A000000}"/>
    <cellStyle name="百分比 5" xfId="31" xr:uid="{00000000-0005-0000-0000-00003B000000}"/>
    <cellStyle name="百分比 6" xfId="41" xr:uid="{00000000-0005-0000-0000-00003C000000}"/>
    <cellStyle name="百分比 6 4" xfId="28" xr:uid="{00000000-0005-0000-0000-00003D000000}"/>
    <cellStyle name="百分比 6 4 2" xfId="38" xr:uid="{00000000-0005-0000-0000-00003E000000}"/>
    <cellStyle name="百分比 6 4 3" xfId="50" xr:uid="{00000000-0005-0000-0000-00003F000000}"/>
    <cellStyle name="百分比 6 4 4" xfId="61" xr:uid="{00000000-0005-0000-0000-000040000000}"/>
    <cellStyle name="百分比 7" xfId="53" xr:uid="{00000000-0005-0000-0000-000041000000}"/>
    <cellStyle name="百分比 8" xfId="64" xr:uid="{00000000-0005-0000-0000-000042000000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6"/>
  <sheetViews>
    <sheetView view="pageBreakPreview" zoomScaleNormal="60" zoomScaleSheetLayoutView="100" workbookViewId="0">
      <selection activeCell="G21" sqref="G2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357" t="s">
        <v>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122"/>
    </row>
    <row r="2" spans="1:12" s="123" customFormat="1" ht="15.7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</row>
    <row r="3" spans="1:12" ht="21.6" customHeight="1">
      <c r="A3" s="137" t="s">
        <v>1</v>
      </c>
      <c r="B3" s="138">
        <v>10</v>
      </c>
      <c r="C3" s="137" t="s">
        <v>2</v>
      </c>
      <c r="D3" s="358" t="s">
        <v>3</v>
      </c>
      <c r="E3" s="359"/>
      <c r="F3" s="123"/>
      <c r="G3" s="132"/>
      <c r="H3" s="123"/>
      <c r="I3" s="123"/>
      <c r="J3" s="123"/>
      <c r="K3" s="123"/>
    </row>
    <row r="4" spans="1:12" ht="15.75" customHeight="1">
      <c r="A4" s="133" t="s">
        <v>4</v>
      </c>
      <c r="E4" s="125" t="s">
        <v>5</v>
      </c>
      <c r="G4" s="134" t="s">
        <v>6</v>
      </c>
      <c r="L4" s="122"/>
    </row>
    <row r="5" spans="1:12" s="126" customFormat="1" ht="15.75" customHeight="1">
      <c r="A5" s="145" t="s">
        <v>7</v>
      </c>
      <c r="B5" s="139" t="s">
        <v>8</v>
      </c>
      <c r="C5" s="139" t="s">
        <v>9</v>
      </c>
      <c r="D5" s="139" t="s">
        <v>10</v>
      </c>
      <c r="E5" s="139" t="s">
        <v>11</v>
      </c>
      <c r="G5" s="145" t="s">
        <v>7</v>
      </c>
      <c r="H5" s="139" t="s">
        <v>12</v>
      </c>
      <c r="I5" s="139" t="s">
        <v>8</v>
      </c>
      <c r="J5" s="139" t="s">
        <v>13</v>
      </c>
      <c r="K5" s="139" t="s">
        <v>11</v>
      </c>
      <c r="L5" s="127" t="s">
        <v>14</v>
      </c>
    </row>
    <row r="6" spans="1:12" ht="18" customHeight="1">
      <c r="A6" s="129" t="s">
        <v>15</v>
      </c>
      <c r="B6" s="140">
        <v>79114.25</v>
      </c>
      <c r="C6" s="140">
        <v>75757</v>
      </c>
      <c r="D6" s="140">
        <f t="shared" ref="D6:D11" si="0">B6-C6</f>
        <v>3357.25</v>
      </c>
      <c r="E6" s="130"/>
      <c r="G6" s="129" t="s">
        <v>16</v>
      </c>
      <c r="H6" s="142">
        <v>115.3</v>
      </c>
      <c r="I6" s="142">
        <v>103.9</v>
      </c>
      <c r="J6" s="142">
        <v>99.6</v>
      </c>
      <c r="K6" s="143"/>
      <c r="L6" s="124" t="s">
        <v>17</v>
      </c>
    </row>
    <row r="7" spans="1:12" ht="18" customHeight="1">
      <c r="A7" s="129" t="s">
        <v>18</v>
      </c>
      <c r="B7" s="140">
        <v>1644667</v>
      </c>
      <c r="C7" s="140">
        <v>1533362</v>
      </c>
      <c r="D7" s="140">
        <f t="shared" si="0"/>
        <v>111305</v>
      </c>
      <c r="E7" s="130"/>
      <c r="G7" s="129" t="s">
        <v>19</v>
      </c>
      <c r="H7" s="141">
        <v>0.8</v>
      </c>
      <c r="I7" s="141">
        <f>I6/H6</f>
        <v>0.90112749349522991</v>
      </c>
      <c r="J7" s="141">
        <f>J6/H6</f>
        <v>0.8638334778837814</v>
      </c>
      <c r="K7" s="141"/>
      <c r="L7" s="124" t="s">
        <v>20</v>
      </c>
    </row>
    <row r="8" spans="1:12" ht="18" customHeight="1">
      <c r="A8" s="129" t="s">
        <v>21</v>
      </c>
      <c r="B8" s="140">
        <v>49890.5</v>
      </c>
      <c r="C8" s="140">
        <v>47758</v>
      </c>
      <c r="D8" s="140">
        <f>B8-C8</f>
        <v>2132.5</v>
      </c>
      <c r="E8" s="130"/>
      <c r="G8" s="129" t="s">
        <v>22</v>
      </c>
      <c r="H8" s="141">
        <v>2.5000000000000001E-3</v>
      </c>
      <c r="I8" s="141">
        <v>2.7673394986445807E-3</v>
      </c>
      <c r="J8" s="141">
        <v>7.0000000000000001E-3</v>
      </c>
      <c r="K8" s="141"/>
      <c r="L8" s="124" t="s">
        <v>23</v>
      </c>
    </row>
    <row r="9" spans="1:12" ht="18" customHeight="1">
      <c r="A9" s="129" t="s">
        <v>24</v>
      </c>
      <c r="B9" s="141">
        <v>0.63039999999999996</v>
      </c>
      <c r="C9" s="141">
        <v>0.62809999999999999</v>
      </c>
      <c r="D9" s="141">
        <f t="shared" si="0"/>
        <v>2.2999999999999687E-3</v>
      </c>
      <c r="E9" s="141"/>
      <c r="G9" s="129" t="s">
        <v>25</v>
      </c>
      <c r="H9" s="141">
        <v>2.5000000000000001E-3</v>
      </c>
      <c r="I9" s="141">
        <v>3.5214640335229602E-3</v>
      </c>
      <c r="J9" s="141">
        <v>6.1999999999999998E-3</v>
      </c>
      <c r="K9" s="141"/>
      <c r="L9" s="124" t="s">
        <v>26</v>
      </c>
    </row>
    <row r="10" spans="1:12" ht="18" customHeight="1">
      <c r="A10" s="129" t="s">
        <v>27</v>
      </c>
      <c r="B10" s="140">
        <f>B6*B11</f>
        <v>10363.96675</v>
      </c>
      <c r="C10" s="140">
        <f>C6*C11</f>
        <v>9772.6530000000002</v>
      </c>
      <c r="D10" s="140">
        <f t="shared" si="0"/>
        <v>591.31374999999935</v>
      </c>
      <c r="E10" s="130"/>
      <c r="G10" s="129" t="s">
        <v>28</v>
      </c>
      <c r="H10" s="141">
        <v>1</v>
      </c>
      <c r="I10" s="141">
        <v>0.42899999999999999</v>
      </c>
      <c r="J10" s="141">
        <v>0.42899999999999999</v>
      </c>
      <c r="K10" s="141"/>
      <c r="L10" s="124" t="s">
        <v>29</v>
      </c>
    </row>
    <row r="11" spans="1:12" ht="18" customHeight="1">
      <c r="A11" s="129" t="s">
        <v>30</v>
      </c>
      <c r="B11" s="141">
        <v>0.13100000000000001</v>
      </c>
      <c r="C11" s="141">
        <v>0.129</v>
      </c>
      <c r="D11" s="141">
        <f t="shared" si="0"/>
        <v>2.0000000000000018E-3</v>
      </c>
      <c r="E11" s="141"/>
      <c r="G11" s="129" t="s">
        <v>31</v>
      </c>
      <c r="H11" s="141">
        <v>1</v>
      </c>
      <c r="I11" s="141">
        <v>0.9</v>
      </c>
      <c r="J11" s="141">
        <v>0.45700000000000002</v>
      </c>
      <c r="K11" s="141"/>
      <c r="L11" s="124" t="s">
        <v>32</v>
      </c>
    </row>
    <row r="12" spans="1:12" ht="9.6" customHeight="1">
      <c r="L12" s="122"/>
    </row>
    <row r="13" spans="1:12" ht="15.75" customHeight="1">
      <c r="A13" s="133" t="s">
        <v>33</v>
      </c>
      <c r="G13" s="133" t="s">
        <v>34</v>
      </c>
      <c r="L13" s="122"/>
    </row>
    <row r="14" spans="1:12" s="128" customFormat="1" ht="12">
      <c r="A14" s="144"/>
      <c r="B14" s="144" t="s">
        <v>8</v>
      </c>
      <c r="C14" s="144" t="s">
        <v>35</v>
      </c>
      <c r="D14" s="144" t="s">
        <v>13</v>
      </c>
      <c r="E14" s="144" t="s">
        <v>36</v>
      </c>
      <c r="G14" s="144"/>
      <c r="H14" s="144" t="s">
        <v>8</v>
      </c>
      <c r="I14" s="144" t="s">
        <v>35</v>
      </c>
      <c r="J14" s="144" t="s">
        <v>13</v>
      </c>
      <c r="K14" s="144" t="s">
        <v>36</v>
      </c>
    </row>
    <row r="15" spans="1:12" ht="18" customHeight="1">
      <c r="A15" s="129" t="s">
        <v>37</v>
      </c>
      <c r="B15" s="140">
        <v>72494.399999999994</v>
      </c>
      <c r="C15" s="141">
        <f>IFERROR(B15/$B$6,"")</f>
        <v>0.91632544073918409</v>
      </c>
      <c r="D15" s="265">
        <v>0.90839999999999999</v>
      </c>
      <c r="E15" s="141">
        <f>IFERROR(C15-D15,"")</f>
        <v>7.9254407391841086E-3</v>
      </c>
      <c r="G15" s="129" t="s">
        <v>37</v>
      </c>
      <c r="H15" s="140">
        <v>1404740</v>
      </c>
      <c r="I15" s="141">
        <f t="shared" ref="I15:I17" si="1">IFERROR(H15/$B$7,"")</f>
        <v>0.85411818927478933</v>
      </c>
      <c r="J15" s="141">
        <v>0.83640000000000003</v>
      </c>
      <c r="K15" s="141">
        <f t="shared" ref="K15:K17" si="2">IFERROR(I15-J15,"")</f>
        <v>1.7718189274789298E-2</v>
      </c>
      <c r="L15" s="122"/>
    </row>
    <row r="16" spans="1:12" ht="18" customHeight="1">
      <c r="A16" s="129" t="s">
        <v>38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38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39</v>
      </c>
      <c r="B17" s="140">
        <v>6619.8</v>
      </c>
      <c r="C17" s="141">
        <f t="shared" si="3"/>
        <v>8.367392726341967E-2</v>
      </c>
      <c r="D17" s="141">
        <v>9.1590000000000005E-2</v>
      </c>
      <c r="E17" s="141">
        <f t="shared" si="4"/>
        <v>-7.9160727365803346E-3</v>
      </c>
      <c r="G17" s="129" t="s">
        <v>39</v>
      </c>
      <c r="H17" s="140">
        <v>239927</v>
      </c>
      <c r="I17" s="141">
        <f t="shared" si="1"/>
        <v>0.14588181072521064</v>
      </c>
      <c r="J17" s="141">
        <v>0.16356000000000001</v>
      </c>
      <c r="K17" s="141">
        <f t="shared" si="2"/>
        <v>-1.7678189274789369E-2</v>
      </c>
      <c r="L17" s="122"/>
    </row>
    <row r="18" spans="1:17" ht="15.75" customHeight="1">
      <c r="C18" s="135">
        <f>SUM(C15:C17)</f>
        <v>0.99999936800260381</v>
      </c>
      <c r="D18" s="135">
        <f>SUM(D15:D17)</f>
        <v>0.99998999999999993</v>
      </c>
      <c r="I18" s="135">
        <f>SUM(I15:I17)</f>
        <v>1</v>
      </c>
      <c r="J18" s="135">
        <f>SUM(J15:J17)</f>
        <v>0.99996000000000007</v>
      </c>
      <c r="L18" s="122"/>
    </row>
    <row r="19" spans="1:17" ht="9.6" customHeight="1">
      <c r="A19" s="136"/>
      <c r="L19" s="122"/>
    </row>
    <row r="20" spans="1:17" ht="15.75" customHeight="1">
      <c r="A20" s="133" t="s">
        <v>40</v>
      </c>
      <c r="L20" s="122"/>
    </row>
    <row r="21" spans="1:17" ht="15.75" customHeight="1">
      <c r="A21" s="129" t="s">
        <v>41</v>
      </c>
      <c r="B21" s="129" t="s">
        <v>8</v>
      </c>
      <c r="C21" s="129" t="s">
        <v>9</v>
      </c>
      <c r="D21" s="129" t="s">
        <v>10</v>
      </c>
      <c r="E21" s="129" t="s">
        <v>11</v>
      </c>
      <c r="L21" s="122"/>
    </row>
    <row r="22" spans="1:17" ht="18" customHeight="1">
      <c r="A22" s="129" t="s">
        <v>37</v>
      </c>
      <c r="B22" s="224">
        <v>101.5</v>
      </c>
      <c r="C22" s="130">
        <v>95.2</v>
      </c>
      <c r="D22" s="356">
        <f t="shared" ref="D22:D24" si="5">B22-C22</f>
        <v>6.2999999999999972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38</v>
      </c>
      <c r="B23" s="130"/>
      <c r="C23" s="130"/>
      <c r="D23" s="356">
        <f t="shared" si="5"/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39</v>
      </c>
      <c r="B24" s="267">
        <v>111.7</v>
      </c>
      <c r="C24" s="130">
        <v>113</v>
      </c>
      <c r="D24" s="356">
        <f t="shared" si="5"/>
        <v>-1.2999999999999972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I5" sqref="I5:I35"/>
    </sheetView>
  </sheetViews>
  <sheetFormatPr defaultColWidth="8.85546875" defaultRowHeight="12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64" t="s">
        <v>42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</row>
    <row r="3" spans="2:23" s="82" customFormat="1" ht="23.45" customHeight="1">
      <c r="B3" s="368" t="s">
        <v>43</v>
      </c>
      <c r="C3" s="369" t="s">
        <v>44</v>
      </c>
      <c r="D3" s="370" t="s">
        <v>45</v>
      </c>
      <c r="E3" s="370"/>
      <c r="F3" s="367" t="s">
        <v>46</v>
      </c>
      <c r="G3" s="367"/>
      <c r="H3" s="367"/>
      <c r="I3" s="365" t="s">
        <v>47</v>
      </c>
      <c r="J3" s="365"/>
      <c r="K3" s="365"/>
      <c r="L3" s="366" t="s">
        <v>48</v>
      </c>
      <c r="M3" s="366"/>
      <c r="N3" s="366"/>
      <c r="O3" s="372" t="s">
        <v>49</v>
      </c>
      <c r="P3" s="372"/>
      <c r="Q3" s="372"/>
      <c r="R3" s="371" t="s">
        <v>50</v>
      </c>
      <c r="S3" s="371"/>
      <c r="T3" s="371"/>
      <c r="U3" s="372" t="s">
        <v>51</v>
      </c>
      <c r="V3" s="372"/>
      <c r="W3" s="372"/>
    </row>
    <row r="4" spans="2:23" s="82" customFormat="1" ht="23.45" customHeight="1">
      <c r="B4" s="368"/>
      <c r="C4" s="369"/>
      <c r="D4" s="370"/>
      <c r="E4" s="370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 ht="14.25">
      <c r="B5" s="376">
        <v>45937</v>
      </c>
      <c r="C5" s="377" t="s">
        <v>55</v>
      </c>
      <c r="D5" s="352">
        <v>45931</v>
      </c>
      <c r="E5" s="353" t="s">
        <v>56</v>
      </c>
      <c r="F5" s="87">
        <v>2824752.9699999997</v>
      </c>
      <c r="G5" s="379">
        <f>SUM(F5:F10)</f>
        <v>13981867.529999999</v>
      </c>
      <c r="H5" s="360">
        <f>SUM(F5:F35)</f>
        <v>79114253.51000002</v>
      </c>
      <c r="I5" s="235">
        <v>59618</v>
      </c>
      <c r="J5" s="361">
        <f>SUM(I5:I10)</f>
        <v>289645</v>
      </c>
      <c r="K5" s="373">
        <f>SUM(I5:I35)</f>
        <v>1644667</v>
      </c>
      <c r="L5" s="87">
        <v>1783002</v>
      </c>
      <c r="M5" s="360">
        <f>SUM(L5:L10)</f>
        <v>8823754</v>
      </c>
      <c r="N5" s="362">
        <f>SUM(L5:L35)</f>
        <v>49890506</v>
      </c>
      <c r="O5" s="90">
        <f>L5/F5</f>
        <v>0.63120634580658574</v>
      </c>
      <c r="P5" s="363">
        <f>M5/G5</f>
        <v>0.63108550993402246</v>
      </c>
      <c r="Q5" s="363">
        <f>N5/H5</f>
        <v>0.63061336973487148</v>
      </c>
      <c r="S5" s="257">
        <f>SUM(R5)</f>
        <v>0</v>
      </c>
      <c r="T5" s="374">
        <f>SUM(R5:R34)</f>
        <v>0</v>
      </c>
      <c r="U5" s="90">
        <f t="shared" ref="U5:U35" si="0">R5/F5</f>
        <v>0</v>
      </c>
      <c r="V5" s="257">
        <f>SUM(U5)</f>
        <v>0</v>
      </c>
      <c r="W5" s="375">
        <f>T5/H5</f>
        <v>0</v>
      </c>
    </row>
    <row r="6" spans="2:23" ht="14.25">
      <c r="B6" s="376"/>
      <c r="C6" s="378"/>
      <c r="D6" s="352">
        <v>45932</v>
      </c>
      <c r="E6" s="353" t="s">
        <v>57</v>
      </c>
      <c r="F6" s="87">
        <v>2491478.86</v>
      </c>
      <c r="G6" s="379"/>
      <c r="H6" s="360"/>
      <c r="I6" s="235">
        <v>51111</v>
      </c>
      <c r="J6" s="361"/>
      <c r="K6" s="373"/>
      <c r="L6" s="87">
        <v>1571350</v>
      </c>
      <c r="M6" s="360"/>
      <c r="N6" s="362"/>
      <c r="O6" s="90">
        <f>L6/F6</f>
        <v>0.63068967801717579</v>
      </c>
      <c r="P6" s="363"/>
      <c r="Q6" s="363"/>
      <c r="S6" s="374">
        <f>SUM(R6:R12)</f>
        <v>0</v>
      </c>
      <c r="T6" s="374"/>
      <c r="U6" s="90">
        <f t="shared" si="0"/>
        <v>0</v>
      </c>
      <c r="V6" s="374">
        <f>SUM(U6:U12)</f>
        <v>0</v>
      </c>
      <c r="W6" s="374"/>
    </row>
    <row r="7" spans="2:23" ht="14.25">
      <c r="B7" s="376"/>
      <c r="C7" s="378"/>
      <c r="D7" s="352">
        <v>45933</v>
      </c>
      <c r="E7" s="353" t="s">
        <v>58</v>
      </c>
      <c r="F7" s="87">
        <v>1927390.0100000002</v>
      </c>
      <c r="G7" s="379"/>
      <c r="H7" s="360"/>
      <c r="I7" s="235">
        <v>39570</v>
      </c>
      <c r="J7" s="361"/>
      <c r="K7" s="373"/>
      <c r="L7" s="87">
        <v>1216995</v>
      </c>
      <c r="M7" s="360"/>
      <c r="N7" s="362"/>
      <c r="O7" s="90">
        <f t="shared" ref="O7:O35" si="1">L7/F7</f>
        <v>0.63142124514799158</v>
      </c>
      <c r="P7" s="363"/>
      <c r="Q7" s="363"/>
      <c r="S7" s="374"/>
      <c r="T7" s="374"/>
      <c r="U7" s="90">
        <f t="shared" si="0"/>
        <v>0</v>
      </c>
      <c r="V7" s="374"/>
      <c r="W7" s="374"/>
    </row>
    <row r="8" spans="2:23" ht="14.25">
      <c r="B8" s="376"/>
      <c r="C8" s="378"/>
      <c r="D8" s="352">
        <v>45934</v>
      </c>
      <c r="E8" s="353" t="s">
        <v>59</v>
      </c>
      <c r="F8" s="87">
        <v>1927172.27</v>
      </c>
      <c r="G8" s="379"/>
      <c r="H8" s="360"/>
      <c r="I8" s="235">
        <v>39717</v>
      </c>
      <c r="J8" s="361"/>
      <c r="K8" s="373"/>
      <c r="L8" s="87">
        <v>1216147</v>
      </c>
      <c r="M8" s="360"/>
      <c r="N8" s="362"/>
      <c r="O8" s="90">
        <f t="shared" si="1"/>
        <v>0.63105256283082567</v>
      </c>
      <c r="P8" s="363"/>
      <c r="Q8" s="363"/>
      <c r="S8" s="374"/>
      <c r="T8" s="374"/>
      <c r="U8" s="90">
        <f t="shared" si="0"/>
        <v>0</v>
      </c>
      <c r="V8" s="374"/>
      <c r="W8" s="374"/>
    </row>
    <row r="9" spans="2:23" ht="14.25">
      <c r="B9" s="376"/>
      <c r="C9" s="378"/>
      <c r="D9" s="352">
        <v>45935</v>
      </c>
      <c r="E9" s="353" t="s">
        <v>60</v>
      </c>
      <c r="F9" s="87">
        <v>2140557.92</v>
      </c>
      <c r="G9" s="379"/>
      <c r="H9" s="360"/>
      <c r="I9" s="235">
        <v>44134</v>
      </c>
      <c r="J9" s="361"/>
      <c r="K9" s="373"/>
      <c r="L9" s="87">
        <v>1350695</v>
      </c>
      <c r="M9" s="360"/>
      <c r="N9" s="362"/>
      <c r="O9" s="90">
        <f t="shared" si="1"/>
        <v>0.63100137930395273</v>
      </c>
      <c r="P9" s="363"/>
      <c r="Q9" s="363"/>
      <c r="S9" s="374"/>
      <c r="T9" s="374"/>
      <c r="U9" s="90">
        <f t="shared" si="0"/>
        <v>0</v>
      </c>
      <c r="V9" s="374"/>
      <c r="W9" s="374"/>
    </row>
    <row r="10" spans="2:23">
      <c r="B10" s="376"/>
      <c r="C10" s="378"/>
      <c r="D10" s="352">
        <v>45936</v>
      </c>
      <c r="E10" s="352" t="s">
        <v>61</v>
      </c>
      <c r="F10" s="87">
        <v>2670515.5</v>
      </c>
      <c r="G10" s="379"/>
      <c r="H10" s="360"/>
      <c r="I10" s="235">
        <v>55495</v>
      </c>
      <c r="J10" s="361"/>
      <c r="K10" s="373"/>
      <c r="L10" s="87">
        <v>1685565</v>
      </c>
      <c r="M10" s="360"/>
      <c r="N10" s="362"/>
      <c r="O10" s="90">
        <f t="shared" si="1"/>
        <v>0.63117589094689774</v>
      </c>
      <c r="P10" s="363"/>
      <c r="Q10" s="363"/>
      <c r="S10" s="374"/>
      <c r="T10" s="374"/>
      <c r="U10" s="90">
        <f t="shared" si="0"/>
        <v>0</v>
      </c>
      <c r="V10" s="374"/>
      <c r="W10" s="374"/>
    </row>
    <row r="11" spans="2:23" ht="14.25">
      <c r="B11" s="376">
        <v>45944</v>
      </c>
      <c r="C11" s="378"/>
      <c r="D11" s="352">
        <v>45937</v>
      </c>
      <c r="E11" s="353" t="s">
        <v>62</v>
      </c>
      <c r="F11" s="87">
        <v>2439394</v>
      </c>
      <c r="G11" s="379">
        <f>SUM(F11:F17)</f>
        <v>15660761.120000001</v>
      </c>
      <c r="H11" s="360"/>
      <c r="I11" s="235">
        <v>51247</v>
      </c>
      <c r="J11" s="361">
        <f>SUM(I11:I17)</f>
        <v>326372</v>
      </c>
      <c r="K11" s="373"/>
      <c r="L11" s="87">
        <v>1538350</v>
      </c>
      <c r="M11" s="360">
        <f>SUM(L11:L17)</f>
        <v>9876450</v>
      </c>
      <c r="N11" s="362"/>
      <c r="O11" s="90">
        <f t="shared" si="1"/>
        <v>0.63062793464278422</v>
      </c>
      <c r="P11" s="363">
        <f>M11/G11</f>
        <v>0.63064942529434354</v>
      </c>
      <c r="Q11" s="363"/>
      <c r="S11" s="374"/>
      <c r="T11" s="374"/>
      <c r="U11" s="90">
        <f t="shared" si="0"/>
        <v>0</v>
      </c>
      <c r="V11" s="374"/>
      <c r="W11" s="374"/>
    </row>
    <row r="12" spans="2:23" ht="14.25">
      <c r="B12" s="376"/>
      <c r="C12" s="378"/>
      <c r="D12" s="352">
        <v>45938</v>
      </c>
      <c r="E12" s="353" t="s">
        <v>56</v>
      </c>
      <c r="F12" s="87">
        <v>2377431.23</v>
      </c>
      <c r="G12" s="379"/>
      <c r="H12" s="360"/>
      <c r="I12" s="235">
        <v>49561</v>
      </c>
      <c r="J12" s="361"/>
      <c r="K12" s="373"/>
      <c r="L12" s="87">
        <v>1500350</v>
      </c>
      <c r="M12" s="360"/>
      <c r="N12" s="362"/>
      <c r="O12" s="90">
        <f t="shared" si="1"/>
        <v>0.63108029417111677</v>
      </c>
      <c r="P12" s="363"/>
      <c r="Q12" s="363"/>
      <c r="S12" s="374"/>
      <c r="T12" s="374"/>
      <c r="U12" s="90">
        <f t="shared" si="0"/>
        <v>0</v>
      </c>
      <c r="V12" s="374"/>
      <c r="W12" s="374"/>
    </row>
    <row r="13" spans="2:23" ht="14.25">
      <c r="B13" s="376"/>
      <c r="C13" s="378"/>
      <c r="D13" s="352">
        <v>45939</v>
      </c>
      <c r="E13" s="353" t="s">
        <v>57</v>
      </c>
      <c r="F13" s="87">
        <v>1944054.05</v>
      </c>
      <c r="G13" s="379"/>
      <c r="H13" s="360"/>
      <c r="I13" s="235">
        <v>40503</v>
      </c>
      <c r="J13" s="361"/>
      <c r="K13" s="373"/>
      <c r="L13" s="87">
        <v>1226350</v>
      </c>
      <c r="M13" s="360"/>
      <c r="N13" s="362"/>
      <c r="O13" s="90">
        <f t="shared" si="1"/>
        <v>0.63082093833759401</v>
      </c>
      <c r="P13" s="363"/>
      <c r="Q13" s="363"/>
      <c r="S13" s="374">
        <f>SUM(R13:R19)</f>
        <v>0</v>
      </c>
      <c r="T13" s="374"/>
      <c r="U13" s="90">
        <f t="shared" si="0"/>
        <v>0</v>
      </c>
      <c r="V13" s="374">
        <f>SUM(U13:U19)</f>
        <v>0</v>
      </c>
      <c r="W13" s="374"/>
    </row>
    <row r="14" spans="2:23" ht="14.25">
      <c r="B14" s="376"/>
      <c r="C14" s="378"/>
      <c r="D14" s="352">
        <v>45940</v>
      </c>
      <c r="E14" s="353" t="s">
        <v>58</v>
      </c>
      <c r="F14" s="87">
        <v>1880152.1</v>
      </c>
      <c r="G14" s="379"/>
      <c r="H14" s="360"/>
      <c r="I14" s="235">
        <v>39047</v>
      </c>
      <c r="J14" s="361"/>
      <c r="K14" s="373"/>
      <c r="L14" s="87">
        <v>1186350</v>
      </c>
      <c r="M14" s="360"/>
      <c r="N14" s="362"/>
      <c r="O14" s="90">
        <f t="shared" si="1"/>
        <v>0.63098618457517341</v>
      </c>
      <c r="P14" s="363"/>
      <c r="Q14" s="363"/>
      <c r="S14" s="374"/>
      <c r="T14" s="374"/>
      <c r="U14" s="90">
        <f t="shared" si="0"/>
        <v>0</v>
      </c>
      <c r="V14" s="374"/>
      <c r="W14" s="374"/>
    </row>
    <row r="15" spans="2:23" ht="14.25">
      <c r="B15" s="376"/>
      <c r="C15" s="378"/>
      <c r="D15" s="352">
        <v>45941</v>
      </c>
      <c r="E15" s="353" t="s">
        <v>59</v>
      </c>
      <c r="F15" s="87">
        <v>1925306.23</v>
      </c>
      <c r="G15" s="379"/>
      <c r="H15" s="360"/>
      <c r="I15" s="235">
        <v>40125</v>
      </c>
      <c r="J15" s="361"/>
      <c r="K15" s="373"/>
      <c r="L15" s="87">
        <v>1214350</v>
      </c>
      <c r="M15" s="360"/>
      <c r="N15" s="362"/>
      <c r="O15" s="90">
        <f t="shared" si="1"/>
        <v>0.63073083184278689</v>
      </c>
      <c r="P15" s="363"/>
      <c r="Q15" s="363"/>
      <c r="S15" s="374"/>
      <c r="T15" s="374"/>
      <c r="U15" s="90">
        <f t="shared" si="0"/>
        <v>0</v>
      </c>
      <c r="V15" s="374"/>
      <c r="W15" s="374"/>
    </row>
    <row r="16" spans="2:23" ht="14.25">
      <c r="B16" s="376"/>
      <c r="C16" s="378"/>
      <c r="D16" s="352">
        <v>45942</v>
      </c>
      <c r="E16" s="353" t="s">
        <v>60</v>
      </c>
      <c r="F16" s="87">
        <v>2526042.6900000004</v>
      </c>
      <c r="G16" s="379"/>
      <c r="H16" s="360"/>
      <c r="I16" s="235">
        <v>52506</v>
      </c>
      <c r="J16" s="361"/>
      <c r="K16" s="373"/>
      <c r="L16" s="87">
        <v>1591350</v>
      </c>
      <c r="M16" s="360"/>
      <c r="N16" s="362"/>
      <c r="O16" s="90">
        <f t="shared" si="1"/>
        <v>0.629977476746444</v>
      </c>
      <c r="P16" s="363"/>
      <c r="Q16" s="363"/>
      <c r="S16" s="374"/>
      <c r="T16" s="374"/>
      <c r="U16" s="90">
        <f t="shared" si="0"/>
        <v>0</v>
      </c>
      <c r="V16" s="374"/>
      <c r="W16" s="374"/>
    </row>
    <row r="17" spans="2:23">
      <c r="B17" s="376"/>
      <c r="C17" s="378"/>
      <c r="D17" s="352">
        <v>45943</v>
      </c>
      <c r="E17" s="352" t="s">
        <v>61</v>
      </c>
      <c r="F17" s="87">
        <v>2568380.8199999998</v>
      </c>
      <c r="G17" s="379"/>
      <c r="H17" s="360"/>
      <c r="I17" s="235">
        <v>53383</v>
      </c>
      <c r="J17" s="361"/>
      <c r="K17" s="373"/>
      <c r="L17" s="87">
        <v>1619350</v>
      </c>
      <c r="M17" s="360"/>
      <c r="N17" s="362"/>
      <c r="O17" s="90">
        <f t="shared" si="1"/>
        <v>0.6304945074305609</v>
      </c>
      <c r="P17" s="363"/>
      <c r="Q17" s="363"/>
      <c r="S17" s="374"/>
      <c r="T17" s="374"/>
      <c r="U17" s="90">
        <f t="shared" si="0"/>
        <v>0</v>
      </c>
      <c r="V17" s="374"/>
      <c r="W17" s="374"/>
    </row>
    <row r="18" spans="2:23" ht="14.25">
      <c r="B18" s="376">
        <v>45951</v>
      </c>
      <c r="C18" s="378"/>
      <c r="D18" s="352">
        <v>45944</v>
      </c>
      <c r="E18" s="353" t="s">
        <v>62</v>
      </c>
      <c r="F18" s="87">
        <v>3635258.7600000002</v>
      </c>
      <c r="G18" s="379">
        <f>SUM(F18:F24)</f>
        <v>20111969.470000003</v>
      </c>
      <c r="H18" s="360"/>
      <c r="I18" s="235">
        <v>74492</v>
      </c>
      <c r="J18" s="361">
        <f>SUM(I18:I24)</f>
        <v>416530</v>
      </c>
      <c r="K18" s="373"/>
      <c r="L18" s="87">
        <v>2292333</v>
      </c>
      <c r="M18" s="360">
        <f>SUM(L18:L24)</f>
        <v>12674925</v>
      </c>
      <c r="N18" s="362"/>
      <c r="O18" s="90">
        <f t="shared" si="1"/>
        <v>0.63058317202157022</v>
      </c>
      <c r="P18" s="363">
        <f>M18/G18</f>
        <v>0.6302179912766146</v>
      </c>
      <c r="Q18" s="363"/>
      <c r="S18" s="374"/>
      <c r="T18" s="374"/>
      <c r="U18" s="90">
        <f t="shared" si="0"/>
        <v>0</v>
      </c>
      <c r="V18" s="374"/>
      <c r="W18" s="374"/>
    </row>
    <row r="19" spans="2:23" ht="14.25">
      <c r="B19" s="380"/>
      <c r="C19" s="378"/>
      <c r="D19" s="352">
        <v>45945</v>
      </c>
      <c r="E19" s="353" t="s">
        <v>56</v>
      </c>
      <c r="F19" s="87">
        <v>3467625.52</v>
      </c>
      <c r="G19" s="379"/>
      <c r="H19" s="360"/>
      <c r="I19" s="235">
        <v>71308</v>
      </c>
      <c r="J19" s="361"/>
      <c r="K19" s="373"/>
      <c r="L19" s="87">
        <v>2185860</v>
      </c>
      <c r="M19" s="360"/>
      <c r="N19" s="362"/>
      <c r="O19" s="90">
        <f t="shared" si="1"/>
        <v>0.63036218513007136</v>
      </c>
      <c r="P19" s="363"/>
      <c r="Q19" s="363"/>
      <c r="S19" s="374"/>
      <c r="T19" s="374"/>
      <c r="U19" s="90">
        <f t="shared" si="0"/>
        <v>0</v>
      </c>
      <c r="V19" s="374"/>
      <c r="W19" s="374"/>
    </row>
    <row r="20" spans="2:23" ht="14.25">
      <c r="B20" s="380"/>
      <c r="C20" s="378"/>
      <c r="D20" s="352">
        <v>45946</v>
      </c>
      <c r="E20" s="353" t="s">
        <v>57</v>
      </c>
      <c r="F20" s="87">
        <v>3151397.39</v>
      </c>
      <c r="G20" s="379"/>
      <c r="H20" s="360"/>
      <c r="I20" s="235">
        <v>64989</v>
      </c>
      <c r="J20" s="361"/>
      <c r="K20" s="373"/>
      <c r="L20" s="87">
        <v>1983002</v>
      </c>
      <c r="M20" s="360"/>
      <c r="N20" s="362"/>
      <c r="O20" s="90">
        <f t="shared" si="1"/>
        <v>0.62924530124079336</v>
      </c>
      <c r="P20" s="363"/>
      <c r="Q20" s="363"/>
      <c r="S20" s="374">
        <f>SUM(R20:R26)</f>
        <v>0</v>
      </c>
      <c r="T20" s="374"/>
      <c r="U20" s="90">
        <f t="shared" si="0"/>
        <v>0</v>
      </c>
      <c r="V20" s="374">
        <f>SUM(U20:U26)</f>
        <v>0</v>
      </c>
      <c r="W20" s="374"/>
    </row>
    <row r="21" spans="2:23" ht="14.25">
      <c r="B21" s="380"/>
      <c r="C21" s="378"/>
      <c r="D21" s="352">
        <v>45947</v>
      </c>
      <c r="E21" s="353" t="s">
        <v>58</v>
      </c>
      <c r="F21" s="87">
        <v>2276871.2199999997</v>
      </c>
      <c r="G21" s="379"/>
      <c r="H21" s="360"/>
      <c r="I21" s="235">
        <v>47292</v>
      </c>
      <c r="J21" s="361"/>
      <c r="K21" s="373"/>
      <c r="L21" s="87">
        <v>1435695</v>
      </c>
      <c r="M21" s="360"/>
      <c r="N21" s="362"/>
      <c r="O21" s="90">
        <f t="shared" si="1"/>
        <v>0.63055608388778361</v>
      </c>
      <c r="P21" s="363"/>
      <c r="Q21" s="363"/>
      <c r="S21" s="374"/>
      <c r="T21" s="374"/>
      <c r="U21" s="90">
        <f t="shared" si="0"/>
        <v>0</v>
      </c>
      <c r="V21" s="374"/>
      <c r="W21" s="374"/>
    </row>
    <row r="22" spans="2:23" ht="14.25">
      <c r="B22" s="380"/>
      <c r="C22" s="378"/>
      <c r="D22" s="352">
        <v>45948</v>
      </c>
      <c r="E22" s="353" t="s">
        <v>59</v>
      </c>
      <c r="F22" s="87">
        <v>2205834.5500000003</v>
      </c>
      <c r="G22" s="379"/>
      <c r="H22" s="360"/>
      <c r="I22" s="235">
        <v>46062</v>
      </c>
      <c r="J22" s="361"/>
      <c r="K22" s="373"/>
      <c r="L22" s="87">
        <v>1391505</v>
      </c>
      <c r="M22" s="360"/>
      <c r="N22" s="362"/>
      <c r="O22" s="90">
        <f t="shared" si="1"/>
        <v>0.63082927049084425</v>
      </c>
      <c r="P22" s="363"/>
      <c r="Q22" s="363"/>
      <c r="S22" s="374"/>
      <c r="T22" s="374"/>
      <c r="U22" s="90">
        <f t="shared" si="0"/>
        <v>0</v>
      </c>
      <c r="V22" s="374"/>
      <c r="W22" s="374"/>
    </row>
    <row r="23" spans="2:23" ht="14.25">
      <c r="B23" s="380"/>
      <c r="C23" s="378"/>
      <c r="D23" s="352">
        <v>45949</v>
      </c>
      <c r="E23" s="353" t="s">
        <v>60</v>
      </c>
      <c r="F23" s="87">
        <v>2688271.5</v>
      </c>
      <c r="G23" s="379"/>
      <c r="H23" s="360"/>
      <c r="I23" s="235">
        <v>56207</v>
      </c>
      <c r="J23" s="361"/>
      <c r="K23" s="373"/>
      <c r="L23" s="87">
        <v>1693565</v>
      </c>
      <c r="M23" s="360"/>
      <c r="N23" s="362"/>
      <c r="O23" s="90">
        <f t="shared" si="1"/>
        <v>0.62998287189370572</v>
      </c>
      <c r="P23" s="363"/>
      <c r="Q23" s="363"/>
      <c r="S23" s="374"/>
      <c r="T23" s="374"/>
      <c r="U23" s="90">
        <f t="shared" si="0"/>
        <v>0</v>
      </c>
      <c r="V23" s="374"/>
      <c r="W23" s="374"/>
    </row>
    <row r="24" spans="2:23">
      <c r="B24" s="380"/>
      <c r="C24" s="378"/>
      <c r="D24" s="352">
        <v>45950</v>
      </c>
      <c r="E24" s="352" t="s">
        <v>61</v>
      </c>
      <c r="F24" s="87">
        <v>2686710.53</v>
      </c>
      <c r="G24" s="379"/>
      <c r="H24" s="360"/>
      <c r="I24" s="235">
        <v>56180</v>
      </c>
      <c r="J24" s="361"/>
      <c r="K24" s="373"/>
      <c r="L24" s="87">
        <v>1692965</v>
      </c>
      <c r="M24" s="360"/>
      <c r="N24" s="362"/>
      <c r="O24" s="90">
        <f t="shared" si="1"/>
        <v>0.63012556845861623</v>
      </c>
      <c r="P24" s="363"/>
      <c r="Q24" s="363"/>
      <c r="S24" s="374"/>
      <c r="T24" s="374"/>
      <c r="U24" s="90">
        <f t="shared" si="0"/>
        <v>0</v>
      </c>
      <c r="V24" s="374"/>
      <c r="W24" s="374"/>
    </row>
    <row r="25" spans="2:23" ht="14.25">
      <c r="B25" s="376">
        <v>45958</v>
      </c>
      <c r="C25" s="378"/>
      <c r="D25" s="352">
        <v>45951</v>
      </c>
      <c r="E25" s="353" t="s">
        <v>62</v>
      </c>
      <c r="F25" s="87">
        <v>2781157.6999999997</v>
      </c>
      <c r="G25" s="379">
        <f>SUM(F25:F31)</f>
        <v>17807828.030000001</v>
      </c>
      <c r="H25" s="360"/>
      <c r="I25" s="235">
        <v>57979</v>
      </c>
      <c r="J25" s="361">
        <f>SUM(I25:I31)</f>
        <v>370516</v>
      </c>
      <c r="K25" s="373"/>
      <c r="L25" s="87">
        <v>1753565</v>
      </c>
      <c r="M25" s="360">
        <f>SUM(L25:L31)</f>
        <v>11226345</v>
      </c>
      <c r="N25" s="362"/>
      <c r="O25" s="90">
        <f t="shared" si="1"/>
        <v>0.63051620553555821</v>
      </c>
      <c r="P25" s="363">
        <f>M25/G25</f>
        <v>0.63041629675935273</v>
      </c>
      <c r="Q25" s="363"/>
      <c r="S25" s="374"/>
      <c r="T25" s="374"/>
      <c r="U25" s="90">
        <f t="shared" si="0"/>
        <v>0</v>
      </c>
      <c r="V25" s="374"/>
      <c r="W25" s="374"/>
    </row>
    <row r="26" spans="2:23" ht="14.25">
      <c r="B26" s="380"/>
      <c r="C26" s="378"/>
      <c r="D26" s="352">
        <v>45952</v>
      </c>
      <c r="E26" s="353" t="s">
        <v>56</v>
      </c>
      <c r="F26" s="87">
        <v>2829635.02</v>
      </c>
      <c r="G26" s="379"/>
      <c r="H26" s="360"/>
      <c r="I26" s="235">
        <v>58687</v>
      </c>
      <c r="J26" s="361"/>
      <c r="K26" s="373"/>
      <c r="L26" s="87">
        <v>1783565</v>
      </c>
      <c r="M26" s="360"/>
      <c r="N26" s="362"/>
      <c r="O26" s="90">
        <f t="shared" si="1"/>
        <v>0.6303162730859897</v>
      </c>
      <c r="P26" s="363"/>
      <c r="Q26" s="363"/>
      <c r="S26" s="374"/>
      <c r="T26" s="374"/>
      <c r="U26" s="90">
        <f t="shared" si="0"/>
        <v>0</v>
      </c>
      <c r="V26" s="374"/>
      <c r="W26" s="374"/>
    </row>
    <row r="27" spans="2:23" ht="14.25">
      <c r="B27" s="380"/>
      <c r="C27" s="378"/>
      <c r="D27" s="352">
        <v>45953</v>
      </c>
      <c r="E27" s="353" t="s">
        <v>57</v>
      </c>
      <c r="F27" s="87">
        <v>2079044.88</v>
      </c>
      <c r="G27" s="379"/>
      <c r="H27" s="360"/>
      <c r="I27" s="235">
        <v>43469</v>
      </c>
      <c r="J27" s="361"/>
      <c r="K27" s="373"/>
      <c r="L27" s="87">
        <v>1308695</v>
      </c>
      <c r="M27" s="360"/>
      <c r="N27" s="362"/>
      <c r="O27" s="90">
        <f t="shared" si="1"/>
        <v>0.62946933593852961</v>
      </c>
      <c r="P27" s="363"/>
      <c r="Q27" s="363"/>
      <c r="S27" s="374">
        <f>SUM(R27:R33)</f>
        <v>0</v>
      </c>
      <c r="T27" s="374"/>
      <c r="U27" s="90">
        <f t="shared" si="0"/>
        <v>0</v>
      </c>
      <c r="V27" s="374">
        <f>SUM(U27:U33)</f>
        <v>0</v>
      </c>
      <c r="W27" s="374"/>
    </row>
    <row r="28" spans="2:23" ht="14.25">
      <c r="B28" s="380"/>
      <c r="C28" s="378"/>
      <c r="D28" s="352">
        <v>45954</v>
      </c>
      <c r="E28" s="353" t="s">
        <v>58</v>
      </c>
      <c r="F28" s="87">
        <v>1994621.3099999998</v>
      </c>
      <c r="G28" s="379"/>
      <c r="H28" s="360"/>
      <c r="I28" s="235">
        <v>41715</v>
      </c>
      <c r="J28" s="361"/>
      <c r="K28" s="373"/>
      <c r="L28" s="87">
        <v>1260695</v>
      </c>
      <c r="M28" s="360"/>
      <c r="N28" s="362"/>
      <c r="O28" s="90">
        <f t="shared" si="1"/>
        <v>0.63204729322780584</v>
      </c>
      <c r="P28" s="363"/>
      <c r="Q28" s="363"/>
      <c r="S28" s="374"/>
      <c r="T28" s="374"/>
      <c r="U28" s="90">
        <f t="shared" si="0"/>
        <v>0</v>
      </c>
      <c r="V28" s="374"/>
      <c r="W28" s="374"/>
    </row>
    <row r="29" spans="2:23" ht="14.25">
      <c r="B29" s="380"/>
      <c r="C29" s="378"/>
      <c r="D29" s="352">
        <v>45955</v>
      </c>
      <c r="E29" s="353" t="s">
        <v>59</v>
      </c>
      <c r="F29" s="87">
        <v>2156910.08</v>
      </c>
      <c r="G29" s="379"/>
      <c r="H29" s="360"/>
      <c r="I29" s="235">
        <v>44861</v>
      </c>
      <c r="J29" s="361"/>
      <c r="K29" s="373"/>
      <c r="L29" s="87">
        <v>1358695</v>
      </c>
      <c r="M29" s="360"/>
      <c r="N29" s="362"/>
      <c r="O29" s="90">
        <f t="shared" si="1"/>
        <v>0.62992658460755113</v>
      </c>
      <c r="P29" s="363"/>
      <c r="Q29" s="363"/>
      <c r="S29" s="374"/>
      <c r="T29" s="374"/>
      <c r="U29" s="90">
        <f t="shared" si="0"/>
        <v>0</v>
      </c>
      <c r="V29" s="374"/>
      <c r="W29" s="374"/>
    </row>
    <row r="30" spans="2:23" ht="14.25">
      <c r="B30" s="380"/>
      <c r="C30" s="378"/>
      <c r="D30" s="352">
        <v>45956</v>
      </c>
      <c r="E30" s="353" t="s">
        <v>60</v>
      </c>
      <c r="F30" s="87">
        <v>3026700.89</v>
      </c>
      <c r="G30" s="379"/>
      <c r="H30" s="360"/>
      <c r="I30" s="235">
        <v>62754</v>
      </c>
      <c r="J30" s="361"/>
      <c r="K30" s="373"/>
      <c r="L30" s="87">
        <v>1907565</v>
      </c>
      <c r="M30" s="360"/>
      <c r="N30" s="362"/>
      <c r="O30" s="90">
        <f t="shared" si="1"/>
        <v>0.63024562694729969</v>
      </c>
      <c r="P30" s="363"/>
      <c r="Q30" s="363"/>
      <c r="S30" s="374"/>
      <c r="T30" s="374"/>
      <c r="U30" s="90">
        <f t="shared" si="0"/>
        <v>0</v>
      </c>
      <c r="V30" s="374"/>
      <c r="W30" s="374"/>
    </row>
    <row r="31" spans="2:23">
      <c r="B31" s="380"/>
      <c r="C31" s="378"/>
      <c r="D31" s="352">
        <v>45957</v>
      </c>
      <c r="E31" s="352" t="s">
        <v>61</v>
      </c>
      <c r="F31" s="87">
        <v>2939758.15</v>
      </c>
      <c r="G31" s="379"/>
      <c r="H31" s="360"/>
      <c r="I31" s="235">
        <v>61051</v>
      </c>
      <c r="J31" s="361"/>
      <c r="K31" s="373"/>
      <c r="L31" s="87">
        <v>1853565</v>
      </c>
      <c r="M31" s="360"/>
      <c r="N31" s="362"/>
      <c r="O31" s="90">
        <f t="shared" si="1"/>
        <v>0.63051615317402898</v>
      </c>
      <c r="P31" s="363"/>
      <c r="Q31" s="363"/>
      <c r="S31" s="374"/>
      <c r="T31" s="374"/>
      <c r="U31" s="90">
        <f t="shared" si="0"/>
        <v>0</v>
      </c>
      <c r="V31" s="374"/>
      <c r="W31" s="374"/>
    </row>
    <row r="32" spans="2:23" ht="14.25">
      <c r="B32" s="376">
        <v>45966</v>
      </c>
      <c r="C32" s="378"/>
      <c r="D32" s="352">
        <v>45958</v>
      </c>
      <c r="E32" s="353" t="s">
        <v>62</v>
      </c>
      <c r="F32" s="87">
        <v>3521787.2199999997</v>
      </c>
      <c r="G32" s="379">
        <f>SUM(F32:F38)</f>
        <v>11551827.359999999</v>
      </c>
      <c r="H32" s="360"/>
      <c r="I32" s="235">
        <v>73385</v>
      </c>
      <c r="J32" s="361">
        <f>SUM(I32:I38)</f>
        <v>241604</v>
      </c>
      <c r="K32" s="373"/>
      <c r="L32" s="87">
        <v>2229333</v>
      </c>
      <c r="M32" s="360">
        <f>SUM(L32:L38)</f>
        <v>7289032</v>
      </c>
      <c r="N32" s="362"/>
      <c r="O32" s="90">
        <f t="shared" si="1"/>
        <v>0.63301183766576341</v>
      </c>
      <c r="P32" s="354"/>
      <c r="Q32" s="363"/>
      <c r="S32" s="374"/>
      <c r="T32" s="374"/>
      <c r="U32" s="90">
        <f t="shared" si="0"/>
        <v>0</v>
      </c>
      <c r="V32" s="374"/>
      <c r="W32" s="374"/>
    </row>
    <row r="33" spans="2:23" ht="14.25">
      <c r="B33" s="380"/>
      <c r="C33" s="378"/>
      <c r="D33" s="352">
        <v>45959</v>
      </c>
      <c r="E33" s="353" t="s">
        <v>56</v>
      </c>
      <c r="F33" s="87">
        <v>3017699.2199999997</v>
      </c>
      <c r="G33" s="379"/>
      <c r="H33" s="360"/>
      <c r="I33" s="235">
        <v>63260</v>
      </c>
      <c r="J33" s="361"/>
      <c r="K33" s="373"/>
      <c r="L33" s="87">
        <v>1901002</v>
      </c>
      <c r="M33" s="360"/>
      <c r="N33" s="362"/>
      <c r="O33" s="90">
        <f t="shared" si="1"/>
        <v>0.62995078747443889</v>
      </c>
      <c r="P33" s="354"/>
      <c r="Q33" s="363"/>
      <c r="S33" s="374"/>
      <c r="T33" s="374"/>
      <c r="U33" s="90">
        <f t="shared" si="0"/>
        <v>0</v>
      </c>
      <c r="V33" s="374"/>
      <c r="W33" s="374"/>
    </row>
    <row r="34" spans="2:23" ht="14.25">
      <c r="B34" s="380"/>
      <c r="C34" s="378"/>
      <c r="D34" s="352">
        <v>45960</v>
      </c>
      <c r="E34" s="353" t="s">
        <v>57</v>
      </c>
      <c r="F34" s="87">
        <v>2878535.7600000002</v>
      </c>
      <c r="G34" s="379"/>
      <c r="H34" s="360"/>
      <c r="I34" s="235">
        <v>60196</v>
      </c>
      <c r="J34" s="361"/>
      <c r="K34" s="373"/>
      <c r="L34" s="87">
        <v>1814002</v>
      </c>
      <c r="M34" s="360"/>
      <c r="N34" s="362"/>
      <c r="O34" s="90">
        <f t="shared" si="1"/>
        <v>0.63018220068942266</v>
      </c>
      <c r="P34" s="266"/>
      <c r="Q34" s="363"/>
      <c r="S34" s="87"/>
      <c r="T34" s="374"/>
      <c r="U34" s="90">
        <f t="shared" si="0"/>
        <v>0</v>
      </c>
      <c r="V34" s="87"/>
      <c r="W34" s="374"/>
    </row>
    <row r="35" spans="2:23" ht="14.25">
      <c r="B35" s="380"/>
      <c r="C35" s="378"/>
      <c r="D35" s="352">
        <v>45961</v>
      </c>
      <c r="E35" s="353" t="s">
        <v>58</v>
      </c>
      <c r="F35" s="87">
        <v>2133805.16</v>
      </c>
      <c r="G35" s="379"/>
      <c r="H35" s="360"/>
      <c r="I35" s="235">
        <v>44763</v>
      </c>
      <c r="J35" s="361"/>
      <c r="K35" s="373"/>
      <c r="L35" s="87">
        <v>1344695</v>
      </c>
      <c r="M35" s="360"/>
      <c r="N35" s="362"/>
      <c r="O35" s="90">
        <f t="shared" si="1"/>
        <v>0.63018640371082424</v>
      </c>
      <c r="P35" s="87"/>
      <c r="Q35" s="87"/>
      <c r="S35" s="87"/>
      <c r="T35" s="87"/>
      <c r="U35" s="90">
        <f t="shared" si="0"/>
        <v>0</v>
      </c>
      <c r="V35" s="87"/>
      <c r="W35" s="374"/>
    </row>
    <row r="36" spans="2:23" ht="14.25">
      <c r="B36" s="380"/>
      <c r="D36" s="352">
        <v>45962</v>
      </c>
      <c r="E36" s="353" t="s">
        <v>59</v>
      </c>
      <c r="G36" s="379"/>
      <c r="I36" s="235"/>
      <c r="J36" s="361"/>
      <c r="K36" s="235"/>
      <c r="L36" s="87"/>
      <c r="M36" s="360"/>
      <c r="N36" s="87"/>
      <c r="P36" s="87"/>
      <c r="Q36" s="87"/>
      <c r="S36" s="87"/>
      <c r="T36" s="87"/>
      <c r="V36" s="87"/>
      <c r="W36" s="87"/>
    </row>
    <row r="37" spans="2:23" ht="14.25">
      <c r="B37" s="380"/>
      <c r="D37" s="352">
        <v>45963</v>
      </c>
      <c r="E37" s="353" t="s">
        <v>60</v>
      </c>
      <c r="G37" s="379"/>
      <c r="I37" s="235"/>
      <c r="J37" s="361"/>
      <c r="K37" s="235"/>
      <c r="L37" s="87"/>
      <c r="M37" s="360"/>
      <c r="N37" s="87"/>
      <c r="P37" s="374"/>
      <c r="Q37" s="87"/>
      <c r="S37" s="374">
        <f>SUM(R37:R43)</f>
        <v>0</v>
      </c>
      <c r="T37" s="87"/>
      <c r="V37" s="374">
        <f>SUM(U37:U43)</f>
        <v>0</v>
      </c>
      <c r="W37" s="87"/>
    </row>
    <row r="38" spans="2:23">
      <c r="B38" s="380"/>
      <c r="D38" s="352">
        <v>45964</v>
      </c>
      <c r="E38" s="352" t="s">
        <v>61</v>
      </c>
      <c r="G38" s="379"/>
      <c r="I38" s="235"/>
      <c r="J38" s="361"/>
      <c r="K38" s="235"/>
      <c r="L38" s="87"/>
      <c r="M38" s="360"/>
      <c r="N38" s="87"/>
      <c r="P38" s="374"/>
      <c r="Q38" s="87"/>
      <c r="S38" s="374"/>
      <c r="T38" s="87"/>
      <c r="V38" s="374"/>
      <c r="W38" s="87"/>
    </row>
    <row r="39" spans="2:23">
      <c r="B39" s="83"/>
      <c r="D39" s="86"/>
      <c r="E39" s="86"/>
      <c r="I39" s="235"/>
      <c r="J39" s="235"/>
      <c r="K39" s="235"/>
      <c r="L39" s="87"/>
      <c r="M39" s="87"/>
      <c r="N39" s="87"/>
      <c r="P39" s="374"/>
      <c r="Q39" s="87"/>
      <c r="S39" s="374"/>
      <c r="T39" s="87"/>
      <c r="V39" s="374"/>
      <c r="W39" s="87"/>
    </row>
    <row r="40" spans="2:23">
      <c r="B40" s="83"/>
      <c r="D40" s="86"/>
      <c r="E40" s="86"/>
      <c r="I40" s="235"/>
      <c r="J40" s="235"/>
      <c r="K40" s="235"/>
      <c r="L40" s="87"/>
      <c r="M40" s="87"/>
      <c r="N40" s="87"/>
      <c r="P40" s="374"/>
      <c r="Q40" s="87"/>
      <c r="S40" s="374"/>
      <c r="T40" s="87"/>
      <c r="V40" s="374"/>
      <c r="W40" s="87"/>
    </row>
    <row r="41" spans="2:23">
      <c r="B41" s="83"/>
      <c r="D41" s="86"/>
      <c r="E41" s="86"/>
      <c r="I41" s="235"/>
      <c r="J41" s="235"/>
      <c r="K41" s="235"/>
      <c r="L41" s="87"/>
      <c r="M41" s="87"/>
      <c r="N41" s="87"/>
      <c r="P41" s="374"/>
      <c r="Q41" s="87"/>
      <c r="S41" s="374"/>
      <c r="T41" s="87"/>
      <c r="V41" s="374"/>
      <c r="W41" s="87"/>
    </row>
    <row r="42" spans="2:23">
      <c r="B42" s="83"/>
      <c r="D42" s="86"/>
      <c r="E42" s="86"/>
      <c r="I42" s="235"/>
      <c r="J42" s="235"/>
      <c r="K42" s="235"/>
      <c r="L42" s="87"/>
      <c r="M42" s="87"/>
      <c r="N42" s="87"/>
      <c r="P42" s="374"/>
      <c r="Q42" s="87"/>
      <c r="S42" s="374"/>
      <c r="T42" s="87"/>
      <c r="V42" s="374"/>
      <c r="W42" s="87"/>
    </row>
    <row r="43" spans="2:23">
      <c r="B43" s="83"/>
      <c r="D43" s="86"/>
      <c r="E43" s="86"/>
      <c r="I43" s="235"/>
      <c r="J43" s="235"/>
      <c r="K43" s="235"/>
      <c r="L43" s="87"/>
      <c r="M43" s="87"/>
      <c r="N43" s="87"/>
      <c r="P43" s="374"/>
      <c r="Q43" s="87"/>
      <c r="S43" s="374"/>
      <c r="T43" s="87"/>
      <c r="V43" s="374"/>
      <c r="W43" s="87"/>
    </row>
  </sheetData>
  <mergeCells count="52">
    <mergeCell ref="B5:B10"/>
    <mergeCell ref="C5:C35"/>
    <mergeCell ref="G5:G10"/>
    <mergeCell ref="H5:H35"/>
    <mergeCell ref="J5:J10"/>
    <mergeCell ref="B11:B17"/>
    <mergeCell ref="G11:G17"/>
    <mergeCell ref="J11:J17"/>
    <mergeCell ref="B18:B24"/>
    <mergeCell ref="G18:G24"/>
    <mergeCell ref="J18:J24"/>
    <mergeCell ref="B25:B31"/>
    <mergeCell ref="G25:G31"/>
    <mergeCell ref="J25:J31"/>
    <mergeCell ref="B32:B38"/>
    <mergeCell ref="G32:G38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5:P10"/>
    <mergeCell ref="P11:P17"/>
    <mergeCell ref="P18:P24"/>
    <mergeCell ref="P25:P31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K5:K35"/>
    <mergeCell ref="M5:M10"/>
    <mergeCell ref="M11:M17"/>
    <mergeCell ref="Q5:Q34"/>
    <mergeCell ref="M18:M24"/>
    <mergeCell ref="M25:M31"/>
    <mergeCell ref="J32:J38"/>
    <mergeCell ref="M32:M38"/>
    <mergeCell ref="N5:N35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opLeftCell="E1" zoomScale="85" zoomScaleNormal="85" workbookViewId="0">
      <selection activeCell="O5" sqref="O5:O35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115.3</v>
      </c>
    </row>
    <row r="2" spans="2:23" ht="38.1" customHeight="1">
      <c r="B2" s="364" t="s">
        <v>63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</row>
    <row r="3" spans="2:23" s="71" customFormat="1" ht="23.45" customHeight="1">
      <c r="B3" s="368" t="s">
        <v>43</v>
      </c>
      <c r="C3" s="369" t="s">
        <v>44</v>
      </c>
      <c r="D3" s="370" t="s">
        <v>45</v>
      </c>
      <c r="E3" s="370"/>
      <c r="F3" s="385" t="s">
        <v>64</v>
      </c>
      <c r="G3" s="385"/>
      <c r="H3" s="385"/>
      <c r="I3" s="386" t="s">
        <v>65</v>
      </c>
      <c r="J3" s="386"/>
      <c r="K3" s="386"/>
      <c r="L3" s="383" t="s">
        <v>66</v>
      </c>
      <c r="M3" s="383"/>
      <c r="N3" s="383"/>
      <c r="O3" s="383" t="s">
        <v>67</v>
      </c>
      <c r="P3" s="383"/>
      <c r="Q3" s="383"/>
      <c r="R3" s="383" t="s">
        <v>68</v>
      </c>
      <c r="S3" s="383"/>
      <c r="T3" s="383"/>
      <c r="U3" s="383" t="s">
        <v>69</v>
      </c>
      <c r="V3" s="383"/>
      <c r="W3" s="383"/>
    </row>
    <row r="4" spans="2:23" ht="15.75">
      <c r="B4" s="368"/>
      <c r="C4" s="369"/>
      <c r="D4" s="370"/>
      <c r="E4" s="370"/>
      <c r="F4" s="85" t="s">
        <v>52</v>
      </c>
      <c r="G4" s="96" t="s">
        <v>70</v>
      </c>
      <c r="H4" s="96" t="s">
        <v>71</v>
      </c>
      <c r="I4" s="85" t="s">
        <v>52</v>
      </c>
      <c r="J4" s="95" t="s">
        <v>70</v>
      </c>
      <c r="K4" s="95" t="s">
        <v>71</v>
      </c>
      <c r="L4" s="85" t="s">
        <v>52</v>
      </c>
      <c r="M4" s="95" t="s">
        <v>70</v>
      </c>
      <c r="N4" s="95" t="s">
        <v>71</v>
      </c>
      <c r="O4" s="85" t="s">
        <v>52</v>
      </c>
      <c r="P4" s="95" t="s">
        <v>70</v>
      </c>
      <c r="Q4" s="95" t="s">
        <v>71</v>
      </c>
      <c r="R4" s="85" t="s">
        <v>52</v>
      </c>
      <c r="S4" s="95" t="s">
        <v>70</v>
      </c>
      <c r="T4" s="95" t="s">
        <v>71</v>
      </c>
      <c r="U4" s="85" t="s">
        <v>52</v>
      </c>
      <c r="V4" s="95" t="s">
        <v>70</v>
      </c>
      <c r="W4" s="95" t="s">
        <v>71</v>
      </c>
    </row>
    <row r="5" spans="2:23" ht="14.45" customHeight="1">
      <c r="B5" s="382">
        <v>45937</v>
      </c>
      <c r="C5" s="377" t="s">
        <v>55</v>
      </c>
      <c r="D5" s="86">
        <v>45931</v>
      </c>
      <c r="E5" s="258" t="s">
        <v>72</v>
      </c>
      <c r="F5" s="93">
        <v>105.8</v>
      </c>
      <c r="G5" s="373">
        <f>AVERAGE(F5:F10)</f>
        <v>101.83333333333333</v>
      </c>
      <c r="H5" s="373">
        <f>AVERAGE(F5:F35)</f>
        <v>103.89838709677419</v>
      </c>
      <c r="I5" s="90">
        <f>F5/$C$1</f>
        <v>0.91760624457935824</v>
      </c>
      <c r="J5" s="381">
        <f>AVERAGE(I5:I10)</f>
        <v>0.88320323793003752</v>
      </c>
      <c r="K5" s="381">
        <f>AVERAGE(I5:I35)</f>
        <v>0.90111350474218743</v>
      </c>
      <c r="L5" s="207">
        <v>1.481545481833762E-3</v>
      </c>
      <c r="M5" s="381">
        <f>AVERAGE(L5:L10)</f>
        <v>6.6239473058213177E-3</v>
      </c>
      <c r="N5" s="381">
        <f>AVERAGE(L5:L35)</f>
        <v>3.0490517059363303E-3</v>
      </c>
      <c r="O5" s="207">
        <v>4.2924107448588681E-3</v>
      </c>
      <c r="P5" s="381">
        <f>AVERAGE(O5:O10)</f>
        <v>6.1992397197823332E-3</v>
      </c>
      <c r="Q5" s="381">
        <f>AVERAGE(O5:O35)</f>
        <v>3.6384069734412506E-3</v>
      </c>
      <c r="R5" s="207">
        <v>0.42899999999999999</v>
      </c>
      <c r="S5" s="381">
        <f>AVERAGE(R5:R10)</f>
        <v>0.42899999999999999</v>
      </c>
      <c r="T5" s="381">
        <f>AVERAGE(R5:R35)</f>
        <v>0.42900000000000016</v>
      </c>
      <c r="U5" s="207">
        <v>0.75</v>
      </c>
      <c r="V5" s="381">
        <f>AVERAGE(U5:U10)</f>
        <v>0.75</v>
      </c>
      <c r="W5" s="381">
        <f>AVERAGE(U5:U35)</f>
        <v>0.82096774193548405</v>
      </c>
    </row>
    <row r="6" spans="2:23" ht="14.45" customHeight="1">
      <c r="B6" s="382"/>
      <c r="C6" s="378"/>
      <c r="D6" s="86">
        <v>45932</v>
      </c>
      <c r="E6" s="258" t="s">
        <v>73</v>
      </c>
      <c r="F6" s="93">
        <v>100.8</v>
      </c>
      <c r="G6" s="373"/>
      <c r="H6" s="373"/>
      <c r="I6" s="90">
        <f t="shared" ref="I6:I43" si="0">F6/$C$1</f>
        <v>0.87424111014744144</v>
      </c>
      <c r="J6" s="381"/>
      <c r="K6" s="381"/>
      <c r="L6" s="207">
        <v>7.9097600691663099E-3</v>
      </c>
      <c r="M6" s="381"/>
      <c r="N6" s="381"/>
      <c r="O6" s="207">
        <v>6.9777834679279598E-3</v>
      </c>
      <c r="P6" s="381"/>
      <c r="Q6" s="381"/>
      <c r="R6" s="207">
        <v>0.42899999999999999</v>
      </c>
      <c r="S6" s="381"/>
      <c r="T6" s="381"/>
      <c r="U6" s="207">
        <v>0.75</v>
      </c>
      <c r="V6" s="381"/>
      <c r="W6" s="381"/>
    </row>
    <row r="7" spans="2:23" ht="14.45" customHeight="1">
      <c r="B7" s="382"/>
      <c r="C7" s="378"/>
      <c r="D7" s="86">
        <v>45933</v>
      </c>
      <c r="E7" s="258" t="s">
        <v>74</v>
      </c>
      <c r="F7" s="93">
        <v>99</v>
      </c>
      <c r="G7" s="373"/>
      <c r="H7" s="373"/>
      <c r="I7" s="90">
        <f t="shared" si="0"/>
        <v>0.85862966175195143</v>
      </c>
      <c r="J7" s="381"/>
      <c r="K7" s="381"/>
      <c r="L7" s="207">
        <v>8.6049008835528823E-3</v>
      </c>
      <c r="M7" s="381"/>
      <c r="N7" s="381"/>
      <c r="O7" s="207">
        <v>6.0273218911205207E-3</v>
      </c>
      <c r="P7" s="381"/>
      <c r="Q7" s="381"/>
      <c r="R7" s="207">
        <v>0.42899999999999999</v>
      </c>
      <c r="S7" s="381"/>
      <c r="T7" s="381"/>
      <c r="U7" s="207">
        <v>0.75</v>
      </c>
      <c r="V7" s="381"/>
      <c r="W7" s="381"/>
    </row>
    <row r="8" spans="2:23" ht="14.45" customHeight="1">
      <c r="B8" s="382"/>
      <c r="C8" s="378"/>
      <c r="D8" s="86">
        <v>45934</v>
      </c>
      <c r="E8" s="258" t="s">
        <v>75</v>
      </c>
      <c r="F8" s="93">
        <v>105.1</v>
      </c>
      <c r="G8" s="373"/>
      <c r="H8" s="373"/>
      <c r="I8" s="90">
        <f t="shared" si="0"/>
        <v>0.91153512575888984</v>
      </c>
      <c r="J8" s="381"/>
      <c r="K8" s="381"/>
      <c r="L8" s="207">
        <v>4.9201621191861588E-3</v>
      </c>
      <c r="M8" s="381"/>
      <c r="N8" s="381"/>
      <c r="O8" s="207">
        <v>7.7102603806145469E-3</v>
      </c>
      <c r="P8" s="381"/>
      <c r="Q8" s="381"/>
      <c r="R8" s="207">
        <v>0.42899999999999999</v>
      </c>
      <c r="S8" s="381"/>
      <c r="T8" s="381"/>
      <c r="U8" s="207">
        <v>0.75</v>
      </c>
      <c r="V8" s="381"/>
      <c r="W8" s="381"/>
    </row>
    <row r="9" spans="2:23" ht="14.45" customHeight="1">
      <c r="B9" s="382"/>
      <c r="C9" s="378"/>
      <c r="D9" s="86">
        <v>45935</v>
      </c>
      <c r="E9" s="258" t="s">
        <v>52</v>
      </c>
      <c r="F9" s="93">
        <v>100.7</v>
      </c>
      <c r="G9" s="373"/>
      <c r="H9" s="373"/>
      <c r="I9" s="90">
        <f t="shared" si="0"/>
        <v>0.87337380745880322</v>
      </c>
      <c r="J9" s="381"/>
      <c r="K9" s="381"/>
      <c r="L9" s="207">
        <v>8.2969023328273231E-3</v>
      </c>
      <c r="M9" s="381"/>
      <c r="N9" s="381"/>
      <c r="O9" s="207">
        <v>4.2764551776295779E-3</v>
      </c>
      <c r="P9" s="381"/>
      <c r="Q9" s="381"/>
      <c r="R9" s="207">
        <v>0.42899999999999999</v>
      </c>
      <c r="S9" s="381"/>
      <c r="T9" s="381"/>
      <c r="U9" s="207">
        <v>0.75</v>
      </c>
      <c r="V9" s="381"/>
      <c r="W9" s="381"/>
    </row>
    <row r="10" spans="2:23" ht="14.45" customHeight="1">
      <c r="B10" s="382"/>
      <c r="C10" s="378"/>
      <c r="D10" s="86">
        <v>45936</v>
      </c>
      <c r="E10" s="86" t="s">
        <v>76</v>
      </c>
      <c r="F10" s="93">
        <v>99.6</v>
      </c>
      <c r="G10" s="373"/>
      <c r="H10" s="373"/>
      <c r="I10" s="90">
        <f t="shared" si="0"/>
        <v>0.8638334778837814</v>
      </c>
      <c r="J10" s="381"/>
      <c r="K10" s="381"/>
      <c r="L10" s="207">
        <v>8.5304129483614669E-3</v>
      </c>
      <c r="M10" s="381"/>
      <c r="N10" s="381"/>
      <c r="O10" s="207">
        <v>7.9112066565425292E-3</v>
      </c>
      <c r="P10" s="381"/>
      <c r="Q10" s="381"/>
      <c r="R10" s="207">
        <v>0.42899999999999999</v>
      </c>
      <c r="S10" s="381"/>
      <c r="T10" s="381"/>
      <c r="U10" s="207">
        <v>0.75</v>
      </c>
      <c r="V10" s="381"/>
      <c r="W10" s="381"/>
    </row>
    <row r="11" spans="2:23" ht="14.45" customHeight="1">
      <c r="B11" s="382">
        <v>45944</v>
      </c>
      <c r="C11" s="378"/>
      <c r="D11" s="86">
        <v>45937</v>
      </c>
      <c r="E11" s="258" t="s">
        <v>77</v>
      </c>
      <c r="F11" s="93">
        <v>97.85</v>
      </c>
      <c r="G11" s="373">
        <f>AVERAGE(F11:F17)</f>
        <v>106.77857142857142</v>
      </c>
      <c r="H11" s="373"/>
      <c r="I11" s="90">
        <f t="shared" si="0"/>
        <v>0.84865568083261056</v>
      </c>
      <c r="J11" s="381">
        <f>AVERAGE(I11:I17)</f>
        <v>0.92609342088960489</v>
      </c>
      <c r="K11" s="381"/>
      <c r="L11" s="207">
        <v>4.8565340408314528E-3</v>
      </c>
      <c r="M11" s="381">
        <f>AVERAGE(L11:L17)</f>
        <v>3.230606353025836E-3</v>
      </c>
      <c r="N11" s="381"/>
      <c r="O11" s="207">
        <v>4.6527949154585111E-3</v>
      </c>
      <c r="P11" s="381">
        <f>AVERAGE(O11:O17)</f>
        <v>4.6084036680306877E-3</v>
      </c>
      <c r="Q11" s="381"/>
      <c r="R11" s="207">
        <v>0.42899999999999999</v>
      </c>
      <c r="S11" s="381">
        <f>AVERAGE(R11:R17)</f>
        <v>0.42899999999999994</v>
      </c>
      <c r="T11" s="381"/>
      <c r="U11" s="207">
        <v>0.8</v>
      </c>
      <c r="V11" s="381">
        <f>AVERAGE(U11:U17)</f>
        <v>0.79999999999999993</v>
      </c>
      <c r="W11" s="381"/>
    </row>
    <row r="12" spans="2:23" ht="14.45" customHeight="1">
      <c r="B12" s="382"/>
      <c r="C12" s="378"/>
      <c r="D12" s="86">
        <v>45938</v>
      </c>
      <c r="E12" s="258" t="s">
        <v>72</v>
      </c>
      <c r="F12" s="93">
        <v>109.3</v>
      </c>
      <c r="G12" s="373"/>
      <c r="H12" s="373"/>
      <c r="I12" s="90">
        <f t="shared" si="0"/>
        <v>0.94796183868169992</v>
      </c>
      <c r="J12" s="381"/>
      <c r="K12" s="381"/>
      <c r="L12" s="207">
        <v>5.3856447406051781E-3</v>
      </c>
      <c r="M12" s="381"/>
      <c r="N12" s="381"/>
      <c r="O12" s="207">
        <v>5.1707068725600951E-3</v>
      </c>
      <c r="P12" s="381"/>
      <c r="Q12" s="381"/>
      <c r="R12" s="207">
        <v>0.42899999999999999</v>
      </c>
      <c r="S12" s="381"/>
      <c r="T12" s="381"/>
      <c r="U12" s="207">
        <v>0.8</v>
      </c>
      <c r="V12" s="381"/>
      <c r="W12" s="381"/>
    </row>
    <row r="13" spans="2:23" ht="14.45" customHeight="1">
      <c r="B13" s="382"/>
      <c r="C13" s="378"/>
      <c r="D13" s="86">
        <v>45939</v>
      </c>
      <c r="E13" s="258" t="s">
        <v>73</v>
      </c>
      <c r="F13" s="93">
        <v>104.55000000000001</v>
      </c>
      <c r="G13" s="373"/>
      <c r="H13" s="373"/>
      <c r="I13" s="90">
        <f t="shared" si="0"/>
        <v>0.90676496097137915</v>
      </c>
      <c r="J13" s="381"/>
      <c r="K13" s="381"/>
      <c r="L13" s="207">
        <v>2.3841929703549139E-3</v>
      </c>
      <c r="M13" s="381"/>
      <c r="N13" s="381"/>
      <c r="O13" s="207">
        <v>3.9139858277088537E-3</v>
      </c>
      <c r="P13" s="381"/>
      <c r="Q13" s="381"/>
      <c r="R13" s="207">
        <v>0.42899999999999999</v>
      </c>
      <c r="S13" s="381"/>
      <c r="T13" s="381"/>
      <c r="U13" s="207">
        <v>0.8</v>
      </c>
      <c r="V13" s="381"/>
      <c r="W13" s="381"/>
    </row>
    <row r="14" spans="2:23" ht="14.45" customHeight="1">
      <c r="B14" s="382"/>
      <c r="C14" s="378"/>
      <c r="D14" s="86">
        <v>45940</v>
      </c>
      <c r="E14" s="258" t="s">
        <v>74</v>
      </c>
      <c r="F14" s="93">
        <v>104.25</v>
      </c>
      <c r="G14" s="373"/>
      <c r="H14" s="373"/>
      <c r="I14" s="90">
        <f t="shared" si="0"/>
        <v>0.90416305290546406</v>
      </c>
      <c r="J14" s="381"/>
      <c r="K14" s="381"/>
      <c r="L14" s="207">
        <v>3.3938743572926892E-3</v>
      </c>
      <c r="M14" s="381"/>
      <c r="N14" s="381"/>
      <c r="O14" s="207">
        <v>1.0104501651754664E-2</v>
      </c>
      <c r="P14" s="381"/>
      <c r="Q14" s="381"/>
      <c r="R14" s="207">
        <v>0.42899999999999999</v>
      </c>
      <c r="S14" s="381"/>
      <c r="T14" s="381"/>
      <c r="U14" s="207">
        <v>0.8</v>
      </c>
      <c r="V14" s="381"/>
      <c r="W14" s="381"/>
    </row>
    <row r="15" spans="2:23" ht="14.45" customHeight="1">
      <c r="B15" s="382"/>
      <c r="C15" s="378"/>
      <c r="D15" s="86">
        <v>45941</v>
      </c>
      <c r="E15" s="258" t="s">
        <v>75</v>
      </c>
      <c r="F15" s="93">
        <v>111.1</v>
      </c>
      <c r="G15" s="373"/>
      <c r="H15" s="373"/>
      <c r="I15" s="90">
        <f t="shared" si="0"/>
        <v>0.96357328707718992</v>
      </c>
      <c r="J15" s="381"/>
      <c r="K15" s="381"/>
      <c r="L15" s="207">
        <v>5.4126454470570119E-3</v>
      </c>
      <c r="M15" s="381"/>
      <c r="N15" s="381"/>
      <c r="O15" s="207">
        <v>1.3997773226963484E-3</v>
      </c>
      <c r="P15" s="381"/>
      <c r="Q15" s="381"/>
      <c r="R15" s="207">
        <v>0.42899999999999999</v>
      </c>
      <c r="S15" s="381"/>
      <c r="T15" s="381"/>
      <c r="U15" s="207">
        <v>0.8</v>
      </c>
      <c r="V15" s="381"/>
      <c r="W15" s="381"/>
    </row>
    <row r="16" spans="2:23" ht="14.45" customHeight="1">
      <c r="B16" s="382"/>
      <c r="C16" s="378"/>
      <c r="D16" s="86">
        <v>45942</v>
      </c>
      <c r="E16" s="258" t="s">
        <v>52</v>
      </c>
      <c r="F16" s="93">
        <v>110.9</v>
      </c>
      <c r="G16" s="373"/>
      <c r="H16" s="373"/>
      <c r="I16" s="90">
        <f t="shared" si="0"/>
        <v>0.96183868169991338</v>
      </c>
      <c r="J16" s="381"/>
      <c r="K16" s="381"/>
      <c r="L16" s="207">
        <v>9.7227177106812854E-4</v>
      </c>
      <c r="M16" s="381"/>
      <c r="N16" s="381"/>
      <c r="O16" s="207">
        <v>2.3024155621059589E-3</v>
      </c>
      <c r="P16" s="381"/>
      <c r="Q16" s="381"/>
      <c r="R16" s="207">
        <v>0.42899999999999999</v>
      </c>
      <c r="S16" s="381"/>
      <c r="T16" s="381"/>
      <c r="U16" s="207">
        <v>0.8</v>
      </c>
      <c r="V16" s="381"/>
      <c r="W16" s="381"/>
    </row>
    <row r="17" spans="2:23" ht="14.45" customHeight="1">
      <c r="B17" s="382"/>
      <c r="C17" s="378"/>
      <c r="D17" s="86">
        <v>45943</v>
      </c>
      <c r="E17" s="86" t="s">
        <v>76</v>
      </c>
      <c r="F17" s="93">
        <v>109.5</v>
      </c>
      <c r="G17" s="373"/>
      <c r="H17" s="373"/>
      <c r="I17" s="90">
        <f t="shared" si="0"/>
        <v>0.94969644405897657</v>
      </c>
      <c r="J17" s="381"/>
      <c r="K17" s="381"/>
      <c r="L17" s="207">
        <v>2.0908114397147695E-4</v>
      </c>
      <c r="M17" s="381"/>
      <c r="N17" s="381"/>
      <c r="O17" s="207">
        <v>4.714643523930381E-3</v>
      </c>
      <c r="P17" s="381"/>
      <c r="Q17" s="381"/>
      <c r="R17" s="207">
        <v>0.42899999999999999</v>
      </c>
      <c r="S17" s="381"/>
      <c r="T17" s="381"/>
      <c r="U17" s="207">
        <v>0.8</v>
      </c>
      <c r="V17" s="381"/>
      <c r="W17" s="381"/>
    </row>
    <row r="18" spans="2:23" ht="14.45" customHeight="1">
      <c r="B18" s="382">
        <v>45951</v>
      </c>
      <c r="C18" s="378"/>
      <c r="D18" s="86">
        <v>45944</v>
      </c>
      <c r="E18" s="258" t="s">
        <v>77</v>
      </c>
      <c r="F18" s="93">
        <v>99.949999999999989</v>
      </c>
      <c r="G18" s="373">
        <f>AVERAGE(F18:F24)</f>
        <v>102.82857142857144</v>
      </c>
      <c r="H18" s="373"/>
      <c r="I18" s="90">
        <f t="shared" si="0"/>
        <v>0.86686903729401554</v>
      </c>
      <c r="J18" s="381">
        <f>AVERAGE(I18:I24)</f>
        <v>0.89183496468839052</v>
      </c>
      <c r="K18" s="381"/>
      <c r="L18" s="207">
        <v>1.7553083346397052E-3</v>
      </c>
      <c r="M18" s="381">
        <f>AVERAGE(L18:L24)</f>
        <v>2.3227251376619911E-3</v>
      </c>
      <c r="N18" s="381"/>
      <c r="O18" s="207">
        <v>5.2260378845768877E-3</v>
      </c>
      <c r="P18" s="381">
        <f>AVERAGE(O18:O24)</f>
        <v>2.6268717762289381E-3</v>
      </c>
      <c r="Q18" s="381"/>
      <c r="R18" s="207">
        <v>0.42899999999999999</v>
      </c>
      <c r="S18" s="381">
        <f>AVERAGE(R18:R24)</f>
        <v>0.42899999999999994</v>
      </c>
      <c r="T18" s="381"/>
      <c r="U18" s="207">
        <v>0.8</v>
      </c>
      <c r="V18" s="381">
        <f>AVERAGE(U18:U24)</f>
        <v>0.82857142857142851</v>
      </c>
      <c r="W18" s="381"/>
    </row>
    <row r="19" spans="2:23" ht="14.45" customHeight="1">
      <c r="B19" s="378"/>
      <c r="C19" s="378"/>
      <c r="D19" s="86">
        <v>45945</v>
      </c>
      <c r="E19" s="258" t="s">
        <v>72</v>
      </c>
      <c r="F19" s="93">
        <v>99.35</v>
      </c>
      <c r="G19" s="373"/>
      <c r="H19" s="373"/>
      <c r="I19" s="90">
        <f t="shared" si="0"/>
        <v>0.86166522116218558</v>
      </c>
      <c r="J19" s="381"/>
      <c r="K19" s="381"/>
      <c r="L19" s="207">
        <v>2.58678451530141E-4</v>
      </c>
      <c r="M19" s="381"/>
      <c r="N19" s="381"/>
      <c r="O19" s="207">
        <v>2.9645646396096429E-3</v>
      </c>
      <c r="P19" s="381"/>
      <c r="Q19" s="381"/>
      <c r="R19" s="207">
        <v>0.42899999999999999</v>
      </c>
      <c r="S19" s="381"/>
      <c r="T19" s="381"/>
      <c r="U19" s="207">
        <v>0.8</v>
      </c>
      <c r="V19" s="381"/>
      <c r="W19" s="381"/>
    </row>
    <row r="20" spans="2:23" ht="14.45" customHeight="1">
      <c r="B20" s="378"/>
      <c r="C20" s="378"/>
      <c r="D20" s="86">
        <v>45946</v>
      </c>
      <c r="E20" s="258" t="s">
        <v>73</v>
      </c>
      <c r="F20" s="93">
        <v>98.55</v>
      </c>
      <c r="G20" s="373"/>
      <c r="H20" s="373"/>
      <c r="I20" s="90">
        <f t="shared" si="0"/>
        <v>0.85472679965307896</v>
      </c>
      <c r="J20" s="381"/>
      <c r="K20" s="381"/>
      <c r="L20" s="207">
        <v>8.8817741897031903E-4</v>
      </c>
      <c r="M20" s="381"/>
      <c r="N20" s="381"/>
      <c r="O20" s="207">
        <v>1.9029653381797081E-3</v>
      </c>
      <c r="P20" s="381"/>
      <c r="Q20" s="381"/>
      <c r="R20" s="207">
        <v>0.42899999999999999</v>
      </c>
      <c r="S20" s="381"/>
      <c r="T20" s="381"/>
      <c r="U20" s="207">
        <v>0.8</v>
      </c>
      <c r="V20" s="381"/>
      <c r="W20" s="381"/>
    </row>
    <row r="21" spans="2:23" ht="14.45" customHeight="1">
      <c r="B21" s="378"/>
      <c r="C21" s="378"/>
      <c r="D21" s="86">
        <v>45947</v>
      </c>
      <c r="E21" s="258" t="s">
        <v>74</v>
      </c>
      <c r="F21" s="93">
        <v>105.65</v>
      </c>
      <c r="G21" s="373"/>
      <c r="H21" s="373"/>
      <c r="I21" s="90">
        <f t="shared" si="0"/>
        <v>0.91630529054640075</v>
      </c>
      <c r="J21" s="381"/>
      <c r="K21" s="381"/>
      <c r="L21" s="207">
        <v>7.8050088401574163E-3</v>
      </c>
      <c r="M21" s="381"/>
      <c r="N21" s="381"/>
      <c r="O21" s="207">
        <v>2.9861153060733933E-3</v>
      </c>
      <c r="P21" s="381"/>
      <c r="Q21" s="381"/>
      <c r="R21" s="207">
        <v>0.42899999999999999</v>
      </c>
      <c r="S21" s="381"/>
      <c r="T21" s="381"/>
      <c r="U21" s="207">
        <v>0.85</v>
      </c>
      <c r="V21" s="381"/>
      <c r="W21" s="381"/>
    </row>
    <row r="22" spans="2:23" ht="14.45" customHeight="1">
      <c r="B22" s="378"/>
      <c r="C22" s="378"/>
      <c r="D22" s="86">
        <v>45948</v>
      </c>
      <c r="E22" s="258" t="s">
        <v>75</v>
      </c>
      <c r="F22" s="93">
        <v>98.05</v>
      </c>
      <c r="G22" s="373"/>
      <c r="H22" s="373"/>
      <c r="I22" s="90">
        <f t="shared" si="0"/>
        <v>0.85039028620988721</v>
      </c>
      <c r="J22" s="381"/>
      <c r="K22" s="381"/>
      <c r="L22" s="207">
        <v>3.5963712690963152E-3</v>
      </c>
      <c r="M22" s="381"/>
      <c r="N22" s="381"/>
      <c r="O22" s="207">
        <v>5.2225131753421848E-4</v>
      </c>
      <c r="P22" s="381"/>
      <c r="Q22" s="381"/>
      <c r="R22" s="207">
        <v>0.42899999999999999</v>
      </c>
      <c r="S22" s="381"/>
      <c r="T22" s="381"/>
      <c r="U22" s="207">
        <v>0.85</v>
      </c>
      <c r="V22" s="381"/>
      <c r="W22" s="381"/>
    </row>
    <row r="23" spans="2:23" ht="14.45" customHeight="1">
      <c r="B23" s="378"/>
      <c r="C23" s="378"/>
      <c r="D23" s="86">
        <v>45949</v>
      </c>
      <c r="E23" s="258" t="s">
        <v>52</v>
      </c>
      <c r="F23" s="93">
        <v>108.05000000000001</v>
      </c>
      <c r="G23" s="373"/>
      <c r="H23" s="373"/>
      <c r="I23" s="90">
        <f t="shared" si="0"/>
        <v>0.93712055507372083</v>
      </c>
      <c r="J23" s="381"/>
      <c r="K23" s="381"/>
      <c r="L23" s="207">
        <v>1.9555316492400414E-3</v>
      </c>
      <c r="M23" s="381"/>
      <c r="N23" s="381"/>
      <c r="O23" s="207">
        <v>1.2506177296452386E-3</v>
      </c>
      <c r="P23" s="381"/>
      <c r="Q23" s="381"/>
      <c r="R23" s="207">
        <v>0.42899999999999999</v>
      </c>
      <c r="S23" s="381"/>
      <c r="T23" s="381"/>
      <c r="U23" s="207">
        <v>0.85</v>
      </c>
      <c r="V23" s="381"/>
      <c r="W23" s="381"/>
    </row>
    <row r="24" spans="2:23" ht="14.45" customHeight="1">
      <c r="B24" s="378"/>
      <c r="C24" s="378"/>
      <c r="D24" s="86">
        <v>45950</v>
      </c>
      <c r="E24" s="86" t="s">
        <v>76</v>
      </c>
      <c r="F24" s="93">
        <v>110.2</v>
      </c>
      <c r="G24" s="373"/>
      <c r="H24" s="373"/>
      <c r="I24" s="90">
        <f t="shared" si="0"/>
        <v>0.95576756287944498</v>
      </c>
      <c r="J24" s="381"/>
      <c r="K24" s="381"/>
      <c r="L24" s="207">
        <v>0</v>
      </c>
      <c r="M24" s="381"/>
      <c r="N24" s="381"/>
      <c r="O24" s="207">
        <v>3.535550217983476E-3</v>
      </c>
      <c r="P24" s="381"/>
      <c r="Q24" s="381"/>
      <c r="R24" s="207">
        <v>0.42899999999999999</v>
      </c>
      <c r="S24" s="381"/>
      <c r="T24" s="381"/>
      <c r="U24" s="207">
        <v>0.85</v>
      </c>
      <c r="V24" s="381"/>
      <c r="W24" s="381"/>
    </row>
    <row r="25" spans="2:23" ht="14.45" customHeight="1">
      <c r="B25" s="382">
        <v>45958</v>
      </c>
      <c r="C25" s="378"/>
      <c r="D25" s="86">
        <v>45951</v>
      </c>
      <c r="E25" s="258" t="s">
        <v>77</v>
      </c>
      <c r="F25" s="93">
        <v>109.44999999999999</v>
      </c>
      <c r="G25" s="373">
        <f>AVERAGE(F25:F31)</f>
        <v>106.4357142857143</v>
      </c>
      <c r="H25" s="373"/>
      <c r="I25" s="90">
        <f t="shared" si="0"/>
        <v>0.9492627927146573</v>
      </c>
      <c r="J25" s="381">
        <f>AVERAGE(I25:I31)</f>
        <v>0.9231198116714161</v>
      </c>
      <c r="K25" s="381"/>
      <c r="L25" s="207">
        <v>0</v>
      </c>
      <c r="M25" s="381">
        <f>AVERAGE(L25:L31)</f>
        <v>7.0936672815381384E-4</v>
      </c>
      <c r="N25" s="381"/>
      <c r="O25" s="207">
        <v>5.1848911696017821E-4</v>
      </c>
      <c r="P25" s="381">
        <f>AVERAGE(O25:O31)</f>
        <v>1.1361912441627165E-3</v>
      </c>
      <c r="Q25" s="381"/>
      <c r="R25" s="207">
        <v>0.42899999999999999</v>
      </c>
      <c r="S25" s="381">
        <f>AVERAGE(R25:R31)</f>
        <v>0.42899999999999994</v>
      </c>
      <c r="T25" s="381"/>
      <c r="U25" s="207">
        <v>0.85</v>
      </c>
      <c r="V25" s="381">
        <f>AVERAGE(U25:U31)</f>
        <v>0.84999999999999987</v>
      </c>
      <c r="W25" s="381"/>
    </row>
    <row r="26" spans="2:23" ht="14.45" customHeight="1">
      <c r="B26" s="378"/>
      <c r="C26" s="378"/>
      <c r="D26" s="86">
        <v>45952</v>
      </c>
      <c r="E26" s="258" t="s">
        <v>72</v>
      </c>
      <c r="F26" s="93">
        <v>103.55000000000001</v>
      </c>
      <c r="G26" s="373"/>
      <c r="H26" s="373"/>
      <c r="I26" s="90">
        <f t="shared" si="0"/>
        <v>0.89809193408499577</v>
      </c>
      <c r="J26" s="381"/>
      <c r="K26" s="381"/>
      <c r="L26" s="207">
        <v>1.0672754537791944E-4</v>
      </c>
      <c r="M26" s="381"/>
      <c r="N26" s="381"/>
      <c r="O26" s="207">
        <v>2.9014342634195981E-4</v>
      </c>
      <c r="P26" s="381"/>
      <c r="Q26" s="381"/>
      <c r="R26" s="207">
        <v>0.42899999999999999</v>
      </c>
      <c r="S26" s="381"/>
      <c r="T26" s="381"/>
      <c r="U26" s="207">
        <v>0.85</v>
      </c>
      <c r="V26" s="381"/>
      <c r="W26" s="381"/>
    </row>
    <row r="27" spans="2:23" ht="14.45" customHeight="1">
      <c r="B27" s="378"/>
      <c r="C27" s="378"/>
      <c r="D27" s="86">
        <v>45953</v>
      </c>
      <c r="E27" s="258" t="s">
        <v>73</v>
      </c>
      <c r="F27" s="93">
        <v>109.19999999999999</v>
      </c>
      <c r="G27" s="373"/>
      <c r="H27" s="373"/>
      <c r="I27" s="90">
        <f t="shared" si="0"/>
        <v>0.94709453599306148</v>
      </c>
      <c r="J27" s="381"/>
      <c r="K27" s="381"/>
      <c r="L27" s="207">
        <v>4.2524334539618021E-3</v>
      </c>
      <c r="M27" s="381"/>
      <c r="N27" s="381"/>
      <c r="O27" s="207">
        <v>1.4612479168799859E-3</v>
      </c>
      <c r="P27" s="381"/>
      <c r="Q27" s="381"/>
      <c r="R27" s="207">
        <v>0.42899999999999999</v>
      </c>
      <c r="S27" s="381"/>
      <c r="T27" s="381"/>
      <c r="U27" s="207">
        <v>0.85</v>
      </c>
      <c r="V27" s="381"/>
      <c r="W27" s="381"/>
    </row>
    <row r="28" spans="2:23" ht="14.45" customHeight="1">
      <c r="B28" s="378"/>
      <c r="C28" s="378"/>
      <c r="D28" s="86">
        <v>45954</v>
      </c>
      <c r="E28" s="258" t="s">
        <v>74</v>
      </c>
      <c r="F28" s="93">
        <v>104.30000000000001</v>
      </c>
      <c r="G28" s="373"/>
      <c r="H28" s="373"/>
      <c r="I28" s="90">
        <f t="shared" si="0"/>
        <v>0.90459670424978333</v>
      </c>
      <c r="J28" s="381"/>
      <c r="K28" s="381"/>
      <c r="L28" s="207">
        <v>9.5757525021127957E-5</v>
      </c>
      <c r="M28" s="381"/>
      <c r="N28" s="381"/>
      <c r="O28" s="207">
        <v>1.0322761466937302E-3</v>
      </c>
      <c r="P28" s="381"/>
      <c r="Q28" s="381"/>
      <c r="R28" s="207">
        <v>0.42899999999999999</v>
      </c>
      <c r="S28" s="381"/>
      <c r="T28" s="381"/>
      <c r="U28" s="207">
        <v>0.85</v>
      </c>
      <c r="V28" s="381"/>
      <c r="W28" s="381"/>
    </row>
    <row r="29" spans="2:23" ht="14.45" customHeight="1">
      <c r="B29" s="378"/>
      <c r="C29" s="378"/>
      <c r="D29" s="86">
        <v>45955</v>
      </c>
      <c r="E29" s="258" t="s">
        <v>75</v>
      </c>
      <c r="F29" s="93">
        <v>102.2</v>
      </c>
      <c r="G29" s="373"/>
      <c r="H29" s="373"/>
      <c r="I29" s="90">
        <f t="shared" si="0"/>
        <v>0.88638334778837824</v>
      </c>
      <c r="J29" s="381"/>
      <c r="K29" s="381"/>
      <c r="L29" s="207">
        <v>3.0552965842692894E-4</v>
      </c>
      <c r="M29" s="381"/>
      <c r="N29" s="381"/>
      <c r="O29" s="207">
        <v>2.5907431430799376E-3</v>
      </c>
      <c r="P29" s="381"/>
      <c r="Q29" s="381"/>
      <c r="R29" s="207">
        <v>0.42899999999999999</v>
      </c>
      <c r="S29" s="381"/>
      <c r="T29" s="381"/>
      <c r="U29" s="207">
        <v>0.85</v>
      </c>
      <c r="V29" s="381"/>
      <c r="W29" s="381"/>
    </row>
    <row r="30" spans="2:23" ht="14.45" customHeight="1">
      <c r="B30" s="378"/>
      <c r="C30" s="378"/>
      <c r="D30" s="86">
        <v>45956</v>
      </c>
      <c r="E30" s="258" t="s">
        <v>52</v>
      </c>
      <c r="F30" s="93">
        <v>111.35</v>
      </c>
      <c r="G30" s="373"/>
      <c r="H30" s="373"/>
      <c r="I30" s="90">
        <f t="shared" si="0"/>
        <v>0.96574154379878574</v>
      </c>
      <c r="J30" s="381"/>
      <c r="K30" s="381"/>
      <c r="L30" s="207">
        <v>0</v>
      </c>
      <c r="M30" s="381"/>
      <c r="N30" s="381"/>
      <c r="O30" s="207">
        <v>6.3038934778916983E-4</v>
      </c>
      <c r="P30" s="381"/>
      <c r="Q30" s="381"/>
      <c r="R30" s="207">
        <v>0.42899999999999999</v>
      </c>
      <c r="S30" s="381"/>
      <c r="T30" s="381"/>
      <c r="U30" s="207">
        <v>0.85</v>
      </c>
      <c r="V30" s="381"/>
      <c r="W30" s="381"/>
    </row>
    <row r="31" spans="2:23" ht="14.45" customHeight="1">
      <c r="B31" s="378"/>
      <c r="C31" s="378"/>
      <c r="D31" s="86">
        <v>45957</v>
      </c>
      <c r="E31" s="86" t="s">
        <v>76</v>
      </c>
      <c r="F31" s="93">
        <v>105</v>
      </c>
      <c r="G31" s="373"/>
      <c r="H31" s="373"/>
      <c r="I31" s="90">
        <f t="shared" si="0"/>
        <v>0.91066782307025151</v>
      </c>
      <c r="J31" s="381"/>
      <c r="K31" s="381"/>
      <c r="L31" s="207">
        <v>2.0511891428891865E-4</v>
      </c>
      <c r="M31" s="381"/>
      <c r="N31" s="381"/>
      <c r="O31" s="207">
        <v>1.4300496113940531E-3</v>
      </c>
      <c r="P31" s="381"/>
      <c r="Q31" s="381"/>
      <c r="R31" s="207">
        <v>0.42899999999999999</v>
      </c>
      <c r="S31" s="381"/>
      <c r="T31" s="381"/>
      <c r="U31" s="207">
        <v>0.85</v>
      </c>
      <c r="V31" s="381"/>
      <c r="W31" s="381"/>
    </row>
    <row r="32" spans="2:23" ht="14.45" customHeight="1">
      <c r="B32" s="83"/>
      <c r="C32" s="378"/>
      <c r="D32" s="86">
        <v>45958</v>
      </c>
      <c r="E32" s="258" t="s">
        <v>77</v>
      </c>
      <c r="F32" s="93">
        <v>102.25</v>
      </c>
      <c r="G32" s="373">
        <f>AVERAGE(F32:F38)</f>
        <v>99.387500000000003</v>
      </c>
      <c r="H32" s="373"/>
      <c r="I32" s="90">
        <f t="shared" si="0"/>
        <v>0.88681699913269729</v>
      </c>
      <c r="J32" s="381">
        <f>AVERAGE(I32:I35)</f>
        <v>0.86199045967042487</v>
      </c>
      <c r="K32" s="381"/>
      <c r="L32" s="207">
        <v>1.0602571270617537E-3</v>
      </c>
      <c r="M32" s="381">
        <f>AVERAGE(L32:L35)</f>
        <v>2.7345078793017084E-3</v>
      </c>
      <c r="N32" s="381"/>
      <c r="O32" s="207">
        <v>2.9158490727898096E-3</v>
      </c>
      <c r="P32" s="381">
        <f>AVERAGE(O32:O35)</f>
        <v>4.2487277597570931E-3</v>
      </c>
      <c r="Q32" s="381"/>
      <c r="R32" s="207">
        <v>0.42899999999999999</v>
      </c>
      <c r="S32" s="381">
        <f>AVERAGE(R32:R35)</f>
        <v>0.42899999999999999</v>
      </c>
      <c r="T32" s="381"/>
      <c r="U32" s="207">
        <v>0.9</v>
      </c>
      <c r="V32" s="381">
        <f>AVERAGE(U32:U35)</f>
        <v>0.9</v>
      </c>
      <c r="W32" s="381"/>
    </row>
    <row r="33" spans="2:23" ht="14.45" customHeight="1">
      <c r="B33" s="83"/>
      <c r="C33" s="378"/>
      <c r="D33" s="86">
        <v>45959</v>
      </c>
      <c r="E33" s="258" t="s">
        <v>72</v>
      </c>
      <c r="F33" s="93">
        <v>98.75</v>
      </c>
      <c r="G33" s="373"/>
      <c r="H33" s="373"/>
      <c r="I33" s="90">
        <f t="shared" si="0"/>
        <v>0.85646140503035562</v>
      </c>
      <c r="J33" s="381"/>
      <c r="K33" s="381"/>
      <c r="L33" s="207">
        <v>2.5927037221423282E-3</v>
      </c>
      <c r="M33" s="381"/>
      <c r="N33" s="381"/>
      <c r="O33" s="207">
        <v>2.5403459527023374E-3</v>
      </c>
      <c r="P33" s="381"/>
      <c r="Q33" s="381"/>
      <c r="R33" s="207">
        <v>0.42899999999999999</v>
      </c>
      <c r="S33" s="381"/>
      <c r="T33" s="381"/>
      <c r="U33" s="207">
        <v>0.9</v>
      </c>
      <c r="V33" s="381"/>
      <c r="W33" s="381"/>
    </row>
    <row r="34" spans="2:23" ht="14.45" customHeight="1">
      <c r="B34" s="83"/>
      <c r="C34" s="378"/>
      <c r="D34" s="86">
        <v>45960</v>
      </c>
      <c r="E34" s="258" t="s">
        <v>73</v>
      </c>
      <c r="F34" s="93">
        <v>98.55</v>
      </c>
      <c r="G34" s="373"/>
      <c r="H34" s="373"/>
      <c r="I34" s="90">
        <f t="shared" si="0"/>
        <v>0.85472679965307896</v>
      </c>
      <c r="J34" s="381"/>
      <c r="K34" s="381"/>
      <c r="L34" s="207">
        <v>8.2993584210327813E-4</v>
      </c>
      <c r="M34" s="381"/>
      <c r="N34" s="381"/>
      <c r="O34" s="207">
        <v>5.0456208332808755E-3</v>
      </c>
      <c r="P34" s="381"/>
      <c r="Q34" s="381"/>
      <c r="R34" s="207">
        <v>0.42899999999999999</v>
      </c>
      <c r="S34" s="381"/>
      <c r="T34" s="381"/>
      <c r="U34" s="207">
        <v>0.9</v>
      </c>
      <c r="V34" s="381"/>
      <c r="W34" s="381"/>
    </row>
    <row r="35" spans="2:23" ht="14.25">
      <c r="B35" s="83"/>
      <c r="C35" s="378"/>
      <c r="D35" s="86">
        <v>45961</v>
      </c>
      <c r="E35" s="258" t="s">
        <v>74</v>
      </c>
      <c r="F35" s="93">
        <v>98</v>
      </c>
      <c r="G35" s="373"/>
      <c r="H35" s="373"/>
      <c r="I35" s="90">
        <f t="shared" si="0"/>
        <v>0.84995663486556805</v>
      </c>
      <c r="J35" s="381"/>
      <c r="K35" s="381"/>
      <c r="L35" s="207">
        <v>6.4551348258994742E-3</v>
      </c>
      <c r="M35" s="381"/>
      <c r="N35" s="381"/>
      <c r="O35" s="207">
        <v>6.4930951802553514E-3</v>
      </c>
      <c r="P35" s="381"/>
      <c r="Q35" s="381"/>
      <c r="R35" s="207">
        <v>0.42899999999999999</v>
      </c>
      <c r="S35" s="381"/>
      <c r="T35" s="381"/>
      <c r="U35" s="207">
        <v>0.9</v>
      </c>
      <c r="V35" s="381"/>
      <c r="W35" s="381"/>
    </row>
    <row r="36" spans="2:23">
      <c r="B36" s="83"/>
      <c r="D36" s="86"/>
      <c r="E36" s="86"/>
      <c r="F36" s="93"/>
      <c r="G36" s="373"/>
      <c r="H36" s="93"/>
      <c r="I36" s="90">
        <f t="shared" si="0"/>
        <v>0</v>
      </c>
      <c r="J36" s="381"/>
      <c r="K36" s="87"/>
      <c r="L36" s="207"/>
      <c r="M36" s="381"/>
      <c r="N36" s="207"/>
      <c r="O36" s="207"/>
      <c r="P36" s="381"/>
      <c r="Q36" s="207"/>
      <c r="R36" s="207"/>
      <c r="S36" s="381"/>
      <c r="T36" s="207"/>
      <c r="U36" s="207"/>
      <c r="V36" s="381"/>
      <c r="W36" s="207"/>
    </row>
    <row r="37" spans="2:23">
      <c r="B37" s="378"/>
      <c r="D37" s="86"/>
      <c r="E37" s="86"/>
      <c r="F37" s="93"/>
      <c r="G37" s="373"/>
      <c r="H37" s="93"/>
      <c r="I37" s="90">
        <f t="shared" si="0"/>
        <v>0</v>
      </c>
      <c r="J37" s="381"/>
      <c r="K37" s="87"/>
      <c r="L37" s="207"/>
      <c r="M37" s="381"/>
      <c r="N37" s="207"/>
      <c r="O37" s="207"/>
      <c r="P37" s="381"/>
      <c r="Q37" s="207"/>
      <c r="R37" s="207"/>
      <c r="S37" s="381"/>
      <c r="T37" s="207"/>
      <c r="U37" s="207"/>
      <c r="V37" s="381"/>
      <c r="W37" s="207"/>
    </row>
    <row r="38" spans="2:23">
      <c r="B38" s="378"/>
      <c r="D38" s="86"/>
      <c r="E38" s="86"/>
      <c r="F38" s="93"/>
      <c r="G38" s="373"/>
      <c r="H38" s="93"/>
      <c r="I38" s="90">
        <f t="shared" si="0"/>
        <v>0</v>
      </c>
      <c r="J38" s="381"/>
      <c r="K38" s="87"/>
      <c r="L38" s="207"/>
      <c r="M38" s="381"/>
      <c r="N38" s="207"/>
      <c r="O38" s="207"/>
      <c r="P38" s="381"/>
      <c r="Q38" s="207"/>
      <c r="R38" s="207"/>
      <c r="S38" s="381"/>
      <c r="T38" s="207"/>
      <c r="U38" s="207"/>
      <c r="V38" s="381"/>
      <c r="W38" s="207"/>
    </row>
    <row r="39" spans="2:23">
      <c r="B39" s="378"/>
      <c r="D39" s="86"/>
      <c r="E39" s="86"/>
      <c r="F39" s="93"/>
      <c r="G39" s="93"/>
      <c r="H39" s="93"/>
      <c r="I39" s="90">
        <f t="shared" si="0"/>
        <v>0</v>
      </c>
      <c r="J39" s="207"/>
      <c r="K39" s="8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</row>
    <row r="40" spans="2:23">
      <c r="B40" s="378"/>
      <c r="D40" s="86"/>
      <c r="E40" s="86"/>
      <c r="F40" s="93"/>
      <c r="G40" s="93"/>
      <c r="H40" s="93"/>
      <c r="I40" s="90">
        <f t="shared" si="0"/>
        <v>0</v>
      </c>
      <c r="J40" s="207"/>
      <c r="K40" s="8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</row>
    <row r="41" spans="2:23">
      <c r="B41" s="378"/>
      <c r="D41" s="86"/>
      <c r="E41" s="86"/>
      <c r="F41" s="93"/>
      <c r="G41" s="93"/>
      <c r="H41" s="93"/>
      <c r="I41" s="90">
        <f t="shared" si="0"/>
        <v>0</v>
      </c>
      <c r="J41" s="207"/>
      <c r="K41" s="8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</row>
    <row r="42" spans="2:23">
      <c r="B42" s="378"/>
      <c r="D42" s="86"/>
      <c r="E42" s="86"/>
      <c r="F42" s="93"/>
      <c r="G42" s="93"/>
      <c r="H42" s="93"/>
      <c r="I42" s="90">
        <f t="shared" si="0"/>
        <v>0</v>
      </c>
      <c r="J42" s="207"/>
      <c r="K42" s="8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</row>
    <row r="43" spans="2:23">
      <c r="B43" s="378"/>
      <c r="D43" s="86"/>
      <c r="E43" s="86"/>
      <c r="F43" s="93"/>
      <c r="G43" s="93"/>
      <c r="H43" s="93"/>
      <c r="I43" s="90">
        <f t="shared" si="0"/>
        <v>0</v>
      </c>
      <c r="J43" s="207"/>
      <c r="K43" s="8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</row>
  </sheetData>
  <mergeCells count="52">
    <mergeCell ref="W5:W35"/>
    <mergeCell ref="B11:B17"/>
    <mergeCell ref="G11:G17"/>
    <mergeCell ref="J11:J17"/>
    <mergeCell ref="M11:M17"/>
    <mergeCell ref="P11:P17"/>
    <mergeCell ref="S11:S17"/>
    <mergeCell ref="V11:V17"/>
    <mergeCell ref="B18:B24"/>
    <mergeCell ref="G18:G24"/>
    <mergeCell ref="J18:J24"/>
    <mergeCell ref="M18:M24"/>
    <mergeCell ref="P18:P24"/>
    <mergeCell ref="S18:S24"/>
    <mergeCell ref="M32:M38"/>
    <mergeCell ref="P32:P38"/>
    <mergeCell ref="S32:S38"/>
    <mergeCell ref="T5:T35"/>
    <mergeCell ref="V5:V10"/>
    <mergeCell ref="O3:Q3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B37:B43"/>
    <mergeCell ref="C5:C35"/>
    <mergeCell ref="B5:B10"/>
    <mergeCell ref="G5:G10"/>
    <mergeCell ref="B25:B31"/>
    <mergeCell ref="G25:G31"/>
    <mergeCell ref="G32:G38"/>
    <mergeCell ref="V18:V24"/>
    <mergeCell ref="V25:V31"/>
    <mergeCell ref="V32:V38"/>
    <mergeCell ref="H5:H35"/>
    <mergeCell ref="J5:J10"/>
    <mergeCell ref="K5:K35"/>
    <mergeCell ref="J25:J31"/>
    <mergeCell ref="J32:J38"/>
    <mergeCell ref="M5:M10"/>
    <mergeCell ref="N5:N35"/>
    <mergeCell ref="P5:P10"/>
    <mergeCell ref="Q5:Q35"/>
    <mergeCell ref="S5:S10"/>
    <mergeCell ref="M25:M31"/>
    <mergeCell ref="P25:P31"/>
    <mergeCell ref="S25:S31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sqref="A1:XFD1048576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64" t="s">
        <v>78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</row>
    <row r="3" spans="1:14" ht="25.35" customHeight="1">
      <c r="B3" s="392" t="s">
        <v>43</v>
      </c>
      <c r="C3" s="393" t="s">
        <v>79</v>
      </c>
      <c r="D3" s="394" t="s">
        <v>45</v>
      </c>
      <c r="E3" s="394"/>
      <c r="F3" s="395" t="s">
        <v>80</v>
      </c>
      <c r="G3" s="395"/>
      <c r="H3" s="395"/>
      <c r="I3" s="387" t="s">
        <v>81</v>
      </c>
      <c r="J3" s="388"/>
      <c r="K3" s="388"/>
      <c r="L3" s="388"/>
      <c r="M3" s="388"/>
      <c r="N3" s="389"/>
    </row>
    <row r="4" spans="1:14" ht="25.35" customHeight="1">
      <c r="B4" s="392"/>
      <c r="C4" s="393"/>
      <c r="D4" s="394"/>
      <c r="E4" s="394"/>
      <c r="F4" s="395"/>
      <c r="G4" s="395"/>
      <c r="H4" s="395"/>
      <c r="I4" s="391" t="s">
        <v>82</v>
      </c>
      <c r="J4" s="391"/>
      <c r="K4" s="391" t="s">
        <v>83</v>
      </c>
      <c r="L4" s="391"/>
      <c r="M4" s="391" t="s">
        <v>84</v>
      </c>
      <c r="N4" s="391"/>
    </row>
    <row r="5" spans="1:14" ht="25.35" customHeight="1">
      <c r="B5" s="392"/>
      <c r="C5" s="393"/>
      <c r="D5" s="394"/>
      <c r="E5" s="394"/>
      <c r="F5" s="396" t="s">
        <v>52</v>
      </c>
      <c r="G5" s="396" t="s">
        <v>53</v>
      </c>
      <c r="H5" s="396" t="s">
        <v>54</v>
      </c>
      <c r="I5" s="391" t="s">
        <v>85</v>
      </c>
      <c r="J5" s="391"/>
      <c r="K5" s="391" t="s">
        <v>85</v>
      </c>
      <c r="L5" s="391"/>
      <c r="M5" s="391" t="s">
        <v>85</v>
      </c>
      <c r="N5" s="391"/>
    </row>
    <row r="6" spans="1:14" s="82" customFormat="1" ht="23.45" customHeight="1">
      <c r="B6" s="392"/>
      <c r="C6" s="393"/>
      <c r="D6" s="394"/>
      <c r="E6" s="394"/>
      <c r="F6" s="396"/>
      <c r="G6" s="396"/>
      <c r="H6" s="396"/>
      <c r="I6" s="98" t="s">
        <v>86</v>
      </c>
      <c r="J6" s="99" t="s">
        <v>87</v>
      </c>
      <c r="K6" s="98" t="s">
        <v>86</v>
      </c>
      <c r="L6" s="99" t="s">
        <v>87</v>
      </c>
      <c r="M6" s="98" t="s">
        <v>86</v>
      </c>
      <c r="N6" s="99" t="s">
        <v>87</v>
      </c>
    </row>
    <row r="7" spans="1:14">
      <c r="B7" s="382">
        <v>45937</v>
      </c>
      <c r="C7" s="377" t="s">
        <v>55</v>
      </c>
      <c r="D7" s="86">
        <v>45931</v>
      </c>
      <c r="E7" s="258" t="s">
        <v>72</v>
      </c>
      <c r="F7" s="97">
        <f>SUM(I7,K7,M7)</f>
        <v>2824752.9699999997</v>
      </c>
      <c r="G7" s="360">
        <f>SUM(F7:F12)</f>
        <v>13981867.529999999</v>
      </c>
      <c r="H7" s="390">
        <f>SUM(F7:F37)</f>
        <v>79114252.980000019</v>
      </c>
      <c r="I7" s="100">
        <v>2501030.36</v>
      </c>
      <c r="J7" s="101">
        <f t="shared" ref="J7:J37" si="0">I7/F7</f>
        <v>0.88539790436966959</v>
      </c>
      <c r="K7" s="100"/>
      <c r="L7" s="101">
        <f t="shared" ref="L7:L37" si="1">K7/F7</f>
        <v>0</v>
      </c>
      <c r="M7" s="100">
        <v>323722.61</v>
      </c>
      <c r="N7" s="101">
        <f t="shared" ref="N7:N37" si="2">M7/F7</f>
        <v>0.11460209563033047</v>
      </c>
    </row>
    <row r="8" spans="1:14">
      <c r="B8" s="382"/>
      <c r="C8" s="378"/>
      <c r="D8" s="86">
        <v>45932</v>
      </c>
      <c r="E8" s="258" t="s">
        <v>73</v>
      </c>
      <c r="F8" s="97">
        <f t="shared" ref="F8:F37" si="3">SUM(I8,K8,M8)</f>
        <v>2491478.86</v>
      </c>
      <c r="G8" s="360"/>
      <c r="H8" s="390"/>
      <c r="I8" s="100">
        <v>2296406.0699999998</v>
      </c>
      <c r="J8" s="101">
        <f t="shared" si="0"/>
        <v>0.92170401558213499</v>
      </c>
      <c r="K8" s="100"/>
      <c r="L8" s="101">
        <f t="shared" si="1"/>
        <v>0</v>
      </c>
      <c r="M8" s="100">
        <v>195072.79</v>
      </c>
      <c r="N8" s="101">
        <f t="shared" si="2"/>
        <v>7.8295984417864992E-2</v>
      </c>
    </row>
    <row r="9" spans="1:14">
      <c r="B9" s="382"/>
      <c r="C9" s="378"/>
      <c r="D9" s="86">
        <v>45933</v>
      </c>
      <c r="E9" s="258" t="s">
        <v>74</v>
      </c>
      <c r="F9" s="97">
        <f t="shared" si="3"/>
        <v>1927390.0100000002</v>
      </c>
      <c r="G9" s="360"/>
      <c r="H9" s="390"/>
      <c r="I9" s="100">
        <v>1771863.62</v>
      </c>
      <c r="J9" s="101">
        <f t="shared" si="0"/>
        <v>0.91930725530739876</v>
      </c>
      <c r="K9" s="100"/>
      <c r="L9" s="101">
        <f t="shared" si="1"/>
        <v>0</v>
      </c>
      <c r="M9" s="100">
        <v>155526.39000000001</v>
      </c>
      <c r="N9" s="101">
        <f t="shared" si="2"/>
        <v>8.0692744692601154E-2</v>
      </c>
    </row>
    <row r="10" spans="1:14">
      <c r="B10" s="382"/>
      <c r="C10" s="378"/>
      <c r="D10" s="86">
        <v>45934</v>
      </c>
      <c r="E10" s="258" t="s">
        <v>75</v>
      </c>
      <c r="F10" s="97">
        <f t="shared" si="3"/>
        <v>1927172.27</v>
      </c>
      <c r="G10" s="360"/>
      <c r="H10" s="390"/>
      <c r="I10" s="100">
        <v>1766457.77</v>
      </c>
      <c r="J10" s="101">
        <f t="shared" si="0"/>
        <v>0.9166060541126404</v>
      </c>
      <c r="K10" s="100"/>
      <c r="L10" s="101">
        <f t="shared" si="1"/>
        <v>0</v>
      </c>
      <c r="M10" s="100">
        <v>160714.5</v>
      </c>
      <c r="N10" s="101">
        <f t="shared" si="2"/>
        <v>8.3393945887359613E-2</v>
      </c>
    </row>
    <row r="11" spans="1:14">
      <c r="B11" s="382"/>
      <c r="C11" s="378"/>
      <c r="D11" s="86">
        <v>45935</v>
      </c>
      <c r="E11" s="258" t="s">
        <v>52</v>
      </c>
      <c r="F11" s="97">
        <f t="shared" si="3"/>
        <v>2140557.92</v>
      </c>
      <c r="G11" s="360"/>
      <c r="H11" s="390"/>
      <c r="I11" s="100">
        <v>1964601.01</v>
      </c>
      <c r="J11" s="101">
        <f t="shared" si="0"/>
        <v>0.91779857561621137</v>
      </c>
      <c r="K11" s="100"/>
      <c r="L11" s="101">
        <f t="shared" si="1"/>
        <v>0</v>
      </c>
      <c r="M11" s="100">
        <v>175956.91</v>
      </c>
      <c r="N11" s="101">
        <f t="shared" si="2"/>
        <v>8.220142438378869E-2</v>
      </c>
    </row>
    <row r="12" spans="1:14" ht="12">
      <c r="B12" s="382"/>
      <c r="C12" s="378"/>
      <c r="D12" s="86">
        <v>45936</v>
      </c>
      <c r="E12" s="86" t="s">
        <v>76</v>
      </c>
      <c r="F12" s="97">
        <f t="shared" si="3"/>
        <v>2670515.5</v>
      </c>
      <c r="G12" s="360"/>
      <c r="H12" s="390"/>
      <c r="I12" s="100">
        <v>2432019.09</v>
      </c>
      <c r="J12" s="101">
        <f t="shared" si="0"/>
        <v>0.91069274452816318</v>
      </c>
      <c r="K12" s="100"/>
      <c r="L12" s="101">
        <f t="shared" si="1"/>
        <v>0</v>
      </c>
      <c r="M12" s="100">
        <v>238496.41</v>
      </c>
      <c r="N12" s="101">
        <f t="shared" si="2"/>
        <v>8.9307255471836808E-2</v>
      </c>
    </row>
    <row r="13" spans="1:14">
      <c r="B13" s="382">
        <v>45944</v>
      </c>
      <c r="C13" s="378"/>
      <c r="D13" s="86">
        <v>45937</v>
      </c>
      <c r="E13" s="258" t="s">
        <v>77</v>
      </c>
      <c r="F13" s="97">
        <f t="shared" si="3"/>
        <v>2439394</v>
      </c>
      <c r="G13" s="360">
        <f>SUM(F13:F19)</f>
        <v>15660761.120000001</v>
      </c>
      <c r="H13" s="390"/>
      <c r="I13" s="100">
        <v>2191303.14</v>
      </c>
      <c r="J13" s="101">
        <f t="shared" si="0"/>
        <v>0.89829815929694024</v>
      </c>
      <c r="K13" s="100"/>
      <c r="L13" s="101">
        <f t="shared" si="1"/>
        <v>0</v>
      </c>
      <c r="M13" s="100">
        <v>248090.86</v>
      </c>
      <c r="N13" s="101">
        <f t="shared" si="2"/>
        <v>0.10170184070305985</v>
      </c>
    </row>
    <row r="14" spans="1:14">
      <c r="B14" s="382"/>
      <c r="C14" s="378"/>
      <c r="D14" s="86">
        <v>45938</v>
      </c>
      <c r="E14" s="258" t="s">
        <v>72</v>
      </c>
      <c r="F14" s="97">
        <f t="shared" si="3"/>
        <v>2377431.23</v>
      </c>
      <c r="G14" s="360"/>
      <c r="H14" s="390"/>
      <c r="I14" s="100">
        <v>2154554.67</v>
      </c>
      <c r="J14" s="101">
        <f t="shared" si="0"/>
        <v>0.90625320421991762</v>
      </c>
      <c r="K14" s="100"/>
      <c r="L14" s="101">
        <f t="shared" si="1"/>
        <v>0</v>
      </c>
      <c r="M14" s="100">
        <v>222876.56</v>
      </c>
      <c r="N14" s="101">
        <f t="shared" si="2"/>
        <v>9.3746795780082354E-2</v>
      </c>
    </row>
    <row r="15" spans="1:14">
      <c r="B15" s="382"/>
      <c r="C15" s="378"/>
      <c r="D15" s="86">
        <v>45939</v>
      </c>
      <c r="E15" s="258" t="s">
        <v>73</v>
      </c>
      <c r="F15" s="97">
        <f t="shared" si="3"/>
        <v>1944054.05</v>
      </c>
      <c r="G15" s="360"/>
      <c r="H15" s="390"/>
      <c r="I15" s="100">
        <v>1757335.46</v>
      </c>
      <c r="J15" s="101">
        <f t="shared" si="0"/>
        <v>0.90395401300699429</v>
      </c>
      <c r="K15" s="100"/>
      <c r="L15" s="101">
        <f t="shared" si="1"/>
        <v>0</v>
      </c>
      <c r="M15" s="100">
        <v>186718.59</v>
      </c>
      <c r="N15" s="101">
        <f t="shared" si="2"/>
        <v>9.6045986993005664E-2</v>
      </c>
    </row>
    <row r="16" spans="1:14">
      <c r="B16" s="382"/>
      <c r="C16" s="378"/>
      <c r="D16" s="86">
        <v>45940</v>
      </c>
      <c r="E16" s="258" t="s">
        <v>74</v>
      </c>
      <c r="F16" s="97">
        <f t="shared" si="3"/>
        <v>1880152.1</v>
      </c>
      <c r="G16" s="360"/>
      <c r="H16" s="390"/>
      <c r="I16" s="100">
        <v>1704780.27</v>
      </c>
      <c r="J16" s="101">
        <f t="shared" si="0"/>
        <v>0.90672465807420577</v>
      </c>
      <c r="K16" s="100"/>
      <c r="L16" s="101">
        <f t="shared" si="1"/>
        <v>0</v>
      </c>
      <c r="M16" s="100">
        <v>175371.83</v>
      </c>
      <c r="N16" s="101">
        <f t="shared" si="2"/>
        <v>9.3275341925794189E-2</v>
      </c>
    </row>
    <row r="17" spans="2:14">
      <c r="B17" s="382"/>
      <c r="C17" s="378"/>
      <c r="D17" s="86">
        <v>45941</v>
      </c>
      <c r="E17" s="258" t="s">
        <v>75</v>
      </c>
      <c r="F17" s="97">
        <f t="shared" si="3"/>
        <v>1925306.23</v>
      </c>
      <c r="G17" s="360"/>
      <c r="H17" s="390"/>
      <c r="I17" s="100">
        <v>1740845.52</v>
      </c>
      <c r="J17" s="101">
        <f t="shared" si="0"/>
        <v>0.90419149581207148</v>
      </c>
      <c r="K17" s="100"/>
      <c r="L17" s="101">
        <f t="shared" si="1"/>
        <v>0</v>
      </c>
      <c r="M17" s="100">
        <v>184460.71</v>
      </c>
      <c r="N17" s="101">
        <f t="shared" si="2"/>
        <v>9.5808504187928578E-2</v>
      </c>
    </row>
    <row r="18" spans="2:14">
      <c r="B18" s="382"/>
      <c r="C18" s="378"/>
      <c r="D18" s="86">
        <v>45942</v>
      </c>
      <c r="E18" s="258" t="s">
        <v>52</v>
      </c>
      <c r="F18" s="97">
        <f t="shared" si="3"/>
        <v>2526042.6900000004</v>
      </c>
      <c r="G18" s="360"/>
      <c r="H18" s="390"/>
      <c r="I18" s="100">
        <v>2298653.6800000002</v>
      </c>
      <c r="J18" s="101">
        <f t="shared" si="0"/>
        <v>0.90998211910662519</v>
      </c>
      <c r="K18" s="100"/>
      <c r="L18" s="101">
        <f t="shared" si="1"/>
        <v>0</v>
      </c>
      <c r="M18" s="100">
        <v>227389.01</v>
      </c>
      <c r="N18" s="101">
        <f t="shared" si="2"/>
        <v>9.0017880893374758E-2</v>
      </c>
    </row>
    <row r="19" spans="2:14" ht="12">
      <c r="B19" s="382"/>
      <c r="C19" s="378"/>
      <c r="D19" s="86">
        <v>45943</v>
      </c>
      <c r="E19" s="86" t="s">
        <v>76</v>
      </c>
      <c r="F19" s="97">
        <f t="shared" si="3"/>
        <v>2568380.8199999998</v>
      </c>
      <c r="G19" s="360"/>
      <c r="H19" s="390"/>
      <c r="I19" s="100">
        <v>2338849.71</v>
      </c>
      <c r="J19" s="101">
        <f t="shared" si="0"/>
        <v>0.91063197941183815</v>
      </c>
      <c r="K19" s="100"/>
      <c r="L19" s="101">
        <f t="shared" si="1"/>
        <v>0</v>
      </c>
      <c r="M19" s="100">
        <v>229531.11</v>
      </c>
      <c r="N19" s="101">
        <f t="shared" si="2"/>
        <v>8.9368020588161845E-2</v>
      </c>
    </row>
    <row r="20" spans="2:14">
      <c r="B20" s="382">
        <v>45951</v>
      </c>
      <c r="C20" s="378"/>
      <c r="D20" s="86">
        <v>45944</v>
      </c>
      <c r="E20" s="258" t="s">
        <v>77</v>
      </c>
      <c r="F20" s="97">
        <f t="shared" si="3"/>
        <v>3635258.7600000002</v>
      </c>
      <c r="G20" s="360">
        <f>SUM(F20:F26)</f>
        <v>20111968.940000001</v>
      </c>
      <c r="H20" s="390"/>
      <c r="I20" s="100">
        <v>3397342.41</v>
      </c>
      <c r="J20" s="101">
        <f t="shared" si="0"/>
        <v>0.93455311830401855</v>
      </c>
      <c r="K20" s="100"/>
      <c r="L20" s="101">
        <f t="shared" si="1"/>
        <v>0</v>
      </c>
      <c r="M20" s="100">
        <v>237916.35</v>
      </c>
      <c r="N20" s="101">
        <f t="shared" si="2"/>
        <v>6.5446881695981382E-2</v>
      </c>
    </row>
    <row r="21" spans="2:14">
      <c r="B21" s="378"/>
      <c r="C21" s="378"/>
      <c r="D21" s="86">
        <v>45945</v>
      </c>
      <c r="E21" s="258" t="s">
        <v>72</v>
      </c>
      <c r="F21" s="97">
        <f t="shared" si="3"/>
        <v>3467625.52</v>
      </c>
      <c r="G21" s="360"/>
      <c r="H21" s="390"/>
      <c r="I21" s="100">
        <v>3230072.56</v>
      </c>
      <c r="J21" s="101">
        <f t="shared" si="0"/>
        <v>0.93149405590947432</v>
      </c>
      <c r="K21" s="100"/>
      <c r="L21" s="101">
        <f t="shared" si="1"/>
        <v>0</v>
      </c>
      <c r="M21" s="100">
        <v>237552.96</v>
      </c>
      <c r="N21" s="101">
        <f t="shared" si="2"/>
        <v>6.8505944090525669E-2</v>
      </c>
    </row>
    <row r="22" spans="2:14">
      <c r="B22" s="378"/>
      <c r="C22" s="378"/>
      <c r="D22" s="86">
        <v>45946</v>
      </c>
      <c r="E22" s="258" t="s">
        <v>73</v>
      </c>
      <c r="F22" s="97">
        <f t="shared" si="3"/>
        <v>3151397.39</v>
      </c>
      <c r="G22" s="360"/>
      <c r="H22" s="390"/>
      <c r="I22" s="100">
        <v>2931360.14</v>
      </c>
      <c r="J22" s="101">
        <f t="shared" si="0"/>
        <v>0.93017787896308435</v>
      </c>
      <c r="K22" s="100"/>
      <c r="L22" s="101">
        <f t="shared" si="1"/>
        <v>0</v>
      </c>
      <c r="M22" s="100">
        <v>220037.25</v>
      </c>
      <c r="N22" s="101">
        <f t="shared" si="2"/>
        <v>6.9822121036915624E-2</v>
      </c>
    </row>
    <row r="23" spans="2:14">
      <c r="B23" s="378"/>
      <c r="C23" s="378"/>
      <c r="D23" s="86">
        <v>45947</v>
      </c>
      <c r="E23" s="258" t="s">
        <v>74</v>
      </c>
      <c r="F23" s="97">
        <f t="shared" si="3"/>
        <v>2276871.2199999997</v>
      </c>
      <c r="G23" s="360"/>
      <c r="H23" s="390"/>
      <c r="I23" s="100">
        <v>2097558.36</v>
      </c>
      <c r="J23" s="101">
        <f t="shared" si="0"/>
        <v>0.9212459367816157</v>
      </c>
      <c r="K23" s="100"/>
      <c r="L23" s="101">
        <f t="shared" si="1"/>
        <v>0</v>
      </c>
      <c r="M23" s="100">
        <v>179312.86</v>
      </c>
      <c r="N23" s="101">
        <f t="shared" si="2"/>
        <v>7.8754063218384393E-2</v>
      </c>
    </row>
    <row r="24" spans="2:14">
      <c r="B24" s="378"/>
      <c r="C24" s="378"/>
      <c r="D24" s="86">
        <v>45948</v>
      </c>
      <c r="E24" s="258" t="s">
        <v>75</v>
      </c>
      <c r="F24" s="97">
        <f t="shared" si="3"/>
        <v>2205834.5500000003</v>
      </c>
      <c r="G24" s="360"/>
      <c r="H24" s="390"/>
      <c r="I24" s="100">
        <v>2018044.37</v>
      </c>
      <c r="J24" s="101">
        <f t="shared" si="0"/>
        <v>0.91486660683594778</v>
      </c>
      <c r="K24" s="100"/>
      <c r="L24" s="101">
        <f t="shared" si="1"/>
        <v>0</v>
      </c>
      <c r="M24" s="100">
        <v>187790.18</v>
      </c>
      <c r="N24" s="101">
        <f t="shared" si="2"/>
        <v>8.5133393164052107E-2</v>
      </c>
    </row>
    <row r="25" spans="2:14">
      <c r="B25" s="378"/>
      <c r="C25" s="378"/>
      <c r="D25" s="86">
        <v>45949</v>
      </c>
      <c r="E25" s="258" t="s">
        <v>52</v>
      </c>
      <c r="F25" s="97">
        <f t="shared" si="3"/>
        <v>2688271.5</v>
      </c>
      <c r="G25" s="360"/>
      <c r="H25" s="390"/>
      <c r="I25" s="100">
        <v>2449934.25</v>
      </c>
      <c r="J25" s="101">
        <f t="shared" si="0"/>
        <v>0.91134182317522616</v>
      </c>
      <c r="K25" s="100"/>
      <c r="L25" s="101">
        <f t="shared" si="1"/>
        <v>0</v>
      </c>
      <c r="M25" s="100">
        <v>238337.25</v>
      </c>
      <c r="N25" s="101">
        <f t="shared" si="2"/>
        <v>8.8658176824773838E-2</v>
      </c>
    </row>
    <row r="26" spans="2:14" ht="12">
      <c r="B26" s="378"/>
      <c r="C26" s="378"/>
      <c r="D26" s="86">
        <v>45950</v>
      </c>
      <c r="E26" s="86" t="s">
        <v>76</v>
      </c>
      <c r="F26" s="97">
        <f t="shared" si="3"/>
        <v>2686710</v>
      </c>
      <c r="G26" s="360"/>
      <c r="H26" s="390"/>
      <c r="I26" s="100">
        <v>2453934</v>
      </c>
      <c r="J26" s="101">
        <f t="shared" si="0"/>
        <v>0.91336020634902915</v>
      </c>
      <c r="K26" s="100"/>
      <c r="L26" s="101">
        <f t="shared" si="1"/>
        <v>0</v>
      </c>
      <c r="M26" s="100">
        <v>232776</v>
      </c>
      <c r="N26" s="101">
        <f t="shared" si="2"/>
        <v>8.6639793650970895E-2</v>
      </c>
    </row>
    <row r="27" spans="2:14">
      <c r="B27" s="382">
        <v>45958</v>
      </c>
      <c r="C27" s="378"/>
      <c r="D27" s="86">
        <v>45951</v>
      </c>
      <c r="E27" s="258" t="s">
        <v>77</v>
      </c>
      <c r="F27" s="97">
        <f t="shared" si="3"/>
        <v>2781157.6999999997</v>
      </c>
      <c r="G27" s="360">
        <f>SUM(F27:F33)</f>
        <v>17807828.030000001</v>
      </c>
      <c r="H27" s="390"/>
      <c r="I27" s="100">
        <v>2548381.3199999998</v>
      </c>
      <c r="J27" s="101">
        <f t="shared" si="0"/>
        <v>0.91630234416408685</v>
      </c>
      <c r="K27" s="100"/>
      <c r="L27" s="101">
        <f t="shared" si="1"/>
        <v>0</v>
      </c>
      <c r="M27" s="100">
        <v>232776.38</v>
      </c>
      <c r="N27" s="101">
        <f t="shared" si="2"/>
        <v>8.3697655835913237E-2</v>
      </c>
    </row>
    <row r="28" spans="2:14">
      <c r="B28" s="378"/>
      <c r="C28" s="378"/>
      <c r="D28" s="86">
        <v>45952</v>
      </c>
      <c r="E28" s="258" t="s">
        <v>72</v>
      </c>
      <c r="F28" s="97">
        <f t="shared" si="3"/>
        <v>2829635.02</v>
      </c>
      <c r="G28" s="360"/>
      <c r="H28" s="390"/>
      <c r="I28" s="100">
        <v>2606668.96</v>
      </c>
      <c r="J28" s="101">
        <f t="shared" si="0"/>
        <v>0.9212032440848148</v>
      </c>
      <c r="K28" s="100"/>
      <c r="L28" s="101">
        <f t="shared" si="1"/>
        <v>0</v>
      </c>
      <c r="M28" s="100">
        <v>222966.06</v>
      </c>
      <c r="N28" s="101">
        <f t="shared" si="2"/>
        <v>7.8796755915185132E-2</v>
      </c>
    </row>
    <row r="29" spans="2:14">
      <c r="B29" s="378"/>
      <c r="C29" s="378"/>
      <c r="D29" s="86">
        <v>45953</v>
      </c>
      <c r="E29" s="258" t="s">
        <v>73</v>
      </c>
      <c r="F29" s="97">
        <f t="shared" si="3"/>
        <v>2079044.88</v>
      </c>
      <c r="G29" s="360"/>
      <c r="H29" s="390"/>
      <c r="I29" s="100">
        <v>1898310.77</v>
      </c>
      <c r="J29" s="101">
        <f t="shared" si="0"/>
        <v>0.9130686827693687</v>
      </c>
      <c r="K29" s="100"/>
      <c r="L29" s="101">
        <f t="shared" si="1"/>
        <v>0</v>
      </c>
      <c r="M29" s="100">
        <v>180734.11</v>
      </c>
      <c r="N29" s="101">
        <f t="shared" si="2"/>
        <v>8.6931317230631397E-2</v>
      </c>
    </row>
    <row r="30" spans="2:14">
      <c r="B30" s="378"/>
      <c r="C30" s="378"/>
      <c r="D30" s="86">
        <v>45954</v>
      </c>
      <c r="E30" s="258" t="s">
        <v>74</v>
      </c>
      <c r="F30" s="97">
        <f t="shared" si="3"/>
        <v>1994621.3099999998</v>
      </c>
      <c r="G30" s="360"/>
      <c r="H30" s="390"/>
      <c r="I30" s="100">
        <v>1816157.16</v>
      </c>
      <c r="J30" s="101">
        <f t="shared" si="0"/>
        <v>0.91052730204712395</v>
      </c>
      <c r="K30" s="100"/>
      <c r="L30" s="101">
        <f t="shared" si="1"/>
        <v>0</v>
      </c>
      <c r="M30" s="100">
        <v>178464.15</v>
      </c>
      <c r="N30" s="101">
        <f t="shared" si="2"/>
        <v>8.9472697952876087E-2</v>
      </c>
    </row>
    <row r="31" spans="2:14">
      <c r="B31" s="378"/>
      <c r="C31" s="378"/>
      <c r="D31" s="86">
        <v>45955</v>
      </c>
      <c r="E31" s="258" t="s">
        <v>75</v>
      </c>
      <c r="F31" s="97">
        <f t="shared" si="3"/>
        <v>2156910.08</v>
      </c>
      <c r="G31" s="360"/>
      <c r="H31" s="390"/>
      <c r="I31" s="100">
        <v>1980757.13</v>
      </c>
      <c r="J31" s="101">
        <f t="shared" si="0"/>
        <v>0.91833087914355693</v>
      </c>
      <c r="K31" s="100"/>
      <c r="L31" s="101">
        <f t="shared" si="1"/>
        <v>0</v>
      </c>
      <c r="M31" s="100">
        <v>176152.95</v>
      </c>
      <c r="N31" s="101">
        <f t="shared" si="2"/>
        <v>8.1669120856442942E-2</v>
      </c>
    </row>
    <row r="32" spans="2:14">
      <c r="B32" s="378"/>
      <c r="C32" s="378"/>
      <c r="D32" s="86">
        <v>45956</v>
      </c>
      <c r="E32" s="258" t="s">
        <v>52</v>
      </c>
      <c r="F32" s="97">
        <f t="shared" si="3"/>
        <v>3026700.89</v>
      </c>
      <c r="G32" s="360"/>
      <c r="H32" s="390"/>
      <c r="I32" s="100">
        <v>2793092.46</v>
      </c>
      <c r="J32" s="101">
        <f t="shared" si="0"/>
        <v>0.92281747074122011</v>
      </c>
      <c r="K32" s="100"/>
      <c r="L32" s="101">
        <f t="shared" si="1"/>
        <v>0</v>
      </c>
      <c r="M32" s="100">
        <v>233608.43</v>
      </c>
      <c r="N32" s="101">
        <f t="shared" si="2"/>
        <v>7.7182529258779844E-2</v>
      </c>
    </row>
    <row r="33" spans="2:14" ht="12">
      <c r="B33" s="378"/>
      <c r="C33" s="378"/>
      <c r="D33" s="86">
        <v>45957</v>
      </c>
      <c r="E33" s="86" t="s">
        <v>76</v>
      </c>
      <c r="F33" s="97">
        <f t="shared" si="3"/>
        <v>2939758.15</v>
      </c>
      <c r="G33" s="360"/>
      <c r="H33" s="390"/>
      <c r="I33" s="100">
        <v>2706619.09</v>
      </c>
      <c r="J33" s="101">
        <f t="shared" si="0"/>
        <v>0.92069447617655209</v>
      </c>
      <c r="K33" s="100"/>
      <c r="L33" s="101">
        <f t="shared" si="1"/>
        <v>0</v>
      </c>
      <c r="M33" s="100">
        <v>233139.06</v>
      </c>
      <c r="N33" s="101">
        <f t="shared" si="2"/>
        <v>7.9305523823447854E-2</v>
      </c>
    </row>
    <row r="34" spans="2:14">
      <c r="B34" s="382">
        <v>45964</v>
      </c>
      <c r="C34" s="378"/>
      <c r="D34" s="86">
        <v>45958</v>
      </c>
      <c r="E34" s="258" t="s">
        <v>77</v>
      </c>
      <c r="F34" s="97">
        <f t="shared" si="3"/>
        <v>3521787.2199999997</v>
      </c>
      <c r="G34" s="360">
        <f>SUM(F34:F40)</f>
        <v>11551827.359999999</v>
      </c>
      <c r="H34" s="390"/>
      <c r="I34" s="100">
        <v>3268910.05</v>
      </c>
      <c r="J34" s="101">
        <f t="shared" si="0"/>
        <v>0.92819635196472772</v>
      </c>
      <c r="K34" s="100"/>
      <c r="L34" s="101">
        <f t="shared" si="1"/>
        <v>0</v>
      </c>
      <c r="M34" s="100">
        <v>252877.17</v>
      </c>
      <c r="N34" s="101">
        <f t="shared" si="2"/>
        <v>7.1803648035272283E-2</v>
      </c>
    </row>
    <row r="35" spans="2:14">
      <c r="B35" s="378"/>
      <c r="C35" s="378"/>
      <c r="D35" s="86">
        <v>45959</v>
      </c>
      <c r="E35" s="258" t="s">
        <v>72</v>
      </c>
      <c r="F35" s="97">
        <f t="shared" si="3"/>
        <v>3017699.2199999997</v>
      </c>
      <c r="G35" s="360"/>
      <c r="H35" s="390"/>
      <c r="I35" s="100">
        <v>2768276.9</v>
      </c>
      <c r="J35" s="101">
        <f t="shared" si="0"/>
        <v>0.91734685871045829</v>
      </c>
      <c r="K35" s="100"/>
      <c r="L35" s="101">
        <f t="shared" si="1"/>
        <v>0</v>
      </c>
      <c r="M35" s="100">
        <v>249422.32</v>
      </c>
      <c r="N35" s="101">
        <f t="shared" si="2"/>
        <v>8.2653141289541779E-2</v>
      </c>
    </row>
    <row r="36" spans="2:14">
      <c r="B36" s="378"/>
      <c r="C36" s="378"/>
      <c r="D36" s="86">
        <v>45960</v>
      </c>
      <c r="E36" s="258" t="s">
        <v>73</v>
      </c>
      <c r="F36" s="97">
        <f t="shared" si="3"/>
        <v>2878535.7600000002</v>
      </c>
      <c r="G36" s="360"/>
      <c r="H36" s="390"/>
      <c r="I36" s="100">
        <v>2651226.66</v>
      </c>
      <c r="J36" s="101">
        <f t="shared" si="0"/>
        <v>0.92103308106896675</v>
      </c>
      <c r="K36" s="100"/>
      <c r="L36" s="101">
        <f t="shared" si="1"/>
        <v>0</v>
      </c>
      <c r="M36" s="100">
        <v>227309.1</v>
      </c>
      <c r="N36" s="101">
        <f t="shared" si="2"/>
        <v>7.8966918931033178E-2</v>
      </c>
    </row>
    <row r="37" spans="2:14">
      <c r="B37" s="378"/>
      <c r="C37" s="378"/>
      <c r="D37" s="86">
        <v>45961</v>
      </c>
      <c r="E37" s="258" t="s">
        <v>74</v>
      </c>
      <c r="F37" s="97">
        <f t="shared" si="3"/>
        <v>2133805.16</v>
      </c>
      <c r="G37" s="360"/>
      <c r="H37" s="390"/>
      <c r="I37" s="100">
        <v>1959060.45</v>
      </c>
      <c r="J37" s="101">
        <f t="shared" si="0"/>
        <v>0.9181065294640115</v>
      </c>
      <c r="K37" s="100"/>
      <c r="L37" s="101">
        <f t="shared" si="1"/>
        <v>0</v>
      </c>
      <c r="M37" s="100">
        <v>174744.71</v>
      </c>
      <c r="N37" s="101">
        <f t="shared" si="2"/>
        <v>8.1893470535988389E-2</v>
      </c>
    </row>
    <row r="38" spans="2:14">
      <c r="B38" s="378"/>
      <c r="C38" s="79"/>
      <c r="D38" s="86">
        <v>45962</v>
      </c>
      <c r="E38" s="258" t="s">
        <v>75</v>
      </c>
      <c r="F38" s="97"/>
      <c r="G38" s="360"/>
      <c r="H38" s="97"/>
    </row>
    <row r="39" spans="2:14">
      <c r="B39" s="378"/>
      <c r="C39" s="79"/>
      <c r="D39" s="86">
        <v>45963</v>
      </c>
      <c r="E39" s="258" t="s">
        <v>52</v>
      </c>
      <c r="F39" s="97"/>
      <c r="G39" s="360"/>
      <c r="H39" s="97"/>
    </row>
    <row r="40" spans="2:14" ht="12">
      <c r="B40" s="378"/>
      <c r="C40" s="79"/>
      <c r="D40" s="86">
        <v>45964</v>
      </c>
      <c r="E40" s="86" t="s">
        <v>76</v>
      </c>
      <c r="F40" s="97"/>
      <c r="G40" s="360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7"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H5:H6"/>
    <mergeCell ref="I3:N3"/>
    <mergeCell ref="B7:B12"/>
    <mergeCell ref="G7:G12"/>
    <mergeCell ref="B13:B19"/>
    <mergeCell ref="G13:G19"/>
    <mergeCell ref="B20:B26"/>
    <mergeCell ref="G20:G26"/>
    <mergeCell ref="B27:B33"/>
    <mergeCell ref="G27:G33"/>
    <mergeCell ref="B34:B40"/>
    <mergeCell ref="G34:G40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S27" sqref="S27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36" t="s">
        <v>88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ht="25.35" customHeight="1">
      <c r="B3" s="392" t="s">
        <v>43</v>
      </c>
      <c r="C3" s="393" t="s">
        <v>79</v>
      </c>
      <c r="D3" s="394" t="s">
        <v>45</v>
      </c>
      <c r="E3" s="394"/>
      <c r="F3" s="402" t="s">
        <v>89</v>
      </c>
      <c r="G3" s="403"/>
      <c r="H3" s="403"/>
      <c r="I3" s="398" t="s">
        <v>90</v>
      </c>
      <c r="J3" s="399"/>
      <c r="K3" s="399"/>
      <c r="L3" s="399"/>
      <c r="M3" s="399"/>
      <c r="N3" s="400"/>
    </row>
    <row r="4" spans="1:14" ht="25.35" customHeight="1">
      <c r="B4" s="392"/>
      <c r="C4" s="393"/>
      <c r="D4" s="394"/>
      <c r="E4" s="394"/>
      <c r="F4" s="403"/>
      <c r="G4" s="403"/>
      <c r="H4" s="403"/>
      <c r="I4" s="397" t="s">
        <v>82</v>
      </c>
      <c r="J4" s="397"/>
      <c r="K4" s="397" t="s">
        <v>83</v>
      </c>
      <c r="L4" s="397"/>
      <c r="M4" s="397" t="s">
        <v>84</v>
      </c>
      <c r="N4" s="397"/>
    </row>
    <row r="5" spans="1:14" ht="25.35" customHeight="1">
      <c r="B5" s="392"/>
      <c r="C5" s="393"/>
      <c r="D5" s="394"/>
      <c r="E5" s="394"/>
      <c r="F5" s="401" t="s">
        <v>52</v>
      </c>
      <c r="G5" s="401" t="s">
        <v>53</v>
      </c>
      <c r="H5" s="401" t="s">
        <v>54</v>
      </c>
      <c r="I5" s="397" t="s">
        <v>85</v>
      </c>
      <c r="J5" s="397"/>
      <c r="K5" s="397" t="s">
        <v>85</v>
      </c>
      <c r="L5" s="397"/>
      <c r="M5" s="397" t="s">
        <v>85</v>
      </c>
      <c r="N5" s="397"/>
    </row>
    <row r="6" spans="1:14" s="82" customFormat="1" ht="23.45" customHeight="1">
      <c r="B6" s="392"/>
      <c r="C6" s="393"/>
      <c r="D6" s="394"/>
      <c r="E6" s="394"/>
      <c r="F6" s="401"/>
      <c r="G6" s="401"/>
      <c r="H6" s="401"/>
      <c r="I6" s="105" t="s">
        <v>91</v>
      </c>
      <c r="J6" s="99" t="s">
        <v>87</v>
      </c>
      <c r="K6" s="105" t="s">
        <v>91</v>
      </c>
      <c r="L6" s="99" t="s">
        <v>87</v>
      </c>
      <c r="M6" s="105" t="s">
        <v>91</v>
      </c>
      <c r="N6" s="99" t="s">
        <v>87</v>
      </c>
    </row>
    <row r="7" spans="1:14">
      <c r="B7" s="382">
        <v>45937</v>
      </c>
      <c r="C7" s="377" t="s">
        <v>55</v>
      </c>
      <c r="D7" s="86">
        <v>45931</v>
      </c>
      <c r="E7" s="258" t="s">
        <v>72</v>
      </c>
      <c r="F7" s="235">
        <f>SUM(I7,K7,M7)</f>
        <v>59618</v>
      </c>
      <c r="G7" s="361">
        <f>SUM(F7:F12)</f>
        <v>289645</v>
      </c>
      <c r="H7" s="361">
        <f>SUM(F7:F37)</f>
        <v>1644517</v>
      </c>
      <c r="I7" s="292">
        <v>47989</v>
      </c>
      <c r="J7" s="101">
        <f t="shared" ref="J7:J37" si="0">I7/F7</f>
        <v>0.80494146063269478</v>
      </c>
      <c r="K7" s="106"/>
      <c r="L7" s="101">
        <f t="shared" ref="L7:L37" si="1">K7/F7</f>
        <v>0</v>
      </c>
      <c r="M7" s="292">
        <v>11629</v>
      </c>
      <c r="N7" s="101">
        <f t="shared" ref="N7:N37" si="2">M7/F7</f>
        <v>0.19505853936730519</v>
      </c>
    </row>
    <row r="8" spans="1:14">
      <c r="B8" s="382"/>
      <c r="C8" s="378"/>
      <c r="D8" s="86">
        <v>45932</v>
      </c>
      <c r="E8" s="258" t="s">
        <v>73</v>
      </c>
      <c r="F8" s="235">
        <f t="shared" ref="F8:F37" si="3">SUM(I8,K8,M8)</f>
        <v>51111</v>
      </c>
      <c r="G8" s="361"/>
      <c r="H8" s="361"/>
      <c r="I8" s="292">
        <v>44028</v>
      </c>
      <c r="J8" s="101">
        <f t="shared" si="0"/>
        <v>0.86141926395492163</v>
      </c>
      <c r="K8" s="106"/>
      <c r="L8" s="101">
        <f t="shared" si="1"/>
        <v>0</v>
      </c>
      <c r="M8" s="292">
        <v>7083</v>
      </c>
      <c r="N8" s="101">
        <f t="shared" si="2"/>
        <v>0.13858073604507837</v>
      </c>
    </row>
    <row r="9" spans="1:14">
      <c r="B9" s="382"/>
      <c r="C9" s="378"/>
      <c r="D9" s="86">
        <v>45933</v>
      </c>
      <c r="E9" s="258" t="s">
        <v>74</v>
      </c>
      <c r="F9" s="235">
        <f t="shared" si="3"/>
        <v>39570</v>
      </c>
      <c r="G9" s="361"/>
      <c r="H9" s="361"/>
      <c r="I9" s="292">
        <v>33924</v>
      </c>
      <c r="J9" s="101">
        <f t="shared" si="0"/>
        <v>0.85731614859742233</v>
      </c>
      <c r="K9" s="106"/>
      <c r="L9" s="101">
        <f t="shared" si="1"/>
        <v>0</v>
      </c>
      <c r="M9" s="292">
        <v>5646</v>
      </c>
      <c r="N9" s="101">
        <f t="shared" si="2"/>
        <v>0.14268385140257772</v>
      </c>
    </row>
    <row r="10" spans="1:14">
      <c r="B10" s="382"/>
      <c r="C10" s="378"/>
      <c r="D10" s="86">
        <v>45934</v>
      </c>
      <c r="E10" s="258" t="s">
        <v>75</v>
      </c>
      <c r="F10" s="235">
        <f t="shared" si="3"/>
        <v>39717</v>
      </c>
      <c r="G10" s="361"/>
      <c r="H10" s="361"/>
      <c r="I10" s="292">
        <v>33895</v>
      </c>
      <c r="J10" s="101">
        <f t="shared" si="0"/>
        <v>0.85341289624090444</v>
      </c>
      <c r="K10" s="106"/>
      <c r="L10" s="101">
        <f t="shared" si="1"/>
        <v>0</v>
      </c>
      <c r="M10" s="292">
        <v>5822</v>
      </c>
      <c r="N10" s="101">
        <f t="shared" si="2"/>
        <v>0.14658710375909559</v>
      </c>
    </row>
    <row r="11" spans="1:14">
      <c r="B11" s="382"/>
      <c r="C11" s="378"/>
      <c r="D11" s="86">
        <v>45935</v>
      </c>
      <c r="E11" s="258" t="s">
        <v>52</v>
      </c>
      <c r="F11" s="235">
        <f t="shared" si="3"/>
        <v>44134</v>
      </c>
      <c r="G11" s="361"/>
      <c r="H11" s="361"/>
      <c r="I11" s="292">
        <v>37758</v>
      </c>
      <c r="J11" s="101">
        <f t="shared" si="0"/>
        <v>0.85553088321928672</v>
      </c>
      <c r="K11" s="106"/>
      <c r="L11" s="101">
        <f t="shared" si="1"/>
        <v>0</v>
      </c>
      <c r="M11" s="292">
        <v>6376</v>
      </c>
      <c r="N11" s="101">
        <f t="shared" si="2"/>
        <v>0.14446911678071328</v>
      </c>
    </row>
    <row r="12" spans="1:14" ht="12">
      <c r="B12" s="382"/>
      <c r="C12" s="378"/>
      <c r="D12" s="86">
        <v>45936</v>
      </c>
      <c r="E12" s="86" t="s">
        <v>76</v>
      </c>
      <c r="F12" s="235">
        <f t="shared" si="3"/>
        <v>55495</v>
      </c>
      <c r="G12" s="361"/>
      <c r="H12" s="361"/>
      <c r="I12" s="292">
        <v>46852</v>
      </c>
      <c r="J12" s="101">
        <f t="shared" si="0"/>
        <v>0.84425623930083793</v>
      </c>
      <c r="K12" s="106"/>
      <c r="L12" s="101">
        <f t="shared" si="1"/>
        <v>0</v>
      </c>
      <c r="M12" s="292">
        <v>8643</v>
      </c>
      <c r="N12" s="101">
        <f t="shared" si="2"/>
        <v>0.1557437606991621</v>
      </c>
    </row>
    <row r="13" spans="1:14">
      <c r="B13" s="382">
        <v>45944</v>
      </c>
      <c r="C13" s="378"/>
      <c r="D13" s="86">
        <v>45937</v>
      </c>
      <c r="E13" s="258" t="s">
        <v>77</v>
      </c>
      <c r="F13" s="235">
        <f t="shared" si="3"/>
        <v>51247</v>
      </c>
      <c r="G13" s="361">
        <f>SUM(F13:F18)</f>
        <v>272989</v>
      </c>
      <c r="H13" s="361"/>
      <c r="I13" s="292">
        <v>42281</v>
      </c>
      <c r="J13" s="101">
        <f t="shared" si="0"/>
        <v>0.82504341717563956</v>
      </c>
      <c r="K13" s="106"/>
      <c r="L13" s="101">
        <f t="shared" si="1"/>
        <v>0</v>
      </c>
      <c r="M13" s="292">
        <v>8966</v>
      </c>
      <c r="N13" s="101">
        <f t="shared" si="2"/>
        <v>0.17495658282436044</v>
      </c>
    </row>
    <row r="14" spans="1:14">
      <c r="B14" s="382"/>
      <c r="C14" s="378"/>
      <c r="D14" s="86">
        <v>45938</v>
      </c>
      <c r="E14" s="258" t="s">
        <v>72</v>
      </c>
      <c r="F14" s="235">
        <f t="shared" si="3"/>
        <v>49561</v>
      </c>
      <c r="G14" s="361"/>
      <c r="H14" s="361"/>
      <c r="I14" s="292">
        <v>41503</v>
      </c>
      <c r="J14" s="101">
        <f t="shared" si="0"/>
        <v>0.83741248158834569</v>
      </c>
      <c r="K14" s="106"/>
      <c r="L14" s="101">
        <f t="shared" si="1"/>
        <v>0</v>
      </c>
      <c r="M14" s="292">
        <v>8058</v>
      </c>
      <c r="N14" s="101">
        <f t="shared" si="2"/>
        <v>0.16258751841165434</v>
      </c>
    </row>
    <row r="15" spans="1:14">
      <c r="B15" s="382"/>
      <c r="C15" s="378"/>
      <c r="D15" s="86">
        <v>45939</v>
      </c>
      <c r="E15" s="258" t="s">
        <v>73</v>
      </c>
      <c r="F15" s="235">
        <f t="shared" si="3"/>
        <v>40503</v>
      </c>
      <c r="G15" s="361"/>
      <c r="H15" s="361"/>
      <c r="I15" s="292">
        <v>33748</v>
      </c>
      <c r="J15" s="101">
        <f t="shared" si="0"/>
        <v>0.83322223045206523</v>
      </c>
      <c r="K15" s="106"/>
      <c r="L15" s="101">
        <f t="shared" si="1"/>
        <v>0</v>
      </c>
      <c r="M15" s="292">
        <v>6755</v>
      </c>
      <c r="N15" s="101">
        <f t="shared" si="2"/>
        <v>0.16677776954793472</v>
      </c>
    </row>
    <row r="16" spans="1:14">
      <c r="B16" s="382"/>
      <c r="C16" s="378"/>
      <c r="D16" s="86">
        <v>45940</v>
      </c>
      <c r="E16" s="258" t="s">
        <v>74</v>
      </c>
      <c r="F16" s="235">
        <f t="shared" si="3"/>
        <v>39047</v>
      </c>
      <c r="G16" s="361"/>
      <c r="H16" s="361"/>
      <c r="I16" s="292">
        <v>32694</v>
      </c>
      <c r="J16" s="101">
        <f t="shared" si="0"/>
        <v>0.83729864010039179</v>
      </c>
      <c r="K16" s="106"/>
      <c r="L16" s="101">
        <f t="shared" si="1"/>
        <v>0</v>
      </c>
      <c r="M16" s="292">
        <v>6353</v>
      </c>
      <c r="N16" s="101">
        <f t="shared" si="2"/>
        <v>0.16270135989960816</v>
      </c>
    </row>
    <row r="17" spans="2:14">
      <c r="B17" s="382"/>
      <c r="C17" s="378"/>
      <c r="D17" s="86">
        <v>45941</v>
      </c>
      <c r="E17" s="258" t="s">
        <v>75</v>
      </c>
      <c r="F17" s="235">
        <f t="shared" si="3"/>
        <v>40125</v>
      </c>
      <c r="G17" s="361"/>
      <c r="H17" s="361"/>
      <c r="I17" s="292">
        <v>33450</v>
      </c>
      <c r="J17" s="101">
        <f t="shared" si="0"/>
        <v>0.83364485981308412</v>
      </c>
      <c r="K17" s="106"/>
      <c r="L17" s="101">
        <f t="shared" si="1"/>
        <v>0</v>
      </c>
      <c r="M17" s="292">
        <v>6675</v>
      </c>
      <c r="N17" s="101">
        <f t="shared" si="2"/>
        <v>0.16635514018691588</v>
      </c>
    </row>
    <row r="18" spans="2:14">
      <c r="B18" s="382"/>
      <c r="C18" s="378"/>
      <c r="D18" s="86">
        <v>45942</v>
      </c>
      <c r="E18" s="258" t="s">
        <v>52</v>
      </c>
      <c r="F18" s="235">
        <f t="shared" si="3"/>
        <v>52506</v>
      </c>
      <c r="G18" s="361"/>
      <c r="H18" s="361"/>
      <c r="I18" s="292">
        <v>44265</v>
      </c>
      <c r="J18" s="101">
        <f t="shared" si="0"/>
        <v>0.84304650897040334</v>
      </c>
      <c r="K18" s="106"/>
      <c r="L18" s="101">
        <f t="shared" si="1"/>
        <v>0</v>
      </c>
      <c r="M18" s="292">
        <v>8241</v>
      </c>
      <c r="N18" s="101">
        <f t="shared" si="2"/>
        <v>0.15695349102959663</v>
      </c>
    </row>
    <row r="19" spans="2:14" ht="12">
      <c r="B19" s="382"/>
      <c r="C19" s="378"/>
      <c r="D19" s="86">
        <v>45943</v>
      </c>
      <c r="E19" s="86" t="s">
        <v>76</v>
      </c>
      <c r="F19" s="235">
        <f t="shared" si="3"/>
        <v>53383</v>
      </c>
      <c r="G19" s="361"/>
      <c r="H19" s="361"/>
      <c r="I19" s="292">
        <v>45063</v>
      </c>
      <c r="J19" s="101">
        <f t="shared" si="0"/>
        <v>0.84414513983852535</v>
      </c>
      <c r="K19" s="106"/>
      <c r="L19" s="101">
        <f t="shared" si="1"/>
        <v>0</v>
      </c>
      <c r="M19" s="292">
        <v>8320</v>
      </c>
      <c r="N19" s="101">
        <f t="shared" si="2"/>
        <v>0.15585486016147462</v>
      </c>
    </row>
    <row r="20" spans="2:14">
      <c r="B20" s="382">
        <v>45951</v>
      </c>
      <c r="C20" s="378"/>
      <c r="D20" s="86">
        <v>45944</v>
      </c>
      <c r="E20" s="258" t="s">
        <v>77</v>
      </c>
      <c r="F20" s="235">
        <f t="shared" si="3"/>
        <v>74492</v>
      </c>
      <c r="G20" s="361">
        <f>SUM(F20:F25)</f>
        <v>360350</v>
      </c>
      <c r="H20" s="361"/>
      <c r="I20" s="292">
        <v>65872</v>
      </c>
      <c r="J20" s="101">
        <f t="shared" si="0"/>
        <v>0.88428287601353162</v>
      </c>
      <c r="K20" s="106"/>
      <c r="L20" s="101">
        <f t="shared" si="1"/>
        <v>0</v>
      </c>
      <c r="M20" s="292">
        <v>8620</v>
      </c>
      <c r="N20" s="101">
        <f t="shared" si="2"/>
        <v>0.11571712398646834</v>
      </c>
    </row>
    <row r="21" spans="2:14">
      <c r="B21" s="378"/>
      <c r="C21" s="378"/>
      <c r="D21" s="86">
        <v>45945</v>
      </c>
      <c r="E21" s="258" t="s">
        <v>72</v>
      </c>
      <c r="F21" s="235">
        <f t="shared" si="3"/>
        <v>71308</v>
      </c>
      <c r="G21" s="361"/>
      <c r="H21" s="361"/>
      <c r="I21" s="292">
        <v>62703</v>
      </c>
      <c r="J21" s="101">
        <f t="shared" si="0"/>
        <v>0.87932630279912494</v>
      </c>
      <c r="K21" s="106"/>
      <c r="L21" s="101">
        <f t="shared" si="1"/>
        <v>0</v>
      </c>
      <c r="M21" s="292">
        <v>8605</v>
      </c>
      <c r="N21" s="101">
        <f t="shared" si="2"/>
        <v>0.12067369720087508</v>
      </c>
    </row>
    <row r="22" spans="2:14">
      <c r="B22" s="378"/>
      <c r="C22" s="378"/>
      <c r="D22" s="86">
        <v>45946</v>
      </c>
      <c r="E22" s="258" t="s">
        <v>73</v>
      </c>
      <c r="F22" s="235">
        <f t="shared" si="3"/>
        <v>64989</v>
      </c>
      <c r="G22" s="361"/>
      <c r="H22" s="361"/>
      <c r="I22" s="292">
        <v>57020</v>
      </c>
      <c r="J22" s="101">
        <f t="shared" si="0"/>
        <v>0.87737924879595008</v>
      </c>
      <c r="K22" s="106"/>
      <c r="L22" s="101">
        <f t="shared" si="1"/>
        <v>0</v>
      </c>
      <c r="M22" s="292">
        <v>7969</v>
      </c>
      <c r="N22" s="101">
        <f t="shared" si="2"/>
        <v>0.12262075120404992</v>
      </c>
    </row>
    <row r="23" spans="2:14">
      <c r="B23" s="378"/>
      <c r="C23" s="378"/>
      <c r="D23" s="86">
        <v>45947</v>
      </c>
      <c r="E23" s="258" t="s">
        <v>74</v>
      </c>
      <c r="F23" s="235">
        <f t="shared" si="3"/>
        <v>47292</v>
      </c>
      <c r="G23" s="361"/>
      <c r="H23" s="361"/>
      <c r="I23" s="292">
        <v>40803</v>
      </c>
      <c r="J23" s="101">
        <f t="shared" si="0"/>
        <v>0.86278863232682057</v>
      </c>
      <c r="K23" s="106"/>
      <c r="L23" s="101">
        <f t="shared" si="1"/>
        <v>0</v>
      </c>
      <c r="M23" s="292">
        <v>6489</v>
      </c>
      <c r="N23" s="101">
        <f t="shared" si="2"/>
        <v>0.1372113676731794</v>
      </c>
    </row>
    <row r="24" spans="2:14">
      <c r="B24" s="378"/>
      <c r="C24" s="378"/>
      <c r="D24" s="86">
        <v>45948</v>
      </c>
      <c r="E24" s="258" t="s">
        <v>75</v>
      </c>
      <c r="F24" s="235">
        <f t="shared" si="3"/>
        <v>46062</v>
      </c>
      <c r="G24" s="361"/>
      <c r="H24" s="361"/>
      <c r="I24" s="292">
        <v>39263</v>
      </c>
      <c r="J24" s="101">
        <f t="shared" si="0"/>
        <v>0.85239459858451649</v>
      </c>
      <c r="K24" s="106"/>
      <c r="L24" s="101">
        <f t="shared" si="1"/>
        <v>0</v>
      </c>
      <c r="M24" s="292">
        <v>6799</v>
      </c>
      <c r="N24" s="101">
        <f t="shared" si="2"/>
        <v>0.14760540141548348</v>
      </c>
    </row>
    <row r="25" spans="2:14">
      <c r="B25" s="378"/>
      <c r="C25" s="378"/>
      <c r="D25" s="86">
        <v>45949</v>
      </c>
      <c r="E25" s="258" t="s">
        <v>52</v>
      </c>
      <c r="F25" s="235">
        <f t="shared" si="3"/>
        <v>56207</v>
      </c>
      <c r="G25" s="361"/>
      <c r="H25" s="361"/>
      <c r="I25" s="292">
        <v>47562</v>
      </c>
      <c r="J25" s="101">
        <f t="shared" si="0"/>
        <v>0.84619353461312652</v>
      </c>
      <c r="K25" s="106"/>
      <c r="L25" s="101">
        <f t="shared" si="1"/>
        <v>0</v>
      </c>
      <c r="M25" s="292">
        <v>8645</v>
      </c>
      <c r="N25" s="101">
        <f t="shared" si="2"/>
        <v>0.15380646538687351</v>
      </c>
    </row>
    <row r="26" spans="2:14" ht="12">
      <c r="B26" s="378"/>
      <c r="C26" s="378"/>
      <c r="D26" s="86">
        <v>45950</v>
      </c>
      <c r="E26" s="86" t="s">
        <v>76</v>
      </c>
      <c r="F26" s="235">
        <f t="shared" si="3"/>
        <v>56030</v>
      </c>
      <c r="G26" s="361"/>
      <c r="H26" s="361"/>
      <c r="I26" s="292">
        <v>47588</v>
      </c>
      <c r="J26" s="101">
        <f t="shared" si="0"/>
        <v>0.84933071568802432</v>
      </c>
      <c r="K26" s="106"/>
      <c r="L26" s="101">
        <f t="shared" si="1"/>
        <v>0</v>
      </c>
      <c r="M26" s="292">
        <v>8442</v>
      </c>
      <c r="N26" s="101">
        <f t="shared" si="2"/>
        <v>0.15066928431197574</v>
      </c>
    </row>
    <row r="27" spans="2:14">
      <c r="B27" s="382">
        <v>45958</v>
      </c>
      <c r="C27" s="378"/>
      <c r="D27" s="86">
        <v>45951</v>
      </c>
      <c r="E27" s="258" t="s">
        <v>77</v>
      </c>
      <c r="F27" s="235">
        <f t="shared" si="3"/>
        <v>57979</v>
      </c>
      <c r="G27" s="361">
        <f>SUM(F27:F32)</f>
        <v>309465</v>
      </c>
      <c r="H27" s="361"/>
      <c r="I27" s="292">
        <v>49537</v>
      </c>
      <c r="J27" s="101">
        <f t="shared" si="0"/>
        <v>0.85439555701202163</v>
      </c>
      <c r="K27" s="106"/>
      <c r="L27" s="101">
        <f t="shared" si="1"/>
        <v>0</v>
      </c>
      <c r="M27" s="292">
        <v>8442</v>
      </c>
      <c r="N27" s="101">
        <f t="shared" si="2"/>
        <v>0.14560444298797839</v>
      </c>
    </row>
    <row r="28" spans="2:14">
      <c r="B28" s="378"/>
      <c r="C28" s="378"/>
      <c r="D28" s="86">
        <v>45952</v>
      </c>
      <c r="E28" s="258" t="s">
        <v>72</v>
      </c>
      <c r="F28" s="235">
        <f t="shared" si="3"/>
        <v>58687</v>
      </c>
      <c r="G28" s="361"/>
      <c r="H28" s="361"/>
      <c r="I28" s="292">
        <v>50603</v>
      </c>
      <c r="J28" s="101">
        <f t="shared" si="0"/>
        <v>0.8622522875594254</v>
      </c>
      <c r="K28" s="106"/>
      <c r="L28" s="101">
        <f t="shared" si="1"/>
        <v>0</v>
      </c>
      <c r="M28" s="292">
        <v>8084</v>
      </c>
      <c r="N28" s="101">
        <f t="shared" si="2"/>
        <v>0.13774771244057457</v>
      </c>
    </row>
    <row r="29" spans="2:14">
      <c r="B29" s="378"/>
      <c r="C29" s="378"/>
      <c r="D29" s="86">
        <v>45953</v>
      </c>
      <c r="E29" s="258" t="s">
        <v>73</v>
      </c>
      <c r="F29" s="235">
        <f t="shared" si="3"/>
        <v>43469</v>
      </c>
      <c r="G29" s="361"/>
      <c r="H29" s="361"/>
      <c r="I29" s="292">
        <v>36918</v>
      </c>
      <c r="J29" s="101">
        <f t="shared" si="0"/>
        <v>0.84929489981366035</v>
      </c>
      <c r="K29" s="106"/>
      <c r="L29" s="101">
        <f t="shared" si="1"/>
        <v>0</v>
      </c>
      <c r="M29" s="292">
        <v>6551</v>
      </c>
      <c r="N29" s="101">
        <f t="shared" si="2"/>
        <v>0.1507051001863397</v>
      </c>
    </row>
    <row r="30" spans="2:14">
      <c r="B30" s="378"/>
      <c r="C30" s="378"/>
      <c r="D30" s="86">
        <v>45954</v>
      </c>
      <c r="E30" s="258" t="s">
        <v>74</v>
      </c>
      <c r="F30" s="235">
        <f t="shared" si="3"/>
        <v>41715</v>
      </c>
      <c r="G30" s="361"/>
      <c r="H30" s="361"/>
      <c r="I30" s="292">
        <v>35252</v>
      </c>
      <c r="J30" s="101">
        <f t="shared" si="0"/>
        <v>0.84506772144312592</v>
      </c>
      <c r="K30" s="106"/>
      <c r="L30" s="101">
        <f t="shared" si="1"/>
        <v>0</v>
      </c>
      <c r="M30" s="292">
        <v>6463</v>
      </c>
      <c r="N30" s="101">
        <f t="shared" si="2"/>
        <v>0.15493227855687403</v>
      </c>
    </row>
    <row r="31" spans="2:14">
      <c r="B31" s="378"/>
      <c r="C31" s="378"/>
      <c r="D31" s="86">
        <v>45955</v>
      </c>
      <c r="E31" s="258" t="s">
        <v>75</v>
      </c>
      <c r="F31" s="235">
        <f t="shared" si="3"/>
        <v>44861</v>
      </c>
      <c r="G31" s="361"/>
      <c r="H31" s="361"/>
      <c r="I31" s="292">
        <v>38487</v>
      </c>
      <c r="J31" s="101">
        <f t="shared" si="0"/>
        <v>0.8579166759546154</v>
      </c>
      <c r="K31" s="106"/>
      <c r="L31" s="101">
        <f t="shared" si="1"/>
        <v>0</v>
      </c>
      <c r="M31" s="292">
        <v>6374</v>
      </c>
      <c r="N31" s="101">
        <f t="shared" si="2"/>
        <v>0.14208332404538462</v>
      </c>
    </row>
    <row r="32" spans="2:14">
      <c r="B32" s="378"/>
      <c r="C32" s="378"/>
      <c r="D32" s="86">
        <v>45956</v>
      </c>
      <c r="E32" s="258" t="s">
        <v>52</v>
      </c>
      <c r="F32" s="235">
        <f t="shared" si="3"/>
        <v>62754</v>
      </c>
      <c r="G32" s="361"/>
      <c r="H32" s="361"/>
      <c r="I32" s="292">
        <v>54278</v>
      </c>
      <c r="J32" s="101">
        <f t="shared" si="0"/>
        <v>0.86493291264301875</v>
      </c>
      <c r="K32" s="106"/>
      <c r="L32" s="101">
        <f t="shared" si="1"/>
        <v>0</v>
      </c>
      <c r="M32" s="292">
        <v>8476</v>
      </c>
      <c r="N32" s="101">
        <f t="shared" si="2"/>
        <v>0.13506708735698122</v>
      </c>
    </row>
    <row r="33" spans="2:14" ht="12">
      <c r="B33" s="378"/>
      <c r="C33" s="378"/>
      <c r="D33" s="86">
        <v>45957</v>
      </c>
      <c r="E33" s="86" t="s">
        <v>76</v>
      </c>
      <c r="F33" s="235">
        <f t="shared" si="3"/>
        <v>61051</v>
      </c>
      <c r="G33" s="361"/>
      <c r="H33" s="361"/>
      <c r="I33" s="292">
        <v>52594</v>
      </c>
      <c r="J33" s="101">
        <f t="shared" si="0"/>
        <v>0.86147647049188381</v>
      </c>
      <c r="K33" s="106"/>
      <c r="L33" s="101">
        <f t="shared" si="1"/>
        <v>0</v>
      </c>
      <c r="M33" s="292">
        <v>8457</v>
      </c>
      <c r="N33" s="101">
        <f t="shared" si="2"/>
        <v>0.13852352950811617</v>
      </c>
    </row>
    <row r="34" spans="2:14">
      <c r="B34" s="382">
        <v>45964</v>
      </c>
      <c r="C34" s="378"/>
      <c r="D34" s="86">
        <v>45958</v>
      </c>
      <c r="E34" s="258" t="s">
        <v>77</v>
      </c>
      <c r="F34" s="235">
        <f t="shared" si="3"/>
        <v>73385</v>
      </c>
      <c r="G34" s="361">
        <f>SUM(F34:F39)</f>
        <v>241604</v>
      </c>
      <c r="H34" s="361"/>
      <c r="I34" s="292">
        <v>64205</v>
      </c>
      <c r="J34" s="101">
        <f t="shared" si="0"/>
        <v>0.87490631600463309</v>
      </c>
      <c r="K34" s="106"/>
      <c r="L34" s="101">
        <f t="shared" si="1"/>
        <v>0</v>
      </c>
      <c r="M34" s="292">
        <v>9180</v>
      </c>
      <c r="N34" s="101">
        <f t="shared" si="2"/>
        <v>0.12509368399536691</v>
      </c>
    </row>
    <row r="35" spans="2:14">
      <c r="B35" s="378"/>
      <c r="C35" s="378"/>
      <c r="D35" s="86">
        <v>45959</v>
      </c>
      <c r="E35" s="258" t="s">
        <v>72</v>
      </c>
      <c r="F35" s="235">
        <f t="shared" si="3"/>
        <v>63260</v>
      </c>
      <c r="G35" s="361"/>
      <c r="H35" s="361"/>
      <c r="I35" s="292">
        <v>54211</v>
      </c>
      <c r="J35" s="101">
        <f t="shared" si="0"/>
        <v>0.85695542206765729</v>
      </c>
      <c r="K35" s="106"/>
      <c r="L35" s="101">
        <f t="shared" si="1"/>
        <v>0</v>
      </c>
      <c r="M35" s="292">
        <v>9049</v>
      </c>
      <c r="N35" s="101">
        <f t="shared" si="2"/>
        <v>0.14304457793234271</v>
      </c>
    </row>
    <row r="36" spans="2:14">
      <c r="B36" s="378"/>
      <c r="C36" s="378"/>
      <c r="D36" s="86">
        <v>45960</v>
      </c>
      <c r="E36" s="258" t="s">
        <v>73</v>
      </c>
      <c r="F36" s="235">
        <f t="shared" si="3"/>
        <v>60196</v>
      </c>
      <c r="G36" s="361"/>
      <c r="H36" s="361"/>
      <c r="I36" s="292">
        <v>51956</v>
      </c>
      <c r="J36" s="101">
        <f t="shared" si="0"/>
        <v>0.86311382816133964</v>
      </c>
      <c r="K36" s="106"/>
      <c r="L36" s="101">
        <f t="shared" si="1"/>
        <v>0</v>
      </c>
      <c r="M36" s="292">
        <v>8240</v>
      </c>
      <c r="N36" s="101">
        <f t="shared" si="2"/>
        <v>0.13688617183866036</v>
      </c>
    </row>
    <row r="37" spans="2:14">
      <c r="B37" s="378"/>
      <c r="C37" s="378"/>
      <c r="D37" s="86">
        <v>45961</v>
      </c>
      <c r="E37" s="258" t="s">
        <v>74</v>
      </c>
      <c r="F37" s="235">
        <f t="shared" si="3"/>
        <v>44763</v>
      </c>
      <c r="G37" s="361"/>
      <c r="H37" s="361"/>
      <c r="I37" s="292">
        <v>38438</v>
      </c>
      <c r="J37" s="101">
        <f t="shared" si="0"/>
        <v>0.85870026584455916</v>
      </c>
      <c r="K37" s="106"/>
      <c r="L37" s="101">
        <f t="shared" si="1"/>
        <v>0</v>
      </c>
      <c r="M37" s="292">
        <v>6325</v>
      </c>
      <c r="N37" s="101">
        <f t="shared" si="2"/>
        <v>0.14129973415544086</v>
      </c>
    </row>
    <row r="38" spans="2:14">
      <c r="B38" s="378"/>
      <c r="C38" s="79"/>
      <c r="D38" s="86">
        <v>45962</v>
      </c>
      <c r="E38" s="258" t="s">
        <v>75</v>
      </c>
      <c r="F38" s="235"/>
      <c r="G38" s="361"/>
      <c r="H38" s="235"/>
      <c r="I38" s="292"/>
      <c r="J38" s="101"/>
      <c r="K38" s="106"/>
      <c r="L38" s="101"/>
      <c r="M38" s="292"/>
      <c r="N38" s="101"/>
    </row>
    <row r="39" spans="2:14">
      <c r="B39" s="378"/>
      <c r="C39" s="79"/>
      <c r="D39" s="86">
        <v>45963</v>
      </c>
      <c r="E39" s="258" t="s">
        <v>52</v>
      </c>
      <c r="F39" s="235"/>
      <c r="G39" s="361"/>
      <c r="H39" s="235"/>
      <c r="I39" s="292"/>
      <c r="J39" s="101"/>
      <c r="K39" s="106"/>
      <c r="L39" s="101"/>
      <c r="M39" s="292"/>
      <c r="N39" s="101"/>
    </row>
    <row r="40" spans="2:14" ht="12">
      <c r="B40" s="378"/>
      <c r="C40" s="79"/>
      <c r="D40" s="86">
        <v>45964</v>
      </c>
      <c r="E40" s="86" t="s">
        <v>76</v>
      </c>
      <c r="F40" s="235"/>
      <c r="G40" s="361"/>
      <c r="H40" s="235"/>
      <c r="I40" s="292"/>
      <c r="J40" s="101"/>
      <c r="K40" s="106"/>
      <c r="L40" s="101"/>
      <c r="M40" s="292"/>
      <c r="N40" s="101"/>
    </row>
    <row r="41" spans="2:14">
      <c r="B41" s="83"/>
      <c r="C41" s="79"/>
      <c r="D41" s="86"/>
      <c r="E41" s="258"/>
      <c r="F41" s="235"/>
      <c r="G41" s="355"/>
      <c r="H41" s="235"/>
    </row>
    <row r="42" spans="2:14" ht="12">
      <c r="B42" s="83"/>
      <c r="C42" s="79"/>
      <c r="D42" s="86"/>
      <c r="E42" s="86"/>
      <c r="F42" s="235"/>
      <c r="G42" s="355"/>
      <c r="H42" s="235"/>
    </row>
    <row r="43" spans="2:14">
      <c r="B43" s="83"/>
      <c r="C43" s="79"/>
      <c r="D43" s="86"/>
      <c r="E43" s="258"/>
      <c r="F43" s="235"/>
      <c r="G43" s="235"/>
      <c r="H43" s="235"/>
    </row>
    <row r="44" spans="2:14">
      <c r="B44" s="83"/>
      <c r="C44" s="79"/>
      <c r="D44" s="86"/>
      <c r="E44" s="258"/>
      <c r="F44" s="235"/>
      <c r="G44" s="235"/>
      <c r="H44" s="235"/>
    </row>
    <row r="45" spans="2:14">
      <c r="B45" s="83"/>
      <c r="C45" s="79"/>
      <c r="D45" s="86"/>
      <c r="E45" s="258"/>
      <c r="F45" s="235"/>
      <c r="G45" s="235"/>
      <c r="H45" s="235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6">
    <mergeCell ref="G27:G33"/>
    <mergeCell ref="B34:B40"/>
    <mergeCell ref="G34:G40"/>
    <mergeCell ref="M5:N5"/>
    <mergeCell ref="I5:J5"/>
    <mergeCell ref="H7:H37"/>
    <mergeCell ref="F5:F6"/>
    <mergeCell ref="C7:C37"/>
    <mergeCell ref="C3:C6"/>
    <mergeCell ref="G5:G6"/>
    <mergeCell ref="H5:H6"/>
    <mergeCell ref="F3:H4"/>
    <mergeCell ref="D3:E6"/>
    <mergeCell ref="G7:G12"/>
    <mergeCell ref="G13:G19"/>
    <mergeCell ref="G20:G26"/>
    <mergeCell ref="I4:J4"/>
    <mergeCell ref="M4:N4"/>
    <mergeCell ref="I3:N3"/>
    <mergeCell ref="K4:L4"/>
    <mergeCell ref="K5:L5"/>
    <mergeCell ref="B3:B6"/>
    <mergeCell ref="B7:B12"/>
    <mergeCell ref="B13:B19"/>
    <mergeCell ref="B20:B26"/>
    <mergeCell ref="B27:B33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abSelected="1" zoomScale="85" zoomScaleNormal="85" workbookViewId="0">
      <pane xSplit="4" topLeftCell="E23" activePane="topRight" state="frozen"/>
      <selection pane="topRight" activeCell="D99" sqref="D99"/>
    </sheetView>
  </sheetViews>
  <sheetFormatPr defaultColWidth="8.85546875" defaultRowHeight="12.75"/>
  <cols>
    <col min="1" max="1" width="5.5703125" style="241" customWidth="1"/>
    <col min="2" max="2" width="12.42578125" style="241" customWidth="1"/>
    <col min="3" max="3" width="8.85546875" style="240"/>
    <col min="4" max="4" width="26.42578125" style="240" customWidth="1"/>
    <col min="5" max="7" width="8.42578125" style="240" customWidth="1"/>
    <col min="8" max="8" width="11.140625" style="240" bestFit="1" customWidth="1"/>
    <col min="9" max="12" width="11.140625" style="240" customWidth="1"/>
    <col min="13" max="13" width="13.5703125" style="240" customWidth="1"/>
    <col min="14" max="14" width="9.85546875" style="240" customWidth="1"/>
    <col min="15" max="15" width="7.140625" style="240" customWidth="1"/>
    <col min="16" max="18" width="12.85546875" style="240" customWidth="1"/>
    <col min="19" max="19" width="5.42578125" style="240" customWidth="1"/>
    <col min="20" max="20" width="12.85546875" style="240" customWidth="1"/>
    <col min="21" max="23" width="12.85546875" style="241" customWidth="1"/>
    <col min="24" max="24" width="5.42578125" style="240" customWidth="1"/>
    <col min="25" max="28" width="12.85546875" style="241" customWidth="1"/>
    <col min="29" max="29" width="7.7109375" style="240" bestFit="1" customWidth="1"/>
    <col min="30" max="30" width="12.85546875" style="241" customWidth="1"/>
    <col min="31" max="33" width="12.5703125" style="241" customWidth="1"/>
    <col min="34" max="34" width="7.7109375" style="240" bestFit="1" customWidth="1"/>
    <col min="35" max="35" width="13" style="241" customWidth="1"/>
    <col min="36" max="38" width="12.5703125" style="241" customWidth="1"/>
    <col min="39" max="39" width="5.42578125" style="240" customWidth="1"/>
    <col min="40" max="40" width="13" style="241" customWidth="1"/>
    <col min="41" max="43" width="13.140625" style="241" customWidth="1"/>
    <col min="44" max="44" width="5.42578125" style="241" customWidth="1"/>
    <col min="45" max="48" width="13.140625" style="241" customWidth="1"/>
    <col min="49" max="49" width="5.42578125" style="241" customWidth="1"/>
    <col min="50" max="50" width="13.140625" style="241" customWidth="1"/>
    <col min="51" max="16384" width="8.85546875" style="241"/>
  </cols>
  <sheetData>
    <row r="1" spans="1:50" ht="21">
      <c r="A1" s="237"/>
      <c r="B1" s="238" t="s">
        <v>92</v>
      </c>
      <c r="C1" s="239">
        <f>AVERAGE(L7,L30,L53,L73,L96,L119)</f>
        <v>101.48452535398306</v>
      </c>
    </row>
    <row r="2" spans="1:50" ht="15.75">
      <c r="A2" s="242"/>
      <c r="B2" s="421" t="s">
        <v>93</v>
      </c>
      <c r="C2" s="422"/>
      <c r="D2" s="422"/>
      <c r="E2" s="422"/>
      <c r="F2" s="422"/>
      <c r="G2" s="422"/>
      <c r="H2" s="422"/>
      <c r="I2" s="243"/>
      <c r="J2" s="243"/>
      <c r="K2" s="243"/>
      <c r="L2" s="243"/>
      <c r="M2" s="244"/>
      <c r="N2" s="418" t="s">
        <v>94</v>
      </c>
      <c r="O2" s="418" t="s">
        <v>45</v>
      </c>
      <c r="P2" s="413"/>
      <c r="Q2" s="405"/>
      <c r="R2" s="405"/>
      <c r="S2" s="405"/>
      <c r="T2" s="405"/>
      <c r="U2" s="413">
        <v>45931</v>
      </c>
      <c r="V2" s="405"/>
      <c r="W2" s="405"/>
      <c r="X2" s="405"/>
      <c r="Y2" s="405"/>
      <c r="Z2" s="413">
        <v>45932</v>
      </c>
      <c r="AA2" s="405"/>
      <c r="AB2" s="405"/>
      <c r="AC2" s="405"/>
      <c r="AD2" s="405"/>
      <c r="AE2" s="413">
        <v>45933</v>
      </c>
      <c r="AF2" s="405"/>
      <c r="AG2" s="405"/>
      <c r="AH2" s="405"/>
      <c r="AI2" s="405"/>
      <c r="AJ2" s="413">
        <v>45934</v>
      </c>
      <c r="AK2" s="405"/>
      <c r="AL2" s="405"/>
      <c r="AM2" s="405"/>
      <c r="AN2" s="405"/>
      <c r="AO2" s="413">
        <v>45935</v>
      </c>
      <c r="AP2" s="405"/>
      <c r="AQ2" s="405"/>
      <c r="AR2" s="405"/>
      <c r="AS2" s="405"/>
      <c r="AT2" s="413">
        <v>45936</v>
      </c>
      <c r="AU2" s="405"/>
      <c r="AV2" s="405"/>
      <c r="AW2" s="405"/>
      <c r="AX2" s="405"/>
    </row>
    <row r="3" spans="1:50" ht="15.75">
      <c r="A3" s="242"/>
      <c r="B3" s="423"/>
      <c r="C3" s="423"/>
      <c r="D3" s="423"/>
      <c r="E3" s="423"/>
      <c r="F3" s="423"/>
      <c r="G3" s="423"/>
      <c r="H3" s="423"/>
      <c r="I3" s="245"/>
      <c r="J3" s="245"/>
      <c r="K3" s="245"/>
      <c r="L3" s="245"/>
      <c r="M3" s="246"/>
      <c r="N3" s="420"/>
      <c r="O3" s="420"/>
      <c r="P3" s="413" t="s">
        <v>77</v>
      </c>
      <c r="Q3" s="405"/>
      <c r="R3" s="405"/>
      <c r="S3" s="405"/>
      <c r="T3" s="405"/>
      <c r="U3" s="413" t="s">
        <v>72</v>
      </c>
      <c r="V3" s="405"/>
      <c r="W3" s="405"/>
      <c r="X3" s="405"/>
      <c r="Y3" s="405"/>
      <c r="Z3" s="413" t="s">
        <v>73</v>
      </c>
      <c r="AA3" s="405"/>
      <c r="AB3" s="405"/>
      <c r="AC3" s="405"/>
      <c r="AD3" s="405"/>
      <c r="AE3" s="413" t="s">
        <v>74</v>
      </c>
      <c r="AF3" s="405"/>
      <c r="AG3" s="405"/>
      <c r="AH3" s="405"/>
      <c r="AI3" s="405"/>
      <c r="AJ3" s="413" t="s">
        <v>75</v>
      </c>
      <c r="AK3" s="405"/>
      <c r="AL3" s="405"/>
      <c r="AM3" s="405"/>
      <c r="AN3" s="405"/>
      <c r="AO3" s="413" t="s">
        <v>52</v>
      </c>
      <c r="AP3" s="405"/>
      <c r="AQ3" s="405"/>
      <c r="AR3" s="405"/>
      <c r="AS3" s="405"/>
      <c r="AT3" s="413" t="s">
        <v>76</v>
      </c>
      <c r="AU3" s="405"/>
      <c r="AV3" s="405"/>
      <c r="AW3" s="405"/>
      <c r="AX3" s="405"/>
    </row>
    <row r="4" spans="1:50">
      <c r="A4" s="242"/>
      <c r="B4" s="409" t="s">
        <v>95</v>
      </c>
      <c r="C4" s="414" t="s">
        <v>96</v>
      </c>
      <c r="D4" s="409"/>
      <c r="E4" s="409" t="s">
        <v>97</v>
      </c>
      <c r="F4" s="409"/>
      <c r="G4" s="409"/>
      <c r="H4" s="415" t="s">
        <v>98</v>
      </c>
      <c r="I4" s="409" t="s">
        <v>99</v>
      </c>
      <c r="J4" s="409"/>
      <c r="K4" s="409"/>
      <c r="L4" s="415" t="s">
        <v>98</v>
      </c>
      <c r="M4" s="418" t="s">
        <v>100</v>
      </c>
      <c r="N4" s="409"/>
      <c r="O4" s="409" t="s">
        <v>101</v>
      </c>
      <c r="P4" s="410" t="s">
        <v>102</v>
      </c>
      <c r="Q4" s="411"/>
      <c r="R4" s="411"/>
      <c r="S4" s="412"/>
      <c r="T4" s="409" t="s">
        <v>98</v>
      </c>
      <c r="U4" s="410" t="s">
        <v>102</v>
      </c>
      <c r="V4" s="411"/>
      <c r="W4" s="411"/>
      <c r="X4" s="412"/>
      <c r="Y4" s="409" t="s">
        <v>98</v>
      </c>
      <c r="Z4" s="410" t="s">
        <v>102</v>
      </c>
      <c r="AA4" s="411"/>
      <c r="AB4" s="411"/>
      <c r="AC4" s="412"/>
      <c r="AD4" s="409" t="s">
        <v>98</v>
      </c>
      <c r="AE4" s="410" t="s">
        <v>102</v>
      </c>
      <c r="AF4" s="411"/>
      <c r="AG4" s="411"/>
      <c r="AH4" s="412"/>
      <c r="AI4" s="409" t="s">
        <v>98</v>
      </c>
      <c r="AJ4" s="410" t="s">
        <v>102</v>
      </c>
      <c r="AK4" s="411"/>
      <c r="AL4" s="411"/>
      <c r="AM4" s="412"/>
      <c r="AN4" s="409" t="s">
        <v>98</v>
      </c>
      <c r="AO4" s="410" t="s">
        <v>102</v>
      </c>
      <c r="AP4" s="411"/>
      <c r="AQ4" s="411"/>
      <c r="AR4" s="412"/>
      <c r="AS4" s="409" t="s">
        <v>98</v>
      </c>
      <c r="AT4" s="410" t="s">
        <v>102</v>
      </c>
      <c r="AU4" s="411"/>
      <c r="AV4" s="411"/>
      <c r="AW4" s="412"/>
      <c r="AX4" s="409" t="s">
        <v>98</v>
      </c>
    </row>
    <row r="5" spans="1:50">
      <c r="A5" s="242"/>
      <c r="B5" s="409"/>
      <c r="C5" s="409"/>
      <c r="D5" s="409"/>
      <c r="E5" s="409" t="s">
        <v>103</v>
      </c>
      <c r="F5" s="409"/>
      <c r="G5" s="409"/>
      <c r="H5" s="416"/>
      <c r="I5" s="409" t="s">
        <v>103</v>
      </c>
      <c r="J5" s="409"/>
      <c r="K5" s="409"/>
      <c r="L5" s="416"/>
      <c r="M5" s="419"/>
      <c r="N5" s="409"/>
      <c r="O5" s="409"/>
      <c r="P5" s="410" t="s">
        <v>104</v>
      </c>
      <c r="Q5" s="411"/>
      <c r="R5" s="411"/>
      <c r="S5" s="412"/>
      <c r="T5" s="409"/>
      <c r="U5" s="410" t="s">
        <v>104</v>
      </c>
      <c r="V5" s="411"/>
      <c r="W5" s="411"/>
      <c r="X5" s="412"/>
      <c r="Y5" s="409"/>
      <c r="Z5" s="410" t="s">
        <v>104</v>
      </c>
      <c r="AA5" s="411"/>
      <c r="AB5" s="411"/>
      <c r="AC5" s="412"/>
      <c r="AD5" s="409"/>
      <c r="AE5" s="410" t="s">
        <v>104</v>
      </c>
      <c r="AF5" s="411"/>
      <c r="AG5" s="411"/>
      <c r="AH5" s="412"/>
      <c r="AI5" s="409"/>
      <c r="AJ5" s="410" t="s">
        <v>104</v>
      </c>
      <c r="AK5" s="411"/>
      <c r="AL5" s="411"/>
      <c r="AM5" s="412"/>
      <c r="AN5" s="409"/>
      <c r="AO5" s="410" t="s">
        <v>104</v>
      </c>
      <c r="AP5" s="411"/>
      <c r="AQ5" s="411"/>
      <c r="AR5" s="412"/>
      <c r="AS5" s="409"/>
      <c r="AT5" s="410" t="s">
        <v>104</v>
      </c>
      <c r="AU5" s="411"/>
      <c r="AV5" s="411"/>
      <c r="AW5" s="412"/>
      <c r="AX5" s="409"/>
    </row>
    <row r="6" spans="1:50">
      <c r="A6" s="247"/>
      <c r="B6" s="409"/>
      <c r="C6" s="409"/>
      <c r="D6" s="409"/>
      <c r="E6" s="248" t="s">
        <v>105</v>
      </c>
      <c r="F6" s="248" t="s">
        <v>106</v>
      </c>
      <c r="G6" s="248" t="s">
        <v>107</v>
      </c>
      <c r="H6" s="417"/>
      <c r="I6" s="248" t="s">
        <v>105</v>
      </c>
      <c r="J6" s="248" t="s">
        <v>106</v>
      </c>
      <c r="K6" s="248" t="s">
        <v>107</v>
      </c>
      <c r="L6" s="417"/>
      <c r="M6" s="420"/>
      <c r="N6" s="409"/>
      <c r="O6" s="409"/>
      <c r="P6" s="248" t="s">
        <v>105</v>
      </c>
      <c r="Q6" s="248" t="s">
        <v>106</v>
      </c>
      <c r="R6" s="248" t="s">
        <v>107</v>
      </c>
      <c r="S6" s="248" t="s">
        <v>100</v>
      </c>
      <c r="T6" s="409"/>
      <c r="U6" s="248" t="s">
        <v>105</v>
      </c>
      <c r="V6" s="248" t="s">
        <v>106</v>
      </c>
      <c r="W6" s="248" t="s">
        <v>107</v>
      </c>
      <c r="X6" s="248" t="s">
        <v>100</v>
      </c>
      <c r="Y6" s="409"/>
      <c r="Z6" s="248" t="s">
        <v>105</v>
      </c>
      <c r="AA6" s="248" t="s">
        <v>106</v>
      </c>
      <c r="AB6" s="248" t="s">
        <v>107</v>
      </c>
      <c r="AC6" s="248" t="s">
        <v>100</v>
      </c>
      <c r="AD6" s="409"/>
      <c r="AE6" s="248" t="s">
        <v>105</v>
      </c>
      <c r="AF6" s="248" t="s">
        <v>106</v>
      </c>
      <c r="AG6" s="248" t="s">
        <v>107</v>
      </c>
      <c r="AH6" s="248" t="s">
        <v>100</v>
      </c>
      <c r="AI6" s="409"/>
      <c r="AJ6" s="248" t="s">
        <v>105</v>
      </c>
      <c r="AK6" s="248" t="s">
        <v>106</v>
      </c>
      <c r="AL6" s="248" t="s">
        <v>107</v>
      </c>
      <c r="AM6" s="248" t="s">
        <v>100</v>
      </c>
      <c r="AN6" s="409"/>
      <c r="AO6" s="248" t="s">
        <v>105</v>
      </c>
      <c r="AP6" s="248" t="s">
        <v>106</v>
      </c>
      <c r="AQ6" s="248" t="s">
        <v>107</v>
      </c>
      <c r="AR6" s="248" t="s">
        <v>100</v>
      </c>
      <c r="AS6" s="409"/>
      <c r="AT6" s="248" t="s">
        <v>105</v>
      </c>
      <c r="AU6" s="248" t="s">
        <v>106</v>
      </c>
      <c r="AV6" s="248" t="s">
        <v>107</v>
      </c>
      <c r="AW6" s="248" t="s">
        <v>100</v>
      </c>
      <c r="AX6" s="409"/>
    </row>
    <row r="7" spans="1:50" ht="13.5">
      <c r="A7" s="242"/>
      <c r="B7" s="405" t="s">
        <v>108</v>
      </c>
      <c r="C7" s="249">
        <v>1</v>
      </c>
      <c r="D7" s="253" t="s">
        <v>109</v>
      </c>
      <c r="E7" s="250" t="e">
        <f>VLOOKUP(D7,#REF!,2,0)</f>
        <v>#REF!</v>
      </c>
      <c r="F7" s="250" t="e">
        <f>VLOOKUP(D7,#REF!,3,0)</f>
        <v>#REF!</v>
      </c>
      <c r="G7" s="251" t="e">
        <f>F7/E7</f>
        <v>#REF!</v>
      </c>
      <c r="H7" s="406" t="e">
        <f>AVERAGE(G7:G24)</f>
        <v>#REF!</v>
      </c>
      <c r="I7" s="250">
        <f>AVERAGE(P7,U7,Z7,AE7,AJ7,AO7,AT7)</f>
        <v>12</v>
      </c>
      <c r="J7" s="250">
        <f>AVERAGE(Q7,V7,AA7,AF7,AK7,AP7,AU7)</f>
        <v>1795</v>
      </c>
      <c r="K7" s="251">
        <f>AVERAGE(W7,AB7,AG7,AL7,AQ7,AV7)</f>
        <v>149.58333333333331</v>
      </c>
      <c r="L7" s="406">
        <f>IFERROR(AVERAGE(K7:K24),"-")</f>
        <v>96.176075718749047</v>
      </c>
      <c r="M7" s="252">
        <f>RANK(K7, K$7:$K$24)</f>
        <v>1</v>
      </c>
      <c r="N7" s="409"/>
      <c r="O7" s="409"/>
      <c r="P7" s="250"/>
      <c r="Q7" s="250"/>
      <c r="R7" s="251" t="e">
        <f>Q7/P7</f>
        <v>#DIV/0!</v>
      </c>
      <c r="S7" s="249" t="e">
        <f>RANK(R7, R$7:R$24)</f>
        <v>#DIV/0!</v>
      </c>
      <c r="T7" s="404" t="e">
        <f>AVERAGE(R7:R24)</f>
        <v>#DIV/0!</v>
      </c>
      <c r="U7" s="250">
        <v>12</v>
      </c>
      <c r="V7" s="250">
        <v>1730</v>
      </c>
      <c r="W7" s="251">
        <f>V7/U7</f>
        <v>144.16666666666666</v>
      </c>
      <c r="X7" s="249">
        <f>RANK(W7, W$7:W$24)</f>
        <v>1</v>
      </c>
      <c r="Y7" s="404">
        <f>AVERAGE(W7:W24)</f>
        <v>94.697243320405079</v>
      </c>
      <c r="Z7" s="249">
        <v>12</v>
      </c>
      <c r="AA7" s="250">
        <v>1553</v>
      </c>
      <c r="AB7" s="251">
        <f>AA7/Z7</f>
        <v>129.41666666666666</v>
      </c>
      <c r="AC7" s="249">
        <f>RANK(AB7, AB$7:AB$24)</f>
        <v>3</v>
      </c>
      <c r="AD7" s="404">
        <f>AVERAGE(AB7:AB24)</f>
        <v>93.019607522496173</v>
      </c>
      <c r="AE7" s="250">
        <v>12</v>
      </c>
      <c r="AF7" s="250">
        <v>1948</v>
      </c>
      <c r="AG7" s="251">
        <f>AF7/AE7</f>
        <v>162.33333333333334</v>
      </c>
      <c r="AH7" s="249">
        <f>RANK(AG7, AG$7:AG$24)</f>
        <v>1</v>
      </c>
      <c r="AI7" s="404">
        <f>AVERAGE(AG7:AG24)</f>
        <v>97.42523329844758</v>
      </c>
      <c r="AJ7" s="250">
        <v>12</v>
      </c>
      <c r="AK7" s="250">
        <v>1899</v>
      </c>
      <c r="AL7" s="251">
        <f>AK7/AJ7</f>
        <v>158.25</v>
      </c>
      <c r="AM7" s="249">
        <f>RANK(AL7, AL$7:AL$24)</f>
        <v>1</v>
      </c>
      <c r="AN7" s="404">
        <f>AVERAGE(AL7:AL24)</f>
        <v>99.758353913557528</v>
      </c>
      <c r="AO7" s="250">
        <v>12</v>
      </c>
      <c r="AP7" s="250">
        <v>1820</v>
      </c>
      <c r="AQ7" s="251">
        <f>AP7/AO7</f>
        <v>151.66666666666666</v>
      </c>
      <c r="AR7" s="249">
        <f>RANK(AQ7, AQ$7:AQ$24)</f>
        <v>1</v>
      </c>
      <c r="AS7" s="404">
        <f>AVERAGE(AQ7:AQ24)</f>
        <v>98.443947204128193</v>
      </c>
      <c r="AT7" s="250">
        <v>12</v>
      </c>
      <c r="AU7" s="251">
        <v>1820</v>
      </c>
      <c r="AV7" s="251">
        <f>AU7/AT7</f>
        <v>151.66666666666666</v>
      </c>
      <c r="AW7" s="249">
        <f>RANK(AV7, AV$7:AV$24)</f>
        <v>1</v>
      </c>
      <c r="AX7" s="404">
        <f>AVERAGE(AV7:AV24)</f>
        <v>96.157873662285439</v>
      </c>
    </row>
    <row r="8" spans="1:50" ht="15" customHeight="1">
      <c r="A8" s="242"/>
      <c r="B8" s="405"/>
      <c r="C8" s="249">
        <v>2</v>
      </c>
      <c r="D8" s="249" t="s">
        <v>110</v>
      </c>
      <c r="E8" s="250" t="e">
        <f>VLOOKUP(D8,#REF!,2,0)</f>
        <v>#REF!</v>
      </c>
      <c r="F8" s="250" t="e">
        <f>VLOOKUP(D8,#REF!,3,0)</f>
        <v>#REF!</v>
      </c>
      <c r="G8" s="251" t="e">
        <f t="shared" ref="G8:G20" si="0">F8/E8</f>
        <v>#REF!</v>
      </c>
      <c r="H8" s="407"/>
      <c r="I8" s="250">
        <f t="shared" ref="I8:J20" si="1">AVERAGE(P8,U8,Z8,AE8,AJ8,AO8,AT8)</f>
        <v>13</v>
      </c>
      <c r="J8" s="250">
        <f t="shared" si="1"/>
        <v>1826.5</v>
      </c>
      <c r="K8" s="251">
        <f t="shared" ref="K8:K20" si="2">AVERAGE(W8,AB8,AG8,AL8,AQ8,AV8)</f>
        <v>140.5</v>
      </c>
      <c r="L8" s="407"/>
      <c r="M8" s="252">
        <f>RANK(K8, K$7:$K$24)</f>
        <v>2</v>
      </c>
      <c r="N8" s="409"/>
      <c r="O8" s="409"/>
      <c r="P8" s="250"/>
      <c r="Q8" s="250"/>
      <c r="R8" s="251" t="e">
        <f t="shared" ref="R8:R24" si="3">Q8/P8</f>
        <v>#DIV/0!</v>
      </c>
      <c r="S8" s="249" t="e">
        <f t="shared" ref="S8:S24" si="4">RANK(R8, R$7:R$24)</f>
        <v>#DIV/0!</v>
      </c>
      <c r="T8" s="404"/>
      <c r="U8" s="250">
        <v>13</v>
      </c>
      <c r="V8" s="250">
        <v>1829</v>
      </c>
      <c r="W8" s="251">
        <f t="shared" ref="W8:W20" si="5">V8/U8</f>
        <v>140.69230769230768</v>
      </c>
      <c r="X8" s="249">
        <f t="shared" ref="X8:X20" si="6">RANK(W8, W$7:W$24)</f>
        <v>2</v>
      </c>
      <c r="Y8" s="404"/>
      <c r="Z8" s="249">
        <v>13</v>
      </c>
      <c r="AA8" s="250">
        <v>1785</v>
      </c>
      <c r="AB8" s="251">
        <f t="shared" ref="AB8:AB20" si="7">AA8/Z8</f>
        <v>137.30769230769232</v>
      </c>
      <c r="AC8" s="249">
        <f t="shared" ref="AC8:AC20" si="8">RANK(AB8, AB$7:AB$24)</f>
        <v>2</v>
      </c>
      <c r="AD8" s="404"/>
      <c r="AE8" s="250">
        <v>13</v>
      </c>
      <c r="AF8" s="250">
        <v>1911</v>
      </c>
      <c r="AG8" s="251">
        <f t="shared" ref="AG8:AG20" si="9">AF8/AE8</f>
        <v>147</v>
      </c>
      <c r="AH8" s="249">
        <f t="shared" ref="AH8:AH20" si="10">RANK(AG8, AG$7:AG$24)</f>
        <v>2</v>
      </c>
      <c r="AI8" s="404"/>
      <c r="AJ8" s="250">
        <v>13</v>
      </c>
      <c r="AK8" s="250">
        <v>1758</v>
      </c>
      <c r="AL8" s="251">
        <f t="shared" ref="AL8:AL16" si="11">AK8/AJ8</f>
        <v>135.23076923076923</v>
      </c>
      <c r="AM8" s="249">
        <f t="shared" ref="AM8:AM19" si="12">RANK(AL8, AL$7:AL$24)</f>
        <v>3</v>
      </c>
      <c r="AN8" s="404"/>
      <c r="AO8" s="250">
        <v>13</v>
      </c>
      <c r="AP8" s="250">
        <v>1934</v>
      </c>
      <c r="AQ8" s="251">
        <f t="shared" ref="AQ8:AQ16" si="13">AP8/AO8</f>
        <v>148.76923076923077</v>
      </c>
      <c r="AR8" s="249">
        <f t="shared" ref="AR8:AR19" si="14">RANK(AQ8, AQ$7:AQ$24)</f>
        <v>2</v>
      </c>
      <c r="AS8" s="404"/>
      <c r="AT8" s="250">
        <v>13</v>
      </c>
      <c r="AU8" s="251">
        <v>1742</v>
      </c>
      <c r="AV8" s="251">
        <f t="shared" ref="AV8:AV19" si="15">AU8/AT8</f>
        <v>134</v>
      </c>
      <c r="AW8" s="249">
        <f t="shared" ref="AW8:AW19" si="16">RANK(AV8, AV$7:AV$24)</f>
        <v>2</v>
      </c>
      <c r="AX8" s="404"/>
    </row>
    <row r="9" spans="1:50">
      <c r="A9" s="242"/>
      <c r="B9" s="405"/>
      <c r="C9" s="249">
        <v>3</v>
      </c>
      <c r="D9" s="249" t="s">
        <v>111</v>
      </c>
      <c r="E9" s="250" t="e">
        <f>VLOOKUP(D9,#REF!,2,0)</f>
        <v>#REF!</v>
      </c>
      <c r="F9" s="250" t="e">
        <f>VLOOKUP(D9,#REF!,3,0)</f>
        <v>#REF!</v>
      </c>
      <c r="G9" s="251" t="e">
        <f t="shared" si="0"/>
        <v>#REF!</v>
      </c>
      <c r="H9" s="407"/>
      <c r="I9" s="250">
        <f t="shared" si="1"/>
        <v>16</v>
      </c>
      <c r="J9" s="250">
        <f t="shared" si="1"/>
        <v>1579.5</v>
      </c>
      <c r="K9" s="251">
        <f t="shared" si="2"/>
        <v>98.71875</v>
      </c>
      <c r="L9" s="407"/>
      <c r="M9" s="252">
        <f>RANK(K9, K$7:$K$24)</f>
        <v>5</v>
      </c>
      <c r="N9" s="409"/>
      <c r="O9" s="409"/>
      <c r="P9" s="250"/>
      <c r="Q9" s="250"/>
      <c r="R9" s="251" t="e">
        <f t="shared" si="3"/>
        <v>#DIV/0!</v>
      </c>
      <c r="S9" s="249" t="e">
        <f t="shared" si="4"/>
        <v>#DIV/0!</v>
      </c>
      <c r="T9" s="404"/>
      <c r="U9" s="250">
        <v>16</v>
      </c>
      <c r="V9" s="250">
        <v>1557</v>
      </c>
      <c r="W9" s="251">
        <f t="shared" si="5"/>
        <v>97.3125</v>
      </c>
      <c r="X9" s="249">
        <f t="shared" si="6"/>
        <v>5</v>
      </c>
      <c r="Y9" s="404"/>
      <c r="Z9" s="249">
        <v>16</v>
      </c>
      <c r="AA9" s="250">
        <v>1657</v>
      </c>
      <c r="AB9" s="251">
        <f t="shared" si="7"/>
        <v>103.5625</v>
      </c>
      <c r="AC9" s="249">
        <f t="shared" si="8"/>
        <v>4</v>
      </c>
      <c r="AD9" s="404"/>
      <c r="AE9" s="250">
        <v>16</v>
      </c>
      <c r="AF9" s="250">
        <v>1620</v>
      </c>
      <c r="AG9" s="251">
        <f t="shared" si="9"/>
        <v>101.25</v>
      </c>
      <c r="AH9" s="249">
        <f t="shared" si="10"/>
        <v>6</v>
      </c>
      <c r="AI9" s="404"/>
      <c r="AJ9" s="250">
        <v>16</v>
      </c>
      <c r="AK9" s="250">
        <v>1538</v>
      </c>
      <c r="AL9" s="251">
        <f t="shared" si="11"/>
        <v>96.125</v>
      </c>
      <c r="AM9" s="249">
        <f t="shared" si="12"/>
        <v>5</v>
      </c>
      <c r="AN9" s="404"/>
      <c r="AO9" s="250">
        <v>16</v>
      </c>
      <c r="AP9" s="250">
        <v>1564</v>
      </c>
      <c r="AQ9" s="251">
        <f t="shared" si="13"/>
        <v>97.75</v>
      </c>
      <c r="AR9" s="249">
        <f t="shared" si="14"/>
        <v>5</v>
      </c>
      <c r="AS9" s="404"/>
      <c r="AT9" s="250">
        <v>16</v>
      </c>
      <c r="AU9" s="251">
        <v>1541</v>
      </c>
      <c r="AV9" s="251">
        <f t="shared" si="15"/>
        <v>96.3125</v>
      </c>
      <c r="AW9" s="249">
        <f t="shared" si="16"/>
        <v>5</v>
      </c>
      <c r="AX9" s="404"/>
    </row>
    <row r="10" spans="1:50">
      <c r="A10" s="242"/>
      <c r="B10" s="405"/>
      <c r="C10" s="249">
        <v>4</v>
      </c>
      <c r="D10" s="249" t="s">
        <v>112</v>
      </c>
      <c r="E10" s="250" t="e">
        <f>VLOOKUP(D10,#REF!,2,0)</f>
        <v>#REF!</v>
      </c>
      <c r="F10" s="250" t="e">
        <f>VLOOKUP(D10,#REF!,3,0)</f>
        <v>#REF!</v>
      </c>
      <c r="G10" s="251" t="e">
        <f t="shared" si="0"/>
        <v>#REF!</v>
      </c>
      <c r="H10" s="407"/>
      <c r="I10" s="250">
        <f t="shared" si="1"/>
        <v>18</v>
      </c>
      <c r="J10" s="250">
        <f t="shared" si="1"/>
        <v>1539.5</v>
      </c>
      <c r="K10" s="251">
        <f t="shared" si="2"/>
        <v>85.527777777777771</v>
      </c>
      <c r="L10" s="407"/>
      <c r="M10" s="252">
        <f>RANK(K10, K$7:$K$24)</f>
        <v>8</v>
      </c>
      <c r="N10" s="409"/>
      <c r="O10" s="409"/>
      <c r="P10" s="250"/>
      <c r="Q10" s="250"/>
      <c r="R10" s="251" t="e">
        <f t="shared" si="3"/>
        <v>#DIV/0!</v>
      </c>
      <c r="S10" s="249" t="e">
        <f t="shared" si="4"/>
        <v>#DIV/0!</v>
      </c>
      <c r="T10" s="404"/>
      <c r="U10" s="250">
        <v>18</v>
      </c>
      <c r="V10" s="250">
        <v>1515</v>
      </c>
      <c r="W10" s="251">
        <f t="shared" si="5"/>
        <v>84.166666666666671</v>
      </c>
      <c r="X10" s="249">
        <f t="shared" si="6"/>
        <v>8</v>
      </c>
      <c r="Y10" s="404"/>
      <c r="Z10" s="249">
        <v>18</v>
      </c>
      <c r="AA10" s="250">
        <v>1545</v>
      </c>
      <c r="AB10" s="251">
        <f t="shared" si="7"/>
        <v>85.833333333333329</v>
      </c>
      <c r="AC10" s="249">
        <f t="shared" si="8"/>
        <v>7</v>
      </c>
      <c r="AD10" s="404"/>
      <c r="AE10" s="250">
        <v>18</v>
      </c>
      <c r="AF10" s="250">
        <v>1561</v>
      </c>
      <c r="AG10" s="251">
        <f t="shared" si="9"/>
        <v>86.722222222222229</v>
      </c>
      <c r="AH10" s="249">
        <f t="shared" si="10"/>
        <v>7</v>
      </c>
      <c r="AI10" s="404"/>
      <c r="AJ10" s="250">
        <v>18</v>
      </c>
      <c r="AK10" s="250">
        <v>1564</v>
      </c>
      <c r="AL10" s="251">
        <f t="shared" si="11"/>
        <v>86.888888888888886</v>
      </c>
      <c r="AM10" s="249">
        <f t="shared" si="12"/>
        <v>8</v>
      </c>
      <c r="AN10" s="404"/>
      <c r="AO10" s="250">
        <v>18</v>
      </c>
      <c r="AP10" s="250">
        <v>1550</v>
      </c>
      <c r="AQ10" s="251">
        <f t="shared" si="13"/>
        <v>86.111111111111114</v>
      </c>
      <c r="AR10" s="249">
        <f t="shared" si="14"/>
        <v>9</v>
      </c>
      <c r="AS10" s="404"/>
      <c r="AT10" s="250">
        <v>18</v>
      </c>
      <c r="AU10" s="251">
        <v>1502</v>
      </c>
      <c r="AV10" s="251">
        <f t="shared" si="15"/>
        <v>83.444444444444443</v>
      </c>
      <c r="AW10" s="249">
        <f t="shared" si="16"/>
        <v>8</v>
      </c>
      <c r="AX10" s="404"/>
    </row>
    <row r="11" spans="1:50">
      <c r="A11" s="242"/>
      <c r="B11" s="405"/>
      <c r="C11" s="249">
        <v>5</v>
      </c>
      <c r="D11" s="249" t="s">
        <v>113</v>
      </c>
      <c r="E11" s="250" t="e">
        <f>VLOOKUP(D11,#REF!,2,0)</f>
        <v>#REF!</v>
      </c>
      <c r="F11" s="250" t="e">
        <f>VLOOKUP(D11,#REF!,3,0)</f>
        <v>#REF!</v>
      </c>
      <c r="G11" s="251" t="e">
        <f t="shared" si="0"/>
        <v>#REF!</v>
      </c>
      <c r="H11" s="407"/>
      <c r="I11" s="250">
        <f t="shared" si="1"/>
        <v>13.166666666666666</v>
      </c>
      <c r="J11" s="250">
        <f t="shared" si="1"/>
        <v>1775</v>
      </c>
      <c r="K11" s="251">
        <f t="shared" si="2"/>
        <v>134.91849816849819</v>
      </c>
      <c r="L11" s="407"/>
      <c r="M11" s="252">
        <f>RANK(K11, K$7:$K$24)</f>
        <v>3</v>
      </c>
      <c r="N11" s="409"/>
      <c r="O11" s="409"/>
      <c r="P11" s="250"/>
      <c r="Q11" s="250"/>
      <c r="R11" s="251" t="e">
        <f t="shared" si="3"/>
        <v>#DIV/0!</v>
      </c>
      <c r="S11" s="249" t="e">
        <f t="shared" si="4"/>
        <v>#DIV/0!</v>
      </c>
      <c r="T11" s="404"/>
      <c r="U11" s="250">
        <v>13</v>
      </c>
      <c r="V11" s="250">
        <v>1684</v>
      </c>
      <c r="W11" s="251">
        <f t="shared" si="5"/>
        <v>129.53846153846155</v>
      </c>
      <c r="X11" s="249">
        <f t="shared" si="6"/>
        <v>3</v>
      </c>
      <c r="Y11" s="404"/>
      <c r="Z11" s="249">
        <v>13</v>
      </c>
      <c r="AA11" s="250">
        <v>1900</v>
      </c>
      <c r="AB11" s="251">
        <f t="shared" si="7"/>
        <v>146.15384615384616</v>
      </c>
      <c r="AC11" s="249">
        <f t="shared" si="8"/>
        <v>1</v>
      </c>
      <c r="AD11" s="404"/>
      <c r="AE11" s="250">
        <v>13</v>
      </c>
      <c r="AF11" s="250">
        <v>1679</v>
      </c>
      <c r="AG11" s="251">
        <f t="shared" si="9"/>
        <v>129.15384615384616</v>
      </c>
      <c r="AH11" s="249">
        <f t="shared" si="10"/>
        <v>3</v>
      </c>
      <c r="AI11" s="404"/>
      <c r="AJ11" s="250">
        <v>13</v>
      </c>
      <c r="AK11" s="250">
        <v>1852</v>
      </c>
      <c r="AL11" s="251">
        <f t="shared" si="11"/>
        <v>142.46153846153845</v>
      </c>
      <c r="AM11" s="249">
        <f t="shared" si="12"/>
        <v>2</v>
      </c>
      <c r="AN11" s="404"/>
      <c r="AO11" s="250">
        <v>13</v>
      </c>
      <c r="AP11" s="250">
        <v>1766</v>
      </c>
      <c r="AQ11" s="251">
        <f t="shared" si="13"/>
        <v>135.84615384615384</v>
      </c>
      <c r="AR11" s="249">
        <f t="shared" si="14"/>
        <v>3</v>
      </c>
      <c r="AS11" s="404"/>
      <c r="AT11" s="250">
        <v>14</v>
      </c>
      <c r="AU11" s="251">
        <v>1769</v>
      </c>
      <c r="AV11" s="251">
        <f t="shared" si="15"/>
        <v>126.35714285714286</v>
      </c>
      <c r="AW11" s="249">
        <f t="shared" si="16"/>
        <v>4</v>
      </c>
      <c r="AX11" s="404"/>
    </row>
    <row r="12" spans="1:50">
      <c r="A12" s="242"/>
      <c r="B12" s="405"/>
      <c r="C12" s="249">
        <v>6</v>
      </c>
      <c r="D12" s="249" t="s">
        <v>114</v>
      </c>
      <c r="E12" s="250" t="e">
        <f>VLOOKUP(D12,#REF!,2,0)</f>
        <v>#REF!</v>
      </c>
      <c r="F12" s="250" t="e">
        <f>VLOOKUP(D12,#REF!,3,0)</f>
        <v>#REF!</v>
      </c>
      <c r="G12" s="251" t="e">
        <f t="shared" si="0"/>
        <v>#REF!</v>
      </c>
      <c r="H12" s="407"/>
      <c r="I12" s="250">
        <f t="shared" si="1"/>
        <v>14.166666666666666</v>
      </c>
      <c r="J12" s="250">
        <f t="shared" si="1"/>
        <v>1610</v>
      </c>
      <c r="K12" s="251">
        <f t="shared" si="2"/>
        <v>113.72222222222223</v>
      </c>
      <c r="L12" s="407"/>
      <c r="M12" s="252">
        <f>RANK(K12, K$7:$K$24)</f>
        <v>4</v>
      </c>
      <c r="N12" s="409"/>
      <c r="O12" s="409"/>
      <c r="P12" s="250"/>
      <c r="Q12" s="250"/>
      <c r="R12" s="251" t="e">
        <f t="shared" si="3"/>
        <v>#DIV/0!</v>
      </c>
      <c r="S12" s="249" t="e">
        <f t="shared" si="4"/>
        <v>#DIV/0!</v>
      </c>
      <c r="T12" s="404"/>
      <c r="U12" s="250">
        <v>15</v>
      </c>
      <c r="V12" s="250">
        <v>1610</v>
      </c>
      <c r="W12" s="251">
        <f t="shared" si="5"/>
        <v>107.33333333333333</v>
      </c>
      <c r="X12" s="249">
        <f t="shared" si="6"/>
        <v>4</v>
      </c>
      <c r="Y12" s="404"/>
      <c r="Z12" s="249">
        <v>14</v>
      </c>
      <c r="AA12" s="250">
        <v>1273</v>
      </c>
      <c r="AB12" s="251">
        <f t="shared" si="7"/>
        <v>90.928571428571431</v>
      </c>
      <c r="AC12" s="249">
        <f t="shared" si="8"/>
        <v>5</v>
      </c>
      <c r="AD12" s="404"/>
      <c r="AE12" s="250">
        <v>14</v>
      </c>
      <c r="AF12" s="250">
        <v>1556</v>
      </c>
      <c r="AG12" s="351">
        <f t="shared" si="9"/>
        <v>111.14285714285714</v>
      </c>
      <c r="AH12" s="249">
        <f t="shared" si="10"/>
        <v>4</v>
      </c>
      <c r="AI12" s="404"/>
      <c r="AJ12" s="250">
        <v>14</v>
      </c>
      <c r="AK12" s="250">
        <v>1734</v>
      </c>
      <c r="AL12" s="251">
        <f t="shared" si="11"/>
        <v>123.85714285714286</v>
      </c>
      <c r="AM12" s="249">
        <f t="shared" si="12"/>
        <v>4</v>
      </c>
      <c r="AN12" s="404"/>
      <c r="AO12" s="250">
        <v>14</v>
      </c>
      <c r="AP12" s="250">
        <v>1661</v>
      </c>
      <c r="AQ12" s="251">
        <f t="shared" si="13"/>
        <v>118.64285714285714</v>
      </c>
      <c r="AR12" s="249">
        <f t="shared" si="14"/>
        <v>4</v>
      </c>
      <c r="AS12" s="404"/>
      <c r="AT12" s="250">
        <v>14</v>
      </c>
      <c r="AU12" s="251">
        <v>1826</v>
      </c>
      <c r="AV12" s="251">
        <f t="shared" si="15"/>
        <v>130.42857142857142</v>
      </c>
      <c r="AW12" s="249">
        <f t="shared" si="16"/>
        <v>3</v>
      </c>
      <c r="AX12" s="404"/>
    </row>
    <row r="13" spans="1:50">
      <c r="A13" s="242"/>
      <c r="B13" s="405"/>
      <c r="C13" s="249">
        <v>7</v>
      </c>
      <c r="D13" s="249" t="s">
        <v>115</v>
      </c>
      <c r="E13" s="250" t="e">
        <f>VLOOKUP(D13,#REF!,2,0)</f>
        <v>#REF!</v>
      </c>
      <c r="F13" s="250" t="e">
        <f>VLOOKUP(D13,#REF!,3,0)</f>
        <v>#REF!</v>
      </c>
      <c r="G13" s="251" t="e">
        <f t="shared" si="0"/>
        <v>#REF!</v>
      </c>
      <c r="H13" s="407"/>
      <c r="I13" s="250">
        <f t="shared" si="1"/>
        <v>15</v>
      </c>
      <c r="J13" s="250">
        <f t="shared" si="1"/>
        <v>970.33333333333337</v>
      </c>
      <c r="K13" s="251">
        <f t="shared" si="2"/>
        <v>65.029761904761912</v>
      </c>
      <c r="L13" s="407"/>
      <c r="M13" s="252">
        <f>RANK(K13, K$7:$K$24)</f>
        <v>14</v>
      </c>
      <c r="N13" s="409"/>
      <c r="O13" s="409"/>
      <c r="P13" s="250"/>
      <c r="Q13" s="250"/>
      <c r="R13" s="251" t="e">
        <f t="shared" si="3"/>
        <v>#DIV/0!</v>
      </c>
      <c r="S13" s="249" t="e">
        <f t="shared" si="4"/>
        <v>#DIV/0!</v>
      </c>
      <c r="T13" s="404"/>
      <c r="U13" s="250">
        <v>16</v>
      </c>
      <c r="V13" s="250">
        <v>1043</v>
      </c>
      <c r="W13" s="251">
        <f t="shared" si="5"/>
        <v>65.1875</v>
      </c>
      <c r="X13" s="249">
        <f t="shared" si="6"/>
        <v>14</v>
      </c>
      <c r="Y13" s="404"/>
      <c r="Z13" s="249">
        <v>14</v>
      </c>
      <c r="AA13" s="250">
        <v>924</v>
      </c>
      <c r="AB13" s="251">
        <f t="shared" si="7"/>
        <v>66</v>
      </c>
      <c r="AC13" s="249">
        <f t="shared" si="8"/>
        <v>14</v>
      </c>
      <c r="AD13" s="404"/>
      <c r="AE13" s="250">
        <v>14</v>
      </c>
      <c r="AF13" s="250">
        <v>895</v>
      </c>
      <c r="AG13" s="251">
        <f t="shared" si="9"/>
        <v>63.928571428571431</v>
      </c>
      <c r="AH13" s="249">
        <f t="shared" si="10"/>
        <v>13</v>
      </c>
      <c r="AI13" s="404"/>
      <c r="AJ13" s="250">
        <v>14</v>
      </c>
      <c r="AK13" s="250">
        <v>1127</v>
      </c>
      <c r="AL13" s="251">
        <f t="shared" si="11"/>
        <v>80.5</v>
      </c>
      <c r="AM13" s="249">
        <f t="shared" si="12"/>
        <v>10</v>
      </c>
      <c r="AN13" s="404"/>
      <c r="AO13" s="250">
        <v>16</v>
      </c>
      <c r="AP13" s="250">
        <v>1019</v>
      </c>
      <c r="AQ13" s="251">
        <f t="shared" si="13"/>
        <v>63.6875</v>
      </c>
      <c r="AR13" s="249">
        <f t="shared" si="14"/>
        <v>13</v>
      </c>
      <c r="AS13" s="404"/>
      <c r="AT13" s="250">
        <v>16</v>
      </c>
      <c r="AU13" s="251">
        <v>814</v>
      </c>
      <c r="AV13" s="251">
        <f t="shared" si="15"/>
        <v>50.875</v>
      </c>
      <c r="AW13" s="249">
        <f t="shared" si="16"/>
        <v>13</v>
      </c>
      <c r="AX13" s="404"/>
    </row>
    <row r="14" spans="1:50">
      <c r="A14" s="242"/>
      <c r="B14" s="405"/>
      <c r="C14" s="249">
        <v>8</v>
      </c>
      <c r="D14" s="249" t="s">
        <v>116</v>
      </c>
      <c r="E14" s="250" t="e">
        <f>VLOOKUP(D14,#REF!,2,0)</f>
        <v>#REF!</v>
      </c>
      <c r="F14" s="250" t="e">
        <f>VLOOKUP(D14,#REF!,3,0)</f>
        <v>#REF!</v>
      </c>
      <c r="G14" s="251" t="e">
        <f t="shared" si="0"/>
        <v>#REF!</v>
      </c>
      <c r="H14" s="407"/>
      <c r="I14" s="250">
        <f t="shared" si="1"/>
        <v>15</v>
      </c>
      <c r="J14" s="250">
        <f t="shared" si="1"/>
        <v>1138</v>
      </c>
      <c r="K14" s="251">
        <f t="shared" si="2"/>
        <v>76.056417887667891</v>
      </c>
      <c r="L14" s="407"/>
      <c r="M14" s="252">
        <f>RANK(K14, K$7:$K$24)</f>
        <v>11</v>
      </c>
      <c r="N14" s="409"/>
      <c r="O14" s="409"/>
      <c r="P14" s="250"/>
      <c r="Q14" s="250"/>
      <c r="R14" s="251" t="e">
        <f t="shared" si="3"/>
        <v>#DIV/0!</v>
      </c>
      <c r="S14" s="249" t="e">
        <f t="shared" si="4"/>
        <v>#DIV/0!</v>
      </c>
      <c r="T14" s="404"/>
      <c r="U14" s="250">
        <v>16</v>
      </c>
      <c r="V14" s="250">
        <v>1301</v>
      </c>
      <c r="W14" s="251">
        <f t="shared" si="5"/>
        <v>81.3125</v>
      </c>
      <c r="X14" s="249">
        <f t="shared" si="6"/>
        <v>9</v>
      </c>
      <c r="Y14" s="404"/>
      <c r="Z14" s="249">
        <v>15</v>
      </c>
      <c r="AA14" s="250">
        <v>1092</v>
      </c>
      <c r="AB14" s="251">
        <f t="shared" si="7"/>
        <v>72.8</v>
      </c>
      <c r="AC14" s="249">
        <f t="shared" si="8"/>
        <v>12</v>
      </c>
      <c r="AD14" s="404"/>
      <c r="AE14" s="250">
        <v>13</v>
      </c>
      <c r="AF14" s="250">
        <v>1017</v>
      </c>
      <c r="AG14" s="251">
        <f t="shared" si="9"/>
        <v>78.230769230769226</v>
      </c>
      <c r="AH14" s="249">
        <f t="shared" si="10"/>
        <v>10</v>
      </c>
      <c r="AI14" s="404"/>
      <c r="AJ14" s="250">
        <v>15</v>
      </c>
      <c r="AK14" s="250">
        <v>1171</v>
      </c>
      <c r="AL14" s="251">
        <f t="shared" si="11"/>
        <v>78.066666666666663</v>
      </c>
      <c r="AM14" s="249">
        <f t="shared" si="12"/>
        <v>11</v>
      </c>
      <c r="AN14" s="404"/>
      <c r="AO14" s="250">
        <v>17</v>
      </c>
      <c r="AP14" s="250">
        <v>1156</v>
      </c>
      <c r="AQ14" s="251">
        <f t="shared" si="13"/>
        <v>68</v>
      </c>
      <c r="AR14" s="249">
        <f t="shared" si="14"/>
        <v>11</v>
      </c>
      <c r="AS14" s="404"/>
      <c r="AT14" s="250">
        <v>14</v>
      </c>
      <c r="AU14" s="251">
        <v>1091</v>
      </c>
      <c r="AV14" s="251">
        <f t="shared" si="15"/>
        <v>77.928571428571431</v>
      </c>
      <c r="AW14" s="249">
        <f t="shared" si="16"/>
        <v>10</v>
      </c>
      <c r="AX14" s="404"/>
    </row>
    <row r="15" spans="1:50">
      <c r="A15" s="242"/>
      <c r="B15" s="405"/>
      <c r="C15" s="249">
        <v>9</v>
      </c>
      <c r="D15" s="249" t="s">
        <v>117</v>
      </c>
      <c r="E15" s="250" t="e">
        <f>VLOOKUP(D15,#REF!,2,0)</f>
        <v>#REF!</v>
      </c>
      <c r="F15" s="250" t="e">
        <f>VLOOKUP(D15,#REF!,3,0)</f>
        <v>#REF!</v>
      </c>
      <c r="G15" s="251" t="e">
        <f t="shared" si="0"/>
        <v>#REF!</v>
      </c>
      <c r="H15" s="407"/>
      <c r="I15" s="250">
        <f t="shared" si="1"/>
        <v>17.166666666666668</v>
      </c>
      <c r="J15" s="250">
        <f t="shared" si="1"/>
        <v>1192.3333333333333</v>
      </c>
      <c r="K15" s="251">
        <f t="shared" si="2"/>
        <v>69.31797385620915</v>
      </c>
      <c r="L15" s="407"/>
      <c r="M15" s="252">
        <f>RANK(K15, K$7:$K$24)</f>
        <v>13</v>
      </c>
      <c r="N15" s="409"/>
      <c r="O15" s="409"/>
      <c r="P15" s="250"/>
      <c r="Q15" s="250"/>
      <c r="R15" s="251" t="e">
        <f t="shared" si="3"/>
        <v>#DIV/0!</v>
      </c>
      <c r="S15" s="249" t="e">
        <f t="shared" si="4"/>
        <v>#DIV/0!</v>
      </c>
      <c r="T15" s="404"/>
      <c r="U15" s="250">
        <v>17</v>
      </c>
      <c r="V15" s="250">
        <v>1290</v>
      </c>
      <c r="W15" s="251">
        <f t="shared" si="5"/>
        <v>75.882352941176464</v>
      </c>
      <c r="X15" s="249">
        <f t="shared" si="6"/>
        <v>12</v>
      </c>
      <c r="Y15" s="404"/>
      <c r="Z15" s="249">
        <v>18</v>
      </c>
      <c r="AA15" s="250">
        <v>1253</v>
      </c>
      <c r="AB15" s="251">
        <f t="shared" si="7"/>
        <v>69.611111111111114</v>
      </c>
      <c r="AC15" s="249">
        <f t="shared" si="8"/>
        <v>13</v>
      </c>
      <c r="AD15" s="404"/>
      <c r="AE15" s="250">
        <v>15</v>
      </c>
      <c r="AF15" s="250">
        <v>952</v>
      </c>
      <c r="AG15" s="251">
        <f t="shared" si="9"/>
        <v>63.466666666666669</v>
      </c>
      <c r="AH15" s="249">
        <f t="shared" si="10"/>
        <v>14</v>
      </c>
      <c r="AI15" s="404"/>
      <c r="AJ15" s="250">
        <v>18</v>
      </c>
      <c r="AK15" s="250">
        <v>1351</v>
      </c>
      <c r="AL15" s="251">
        <f t="shared" si="11"/>
        <v>75.055555555555557</v>
      </c>
      <c r="AM15" s="249">
        <f t="shared" si="12"/>
        <v>12</v>
      </c>
      <c r="AN15" s="404"/>
      <c r="AO15" s="250">
        <v>17</v>
      </c>
      <c r="AP15" s="250">
        <v>1123</v>
      </c>
      <c r="AQ15" s="251">
        <f t="shared" si="13"/>
        <v>66.058823529411768</v>
      </c>
      <c r="AR15" s="249">
        <f t="shared" si="14"/>
        <v>12</v>
      </c>
      <c r="AS15" s="404"/>
      <c r="AT15" s="250">
        <v>18</v>
      </c>
      <c r="AU15" s="251">
        <v>1185</v>
      </c>
      <c r="AV15" s="251">
        <f t="shared" si="15"/>
        <v>65.833333333333329</v>
      </c>
      <c r="AW15" s="249">
        <f t="shared" si="16"/>
        <v>12</v>
      </c>
      <c r="AX15" s="404"/>
    </row>
    <row r="16" spans="1:50">
      <c r="A16" s="242"/>
      <c r="B16" s="405"/>
      <c r="C16" s="249">
        <v>10</v>
      </c>
      <c r="D16" s="249" t="s">
        <v>118</v>
      </c>
      <c r="E16" s="250" t="e">
        <f>VLOOKUP(D16,#REF!,2,0)</f>
        <v>#REF!</v>
      </c>
      <c r="F16" s="250" t="e">
        <f>VLOOKUP(D16,#REF!,3,0)</f>
        <v>#REF!</v>
      </c>
      <c r="G16" s="251" t="e">
        <f t="shared" si="0"/>
        <v>#REF!</v>
      </c>
      <c r="H16" s="407"/>
      <c r="I16" s="250">
        <f t="shared" si="1"/>
        <v>16.5</v>
      </c>
      <c r="J16" s="250">
        <f t="shared" si="1"/>
        <v>1434.6666666666667</v>
      </c>
      <c r="K16" s="251">
        <f t="shared" si="2"/>
        <v>86.907475490196077</v>
      </c>
      <c r="L16" s="407"/>
      <c r="M16" s="252">
        <f>RANK(K16, K$7:$K$24)</f>
        <v>6</v>
      </c>
      <c r="N16" s="409"/>
      <c r="O16" s="409"/>
      <c r="P16" s="250"/>
      <c r="Q16" s="250"/>
      <c r="R16" s="251" t="e">
        <f t="shared" si="3"/>
        <v>#DIV/0!</v>
      </c>
      <c r="S16" s="249" t="e">
        <f t="shared" si="4"/>
        <v>#DIV/0!</v>
      </c>
      <c r="T16" s="404"/>
      <c r="U16" s="250">
        <v>16</v>
      </c>
      <c r="V16" s="250">
        <v>1373</v>
      </c>
      <c r="W16" s="251">
        <f t="shared" si="5"/>
        <v>85.8125</v>
      </c>
      <c r="X16" s="249">
        <f t="shared" si="6"/>
        <v>7</v>
      </c>
      <c r="Y16" s="404"/>
      <c r="Z16" s="249">
        <v>17</v>
      </c>
      <c r="AA16" s="250">
        <v>1478</v>
      </c>
      <c r="AB16" s="251">
        <f t="shared" si="7"/>
        <v>86.941176470588232</v>
      </c>
      <c r="AC16" s="249">
        <f t="shared" si="8"/>
        <v>6</v>
      </c>
      <c r="AD16" s="404"/>
      <c r="AE16" s="250">
        <v>16</v>
      </c>
      <c r="AF16" s="250">
        <v>1354</v>
      </c>
      <c r="AG16" s="251">
        <f t="shared" si="9"/>
        <v>84.625</v>
      </c>
      <c r="AH16" s="249">
        <f t="shared" si="10"/>
        <v>8</v>
      </c>
      <c r="AI16" s="404"/>
      <c r="AJ16" s="250">
        <v>16</v>
      </c>
      <c r="AK16" s="250">
        <v>1378</v>
      </c>
      <c r="AL16" s="251">
        <f t="shared" si="11"/>
        <v>86.125</v>
      </c>
      <c r="AM16" s="249">
        <f t="shared" si="12"/>
        <v>9</v>
      </c>
      <c r="AN16" s="404"/>
      <c r="AO16" s="250">
        <v>17</v>
      </c>
      <c r="AP16" s="250">
        <v>1551</v>
      </c>
      <c r="AQ16" s="251">
        <f t="shared" si="13"/>
        <v>91.235294117647058</v>
      </c>
      <c r="AR16" s="249">
        <f t="shared" si="14"/>
        <v>6</v>
      </c>
      <c r="AS16" s="404"/>
      <c r="AT16" s="250">
        <v>17</v>
      </c>
      <c r="AU16" s="251">
        <v>1474</v>
      </c>
      <c r="AV16" s="251">
        <f t="shared" si="15"/>
        <v>86.705882352941174</v>
      </c>
      <c r="AW16" s="249">
        <f t="shared" si="16"/>
        <v>6</v>
      </c>
      <c r="AX16" s="404"/>
    </row>
    <row r="17" spans="2:50">
      <c r="B17" s="405"/>
      <c r="C17" s="249">
        <v>11</v>
      </c>
      <c r="D17" s="249" t="s">
        <v>119</v>
      </c>
      <c r="E17" s="250" t="e">
        <f>VLOOKUP(D17,#REF!,2,0)</f>
        <v>#REF!</v>
      </c>
      <c r="F17" s="250" t="e">
        <f>VLOOKUP(D17,#REF!,3,0)</f>
        <v>#REF!</v>
      </c>
      <c r="G17" s="251" t="e">
        <f t="shared" si="0"/>
        <v>#REF!</v>
      </c>
      <c r="H17" s="407"/>
      <c r="I17" s="250">
        <f t="shared" si="1"/>
        <v>15.166666666666666</v>
      </c>
      <c r="J17" s="250">
        <f t="shared" si="1"/>
        <v>1200.5</v>
      </c>
      <c r="K17" s="251">
        <f t="shared" si="2"/>
        <v>79.046766591251881</v>
      </c>
      <c r="L17" s="407"/>
      <c r="M17" s="252">
        <f>RANK(K17, K$7:$K$24)</f>
        <v>10</v>
      </c>
      <c r="N17" s="409"/>
      <c r="O17" s="409"/>
      <c r="P17" s="249"/>
      <c r="Q17" s="249"/>
      <c r="R17" s="251" t="e">
        <f>Q17/P17</f>
        <v>#DIV/0!</v>
      </c>
      <c r="S17" s="249" t="e">
        <f t="shared" si="4"/>
        <v>#DIV/0!</v>
      </c>
      <c r="T17" s="404"/>
      <c r="U17" s="249">
        <v>15</v>
      </c>
      <c r="V17" s="249">
        <v>1164</v>
      </c>
      <c r="W17" s="249">
        <f>V17/U17</f>
        <v>77.599999999999994</v>
      </c>
      <c r="X17" s="249">
        <f t="shared" si="6"/>
        <v>11</v>
      </c>
      <c r="Y17" s="404"/>
      <c r="Z17" s="249">
        <v>15</v>
      </c>
      <c r="AA17" s="249">
        <v>1111</v>
      </c>
      <c r="AB17" s="251">
        <f>AA17/Z17</f>
        <v>74.066666666666663</v>
      </c>
      <c r="AC17" s="249">
        <f t="shared" si="8"/>
        <v>10</v>
      </c>
      <c r="AD17" s="404"/>
      <c r="AE17" s="249">
        <v>13</v>
      </c>
      <c r="AF17" s="249">
        <v>1054</v>
      </c>
      <c r="AG17" s="251">
        <f t="shared" si="9"/>
        <v>81.07692307692308</v>
      </c>
      <c r="AH17" s="249">
        <f t="shared" si="10"/>
        <v>9</v>
      </c>
      <c r="AI17" s="404"/>
      <c r="AJ17" s="249">
        <v>17</v>
      </c>
      <c r="AK17" s="249">
        <v>1478</v>
      </c>
      <c r="AL17" s="251">
        <f>AK17/AJ17</f>
        <v>86.941176470588232</v>
      </c>
      <c r="AM17" s="249">
        <f t="shared" si="12"/>
        <v>7</v>
      </c>
      <c r="AN17" s="404"/>
      <c r="AO17" s="249">
        <v>16</v>
      </c>
      <c r="AP17" s="249">
        <v>1233</v>
      </c>
      <c r="AQ17" s="251">
        <f>AP17/AO17</f>
        <v>77.0625</v>
      </c>
      <c r="AR17" s="249">
        <f t="shared" si="14"/>
        <v>10</v>
      </c>
      <c r="AS17" s="404"/>
      <c r="AT17" s="249">
        <v>15</v>
      </c>
      <c r="AU17" s="251">
        <v>1163</v>
      </c>
      <c r="AV17" s="251">
        <f t="shared" si="15"/>
        <v>77.533333333333331</v>
      </c>
      <c r="AW17" s="249">
        <f t="shared" si="16"/>
        <v>11</v>
      </c>
      <c r="AX17" s="404"/>
    </row>
    <row r="18" spans="2:50">
      <c r="B18" s="405"/>
      <c r="C18" s="249">
        <v>12</v>
      </c>
      <c r="D18" s="249" t="s">
        <v>120</v>
      </c>
      <c r="E18" s="250" t="e">
        <f>VLOOKUP(D18,#REF!,2,0)</f>
        <v>#REF!</v>
      </c>
      <c r="F18" s="250" t="e">
        <f>VLOOKUP(D18,#REF!,3,0)</f>
        <v>#REF!</v>
      </c>
      <c r="G18" s="251" t="e">
        <f t="shared" si="0"/>
        <v>#REF!</v>
      </c>
      <c r="H18" s="407"/>
      <c r="I18" s="249">
        <f t="shared" si="1"/>
        <v>16</v>
      </c>
      <c r="J18" s="250">
        <f t="shared" si="1"/>
        <v>1220.5</v>
      </c>
      <c r="K18" s="251">
        <f t="shared" si="2"/>
        <v>76.055596405228755</v>
      </c>
      <c r="L18" s="407"/>
      <c r="M18" s="252">
        <f>RANK(K18, K$7:$K$24)</f>
        <v>12</v>
      </c>
      <c r="N18" s="409"/>
      <c r="O18" s="409"/>
      <c r="P18" s="249"/>
      <c r="Q18" s="249"/>
      <c r="R18" s="251" t="e">
        <f t="shared" si="3"/>
        <v>#DIV/0!</v>
      </c>
      <c r="S18" s="249" t="e">
        <f t="shared" si="4"/>
        <v>#DIV/0!</v>
      </c>
      <c r="T18" s="404"/>
      <c r="U18" s="249">
        <v>15</v>
      </c>
      <c r="V18" s="249">
        <v>1176</v>
      </c>
      <c r="W18" s="249">
        <f t="shared" si="5"/>
        <v>78.400000000000006</v>
      </c>
      <c r="X18" s="249">
        <f t="shared" si="6"/>
        <v>10</v>
      </c>
      <c r="Y18" s="404"/>
      <c r="Z18" s="249">
        <v>18</v>
      </c>
      <c r="AA18" s="249">
        <v>1317</v>
      </c>
      <c r="AB18" s="251">
        <f>AA18/Z18</f>
        <v>73.166666666666671</v>
      </c>
      <c r="AC18" s="249">
        <f t="shared" si="8"/>
        <v>11</v>
      </c>
      <c r="AD18" s="404"/>
      <c r="AE18" s="249">
        <v>15</v>
      </c>
      <c r="AF18" s="249">
        <v>1114</v>
      </c>
      <c r="AG18" s="251">
        <f t="shared" si="9"/>
        <v>74.266666666666666</v>
      </c>
      <c r="AH18" s="249">
        <f t="shared" si="10"/>
        <v>12</v>
      </c>
      <c r="AI18" s="404"/>
      <c r="AJ18" s="249">
        <v>15</v>
      </c>
      <c r="AK18" s="249">
        <v>893</v>
      </c>
      <c r="AL18" s="251">
        <f>AK18/AJ18</f>
        <v>59.533333333333331</v>
      </c>
      <c r="AM18" s="249">
        <f t="shared" si="12"/>
        <v>13</v>
      </c>
      <c r="AN18" s="404"/>
      <c r="AO18" s="249">
        <v>17</v>
      </c>
      <c r="AP18" s="249">
        <v>1488</v>
      </c>
      <c r="AQ18" s="251">
        <f>AP18/AO18</f>
        <v>87.529411764705884</v>
      </c>
      <c r="AR18" s="249">
        <f t="shared" si="14"/>
        <v>7</v>
      </c>
      <c r="AS18" s="404"/>
      <c r="AT18" s="249">
        <v>16</v>
      </c>
      <c r="AU18" s="249">
        <v>1335</v>
      </c>
      <c r="AV18" s="251">
        <f t="shared" si="15"/>
        <v>83.4375</v>
      </c>
      <c r="AW18" s="249">
        <f>RANK(AV18, AV$7:AV$24)</f>
        <v>9</v>
      </c>
      <c r="AX18" s="404"/>
    </row>
    <row r="19" spans="2:50">
      <c r="B19" s="405"/>
      <c r="C19" s="249">
        <v>13</v>
      </c>
      <c r="D19" s="249" t="s">
        <v>121</v>
      </c>
      <c r="E19" s="250" t="e">
        <f>VLOOKUP(D19,#REF!,2,0)</f>
        <v>#REF!</v>
      </c>
      <c r="F19" s="250" t="e">
        <f>VLOOKUP(D19,#REF!,3,0)</f>
        <v>#REF!</v>
      </c>
      <c r="G19" s="251" t="e">
        <f t="shared" si="0"/>
        <v>#REF!</v>
      </c>
      <c r="H19" s="407"/>
      <c r="I19" s="250">
        <f t="shared" si="1"/>
        <v>17.166666666666668</v>
      </c>
      <c r="J19" s="250">
        <f t="shared" si="1"/>
        <v>1447</v>
      </c>
      <c r="K19" s="251">
        <f t="shared" si="2"/>
        <v>84.374183006535944</v>
      </c>
      <c r="L19" s="407"/>
      <c r="M19" s="252">
        <f>RANK(K19, K$7:$K$24)</f>
        <v>9</v>
      </c>
      <c r="N19" s="409"/>
      <c r="O19" s="409"/>
      <c r="P19" s="249"/>
      <c r="Q19" s="249"/>
      <c r="R19" s="251" t="e">
        <f t="shared" si="3"/>
        <v>#DIV/0!</v>
      </c>
      <c r="S19" s="249" t="e">
        <f t="shared" si="4"/>
        <v>#DIV/0!</v>
      </c>
      <c r="T19" s="404"/>
      <c r="U19" s="249">
        <v>17</v>
      </c>
      <c r="V19" s="249">
        <v>1484</v>
      </c>
      <c r="W19" s="251">
        <f t="shared" si="5"/>
        <v>87.294117647058826</v>
      </c>
      <c r="X19" s="249">
        <f t="shared" si="6"/>
        <v>6</v>
      </c>
      <c r="Y19" s="404"/>
      <c r="Z19" s="249">
        <v>17</v>
      </c>
      <c r="AA19" s="249">
        <v>1400</v>
      </c>
      <c r="AB19" s="251">
        <f>AA19/Z19</f>
        <v>82.352941176470594</v>
      </c>
      <c r="AC19" s="249">
        <f t="shared" si="8"/>
        <v>9</v>
      </c>
      <c r="AD19" s="404"/>
      <c r="AE19" s="249">
        <v>18</v>
      </c>
      <c r="AF19" s="249">
        <v>1365</v>
      </c>
      <c r="AG19" s="251">
        <f t="shared" si="9"/>
        <v>75.833333333333329</v>
      </c>
      <c r="AH19" s="249">
        <f t="shared" si="10"/>
        <v>11</v>
      </c>
      <c r="AI19" s="404"/>
      <c r="AJ19" s="249">
        <v>17</v>
      </c>
      <c r="AK19" s="249">
        <v>1493</v>
      </c>
      <c r="AL19" s="251">
        <f>AK19/AJ19</f>
        <v>87.82352941176471</v>
      </c>
      <c r="AM19" s="249">
        <f t="shared" si="12"/>
        <v>6</v>
      </c>
      <c r="AN19" s="404"/>
      <c r="AO19" s="249">
        <v>17</v>
      </c>
      <c r="AP19" s="249">
        <v>1486</v>
      </c>
      <c r="AQ19" s="251">
        <f>AP19/AO19</f>
        <v>87.411764705882348</v>
      </c>
      <c r="AR19" s="249">
        <f t="shared" si="14"/>
        <v>8</v>
      </c>
      <c r="AS19" s="404"/>
      <c r="AT19" s="249">
        <v>17</v>
      </c>
      <c r="AU19" s="249">
        <v>1454</v>
      </c>
      <c r="AV19" s="251">
        <f t="shared" si="15"/>
        <v>85.529411764705884</v>
      </c>
      <c r="AW19" s="249">
        <f t="shared" si="16"/>
        <v>7</v>
      </c>
      <c r="AX19" s="404"/>
    </row>
    <row r="20" spans="2:50">
      <c r="B20" s="405"/>
      <c r="C20" s="249">
        <v>14</v>
      </c>
      <c r="D20" s="249" t="s">
        <v>122</v>
      </c>
      <c r="E20" s="250" t="e">
        <f>VLOOKUP(D20,#REF!,2,0)</f>
        <v>#REF!</v>
      </c>
      <c r="F20" s="250" t="e">
        <f>VLOOKUP(D20,#REF!,3,0)</f>
        <v>#REF!</v>
      </c>
      <c r="G20" s="251" t="e">
        <f t="shared" si="0"/>
        <v>#REF!</v>
      </c>
      <c r="H20" s="407"/>
      <c r="I20" s="250">
        <f t="shared" si="1"/>
        <v>14.666666666666666</v>
      </c>
      <c r="J20" s="250">
        <f t="shared" si="1"/>
        <v>1254.3333333333333</v>
      </c>
      <c r="K20" s="251">
        <f t="shared" si="2"/>
        <v>86.706303418803415</v>
      </c>
      <c r="L20" s="407"/>
      <c r="M20" s="252">
        <f>RANK(K20, K$7:$K$24)</f>
        <v>7</v>
      </c>
      <c r="N20" s="409"/>
      <c r="O20" s="409"/>
      <c r="P20" s="249"/>
      <c r="Q20" s="249"/>
      <c r="R20" s="251" t="e">
        <f t="shared" si="3"/>
        <v>#DIV/0!</v>
      </c>
      <c r="S20" s="249" t="e">
        <f t="shared" si="4"/>
        <v>#DIV/0!</v>
      </c>
      <c r="T20" s="404"/>
      <c r="U20" s="249">
        <v>16</v>
      </c>
      <c r="V20" s="249">
        <v>1137</v>
      </c>
      <c r="W20" s="251">
        <f t="shared" si="5"/>
        <v>71.0625</v>
      </c>
      <c r="X20" s="249">
        <f t="shared" si="6"/>
        <v>13</v>
      </c>
      <c r="Y20" s="404"/>
      <c r="Z20" s="249">
        <v>15</v>
      </c>
      <c r="AA20" s="249">
        <v>1262</v>
      </c>
      <c r="AB20" s="251">
        <f t="shared" si="7"/>
        <v>84.13333333333334</v>
      </c>
      <c r="AC20" s="249">
        <f t="shared" si="8"/>
        <v>8</v>
      </c>
      <c r="AD20" s="404"/>
      <c r="AE20" s="249">
        <v>13</v>
      </c>
      <c r="AF20" s="249">
        <v>1364</v>
      </c>
      <c r="AG20" s="251">
        <f t="shared" si="9"/>
        <v>104.92307692307692</v>
      </c>
      <c r="AH20" s="249">
        <f t="shared" si="10"/>
        <v>5</v>
      </c>
      <c r="AI20" s="404"/>
      <c r="AJ20" s="249"/>
      <c r="AK20" s="249"/>
      <c r="AL20" s="251"/>
      <c r="AM20" s="249"/>
      <c r="AN20" s="404"/>
      <c r="AO20" s="249"/>
      <c r="AP20" s="249"/>
      <c r="AQ20" s="249"/>
      <c r="AR20" s="249"/>
      <c r="AS20" s="404"/>
      <c r="AT20" s="249"/>
      <c r="AU20" s="249"/>
      <c r="AV20" s="251"/>
      <c r="AW20" s="249"/>
      <c r="AX20" s="404"/>
    </row>
    <row r="21" spans="2:50">
      <c r="B21" s="405"/>
      <c r="C21" s="249">
        <v>15</v>
      </c>
      <c r="D21" s="249"/>
      <c r="E21" s="250"/>
      <c r="F21" s="250"/>
      <c r="G21" s="251"/>
      <c r="H21" s="407"/>
      <c r="I21" s="249"/>
      <c r="J21" s="249"/>
      <c r="K21" s="251"/>
      <c r="L21" s="407"/>
      <c r="M21" s="250"/>
      <c r="N21" s="409"/>
      <c r="O21" s="409"/>
      <c r="P21" s="249"/>
      <c r="Q21" s="249"/>
      <c r="R21" s="251" t="e">
        <f t="shared" si="3"/>
        <v>#DIV/0!</v>
      </c>
      <c r="S21" s="249" t="e">
        <f t="shared" si="4"/>
        <v>#DIV/0!</v>
      </c>
      <c r="T21" s="404"/>
      <c r="U21" s="249"/>
      <c r="V21" s="249"/>
      <c r="W21" s="249"/>
      <c r="X21" s="249"/>
      <c r="Y21" s="404"/>
      <c r="Z21" s="249"/>
      <c r="AA21" s="249"/>
      <c r="AB21" s="251"/>
      <c r="AC21" s="249"/>
      <c r="AD21" s="404"/>
      <c r="AE21" s="249"/>
      <c r="AF21" s="249"/>
      <c r="AG21" s="251"/>
      <c r="AH21" s="249"/>
      <c r="AI21" s="404"/>
      <c r="AJ21" s="249"/>
      <c r="AK21" s="249"/>
      <c r="AL21" s="249"/>
      <c r="AM21" s="249"/>
      <c r="AN21" s="404"/>
      <c r="AO21" s="249"/>
      <c r="AP21" s="249"/>
      <c r="AQ21" s="249"/>
      <c r="AR21" s="249"/>
      <c r="AS21" s="404"/>
      <c r="AT21" s="249"/>
      <c r="AU21" s="249"/>
      <c r="AV21" s="251"/>
      <c r="AW21" s="249"/>
      <c r="AX21" s="404"/>
    </row>
    <row r="22" spans="2:50">
      <c r="B22" s="405"/>
      <c r="C22" s="249">
        <v>16</v>
      </c>
      <c r="D22" s="249"/>
      <c r="E22" s="250"/>
      <c r="F22" s="250"/>
      <c r="G22" s="251"/>
      <c r="H22" s="407"/>
      <c r="I22" s="249"/>
      <c r="J22" s="249"/>
      <c r="K22" s="249"/>
      <c r="L22" s="407"/>
      <c r="M22" s="250"/>
      <c r="N22" s="409"/>
      <c r="O22" s="409"/>
      <c r="P22" s="249"/>
      <c r="Q22" s="249"/>
      <c r="R22" s="251" t="e">
        <f>Q22/P22</f>
        <v>#DIV/0!</v>
      </c>
      <c r="S22" s="249" t="e">
        <f>RANK(R22, R$7:R$24)</f>
        <v>#DIV/0!</v>
      </c>
      <c r="T22" s="404"/>
      <c r="U22" s="249"/>
      <c r="V22" s="249"/>
      <c r="W22" s="249"/>
      <c r="X22" s="249"/>
      <c r="Y22" s="404"/>
      <c r="Z22" s="249"/>
      <c r="AA22" s="249"/>
      <c r="AB22" s="249"/>
      <c r="AC22" s="249"/>
      <c r="AD22" s="404"/>
      <c r="AE22" s="249"/>
      <c r="AF22" s="249"/>
      <c r="AG22" s="251"/>
      <c r="AH22" s="249"/>
      <c r="AI22" s="404"/>
      <c r="AJ22" s="249"/>
      <c r="AK22" s="249"/>
      <c r="AL22" s="249"/>
      <c r="AM22" s="249"/>
      <c r="AN22" s="404"/>
      <c r="AO22" s="249"/>
      <c r="AP22" s="249"/>
      <c r="AQ22" s="249"/>
      <c r="AR22" s="249"/>
      <c r="AS22" s="404"/>
      <c r="AT22" s="249"/>
      <c r="AU22" s="249"/>
      <c r="AV22" s="249"/>
      <c r="AW22" s="249"/>
      <c r="AX22" s="404"/>
    </row>
    <row r="23" spans="2:50">
      <c r="B23" s="405"/>
      <c r="C23" s="249">
        <v>17</v>
      </c>
      <c r="D23" s="249"/>
      <c r="E23" s="250"/>
      <c r="F23" s="250"/>
      <c r="G23" s="251"/>
      <c r="H23" s="407"/>
      <c r="I23" s="249"/>
      <c r="J23" s="249"/>
      <c r="K23" s="249"/>
      <c r="L23" s="407"/>
      <c r="M23" s="250"/>
      <c r="N23" s="409"/>
      <c r="O23" s="409"/>
      <c r="P23" s="249"/>
      <c r="Q23" s="249"/>
      <c r="R23" s="251" t="e">
        <f>Q23/P23</f>
        <v>#DIV/0!</v>
      </c>
      <c r="S23" s="249" t="e">
        <f>RANK(R23, R$7:R$24)</f>
        <v>#DIV/0!</v>
      </c>
      <c r="T23" s="404"/>
      <c r="U23" s="249"/>
      <c r="V23" s="249"/>
      <c r="W23" s="249"/>
      <c r="X23" s="249"/>
      <c r="Y23" s="404"/>
      <c r="Z23" s="249"/>
      <c r="AA23" s="249"/>
      <c r="AB23" s="249"/>
      <c r="AC23" s="249"/>
      <c r="AD23" s="404"/>
      <c r="AE23" s="249"/>
      <c r="AF23" s="249"/>
      <c r="AG23" s="251"/>
      <c r="AH23" s="249"/>
      <c r="AI23" s="404"/>
      <c r="AJ23" s="249"/>
      <c r="AK23" s="249"/>
      <c r="AL23" s="249"/>
      <c r="AM23" s="249"/>
      <c r="AN23" s="404"/>
      <c r="AO23" s="249"/>
      <c r="AP23" s="249"/>
      <c r="AQ23" s="249"/>
      <c r="AR23" s="249"/>
      <c r="AS23" s="404"/>
      <c r="AT23" s="249"/>
      <c r="AU23" s="249"/>
      <c r="AV23" s="249"/>
      <c r="AW23" s="249"/>
      <c r="AX23" s="404"/>
    </row>
    <row r="24" spans="2:50">
      <c r="B24" s="405"/>
      <c r="C24" s="249">
        <v>18</v>
      </c>
      <c r="D24" s="249"/>
      <c r="E24" s="250"/>
      <c r="F24" s="250"/>
      <c r="G24" s="251"/>
      <c r="H24" s="408"/>
      <c r="I24" s="249"/>
      <c r="J24" s="249"/>
      <c r="K24" s="249"/>
      <c r="L24" s="408"/>
      <c r="M24" s="250"/>
      <c r="N24" s="409"/>
      <c r="O24" s="409"/>
      <c r="P24" s="249"/>
      <c r="Q24" s="249"/>
      <c r="R24" s="251" t="e">
        <f t="shared" si="3"/>
        <v>#DIV/0!</v>
      </c>
      <c r="S24" s="249" t="e">
        <f t="shared" si="4"/>
        <v>#DIV/0!</v>
      </c>
      <c r="T24" s="404"/>
      <c r="U24" s="249"/>
      <c r="V24" s="249"/>
      <c r="W24" s="249"/>
      <c r="X24" s="249"/>
      <c r="Y24" s="404"/>
      <c r="Z24" s="249"/>
      <c r="AA24" s="249"/>
      <c r="AB24" s="249"/>
      <c r="AC24" s="249"/>
      <c r="AD24" s="404"/>
      <c r="AE24" s="249"/>
      <c r="AF24" s="249"/>
      <c r="AG24" s="251"/>
      <c r="AH24" s="249"/>
      <c r="AI24" s="404"/>
      <c r="AJ24" s="249"/>
      <c r="AK24" s="249"/>
      <c r="AL24" s="249"/>
      <c r="AM24" s="249"/>
      <c r="AN24" s="404"/>
      <c r="AO24" s="249"/>
      <c r="AP24" s="249"/>
      <c r="AQ24" s="249"/>
      <c r="AR24" s="249"/>
      <c r="AS24" s="404"/>
      <c r="AT24" s="249"/>
      <c r="AU24" s="249"/>
      <c r="AV24" s="249"/>
      <c r="AW24" s="249"/>
      <c r="AX24" s="404"/>
    </row>
    <row r="25" spans="2:50" ht="15.75">
      <c r="B25" s="424" t="s">
        <v>93</v>
      </c>
      <c r="C25" s="425"/>
      <c r="D25" s="425"/>
      <c r="E25" s="425"/>
      <c r="F25" s="425"/>
      <c r="G25" s="425"/>
      <c r="H25" s="425"/>
      <c r="I25" s="243"/>
      <c r="J25" s="243"/>
      <c r="K25" s="243"/>
      <c r="L25" s="243"/>
      <c r="M25" s="244"/>
      <c r="N25" s="418" t="s">
        <v>94</v>
      </c>
      <c r="O25" s="418" t="s">
        <v>45</v>
      </c>
      <c r="P25" s="413">
        <v>45937</v>
      </c>
      <c r="Q25" s="405"/>
      <c r="R25" s="405"/>
      <c r="S25" s="405"/>
      <c r="T25" s="405"/>
      <c r="U25" s="413">
        <v>45938</v>
      </c>
      <c r="V25" s="405"/>
      <c r="W25" s="405"/>
      <c r="X25" s="405"/>
      <c r="Y25" s="405"/>
      <c r="Z25" s="413">
        <v>45939</v>
      </c>
      <c r="AA25" s="405"/>
      <c r="AB25" s="405"/>
      <c r="AC25" s="405"/>
      <c r="AD25" s="405"/>
      <c r="AE25" s="413">
        <v>45940</v>
      </c>
      <c r="AF25" s="405"/>
      <c r="AG25" s="405"/>
      <c r="AH25" s="405"/>
      <c r="AI25" s="405"/>
      <c r="AJ25" s="413">
        <v>45941</v>
      </c>
      <c r="AK25" s="405"/>
      <c r="AL25" s="405"/>
      <c r="AM25" s="405"/>
      <c r="AN25" s="405"/>
      <c r="AO25" s="413">
        <v>45942</v>
      </c>
      <c r="AP25" s="405"/>
      <c r="AQ25" s="405"/>
      <c r="AR25" s="405"/>
      <c r="AS25" s="405"/>
      <c r="AT25" s="413">
        <v>45943</v>
      </c>
      <c r="AU25" s="405"/>
      <c r="AV25" s="405"/>
      <c r="AW25" s="405"/>
      <c r="AX25" s="405"/>
    </row>
    <row r="26" spans="2:50" ht="15.75">
      <c r="B26" s="423"/>
      <c r="C26" s="423"/>
      <c r="D26" s="423"/>
      <c r="E26" s="423"/>
      <c r="F26" s="423"/>
      <c r="G26" s="423"/>
      <c r="H26" s="423"/>
      <c r="I26" s="245"/>
      <c r="J26" s="245"/>
      <c r="K26" s="245"/>
      <c r="L26" s="245"/>
      <c r="M26" s="246"/>
      <c r="N26" s="420"/>
      <c r="O26" s="420"/>
      <c r="P26" s="413" t="s">
        <v>77</v>
      </c>
      <c r="Q26" s="405"/>
      <c r="R26" s="405"/>
      <c r="S26" s="405"/>
      <c r="T26" s="405"/>
      <c r="U26" s="413" t="s">
        <v>72</v>
      </c>
      <c r="V26" s="405"/>
      <c r="W26" s="405"/>
      <c r="X26" s="405"/>
      <c r="Y26" s="405"/>
      <c r="Z26" s="413" t="s">
        <v>73</v>
      </c>
      <c r="AA26" s="405"/>
      <c r="AB26" s="405"/>
      <c r="AC26" s="405"/>
      <c r="AD26" s="405"/>
      <c r="AE26" s="413" t="s">
        <v>74</v>
      </c>
      <c r="AF26" s="405"/>
      <c r="AG26" s="405"/>
      <c r="AH26" s="405"/>
      <c r="AI26" s="405"/>
      <c r="AJ26" s="413" t="s">
        <v>75</v>
      </c>
      <c r="AK26" s="405"/>
      <c r="AL26" s="405"/>
      <c r="AM26" s="405"/>
      <c r="AN26" s="405"/>
      <c r="AO26" s="413" t="s">
        <v>52</v>
      </c>
      <c r="AP26" s="405"/>
      <c r="AQ26" s="405"/>
      <c r="AR26" s="405"/>
      <c r="AS26" s="405"/>
      <c r="AT26" s="413" t="s">
        <v>76</v>
      </c>
      <c r="AU26" s="405"/>
      <c r="AV26" s="405"/>
      <c r="AW26" s="405"/>
      <c r="AX26" s="405"/>
    </row>
    <row r="27" spans="2:50">
      <c r="B27" s="409" t="s">
        <v>95</v>
      </c>
      <c r="C27" s="414" t="s">
        <v>96</v>
      </c>
      <c r="D27" s="409"/>
      <c r="E27" s="409" t="s">
        <v>97</v>
      </c>
      <c r="F27" s="409"/>
      <c r="G27" s="409"/>
      <c r="H27" s="415" t="s">
        <v>98</v>
      </c>
      <c r="I27" s="409" t="s">
        <v>99</v>
      </c>
      <c r="J27" s="409"/>
      <c r="K27" s="409"/>
      <c r="L27" s="415" t="s">
        <v>98</v>
      </c>
      <c r="M27" s="418" t="s">
        <v>100</v>
      </c>
      <c r="N27" s="409"/>
      <c r="O27" s="409" t="s">
        <v>101</v>
      </c>
      <c r="P27" s="410" t="s">
        <v>102</v>
      </c>
      <c r="Q27" s="411"/>
      <c r="R27" s="411"/>
      <c r="S27" s="412"/>
      <c r="T27" s="409" t="s">
        <v>98</v>
      </c>
      <c r="U27" s="410" t="s">
        <v>102</v>
      </c>
      <c r="V27" s="411"/>
      <c r="W27" s="411"/>
      <c r="X27" s="412"/>
      <c r="Y27" s="409" t="s">
        <v>98</v>
      </c>
      <c r="Z27" s="410" t="s">
        <v>102</v>
      </c>
      <c r="AA27" s="411"/>
      <c r="AB27" s="411"/>
      <c r="AC27" s="412"/>
      <c r="AD27" s="409" t="s">
        <v>98</v>
      </c>
      <c r="AE27" s="410" t="s">
        <v>102</v>
      </c>
      <c r="AF27" s="411"/>
      <c r="AG27" s="411"/>
      <c r="AH27" s="412"/>
      <c r="AI27" s="409" t="s">
        <v>98</v>
      </c>
      <c r="AJ27" s="410" t="s">
        <v>102</v>
      </c>
      <c r="AK27" s="411"/>
      <c r="AL27" s="411"/>
      <c r="AM27" s="412"/>
      <c r="AN27" s="409" t="s">
        <v>98</v>
      </c>
      <c r="AO27" s="410" t="s">
        <v>102</v>
      </c>
      <c r="AP27" s="411"/>
      <c r="AQ27" s="411"/>
      <c r="AR27" s="412"/>
      <c r="AS27" s="409" t="s">
        <v>98</v>
      </c>
      <c r="AT27" s="410" t="s">
        <v>102</v>
      </c>
      <c r="AU27" s="411"/>
      <c r="AV27" s="411"/>
      <c r="AW27" s="412"/>
      <c r="AX27" s="409" t="s">
        <v>98</v>
      </c>
    </row>
    <row r="28" spans="2:50">
      <c r="B28" s="409"/>
      <c r="C28" s="409"/>
      <c r="D28" s="409"/>
      <c r="E28" s="409" t="s">
        <v>103</v>
      </c>
      <c r="F28" s="409"/>
      <c r="G28" s="409"/>
      <c r="H28" s="416"/>
      <c r="I28" s="409" t="s">
        <v>103</v>
      </c>
      <c r="J28" s="409"/>
      <c r="K28" s="409"/>
      <c r="L28" s="416"/>
      <c r="M28" s="419"/>
      <c r="N28" s="409"/>
      <c r="O28" s="409"/>
      <c r="P28" s="410" t="s">
        <v>104</v>
      </c>
      <c r="Q28" s="411"/>
      <c r="R28" s="411"/>
      <c r="S28" s="412"/>
      <c r="T28" s="409"/>
      <c r="U28" s="410" t="s">
        <v>104</v>
      </c>
      <c r="V28" s="411"/>
      <c r="W28" s="411"/>
      <c r="X28" s="412"/>
      <c r="Y28" s="409"/>
      <c r="Z28" s="410" t="s">
        <v>104</v>
      </c>
      <c r="AA28" s="411"/>
      <c r="AB28" s="411"/>
      <c r="AC28" s="412"/>
      <c r="AD28" s="409"/>
      <c r="AE28" s="410" t="s">
        <v>104</v>
      </c>
      <c r="AF28" s="411"/>
      <c r="AG28" s="411"/>
      <c r="AH28" s="412"/>
      <c r="AI28" s="409"/>
      <c r="AJ28" s="410" t="s">
        <v>104</v>
      </c>
      <c r="AK28" s="411"/>
      <c r="AL28" s="411"/>
      <c r="AM28" s="412"/>
      <c r="AN28" s="409"/>
      <c r="AO28" s="410" t="s">
        <v>104</v>
      </c>
      <c r="AP28" s="411"/>
      <c r="AQ28" s="411"/>
      <c r="AR28" s="412"/>
      <c r="AS28" s="409"/>
      <c r="AT28" s="410" t="s">
        <v>104</v>
      </c>
      <c r="AU28" s="411"/>
      <c r="AV28" s="411"/>
      <c r="AW28" s="412"/>
      <c r="AX28" s="409"/>
    </row>
    <row r="29" spans="2:50">
      <c r="B29" s="409"/>
      <c r="C29" s="409"/>
      <c r="D29" s="409"/>
      <c r="E29" s="248" t="s">
        <v>105</v>
      </c>
      <c r="F29" s="248" t="s">
        <v>106</v>
      </c>
      <c r="G29" s="248" t="s">
        <v>107</v>
      </c>
      <c r="H29" s="417"/>
      <c r="I29" s="248" t="s">
        <v>105</v>
      </c>
      <c r="J29" s="248" t="s">
        <v>106</v>
      </c>
      <c r="K29" s="248" t="s">
        <v>107</v>
      </c>
      <c r="L29" s="417"/>
      <c r="M29" s="420"/>
      <c r="N29" s="409"/>
      <c r="O29" s="409"/>
      <c r="P29" s="248" t="s">
        <v>105</v>
      </c>
      <c r="Q29" s="248" t="s">
        <v>106</v>
      </c>
      <c r="R29" s="248" t="s">
        <v>107</v>
      </c>
      <c r="S29" s="248" t="s">
        <v>100</v>
      </c>
      <c r="T29" s="409"/>
      <c r="U29" s="248" t="s">
        <v>105</v>
      </c>
      <c r="V29" s="248" t="s">
        <v>106</v>
      </c>
      <c r="W29" s="248" t="s">
        <v>107</v>
      </c>
      <c r="X29" s="248" t="s">
        <v>100</v>
      </c>
      <c r="Y29" s="409"/>
      <c r="Z29" s="248" t="s">
        <v>105</v>
      </c>
      <c r="AA29" s="248" t="s">
        <v>106</v>
      </c>
      <c r="AB29" s="248" t="s">
        <v>107</v>
      </c>
      <c r="AC29" s="248" t="s">
        <v>100</v>
      </c>
      <c r="AD29" s="409"/>
      <c r="AE29" s="248" t="s">
        <v>105</v>
      </c>
      <c r="AF29" s="248" t="s">
        <v>106</v>
      </c>
      <c r="AG29" s="248" t="s">
        <v>107</v>
      </c>
      <c r="AH29" s="248" t="s">
        <v>100</v>
      </c>
      <c r="AI29" s="409"/>
      <c r="AJ29" s="248" t="s">
        <v>105</v>
      </c>
      <c r="AK29" s="248" t="s">
        <v>106</v>
      </c>
      <c r="AL29" s="248" t="s">
        <v>107</v>
      </c>
      <c r="AM29" s="248" t="s">
        <v>100</v>
      </c>
      <c r="AN29" s="409"/>
      <c r="AO29" s="248" t="s">
        <v>105</v>
      </c>
      <c r="AP29" s="248" t="s">
        <v>106</v>
      </c>
      <c r="AQ29" s="248" t="s">
        <v>107</v>
      </c>
      <c r="AR29" s="248" t="s">
        <v>100</v>
      </c>
      <c r="AS29" s="409"/>
      <c r="AT29" s="248" t="s">
        <v>105</v>
      </c>
      <c r="AU29" s="248" t="s">
        <v>106</v>
      </c>
      <c r="AV29" s="248" t="s">
        <v>107</v>
      </c>
      <c r="AW29" s="248" t="s">
        <v>100</v>
      </c>
      <c r="AX29" s="409"/>
    </row>
    <row r="30" spans="2:50" ht="13.5">
      <c r="B30" s="405" t="s">
        <v>108</v>
      </c>
      <c r="C30" s="249">
        <v>1</v>
      </c>
      <c r="D30" s="253" t="s">
        <v>109</v>
      </c>
      <c r="E30" s="250" t="e">
        <f>VLOOKUP(D30,#REF!,2,0)</f>
        <v>#REF!</v>
      </c>
      <c r="F30" s="250" t="e">
        <f>VLOOKUP(D30,#REF!,3,0)</f>
        <v>#REF!</v>
      </c>
      <c r="G30" s="251" t="e">
        <f>F30/E30</f>
        <v>#REF!</v>
      </c>
      <c r="H30" s="406" t="e">
        <f>AVERAGE(G30:G47)</f>
        <v>#REF!</v>
      </c>
      <c r="I30" s="250">
        <f>AVERAGE(P30,U30,Z30,AE30,AJ30,AO30,AT30)</f>
        <v>12</v>
      </c>
      <c r="J30" s="250">
        <f>AVERAGE(Q30,V30,AA30,AF30,AK30,AP30,AU30)</f>
        <v>1847.5714285714287</v>
      </c>
      <c r="K30" s="251">
        <f>AVERAGE(R30,W30,AB30,AG30,AL30,AQ30,AV30)</f>
        <v>153.96428571428572</v>
      </c>
      <c r="L30" s="406">
        <f>IFERROR(AVERAGE(K30:K47),"-")</f>
        <v>99.189746844834659</v>
      </c>
      <c r="M30" s="252">
        <f>RANK(K30, K$30:$K$47)</f>
        <v>1</v>
      </c>
      <c r="N30" s="409"/>
      <c r="O30" s="409"/>
      <c r="P30" s="250">
        <v>12</v>
      </c>
      <c r="Q30" s="250">
        <v>1928</v>
      </c>
      <c r="R30" s="251">
        <f>Q30/P30</f>
        <v>160.66666666666666</v>
      </c>
      <c r="S30" s="249">
        <f>RANK(R30,$R$30:$R$47)</f>
        <v>1</v>
      </c>
      <c r="T30" s="404">
        <f>AVERAGE(R30:R47)</f>
        <v>102.18962238741649</v>
      </c>
      <c r="U30" s="250">
        <v>12</v>
      </c>
      <c r="V30" s="250">
        <v>1868</v>
      </c>
      <c r="W30" s="251">
        <f>V30/U30</f>
        <v>155.66666666666666</v>
      </c>
      <c r="X30" s="249">
        <f>RANK(W30, $W$30:$W$47)</f>
        <v>1</v>
      </c>
      <c r="Y30" s="404">
        <f>AVERAGE(W30:W47)</f>
        <v>100.85407357222968</v>
      </c>
      <c r="Z30" s="250">
        <v>12</v>
      </c>
      <c r="AA30" s="250">
        <v>1932</v>
      </c>
      <c r="AB30" s="251">
        <f>AA30/Z30</f>
        <v>161</v>
      </c>
      <c r="AC30" s="249">
        <f>RANK(AB30, $AB$30:$AB$47)</f>
        <v>1</v>
      </c>
      <c r="AD30" s="404">
        <f>AVERAGE(AB30:AB47)</f>
        <v>101.00789755744508</v>
      </c>
      <c r="AE30" s="250">
        <v>12</v>
      </c>
      <c r="AF30" s="250">
        <v>1998</v>
      </c>
      <c r="AG30" s="251">
        <f>AF30/AE30</f>
        <v>166.5</v>
      </c>
      <c r="AH30" s="249">
        <f>RANK(AG30, $AG$30:$AG$47)</f>
        <v>1</v>
      </c>
      <c r="AI30" s="404">
        <f>AVERAGE(AG30:AG47)</f>
        <v>96.752868040707412</v>
      </c>
      <c r="AJ30" s="250">
        <v>12</v>
      </c>
      <c r="AK30" s="250">
        <v>1827</v>
      </c>
      <c r="AL30" s="251">
        <f>AK30/AJ30</f>
        <v>152.25</v>
      </c>
      <c r="AM30" s="249">
        <f>RANK(AL30, $AL$30:$AL$47)</f>
        <v>1</v>
      </c>
      <c r="AN30" s="404">
        <f>AVERAGE(AL30:AL47)</f>
        <v>102.56284493284492</v>
      </c>
      <c r="AO30" s="250">
        <v>12</v>
      </c>
      <c r="AP30" s="250">
        <v>1969</v>
      </c>
      <c r="AQ30" s="251">
        <f>AP30/AO30</f>
        <v>164.08333333333334</v>
      </c>
      <c r="AR30" s="249">
        <f>RANK(AQ30,$AQ$30:$AQ$47)</f>
        <v>1</v>
      </c>
      <c r="AS30" s="404">
        <f>AVERAGE(AQ30:AQ47)</f>
        <v>103.08738047513205</v>
      </c>
      <c r="AT30" s="250">
        <v>12</v>
      </c>
      <c r="AU30" s="250">
        <v>1411</v>
      </c>
      <c r="AV30" s="251">
        <f>AU30/AT30</f>
        <v>117.58333333333333</v>
      </c>
      <c r="AW30" s="249">
        <f>RANK(AV30, $AV$30:$AV$47)</f>
        <v>4</v>
      </c>
      <c r="AX30" s="404">
        <f>AVERAGE(AV30:AV47)</f>
        <v>100.55083225597932</v>
      </c>
    </row>
    <row r="31" spans="2:50">
      <c r="B31" s="405"/>
      <c r="C31" s="249">
        <v>2</v>
      </c>
      <c r="D31" s="249" t="s">
        <v>110</v>
      </c>
      <c r="E31" s="250" t="e">
        <f>VLOOKUP(D31,#REF!,2,0)</f>
        <v>#REF!</v>
      </c>
      <c r="F31" s="250" t="e">
        <f>VLOOKUP(D31,#REF!,3,0)</f>
        <v>#REF!</v>
      </c>
      <c r="G31" s="251" t="e">
        <f t="shared" ref="G31:G43" si="17">F31/E31</f>
        <v>#REF!</v>
      </c>
      <c r="H31" s="407"/>
      <c r="I31" s="250">
        <f t="shared" ref="I31:K42" si="18">AVERAGE(P31,U31,Z31,AE31,AJ31,AO31,AT31)</f>
        <v>13</v>
      </c>
      <c r="J31" s="250">
        <f t="shared" si="18"/>
        <v>1927.1428571428571</v>
      </c>
      <c r="K31" s="251">
        <f t="shared" si="18"/>
        <v>148.24175824175822</v>
      </c>
      <c r="L31" s="407"/>
      <c r="M31" s="252">
        <f>RANK(K31, K$30:$K$47)</f>
        <v>2</v>
      </c>
      <c r="N31" s="409"/>
      <c r="O31" s="409"/>
      <c r="P31" s="250">
        <v>13</v>
      </c>
      <c r="Q31" s="250">
        <v>1996</v>
      </c>
      <c r="R31" s="251">
        <f t="shared" ref="R31:R39" si="19">Q31/P31</f>
        <v>153.53846153846155</v>
      </c>
      <c r="S31" s="249">
        <f t="shared" ref="S31:S42" si="20">RANK(R31,$R$30:$R$47)</f>
        <v>2</v>
      </c>
      <c r="T31" s="404"/>
      <c r="U31" s="250">
        <v>13</v>
      </c>
      <c r="V31" s="250">
        <v>1963</v>
      </c>
      <c r="W31" s="251">
        <f t="shared" ref="W31:W39" si="21">V31/U31</f>
        <v>151</v>
      </c>
      <c r="X31" s="249">
        <f t="shared" ref="X31:X42" si="22">RANK(W31, $W$30:$W$47)</f>
        <v>2</v>
      </c>
      <c r="Y31" s="404"/>
      <c r="Z31" s="250">
        <v>13</v>
      </c>
      <c r="AA31" s="250">
        <v>1951</v>
      </c>
      <c r="AB31" s="251">
        <f t="shared" ref="AB31:AB39" si="23">AA31/Z31</f>
        <v>150.07692307692307</v>
      </c>
      <c r="AC31" s="249">
        <f t="shared" ref="AC31:AC42" si="24">RANK(AB31, $AB$30:$AB$47)</f>
        <v>3</v>
      </c>
      <c r="AD31" s="404"/>
      <c r="AE31" s="250">
        <v>13</v>
      </c>
      <c r="AF31" s="250">
        <v>1785</v>
      </c>
      <c r="AG31" s="251">
        <f t="shared" ref="AG31:AG39" si="25">AF31/AE31</f>
        <v>137.30769230769232</v>
      </c>
      <c r="AH31" s="249">
        <f t="shared" ref="AH31:AH42" si="26">RANK(AG31, $AG$30:$AG$47)</f>
        <v>2</v>
      </c>
      <c r="AI31" s="404"/>
      <c r="AJ31" s="250">
        <v>13</v>
      </c>
      <c r="AK31" s="250">
        <v>1869</v>
      </c>
      <c r="AL31" s="251">
        <f t="shared" ref="AL31:AL39" si="27">AK31/AJ31</f>
        <v>143.76923076923077</v>
      </c>
      <c r="AM31" s="249">
        <f t="shared" ref="AM31:AM42" si="28">RANK(AL31, $AL$30:$AL$47)</f>
        <v>2</v>
      </c>
      <c r="AN31" s="404"/>
      <c r="AO31" s="250">
        <v>13</v>
      </c>
      <c r="AP31" s="250">
        <v>1984</v>
      </c>
      <c r="AQ31" s="251">
        <f t="shared" ref="AQ31:AQ39" si="29">AP31/AO31</f>
        <v>152.61538461538461</v>
      </c>
      <c r="AR31" s="249">
        <f t="shared" ref="AR31:AR42" si="30">RANK(AQ31,$AQ$30:$AQ$47)</f>
        <v>2</v>
      </c>
      <c r="AS31" s="404"/>
      <c r="AT31" s="250">
        <v>13</v>
      </c>
      <c r="AU31" s="250">
        <v>1942</v>
      </c>
      <c r="AV31" s="251">
        <f t="shared" ref="AV31:AV39" si="31">AU31/AT31</f>
        <v>149.38461538461539</v>
      </c>
      <c r="AW31" s="249">
        <f t="shared" ref="AW31:AW42" si="32">RANK(AV31, $AV$30:$AV$47)</f>
        <v>2</v>
      </c>
      <c r="AX31" s="404"/>
    </row>
    <row r="32" spans="2:50">
      <c r="B32" s="405"/>
      <c r="C32" s="249">
        <v>3</v>
      </c>
      <c r="D32" s="249" t="s">
        <v>111</v>
      </c>
      <c r="E32" s="250" t="e">
        <f>VLOOKUP(D32,#REF!,2,0)</f>
        <v>#REF!</v>
      </c>
      <c r="F32" s="250" t="e">
        <f>VLOOKUP(D32,#REF!,3,0)</f>
        <v>#REF!</v>
      </c>
      <c r="G32" s="251" t="e">
        <f t="shared" si="17"/>
        <v>#REF!</v>
      </c>
      <c r="H32" s="407"/>
      <c r="I32" s="250">
        <f t="shared" si="18"/>
        <v>16</v>
      </c>
      <c r="J32" s="250">
        <f t="shared" si="18"/>
        <v>1645</v>
      </c>
      <c r="K32" s="251">
        <f>AVERAGE(R32,W32,AB32,AG32,AL32,AQ32,AV32)</f>
        <v>102.8125</v>
      </c>
      <c r="L32" s="407"/>
      <c r="M32" s="252">
        <f>RANK(K32, K$30:$K$47)</f>
        <v>5</v>
      </c>
      <c r="N32" s="409"/>
      <c r="O32" s="409"/>
      <c r="P32" s="250">
        <v>16</v>
      </c>
      <c r="Q32" s="250">
        <v>1627</v>
      </c>
      <c r="R32" s="251">
        <f t="shared" si="19"/>
        <v>101.6875</v>
      </c>
      <c r="S32" s="249">
        <f t="shared" si="20"/>
        <v>5</v>
      </c>
      <c r="T32" s="404"/>
      <c r="U32" s="250">
        <v>16</v>
      </c>
      <c r="V32" s="250">
        <v>1563</v>
      </c>
      <c r="W32" s="251">
        <f t="shared" si="21"/>
        <v>97.6875</v>
      </c>
      <c r="X32" s="249">
        <f t="shared" si="22"/>
        <v>5</v>
      </c>
      <c r="Y32" s="404"/>
      <c r="Z32" s="250">
        <v>16</v>
      </c>
      <c r="AA32" s="250">
        <v>1707</v>
      </c>
      <c r="AB32" s="251">
        <f t="shared" si="23"/>
        <v>106.6875</v>
      </c>
      <c r="AC32" s="249">
        <f t="shared" si="24"/>
        <v>5</v>
      </c>
      <c r="AD32" s="404"/>
      <c r="AE32" s="250">
        <v>16</v>
      </c>
      <c r="AF32" s="250">
        <v>1683</v>
      </c>
      <c r="AG32" s="251">
        <f t="shared" si="25"/>
        <v>105.1875</v>
      </c>
      <c r="AH32" s="249">
        <f t="shared" si="26"/>
        <v>5</v>
      </c>
      <c r="AI32" s="404"/>
      <c r="AJ32" s="250"/>
      <c r="AK32" s="250"/>
      <c r="AL32" s="251"/>
      <c r="AM32" s="249"/>
      <c r="AN32" s="404"/>
      <c r="AO32" s="250"/>
      <c r="AP32" s="250"/>
      <c r="AQ32" s="251"/>
      <c r="AR32" s="249"/>
      <c r="AS32" s="404"/>
      <c r="AT32" s="250"/>
      <c r="AU32" s="250"/>
      <c r="AV32" s="251"/>
      <c r="AW32" s="249"/>
      <c r="AX32" s="404"/>
    </row>
    <row r="33" spans="2:50">
      <c r="B33" s="405"/>
      <c r="C33" s="249">
        <v>4</v>
      </c>
      <c r="D33" s="249" t="s">
        <v>112</v>
      </c>
      <c r="E33" s="250" t="e">
        <f>VLOOKUP(D33,#REF!,2,0)</f>
        <v>#REF!</v>
      </c>
      <c r="F33" s="250" t="e">
        <f>VLOOKUP(D33,#REF!,3,0)</f>
        <v>#REF!</v>
      </c>
      <c r="G33" s="251" t="e">
        <f t="shared" si="17"/>
        <v>#REF!</v>
      </c>
      <c r="H33" s="407"/>
      <c r="I33" s="250">
        <f t="shared" si="18"/>
        <v>17.857142857142858</v>
      </c>
      <c r="J33" s="250">
        <f t="shared" si="18"/>
        <v>1538.5714285714287</v>
      </c>
      <c r="K33" s="251">
        <f t="shared" si="18"/>
        <v>86.166199813258643</v>
      </c>
      <c r="L33" s="407"/>
      <c r="M33" s="252">
        <f>RANK(K33, K$30:$K$47)</f>
        <v>6</v>
      </c>
      <c r="N33" s="409"/>
      <c r="O33" s="409"/>
      <c r="P33" s="250">
        <v>18</v>
      </c>
      <c r="Q33" s="250">
        <v>1560</v>
      </c>
      <c r="R33" s="251">
        <f t="shared" si="19"/>
        <v>86.666666666666671</v>
      </c>
      <c r="S33" s="249">
        <f t="shared" si="20"/>
        <v>6</v>
      </c>
      <c r="T33" s="404"/>
      <c r="U33" s="250">
        <v>18</v>
      </c>
      <c r="V33" s="250">
        <v>1504</v>
      </c>
      <c r="W33" s="251">
        <f t="shared" si="21"/>
        <v>83.555555555555557</v>
      </c>
      <c r="X33" s="249">
        <f t="shared" si="22"/>
        <v>9</v>
      </c>
      <c r="Y33" s="404"/>
      <c r="Z33" s="250">
        <v>18</v>
      </c>
      <c r="AA33" s="250">
        <v>1547</v>
      </c>
      <c r="AB33" s="251">
        <f t="shared" si="23"/>
        <v>85.944444444444443</v>
      </c>
      <c r="AC33" s="249">
        <f t="shared" si="24"/>
        <v>8</v>
      </c>
      <c r="AD33" s="404"/>
      <c r="AE33" s="250">
        <v>17</v>
      </c>
      <c r="AF33" s="250">
        <v>1478</v>
      </c>
      <c r="AG33" s="251">
        <f t="shared" si="25"/>
        <v>86.941176470588232</v>
      </c>
      <c r="AH33" s="249">
        <f t="shared" si="26"/>
        <v>7</v>
      </c>
      <c r="AI33" s="404"/>
      <c r="AJ33" s="250">
        <v>18</v>
      </c>
      <c r="AK33" s="250">
        <v>1563</v>
      </c>
      <c r="AL33" s="251">
        <f t="shared" si="27"/>
        <v>86.833333333333329</v>
      </c>
      <c r="AM33" s="249">
        <f t="shared" si="28"/>
        <v>6</v>
      </c>
      <c r="AN33" s="404"/>
      <c r="AO33" s="250">
        <v>18</v>
      </c>
      <c r="AP33" s="250">
        <v>1550</v>
      </c>
      <c r="AQ33" s="251">
        <f t="shared" si="29"/>
        <v>86.111111111111114</v>
      </c>
      <c r="AR33" s="249">
        <f t="shared" si="30"/>
        <v>5</v>
      </c>
      <c r="AS33" s="404"/>
      <c r="AT33" s="250">
        <v>18</v>
      </c>
      <c r="AU33" s="250">
        <v>1568</v>
      </c>
      <c r="AV33" s="251">
        <f t="shared" si="31"/>
        <v>87.111111111111114</v>
      </c>
      <c r="AW33" s="249">
        <f t="shared" si="32"/>
        <v>5</v>
      </c>
      <c r="AX33" s="404"/>
    </row>
    <row r="34" spans="2:50">
      <c r="B34" s="405"/>
      <c r="C34" s="249">
        <v>5</v>
      </c>
      <c r="D34" s="249" t="s">
        <v>113</v>
      </c>
      <c r="E34" s="250" t="e">
        <f>VLOOKUP(D34,#REF!,2,0)</f>
        <v>#REF!</v>
      </c>
      <c r="F34" s="250" t="e">
        <f>VLOOKUP(D34,#REF!,3,0)</f>
        <v>#REF!</v>
      </c>
      <c r="G34" s="251" t="e">
        <f t="shared" si="17"/>
        <v>#REF!</v>
      </c>
      <c r="H34" s="407"/>
      <c r="I34" s="250">
        <f t="shared" si="18"/>
        <v>13</v>
      </c>
      <c r="J34" s="250">
        <f t="shared" si="18"/>
        <v>1810.4285714285713</v>
      </c>
      <c r="K34" s="251">
        <f t="shared" si="18"/>
        <v>139.26373626373626</v>
      </c>
      <c r="L34" s="407"/>
      <c r="M34" s="252">
        <f>RANK(K34, K$30:$K$47)</f>
        <v>3</v>
      </c>
      <c r="N34" s="409"/>
      <c r="O34" s="409"/>
      <c r="P34" s="250">
        <v>13</v>
      </c>
      <c r="Q34" s="250">
        <v>1828</v>
      </c>
      <c r="R34" s="251">
        <f t="shared" si="19"/>
        <v>140.61538461538461</v>
      </c>
      <c r="S34" s="249">
        <f t="shared" si="20"/>
        <v>3</v>
      </c>
      <c r="T34" s="404"/>
      <c r="U34" s="250">
        <v>13</v>
      </c>
      <c r="V34" s="250">
        <v>1887</v>
      </c>
      <c r="W34" s="251">
        <f t="shared" si="21"/>
        <v>145.15384615384616</v>
      </c>
      <c r="X34" s="249">
        <f t="shared" si="22"/>
        <v>3</v>
      </c>
      <c r="Y34" s="404"/>
      <c r="Z34" s="250">
        <v>13</v>
      </c>
      <c r="AA34" s="250">
        <v>1955</v>
      </c>
      <c r="AB34" s="251">
        <f t="shared" si="23"/>
        <v>150.38461538461539</v>
      </c>
      <c r="AC34" s="249">
        <f t="shared" si="24"/>
        <v>2</v>
      </c>
      <c r="AD34" s="404"/>
      <c r="AE34" s="250">
        <v>13</v>
      </c>
      <c r="AF34" s="250">
        <v>1454</v>
      </c>
      <c r="AG34" s="251">
        <f t="shared" si="25"/>
        <v>111.84615384615384</v>
      </c>
      <c r="AH34" s="249">
        <f t="shared" si="26"/>
        <v>4</v>
      </c>
      <c r="AI34" s="404"/>
      <c r="AJ34" s="250">
        <v>13</v>
      </c>
      <c r="AK34" s="250">
        <v>1747</v>
      </c>
      <c r="AL34" s="251">
        <f t="shared" si="27"/>
        <v>134.38461538461539</v>
      </c>
      <c r="AM34" s="249">
        <f t="shared" si="28"/>
        <v>3</v>
      </c>
      <c r="AN34" s="404"/>
      <c r="AO34" s="250">
        <v>13</v>
      </c>
      <c r="AP34" s="250">
        <v>1853</v>
      </c>
      <c r="AQ34" s="251">
        <f t="shared" si="29"/>
        <v>142.53846153846155</v>
      </c>
      <c r="AR34" s="249">
        <f t="shared" si="30"/>
        <v>3</v>
      </c>
      <c r="AS34" s="404"/>
      <c r="AT34" s="250">
        <v>13</v>
      </c>
      <c r="AU34" s="250">
        <v>1949</v>
      </c>
      <c r="AV34" s="251">
        <f t="shared" si="31"/>
        <v>149.92307692307693</v>
      </c>
      <c r="AW34" s="249">
        <f t="shared" si="32"/>
        <v>1</v>
      </c>
      <c r="AX34" s="404"/>
    </row>
    <row r="35" spans="2:50">
      <c r="B35" s="405"/>
      <c r="C35" s="249">
        <v>6</v>
      </c>
      <c r="D35" s="249" t="s">
        <v>114</v>
      </c>
      <c r="E35" s="250" t="e">
        <f>VLOOKUP(D35,#REF!,2,0)</f>
        <v>#REF!</v>
      </c>
      <c r="F35" s="250" t="e">
        <f>VLOOKUP(D35,#REF!,3,0)</f>
        <v>#REF!</v>
      </c>
      <c r="G35" s="251" t="e">
        <f t="shared" si="17"/>
        <v>#REF!</v>
      </c>
      <c r="H35" s="407"/>
      <c r="I35" s="250">
        <f t="shared" si="18"/>
        <v>14</v>
      </c>
      <c r="J35" s="250">
        <f t="shared" si="18"/>
        <v>1745.2857142857142</v>
      </c>
      <c r="K35" s="251">
        <f t="shared" si="18"/>
        <v>124.66326530612245</v>
      </c>
      <c r="L35" s="407"/>
      <c r="M35" s="252">
        <f>RANK(K35, K$30:$K$47)</f>
        <v>4</v>
      </c>
      <c r="N35" s="409"/>
      <c r="O35" s="409"/>
      <c r="P35" s="250">
        <v>14</v>
      </c>
      <c r="Q35" s="250">
        <v>1686</v>
      </c>
      <c r="R35" s="251">
        <f>Q35/P35</f>
        <v>120.42857142857143</v>
      </c>
      <c r="S35" s="249">
        <f t="shared" si="20"/>
        <v>4</v>
      </c>
      <c r="T35" s="404"/>
      <c r="U35" s="250">
        <v>14</v>
      </c>
      <c r="V35" s="250">
        <v>1680</v>
      </c>
      <c r="W35" s="251">
        <f t="shared" si="21"/>
        <v>120</v>
      </c>
      <c r="X35" s="249">
        <f t="shared" si="22"/>
        <v>4</v>
      </c>
      <c r="Y35" s="404"/>
      <c r="Z35" s="250">
        <v>14</v>
      </c>
      <c r="AA35" s="250">
        <v>1662</v>
      </c>
      <c r="AB35" s="251">
        <f t="shared" si="23"/>
        <v>118.71428571428571</v>
      </c>
      <c r="AC35" s="249">
        <f t="shared" si="24"/>
        <v>4</v>
      </c>
      <c r="AD35" s="404"/>
      <c r="AE35" s="250">
        <v>14</v>
      </c>
      <c r="AF35" s="250">
        <v>1712</v>
      </c>
      <c r="AG35" s="251">
        <f t="shared" si="25"/>
        <v>122.28571428571429</v>
      </c>
      <c r="AH35" s="249">
        <f t="shared" si="26"/>
        <v>3</v>
      </c>
      <c r="AI35" s="404"/>
      <c r="AJ35" s="250">
        <v>14</v>
      </c>
      <c r="AK35" s="250">
        <v>1825</v>
      </c>
      <c r="AL35" s="251">
        <f t="shared" si="27"/>
        <v>130.35714285714286</v>
      </c>
      <c r="AM35" s="249">
        <f t="shared" si="28"/>
        <v>4</v>
      </c>
      <c r="AN35" s="404"/>
      <c r="AO35" s="250">
        <v>14</v>
      </c>
      <c r="AP35" s="250">
        <v>1882</v>
      </c>
      <c r="AQ35" s="251">
        <f t="shared" si="29"/>
        <v>134.42857142857142</v>
      </c>
      <c r="AR35" s="249">
        <f t="shared" si="30"/>
        <v>4</v>
      </c>
      <c r="AS35" s="404"/>
      <c r="AT35" s="250">
        <v>14</v>
      </c>
      <c r="AU35" s="250">
        <v>1770</v>
      </c>
      <c r="AV35" s="251">
        <f t="shared" si="31"/>
        <v>126.42857142857143</v>
      </c>
      <c r="AW35" s="249">
        <f t="shared" si="32"/>
        <v>3</v>
      </c>
      <c r="AX35" s="404"/>
    </row>
    <row r="36" spans="2:50">
      <c r="B36" s="405"/>
      <c r="C36" s="249">
        <v>7</v>
      </c>
      <c r="D36" s="249" t="s">
        <v>115</v>
      </c>
      <c r="E36" s="250" t="e">
        <f>VLOOKUP(D36,#REF!,2,0)</f>
        <v>#REF!</v>
      </c>
      <c r="F36" s="250" t="e">
        <f>VLOOKUP(D36,#REF!,3,0)</f>
        <v>#REF!</v>
      </c>
      <c r="G36" s="251" t="e">
        <f t="shared" si="17"/>
        <v>#REF!</v>
      </c>
      <c r="H36" s="407"/>
      <c r="I36" s="250">
        <f t="shared" si="18"/>
        <v>14.5</v>
      </c>
      <c r="J36" s="250">
        <f t="shared" si="18"/>
        <v>1030.75</v>
      </c>
      <c r="K36" s="251">
        <f t="shared" si="18"/>
        <v>71.29205586080586</v>
      </c>
      <c r="L36" s="407"/>
      <c r="M36" s="252">
        <f>RANK(K36, K$30:$K$47)</f>
        <v>12</v>
      </c>
      <c r="N36" s="409"/>
      <c r="O36" s="409"/>
      <c r="P36" s="250">
        <v>15</v>
      </c>
      <c r="Q36" s="250">
        <v>1034</v>
      </c>
      <c r="R36" s="251">
        <f t="shared" si="19"/>
        <v>68.933333333333337</v>
      </c>
      <c r="S36" s="249">
        <f t="shared" si="20"/>
        <v>13</v>
      </c>
      <c r="T36" s="404"/>
      <c r="U36" s="250">
        <v>14</v>
      </c>
      <c r="V36" s="250">
        <v>1009</v>
      </c>
      <c r="W36" s="251">
        <f t="shared" si="21"/>
        <v>72.071428571428569</v>
      </c>
      <c r="X36" s="249">
        <f t="shared" si="22"/>
        <v>12</v>
      </c>
      <c r="Y36" s="404"/>
      <c r="Z36" s="250">
        <v>16</v>
      </c>
      <c r="AA36" s="250">
        <v>1098</v>
      </c>
      <c r="AB36" s="251">
        <f t="shared" si="23"/>
        <v>68.625</v>
      </c>
      <c r="AC36" s="249">
        <f t="shared" si="24"/>
        <v>13</v>
      </c>
      <c r="AD36" s="404"/>
      <c r="AE36" s="250">
        <v>13</v>
      </c>
      <c r="AF36" s="250">
        <v>982</v>
      </c>
      <c r="AG36" s="251">
        <f t="shared" si="25"/>
        <v>75.538461538461533</v>
      </c>
      <c r="AH36" s="249">
        <f t="shared" si="26"/>
        <v>9</v>
      </c>
      <c r="AI36" s="404"/>
      <c r="AJ36" s="250"/>
      <c r="AK36" s="250"/>
      <c r="AL36" s="251"/>
      <c r="AM36" s="249"/>
      <c r="AN36" s="404"/>
      <c r="AO36" s="250"/>
      <c r="AP36" s="250"/>
      <c r="AQ36" s="251"/>
      <c r="AR36" s="249"/>
      <c r="AS36" s="404"/>
      <c r="AT36" s="250"/>
      <c r="AU36" s="250"/>
      <c r="AV36" s="251"/>
      <c r="AW36" s="249"/>
      <c r="AX36" s="404"/>
    </row>
    <row r="37" spans="2:50">
      <c r="B37" s="405"/>
      <c r="C37" s="249">
        <v>8</v>
      </c>
      <c r="D37" s="249" t="s">
        <v>116</v>
      </c>
      <c r="E37" s="250" t="e">
        <f>VLOOKUP(D37,#REF!,2,0)</f>
        <v>#REF!</v>
      </c>
      <c r="F37" s="250" t="e">
        <f>VLOOKUP(D37,#REF!,3,0)</f>
        <v>#REF!</v>
      </c>
      <c r="G37" s="251" t="e">
        <f t="shared" si="17"/>
        <v>#REF!</v>
      </c>
      <c r="H37" s="407"/>
      <c r="I37" s="250">
        <f t="shared" si="18"/>
        <v>14</v>
      </c>
      <c r="J37" s="250">
        <f t="shared" si="18"/>
        <v>1079.75</v>
      </c>
      <c r="K37" s="251">
        <f t="shared" si="18"/>
        <v>77.16157280219781</v>
      </c>
      <c r="L37" s="407"/>
      <c r="M37" s="252">
        <f>RANK(K37, K$30:$K$47)</f>
        <v>9</v>
      </c>
      <c r="N37" s="409"/>
      <c r="O37" s="409"/>
      <c r="P37" s="250">
        <v>13</v>
      </c>
      <c r="Q37" s="250">
        <v>1124</v>
      </c>
      <c r="R37" s="251">
        <f t="shared" si="19"/>
        <v>86.461538461538467</v>
      </c>
      <c r="S37" s="249">
        <f t="shared" si="20"/>
        <v>7</v>
      </c>
      <c r="T37" s="404"/>
      <c r="U37" s="250">
        <v>14</v>
      </c>
      <c r="V37" s="250">
        <v>1061</v>
      </c>
      <c r="W37" s="251">
        <f t="shared" si="21"/>
        <v>75.785714285714292</v>
      </c>
      <c r="X37" s="249">
        <f t="shared" si="22"/>
        <v>10</v>
      </c>
      <c r="Y37" s="404"/>
      <c r="Z37" s="250">
        <v>16</v>
      </c>
      <c r="AA37" s="250">
        <v>1231</v>
      </c>
      <c r="AB37" s="251">
        <f t="shared" si="23"/>
        <v>76.9375</v>
      </c>
      <c r="AC37" s="249">
        <f t="shared" si="24"/>
        <v>9</v>
      </c>
      <c r="AD37" s="404"/>
      <c r="AE37" s="250">
        <v>13</v>
      </c>
      <c r="AF37" s="250">
        <v>903</v>
      </c>
      <c r="AG37" s="251">
        <f t="shared" si="25"/>
        <v>69.461538461538467</v>
      </c>
      <c r="AH37" s="249">
        <f t="shared" si="26"/>
        <v>13</v>
      </c>
      <c r="AI37" s="404"/>
      <c r="AJ37" s="250"/>
      <c r="AK37" s="250"/>
      <c r="AL37" s="251"/>
      <c r="AM37" s="249"/>
      <c r="AN37" s="404"/>
      <c r="AO37" s="250"/>
      <c r="AP37" s="250"/>
      <c r="AQ37" s="251"/>
      <c r="AR37" s="249"/>
      <c r="AS37" s="404"/>
      <c r="AT37" s="250"/>
      <c r="AU37" s="250"/>
      <c r="AV37" s="251"/>
      <c r="AW37" s="249"/>
      <c r="AX37" s="404"/>
    </row>
    <row r="38" spans="2:50">
      <c r="B38" s="405"/>
      <c r="C38" s="249">
        <v>9</v>
      </c>
      <c r="D38" s="249" t="s">
        <v>117</v>
      </c>
      <c r="E38" s="250" t="e">
        <f>VLOOKUP(D38,#REF!,2,0)</f>
        <v>#REF!</v>
      </c>
      <c r="F38" s="250" t="e">
        <f>VLOOKUP(D38,#REF!,3,0)</f>
        <v>#REF!</v>
      </c>
      <c r="G38" s="251" t="e">
        <f t="shared" si="17"/>
        <v>#REF!</v>
      </c>
      <c r="H38" s="407"/>
      <c r="I38" s="250">
        <f t="shared" si="18"/>
        <v>15.428571428571429</v>
      </c>
      <c r="J38" s="250">
        <f t="shared" si="18"/>
        <v>1088</v>
      </c>
      <c r="K38" s="251">
        <f t="shared" si="18"/>
        <v>70.528798185941042</v>
      </c>
      <c r="L38" s="407"/>
      <c r="M38" s="252">
        <f>RANK(K38, K$30:$K$47)</f>
        <v>13</v>
      </c>
      <c r="N38" s="409"/>
      <c r="O38" s="409"/>
      <c r="P38" s="250">
        <v>15</v>
      </c>
      <c r="Q38" s="250">
        <v>1158</v>
      </c>
      <c r="R38" s="251">
        <f t="shared" si="19"/>
        <v>77.2</v>
      </c>
      <c r="S38" s="249">
        <f t="shared" si="20"/>
        <v>11</v>
      </c>
      <c r="T38" s="404"/>
      <c r="U38" s="250">
        <v>15</v>
      </c>
      <c r="V38" s="250">
        <v>1008</v>
      </c>
      <c r="W38" s="251">
        <f t="shared" si="21"/>
        <v>67.2</v>
      </c>
      <c r="X38" s="249">
        <f t="shared" si="22"/>
        <v>13</v>
      </c>
      <c r="Y38" s="404"/>
      <c r="Z38" s="250">
        <v>18</v>
      </c>
      <c r="AA38" s="250">
        <v>1268</v>
      </c>
      <c r="AB38" s="251">
        <f t="shared" si="23"/>
        <v>70.444444444444443</v>
      </c>
      <c r="AC38" s="249">
        <f t="shared" si="24"/>
        <v>12</v>
      </c>
      <c r="AD38" s="404"/>
      <c r="AE38" s="250">
        <v>14</v>
      </c>
      <c r="AF38" s="250">
        <v>986</v>
      </c>
      <c r="AG38" s="251">
        <f t="shared" si="25"/>
        <v>70.428571428571431</v>
      </c>
      <c r="AH38" s="249">
        <f t="shared" si="26"/>
        <v>11</v>
      </c>
      <c r="AI38" s="404"/>
      <c r="AJ38" s="250">
        <v>14</v>
      </c>
      <c r="AK38" s="250">
        <v>972</v>
      </c>
      <c r="AL38" s="251">
        <f t="shared" si="27"/>
        <v>69.428571428571431</v>
      </c>
      <c r="AM38" s="249">
        <f t="shared" si="28"/>
        <v>10</v>
      </c>
      <c r="AN38" s="404"/>
      <c r="AO38" s="250">
        <v>16</v>
      </c>
      <c r="AP38" s="250">
        <v>1101</v>
      </c>
      <c r="AQ38" s="251">
        <f t="shared" si="29"/>
        <v>68.8125</v>
      </c>
      <c r="AR38" s="249">
        <f t="shared" si="30"/>
        <v>8</v>
      </c>
      <c r="AS38" s="404"/>
      <c r="AT38" s="250">
        <v>16</v>
      </c>
      <c r="AU38" s="250">
        <v>1123</v>
      </c>
      <c r="AV38" s="251">
        <f t="shared" si="31"/>
        <v>70.1875</v>
      </c>
      <c r="AW38" s="249">
        <f t="shared" si="32"/>
        <v>10</v>
      </c>
      <c r="AX38" s="404"/>
    </row>
    <row r="39" spans="2:50">
      <c r="B39" s="405"/>
      <c r="C39" s="249">
        <v>10</v>
      </c>
      <c r="D39" s="249" t="s">
        <v>118</v>
      </c>
      <c r="E39" s="250" t="e">
        <f>VLOOKUP(D39,#REF!,2,0)</f>
        <v>#REF!</v>
      </c>
      <c r="F39" s="250" t="e">
        <f>VLOOKUP(D39,#REF!,3,0)</f>
        <v>#REF!</v>
      </c>
      <c r="G39" s="251" t="e">
        <f t="shared" si="17"/>
        <v>#REF!</v>
      </c>
      <c r="H39" s="407"/>
      <c r="I39" s="250">
        <f t="shared" si="18"/>
        <v>15.428571428571429</v>
      </c>
      <c r="J39" s="250">
        <f t="shared" si="18"/>
        <v>1291.1428571428571</v>
      </c>
      <c r="K39" s="251">
        <f t="shared" si="18"/>
        <v>84.191516606642651</v>
      </c>
      <c r="L39" s="407"/>
      <c r="M39" s="252">
        <f>RANK(K39, K$30:$K$47)</f>
        <v>7</v>
      </c>
      <c r="N39" s="409"/>
      <c r="O39" s="409"/>
      <c r="P39" s="250">
        <v>15</v>
      </c>
      <c r="Q39" s="250">
        <v>1290</v>
      </c>
      <c r="R39" s="251">
        <f t="shared" si="19"/>
        <v>86</v>
      </c>
      <c r="S39" s="249">
        <f t="shared" si="20"/>
        <v>8</v>
      </c>
      <c r="T39" s="404"/>
      <c r="U39" s="250">
        <v>14</v>
      </c>
      <c r="V39" s="250">
        <v>1278</v>
      </c>
      <c r="W39" s="251">
        <f t="shared" si="21"/>
        <v>91.285714285714292</v>
      </c>
      <c r="X39" s="249">
        <f t="shared" si="22"/>
        <v>6</v>
      </c>
      <c r="Y39" s="404"/>
      <c r="Z39" s="250">
        <v>15</v>
      </c>
      <c r="AA39" s="250">
        <v>1346</v>
      </c>
      <c r="AB39" s="251">
        <f t="shared" si="23"/>
        <v>89.733333333333334</v>
      </c>
      <c r="AC39" s="249">
        <f t="shared" si="24"/>
        <v>6</v>
      </c>
      <c r="AD39" s="404"/>
      <c r="AE39" s="250">
        <v>15</v>
      </c>
      <c r="AF39" s="250">
        <v>1329</v>
      </c>
      <c r="AG39" s="251">
        <f t="shared" si="25"/>
        <v>88.6</v>
      </c>
      <c r="AH39" s="249">
        <f t="shared" si="26"/>
        <v>6</v>
      </c>
      <c r="AI39" s="404"/>
      <c r="AJ39" s="250">
        <v>15</v>
      </c>
      <c r="AK39" s="250">
        <v>1337</v>
      </c>
      <c r="AL39" s="251">
        <f t="shared" si="27"/>
        <v>89.13333333333334</v>
      </c>
      <c r="AM39" s="249">
        <f t="shared" si="28"/>
        <v>5</v>
      </c>
      <c r="AN39" s="404"/>
      <c r="AO39" s="250">
        <v>17</v>
      </c>
      <c r="AP39" s="250">
        <v>1087</v>
      </c>
      <c r="AQ39" s="251">
        <f t="shared" si="29"/>
        <v>63.941176470588232</v>
      </c>
      <c r="AR39" s="249">
        <f t="shared" si="30"/>
        <v>10</v>
      </c>
      <c r="AS39" s="404"/>
      <c r="AT39" s="250">
        <v>17</v>
      </c>
      <c r="AU39" s="250">
        <v>1371</v>
      </c>
      <c r="AV39" s="251">
        <f t="shared" si="31"/>
        <v>80.647058823529406</v>
      </c>
      <c r="AW39" s="249">
        <f t="shared" si="32"/>
        <v>6</v>
      </c>
      <c r="AX39" s="404"/>
    </row>
    <row r="40" spans="2:50">
      <c r="B40" s="405"/>
      <c r="C40" s="249">
        <v>11</v>
      </c>
      <c r="D40" s="249" t="s">
        <v>119</v>
      </c>
      <c r="E40" s="250" t="e">
        <f>VLOOKUP(D40,#REF!,2,0)</f>
        <v>#REF!</v>
      </c>
      <c r="F40" s="250" t="e">
        <f>VLOOKUP(D40,#REF!,3,0)</f>
        <v>#REF!</v>
      </c>
      <c r="G40" s="251" t="e">
        <f t="shared" si="17"/>
        <v>#REF!</v>
      </c>
      <c r="H40" s="407"/>
      <c r="I40" s="250">
        <f t="shared" si="18"/>
        <v>14.571428571428571</v>
      </c>
      <c r="J40" s="250">
        <f t="shared" si="18"/>
        <v>1075.1428571428571</v>
      </c>
      <c r="K40" s="251">
        <f t="shared" si="18"/>
        <v>73.950914981377181</v>
      </c>
      <c r="L40" s="407"/>
      <c r="M40" s="252">
        <f>RANK(K40, K$30:$K$47)</f>
        <v>11</v>
      </c>
      <c r="N40" s="409"/>
      <c r="O40" s="409"/>
      <c r="P40" s="249">
        <v>13</v>
      </c>
      <c r="Q40" s="249">
        <v>1001</v>
      </c>
      <c r="R40" s="251">
        <f>Q40/P40</f>
        <v>77</v>
      </c>
      <c r="S40" s="249">
        <f t="shared" si="20"/>
        <v>12</v>
      </c>
      <c r="T40" s="404"/>
      <c r="U40" s="249">
        <v>13</v>
      </c>
      <c r="V40" s="249">
        <v>963</v>
      </c>
      <c r="W40" s="251">
        <f>V40/U40</f>
        <v>74.07692307692308</v>
      </c>
      <c r="X40" s="249">
        <f t="shared" si="22"/>
        <v>11</v>
      </c>
      <c r="Y40" s="404"/>
      <c r="Z40" s="249">
        <v>14</v>
      </c>
      <c r="AA40" s="249">
        <v>1038</v>
      </c>
      <c r="AB40" s="251">
        <f>AA40/Z40</f>
        <v>74.142857142857139</v>
      </c>
      <c r="AC40" s="249">
        <f t="shared" si="24"/>
        <v>10</v>
      </c>
      <c r="AD40" s="404"/>
      <c r="AE40" s="249">
        <v>14</v>
      </c>
      <c r="AF40" s="249">
        <v>1044</v>
      </c>
      <c r="AG40" s="251">
        <f>AF40/AE40</f>
        <v>74.571428571428569</v>
      </c>
      <c r="AH40" s="249">
        <f t="shared" si="26"/>
        <v>10</v>
      </c>
      <c r="AI40" s="404"/>
      <c r="AJ40" s="249">
        <v>15</v>
      </c>
      <c r="AK40" s="249">
        <v>1105</v>
      </c>
      <c r="AL40" s="251">
        <f>AK40/AJ40</f>
        <v>73.666666666666671</v>
      </c>
      <c r="AM40" s="249">
        <f t="shared" si="28"/>
        <v>8</v>
      </c>
      <c r="AN40" s="404"/>
      <c r="AO40" s="249">
        <v>17</v>
      </c>
      <c r="AP40" s="249">
        <v>1153</v>
      </c>
      <c r="AQ40" s="251">
        <f>AP40/AO40</f>
        <v>67.82352941176471</v>
      </c>
      <c r="AR40" s="249">
        <f t="shared" si="30"/>
        <v>9</v>
      </c>
      <c r="AS40" s="404"/>
      <c r="AT40" s="249">
        <v>16</v>
      </c>
      <c r="AU40" s="249">
        <v>1222</v>
      </c>
      <c r="AV40" s="251">
        <f>AU40/AT40</f>
        <v>76.375</v>
      </c>
      <c r="AW40" s="249">
        <f t="shared" si="32"/>
        <v>7</v>
      </c>
      <c r="AX40" s="404"/>
    </row>
    <row r="41" spans="2:50">
      <c r="B41" s="405"/>
      <c r="C41" s="249">
        <v>12</v>
      </c>
      <c r="D41" s="249" t="s">
        <v>120</v>
      </c>
      <c r="E41" s="250" t="e">
        <f>VLOOKUP(D41,#REF!,2,0)</f>
        <v>#REF!</v>
      </c>
      <c r="F41" s="250" t="e">
        <f>VLOOKUP(D41,#REF!,3,0)</f>
        <v>#REF!</v>
      </c>
      <c r="G41" s="251" t="e">
        <f t="shared" si="17"/>
        <v>#REF!</v>
      </c>
      <c r="H41" s="407"/>
      <c r="I41" s="250">
        <f t="shared" si="18"/>
        <v>15.285714285714286</v>
      </c>
      <c r="J41" s="250">
        <f t="shared" si="18"/>
        <v>1175.8571428571429</v>
      </c>
      <c r="K41" s="251">
        <f t="shared" si="18"/>
        <v>77.156440653184362</v>
      </c>
      <c r="L41" s="407"/>
      <c r="M41" s="252">
        <f>RANK(K41, K$30:$K$47)</f>
        <v>10</v>
      </c>
      <c r="N41" s="409"/>
      <c r="O41" s="409"/>
      <c r="P41" s="249">
        <v>13</v>
      </c>
      <c r="Q41" s="249">
        <v>1097</v>
      </c>
      <c r="R41" s="251">
        <f>Q41/P41</f>
        <v>84.384615384615387</v>
      </c>
      <c r="S41" s="249">
        <f t="shared" si="20"/>
        <v>10</v>
      </c>
      <c r="T41" s="404"/>
      <c r="U41" s="249">
        <v>15</v>
      </c>
      <c r="V41" s="249">
        <v>1354</v>
      </c>
      <c r="W41" s="251">
        <f>V41/U41</f>
        <v>90.266666666666666</v>
      </c>
      <c r="X41" s="249">
        <f t="shared" si="22"/>
        <v>7</v>
      </c>
      <c r="Y41" s="404"/>
      <c r="Z41" s="249">
        <v>17</v>
      </c>
      <c r="AA41" s="249">
        <v>1249</v>
      </c>
      <c r="AB41" s="251">
        <f>AA41/Z41</f>
        <v>73.470588235294116</v>
      </c>
      <c r="AC41" s="249">
        <f t="shared" si="24"/>
        <v>11</v>
      </c>
      <c r="AD41" s="404"/>
      <c r="AE41" s="249">
        <v>14</v>
      </c>
      <c r="AF41" s="249">
        <v>984</v>
      </c>
      <c r="AG41" s="251">
        <f>AF41/AE41</f>
        <v>70.285714285714292</v>
      </c>
      <c r="AH41" s="249">
        <f t="shared" si="26"/>
        <v>12</v>
      </c>
      <c r="AI41" s="404"/>
      <c r="AJ41" s="249">
        <v>16</v>
      </c>
      <c r="AK41" s="249">
        <v>1116</v>
      </c>
      <c r="AL41" s="251">
        <f>AK41/AJ41</f>
        <v>69.75</v>
      </c>
      <c r="AM41" s="249">
        <f t="shared" si="28"/>
        <v>9</v>
      </c>
      <c r="AN41" s="404"/>
      <c r="AO41" s="249">
        <v>16</v>
      </c>
      <c r="AP41" s="249">
        <v>1258</v>
      </c>
      <c r="AQ41" s="251">
        <f>AP41/AO41</f>
        <v>78.625</v>
      </c>
      <c r="AR41" s="249">
        <f t="shared" si="30"/>
        <v>6</v>
      </c>
      <c r="AS41" s="404"/>
      <c r="AT41" s="249">
        <v>16</v>
      </c>
      <c r="AU41" s="249">
        <v>1173</v>
      </c>
      <c r="AV41" s="251">
        <f>AU41/AT41</f>
        <v>73.3125</v>
      </c>
      <c r="AW41" s="249">
        <f t="shared" si="32"/>
        <v>9</v>
      </c>
      <c r="AX41" s="404"/>
    </row>
    <row r="42" spans="2:50">
      <c r="B42" s="405"/>
      <c r="C42" s="249">
        <v>13</v>
      </c>
      <c r="D42" s="249" t="s">
        <v>121</v>
      </c>
      <c r="E42" s="250" t="e">
        <f>VLOOKUP(D42,#REF!,2,0)</f>
        <v>#REF!</v>
      </c>
      <c r="F42" s="250" t="e">
        <f>VLOOKUP(D42,#REF!,3,0)</f>
        <v>#REF!</v>
      </c>
      <c r="G42" s="251" t="e">
        <f t="shared" si="17"/>
        <v>#REF!</v>
      </c>
      <c r="H42" s="407"/>
      <c r="I42" s="250">
        <f t="shared" si="18"/>
        <v>17.714285714285715</v>
      </c>
      <c r="J42" s="250">
        <f t="shared" si="18"/>
        <v>1414.5714285714287</v>
      </c>
      <c r="K42" s="251">
        <f t="shared" si="18"/>
        <v>80.073664553540723</v>
      </c>
      <c r="L42" s="407"/>
      <c r="M42" s="252">
        <f>RANK(K42, K$30:$K$47)</f>
        <v>8</v>
      </c>
      <c r="N42" s="409"/>
      <c r="O42" s="409"/>
      <c r="P42" s="249">
        <v>17</v>
      </c>
      <c r="Q42" s="249">
        <v>1443</v>
      </c>
      <c r="R42" s="251">
        <f>Q42/P42</f>
        <v>84.882352941176464</v>
      </c>
      <c r="S42" s="249">
        <f t="shared" si="20"/>
        <v>9</v>
      </c>
      <c r="T42" s="404"/>
      <c r="U42" s="249">
        <v>17</v>
      </c>
      <c r="V42" s="249">
        <v>1485</v>
      </c>
      <c r="W42" s="251">
        <f>V42/U42</f>
        <v>87.352941176470594</v>
      </c>
      <c r="X42" s="249">
        <f t="shared" si="22"/>
        <v>8</v>
      </c>
      <c r="Y42" s="404"/>
      <c r="Z42" s="249">
        <v>17</v>
      </c>
      <c r="AA42" s="249">
        <v>1478</v>
      </c>
      <c r="AB42" s="251">
        <f>AA42/Z42</f>
        <v>86.941176470588232</v>
      </c>
      <c r="AC42" s="249">
        <f t="shared" si="24"/>
        <v>7</v>
      </c>
      <c r="AD42" s="404"/>
      <c r="AE42" s="249">
        <v>18</v>
      </c>
      <c r="AF42" s="249">
        <v>1419</v>
      </c>
      <c r="AG42" s="251">
        <f>AF42/AE42</f>
        <v>78.833333333333329</v>
      </c>
      <c r="AH42" s="249">
        <f t="shared" si="26"/>
        <v>8</v>
      </c>
      <c r="AI42" s="404"/>
      <c r="AJ42" s="249">
        <v>18</v>
      </c>
      <c r="AK42" s="249">
        <v>1369</v>
      </c>
      <c r="AL42" s="251">
        <f>AK42/AJ42</f>
        <v>76.055555555555557</v>
      </c>
      <c r="AM42" s="249">
        <f t="shared" si="28"/>
        <v>7</v>
      </c>
      <c r="AN42" s="404"/>
      <c r="AO42" s="249">
        <v>19</v>
      </c>
      <c r="AP42" s="249">
        <v>1366</v>
      </c>
      <c r="AQ42" s="251">
        <f>AP42/AO42</f>
        <v>71.89473684210526</v>
      </c>
      <c r="AR42" s="249">
        <f t="shared" si="30"/>
        <v>7</v>
      </c>
      <c r="AS42" s="404"/>
      <c r="AT42" s="249">
        <v>18</v>
      </c>
      <c r="AU42" s="249">
        <v>1342</v>
      </c>
      <c r="AV42" s="251">
        <f>AU42/AT42</f>
        <v>74.555555555555557</v>
      </c>
      <c r="AW42" s="249">
        <f t="shared" si="32"/>
        <v>8</v>
      </c>
      <c r="AX42" s="404"/>
    </row>
    <row r="43" spans="2:50">
      <c r="B43" s="405"/>
      <c r="C43" s="249">
        <v>14</v>
      </c>
      <c r="D43" s="249" t="s">
        <v>122</v>
      </c>
      <c r="E43" s="250" t="e">
        <f>VLOOKUP(D43,#REF!,2,0)</f>
        <v>#REF!</v>
      </c>
      <c r="F43" s="250" t="e">
        <f>VLOOKUP(D43,#REF!,3,0)</f>
        <v>#REF!</v>
      </c>
      <c r="G43" s="251" t="e">
        <f t="shared" si="17"/>
        <v>#REF!</v>
      </c>
      <c r="H43" s="407"/>
      <c r="I43" s="250"/>
      <c r="J43" s="250"/>
      <c r="K43" s="251"/>
      <c r="L43" s="407"/>
      <c r="M43" s="252"/>
      <c r="N43" s="409"/>
      <c r="O43" s="409"/>
      <c r="P43" s="249"/>
      <c r="Q43" s="249"/>
      <c r="R43" s="251"/>
      <c r="S43" s="249"/>
      <c r="T43" s="404"/>
      <c r="U43" s="249"/>
      <c r="V43" s="249"/>
      <c r="W43" s="251"/>
      <c r="X43" s="249"/>
      <c r="Y43" s="404"/>
      <c r="Z43" s="249"/>
      <c r="AA43" s="249"/>
      <c r="AB43" s="251"/>
      <c r="AC43" s="249"/>
      <c r="AD43" s="404"/>
      <c r="AE43" s="249"/>
      <c r="AF43" s="249"/>
      <c r="AG43" s="251"/>
      <c r="AH43" s="249"/>
      <c r="AI43" s="404"/>
      <c r="AJ43" s="249"/>
      <c r="AK43" s="249"/>
      <c r="AL43" s="251"/>
      <c r="AM43" s="249"/>
      <c r="AN43" s="404"/>
      <c r="AO43" s="249"/>
      <c r="AP43" s="249"/>
      <c r="AQ43" s="251"/>
      <c r="AR43" s="249"/>
      <c r="AS43" s="404"/>
      <c r="AT43" s="249"/>
      <c r="AU43" s="249"/>
      <c r="AV43" s="251"/>
      <c r="AW43" s="249"/>
      <c r="AX43" s="404"/>
    </row>
    <row r="44" spans="2:50">
      <c r="B44" s="405"/>
      <c r="C44" s="249">
        <v>15</v>
      </c>
      <c r="D44" s="249"/>
      <c r="E44" s="250"/>
      <c r="F44" s="250"/>
      <c r="G44" s="251"/>
      <c r="H44" s="407"/>
      <c r="I44" s="249"/>
      <c r="J44" s="250"/>
      <c r="K44" s="251"/>
      <c r="L44" s="407"/>
      <c r="M44" s="250"/>
      <c r="N44" s="409"/>
      <c r="O44" s="409"/>
      <c r="P44" s="249"/>
      <c r="Q44" s="249"/>
      <c r="R44" s="251"/>
      <c r="S44" s="249"/>
      <c r="T44" s="404"/>
      <c r="U44" s="249"/>
      <c r="V44" s="249"/>
      <c r="W44" s="251"/>
      <c r="X44" s="249"/>
      <c r="Y44" s="404"/>
      <c r="Z44" s="249"/>
      <c r="AA44" s="249"/>
      <c r="AB44" s="251"/>
      <c r="AC44" s="249"/>
      <c r="AD44" s="404"/>
      <c r="AE44" s="249"/>
      <c r="AF44" s="249"/>
      <c r="AG44" s="251"/>
      <c r="AH44" s="249"/>
      <c r="AI44" s="404"/>
      <c r="AJ44" s="249"/>
      <c r="AK44" s="249"/>
      <c r="AL44" s="251"/>
      <c r="AM44" s="249"/>
      <c r="AN44" s="404"/>
      <c r="AO44" s="249"/>
      <c r="AP44" s="249"/>
      <c r="AQ44" s="251"/>
      <c r="AR44" s="249"/>
      <c r="AS44" s="404"/>
      <c r="AT44" s="249"/>
      <c r="AU44" s="249"/>
      <c r="AV44" s="251"/>
      <c r="AW44" s="249"/>
      <c r="AX44" s="404"/>
    </row>
    <row r="45" spans="2:50">
      <c r="B45" s="405"/>
      <c r="C45" s="249">
        <v>16</v>
      </c>
      <c r="D45" s="249"/>
      <c r="E45" s="250"/>
      <c r="F45" s="250"/>
      <c r="G45" s="251"/>
      <c r="H45" s="407"/>
      <c r="I45" s="249"/>
      <c r="J45" s="249"/>
      <c r="K45" s="249"/>
      <c r="L45" s="407"/>
      <c r="M45" s="250"/>
      <c r="N45" s="409"/>
      <c r="O45" s="409"/>
      <c r="P45" s="249"/>
      <c r="Q45" s="249"/>
      <c r="R45" s="249"/>
      <c r="S45" s="249"/>
      <c r="T45" s="404"/>
      <c r="U45" s="249"/>
      <c r="V45" s="249"/>
      <c r="W45" s="251"/>
      <c r="X45" s="249"/>
      <c r="Y45" s="404"/>
      <c r="Z45" s="249"/>
      <c r="AA45" s="249"/>
      <c r="AB45" s="249"/>
      <c r="AC45" s="249"/>
      <c r="AD45" s="404"/>
      <c r="AE45" s="249"/>
      <c r="AF45" s="249"/>
      <c r="AG45" s="249"/>
      <c r="AH45" s="249"/>
      <c r="AI45" s="404"/>
      <c r="AJ45" s="249"/>
      <c r="AK45" s="249"/>
      <c r="AL45" s="249"/>
      <c r="AM45" s="249"/>
      <c r="AN45" s="404"/>
      <c r="AO45" s="249"/>
      <c r="AP45" s="249"/>
      <c r="AQ45" s="251"/>
      <c r="AR45" s="249"/>
      <c r="AS45" s="404"/>
      <c r="AT45" s="249"/>
      <c r="AU45" s="249"/>
      <c r="AV45" s="251"/>
      <c r="AW45" s="249"/>
      <c r="AX45" s="404"/>
    </row>
    <row r="46" spans="2:50">
      <c r="B46" s="405"/>
      <c r="C46" s="249">
        <v>17</v>
      </c>
      <c r="D46" s="249"/>
      <c r="E46" s="250"/>
      <c r="F46" s="250"/>
      <c r="G46" s="251"/>
      <c r="H46" s="407"/>
      <c r="I46" s="249"/>
      <c r="J46" s="249"/>
      <c r="K46" s="249"/>
      <c r="L46" s="407"/>
      <c r="M46" s="250"/>
      <c r="N46" s="409"/>
      <c r="O46" s="409"/>
      <c r="P46" s="249"/>
      <c r="Q46" s="249"/>
      <c r="R46" s="249"/>
      <c r="S46" s="249"/>
      <c r="T46" s="404"/>
      <c r="U46" s="249"/>
      <c r="V46" s="249"/>
      <c r="W46" s="251"/>
      <c r="X46" s="249"/>
      <c r="Y46" s="404"/>
      <c r="Z46" s="249"/>
      <c r="AA46" s="249"/>
      <c r="AB46" s="249"/>
      <c r="AC46" s="249"/>
      <c r="AD46" s="404"/>
      <c r="AE46" s="249"/>
      <c r="AF46" s="249"/>
      <c r="AG46" s="249"/>
      <c r="AH46" s="249"/>
      <c r="AI46" s="404"/>
      <c r="AJ46" s="249"/>
      <c r="AK46" s="249"/>
      <c r="AL46" s="249"/>
      <c r="AM46" s="249"/>
      <c r="AN46" s="404"/>
      <c r="AO46" s="249"/>
      <c r="AP46" s="249"/>
      <c r="AQ46" s="249"/>
      <c r="AR46" s="249"/>
      <c r="AS46" s="404"/>
      <c r="AT46" s="249"/>
      <c r="AU46" s="249"/>
      <c r="AV46" s="251"/>
      <c r="AW46" s="249"/>
      <c r="AX46" s="404"/>
    </row>
    <row r="47" spans="2:50">
      <c r="B47" s="405"/>
      <c r="C47" s="249">
        <v>18</v>
      </c>
      <c r="D47" s="249"/>
      <c r="E47" s="250"/>
      <c r="F47" s="250"/>
      <c r="G47" s="251"/>
      <c r="H47" s="408"/>
      <c r="I47" s="249"/>
      <c r="J47" s="249"/>
      <c r="K47" s="249"/>
      <c r="L47" s="408"/>
      <c r="M47" s="250"/>
      <c r="N47" s="409"/>
      <c r="O47" s="409"/>
      <c r="P47" s="249"/>
      <c r="Q47" s="249"/>
      <c r="R47" s="249"/>
      <c r="S47" s="249"/>
      <c r="T47" s="404"/>
      <c r="U47" s="249"/>
      <c r="V47" s="249"/>
      <c r="W47" s="251"/>
      <c r="X47" s="249"/>
      <c r="Y47" s="404"/>
      <c r="Z47" s="249"/>
      <c r="AA47" s="249"/>
      <c r="AB47" s="249"/>
      <c r="AC47" s="249"/>
      <c r="AD47" s="404"/>
      <c r="AE47" s="249"/>
      <c r="AF47" s="249"/>
      <c r="AG47" s="249"/>
      <c r="AH47" s="249"/>
      <c r="AI47" s="404"/>
      <c r="AJ47" s="249"/>
      <c r="AK47" s="249"/>
      <c r="AL47" s="249"/>
      <c r="AM47" s="249"/>
      <c r="AN47" s="404"/>
      <c r="AO47" s="249"/>
      <c r="AP47" s="249"/>
      <c r="AQ47" s="249"/>
      <c r="AR47" s="249"/>
      <c r="AS47" s="404"/>
      <c r="AT47" s="249"/>
      <c r="AU47" s="249"/>
      <c r="AV47" s="251"/>
      <c r="AW47" s="249"/>
      <c r="AX47" s="404"/>
    </row>
    <row r="48" spans="2:50" ht="15.75">
      <c r="B48" s="424" t="s">
        <v>93</v>
      </c>
      <c r="C48" s="425"/>
      <c r="D48" s="425"/>
      <c r="E48" s="425"/>
      <c r="F48" s="425"/>
      <c r="G48" s="425"/>
      <c r="H48" s="425"/>
      <c r="I48" s="254"/>
      <c r="J48" s="243"/>
      <c r="K48" s="254"/>
      <c r="L48" s="254"/>
      <c r="M48" s="244"/>
      <c r="N48" s="418" t="s">
        <v>94</v>
      </c>
      <c r="O48" s="418" t="s">
        <v>45</v>
      </c>
      <c r="P48" s="413">
        <v>45944</v>
      </c>
      <c r="Q48" s="405"/>
      <c r="R48" s="405"/>
      <c r="S48" s="405"/>
      <c r="T48" s="405"/>
      <c r="U48" s="413">
        <v>45945</v>
      </c>
      <c r="V48" s="405"/>
      <c r="W48" s="405"/>
      <c r="X48" s="405"/>
      <c r="Y48" s="405"/>
      <c r="Z48" s="413">
        <v>45946</v>
      </c>
      <c r="AA48" s="405"/>
      <c r="AB48" s="405"/>
      <c r="AC48" s="405"/>
      <c r="AD48" s="405"/>
      <c r="AE48" s="413">
        <v>45947</v>
      </c>
      <c r="AF48" s="405"/>
      <c r="AG48" s="405"/>
      <c r="AH48" s="405"/>
      <c r="AI48" s="405"/>
      <c r="AJ48" s="413">
        <v>45948</v>
      </c>
      <c r="AK48" s="405"/>
      <c r="AL48" s="405"/>
      <c r="AM48" s="405"/>
      <c r="AN48" s="405"/>
      <c r="AO48" s="413">
        <v>45949</v>
      </c>
      <c r="AP48" s="405"/>
      <c r="AQ48" s="405"/>
      <c r="AR48" s="405"/>
      <c r="AS48" s="405"/>
      <c r="AT48" s="413">
        <v>45950</v>
      </c>
      <c r="AU48" s="405"/>
      <c r="AV48" s="405"/>
      <c r="AW48" s="405"/>
      <c r="AX48" s="405"/>
    </row>
    <row r="49" spans="2:50" ht="15.75">
      <c r="B49" s="423"/>
      <c r="C49" s="423"/>
      <c r="D49" s="423"/>
      <c r="E49" s="423"/>
      <c r="F49" s="423"/>
      <c r="G49" s="423"/>
      <c r="H49" s="423"/>
      <c r="I49" s="245"/>
      <c r="J49" s="245"/>
      <c r="K49" s="245"/>
      <c r="L49" s="245"/>
      <c r="M49" s="246"/>
      <c r="N49" s="420"/>
      <c r="O49" s="420"/>
      <c r="P49" s="413" t="s">
        <v>77</v>
      </c>
      <c r="Q49" s="405"/>
      <c r="R49" s="405"/>
      <c r="S49" s="405"/>
      <c r="T49" s="405"/>
      <c r="U49" s="413" t="s">
        <v>72</v>
      </c>
      <c r="V49" s="405"/>
      <c r="W49" s="405"/>
      <c r="X49" s="405"/>
      <c r="Y49" s="405"/>
      <c r="Z49" s="413" t="s">
        <v>73</v>
      </c>
      <c r="AA49" s="405"/>
      <c r="AB49" s="405"/>
      <c r="AC49" s="405"/>
      <c r="AD49" s="405"/>
      <c r="AE49" s="413" t="s">
        <v>74</v>
      </c>
      <c r="AF49" s="405"/>
      <c r="AG49" s="405"/>
      <c r="AH49" s="405"/>
      <c r="AI49" s="405"/>
      <c r="AJ49" s="413" t="s">
        <v>75</v>
      </c>
      <c r="AK49" s="405"/>
      <c r="AL49" s="405"/>
      <c r="AM49" s="405"/>
      <c r="AN49" s="405"/>
      <c r="AO49" s="413" t="s">
        <v>52</v>
      </c>
      <c r="AP49" s="405"/>
      <c r="AQ49" s="405"/>
      <c r="AR49" s="405"/>
      <c r="AS49" s="405"/>
      <c r="AT49" s="413" t="s">
        <v>76</v>
      </c>
      <c r="AU49" s="405"/>
      <c r="AV49" s="405"/>
      <c r="AW49" s="405"/>
      <c r="AX49" s="405"/>
    </row>
    <row r="50" spans="2:50">
      <c r="B50" s="409" t="s">
        <v>95</v>
      </c>
      <c r="C50" s="409" t="s">
        <v>96</v>
      </c>
      <c r="D50" s="409"/>
      <c r="E50" s="409" t="s">
        <v>97</v>
      </c>
      <c r="F50" s="409"/>
      <c r="G50" s="409"/>
      <c r="H50" s="415" t="s">
        <v>98</v>
      </c>
      <c r="I50" s="409" t="s">
        <v>99</v>
      </c>
      <c r="J50" s="409"/>
      <c r="K50" s="409"/>
      <c r="L50" s="415" t="s">
        <v>98</v>
      </c>
      <c r="M50" s="418" t="s">
        <v>100</v>
      </c>
      <c r="N50" s="409"/>
      <c r="O50" s="409" t="s">
        <v>101</v>
      </c>
      <c r="P50" s="410" t="s">
        <v>102</v>
      </c>
      <c r="Q50" s="411"/>
      <c r="R50" s="411"/>
      <c r="S50" s="412"/>
      <c r="T50" s="409" t="s">
        <v>98</v>
      </c>
      <c r="U50" s="410" t="s">
        <v>102</v>
      </c>
      <c r="V50" s="411"/>
      <c r="W50" s="411"/>
      <c r="X50" s="412"/>
      <c r="Y50" s="409" t="s">
        <v>98</v>
      </c>
      <c r="Z50" s="410" t="s">
        <v>102</v>
      </c>
      <c r="AA50" s="411"/>
      <c r="AB50" s="411"/>
      <c r="AC50" s="412"/>
      <c r="AD50" s="409" t="s">
        <v>98</v>
      </c>
      <c r="AE50" s="410" t="s">
        <v>102</v>
      </c>
      <c r="AF50" s="411"/>
      <c r="AG50" s="411"/>
      <c r="AH50" s="412"/>
      <c r="AI50" s="409" t="s">
        <v>98</v>
      </c>
      <c r="AJ50" s="410" t="s">
        <v>102</v>
      </c>
      <c r="AK50" s="411"/>
      <c r="AL50" s="411"/>
      <c r="AM50" s="412"/>
      <c r="AN50" s="409" t="s">
        <v>98</v>
      </c>
      <c r="AO50" s="410" t="s">
        <v>102</v>
      </c>
      <c r="AP50" s="411"/>
      <c r="AQ50" s="411"/>
      <c r="AR50" s="412"/>
      <c r="AS50" s="409" t="s">
        <v>98</v>
      </c>
      <c r="AT50" s="410" t="s">
        <v>102</v>
      </c>
      <c r="AU50" s="411"/>
      <c r="AV50" s="411"/>
      <c r="AW50" s="412"/>
      <c r="AX50" s="409" t="s">
        <v>98</v>
      </c>
    </row>
    <row r="51" spans="2:50">
      <c r="B51" s="409"/>
      <c r="C51" s="409"/>
      <c r="D51" s="409"/>
      <c r="E51" s="409" t="s">
        <v>103</v>
      </c>
      <c r="F51" s="409"/>
      <c r="G51" s="409"/>
      <c r="H51" s="416"/>
      <c r="I51" s="409" t="s">
        <v>103</v>
      </c>
      <c r="J51" s="409"/>
      <c r="K51" s="409"/>
      <c r="L51" s="416"/>
      <c r="M51" s="419"/>
      <c r="N51" s="409"/>
      <c r="O51" s="409"/>
      <c r="P51" s="410" t="s">
        <v>104</v>
      </c>
      <c r="Q51" s="411"/>
      <c r="R51" s="411"/>
      <c r="S51" s="412"/>
      <c r="T51" s="409"/>
      <c r="U51" s="410" t="s">
        <v>104</v>
      </c>
      <c r="V51" s="411"/>
      <c r="W51" s="411"/>
      <c r="X51" s="412"/>
      <c r="Y51" s="409"/>
      <c r="Z51" s="410" t="s">
        <v>104</v>
      </c>
      <c r="AA51" s="411"/>
      <c r="AB51" s="411"/>
      <c r="AC51" s="412"/>
      <c r="AD51" s="409"/>
      <c r="AE51" s="410" t="s">
        <v>104</v>
      </c>
      <c r="AF51" s="411"/>
      <c r="AG51" s="411"/>
      <c r="AH51" s="412"/>
      <c r="AI51" s="409"/>
      <c r="AJ51" s="410" t="s">
        <v>104</v>
      </c>
      <c r="AK51" s="411"/>
      <c r="AL51" s="411"/>
      <c r="AM51" s="412"/>
      <c r="AN51" s="409"/>
      <c r="AO51" s="410" t="s">
        <v>104</v>
      </c>
      <c r="AP51" s="411"/>
      <c r="AQ51" s="411"/>
      <c r="AR51" s="412"/>
      <c r="AS51" s="409"/>
      <c r="AT51" s="410" t="s">
        <v>104</v>
      </c>
      <c r="AU51" s="411"/>
      <c r="AV51" s="411"/>
      <c r="AW51" s="412"/>
      <c r="AX51" s="409"/>
    </row>
    <row r="52" spans="2:50">
      <c r="B52" s="409"/>
      <c r="C52" s="409"/>
      <c r="D52" s="409"/>
      <c r="E52" s="248" t="s">
        <v>105</v>
      </c>
      <c r="F52" s="248" t="s">
        <v>106</v>
      </c>
      <c r="G52" s="248" t="s">
        <v>107</v>
      </c>
      <c r="H52" s="417"/>
      <c r="I52" s="248" t="s">
        <v>105</v>
      </c>
      <c r="J52" s="248" t="s">
        <v>106</v>
      </c>
      <c r="K52" s="248" t="s">
        <v>107</v>
      </c>
      <c r="L52" s="417"/>
      <c r="M52" s="420"/>
      <c r="N52" s="409"/>
      <c r="O52" s="409"/>
      <c r="P52" s="248" t="s">
        <v>105</v>
      </c>
      <c r="Q52" s="248" t="s">
        <v>106</v>
      </c>
      <c r="R52" s="248" t="s">
        <v>107</v>
      </c>
      <c r="S52" s="248" t="s">
        <v>100</v>
      </c>
      <c r="T52" s="409"/>
      <c r="U52" s="248" t="s">
        <v>105</v>
      </c>
      <c r="V52" s="248" t="s">
        <v>106</v>
      </c>
      <c r="W52" s="248" t="s">
        <v>107</v>
      </c>
      <c r="X52" s="248" t="s">
        <v>100</v>
      </c>
      <c r="Y52" s="409"/>
      <c r="Z52" s="248" t="s">
        <v>105</v>
      </c>
      <c r="AA52" s="248" t="s">
        <v>106</v>
      </c>
      <c r="AB52" s="248" t="s">
        <v>107</v>
      </c>
      <c r="AC52" s="248" t="s">
        <v>100</v>
      </c>
      <c r="AD52" s="409"/>
      <c r="AE52" s="248" t="s">
        <v>105</v>
      </c>
      <c r="AF52" s="248" t="s">
        <v>106</v>
      </c>
      <c r="AG52" s="248" t="s">
        <v>107</v>
      </c>
      <c r="AH52" s="248" t="s">
        <v>100</v>
      </c>
      <c r="AI52" s="409"/>
      <c r="AJ52" s="248" t="s">
        <v>105</v>
      </c>
      <c r="AK52" s="248" t="s">
        <v>106</v>
      </c>
      <c r="AL52" s="248" t="s">
        <v>107</v>
      </c>
      <c r="AM52" s="248" t="s">
        <v>100</v>
      </c>
      <c r="AN52" s="409"/>
      <c r="AO52" s="248" t="s">
        <v>105</v>
      </c>
      <c r="AP52" s="248" t="s">
        <v>106</v>
      </c>
      <c r="AQ52" s="248" t="s">
        <v>107</v>
      </c>
      <c r="AR52" s="248" t="s">
        <v>100</v>
      </c>
      <c r="AS52" s="409"/>
      <c r="AT52" s="248" t="s">
        <v>105</v>
      </c>
      <c r="AU52" s="248" t="s">
        <v>106</v>
      </c>
      <c r="AV52" s="248" t="s">
        <v>107</v>
      </c>
      <c r="AW52" s="248" t="s">
        <v>100</v>
      </c>
      <c r="AX52" s="409"/>
    </row>
    <row r="53" spans="2:50" ht="13.5">
      <c r="B53" s="405" t="s">
        <v>108</v>
      </c>
      <c r="C53" s="249">
        <v>1</v>
      </c>
      <c r="D53" s="253" t="s">
        <v>109</v>
      </c>
      <c r="E53" s="250" t="e">
        <f>VLOOKUP(D53,#REF!,2,0)</f>
        <v>#REF!</v>
      </c>
      <c r="F53" s="250" t="e">
        <f>VLOOKUP(D53,#REF!,3,0)</f>
        <v>#REF!</v>
      </c>
      <c r="G53" s="251" t="e">
        <f>F53/E53</f>
        <v>#REF!</v>
      </c>
      <c r="H53" s="406" t="e">
        <f>AVERAGE(G53:G67)</f>
        <v>#REF!</v>
      </c>
      <c r="I53" s="250">
        <f>AVERAGE(P53,U53,Z53,AE53,AJ53,AO53,AT53)</f>
        <v>12</v>
      </c>
      <c r="J53" s="250">
        <f>AVERAGE(Q53,V53,AA53,AF53,AK53,AP53,AU53)</f>
        <v>1883.2857142857142</v>
      </c>
      <c r="K53" s="251">
        <f>AVERAGE(R53,W53,AB53,AG53,AL53,AQ53,AV53)</f>
        <v>156.94047619047618</v>
      </c>
      <c r="L53" s="406">
        <f>IFERROR(AVERAGE(K53:K67),"-")</f>
        <v>102.61640581941279</v>
      </c>
      <c r="M53" s="250">
        <f>RANK(K53, K$53:$K$67)</f>
        <v>1</v>
      </c>
      <c r="N53" s="409"/>
      <c r="O53" s="409"/>
      <c r="P53" s="250">
        <v>12</v>
      </c>
      <c r="Q53" s="250">
        <v>1979</v>
      </c>
      <c r="R53" s="251">
        <f>Q53/P53</f>
        <v>164.91666666666666</v>
      </c>
      <c r="S53" s="249">
        <f>RANK(R53, $R$53:$R$67)</f>
        <v>1</v>
      </c>
      <c r="T53" s="404">
        <f>AVERAGE(R53:R67)</f>
        <v>99.705252904130617</v>
      </c>
      <c r="U53" s="250">
        <v>12</v>
      </c>
      <c r="V53" s="250">
        <v>1937</v>
      </c>
      <c r="W53" s="251">
        <f>V53/U53</f>
        <v>161.41666666666666</v>
      </c>
      <c r="X53" s="249">
        <f>RANK(W53,$W$53:$W$67)</f>
        <v>1</v>
      </c>
      <c r="Y53" s="404">
        <f>AVERAGE(W53:W67)</f>
        <v>94.69636241338641</v>
      </c>
      <c r="Z53" s="250">
        <v>12</v>
      </c>
      <c r="AA53" s="250">
        <v>1771</v>
      </c>
      <c r="AB53" s="251">
        <f>AA53/Z53</f>
        <v>147.58333333333334</v>
      </c>
      <c r="AC53" s="249">
        <f>RANK(AB53, $AB$53:$AB$67)</f>
        <v>1</v>
      </c>
      <c r="AD53" s="404">
        <f>AVERAGE(AB53:AB67)</f>
        <v>98.539462041226756</v>
      </c>
      <c r="AE53" s="250">
        <v>12</v>
      </c>
      <c r="AF53" s="250">
        <v>1883</v>
      </c>
      <c r="AG53" s="251">
        <f>AF53/AE53</f>
        <v>156.91666666666666</v>
      </c>
      <c r="AH53" s="249">
        <f>RANK(AG53, $AG$53:$AG$67)</f>
        <v>1</v>
      </c>
      <c r="AI53" s="404">
        <f>AVERAGE(AG53:AG67)</f>
        <v>105.39585667600372</v>
      </c>
      <c r="AJ53" s="250">
        <v>12</v>
      </c>
      <c r="AK53" s="250">
        <v>1847</v>
      </c>
      <c r="AL53" s="251">
        <f>AK53/AJ53</f>
        <v>153.91666666666666</v>
      </c>
      <c r="AM53" s="249">
        <f>RANK(AL53,$AL$53:$AL$67)</f>
        <v>1</v>
      </c>
      <c r="AN53" s="404">
        <f>AVERAGE(AL53:AL67)</f>
        <v>103.56363517201753</v>
      </c>
      <c r="AO53" s="250">
        <v>12</v>
      </c>
      <c r="AP53" s="250">
        <v>1855</v>
      </c>
      <c r="AQ53" s="251">
        <f>AP53/AO53</f>
        <v>154.58333333333334</v>
      </c>
      <c r="AR53" s="249">
        <f>RANK(AQ53,$AQ$53:$AQ$67)</f>
        <v>1</v>
      </c>
      <c r="AS53" s="404">
        <f>AVERAGE(AQ53:AQ67)</f>
        <v>108.64273594053006</v>
      </c>
      <c r="AT53" s="250">
        <v>12</v>
      </c>
      <c r="AU53" s="250">
        <v>1911</v>
      </c>
      <c r="AV53" s="251">
        <f>AU53/AT53</f>
        <v>159.25</v>
      </c>
      <c r="AW53" s="249">
        <f>RANK(AV53,$AV$53:$AV$67)</f>
        <v>1</v>
      </c>
      <c r="AX53" s="404">
        <f>AVERAGE(AV53:AV67)</f>
        <v>107.7715355885944</v>
      </c>
    </row>
    <row r="54" spans="2:50">
      <c r="B54" s="405"/>
      <c r="C54" s="249">
        <v>2</v>
      </c>
      <c r="D54" s="249" t="s">
        <v>110</v>
      </c>
      <c r="E54" s="250" t="e">
        <f>VLOOKUP(D54,#REF!,2,0)</f>
        <v>#REF!</v>
      </c>
      <c r="F54" s="250" t="e">
        <f>VLOOKUP(D54,#REF!,3,0)</f>
        <v>#REF!</v>
      </c>
      <c r="G54" s="251" t="e">
        <f t="shared" ref="G54:G62" si="33">F54/E54</f>
        <v>#REF!</v>
      </c>
      <c r="H54" s="407"/>
      <c r="I54" s="250">
        <f t="shared" ref="I54:K62" si="34">AVERAGE(P54,U54,Z54,AE54,AJ54,AO54,AT54)</f>
        <v>13.142857142857142</v>
      </c>
      <c r="J54" s="250">
        <f t="shared" si="34"/>
        <v>1846.7142857142858</v>
      </c>
      <c r="K54" s="251">
        <f t="shared" si="34"/>
        <v>140.53689167974883</v>
      </c>
      <c r="L54" s="407"/>
      <c r="M54" s="250">
        <f>RANK(K54, K$53:$K$67)</f>
        <v>2</v>
      </c>
      <c r="N54" s="409"/>
      <c r="O54" s="409"/>
      <c r="P54" s="250">
        <v>13</v>
      </c>
      <c r="Q54" s="250">
        <v>1955</v>
      </c>
      <c r="R54" s="251">
        <f t="shared" ref="R54:R62" si="35">Q54/P54</f>
        <v>150.38461538461539</v>
      </c>
      <c r="S54" s="249">
        <f t="shared" ref="S54:S62" si="36">RANK(R54, $R$53:$R$67)</f>
        <v>2</v>
      </c>
      <c r="T54" s="404"/>
      <c r="U54" s="250">
        <v>14</v>
      </c>
      <c r="V54" s="250">
        <v>1934</v>
      </c>
      <c r="W54" s="251">
        <f t="shared" ref="W54:W62" si="37">V54/U54</f>
        <v>138.14285714285714</v>
      </c>
      <c r="X54" s="249">
        <f t="shared" ref="X54:X62" si="38">RANK(W54,$W$53:$W$67)</f>
        <v>2</v>
      </c>
      <c r="Y54" s="404"/>
      <c r="Z54" s="250">
        <v>13</v>
      </c>
      <c r="AA54" s="250">
        <v>1590</v>
      </c>
      <c r="AB54" s="251">
        <f t="shared" ref="AB54:AB62" si="39">AA54/Z54</f>
        <v>122.30769230769231</v>
      </c>
      <c r="AC54" s="249">
        <f t="shared" ref="AC54:AC62" si="40">RANK(AB54, $AB$53:$AB$67)</f>
        <v>4</v>
      </c>
      <c r="AD54" s="404"/>
      <c r="AE54" s="250">
        <v>13</v>
      </c>
      <c r="AF54" s="250">
        <v>1931</v>
      </c>
      <c r="AG54" s="251">
        <f t="shared" ref="AG54:AG62" si="41">AF54/AE54</f>
        <v>148.53846153846155</v>
      </c>
      <c r="AH54" s="249">
        <f t="shared" ref="AH54:AH62" si="42">RANK(AG54, $AG$53:$AG$67)</f>
        <v>2</v>
      </c>
      <c r="AI54" s="404"/>
      <c r="AJ54" s="250">
        <v>13</v>
      </c>
      <c r="AK54" s="250">
        <v>1749</v>
      </c>
      <c r="AL54" s="251">
        <f t="shared" ref="AL54:AL62" si="43">AK54/AJ54</f>
        <v>134.53846153846155</v>
      </c>
      <c r="AM54" s="249">
        <f t="shared" ref="AM54:AM62" si="44">RANK(AL54,$AL$53:$AL$67)</f>
        <v>3</v>
      </c>
      <c r="AN54" s="404"/>
      <c r="AO54" s="250">
        <v>13</v>
      </c>
      <c r="AP54" s="250">
        <v>1851</v>
      </c>
      <c r="AQ54" s="251">
        <f t="shared" ref="AQ54:AQ62" si="45">AP54/AO54</f>
        <v>142.38461538461539</v>
      </c>
      <c r="AR54" s="249">
        <f t="shared" ref="AR54:AR62" si="46">RANK(AQ54,$AQ$53:$AQ$67)</f>
        <v>3</v>
      </c>
      <c r="AS54" s="404"/>
      <c r="AT54" s="250">
        <v>13</v>
      </c>
      <c r="AU54" s="250">
        <v>1917</v>
      </c>
      <c r="AV54" s="251">
        <f t="shared" ref="AV54:AV62" si="47">AU54/AT54</f>
        <v>147.46153846153845</v>
      </c>
      <c r="AW54" s="249">
        <f t="shared" ref="AW54:AW62" si="48">RANK(AV54,$AV$53:$AV$67)</f>
        <v>2</v>
      </c>
      <c r="AX54" s="404"/>
    </row>
    <row r="55" spans="2:50">
      <c r="B55" s="405"/>
      <c r="C55" s="249">
        <v>3</v>
      </c>
      <c r="D55" s="249" t="s">
        <v>123</v>
      </c>
      <c r="E55" s="250" t="e">
        <f>VLOOKUP(D55,#REF!,2,0)</f>
        <v>#REF!</v>
      </c>
      <c r="F55" s="250" t="e">
        <f>VLOOKUP(D55,#REF!,3,0)</f>
        <v>#REF!</v>
      </c>
      <c r="G55" s="251" t="e">
        <f t="shared" si="33"/>
        <v>#REF!</v>
      </c>
      <c r="H55" s="407"/>
      <c r="I55" s="250">
        <f t="shared" si="34"/>
        <v>15.571428571428571</v>
      </c>
      <c r="J55" s="250">
        <f t="shared" si="34"/>
        <v>1683.7142857142858</v>
      </c>
      <c r="K55" s="251">
        <f t="shared" si="34"/>
        <v>108.40178571428571</v>
      </c>
      <c r="L55" s="407"/>
      <c r="M55" s="250">
        <f>RANK(K55, K$53:$K$67)</f>
        <v>5</v>
      </c>
      <c r="N55" s="409"/>
      <c r="O55" s="409"/>
      <c r="P55" s="250">
        <v>15</v>
      </c>
      <c r="Q55" s="250">
        <v>1817</v>
      </c>
      <c r="R55" s="251">
        <f>Q55/P55</f>
        <v>121.13333333333334</v>
      </c>
      <c r="S55" s="249">
        <f>RANK(R55, $R$53:$R$67)</f>
        <v>3</v>
      </c>
      <c r="T55" s="404"/>
      <c r="U55" s="250">
        <v>15</v>
      </c>
      <c r="V55" s="250">
        <v>1641</v>
      </c>
      <c r="W55" s="251">
        <f t="shared" si="37"/>
        <v>109.4</v>
      </c>
      <c r="X55" s="249">
        <f t="shared" si="38"/>
        <v>3</v>
      </c>
      <c r="Y55" s="404"/>
      <c r="Z55" s="250">
        <v>15</v>
      </c>
      <c r="AA55" s="250">
        <v>1867</v>
      </c>
      <c r="AB55" s="251">
        <f t="shared" si="39"/>
        <v>124.46666666666667</v>
      </c>
      <c r="AC55" s="249">
        <f t="shared" si="40"/>
        <v>3</v>
      </c>
      <c r="AD55" s="404"/>
      <c r="AE55" s="250">
        <v>16</v>
      </c>
      <c r="AF55" s="250">
        <v>1566</v>
      </c>
      <c r="AG55" s="251">
        <f t="shared" si="41"/>
        <v>97.875</v>
      </c>
      <c r="AH55" s="249">
        <f t="shared" si="42"/>
        <v>5</v>
      </c>
      <c r="AI55" s="404"/>
      <c r="AJ55" s="250">
        <v>16</v>
      </c>
      <c r="AK55" s="250">
        <v>1565</v>
      </c>
      <c r="AL55" s="251">
        <f t="shared" si="43"/>
        <v>97.8125</v>
      </c>
      <c r="AM55" s="249">
        <f t="shared" si="44"/>
        <v>5</v>
      </c>
      <c r="AN55" s="404"/>
      <c r="AO55" s="250">
        <v>16</v>
      </c>
      <c r="AP55" s="250">
        <v>1602</v>
      </c>
      <c r="AQ55" s="251">
        <f t="shared" si="45"/>
        <v>100.125</v>
      </c>
      <c r="AR55" s="249">
        <f t="shared" si="46"/>
        <v>5</v>
      </c>
      <c r="AS55" s="404"/>
      <c r="AT55" s="250">
        <v>16</v>
      </c>
      <c r="AU55" s="250">
        <v>1728</v>
      </c>
      <c r="AV55" s="251">
        <f t="shared" si="47"/>
        <v>108</v>
      </c>
      <c r="AW55" s="249">
        <f t="shared" si="48"/>
        <v>4</v>
      </c>
      <c r="AX55" s="404"/>
    </row>
    <row r="56" spans="2:50">
      <c r="B56" s="405"/>
      <c r="C56" s="249">
        <v>4</v>
      </c>
      <c r="D56" s="249" t="s">
        <v>112</v>
      </c>
      <c r="E56" s="250" t="e">
        <f>VLOOKUP(D56,#REF!,2,0)</f>
        <v>#REF!</v>
      </c>
      <c r="F56" s="250" t="e">
        <f>VLOOKUP(D56,#REF!,3,0)</f>
        <v>#REF!</v>
      </c>
      <c r="G56" s="251" t="e">
        <f t="shared" si="33"/>
        <v>#REF!</v>
      </c>
      <c r="H56" s="407"/>
      <c r="I56" s="250">
        <f t="shared" si="34"/>
        <v>18</v>
      </c>
      <c r="J56" s="250">
        <f t="shared" si="34"/>
        <v>1516.8571428571429</v>
      </c>
      <c r="K56" s="251">
        <f t="shared" si="34"/>
        <v>84.26984126984128</v>
      </c>
      <c r="L56" s="407"/>
      <c r="M56" s="250">
        <f>RANK(K56, K$53:$K$67)</f>
        <v>6</v>
      </c>
      <c r="N56" s="409"/>
      <c r="O56" s="409"/>
      <c r="P56" s="250">
        <v>18</v>
      </c>
      <c r="Q56" s="250">
        <v>1544</v>
      </c>
      <c r="R56" s="251">
        <f t="shared" si="35"/>
        <v>85.777777777777771</v>
      </c>
      <c r="S56" s="249">
        <f t="shared" si="36"/>
        <v>5</v>
      </c>
      <c r="T56" s="404"/>
      <c r="U56" s="250">
        <v>18</v>
      </c>
      <c r="V56" s="250">
        <v>1560</v>
      </c>
      <c r="W56" s="251">
        <f t="shared" si="37"/>
        <v>86.666666666666671</v>
      </c>
      <c r="X56" s="249">
        <f t="shared" si="38"/>
        <v>5</v>
      </c>
      <c r="Y56" s="404"/>
      <c r="Z56" s="250">
        <v>18</v>
      </c>
      <c r="AA56" s="250">
        <v>1555</v>
      </c>
      <c r="AB56" s="251">
        <f t="shared" si="39"/>
        <v>86.388888888888886</v>
      </c>
      <c r="AC56" s="249">
        <f t="shared" si="40"/>
        <v>5</v>
      </c>
      <c r="AD56" s="404"/>
      <c r="AE56" s="250">
        <v>18</v>
      </c>
      <c r="AF56" s="250">
        <v>1522</v>
      </c>
      <c r="AG56" s="251">
        <f t="shared" si="41"/>
        <v>84.555555555555557</v>
      </c>
      <c r="AH56" s="249">
        <f t="shared" si="42"/>
        <v>6</v>
      </c>
      <c r="AI56" s="404"/>
      <c r="AJ56" s="250">
        <v>18</v>
      </c>
      <c r="AK56" s="250">
        <v>1387</v>
      </c>
      <c r="AL56" s="251">
        <f t="shared" si="43"/>
        <v>77.055555555555557</v>
      </c>
      <c r="AM56" s="249">
        <f t="shared" si="44"/>
        <v>8</v>
      </c>
      <c r="AN56" s="404"/>
      <c r="AO56" s="250">
        <v>18</v>
      </c>
      <c r="AP56" s="250">
        <v>1488</v>
      </c>
      <c r="AQ56" s="251">
        <f t="shared" si="45"/>
        <v>82.666666666666671</v>
      </c>
      <c r="AR56" s="249">
        <f t="shared" si="46"/>
        <v>8</v>
      </c>
      <c r="AS56" s="404"/>
      <c r="AT56" s="250">
        <v>18</v>
      </c>
      <c r="AU56" s="250">
        <v>1562</v>
      </c>
      <c r="AV56" s="251">
        <f t="shared" si="47"/>
        <v>86.777777777777771</v>
      </c>
      <c r="AW56" s="249">
        <f t="shared" si="48"/>
        <v>7</v>
      </c>
      <c r="AX56" s="404"/>
    </row>
    <row r="57" spans="2:50">
      <c r="B57" s="405"/>
      <c r="C57" s="249">
        <v>5</v>
      </c>
      <c r="D57" s="249" t="s">
        <v>113</v>
      </c>
      <c r="E57" s="250" t="e">
        <f>VLOOKUP(D57,#REF!,2,0)</f>
        <v>#REF!</v>
      </c>
      <c r="F57" s="250" t="e">
        <f>VLOOKUP(D57,#REF!,3,0)</f>
        <v>#REF!</v>
      </c>
      <c r="G57" s="251" t="e">
        <f t="shared" si="33"/>
        <v>#REF!</v>
      </c>
      <c r="H57" s="407"/>
      <c r="I57" s="250">
        <f t="shared" si="34"/>
        <v>13.857142857142858</v>
      </c>
      <c r="J57" s="250">
        <f t="shared" si="34"/>
        <v>1597.5714285714287</v>
      </c>
      <c r="K57" s="251">
        <f t="shared" si="34"/>
        <v>117.38118785975929</v>
      </c>
      <c r="L57" s="407"/>
      <c r="M57" s="250">
        <f>RANK(K57, K$53:$K$67)</f>
        <v>3</v>
      </c>
      <c r="N57" s="409"/>
      <c r="O57" s="409"/>
      <c r="P57" s="250">
        <v>16</v>
      </c>
      <c r="Q57" s="250">
        <v>1308</v>
      </c>
      <c r="R57" s="251">
        <f t="shared" si="35"/>
        <v>81.75</v>
      </c>
      <c r="S57" s="249">
        <f t="shared" si="36"/>
        <v>6</v>
      </c>
      <c r="T57" s="404"/>
      <c r="U57" s="250">
        <v>14</v>
      </c>
      <c r="V57" s="250">
        <v>1231</v>
      </c>
      <c r="W57" s="251">
        <f t="shared" si="37"/>
        <v>87.928571428571431</v>
      </c>
      <c r="X57" s="249">
        <f t="shared" si="38"/>
        <v>4</v>
      </c>
      <c r="Y57" s="404"/>
      <c r="Z57" s="250">
        <v>15</v>
      </c>
      <c r="AA57" s="250">
        <v>1261</v>
      </c>
      <c r="AB57" s="251">
        <f t="shared" si="39"/>
        <v>84.066666666666663</v>
      </c>
      <c r="AC57" s="249">
        <f t="shared" si="40"/>
        <v>6</v>
      </c>
      <c r="AD57" s="404"/>
      <c r="AE57" s="250">
        <v>13</v>
      </c>
      <c r="AF57" s="250">
        <v>1865</v>
      </c>
      <c r="AG57" s="251">
        <f t="shared" si="41"/>
        <v>143.46153846153845</v>
      </c>
      <c r="AH57" s="249">
        <f t="shared" si="42"/>
        <v>3</v>
      </c>
      <c r="AI57" s="404"/>
      <c r="AJ57" s="250">
        <v>13</v>
      </c>
      <c r="AK57" s="250">
        <v>1780</v>
      </c>
      <c r="AL57" s="251">
        <f t="shared" si="43"/>
        <v>136.92307692307693</v>
      </c>
      <c r="AM57" s="249">
        <f t="shared" si="44"/>
        <v>2</v>
      </c>
      <c r="AN57" s="404"/>
      <c r="AO57" s="250">
        <v>13</v>
      </c>
      <c r="AP57" s="250">
        <v>1901</v>
      </c>
      <c r="AQ57" s="251">
        <f t="shared" si="45"/>
        <v>146.23076923076923</v>
      </c>
      <c r="AR57" s="249">
        <f t="shared" si="46"/>
        <v>2</v>
      </c>
      <c r="AS57" s="404"/>
      <c r="AT57" s="250">
        <v>13</v>
      </c>
      <c r="AU57" s="250">
        <v>1837</v>
      </c>
      <c r="AV57" s="251">
        <f t="shared" si="47"/>
        <v>141.30769230769232</v>
      </c>
      <c r="AW57" s="249">
        <f t="shared" si="48"/>
        <v>3</v>
      </c>
      <c r="AX57" s="404"/>
    </row>
    <row r="58" spans="2:50">
      <c r="B58" s="405"/>
      <c r="C58" s="249">
        <v>6</v>
      </c>
      <c r="D58" s="249" t="s">
        <v>114</v>
      </c>
      <c r="E58" s="250" t="e">
        <f>VLOOKUP(D58,#REF!,2,0)</f>
        <v>#REF!</v>
      </c>
      <c r="F58" s="250" t="e">
        <f>VLOOKUP(D58,#REF!,3,0)</f>
        <v>#REF!</v>
      </c>
      <c r="G58" s="251" t="e">
        <f t="shared" si="33"/>
        <v>#REF!</v>
      </c>
      <c r="H58" s="407"/>
      <c r="I58" s="250">
        <f t="shared" si="34"/>
        <v>14.714285714285714</v>
      </c>
      <c r="J58" s="250">
        <f t="shared" si="34"/>
        <v>1578.2857142857142</v>
      </c>
      <c r="K58" s="251">
        <f t="shared" si="34"/>
        <v>108.69882953181272</v>
      </c>
      <c r="L58" s="407"/>
      <c r="M58" s="250">
        <f>RANK(K58, K$53:$K$67)</f>
        <v>4</v>
      </c>
      <c r="N58" s="409"/>
      <c r="O58" s="409"/>
      <c r="P58" s="250">
        <v>16</v>
      </c>
      <c r="Q58" s="250">
        <v>1422</v>
      </c>
      <c r="R58" s="251">
        <f t="shared" si="35"/>
        <v>88.875</v>
      </c>
      <c r="S58" s="249">
        <f t="shared" si="36"/>
        <v>4</v>
      </c>
      <c r="T58" s="404"/>
      <c r="U58" s="250">
        <v>17</v>
      </c>
      <c r="V58" s="250">
        <v>1234</v>
      </c>
      <c r="W58" s="251">
        <f t="shared" si="37"/>
        <v>72.588235294117652</v>
      </c>
      <c r="X58" s="249">
        <f t="shared" si="38"/>
        <v>8</v>
      </c>
      <c r="Y58" s="404"/>
      <c r="Z58" s="250">
        <v>14</v>
      </c>
      <c r="AA58" s="250">
        <v>1806</v>
      </c>
      <c r="AB58" s="251">
        <f t="shared" si="39"/>
        <v>129</v>
      </c>
      <c r="AC58" s="249">
        <f t="shared" si="40"/>
        <v>2</v>
      </c>
      <c r="AD58" s="404"/>
      <c r="AE58" s="250">
        <v>14</v>
      </c>
      <c r="AF58" s="250">
        <v>1613</v>
      </c>
      <c r="AG58" s="251">
        <f t="shared" si="41"/>
        <v>115.21428571428571</v>
      </c>
      <c r="AH58" s="249">
        <f t="shared" si="42"/>
        <v>4</v>
      </c>
      <c r="AI58" s="404"/>
      <c r="AJ58" s="250">
        <v>14</v>
      </c>
      <c r="AK58" s="250">
        <v>1686</v>
      </c>
      <c r="AL58" s="251">
        <f t="shared" si="43"/>
        <v>120.42857142857143</v>
      </c>
      <c r="AM58" s="249">
        <f t="shared" si="44"/>
        <v>4</v>
      </c>
      <c r="AN58" s="404"/>
      <c r="AO58" s="250">
        <v>14</v>
      </c>
      <c r="AP58" s="250">
        <v>1815</v>
      </c>
      <c r="AQ58" s="251">
        <f t="shared" si="45"/>
        <v>129.64285714285714</v>
      </c>
      <c r="AR58" s="249">
        <f t="shared" si="46"/>
        <v>4</v>
      </c>
      <c r="AS58" s="404"/>
      <c r="AT58" s="250">
        <v>14</v>
      </c>
      <c r="AU58" s="250">
        <v>1472</v>
      </c>
      <c r="AV58" s="251">
        <f t="shared" si="47"/>
        <v>105.14285714285714</v>
      </c>
      <c r="AW58" s="249">
        <f t="shared" si="48"/>
        <v>5</v>
      </c>
      <c r="AX58" s="404"/>
    </row>
    <row r="59" spans="2:50">
      <c r="B59" s="405"/>
      <c r="C59" s="249">
        <v>7</v>
      </c>
      <c r="D59" s="249" t="s">
        <v>124</v>
      </c>
      <c r="E59" s="250" t="e">
        <f>VLOOKUP(D59,#REF!,2,0)</f>
        <v>#REF!</v>
      </c>
      <c r="F59" s="250" t="e">
        <f>VLOOKUP(D59,#REF!,3,0)</f>
        <v>#REF!</v>
      </c>
      <c r="G59" s="251" t="e">
        <f t="shared" si="33"/>
        <v>#REF!</v>
      </c>
      <c r="H59" s="407"/>
      <c r="I59" s="250">
        <f>AVERAGE(P59,U59,Z59,AE59,AJ59,AO59,AT59)</f>
        <v>16.714285714285715</v>
      </c>
      <c r="J59" s="250">
        <f>AVERAGE(Q59,V59,AA59,AF59,AK59,AP59,AU59)</f>
        <v>1173.2857142857142</v>
      </c>
      <c r="K59" s="251">
        <f>AVERAGE(R59,W59,AB59,AG59,AL59,AQ59,AV59)</f>
        <v>70.096638655462186</v>
      </c>
      <c r="L59" s="407"/>
      <c r="M59" s="250">
        <f>RANK(K59, K$53:$K$67)</f>
        <v>10</v>
      </c>
      <c r="N59" s="409"/>
      <c r="O59" s="409"/>
      <c r="P59" s="250">
        <v>17</v>
      </c>
      <c r="Q59" s="250">
        <v>1200</v>
      </c>
      <c r="R59" s="251">
        <f>Q59/P59</f>
        <v>70.588235294117652</v>
      </c>
      <c r="S59" s="249">
        <f>RANK(R59, $R$53:$R$67)</f>
        <v>10</v>
      </c>
      <c r="T59" s="404"/>
      <c r="U59" s="250">
        <v>16</v>
      </c>
      <c r="V59" s="250">
        <v>1003</v>
      </c>
      <c r="W59" s="251">
        <f>V59/U59</f>
        <v>62.6875</v>
      </c>
      <c r="X59" s="249">
        <f>RANK(W59,$W$53:$W$67)</f>
        <v>10</v>
      </c>
      <c r="Y59" s="404"/>
      <c r="Z59" s="250">
        <v>17</v>
      </c>
      <c r="AA59" s="250">
        <v>1235</v>
      </c>
      <c r="AB59" s="251">
        <f t="shared" si="39"/>
        <v>72.647058823529406</v>
      </c>
      <c r="AC59" s="249">
        <f t="shared" si="40"/>
        <v>9</v>
      </c>
      <c r="AD59" s="404"/>
      <c r="AE59" s="250">
        <v>17</v>
      </c>
      <c r="AF59" s="250">
        <v>1357</v>
      </c>
      <c r="AG59" s="251">
        <f>AF59/AE59</f>
        <v>79.82352941176471</v>
      </c>
      <c r="AH59" s="249">
        <f>RANK(AG59, $AG$53:$AG$67)</f>
        <v>8</v>
      </c>
      <c r="AI59" s="404"/>
      <c r="AJ59" s="250">
        <v>16</v>
      </c>
      <c r="AK59" s="250">
        <v>1053</v>
      </c>
      <c r="AL59" s="251">
        <f>AK59/AJ59</f>
        <v>65.8125</v>
      </c>
      <c r="AM59" s="249">
        <f>RANK(AL59,$AL$53:$AL$67)</f>
        <v>10</v>
      </c>
      <c r="AN59" s="404"/>
      <c r="AO59" s="250">
        <v>17</v>
      </c>
      <c r="AP59" s="250">
        <v>1191</v>
      </c>
      <c r="AQ59" s="251">
        <f t="shared" si="45"/>
        <v>70.058823529411768</v>
      </c>
      <c r="AR59" s="249">
        <f t="shared" si="46"/>
        <v>10</v>
      </c>
      <c r="AS59" s="404"/>
      <c r="AT59" s="250">
        <v>17</v>
      </c>
      <c r="AU59" s="250">
        <v>1174</v>
      </c>
      <c r="AV59" s="251">
        <f t="shared" si="47"/>
        <v>69.058823529411768</v>
      </c>
      <c r="AW59" s="249">
        <f t="shared" si="48"/>
        <v>10</v>
      </c>
      <c r="AX59" s="404"/>
    </row>
    <row r="60" spans="2:50">
      <c r="B60" s="405"/>
      <c r="C60" s="249">
        <v>8</v>
      </c>
      <c r="D60" s="249" t="s">
        <v>117</v>
      </c>
      <c r="E60" s="250" t="e">
        <f>VLOOKUP(D60,#REF!,2,0)</f>
        <v>#REF!</v>
      </c>
      <c r="F60" s="250" t="e">
        <f>VLOOKUP(D60,#REF!,3,0)</f>
        <v>#REF!</v>
      </c>
      <c r="G60" s="251" t="e">
        <f t="shared" si="33"/>
        <v>#REF!</v>
      </c>
      <c r="H60" s="407"/>
      <c r="I60" s="250">
        <f t="shared" si="34"/>
        <v>15.571428571428571</v>
      </c>
      <c r="J60" s="250">
        <f t="shared" si="34"/>
        <v>1201.8571428571429</v>
      </c>
      <c r="K60" s="251">
        <f t="shared" si="34"/>
        <v>77.811624649859937</v>
      </c>
      <c r="L60" s="407"/>
      <c r="M60" s="250">
        <f>RANK(K60, K$53:$K$67)</f>
        <v>9</v>
      </c>
      <c r="N60" s="409"/>
      <c r="O60" s="409"/>
      <c r="P60" s="250">
        <v>15</v>
      </c>
      <c r="Q60" s="250">
        <v>1123</v>
      </c>
      <c r="R60" s="251">
        <f t="shared" si="35"/>
        <v>74.86666666666666</v>
      </c>
      <c r="S60" s="249">
        <f t="shared" si="36"/>
        <v>9</v>
      </c>
      <c r="T60" s="404"/>
      <c r="U60" s="250">
        <v>17</v>
      </c>
      <c r="V60" s="250">
        <v>1186</v>
      </c>
      <c r="W60" s="251">
        <f t="shared" si="37"/>
        <v>69.764705882352942</v>
      </c>
      <c r="X60" s="249">
        <f t="shared" si="38"/>
        <v>9</v>
      </c>
      <c r="Y60" s="404"/>
      <c r="Z60" s="250">
        <v>16</v>
      </c>
      <c r="AA60" s="250">
        <v>1052</v>
      </c>
      <c r="AB60" s="251">
        <f t="shared" si="39"/>
        <v>65.75</v>
      </c>
      <c r="AC60" s="249">
        <f t="shared" si="40"/>
        <v>10</v>
      </c>
      <c r="AD60" s="404"/>
      <c r="AE60" s="250">
        <v>17</v>
      </c>
      <c r="AF60" s="250">
        <v>1139</v>
      </c>
      <c r="AG60" s="251">
        <f t="shared" si="41"/>
        <v>67</v>
      </c>
      <c r="AH60" s="249">
        <f t="shared" si="42"/>
        <v>10</v>
      </c>
      <c r="AI60" s="404"/>
      <c r="AJ60" s="250">
        <v>15</v>
      </c>
      <c r="AK60" s="250">
        <v>1280</v>
      </c>
      <c r="AL60" s="251">
        <f t="shared" si="43"/>
        <v>85.333333333333329</v>
      </c>
      <c r="AM60" s="249">
        <f t="shared" si="44"/>
        <v>7</v>
      </c>
      <c r="AN60" s="404"/>
      <c r="AO60" s="250">
        <v>14</v>
      </c>
      <c r="AP60" s="250">
        <v>1351</v>
      </c>
      <c r="AQ60" s="251">
        <f t="shared" si="45"/>
        <v>96.5</v>
      </c>
      <c r="AR60" s="249">
        <f t="shared" si="46"/>
        <v>6</v>
      </c>
      <c r="AS60" s="404"/>
      <c r="AT60" s="250">
        <v>15</v>
      </c>
      <c r="AU60" s="250">
        <v>1282</v>
      </c>
      <c r="AV60" s="251">
        <f t="shared" si="47"/>
        <v>85.466666666666669</v>
      </c>
      <c r="AW60" s="249">
        <f t="shared" si="48"/>
        <v>8</v>
      </c>
      <c r="AX60" s="404"/>
    </row>
    <row r="61" spans="2:50">
      <c r="B61" s="405"/>
      <c r="C61" s="249">
        <v>9</v>
      </c>
      <c r="D61" s="249" t="s">
        <v>118</v>
      </c>
      <c r="E61" s="250" t="e">
        <f>VLOOKUP(D61,#REF!,2,0)</f>
        <v>#REF!</v>
      </c>
      <c r="F61" s="250" t="e">
        <f>VLOOKUP(D61,#REF!,3,0)</f>
        <v>#REF!</v>
      </c>
      <c r="G61" s="251" t="e">
        <f t="shared" si="33"/>
        <v>#REF!</v>
      </c>
      <c r="H61" s="407"/>
      <c r="I61" s="250">
        <f t="shared" si="34"/>
        <v>16.285714285714285</v>
      </c>
      <c r="J61" s="250">
        <f t="shared" si="34"/>
        <v>1365.2857142857142</v>
      </c>
      <c r="K61" s="251">
        <f t="shared" si="34"/>
        <v>83.925887021475248</v>
      </c>
      <c r="L61" s="407"/>
      <c r="M61" s="250">
        <f>RANK(K61, K$53:$K$67)</f>
        <v>7</v>
      </c>
      <c r="N61" s="409"/>
      <c r="O61" s="409"/>
      <c r="P61" s="250">
        <v>18</v>
      </c>
      <c r="Q61" s="250">
        <v>1448</v>
      </c>
      <c r="R61" s="251">
        <f t="shared" si="35"/>
        <v>80.444444444444443</v>
      </c>
      <c r="S61" s="249">
        <f t="shared" si="36"/>
        <v>7</v>
      </c>
      <c r="T61" s="404"/>
      <c r="U61" s="250">
        <v>17</v>
      </c>
      <c r="V61" s="250">
        <v>1428</v>
      </c>
      <c r="W61" s="251">
        <f t="shared" si="37"/>
        <v>84</v>
      </c>
      <c r="X61" s="249">
        <f t="shared" si="38"/>
        <v>6</v>
      </c>
      <c r="Y61" s="404"/>
      <c r="Z61" s="250">
        <v>15</v>
      </c>
      <c r="AA61" s="250">
        <v>1156</v>
      </c>
      <c r="AB61" s="251">
        <f t="shared" si="39"/>
        <v>77.066666666666663</v>
      </c>
      <c r="AC61" s="249">
        <f t="shared" si="40"/>
        <v>7</v>
      </c>
      <c r="AD61" s="404"/>
      <c r="AE61" s="250">
        <v>16</v>
      </c>
      <c r="AF61" s="250">
        <v>1292</v>
      </c>
      <c r="AG61" s="251">
        <f t="shared" si="41"/>
        <v>80.75</v>
      </c>
      <c r="AH61" s="249">
        <f t="shared" si="42"/>
        <v>7</v>
      </c>
      <c r="AI61" s="404"/>
      <c r="AJ61" s="250">
        <v>15</v>
      </c>
      <c r="AK61" s="250">
        <v>1379</v>
      </c>
      <c r="AL61" s="251">
        <f t="shared" si="43"/>
        <v>91.933333333333337</v>
      </c>
      <c r="AM61" s="249">
        <f t="shared" si="44"/>
        <v>6</v>
      </c>
      <c r="AN61" s="404"/>
      <c r="AO61" s="250">
        <v>17</v>
      </c>
      <c r="AP61" s="250">
        <v>1384</v>
      </c>
      <c r="AQ61" s="251">
        <f t="shared" si="45"/>
        <v>81.411764705882348</v>
      </c>
      <c r="AR61" s="249">
        <f t="shared" si="46"/>
        <v>9</v>
      </c>
      <c r="AS61" s="404"/>
      <c r="AT61" s="250">
        <v>16</v>
      </c>
      <c r="AU61" s="250">
        <v>1470</v>
      </c>
      <c r="AV61" s="251">
        <f t="shared" si="47"/>
        <v>91.875</v>
      </c>
      <c r="AW61" s="249">
        <f t="shared" si="48"/>
        <v>6</v>
      </c>
      <c r="AX61" s="404"/>
    </row>
    <row r="62" spans="2:50">
      <c r="B62" s="405"/>
      <c r="C62" s="249">
        <v>10</v>
      </c>
      <c r="D62" s="249" t="s">
        <v>121</v>
      </c>
      <c r="E62" s="250" t="e">
        <f>VLOOKUP(D62,#REF!,2,0)</f>
        <v>#REF!</v>
      </c>
      <c r="F62" s="250" t="e">
        <f>VLOOKUP(D62,#REF!,3,0)</f>
        <v>#REF!</v>
      </c>
      <c r="G62" s="251" t="e">
        <f t="shared" si="33"/>
        <v>#REF!</v>
      </c>
      <c r="H62" s="407"/>
      <c r="I62" s="250">
        <f t="shared" si="34"/>
        <v>17.428571428571427</v>
      </c>
      <c r="J62" s="250">
        <f t="shared" si="34"/>
        <v>1359.4285714285713</v>
      </c>
      <c r="K62" s="251">
        <f t="shared" si="34"/>
        <v>78.100895621406451</v>
      </c>
      <c r="L62" s="407"/>
      <c r="M62" s="250">
        <f>RANK(K62, K$53:$K$67)</f>
        <v>8</v>
      </c>
      <c r="N62" s="409"/>
      <c r="O62" s="409"/>
      <c r="P62" s="250">
        <v>19</v>
      </c>
      <c r="Q62" s="250">
        <v>1488</v>
      </c>
      <c r="R62" s="251">
        <f t="shared" si="35"/>
        <v>78.315789473684205</v>
      </c>
      <c r="S62" s="249">
        <f t="shared" si="36"/>
        <v>8</v>
      </c>
      <c r="T62" s="404"/>
      <c r="U62" s="250">
        <v>19</v>
      </c>
      <c r="V62" s="250">
        <v>1413</v>
      </c>
      <c r="W62" s="251">
        <f t="shared" si="37"/>
        <v>74.368421052631575</v>
      </c>
      <c r="X62" s="249">
        <f t="shared" si="38"/>
        <v>7</v>
      </c>
      <c r="Y62" s="404"/>
      <c r="Z62" s="250">
        <v>17</v>
      </c>
      <c r="AA62" s="250">
        <v>1294</v>
      </c>
      <c r="AB62" s="251">
        <f t="shared" si="39"/>
        <v>76.117647058823536</v>
      </c>
      <c r="AC62" s="249">
        <f t="shared" si="40"/>
        <v>8</v>
      </c>
      <c r="AD62" s="404"/>
      <c r="AE62" s="250">
        <v>17</v>
      </c>
      <c r="AF62" s="250">
        <v>1357</v>
      </c>
      <c r="AG62" s="251">
        <f t="shared" si="41"/>
        <v>79.82352941176471</v>
      </c>
      <c r="AH62" s="249">
        <f t="shared" si="42"/>
        <v>8</v>
      </c>
      <c r="AI62" s="404"/>
      <c r="AJ62" s="250">
        <v>17</v>
      </c>
      <c r="AK62" s="250">
        <v>1222</v>
      </c>
      <c r="AL62" s="251">
        <f t="shared" si="43"/>
        <v>71.882352941176464</v>
      </c>
      <c r="AM62" s="249">
        <f t="shared" si="44"/>
        <v>9</v>
      </c>
      <c r="AN62" s="404"/>
      <c r="AO62" s="250">
        <v>17</v>
      </c>
      <c r="AP62" s="250">
        <v>1408</v>
      </c>
      <c r="AQ62" s="251">
        <f t="shared" si="45"/>
        <v>82.82352941176471</v>
      </c>
      <c r="AR62" s="249">
        <f t="shared" si="46"/>
        <v>7</v>
      </c>
      <c r="AS62" s="404"/>
      <c r="AT62" s="250">
        <v>16</v>
      </c>
      <c r="AU62" s="250">
        <v>1334</v>
      </c>
      <c r="AV62" s="251">
        <f t="shared" si="47"/>
        <v>83.375</v>
      </c>
      <c r="AW62" s="249">
        <f t="shared" si="48"/>
        <v>9</v>
      </c>
      <c r="AX62" s="404"/>
    </row>
    <row r="63" spans="2:50">
      <c r="B63" s="405"/>
      <c r="C63" s="249">
        <v>11</v>
      </c>
      <c r="D63" s="249"/>
      <c r="E63" s="250"/>
      <c r="F63" s="250"/>
      <c r="G63" s="251"/>
      <c r="H63" s="407"/>
      <c r="I63" s="250"/>
      <c r="J63" s="250"/>
      <c r="K63" s="251"/>
      <c r="L63" s="407"/>
      <c r="M63" s="250"/>
      <c r="N63" s="409"/>
      <c r="O63" s="409"/>
      <c r="P63" s="249"/>
      <c r="Q63" s="249"/>
      <c r="R63" s="251"/>
      <c r="S63" s="249"/>
      <c r="T63" s="404"/>
      <c r="U63" s="249"/>
      <c r="V63" s="249"/>
      <c r="W63" s="251"/>
      <c r="X63" s="249"/>
      <c r="Y63" s="404"/>
      <c r="Z63" s="249"/>
      <c r="AA63" s="249"/>
      <c r="AB63" s="251"/>
      <c r="AC63" s="249"/>
      <c r="AD63" s="404"/>
      <c r="AE63" s="249"/>
      <c r="AF63" s="249"/>
      <c r="AG63" s="251"/>
      <c r="AH63" s="249"/>
      <c r="AI63" s="404"/>
      <c r="AJ63" s="249"/>
      <c r="AK63" s="249"/>
      <c r="AL63" s="251"/>
      <c r="AM63" s="249"/>
      <c r="AN63" s="404"/>
      <c r="AO63" s="249"/>
      <c r="AP63" s="249"/>
      <c r="AQ63" s="251"/>
      <c r="AR63" s="249"/>
      <c r="AS63" s="404"/>
      <c r="AT63" s="249"/>
      <c r="AU63" s="249"/>
      <c r="AV63" s="251"/>
      <c r="AW63" s="249"/>
      <c r="AX63" s="404"/>
    </row>
    <row r="64" spans="2:50">
      <c r="B64" s="405"/>
      <c r="C64" s="249">
        <v>12</v>
      </c>
      <c r="D64" s="249"/>
      <c r="E64" s="250"/>
      <c r="F64" s="250"/>
      <c r="G64" s="251"/>
      <c r="H64" s="407"/>
      <c r="I64" s="250"/>
      <c r="J64" s="250"/>
      <c r="K64" s="251"/>
      <c r="L64" s="407"/>
      <c r="M64" s="250"/>
      <c r="N64" s="409"/>
      <c r="O64" s="409"/>
      <c r="P64" s="249"/>
      <c r="Q64" s="249"/>
      <c r="R64" s="251"/>
      <c r="S64" s="249"/>
      <c r="T64" s="404"/>
      <c r="U64" s="249"/>
      <c r="V64" s="250"/>
      <c r="W64" s="251"/>
      <c r="X64" s="249"/>
      <c r="Y64" s="404"/>
      <c r="Z64" s="249"/>
      <c r="AA64" s="250"/>
      <c r="AB64" s="251"/>
      <c r="AC64" s="249"/>
      <c r="AD64" s="404"/>
      <c r="AE64" s="249"/>
      <c r="AF64" s="249"/>
      <c r="AG64" s="251"/>
      <c r="AH64" s="249"/>
      <c r="AI64" s="404"/>
      <c r="AJ64" s="249"/>
      <c r="AK64" s="249"/>
      <c r="AL64" s="251"/>
      <c r="AM64" s="249"/>
      <c r="AN64" s="404"/>
      <c r="AO64" s="249"/>
      <c r="AP64" s="249"/>
      <c r="AQ64" s="251"/>
      <c r="AR64" s="249"/>
      <c r="AS64" s="404"/>
      <c r="AT64" s="249"/>
      <c r="AU64" s="249"/>
      <c r="AV64" s="251"/>
      <c r="AW64" s="249"/>
      <c r="AX64" s="404"/>
    </row>
    <row r="65" spans="2:50">
      <c r="B65" s="405"/>
      <c r="C65" s="249">
        <v>13</v>
      </c>
      <c r="D65" s="249"/>
      <c r="E65" s="250"/>
      <c r="F65" s="250"/>
      <c r="G65" s="251"/>
      <c r="H65" s="407"/>
      <c r="I65" s="250"/>
      <c r="J65" s="250"/>
      <c r="K65" s="251"/>
      <c r="L65" s="407"/>
      <c r="M65" s="250"/>
      <c r="N65" s="409"/>
      <c r="O65" s="409"/>
      <c r="P65" s="249"/>
      <c r="Q65" s="249"/>
      <c r="R65" s="251"/>
      <c r="S65" s="249"/>
      <c r="T65" s="404"/>
      <c r="U65" s="249"/>
      <c r="V65" s="250"/>
      <c r="W65" s="251"/>
      <c r="X65" s="249"/>
      <c r="Y65" s="404"/>
      <c r="Z65" s="249"/>
      <c r="AA65" s="249"/>
      <c r="AB65" s="251"/>
      <c r="AC65" s="249"/>
      <c r="AD65" s="404"/>
      <c r="AE65" s="249"/>
      <c r="AF65" s="249"/>
      <c r="AG65" s="251"/>
      <c r="AH65" s="249"/>
      <c r="AI65" s="404"/>
      <c r="AJ65" s="249"/>
      <c r="AK65" s="249"/>
      <c r="AL65" s="251"/>
      <c r="AM65" s="249"/>
      <c r="AN65" s="404"/>
      <c r="AO65" s="249"/>
      <c r="AP65" s="249"/>
      <c r="AQ65" s="251"/>
      <c r="AR65" s="249"/>
      <c r="AS65" s="404"/>
      <c r="AT65" s="249"/>
      <c r="AU65" s="249"/>
      <c r="AV65" s="251"/>
      <c r="AW65" s="249"/>
      <c r="AX65" s="404"/>
    </row>
    <row r="66" spans="2:50" ht="13.5">
      <c r="B66" s="405"/>
      <c r="C66" s="249">
        <v>14</v>
      </c>
      <c r="D66" s="253"/>
      <c r="E66" s="250"/>
      <c r="F66" s="250"/>
      <c r="G66" s="251"/>
      <c r="H66" s="407"/>
      <c r="I66" s="250"/>
      <c r="J66" s="250"/>
      <c r="K66" s="251"/>
      <c r="L66" s="407"/>
      <c r="M66" s="250"/>
      <c r="N66" s="409"/>
      <c r="O66" s="409"/>
      <c r="P66" s="249"/>
      <c r="Q66" s="249"/>
      <c r="R66" s="251"/>
      <c r="S66" s="249"/>
      <c r="T66" s="404"/>
      <c r="U66" s="249"/>
      <c r="V66" s="249"/>
      <c r="W66" s="251"/>
      <c r="X66" s="249"/>
      <c r="Y66" s="404"/>
      <c r="Z66" s="249"/>
      <c r="AA66" s="249"/>
      <c r="AB66" s="251"/>
      <c r="AC66" s="249"/>
      <c r="AD66" s="404"/>
      <c r="AE66" s="249"/>
      <c r="AF66" s="249"/>
      <c r="AG66" s="251"/>
      <c r="AH66" s="249"/>
      <c r="AI66" s="404"/>
      <c r="AJ66" s="249"/>
      <c r="AK66" s="249"/>
      <c r="AL66" s="251"/>
      <c r="AM66" s="249"/>
      <c r="AN66" s="404"/>
      <c r="AO66" s="249"/>
      <c r="AP66" s="249"/>
      <c r="AQ66" s="251"/>
      <c r="AR66" s="249"/>
      <c r="AS66" s="404"/>
      <c r="AT66" s="249"/>
      <c r="AU66" s="249"/>
      <c r="AV66" s="251"/>
      <c r="AW66" s="249"/>
      <c r="AX66" s="404"/>
    </row>
    <row r="67" spans="2:50">
      <c r="B67" s="405"/>
      <c r="C67" s="249">
        <v>15</v>
      </c>
      <c r="D67" s="249"/>
      <c r="E67" s="249"/>
      <c r="F67" s="249"/>
      <c r="G67" s="251"/>
      <c r="H67" s="408"/>
      <c r="I67" s="249"/>
      <c r="J67" s="250"/>
      <c r="K67" s="251"/>
      <c r="L67" s="408"/>
      <c r="M67" s="250"/>
      <c r="N67" s="409"/>
      <c r="O67" s="409"/>
      <c r="P67" s="249"/>
      <c r="Q67" s="249"/>
      <c r="R67" s="251"/>
      <c r="S67" s="249"/>
      <c r="T67" s="404"/>
      <c r="U67" s="249"/>
      <c r="V67" s="249"/>
      <c r="W67" s="251"/>
      <c r="X67" s="249"/>
      <c r="Y67" s="404"/>
      <c r="Z67" s="249"/>
      <c r="AA67" s="249"/>
      <c r="AB67" s="251"/>
      <c r="AC67" s="249"/>
      <c r="AD67" s="404"/>
      <c r="AE67" s="249"/>
      <c r="AF67" s="249"/>
      <c r="AG67" s="251"/>
      <c r="AH67" s="249"/>
      <c r="AI67" s="404"/>
      <c r="AJ67" s="249"/>
      <c r="AK67" s="249"/>
      <c r="AL67" s="251"/>
      <c r="AM67" s="249"/>
      <c r="AN67" s="404"/>
      <c r="AO67" s="249"/>
      <c r="AP67" s="249"/>
      <c r="AQ67" s="251"/>
      <c r="AR67" s="249"/>
      <c r="AS67" s="404"/>
      <c r="AT67" s="249"/>
      <c r="AU67" s="249"/>
      <c r="AV67" s="251"/>
      <c r="AW67" s="249"/>
      <c r="AX67" s="404"/>
    </row>
    <row r="68" spans="2:50" ht="15.75">
      <c r="B68" s="426" t="s">
        <v>93</v>
      </c>
      <c r="C68" s="422"/>
      <c r="D68" s="422"/>
      <c r="E68" s="422"/>
      <c r="F68" s="422"/>
      <c r="G68" s="422"/>
      <c r="H68" s="422"/>
      <c r="I68" s="254"/>
      <c r="J68" s="254"/>
      <c r="K68" s="254"/>
      <c r="L68" s="254"/>
      <c r="M68" s="255"/>
      <c r="N68" s="418" t="s">
        <v>94</v>
      </c>
      <c r="O68" s="418" t="s">
        <v>45</v>
      </c>
      <c r="P68" s="413">
        <v>45951</v>
      </c>
      <c r="Q68" s="405"/>
      <c r="R68" s="405"/>
      <c r="S68" s="405"/>
      <c r="T68" s="405"/>
      <c r="U68" s="413">
        <v>45952</v>
      </c>
      <c r="V68" s="405"/>
      <c r="W68" s="405"/>
      <c r="X68" s="405"/>
      <c r="Y68" s="405"/>
      <c r="Z68" s="413">
        <v>45953</v>
      </c>
      <c r="AA68" s="405"/>
      <c r="AB68" s="405"/>
      <c r="AC68" s="405"/>
      <c r="AD68" s="405"/>
      <c r="AE68" s="413">
        <v>45954</v>
      </c>
      <c r="AF68" s="405"/>
      <c r="AG68" s="405"/>
      <c r="AH68" s="405"/>
      <c r="AI68" s="405"/>
      <c r="AJ68" s="413">
        <v>45955</v>
      </c>
      <c r="AK68" s="405"/>
      <c r="AL68" s="405"/>
      <c r="AM68" s="405"/>
      <c r="AN68" s="405"/>
      <c r="AO68" s="413">
        <v>45956</v>
      </c>
      <c r="AP68" s="405"/>
      <c r="AQ68" s="405"/>
      <c r="AR68" s="405"/>
      <c r="AS68" s="405"/>
      <c r="AT68" s="413">
        <v>45957</v>
      </c>
      <c r="AU68" s="405"/>
      <c r="AV68" s="405"/>
      <c r="AW68" s="405"/>
      <c r="AX68" s="405"/>
    </row>
    <row r="69" spans="2:50" ht="15.75">
      <c r="B69" s="423"/>
      <c r="C69" s="423"/>
      <c r="D69" s="423"/>
      <c r="E69" s="423"/>
      <c r="F69" s="423"/>
      <c r="G69" s="423"/>
      <c r="H69" s="423"/>
      <c r="I69" s="245"/>
      <c r="J69" s="245"/>
      <c r="K69" s="245"/>
      <c r="L69" s="245"/>
      <c r="M69" s="246"/>
      <c r="N69" s="420"/>
      <c r="O69" s="420"/>
      <c r="P69" s="413" t="s">
        <v>77</v>
      </c>
      <c r="Q69" s="405"/>
      <c r="R69" s="405"/>
      <c r="S69" s="405"/>
      <c r="T69" s="405"/>
      <c r="U69" s="413" t="s">
        <v>72</v>
      </c>
      <c r="V69" s="405"/>
      <c r="W69" s="405"/>
      <c r="X69" s="405"/>
      <c r="Y69" s="405"/>
      <c r="Z69" s="413" t="s">
        <v>73</v>
      </c>
      <c r="AA69" s="405"/>
      <c r="AB69" s="405"/>
      <c r="AC69" s="405"/>
      <c r="AD69" s="405"/>
      <c r="AE69" s="413" t="s">
        <v>74</v>
      </c>
      <c r="AF69" s="405"/>
      <c r="AG69" s="405"/>
      <c r="AH69" s="405"/>
      <c r="AI69" s="405"/>
      <c r="AJ69" s="413" t="s">
        <v>75</v>
      </c>
      <c r="AK69" s="405"/>
      <c r="AL69" s="405"/>
      <c r="AM69" s="405"/>
      <c r="AN69" s="405"/>
      <c r="AO69" s="413" t="s">
        <v>52</v>
      </c>
      <c r="AP69" s="405"/>
      <c r="AQ69" s="405"/>
      <c r="AR69" s="405"/>
      <c r="AS69" s="405"/>
      <c r="AT69" s="413" t="s">
        <v>76</v>
      </c>
      <c r="AU69" s="405"/>
      <c r="AV69" s="405"/>
      <c r="AW69" s="405"/>
      <c r="AX69" s="405"/>
    </row>
    <row r="70" spans="2:50">
      <c r="B70" s="409" t="s">
        <v>95</v>
      </c>
      <c r="C70" s="414" t="s">
        <v>96</v>
      </c>
      <c r="D70" s="409"/>
      <c r="E70" s="409" t="s">
        <v>97</v>
      </c>
      <c r="F70" s="409"/>
      <c r="G70" s="409"/>
      <c r="H70" s="415" t="s">
        <v>98</v>
      </c>
      <c r="I70" s="409" t="s">
        <v>99</v>
      </c>
      <c r="J70" s="409"/>
      <c r="K70" s="409"/>
      <c r="L70" s="415" t="s">
        <v>98</v>
      </c>
      <c r="M70" s="433" t="s">
        <v>100</v>
      </c>
      <c r="N70" s="418"/>
      <c r="O70" s="418" t="s">
        <v>101</v>
      </c>
      <c r="P70" s="410" t="s">
        <v>102</v>
      </c>
      <c r="Q70" s="411"/>
      <c r="R70" s="411"/>
      <c r="S70" s="412"/>
      <c r="T70" s="409" t="s">
        <v>98</v>
      </c>
      <c r="U70" s="410" t="s">
        <v>102</v>
      </c>
      <c r="V70" s="411"/>
      <c r="W70" s="411"/>
      <c r="X70" s="412"/>
      <c r="Y70" s="409" t="s">
        <v>98</v>
      </c>
      <c r="Z70" s="410" t="s">
        <v>102</v>
      </c>
      <c r="AA70" s="411"/>
      <c r="AB70" s="411"/>
      <c r="AC70" s="412"/>
      <c r="AD70" s="409" t="s">
        <v>98</v>
      </c>
      <c r="AE70" s="410" t="s">
        <v>102</v>
      </c>
      <c r="AF70" s="411"/>
      <c r="AG70" s="411"/>
      <c r="AH70" s="412"/>
      <c r="AI70" s="409" t="s">
        <v>98</v>
      </c>
      <c r="AJ70" s="410" t="s">
        <v>102</v>
      </c>
      <c r="AK70" s="411"/>
      <c r="AL70" s="411"/>
      <c r="AM70" s="412"/>
      <c r="AN70" s="409" t="s">
        <v>98</v>
      </c>
      <c r="AO70" s="410" t="s">
        <v>102</v>
      </c>
      <c r="AP70" s="411"/>
      <c r="AQ70" s="411"/>
      <c r="AR70" s="412"/>
      <c r="AS70" s="409" t="s">
        <v>98</v>
      </c>
      <c r="AT70" s="410" t="s">
        <v>102</v>
      </c>
      <c r="AU70" s="411"/>
      <c r="AV70" s="411"/>
      <c r="AW70" s="412"/>
      <c r="AX70" s="409" t="s">
        <v>98</v>
      </c>
    </row>
    <row r="71" spans="2:50">
      <c r="B71" s="409"/>
      <c r="C71" s="409"/>
      <c r="D71" s="409"/>
      <c r="E71" s="409" t="s">
        <v>103</v>
      </c>
      <c r="F71" s="409"/>
      <c r="G71" s="409"/>
      <c r="H71" s="416"/>
      <c r="I71" s="409" t="s">
        <v>103</v>
      </c>
      <c r="J71" s="409"/>
      <c r="K71" s="409"/>
      <c r="L71" s="416"/>
      <c r="M71" s="419"/>
      <c r="N71" s="419"/>
      <c r="O71" s="419"/>
      <c r="P71" s="410" t="s">
        <v>104</v>
      </c>
      <c r="Q71" s="411"/>
      <c r="R71" s="411"/>
      <c r="S71" s="412"/>
      <c r="T71" s="409"/>
      <c r="U71" s="410" t="s">
        <v>104</v>
      </c>
      <c r="V71" s="411"/>
      <c r="W71" s="411"/>
      <c r="X71" s="412"/>
      <c r="Y71" s="409"/>
      <c r="Z71" s="410" t="s">
        <v>104</v>
      </c>
      <c r="AA71" s="411"/>
      <c r="AB71" s="411"/>
      <c r="AC71" s="412"/>
      <c r="AD71" s="409"/>
      <c r="AE71" s="410" t="s">
        <v>104</v>
      </c>
      <c r="AF71" s="411"/>
      <c r="AG71" s="411"/>
      <c r="AH71" s="412"/>
      <c r="AI71" s="409"/>
      <c r="AJ71" s="410" t="s">
        <v>104</v>
      </c>
      <c r="AK71" s="411"/>
      <c r="AL71" s="411"/>
      <c r="AM71" s="412"/>
      <c r="AN71" s="409"/>
      <c r="AO71" s="410" t="s">
        <v>104</v>
      </c>
      <c r="AP71" s="411"/>
      <c r="AQ71" s="411"/>
      <c r="AR71" s="412"/>
      <c r="AS71" s="409"/>
      <c r="AT71" s="410" t="s">
        <v>104</v>
      </c>
      <c r="AU71" s="411"/>
      <c r="AV71" s="411"/>
      <c r="AW71" s="412"/>
      <c r="AX71" s="409"/>
    </row>
    <row r="72" spans="2:50">
      <c r="B72" s="409"/>
      <c r="C72" s="409"/>
      <c r="D72" s="409"/>
      <c r="E72" s="248" t="s">
        <v>105</v>
      </c>
      <c r="F72" s="248" t="s">
        <v>106</v>
      </c>
      <c r="G72" s="248" t="s">
        <v>107</v>
      </c>
      <c r="H72" s="417"/>
      <c r="I72" s="248" t="s">
        <v>105</v>
      </c>
      <c r="J72" s="248" t="s">
        <v>106</v>
      </c>
      <c r="K72" s="248" t="s">
        <v>107</v>
      </c>
      <c r="L72" s="417"/>
      <c r="M72" s="420"/>
      <c r="N72" s="419"/>
      <c r="O72" s="419"/>
      <c r="P72" s="248" t="s">
        <v>105</v>
      </c>
      <c r="Q72" s="248" t="s">
        <v>106</v>
      </c>
      <c r="R72" s="248" t="s">
        <v>107</v>
      </c>
      <c r="S72" s="248" t="s">
        <v>100</v>
      </c>
      <c r="T72" s="409"/>
      <c r="U72" s="248" t="s">
        <v>105</v>
      </c>
      <c r="V72" s="248" t="s">
        <v>106</v>
      </c>
      <c r="W72" s="248" t="s">
        <v>107</v>
      </c>
      <c r="X72" s="248" t="s">
        <v>100</v>
      </c>
      <c r="Y72" s="409"/>
      <c r="Z72" s="248" t="s">
        <v>105</v>
      </c>
      <c r="AA72" s="248" t="s">
        <v>106</v>
      </c>
      <c r="AB72" s="248" t="s">
        <v>107</v>
      </c>
      <c r="AC72" s="248" t="s">
        <v>100</v>
      </c>
      <c r="AD72" s="409"/>
      <c r="AE72" s="248" t="s">
        <v>105</v>
      </c>
      <c r="AF72" s="248" t="s">
        <v>106</v>
      </c>
      <c r="AG72" s="248" t="s">
        <v>107</v>
      </c>
      <c r="AH72" s="248" t="s">
        <v>100</v>
      </c>
      <c r="AI72" s="409"/>
      <c r="AJ72" s="248" t="s">
        <v>105</v>
      </c>
      <c r="AK72" s="248" t="s">
        <v>106</v>
      </c>
      <c r="AL72" s="248" t="s">
        <v>107</v>
      </c>
      <c r="AM72" s="248" t="s">
        <v>100</v>
      </c>
      <c r="AN72" s="409"/>
      <c r="AO72" s="248" t="s">
        <v>105</v>
      </c>
      <c r="AP72" s="248" t="s">
        <v>106</v>
      </c>
      <c r="AQ72" s="248" t="s">
        <v>107</v>
      </c>
      <c r="AR72" s="248" t="s">
        <v>100</v>
      </c>
      <c r="AS72" s="409"/>
      <c r="AT72" s="248" t="s">
        <v>105</v>
      </c>
      <c r="AU72" s="248" t="s">
        <v>106</v>
      </c>
      <c r="AV72" s="248" t="s">
        <v>107</v>
      </c>
      <c r="AW72" s="248" t="s">
        <v>100</v>
      </c>
      <c r="AX72" s="409"/>
    </row>
    <row r="73" spans="2:50" ht="13.5">
      <c r="B73" s="427" t="s">
        <v>108</v>
      </c>
      <c r="C73" s="249">
        <v>1</v>
      </c>
      <c r="D73" s="253" t="s">
        <v>109</v>
      </c>
      <c r="E73" s="250" t="e">
        <f>VLOOKUP(D73,#REF!,2,0)</f>
        <v>#REF!</v>
      </c>
      <c r="F73" s="250" t="e">
        <f>VLOOKUP(D73,#REF!,3,0)</f>
        <v>#REF!</v>
      </c>
      <c r="G73" s="251" t="e">
        <f>F73/E73</f>
        <v>#REF!</v>
      </c>
      <c r="H73" s="430" t="e">
        <f>AVERAGE(G73:G87)</f>
        <v>#REF!</v>
      </c>
      <c r="I73" s="250">
        <f>AVERAGE(P73,U73,Z73,AE73,AJ73,AO73,AT73)</f>
        <v>12</v>
      </c>
      <c r="J73" s="250">
        <f>AVERAGE(Q73,V73,AA73,AF73,AK73,AP73,AU73)</f>
        <v>1852.5714285714287</v>
      </c>
      <c r="K73" s="251">
        <f>AVERAGE(R73,W73,AB73,AG73,AL73,AQ73,AV73)</f>
        <v>154.38095238095235</v>
      </c>
      <c r="L73" s="430">
        <f>IFERROR(AVERAGE(K73:K90),"-")</f>
        <v>106.83014635341317</v>
      </c>
      <c r="M73" s="250">
        <f>RANK(K73, $K$73:$K$90)</f>
        <v>1</v>
      </c>
      <c r="N73" s="419"/>
      <c r="O73" s="419"/>
      <c r="P73" s="250">
        <v>12</v>
      </c>
      <c r="Q73" s="250">
        <v>1894</v>
      </c>
      <c r="R73" s="182">
        <f>Q73/P73</f>
        <v>157.83333333333334</v>
      </c>
      <c r="S73" s="110">
        <f>RANK(R73, $R$73:$R$90)</f>
        <v>1</v>
      </c>
      <c r="T73" s="430">
        <f>AVERAGE(R73:R90)</f>
        <v>113.05255656108598</v>
      </c>
      <c r="U73" s="250">
        <v>12</v>
      </c>
      <c r="V73" s="250">
        <v>1928</v>
      </c>
      <c r="W73" s="251">
        <f>V73/U73</f>
        <v>160.66666666666666</v>
      </c>
      <c r="X73" s="249">
        <f>RANK(W73, $W$73:$W$90)</f>
        <v>1</v>
      </c>
      <c r="Y73" s="430">
        <f>AVERAGE(W73:W90)</f>
        <v>109.11960470085471</v>
      </c>
      <c r="Z73" s="250">
        <v>12</v>
      </c>
      <c r="AA73" s="250">
        <v>1871</v>
      </c>
      <c r="AB73" s="251">
        <f>AA73/Z73</f>
        <v>155.91666666666666</v>
      </c>
      <c r="AC73" s="249">
        <f>RANK(AB73, $AB$73:$AB$90)</f>
        <v>1</v>
      </c>
      <c r="AD73" s="430">
        <f>AVERAGE(AB73:AB90)</f>
        <v>106.45344861021331</v>
      </c>
      <c r="AE73" s="250">
        <v>12</v>
      </c>
      <c r="AF73" s="250">
        <v>1778</v>
      </c>
      <c r="AG73" s="251">
        <f>AF73/AE73</f>
        <v>148.16666666666666</v>
      </c>
      <c r="AH73" s="249">
        <f>RANK(AG73, $AG$73:$AG$90)</f>
        <v>2</v>
      </c>
      <c r="AI73" s="430">
        <f>AVERAGE(AG73:AG90)</f>
        <v>102.38320449974863</v>
      </c>
      <c r="AJ73" s="250">
        <v>12</v>
      </c>
      <c r="AK73" s="250">
        <v>1815</v>
      </c>
      <c r="AL73" s="251">
        <f>AK73/AJ73</f>
        <v>151.25</v>
      </c>
      <c r="AM73" s="249">
        <f>RANK(AL73, $AL$73:$AL$90)</f>
        <v>1</v>
      </c>
      <c r="AN73" s="430">
        <f>AVERAGE(AL73:AL90)</f>
        <v>105.24825935502406</v>
      </c>
      <c r="AO73" s="250">
        <v>12</v>
      </c>
      <c r="AP73" s="250">
        <v>1864</v>
      </c>
      <c r="AQ73" s="251">
        <f>AP73/AO73</f>
        <v>155.33333333333334</v>
      </c>
      <c r="AR73" s="249">
        <f>RANK(AQ73, $AQ$73:$AQ$90)</f>
        <v>1</v>
      </c>
      <c r="AS73" s="430">
        <f>AVERAGE(AQ73:AQ90)</f>
        <v>107.15936840120665</v>
      </c>
      <c r="AT73" s="250">
        <v>12</v>
      </c>
      <c r="AU73" s="250">
        <v>1818</v>
      </c>
      <c r="AV73" s="251">
        <f>AU73/AT73</f>
        <v>151.5</v>
      </c>
      <c r="AW73" s="249">
        <f>RANK(AV73, $AV$73:$AV$90)</f>
        <v>1</v>
      </c>
      <c r="AX73" s="430">
        <f>AVERAGE(AV73:AV90)</f>
        <v>104.39458234575882</v>
      </c>
    </row>
    <row r="74" spans="2:50">
      <c r="B74" s="428"/>
      <c r="C74" s="249">
        <v>2</v>
      </c>
      <c r="D74" s="249" t="s">
        <v>110</v>
      </c>
      <c r="E74" s="250" t="e">
        <f>VLOOKUP(D74,#REF!,2,0)</f>
        <v>#REF!</v>
      </c>
      <c r="F74" s="250" t="e">
        <f>VLOOKUP(D74,#REF!,3,0)</f>
        <v>#REF!</v>
      </c>
      <c r="G74" s="251" t="e">
        <f t="shared" ref="G74:G85" si="49">F74/E74</f>
        <v>#REF!</v>
      </c>
      <c r="H74" s="431"/>
      <c r="I74" s="250">
        <f t="shared" ref="I74:K85" si="50">AVERAGE(P74,U74,Z74,AE74,AJ74,AO74,AT74)</f>
        <v>13</v>
      </c>
      <c r="J74" s="250">
        <f t="shared" si="50"/>
        <v>1893.2857142857142</v>
      </c>
      <c r="K74" s="251">
        <f t="shared" si="50"/>
        <v>145.63736263736266</v>
      </c>
      <c r="L74" s="431"/>
      <c r="M74" s="250">
        <f t="shared" ref="M74:M82" si="51">RANK(K74, $K$73:$K$90)</f>
        <v>2</v>
      </c>
      <c r="N74" s="419"/>
      <c r="O74" s="419"/>
      <c r="P74" s="250">
        <v>13</v>
      </c>
      <c r="Q74" s="250">
        <v>2006</v>
      </c>
      <c r="R74" s="182">
        <f t="shared" ref="R74:R82" si="52">Q74/P74</f>
        <v>154.30769230769232</v>
      </c>
      <c r="S74" s="110">
        <f t="shared" ref="S74:S82" si="53">RANK(R74, $R$73:$R$90)</f>
        <v>2</v>
      </c>
      <c r="T74" s="431"/>
      <c r="U74" s="250">
        <v>13</v>
      </c>
      <c r="V74" s="250">
        <v>1977</v>
      </c>
      <c r="W74" s="251">
        <f t="shared" ref="W74:W82" si="54">V74/U74</f>
        <v>152.07692307692307</v>
      </c>
      <c r="X74" s="249">
        <f t="shared" ref="X74:X82" si="55">RANK(W74, $W$73:$W$90)</f>
        <v>2</v>
      </c>
      <c r="Y74" s="431"/>
      <c r="Z74" s="250">
        <v>13</v>
      </c>
      <c r="AA74" s="250">
        <v>1811</v>
      </c>
      <c r="AB74" s="251">
        <f t="shared" ref="AB74:AB82" si="56">AA74/Z74</f>
        <v>139.30769230769232</v>
      </c>
      <c r="AC74" s="249">
        <f t="shared" ref="AC74:AC82" si="57">RANK(AB74, $AB$73:$AB$90)</f>
        <v>3</v>
      </c>
      <c r="AD74" s="431"/>
      <c r="AE74" s="250">
        <v>13</v>
      </c>
      <c r="AF74" s="250">
        <v>1988</v>
      </c>
      <c r="AG74" s="251">
        <f t="shared" ref="AG74:AG82" si="58">AF74/AE74</f>
        <v>152.92307692307693</v>
      </c>
      <c r="AH74" s="249">
        <f t="shared" ref="AH74:AH82" si="59">RANK(AG74, $AG$73:$AG$90)</f>
        <v>1</v>
      </c>
      <c r="AI74" s="431"/>
      <c r="AJ74" s="250">
        <v>13</v>
      </c>
      <c r="AK74" s="250">
        <v>1748</v>
      </c>
      <c r="AL74" s="251">
        <f t="shared" ref="AL74:AL82" si="60">AK74/AJ74</f>
        <v>134.46153846153845</v>
      </c>
      <c r="AM74" s="249">
        <f t="shared" ref="AM74:AM82" si="61">RANK(AL74, $AL$73:$AL$90)</f>
        <v>3</v>
      </c>
      <c r="AN74" s="431"/>
      <c r="AO74" s="250">
        <v>13</v>
      </c>
      <c r="AP74" s="250">
        <v>1967</v>
      </c>
      <c r="AQ74" s="251">
        <f t="shared" ref="AQ74:AQ82" si="62">AP74/AO74</f>
        <v>151.30769230769232</v>
      </c>
      <c r="AR74" s="249">
        <f t="shared" ref="AR74:AR82" si="63">RANK(AQ74, $AQ$73:$AQ$90)</f>
        <v>2</v>
      </c>
      <c r="AS74" s="431"/>
      <c r="AT74" s="250">
        <v>13</v>
      </c>
      <c r="AU74" s="250">
        <v>1756</v>
      </c>
      <c r="AV74" s="251">
        <f t="shared" ref="AV74:AV82" si="64">AU74/AT74</f>
        <v>135.07692307692307</v>
      </c>
      <c r="AW74" s="249">
        <f t="shared" ref="AW74:AW82" si="65">RANK(AV74, $AV$73:$AV$90)</f>
        <v>2</v>
      </c>
      <c r="AX74" s="431"/>
    </row>
    <row r="75" spans="2:50">
      <c r="B75" s="428"/>
      <c r="C75" s="249">
        <v>3</v>
      </c>
      <c r="D75" s="249" t="s">
        <v>123</v>
      </c>
      <c r="E75" s="250" t="e">
        <f>VLOOKUP(D75,#REF!,2,0)</f>
        <v>#REF!</v>
      </c>
      <c r="F75" s="250" t="e">
        <f>VLOOKUP(D75,#REF!,3,0)</f>
        <v>#REF!</v>
      </c>
      <c r="G75" s="251" t="e">
        <f t="shared" si="49"/>
        <v>#REF!</v>
      </c>
      <c r="H75" s="431"/>
      <c r="I75" s="250">
        <f t="shared" si="50"/>
        <v>15.428571428571429</v>
      </c>
      <c r="J75" s="250">
        <f t="shared" si="50"/>
        <v>1687.5714285714287</v>
      </c>
      <c r="K75" s="251">
        <f t="shared" si="50"/>
        <v>109.53511904761906</v>
      </c>
      <c r="L75" s="431"/>
      <c r="M75" s="250">
        <f t="shared" si="51"/>
        <v>5</v>
      </c>
      <c r="N75" s="419"/>
      <c r="O75" s="419"/>
      <c r="P75" s="250">
        <v>16</v>
      </c>
      <c r="Q75" s="250">
        <v>1785</v>
      </c>
      <c r="R75" s="182">
        <f t="shared" si="52"/>
        <v>111.5625</v>
      </c>
      <c r="S75" s="110">
        <f t="shared" si="53"/>
        <v>5</v>
      </c>
      <c r="T75" s="431"/>
      <c r="U75" s="250">
        <v>16</v>
      </c>
      <c r="V75" s="250">
        <v>1741</v>
      </c>
      <c r="W75" s="251">
        <f t="shared" si="54"/>
        <v>108.8125</v>
      </c>
      <c r="X75" s="249">
        <f t="shared" si="55"/>
        <v>5</v>
      </c>
      <c r="Y75" s="431"/>
      <c r="Z75" s="250">
        <v>15</v>
      </c>
      <c r="AA75" s="250">
        <v>1502</v>
      </c>
      <c r="AB75" s="251">
        <f t="shared" si="56"/>
        <v>100.13333333333334</v>
      </c>
      <c r="AC75" s="249">
        <f t="shared" si="57"/>
        <v>5</v>
      </c>
      <c r="AD75" s="431"/>
      <c r="AE75" s="250">
        <v>16</v>
      </c>
      <c r="AF75" s="250">
        <v>1463</v>
      </c>
      <c r="AG75" s="251">
        <f t="shared" si="58"/>
        <v>91.4375</v>
      </c>
      <c r="AH75" s="249">
        <f t="shared" si="59"/>
        <v>5</v>
      </c>
      <c r="AI75" s="431"/>
      <c r="AJ75" s="250">
        <v>15</v>
      </c>
      <c r="AK75" s="250">
        <v>1700</v>
      </c>
      <c r="AL75" s="251">
        <f t="shared" si="60"/>
        <v>113.33333333333333</v>
      </c>
      <c r="AM75" s="249">
        <f t="shared" si="61"/>
        <v>5</v>
      </c>
      <c r="AN75" s="431"/>
      <c r="AO75" s="250">
        <v>15</v>
      </c>
      <c r="AP75" s="250">
        <v>1779</v>
      </c>
      <c r="AQ75" s="251">
        <f t="shared" si="62"/>
        <v>118.6</v>
      </c>
      <c r="AR75" s="249">
        <f t="shared" si="63"/>
        <v>4</v>
      </c>
      <c r="AS75" s="431"/>
      <c r="AT75" s="250">
        <v>15</v>
      </c>
      <c r="AU75" s="250">
        <v>1843</v>
      </c>
      <c r="AV75" s="251">
        <f t="shared" si="64"/>
        <v>122.86666666666666</v>
      </c>
      <c r="AW75" s="249">
        <f t="shared" si="65"/>
        <v>5</v>
      </c>
      <c r="AX75" s="431"/>
    </row>
    <row r="76" spans="2:50">
      <c r="B76" s="428"/>
      <c r="C76" s="249">
        <v>4</v>
      </c>
      <c r="D76" s="249" t="s">
        <v>112</v>
      </c>
      <c r="E76" s="250" t="e">
        <f>VLOOKUP(D76,#REF!,2,0)</f>
        <v>#REF!</v>
      </c>
      <c r="F76" s="250" t="e">
        <f>VLOOKUP(D76,#REF!,3,0)</f>
        <v>#REF!</v>
      </c>
      <c r="G76" s="251" t="e">
        <f t="shared" si="49"/>
        <v>#REF!</v>
      </c>
      <c r="H76" s="431"/>
      <c r="I76" s="250">
        <f t="shared" si="50"/>
        <v>17.857142857142858</v>
      </c>
      <c r="J76" s="250">
        <f t="shared" si="50"/>
        <v>1511.1428571428571</v>
      </c>
      <c r="K76" s="251">
        <f t="shared" si="50"/>
        <v>84.670868347338939</v>
      </c>
      <c r="L76" s="431"/>
      <c r="M76" s="250">
        <f t="shared" si="51"/>
        <v>7</v>
      </c>
      <c r="N76" s="419"/>
      <c r="O76" s="419"/>
      <c r="P76" s="250">
        <v>17</v>
      </c>
      <c r="Q76" s="250">
        <v>1539</v>
      </c>
      <c r="R76" s="182">
        <f t="shared" si="52"/>
        <v>90.529411764705884</v>
      </c>
      <c r="S76" s="110">
        <f t="shared" si="53"/>
        <v>8</v>
      </c>
      <c r="T76" s="431"/>
      <c r="U76" s="250">
        <v>18</v>
      </c>
      <c r="V76" s="250">
        <v>1550</v>
      </c>
      <c r="W76" s="251">
        <f t="shared" si="54"/>
        <v>86.111111111111114</v>
      </c>
      <c r="X76" s="249">
        <f t="shared" si="55"/>
        <v>6</v>
      </c>
      <c r="Y76" s="431"/>
      <c r="Z76" s="250">
        <v>18</v>
      </c>
      <c r="AA76" s="250">
        <v>1488</v>
      </c>
      <c r="AB76" s="251">
        <f t="shared" si="56"/>
        <v>82.666666666666671</v>
      </c>
      <c r="AC76" s="249">
        <f t="shared" si="57"/>
        <v>8</v>
      </c>
      <c r="AD76" s="431"/>
      <c r="AE76" s="250">
        <v>18</v>
      </c>
      <c r="AF76" s="250">
        <v>1516</v>
      </c>
      <c r="AG76" s="251">
        <f t="shared" si="58"/>
        <v>84.222222222222229</v>
      </c>
      <c r="AH76" s="249">
        <f t="shared" si="59"/>
        <v>6</v>
      </c>
      <c r="AI76" s="431"/>
      <c r="AJ76" s="250">
        <v>18</v>
      </c>
      <c r="AK76" s="250">
        <v>1559</v>
      </c>
      <c r="AL76" s="251">
        <f t="shared" si="60"/>
        <v>86.611111111111114</v>
      </c>
      <c r="AM76" s="249">
        <f t="shared" si="61"/>
        <v>7</v>
      </c>
      <c r="AN76" s="431"/>
      <c r="AO76" s="250">
        <v>18</v>
      </c>
      <c r="AP76" s="250">
        <v>1512</v>
      </c>
      <c r="AQ76" s="251">
        <f t="shared" si="62"/>
        <v>84</v>
      </c>
      <c r="AR76" s="249">
        <f t="shared" si="63"/>
        <v>7</v>
      </c>
      <c r="AS76" s="431"/>
      <c r="AT76" s="250">
        <v>18</v>
      </c>
      <c r="AU76" s="250">
        <v>1414</v>
      </c>
      <c r="AV76" s="251">
        <f t="shared" si="64"/>
        <v>78.555555555555557</v>
      </c>
      <c r="AW76" s="249">
        <f t="shared" si="65"/>
        <v>7</v>
      </c>
      <c r="AX76" s="431"/>
    </row>
    <row r="77" spans="2:50">
      <c r="B77" s="428"/>
      <c r="C77" s="249">
        <v>5</v>
      </c>
      <c r="D77" s="249" t="s">
        <v>113</v>
      </c>
      <c r="E77" s="250" t="e">
        <f>VLOOKUP(D77,#REF!,2,0)</f>
        <v>#REF!</v>
      </c>
      <c r="F77" s="250" t="e">
        <f>VLOOKUP(D77,#REF!,3,0)</f>
        <v>#REF!</v>
      </c>
      <c r="G77" s="251" t="e">
        <f t="shared" si="49"/>
        <v>#REF!</v>
      </c>
      <c r="H77" s="431"/>
      <c r="I77" s="250">
        <f t="shared" si="50"/>
        <v>13</v>
      </c>
      <c r="J77" s="250">
        <f t="shared" si="50"/>
        <v>1811.8571428571429</v>
      </c>
      <c r="K77" s="251">
        <f t="shared" si="50"/>
        <v>139.37362637362637</v>
      </c>
      <c r="L77" s="431"/>
      <c r="M77" s="250">
        <f t="shared" si="51"/>
        <v>3</v>
      </c>
      <c r="N77" s="419"/>
      <c r="O77" s="419"/>
      <c r="P77" s="250">
        <v>13</v>
      </c>
      <c r="Q77" s="250">
        <v>1840</v>
      </c>
      <c r="R77" s="182">
        <f t="shared" si="52"/>
        <v>141.53846153846155</v>
      </c>
      <c r="S77" s="110">
        <f t="shared" si="53"/>
        <v>3</v>
      </c>
      <c r="T77" s="431"/>
      <c r="U77" s="250">
        <v>13</v>
      </c>
      <c r="V77" s="250">
        <v>1913</v>
      </c>
      <c r="W77" s="251">
        <f t="shared" si="54"/>
        <v>147.15384615384616</v>
      </c>
      <c r="X77" s="249">
        <f t="shared" si="55"/>
        <v>3</v>
      </c>
      <c r="Y77" s="431"/>
      <c r="Z77" s="250">
        <v>13</v>
      </c>
      <c r="AA77" s="250">
        <v>1882</v>
      </c>
      <c r="AB77" s="251">
        <f t="shared" si="56"/>
        <v>144.76923076923077</v>
      </c>
      <c r="AC77" s="249">
        <f t="shared" si="57"/>
        <v>2</v>
      </c>
      <c r="AD77" s="431"/>
      <c r="AE77" s="250">
        <v>13</v>
      </c>
      <c r="AF77" s="250">
        <v>1840</v>
      </c>
      <c r="AG77" s="251">
        <f t="shared" si="58"/>
        <v>141.53846153846155</v>
      </c>
      <c r="AH77" s="249">
        <f t="shared" si="59"/>
        <v>3</v>
      </c>
      <c r="AI77" s="431"/>
      <c r="AJ77" s="250">
        <v>13</v>
      </c>
      <c r="AK77" s="250">
        <v>1755</v>
      </c>
      <c r="AL77" s="251">
        <f t="shared" si="60"/>
        <v>135</v>
      </c>
      <c r="AM77" s="249">
        <f t="shared" si="61"/>
        <v>2</v>
      </c>
      <c r="AN77" s="431"/>
      <c r="AO77" s="250">
        <v>13</v>
      </c>
      <c r="AP77" s="250">
        <v>1821</v>
      </c>
      <c r="AQ77" s="251">
        <f t="shared" si="62"/>
        <v>140.07692307692307</v>
      </c>
      <c r="AR77" s="249">
        <f t="shared" si="63"/>
        <v>3</v>
      </c>
      <c r="AS77" s="431"/>
      <c r="AT77" s="250">
        <v>13</v>
      </c>
      <c r="AU77" s="250">
        <v>1632</v>
      </c>
      <c r="AV77" s="251">
        <f t="shared" si="64"/>
        <v>125.53846153846153</v>
      </c>
      <c r="AW77" s="249">
        <f t="shared" si="65"/>
        <v>4</v>
      </c>
      <c r="AX77" s="431"/>
    </row>
    <row r="78" spans="2:50" ht="13.5" customHeight="1">
      <c r="B78" s="428"/>
      <c r="C78" s="249">
        <v>6</v>
      </c>
      <c r="D78" s="249" t="s">
        <v>114</v>
      </c>
      <c r="E78" s="250" t="e">
        <f>VLOOKUP(D78,#REF!,2,0)</f>
        <v>#REF!</v>
      </c>
      <c r="F78" s="250" t="e">
        <f>VLOOKUP(D78,#REF!,3,0)</f>
        <v>#REF!</v>
      </c>
      <c r="G78" s="251" t="e">
        <f t="shared" si="49"/>
        <v>#REF!</v>
      </c>
      <c r="H78" s="431"/>
      <c r="I78" s="250">
        <f t="shared" si="50"/>
        <v>14.428571428571429</v>
      </c>
      <c r="J78" s="250">
        <f t="shared" si="50"/>
        <v>1787.2857142857142</v>
      </c>
      <c r="K78" s="251">
        <f t="shared" si="50"/>
        <v>124.26692176870748</v>
      </c>
      <c r="L78" s="431"/>
      <c r="M78" s="250">
        <f t="shared" si="51"/>
        <v>4</v>
      </c>
      <c r="N78" s="419"/>
      <c r="O78" s="419"/>
      <c r="P78" s="250">
        <v>15</v>
      </c>
      <c r="Q78" s="250">
        <v>1972</v>
      </c>
      <c r="R78" s="182">
        <f t="shared" si="52"/>
        <v>131.46666666666667</v>
      </c>
      <c r="S78" s="110">
        <f t="shared" si="53"/>
        <v>4</v>
      </c>
      <c r="T78" s="431"/>
      <c r="U78" s="250">
        <v>14</v>
      </c>
      <c r="V78" s="250">
        <v>1869</v>
      </c>
      <c r="W78" s="251">
        <f t="shared" si="54"/>
        <v>133.5</v>
      </c>
      <c r="X78" s="249">
        <f t="shared" si="55"/>
        <v>4</v>
      </c>
      <c r="Y78" s="431"/>
      <c r="Z78" s="250">
        <v>14</v>
      </c>
      <c r="AA78" s="250">
        <v>1843</v>
      </c>
      <c r="AB78" s="251">
        <f t="shared" si="56"/>
        <v>131.64285714285714</v>
      </c>
      <c r="AC78" s="249">
        <f t="shared" si="57"/>
        <v>4</v>
      </c>
      <c r="AD78" s="431"/>
      <c r="AE78" s="250">
        <v>14</v>
      </c>
      <c r="AF78" s="250">
        <v>1561</v>
      </c>
      <c r="AG78" s="251">
        <f t="shared" si="58"/>
        <v>111.5</v>
      </c>
      <c r="AH78" s="249">
        <f t="shared" si="59"/>
        <v>4</v>
      </c>
      <c r="AI78" s="431"/>
      <c r="AJ78" s="250">
        <v>14</v>
      </c>
      <c r="AK78" s="250">
        <v>1847</v>
      </c>
      <c r="AL78" s="251">
        <f t="shared" si="60"/>
        <v>131.92857142857142</v>
      </c>
      <c r="AM78" s="249">
        <f t="shared" si="61"/>
        <v>4</v>
      </c>
      <c r="AN78" s="431"/>
      <c r="AO78" s="250">
        <v>16</v>
      </c>
      <c r="AP78" s="250">
        <v>1611</v>
      </c>
      <c r="AQ78" s="251">
        <f t="shared" si="62"/>
        <v>100.6875</v>
      </c>
      <c r="AR78" s="249">
        <f t="shared" si="63"/>
        <v>5</v>
      </c>
      <c r="AS78" s="431"/>
      <c r="AT78" s="250">
        <v>14</v>
      </c>
      <c r="AU78" s="250">
        <v>1808</v>
      </c>
      <c r="AV78" s="251">
        <f t="shared" si="64"/>
        <v>129.14285714285714</v>
      </c>
      <c r="AW78" s="249">
        <f t="shared" si="65"/>
        <v>3</v>
      </c>
      <c r="AX78" s="431"/>
    </row>
    <row r="79" spans="2:50">
      <c r="B79" s="428"/>
      <c r="C79" s="249">
        <v>7</v>
      </c>
      <c r="D79" s="249" t="s">
        <v>124</v>
      </c>
      <c r="E79" s="250" t="e">
        <f>VLOOKUP(D79,#REF!,2,0)</f>
        <v>#REF!</v>
      </c>
      <c r="F79" s="250" t="e">
        <f>VLOOKUP(D79,#REF!,3,0)</f>
        <v>#REF!</v>
      </c>
      <c r="G79" s="251" t="e">
        <f t="shared" si="49"/>
        <v>#REF!</v>
      </c>
      <c r="H79" s="431"/>
      <c r="I79" s="250">
        <f t="shared" si="50"/>
        <v>16.571428571428573</v>
      </c>
      <c r="J79" s="250">
        <f t="shared" si="50"/>
        <v>1201.0714285714287</v>
      </c>
      <c r="K79" s="251">
        <f t="shared" si="50"/>
        <v>72.334068627450975</v>
      </c>
      <c r="L79" s="431"/>
      <c r="M79" s="250">
        <f t="shared" si="51"/>
        <v>9</v>
      </c>
      <c r="N79" s="419"/>
      <c r="O79" s="419"/>
      <c r="P79" s="250">
        <v>16</v>
      </c>
      <c r="Q79" s="250">
        <v>1059</v>
      </c>
      <c r="R79" s="182">
        <f t="shared" si="52"/>
        <v>66.1875</v>
      </c>
      <c r="S79" s="110">
        <f t="shared" si="53"/>
        <v>10</v>
      </c>
      <c r="T79" s="431"/>
      <c r="U79" s="250">
        <v>17</v>
      </c>
      <c r="V79" s="250">
        <v>1191</v>
      </c>
      <c r="W79" s="251">
        <f t="shared" si="54"/>
        <v>70.058823529411768</v>
      </c>
      <c r="X79" s="249">
        <f t="shared" si="55"/>
        <v>10</v>
      </c>
      <c r="Y79" s="431"/>
      <c r="Z79" s="250">
        <v>17</v>
      </c>
      <c r="AA79" s="250">
        <v>1249</v>
      </c>
      <c r="AB79" s="251">
        <f t="shared" si="56"/>
        <v>73.470588235294116</v>
      </c>
      <c r="AC79" s="249">
        <f t="shared" si="57"/>
        <v>9</v>
      </c>
      <c r="AD79" s="431"/>
      <c r="AE79" s="250">
        <v>17</v>
      </c>
      <c r="AF79" s="250">
        <v>1149</v>
      </c>
      <c r="AG79" s="251">
        <f t="shared" si="58"/>
        <v>67.588235294117652</v>
      </c>
      <c r="AH79" s="249">
        <f t="shared" si="59"/>
        <v>9</v>
      </c>
      <c r="AI79" s="431"/>
      <c r="AJ79" s="250">
        <v>17</v>
      </c>
      <c r="AK79" s="250">
        <v>1159</v>
      </c>
      <c r="AL79" s="251">
        <f t="shared" si="60"/>
        <v>68.17647058823529</v>
      </c>
      <c r="AM79" s="249">
        <f t="shared" si="61"/>
        <v>9</v>
      </c>
      <c r="AN79" s="431"/>
      <c r="AO79" s="250">
        <v>17</v>
      </c>
      <c r="AP79" s="250">
        <v>1595</v>
      </c>
      <c r="AQ79" s="251">
        <f t="shared" si="62"/>
        <v>93.82352941176471</v>
      </c>
      <c r="AR79" s="249">
        <f t="shared" si="63"/>
        <v>6</v>
      </c>
      <c r="AS79" s="431"/>
      <c r="AT79" s="250">
        <v>15</v>
      </c>
      <c r="AU79" s="250">
        <v>1005.5</v>
      </c>
      <c r="AV79" s="251">
        <f t="shared" si="64"/>
        <v>67.033333333333331</v>
      </c>
      <c r="AW79" s="249">
        <f t="shared" si="65"/>
        <v>10</v>
      </c>
      <c r="AX79" s="431"/>
    </row>
    <row r="80" spans="2:50">
      <c r="B80" s="428"/>
      <c r="C80" s="249">
        <v>8</v>
      </c>
      <c r="D80" s="249" t="s">
        <v>117</v>
      </c>
      <c r="E80" s="250" t="e">
        <f>VLOOKUP(D80,#REF!,2,0)</f>
        <v>#REF!</v>
      </c>
      <c r="F80" s="250" t="e">
        <f>VLOOKUP(D80,#REF!,3,0)</f>
        <v>#REF!</v>
      </c>
      <c r="G80" s="251" t="e">
        <f t="shared" si="49"/>
        <v>#REF!</v>
      </c>
      <c r="H80" s="431"/>
      <c r="I80" s="250">
        <f t="shared" si="50"/>
        <v>17.428571428571427</v>
      </c>
      <c r="J80" s="250">
        <f t="shared" si="50"/>
        <v>1232.2857142857142</v>
      </c>
      <c r="K80" s="251">
        <f t="shared" si="50"/>
        <v>70.628384687208225</v>
      </c>
      <c r="L80" s="431"/>
      <c r="M80" s="250">
        <f t="shared" si="51"/>
        <v>10</v>
      </c>
      <c r="N80" s="419"/>
      <c r="O80" s="419"/>
      <c r="P80" s="250">
        <v>18</v>
      </c>
      <c r="Q80" s="250">
        <v>1509</v>
      </c>
      <c r="R80" s="182">
        <f t="shared" si="52"/>
        <v>83.833333333333329</v>
      </c>
      <c r="S80" s="110">
        <f t="shared" si="53"/>
        <v>9</v>
      </c>
      <c r="T80" s="431"/>
      <c r="U80" s="250">
        <v>17</v>
      </c>
      <c r="V80" s="250">
        <v>1302</v>
      </c>
      <c r="W80" s="251">
        <f t="shared" si="54"/>
        <v>76.588235294117652</v>
      </c>
      <c r="X80" s="249">
        <f t="shared" si="55"/>
        <v>9</v>
      </c>
      <c r="Y80" s="431"/>
      <c r="Z80" s="250">
        <v>17</v>
      </c>
      <c r="AA80" s="250">
        <v>1059</v>
      </c>
      <c r="AB80" s="251">
        <f t="shared" si="56"/>
        <v>62.294117647058826</v>
      </c>
      <c r="AC80" s="249">
        <f t="shared" si="57"/>
        <v>10</v>
      </c>
      <c r="AD80" s="431"/>
      <c r="AE80" s="250">
        <v>17</v>
      </c>
      <c r="AF80" s="250">
        <v>1092</v>
      </c>
      <c r="AG80" s="251">
        <f t="shared" si="58"/>
        <v>64.235294117647058</v>
      </c>
      <c r="AH80" s="249">
        <f t="shared" si="59"/>
        <v>10</v>
      </c>
      <c r="AI80" s="431"/>
      <c r="AJ80" s="250">
        <v>18</v>
      </c>
      <c r="AK80" s="250">
        <v>1140</v>
      </c>
      <c r="AL80" s="251">
        <f t="shared" si="60"/>
        <v>63.333333333333336</v>
      </c>
      <c r="AM80" s="249">
        <f t="shared" si="61"/>
        <v>10</v>
      </c>
      <c r="AN80" s="431"/>
      <c r="AO80" s="250">
        <v>17</v>
      </c>
      <c r="AP80" s="250">
        <v>1191</v>
      </c>
      <c r="AQ80" s="251">
        <f t="shared" si="62"/>
        <v>70.058823529411768</v>
      </c>
      <c r="AR80" s="249">
        <f t="shared" si="63"/>
        <v>10</v>
      </c>
      <c r="AS80" s="431"/>
      <c r="AT80" s="250">
        <v>18</v>
      </c>
      <c r="AU80" s="250">
        <v>1333</v>
      </c>
      <c r="AV80" s="251">
        <f t="shared" si="64"/>
        <v>74.055555555555557</v>
      </c>
      <c r="AW80" s="249">
        <f t="shared" si="65"/>
        <v>8</v>
      </c>
      <c r="AX80" s="431"/>
    </row>
    <row r="81" spans="2:50">
      <c r="B81" s="428"/>
      <c r="C81" s="249">
        <v>9</v>
      </c>
      <c r="D81" s="249" t="s">
        <v>118</v>
      </c>
      <c r="E81" s="250" t="e">
        <f>VLOOKUP(D81,#REF!,2,0)</f>
        <v>#REF!</v>
      </c>
      <c r="F81" s="250" t="e">
        <f>VLOOKUP(D81,#REF!,3,0)</f>
        <v>#REF!</v>
      </c>
      <c r="G81" s="251" t="e">
        <f t="shared" si="49"/>
        <v>#REF!</v>
      </c>
      <c r="H81" s="431"/>
      <c r="I81" s="250">
        <f t="shared" si="50"/>
        <v>16.142857142857142</v>
      </c>
      <c r="J81" s="250">
        <f t="shared" si="50"/>
        <v>1393.1428571428571</v>
      </c>
      <c r="K81" s="251">
        <f t="shared" si="50"/>
        <v>86.575700280112059</v>
      </c>
      <c r="L81" s="431"/>
      <c r="M81" s="250">
        <f t="shared" si="51"/>
        <v>6</v>
      </c>
      <c r="N81" s="419"/>
      <c r="O81" s="419"/>
      <c r="P81" s="250">
        <v>15</v>
      </c>
      <c r="Q81" s="250">
        <v>1519</v>
      </c>
      <c r="R81" s="182">
        <f t="shared" si="52"/>
        <v>101.26666666666667</v>
      </c>
      <c r="S81" s="110">
        <f t="shared" si="53"/>
        <v>6</v>
      </c>
      <c r="T81" s="431"/>
      <c r="U81" s="250">
        <v>16</v>
      </c>
      <c r="V81" s="250">
        <v>1230</v>
      </c>
      <c r="W81" s="251">
        <f t="shared" si="54"/>
        <v>76.875</v>
      </c>
      <c r="X81" s="249">
        <f t="shared" si="55"/>
        <v>8</v>
      </c>
      <c r="Y81" s="431"/>
      <c r="Z81" s="250">
        <v>16</v>
      </c>
      <c r="AA81" s="250">
        <v>1432</v>
      </c>
      <c r="AB81" s="251">
        <f t="shared" si="56"/>
        <v>89.5</v>
      </c>
      <c r="AC81" s="249">
        <f t="shared" si="57"/>
        <v>6</v>
      </c>
      <c r="AD81" s="431"/>
      <c r="AE81" s="250">
        <v>17</v>
      </c>
      <c r="AF81" s="250">
        <v>1334</v>
      </c>
      <c r="AG81" s="251">
        <f t="shared" si="58"/>
        <v>78.470588235294116</v>
      </c>
      <c r="AH81" s="249">
        <f t="shared" si="59"/>
        <v>8</v>
      </c>
      <c r="AI81" s="431"/>
      <c r="AJ81" s="250">
        <v>15</v>
      </c>
      <c r="AK81" s="250">
        <v>1362</v>
      </c>
      <c r="AL81" s="251">
        <f t="shared" si="60"/>
        <v>90.8</v>
      </c>
      <c r="AM81" s="249">
        <f t="shared" si="61"/>
        <v>6</v>
      </c>
      <c r="AN81" s="431"/>
      <c r="AO81" s="250">
        <v>17</v>
      </c>
      <c r="AP81" s="250">
        <v>1328</v>
      </c>
      <c r="AQ81" s="251">
        <f t="shared" si="62"/>
        <v>78.117647058823536</v>
      </c>
      <c r="AR81" s="249">
        <f t="shared" si="63"/>
        <v>9</v>
      </c>
      <c r="AS81" s="431"/>
      <c r="AT81" s="250">
        <v>17</v>
      </c>
      <c r="AU81" s="250">
        <v>1547</v>
      </c>
      <c r="AV81" s="251">
        <f t="shared" si="64"/>
        <v>91</v>
      </c>
      <c r="AW81" s="249">
        <f t="shared" si="65"/>
        <v>6</v>
      </c>
      <c r="AX81" s="431"/>
    </row>
    <row r="82" spans="2:50">
      <c r="B82" s="428"/>
      <c r="C82" s="249">
        <v>10</v>
      </c>
      <c r="D82" s="249" t="s">
        <v>121</v>
      </c>
      <c r="E82" s="250" t="e">
        <f>VLOOKUP(D82,#REF!,2,0)</f>
        <v>#REF!</v>
      </c>
      <c r="F82" s="250" t="e">
        <f>VLOOKUP(D82,#REF!,3,0)</f>
        <v>#REF!</v>
      </c>
      <c r="G82" s="251" t="e">
        <f t="shared" si="49"/>
        <v>#REF!</v>
      </c>
      <c r="H82" s="431"/>
      <c r="I82" s="250">
        <f t="shared" si="50"/>
        <v>16.857142857142858</v>
      </c>
      <c r="J82" s="250">
        <f t="shared" si="50"/>
        <v>1362.2857142857142</v>
      </c>
      <c r="K82" s="251">
        <f t="shared" si="50"/>
        <v>80.89845938375349</v>
      </c>
      <c r="L82" s="431"/>
      <c r="M82" s="250">
        <f t="shared" si="51"/>
        <v>8</v>
      </c>
      <c r="N82" s="419"/>
      <c r="O82" s="419"/>
      <c r="P82" s="250">
        <v>16</v>
      </c>
      <c r="Q82" s="250">
        <v>1472</v>
      </c>
      <c r="R82" s="182">
        <f t="shared" si="52"/>
        <v>92</v>
      </c>
      <c r="S82" s="110">
        <f t="shared" si="53"/>
        <v>7</v>
      </c>
      <c r="T82" s="431"/>
      <c r="U82" s="250">
        <v>17</v>
      </c>
      <c r="V82" s="250">
        <v>1349</v>
      </c>
      <c r="W82" s="251">
        <f t="shared" si="54"/>
        <v>79.352941176470594</v>
      </c>
      <c r="X82" s="249">
        <f t="shared" si="55"/>
        <v>7</v>
      </c>
      <c r="Y82" s="431"/>
      <c r="Z82" s="250">
        <v>18</v>
      </c>
      <c r="AA82" s="250">
        <v>1527</v>
      </c>
      <c r="AB82" s="251">
        <f t="shared" si="56"/>
        <v>84.833333333333329</v>
      </c>
      <c r="AC82" s="249">
        <f t="shared" si="57"/>
        <v>7</v>
      </c>
      <c r="AD82" s="431"/>
      <c r="AE82" s="250">
        <v>16</v>
      </c>
      <c r="AF82" s="250">
        <v>1340</v>
      </c>
      <c r="AG82" s="251">
        <f t="shared" si="58"/>
        <v>83.75</v>
      </c>
      <c r="AH82" s="249">
        <f t="shared" si="59"/>
        <v>7</v>
      </c>
      <c r="AI82" s="431"/>
      <c r="AJ82" s="250">
        <v>17</v>
      </c>
      <c r="AK82" s="250">
        <v>1319</v>
      </c>
      <c r="AL82" s="251">
        <f t="shared" si="60"/>
        <v>77.588235294117652</v>
      </c>
      <c r="AM82" s="249">
        <f t="shared" si="61"/>
        <v>8</v>
      </c>
      <c r="AN82" s="431"/>
      <c r="AO82" s="250">
        <v>17</v>
      </c>
      <c r="AP82" s="250">
        <v>1353</v>
      </c>
      <c r="AQ82" s="251">
        <f t="shared" si="62"/>
        <v>79.588235294117652</v>
      </c>
      <c r="AR82" s="249">
        <f t="shared" si="63"/>
        <v>8</v>
      </c>
      <c r="AS82" s="431"/>
      <c r="AT82" s="250">
        <v>17</v>
      </c>
      <c r="AU82" s="250">
        <v>1176</v>
      </c>
      <c r="AV82" s="251">
        <f t="shared" si="64"/>
        <v>69.17647058823529</v>
      </c>
      <c r="AW82" s="249">
        <f t="shared" si="65"/>
        <v>9</v>
      </c>
      <c r="AX82" s="431"/>
    </row>
    <row r="83" spans="2:50">
      <c r="B83" s="428"/>
      <c r="C83" s="249">
        <v>11</v>
      </c>
      <c r="D83" s="249"/>
      <c r="E83" s="250" t="e">
        <f>VLOOKUP(D83,#REF!,2,0)</f>
        <v>#REF!</v>
      </c>
      <c r="F83" s="250" t="e">
        <f>VLOOKUP(D83,#REF!,3,0)</f>
        <v>#REF!</v>
      </c>
      <c r="G83" s="251" t="e">
        <f t="shared" si="49"/>
        <v>#REF!</v>
      </c>
      <c r="H83" s="431"/>
      <c r="I83" s="250" t="e">
        <f t="shared" si="50"/>
        <v>#DIV/0!</v>
      </c>
      <c r="J83" s="250"/>
      <c r="K83" s="251"/>
      <c r="L83" s="431"/>
      <c r="M83" s="250"/>
      <c r="N83" s="419"/>
      <c r="O83" s="419"/>
      <c r="P83" s="249"/>
      <c r="Q83" s="249"/>
      <c r="R83" s="182"/>
      <c r="S83" s="110"/>
      <c r="T83" s="431"/>
      <c r="U83" s="249"/>
      <c r="V83" s="249"/>
      <c r="W83" s="251"/>
      <c r="X83" s="249"/>
      <c r="Y83" s="431"/>
      <c r="Z83" s="249"/>
      <c r="AA83" s="249"/>
      <c r="AB83" s="251"/>
      <c r="AC83" s="249"/>
      <c r="AD83" s="431"/>
      <c r="AE83" s="249"/>
      <c r="AF83" s="249"/>
      <c r="AG83" s="251"/>
      <c r="AH83" s="249"/>
      <c r="AI83" s="431"/>
      <c r="AJ83" s="249"/>
      <c r="AK83" s="249"/>
      <c r="AL83" s="251"/>
      <c r="AM83" s="249"/>
      <c r="AN83" s="431"/>
      <c r="AO83" s="249"/>
      <c r="AP83" s="249"/>
      <c r="AQ83" s="251"/>
      <c r="AR83" s="249"/>
      <c r="AS83" s="431"/>
      <c r="AT83" s="249"/>
      <c r="AU83" s="249"/>
      <c r="AV83" s="251"/>
      <c r="AW83" s="249"/>
      <c r="AX83" s="431"/>
    </row>
    <row r="84" spans="2:50">
      <c r="B84" s="428"/>
      <c r="C84" s="249">
        <v>12</v>
      </c>
      <c r="D84" s="249"/>
      <c r="E84" s="250" t="e">
        <f>VLOOKUP(D84,#REF!,2,0)</f>
        <v>#REF!</v>
      </c>
      <c r="F84" s="250" t="e">
        <f>VLOOKUP(D84,#REF!,3,0)</f>
        <v>#REF!</v>
      </c>
      <c r="G84" s="251" t="e">
        <f t="shared" si="49"/>
        <v>#REF!</v>
      </c>
      <c r="H84" s="431"/>
      <c r="I84" s="250" t="e">
        <f t="shared" si="50"/>
        <v>#DIV/0!</v>
      </c>
      <c r="J84" s="250"/>
      <c r="K84" s="251"/>
      <c r="L84" s="431"/>
      <c r="M84" s="250"/>
      <c r="N84" s="419"/>
      <c r="O84" s="419"/>
      <c r="P84" s="249"/>
      <c r="Q84" s="249"/>
      <c r="R84" s="182"/>
      <c r="S84" s="110"/>
      <c r="T84" s="431"/>
      <c r="U84" s="249"/>
      <c r="V84" s="249"/>
      <c r="W84" s="251"/>
      <c r="X84" s="249"/>
      <c r="Y84" s="431"/>
      <c r="Z84" s="249"/>
      <c r="AA84" s="249"/>
      <c r="AB84" s="251"/>
      <c r="AC84" s="249"/>
      <c r="AD84" s="431"/>
      <c r="AE84" s="249"/>
      <c r="AF84" s="249"/>
      <c r="AG84" s="251"/>
      <c r="AH84" s="249"/>
      <c r="AI84" s="431"/>
      <c r="AJ84" s="249"/>
      <c r="AK84" s="249"/>
      <c r="AL84" s="251"/>
      <c r="AM84" s="249"/>
      <c r="AN84" s="431"/>
      <c r="AO84" s="249"/>
      <c r="AP84" s="249"/>
      <c r="AQ84" s="251"/>
      <c r="AR84" s="249"/>
      <c r="AS84" s="431"/>
      <c r="AT84" s="249"/>
      <c r="AU84" s="249"/>
      <c r="AV84" s="251"/>
      <c r="AW84" s="249"/>
      <c r="AX84" s="431"/>
    </row>
    <row r="85" spans="2:50">
      <c r="B85" s="428"/>
      <c r="C85" s="249">
        <v>13</v>
      </c>
      <c r="D85" s="249"/>
      <c r="E85" s="250" t="e">
        <f>VLOOKUP(D85,#REF!,2,0)</f>
        <v>#REF!</v>
      </c>
      <c r="F85" s="250" t="e">
        <f>VLOOKUP(D85,#REF!,3,0)</f>
        <v>#REF!</v>
      </c>
      <c r="G85" s="251" t="e">
        <f t="shared" si="49"/>
        <v>#REF!</v>
      </c>
      <c r="H85" s="431"/>
      <c r="I85" s="250" t="e">
        <f t="shared" si="50"/>
        <v>#DIV/0!</v>
      </c>
      <c r="J85" s="250"/>
      <c r="K85" s="251"/>
      <c r="L85" s="431"/>
      <c r="M85" s="250"/>
      <c r="N85" s="419"/>
      <c r="O85" s="419"/>
      <c r="P85" s="249"/>
      <c r="Q85" s="249"/>
      <c r="R85" s="182"/>
      <c r="S85" s="110"/>
      <c r="T85" s="431"/>
      <c r="U85" s="249"/>
      <c r="V85" s="249"/>
      <c r="W85" s="251"/>
      <c r="X85" s="249"/>
      <c r="Y85" s="431"/>
      <c r="Z85" s="249"/>
      <c r="AA85" s="249"/>
      <c r="AB85" s="251"/>
      <c r="AC85" s="249"/>
      <c r="AD85" s="431"/>
      <c r="AE85" s="249"/>
      <c r="AF85" s="249"/>
      <c r="AG85" s="251"/>
      <c r="AH85" s="249"/>
      <c r="AI85" s="431"/>
      <c r="AJ85" s="249"/>
      <c r="AK85" s="249"/>
      <c r="AL85" s="251"/>
      <c r="AM85" s="249"/>
      <c r="AN85" s="431"/>
      <c r="AO85" s="249"/>
      <c r="AP85" s="249"/>
      <c r="AQ85" s="251"/>
      <c r="AR85" s="249"/>
      <c r="AS85" s="431"/>
      <c r="AT85" s="249"/>
      <c r="AU85" s="249"/>
      <c r="AV85" s="251"/>
      <c r="AW85" s="249"/>
      <c r="AX85" s="431"/>
    </row>
    <row r="86" spans="2:50" ht="13.5">
      <c r="B86" s="428"/>
      <c r="C86" s="249">
        <v>14</v>
      </c>
      <c r="D86" s="253"/>
      <c r="E86" s="250"/>
      <c r="F86" s="250"/>
      <c r="G86" s="251"/>
      <c r="H86" s="431"/>
      <c r="I86" s="250"/>
      <c r="J86" s="250"/>
      <c r="K86" s="251"/>
      <c r="L86" s="431"/>
      <c r="M86" s="250"/>
      <c r="N86" s="419"/>
      <c r="O86" s="419"/>
      <c r="P86" s="249"/>
      <c r="Q86" s="249"/>
      <c r="R86" s="182"/>
      <c r="S86" s="110"/>
      <c r="T86" s="431"/>
      <c r="U86" s="249"/>
      <c r="V86" s="249"/>
      <c r="W86" s="251"/>
      <c r="X86" s="249"/>
      <c r="Y86" s="431"/>
      <c r="Z86" s="249"/>
      <c r="AA86" s="249"/>
      <c r="AB86" s="251"/>
      <c r="AC86" s="249"/>
      <c r="AD86" s="431"/>
      <c r="AE86" s="249"/>
      <c r="AF86" s="249"/>
      <c r="AG86" s="251"/>
      <c r="AH86" s="249"/>
      <c r="AI86" s="431"/>
      <c r="AJ86" s="249"/>
      <c r="AK86" s="249"/>
      <c r="AL86" s="251"/>
      <c r="AM86" s="249"/>
      <c r="AN86" s="431"/>
      <c r="AO86" s="249"/>
      <c r="AP86" s="249"/>
      <c r="AQ86" s="251"/>
      <c r="AR86" s="249"/>
      <c r="AS86" s="431"/>
      <c r="AT86" s="249"/>
      <c r="AU86" s="249"/>
      <c r="AV86" s="251"/>
      <c r="AW86" s="249"/>
      <c r="AX86" s="431"/>
    </row>
    <row r="87" spans="2:50">
      <c r="B87" s="428"/>
      <c r="C87" s="249">
        <v>15</v>
      </c>
      <c r="D87" s="249"/>
      <c r="E87" s="250"/>
      <c r="F87" s="250"/>
      <c r="G87" s="251"/>
      <c r="H87" s="431"/>
      <c r="I87" s="250"/>
      <c r="J87" s="250"/>
      <c r="K87" s="251"/>
      <c r="L87" s="431"/>
      <c r="M87" s="250"/>
      <c r="N87" s="419"/>
      <c r="O87" s="419"/>
      <c r="P87" s="249"/>
      <c r="Q87" s="249"/>
      <c r="R87" s="182"/>
      <c r="S87" s="110"/>
      <c r="T87" s="431"/>
      <c r="U87" s="249"/>
      <c r="V87" s="249"/>
      <c r="W87" s="251"/>
      <c r="X87" s="249"/>
      <c r="Y87" s="431"/>
      <c r="Z87" s="249"/>
      <c r="AA87" s="249"/>
      <c r="AB87" s="251"/>
      <c r="AC87" s="249"/>
      <c r="AD87" s="431"/>
      <c r="AE87" s="249"/>
      <c r="AF87" s="249"/>
      <c r="AG87" s="251"/>
      <c r="AH87" s="249"/>
      <c r="AI87" s="431"/>
      <c r="AJ87" s="249"/>
      <c r="AK87" s="249"/>
      <c r="AL87" s="251"/>
      <c r="AM87" s="249"/>
      <c r="AN87" s="431"/>
      <c r="AO87" s="249"/>
      <c r="AP87" s="249"/>
      <c r="AQ87" s="251"/>
      <c r="AR87" s="249"/>
      <c r="AS87" s="431"/>
      <c r="AT87" s="249"/>
      <c r="AU87" s="249"/>
      <c r="AV87" s="251"/>
      <c r="AW87" s="249"/>
      <c r="AX87" s="431"/>
    </row>
    <row r="88" spans="2:50">
      <c r="B88" s="428"/>
      <c r="C88" s="249">
        <v>16</v>
      </c>
      <c r="D88" s="249"/>
      <c r="E88" s="250"/>
      <c r="F88" s="250"/>
      <c r="G88" s="251"/>
      <c r="H88" s="431"/>
      <c r="I88" s="250"/>
      <c r="J88" s="250"/>
      <c r="K88" s="251"/>
      <c r="L88" s="431"/>
      <c r="M88" s="250"/>
      <c r="N88" s="419"/>
      <c r="O88" s="419"/>
      <c r="P88" s="249"/>
      <c r="Q88" s="249"/>
      <c r="R88" s="182"/>
      <c r="S88" s="110"/>
      <c r="T88" s="431"/>
      <c r="U88" s="249"/>
      <c r="V88" s="249"/>
      <c r="W88" s="251"/>
      <c r="X88" s="249"/>
      <c r="Y88" s="431"/>
      <c r="Z88" s="249"/>
      <c r="AA88" s="249"/>
      <c r="AB88" s="251"/>
      <c r="AC88" s="249"/>
      <c r="AD88" s="431"/>
      <c r="AE88" s="249"/>
      <c r="AF88" s="249"/>
      <c r="AG88" s="251"/>
      <c r="AH88" s="249"/>
      <c r="AI88" s="431"/>
      <c r="AJ88" s="249"/>
      <c r="AK88" s="249"/>
      <c r="AL88" s="251"/>
      <c r="AM88" s="249"/>
      <c r="AN88" s="431"/>
      <c r="AO88" s="249"/>
      <c r="AP88" s="249"/>
      <c r="AQ88" s="251"/>
      <c r="AR88" s="249"/>
      <c r="AS88" s="431"/>
      <c r="AT88" s="249"/>
      <c r="AU88" s="249"/>
      <c r="AV88" s="251"/>
      <c r="AW88" s="249"/>
      <c r="AX88" s="431"/>
    </row>
    <row r="89" spans="2:50">
      <c r="B89" s="428"/>
      <c r="C89" s="249">
        <v>17</v>
      </c>
      <c r="D89" s="249"/>
      <c r="E89" s="250"/>
      <c r="F89" s="250"/>
      <c r="G89" s="251"/>
      <c r="H89" s="431"/>
      <c r="I89" s="250"/>
      <c r="J89" s="250"/>
      <c r="K89" s="251"/>
      <c r="L89" s="431"/>
      <c r="M89" s="250"/>
      <c r="N89" s="419"/>
      <c r="O89" s="419"/>
      <c r="P89" s="249"/>
      <c r="Q89" s="249"/>
      <c r="R89" s="182"/>
      <c r="S89" s="110"/>
      <c r="T89" s="431"/>
      <c r="U89" s="249"/>
      <c r="V89" s="249"/>
      <c r="W89" s="251"/>
      <c r="X89" s="249"/>
      <c r="Y89" s="431"/>
      <c r="Z89" s="249"/>
      <c r="AA89" s="249"/>
      <c r="AB89" s="251"/>
      <c r="AC89" s="249"/>
      <c r="AD89" s="431"/>
      <c r="AE89" s="249"/>
      <c r="AF89" s="249"/>
      <c r="AG89" s="251"/>
      <c r="AH89" s="249"/>
      <c r="AI89" s="431"/>
      <c r="AJ89" s="249"/>
      <c r="AK89" s="249"/>
      <c r="AL89" s="251"/>
      <c r="AM89" s="249"/>
      <c r="AN89" s="431"/>
      <c r="AO89" s="249"/>
      <c r="AP89" s="249"/>
      <c r="AQ89" s="251"/>
      <c r="AR89" s="249"/>
      <c r="AS89" s="431"/>
      <c r="AT89" s="249"/>
      <c r="AU89" s="249"/>
      <c r="AV89" s="251"/>
      <c r="AW89" s="249"/>
      <c r="AX89" s="431"/>
    </row>
    <row r="90" spans="2:50">
      <c r="B90" s="429"/>
      <c r="C90" s="249">
        <v>18</v>
      </c>
      <c r="D90" s="249"/>
      <c r="E90" s="250"/>
      <c r="F90" s="250"/>
      <c r="G90" s="251"/>
      <c r="H90" s="431"/>
      <c r="I90" s="249"/>
      <c r="J90" s="249"/>
      <c r="K90" s="249"/>
      <c r="L90" s="432"/>
      <c r="M90" s="250"/>
      <c r="N90" s="420"/>
      <c r="O90" s="420"/>
      <c r="P90" s="249"/>
      <c r="Q90" s="249"/>
      <c r="R90" s="182"/>
      <c r="S90" s="110"/>
      <c r="T90" s="432"/>
      <c r="U90" s="249"/>
      <c r="V90" s="249"/>
      <c r="W90" s="251"/>
      <c r="X90" s="249"/>
      <c r="Y90" s="432"/>
      <c r="Z90" s="249"/>
      <c r="AA90" s="249"/>
      <c r="AB90" s="251"/>
      <c r="AC90" s="249"/>
      <c r="AD90" s="432"/>
      <c r="AE90" s="249"/>
      <c r="AF90" s="249"/>
      <c r="AG90" s="251"/>
      <c r="AH90" s="249"/>
      <c r="AI90" s="432"/>
      <c r="AJ90" s="249"/>
      <c r="AK90" s="249"/>
      <c r="AL90" s="251"/>
      <c r="AM90" s="249"/>
      <c r="AN90" s="432"/>
      <c r="AO90" s="249"/>
      <c r="AP90" s="249"/>
      <c r="AQ90" s="251"/>
      <c r="AR90" s="249"/>
      <c r="AS90" s="432"/>
      <c r="AT90" s="249"/>
      <c r="AU90" s="249"/>
      <c r="AV90" s="251"/>
      <c r="AW90" s="249"/>
      <c r="AX90" s="432"/>
    </row>
    <row r="91" spans="2:50" ht="15.75">
      <c r="B91" s="426" t="s">
        <v>93</v>
      </c>
      <c r="C91" s="422"/>
      <c r="D91" s="422"/>
      <c r="E91" s="422"/>
      <c r="F91" s="422"/>
      <c r="G91" s="422"/>
      <c r="H91" s="422"/>
      <c r="I91" s="254"/>
      <c r="J91" s="254"/>
      <c r="K91" s="254"/>
      <c r="L91" s="254"/>
      <c r="M91" s="255"/>
      <c r="N91" s="418" t="s">
        <v>94</v>
      </c>
      <c r="O91" s="418" t="s">
        <v>45</v>
      </c>
      <c r="P91" s="413">
        <v>45958</v>
      </c>
      <c r="Q91" s="405"/>
      <c r="R91" s="405"/>
      <c r="S91" s="405"/>
      <c r="T91" s="405"/>
      <c r="U91" s="413">
        <v>45959</v>
      </c>
      <c r="V91" s="405"/>
      <c r="W91" s="405"/>
      <c r="X91" s="405"/>
      <c r="Y91" s="405"/>
      <c r="Z91" s="413">
        <v>45960</v>
      </c>
      <c r="AA91" s="405"/>
      <c r="AB91" s="405"/>
      <c r="AC91" s="405"/>
      <c r="AD91" s="405"/>
      <c r="AE91" s="413">
        <v>45961</v>
      </c>
      <c r="AF91" s="405"/>
      <c r="AG91" s="405"/>
      <c r="AH91" s="405"/>
      <c r="AI91" s="405"/>
      <c r="AJ91" s="413"/>
      <c r="AK91" s="405"/>
      <c r="AL91" s="405"/>
      <c r="AM91" s="405"/>
      <c r="AN91" s="405"/>
      <c r="AO91" s="413"/>
      <c r="AP91" s="405"/>
      <c r="AQ91" s="405"/>
      <c r="AR91" s="405"/>
      <c r="AS91" s="405"/>
      <c r="AT91" s="413"/>
      <c r="AU91" s="405"/>
      <c r="AV91" s="405"/>
      <c r="AW91" s="405"/>
      <c r="AX91" s="405"/>
    </row>
    <row r="92" spans="2:50" ht="15.75">
      <c r="B92" s="423"/>
      <c r="C92" s="423"/>
      <c r="D92" s="423"/>
      <c r="E92" s="423"/>
      <c r="F92" s="423"/>
      <c r="G92" s="423"/>
      <c r="H92" s="423"/>
      <c r="I92" s="245"/>
      <c r="J92" s="245"/>
      <c r="K92" s="245"/>
      <c r="L92" s="245"/>
      <c r="M92" s="246"/>
      <c r="N92" s="420"/>
      <c r="O92" s="420"/>
      <c r="P92" s="413" t="s">
        <v>77</v>
      </c>
      <c r="Q92" s="405"/>
      <c r="R92" s="405"/>
      <c r="S92" s="405"/>
      <c r="T92" s="405"/>
      <c r="U92" s="413" t="s">
        <v>72</v>
      </c>
      <c r="V92" s="405"/>
      <c r="W92" s="405"/>
      <c r="X92" s="405"/>
      <c r="Y92" s="405"/>
      <c r="Z92" s="413" t="s">
        <v>73</v>
      </c>
      <c r="AA92" s="405"/>
      <c r="AB92" s="405"/>
      <c r="AC92" s="405"/>
      <c r="AD92" s="405"/>
      <c r="AE92" s="413" t="s">
        <v>74</v>
      </c>
      <c r="AF92" s="405"/>
      <c r="AG92" s="405"/>
      <c r="AH92" s="405"/>
      <c r="AI92" s="405"/>
      <c r="AJ92" s="413" t="s">
        <v>75</v>
      </c>
      <c r="AK92" s="405"/>
      <c r="AL92" s="405"/>
      <c r="AM92" s="405"/>
      <c r="AN92" s="405"/>
      <c r="AO92" s="413" t="s">
        <v>52</v>
      </c>
      <c r="AP92" s="405"/>
      <c r="AQ92" s="405"/>
      <c r="AR92" s="405"/>
      <c r="AS92" s="405"/>
      <c r="AT92" s="413" t="s">
        <v>76</v>
      </c>
      <c r="AU92" s="405"/>
      <c r="AV92" s="405"/>
      <c r="AW92" s="405"/>
      <c r="AX92" s="405"/>
    </row>
    <row r="93" spans="2:50">
      <c r="B93" s="409" t="s">
        <v>95</v>
      </c>
      <c r="C93" s="409" t="s">
        <v>96</v>
      </c>
      <c r="D93" s="409"/>
      <c r="E93" s="409" t="s">
        <v>97</v>
      </c>
      <c r="F93" s="409"/>
      <c r="G93" s="409"/>
      <c r="H93" s="415" t="s">
        <v>98</v>
      </c>
      <c r="I93" s="409" t="s">
        <v>99</v>
      </c>
      <c r="J93" s="409"/>
      <c r="K93" s="409"/>
      <c r="L93" s="415" t="s">
        <v>98</v>
      </c>
      <c r="M93" s="418" t="s">
        <v>100</v>
      </c>
      <c r="N93" s="418"/>
      <c r="O93" s="418" t="s">
        <v>101</v>
      </c>
      <c r="P93" s="410" t="s">
        <v>102</v>
      </c>
      <c r="Q93" s="411"/>
      <c r="R93" s="411"/>
      <c r="S93" s="412"/>
      <c r="T93" s="409" t="s">
        <v>98</v>
      </c>
      <c r="U93" s="410" t="s">
        <v>102</v>
      </c>
      <c r="V93" s="411"/>
      <c r="W93" s="411"/>
      <c r="X93" s="412"/>
      <c r="Y93" s="409" t="s">
        <v>98</v>
      </c>
      <c r="Z93" s="410" t="s">
        <v>102</v>
      </c>
      <c r="AA93" s="411"/>
      <c r="AB93" s="411"/>
      <c r="AC93" s="412"/>
      <c r="AD93" s="409" t="s">
        <v>98</v>
      </c>
      <c r="AE93" s="410" t="s">
        <v>102</v>
      </c>
      <c r="AF93" s="411"/>
      <c r="AG93" s="411"/>
      <c r="AH93" s="412"/>
      <c r="AI93" s="409" t="s">
        <v>98</v>
      </c>
      <c r="AJ93" s="410" t="s">
        <v>102</v>
      </c>
      <c r="AK93" s="411"/>
      <c r="AL93" s="411"/>
      <c r="AM93" s="412"/>
      <c r="AN93" s="409" t="s">
        <v>98</v>
      </c>
      <c r="AO93" s="410" t="s">
        <v>102</v>
      </c>
      <c r="AP93" s="411"/>
      <c r="AQ93" s="411"/>
      <c r="AR93" s="412"/>
      <c r="AS93" s="409" t="s">
        <v>98</v>
      </c>
      <c r="AT93" s="410" t="s">
        <v>102</v>
      </c>
      <c r="AU93" s="411"/>
      <c r="AV93" s="411"/>
      <c r="AW93" s="412"/>
      <c r="AX93" s="409" t="s">
        <v>98</v>
      </c>
    </row>
    <row r="94" spans="2:50">
      <c r="B94" s="409"/>
      <c r="C94" s="409"/>
      <c r="D94" s="409"/>
      <c r="E94" s="409" t="s">
        <v>103</v>
      </c>
      <c r="F94" s="409"/>
      <c r="G94" s="409"/>
      <c r="H94" s="416"/>
      <c r="I94" s="409" t="s">
        <v>103</v>
      </c>
      <c r="J94" s="409"/>
      <c r="K94" s="409"/>
      <c r="L94" s="416"/>
      <c r="M94" s="419"/>
      <c r="N94" s="419"/>
      <c r="O94" s="419"/>
      <c r="P94" s="410" t="s">
        <v>104</v>
      </c>
      <c r="Q94" s="411"/>
      <c r="R94" s="411"/>
      <c r="S94" s="412"/>
      <c r="T94" s="409"/>
      <c r="U94" s="410" t="s">
        <v>104</v>
      </c>
      <c r="V94" s="411"/>
      <c r="W94" s="411"/>
      <c r="X94" s="412"/>
      <c r="Y94" s="409"/>
      <c r="Z94" s="410" t="s">
        <v>104</v>
      </c>
      <c r="AA94" s="411"/>
      <c r="AB94" s="411"/>
      <c r="AC94" s="412"/>
      <c r="AD94" s="409"/>
      <c r="AE94" s="410" t="s">
        <v>104</v>
      </c>
      <c r="AF94" s="411"/>
      <c r="AG94" s="411"/>
      <c r="AH94" s="412"/>
      <c r="AI94" s="409"/>
      <c r="AJ94" s="410" t="s">
        <v>104</v>
      </c>
      <c r="AK94" s="411"/>
      <c r="AL94" s="411"/>
      <c r="AM94" s="412"/>
      <c r="AN94" s="409"/>
      <c r="AO94" s="410" t="s">
        <v>104</v>
      </c>
      <c r="AP94" s="411"/>
      <c r="AQ94" s="411"/>
      <c r="AR94" s="412"/>
      <c r="AS94" s="409"/>
      <c r="AT94" s="410" t="s">
        <v>104</v>
      </c>
      <c r="AU94" s="411"/>
      <c r="AV94" s="411"/>
      <c r="AW94" s="412"/>
      <c r="AX94" s="409"/>
    </row>
    <row r="95" spans="2:50">
      <c r="B95" s="418"/>
      <c r="C95" s="409"/>
      <c r="D95" s="409"/>
      <c r="E95" s="248" t="s">
        <v>105</v>
      </c>
      <c r="F95" s="248" t="s">
        <v>106</v>
      </c>
      <c r="G95" s="248" t="s">
        <v>107</v>
      </c>
      <c r="H95" s="417"/>
      <c r="I95" s="248" t="s">
        <v>105</v>
      </c>
      <c r="J95" s="248" t="s">
        <v>106</v>
      </c>
      <c r="K95" s="248" t="s">
        <v>107</v>
      </c>
      <c r="L95" s="417"/>
      <c r="M95" s="420"/>
      <c r="N95" s="419"/>
      <c r="O95" s="419"/>
      <c r="P95" s="248" t="s">
        <v>105</v>
      </c>
      <c r="Q95" s="248" t="s">
        <v>106</v>
      </c>
      <c r="R95" s="248" t="s">
        <v>107</v>
      </c>
      <c r="S95" s="248" t="s">
        <v>100</v>
      </c>
      <c r="T95" s="409"/>
      <c r="U95" s="248" t="s">
        <v>105</v>
      </c>
      <c r="V95" s="248" t="s">
        <v>106</v>
      </c>
      <c r="W95" s="248" t="s">
        <v>107</v>
      </c>
      <c r="X95" s="248" t="s">
        <v>100</v>
      </c>
      <c r="Y95" s="409"/>
      <c r="Z95" s="248" t="s">
        <v>105</v>
      </c>
      <c r="AA95" s="248" t="s">
        <v>106</v>
      </c>
      <c r="AB95" s="248" t="s">
        <v>107</v>
      </c>
      <c r="AC95" s="248" t="s">
        <v>100</v>
      </c>
      <c r="AD95" s="409"/>
      <c r="AE95" s="248" t="s">
        <v>105</v>
      </c>
      <c r="AF95" s="248" t="s">
        <v>106</v>
      </c>
      <c r="AG95" s="248" t="s">
        <v>107</v>
      </c>
      <c r="AH95" s="248" t="s">
        <v>100</v>
      </c>
      <c r="AI95" s="409"/>
      <c r="AJ95" s="248" t="s">
        <v>105</v>
      </c>
      <c r="AK95" s="248" t="s">
        <v>106</v>
      </c>
      <c r="AL95" s="248" t="s">
        <v>107</v>
      </c>
      <c r="AM95" s="248" t="s">
        <v>100</v>
      </c>
      <c r="AN95" s="409"/>
      <c r="AO95" s="248" t="s">
        <v>105</v>
      </c>
      <c r="AP95" s="248" t="s">
        <v>106</v>
      </c>
      <c r="AQ95" s="248" t="s">
        <v>107</v>
      </c>
      <c r="AR95" s="248" t="s">
        <v>100</v>
      </c>
      <c r="AS95" s="409"/>
      <c r="AT95" s="248" t="s">
        <v>105</v>
      </c>
      <c r="AU95" s="248" t="s">
        <v>106</v>
      </c>
      <c r="AV95" s="248" t="s">
        <v>107</v>
      </c>
      <c r="AW95" s="248" t="s">
        <v>100</v>
      </c>
      <c r="AX95" s="409"/>
    </row>
    <row r="96" spans="2:50" ht="13.5">
      <c r="B96" s="621" t="s">
        <v>108</v>
      </c>
      <c r="C96" s="622">
        <v>1</v>
      </c>
      <c r="D96" s="253" t="s">
        <v>109</v>
      </c>
      <c r="E96" s="250" t="e">
        <f>VLOOKUP(D96,#REF!,2,0)</f>
        <v>#REF!</v>
      </c>
      <c r="F96" s="250" t="e">
        <f>VLOOKUP(D96,#REF!,3,0)</f>
        <v>#REF!</v>
      </c>
      <c r="G96" s="251" t="e">
        <f>F96/E96</f>
        <v>#REF!</v>
      </c>
      <c r="H96" s="430" t="e">
        <f>AVERAGE(G96:G110)</f>
        <v>#REF!</v>
      </c>
      <c r="I96" s="250">
        <f>AVERAGE(P96,U96,Z96,AE96,AJ96,AO96,AT96)</f>
        <v>12</v>
      </c>
      <c r="J96" s="250">
        <f>AVERAGE(Q96,V96,AA96,AF96,AK96,AP96,AU96)</f>
        <v>1811.75</v>
      </c>
      <c r="K96" s="251">
        <f>AVERAGE(R96,W96,AB96,AG96)</f>
        <v>150.97916666666669</v>
      </c>
      <c r="L96" s="430">
        <f>IFERROR(AVERAGE(K96:K113),"-")</f>
        <v>102.61025203350569</v>
      </c>
      <c r="M96" s="250">
        <f>RANK(K96, K$96:$K$113)</f>
        <v>1</v>
      </c>
      <c r="N96" s="419"/>
      <c r="O96" s="419"/>
      <c r="P96" s="250">
        <v>12</v>
      </c>
      <c r="Q96" s="250">
        <v>1723</v>
      </c>
      <c r="R96" s="251">
        <f>Q96/P96</f>
        <v>143.58333333333334</v>
      </c>
      <c r="S96" s="249">
        <f>RANK(R96,$R$96:$R$113)</f>
        <v>2</v>
      </c>
      <c r="T96" s="430">
        <f>AVERAGE(R96:R113)</f>
        <v>103.16296685340802</v>
      </c>
      <c r="U96" s="250">
        <v>12</v>
      </c>
      <c r="V96" s="250">
        <v>1881</v>
      </c>
      <c r="W96" s="251">
        <f>V96/U96</f>
        <v>156.75</v>
      </c>
      <c r="X96" s="249">
        <f>RANK(W96,$W$96:$W$113)</f>
        <v>1</v>
      </c>
      <c r="Y96" s="430">
        <f>AVERAGE(W96:W113)</f>
        <v>102.29796477351624</v>
      </c>
      <c r="Z96" s="250">
        <v>12</v>
      </c>
      <c r="AA96" s="250">
        <v>1918</v>
      </c>
      <c r="AB96" s="251">
        <f>AA96/Z96</f>
        <v>159.83333333333334</v>
      </c>
      <c r="AC96" s="249">
        <f>RANK(AB96, $AB$96:$AB$113)</f>
        <v>1</v>
      </c>
      <c r="AD96" s="430">
        <f>AVERAGE(AB96:AB113)</f>
        <v>105.10470639110348</v>
      </c>
      <c r="AE96" s="250">
        <v>12</v>
      </c>
      <c r="AF96" s="250">
        <v>1725</v>
      </c>
      <c r="AG96" s="251">
        <f>AF96/AE96</f>
        <v>143.75</v>
      </c>
      <c r="AH96" s="249" t="e">
        <f>RANK(AG96,$AG$96:$AG$113)</f>
        <v>#DIV/0!</v>
      </c>
      <c r="AI96" s="430" t="e">
        <f>AVERAGE(AG96:AG113)</f>
        <v>#DIV/0!</v>
      </c>
      <c r="AJ96" s="250"/>
      <c r="AK96" s="250"/>
      <c r="AL96" s="251" t="e">
        <f>AK96/AJ96</f>
        <v>#DIV/0!</v>
      </c>
      <c r="AM96" s="249" t="e">
        <f>RANK(AL96,$AL$96:$AL$113)</f>
        <v>#DIV/0!</v>
      </c>
      <c r="AN96" s="430" t="e">
        <f>AVERAGE(AL96:AL113)</f>
        <v>#DIV/0!</v>
      </c>
      <c r="AO96" s="249"/>
      <c r="AP96" s="249"/>
      <c r="AQ96" s="251" t="e">
        <f>AP96/AO96</f>
        <v>#DIV/0!</v>
      </c>
      <c r="AR96" s="249" t="e">
        <f>RANK(AQ96,$AQ$96:$AQ$113)</f>
        <v>#DIV/0!</v>
      </c>
      <c r="AS96" s="430" t="e">
        <f>AVERAGE(AQ96:AQ113)</f>
        <v>#DIV/0!</v>
      </c>
      <c r="AT96" s="249"/>
      <c r="AU96" s="249"/>
      <c r="AV96" s="251" t="e">
        <f>AU96/AT96</f>
        <v>#DIV/0!</v>
      </c>
      <c r="AW96" s="249" t="e">
        <f>RANK(AV96,$AV$96:$AV$113)</f>
        <v>#DIV/0!</v>
      </c>
      <c r="AX96" s="430" t="e">
        <f>AVERAGE(AV96:AV113)</f>
        <v>#DIV/0!</v>
      </c>
    </row>
    <row r="97" spans="1:50">
      <c r="B97" s="621"/>
      <c r="C97" s="622">
        <v>2</v>
      </c>
      <c r="D97" s="249" t="s">
        <v>110</v>
      </c>
      <c r="E97" s="250" t="e">
        <f>VLOOKUP(D97,#REF!,2,0)</f>
        <v>#REF!</v>
      </c>
      <c r="F97" s="250" t="e">
        <f>VLOOKUP(D97,#REF!,3,0)</f>
        <v>#REF!</v>
      </c>
      <c r="G97" s="251" t="e">
        <f t="shared" ref="G97:G107" si="66">F97/E97</f>
        <v>#REF!</v>
      </c>
      <c r="H97" s="431"/>
      <c r="I97" s="250">
        <f t="shared" ref="I97:J106" si="67">AVERAGE(P97,U97,Z97,AE97,AJ97,AO97,AT97)</f>
        <v>13</v>
      </c>
      <c r="J97" s="250">
        <f t="shared" si="67"/>
        <v>1882.75</v>
      </c>
      <c r="K97" s="251">
        <f t="shared" ref="K97:K107" si="68">AVERAGE(R97,W97,AB97,AG97)</f>
        <v>144.82692307692307</v>
      </c>
      <c r="L97" s="431"/>
      <c r="M97" s="250">
        <f>RANK(K97, K$96:$K$113)</f>
        <v>2</v>
      </c>
      <c r="N97" s="419"/>
      <c r="O97" s="419"/>
      <c r="P97" s="250">
        <v>13</v>
      </c>
      <c r="Q97" s="250">
        <v>1907</v>
      </c>
      <c r="R97" s="251">
        <f t="shared" ref="R97:R106" si="69">Q97/P97</f>
        <v>146.69230769230768</v>
      </c>
      <c r="S97" s="249">
        <f t="shared" ref="S97:S106" si="70">RANK(R97,$R$96:$R$113)</f>
        <v>1</v>
      </c>
      <c r="T97" s="431"/>
      <c r="U97" s="250">
        <v>13</v>
      </c>
      <c r="V97" s="250">
        <v>1798</v>
      </c>
      <c r="W97" s="251">
        <f t="shared" ref="W97:W106" si="71">V97/U97</f>
        <v>138.30769230769232</v>
      </c>
      <c r="X97" s="249">
        <f t="shared" ref="X97:X106" si="72">RANK(W97,$W$96:$W$113)</f>
        <v>3</v>
      </c>
      <c r="Y97" s="431"/>
      <c r="Z97" s="250">
        <v>13</v>
      </c>
      <c r="AA97" s="250">
        <v>1995</v>
      </c>
      <c r="AB97" s="251">
        <f t="shared" ref="AB97:AB106" si="73">AA97/Z97</f>
        <v>153.46153846153845</v>
      </c>
      <c r="AC97" s="249">
        <f t="shared" ref="AC97:AC106" si="74">RANK(AB97, $AB$96:$AB$113)</f>
        <v>2</v>
      </c>
      <c r="AD97" s="431"/>
      <c r="AE97" s="250">
        <v>13</v>
      </c>
      <c r="AF97" s="250">
        <v>1831</v>
      </c>
      <c r="AG97" s="251">
        <f t="shared" ref="AG97:AG111" si="75">AF97/AE97</f>
        <v>140.84615384615384</v>
      </c>
      <c r="AH97" s="249" t="e">
        <f t="shared" ref="AH97:AH111" si="76">RANK(AG97,$AG$96:$AG$113)</f>
        <v>#DIV/0!</v>
      </c>
      <c r="AI97" s="431"/>
      <c r="AJ97" s="250"/>
      <c r="AK97" s="250"/>
      <c r="AL97" s="251" t="e">
        <f t="shared" ref="AL97:AL111" si="77">AK97/AJ97</f>
        <v>#DIV/0!</v>
      </c>
      <c r="AM97" s="249" t="e">
        <f t="shared" ref="AM97:AM111" si="78">RANK(AL97,$AL$96:$AL$113)</f>
        <v>#DIV/0!</v>
      </c>
      <c r="AN97" s="431"/>
      <c r="AO97" s="249"/>
      <c r="AP97" s="249"/>
      <c r="AQ97" s="251" t="e">
        <f t="shared" ref="AQ97:AQ105" si="79">AP97/AO97</f>
        <v>#DIV/0!</v>
      </c>
      <c r="AR97" s="249" t="e">
        <f t="shared" ref="AR97:AR112" si="80">RANK(AQ97,$AQ$96:$AQ$113)</f>
        <v>#DIV/0!</v>
      </c>
      <c r="AS97" s="431"/>
      <c r="AT97" s="249"/>
      <c r="AU97" s="249"/>
      <c r="AV97" s="251" t="e">
        <f t="shared" ref="AV97:AV104" si="81">AU97/AT97</f>
        <v>#DIV/0!</v>
      </c>
      <c r="AW97" s="249" t="e">
        <f t="shared" ref="AW97:AW112" si="82">RANK(AV97,$AV$96:$AV$113)</f>
        <v>#DIV/0!</v>
      </c>
      <c r="AX97" s="431"/>
    </row>
    <row r="98" spans="1:50">
      <c r="B98" s="621"/>
      <c r="C98" s="622">
        <v>3</v>
      </c>
      <c r="D98" s="249" t="s">
        <v>123</v>
      </c>
      <c r="E98" s="250" t="e">
        <f>VLOOKUP(D98,#REF!,2,0)</f>
        <v>#REF!</v>
      </c>
      <c r="F98" s="250" t="e">
        <f>VLOOKUP(D98,#REF!,3,0)</f>
        <v>#REF!</v>
      </c>
      <c r="G98" s="251" t="e">
        <f t="shared" si="66"/>
        <v>#REF!</v>
      </c>
      <c r="H98" s="431"/>
      <c r="I98" s="250">
        <f t="shared" si="67"/>
        <v>15</v>
      </c>
      <c r="J98" s="250">
        <f t="shared" si="67"/>
        <v>1891.75</v>
      </c>
      <c r="K98" s="251">
        <f t="shared" si="68"/>
        <v>126.11666666666666</v>
      </c>
      <c r="L98" s="431"/>
      <c r="M98" s="250">
        <f>RANK(K98, K$96:$K$113)</f>
        <v>5</v>
      </c>
      <c r="N98" s="419"/>
      <c r="O98" s="419"/>
      <c r="P98" s="250">
        <v>15</v>
      </c>
      <c r="Q98" s="250">
        <v>1839</v>
      </c>
      <c r="R98" s="251">
        <f t="shared" si="69"/>
        <v>122.6</v>
      </c>
      <c r="S98" s="249">
        <f t="shared" si="70"/>
        <v>5</v>
      </c>
      <c r="T98" s="431"/>
      <c r="U98" s="250">
        <v>15</v>
      </c>
      <c r="V98" s="250">
        <v>1993</v>
      </c>
      <c r="W98" s="251">
        <f t="shared" si="71"/>
        <v>132.86666666666667</v>
      </c>
      <c r="X98" s="249">
        <f t="shared" si="72"/>
        <v>4</v>
      </c>
      <c r="Y98" s="431"/>
      <c r="Z98" s="250">
        <v>15</v>
      </c>
      <c r="AA98" s="250">
        <v>1843</v>
      </c>
      <c r="AB98" s="251">
        <f>AA98/Z98</f>
        <v>122.86666666666666</v>
      </c>
      <c r="AC98" s="249">
        <f t="shared" si="74"/>
        <v>5</v>
      </c>
      <c r="AD98" s="431"/>
      <c r="AE98" s="250">
        <v>15</v>
      </c>
      <c r="AF98" s="250">
        <v>1892</v>
      </c>
      <c r="AG98" s="251">
        <f t="shared" si="75"/>
        <v>126.13333333333334</v>
      </c>
      <c r="AH98" s="249" t="e">
        <f t="shared" si="76"/>
        <v>#DIV/0!</v>
      </c>
      <c r="AI98" s="431"/>
      <c r="AJ98" s="250"/>
      <c r="AK98" s="250"/>
      <c r="AL98" s="251" t="e">
        <f t="shared" si="77"/>
        <v>#DIV/0!</v>
      </c>
      <c r="AM98" s="249" t="e">
        <f t="shared" si="78"/>
        <v>#DIV/0!</v>
      </c>
      <c r="AN98" s="431"/>
      <c r="AO98" s="249"/>
      <c r="AP98" s="249"/>
      <c r="AQ98" s="251" t="e">
        <f t="shared" si="79"/>
        <v>#DIV/0!</v>
      </c>
      <c r="AR98" s="249" t="e">
        <f t="shared" si="80"/>
        <v>#DIV/0!</v>
      </c>
      <c r="AS98" s="431"/>
      <c r="AT98" s="249"/>
      <c r="AU98" s="249"/>
      <c r="AV98" s="251" t="e">
        <f t="shared" si="81"/>
        <v>#DIV/0!</v>
      </c>
      <c r="AW98" s="249" t="e">
        <f t="shared" si="82"/>
        <v>#DIV/0!</v>
      </c>
      <c r="AX98" s="431"/>
    </row>
    <row r="99" spans="1:50">
      <c r="A99" s="241">
        <v>18</v>
      </c>
      <c r="B99" s="621"/>
      <c r="C99" s="622">
        <v>4</v>
      </c>
      <c r="D99" s="249" t="s">
        <v>112</v>
      </c>
      <c r="E99" s="250" t="e">
        <f>VLOOKUP(D99,#REF!,2,0)</f>
        <v>#REF!</v>
      </c>
      <c r="F99" s="250" t="e">
        <f>VLOOKUP(D99,#REF!,3,0)</f>
        <v>#REF!</v>
      </c>
      <c r="G99" s="251" t="e">
        <f t="shared" si="66"/>
        <v>#REF!</v>
      </c>
      <c r="H99" s="431"/>
      <c r="I99" s="250">
        <f t="shared" si="67"/>
        <v>17.75</v>
      </c>
      <c r="J99" s="250">
        <f t="shared" si="67"/>
        <v>1487.75</v>
      </c>
      <c r="K99" s="251">
        <f t="shared" si="68"/>
        <v>83.821078431372555</v>
      </c>
      <c r="L99" s="431"/>
      <c r="M99" s="250">
        <f>RANK(K99, K$96:$K$113)</f>
        <v>7</v>
      </c>
      <c r="N99" s="419"/>
      <c r="O99" s="419"/>
      <c r="P99" s="250">
        <v>17</v>
      </c>
      <c r="Q99" s="250">
        <v>1430</v>
      </c>
      <c r="R99" s="251">
        <f t="shared" si="69"/>
        <v>84.117647058823536</v>
      </c>
      <c r="S99" s="249">
        <f t="shared" si="70"/>
        <v>8</v>
      </c>
      <c r="T99" s="431"/>
      <c r="U99" s="250">
        <v>18</v>
      </c>
      <c r="V99" s="250">
        <v>1547</v>
      </c>
      <c r="W99" s="251">
        <f t="shared" si="71"/>
        <v>85.944444444444443</v>
      </c>
      <c r="X99" s="249">
        <f t="shared" si="72"/>
        <v>7</v>
      </c>
      <c r="Y99" s="431"/>
      <c r="Z99" s="250">
        <v>18</v>
      </c>
      <c r="AA99" s="250">
        <v>1555</v>
      </c>
      <c r="AB99" s="251">
        <f t="shared" si="73"/>
        <v>86.388888888888886</v>
      </c>
      <c r="AC99" s="249">
        <f t="shared" si="74"/>
        <v>8</v>
      </c>
      <c r="AD99" s="431"/>
      <c r="AE99" s="250">
        <v>18</v>
      </c>
      <c r="AF99" s="250">
        <v>1419</v>
      </c>
      <c r="AG99" s="251">
        <f t="shared" si="75"/>
        <v>78.833333333333329</v>
      </c>
      <c r="AH99" s="249" t="e">
        <f t="shared" si="76"/>
        <v>#DIV/0!</v>
      </c>
      <c r="AI99" s="431"/>
      <c r="AJ99" s="250"/>
      <c r="AK99" s="250"/>
      <c r="AL99" s="251" t="e">
        <f t="shared" si="77"/>
        <v>#DIV/0!</v>
      </c>
      <c r="AM99" s="249" t="e">
        <f t="shared" si="78"/>
        <v>#DIV/0!</v>
      </c>
      <c r="AN99" s="431"/>
      <c r="AO99" s="249"/>
      <c r="AP99" s="249"/>
      <c r="AQ99" s="251" t="e">
        <f t="shared" si="79"/>
        <v>#DIV/0!</v>
      </c>
      <c r="AR99" s="249" t="e">
        <f t="shared" si="80"/>
        <v>#DIV/0!</v>
      </c>
      <c r="AS99" s="431"/>
      <c r="AT99" s="249"/>
      <c r="AU99" s="249"/>
      <c r="AV99" s="251" t="e">
        <f t="shared" si="81"/>
        <v>#DIV/0!</v>
      </c>
      <c r="AW99" s="249" t="e">
        <f t="shared" si="82"/>
        <v>#DIV/0!</v>
      </c>
      <c r="AX99" s="431"/>
    </row>
    <row r="100" spans="1:50">
      <c r="B100" s="621"/>
      <c r="C100" s="622">
        <v>5</v>
      </c>
      <c r="D100" s="249" t="s">
        <v>113</v>
      </c>
      <c r="E100" s="250" t="e">
        <f>VLOOKUP(D100,#REF!,2,0)</f>
        <v>#REF!</v>
      </c>
      <c r="F100" s="250" t="e">
        <f>VLOOKUP(D100,#REF!,3,0)</f>
        <v>#REF!</v>
      </c>
      <c r="G100" s="251" t="e">
        <f t="shared" si="66"/>
        <v>#REF!</v>
      </c>
      <c r="H100" s="431"/>
      <c r="I100" s="250">
        <f t="shared" si="67"/>
        <v>13</v>
      </c>
      <c r="J100" s="250">
        <f t="shared" si="67"/>
        <v>1844.75</v>
      </c>
      <c r="K100" s="251">
        <f t="shared" si="68"/>
        <v>141.90384615384616</v>
      </c>
      <c r="L100" s="431"/>
      <c r="M100" s="250">
        <f>RANK(K100, K$96:$K$113)</f>
        <v>3</v>
      </c>
      <c r="N100" s="419"/>
      <c r="O100" s="419"/>
      <c r="P100" s="250">
        <v>13</v>
      </c>
      <c r="Q100" s="250">
        <v>1766</v>
      </c>
      <c r="R100" s="251">
        <f t="shared" si="69"/>
        <v>135.84615384615384</v>
      </c>
      <c r="S100" s="249">
        <f t="shared" si="70"/>
        <v>3</v>
      </c>
      <c r="T100" s="431"/>
      <c r="U100" s="250">
        <v>13</v>
      </c>
      <c r="V100" s="250">
        <v>1901</v>
      </c>
      <c r="W100" s="251">
        <f t="shared" si="71"/>
        <v>146.23076923076923</v>
      </c>
      <c r="X100" s="249">
        <f t="shared" si="72"/>
        <v>2</v>
      </c>
      <c r="Y100" s="431"/>
      <c r="Z100" s="250">
        <v>13</v>
      </c>
      <c r="AA100" s="250">
        <v>1797</v>
      </c>
      <c r="AB100" s="251">
        <f t="shared" si="73"/>
        <v>138.23076923076923</v>
      </c>
      <c r="AC100" s="249">
        <f t="shared" si="74"/>
        <v>3</v>
      </c>
      <c r="AD100" s="431"/>
      <c r="AE100" s="250">
        <v>13</v>
      </c>
      <c r="AF100" s="250">
        <v>1915</v>
      </c>
      <c r="AG100" s="251">
        <f t="shared" si="75"/>
        <v>147.30769230769232</v>
      </c>
      <c r="AH100" s="249" t="e">
        <f t="shared" si="76"/>
        <v>#DIV/0!</v>
      </c>
      <c r="AI100" s="431"/>
      <c r="AJ100" s="250"/>
      <c r="AK100" s="250"/>
      <c r="AL100" s="251" t="e">
        <f t="shared" si="77"/>
        <v>#DIV/0!</v>
      </c>
      <c r="AM100" s="249" t="e">
        <f t="shared" si="78"/>
        <v>#DIV/0!</v>
      </c>
      <c r="AN100" s="431"/>
      <c r="AO100" s="249"/>
      <c r="AP100" s="249"/>
      <c r="AQ100" s="251" t="e">
        <f t="shared" si="79"/>
        <v>#DIV/0!</v>
      </c>
      <c r="AR100" s="249" t="e">
        <f t="shared" si="80"/>
        <v>#DIV/0!</v>
      </c>
      <c r="AS100" s="431"/>
      <c r="AT100" s="249"/>
      <c r="AU100" s="249"/>
      <c r="AV100" s="251" t="e">
        <f t="shared" si="81"/>
        <v>#DIV/0!</v>
      </c>
      <c r="AW100" s="249" t="e">
        <f t="shared" si="82"/>
        <v>#DIV/0!</v>
      </c>
      <c r="AX100" s="431"/>
    </row>
    <row r="101" spans="1:50">
      <c r="B101" s="621"/>
      <c r="C101" s="622">
        <v>6</v>
      </c>
      <c r="D101" s="249" t="s">
        <v>114</v>
      </c>
      <c r="E101" s="250" t="e">
        <f>VLOOKUP(D101,#REF!,2,0)</f>
        <v>#REF!</v>
      </c>
      <c r="F101" s="250" t="e">
        <f>VLOOKUP(D101,#REF!,3,0)</f>
        <v>#REF!</v>
      </c>
      <c r="G101" s="251" t="e">
        <f t="shared" si="66"/>
        <v>#REF!</v>
      </c>
      <c r="H101" s="431"/>
      <c r="I101" s="250">
        <f t="shared" si="67"/>
        <v>14</v>
      </c>
      <c r="J101" s="250">
        <f t="shared" si="67"/>
        <v>1796.5</v>
      </c>
      <c r="K101" s="251">
        <f t="shared" si="68"/>
        <v>128.32142857142858</v>
      </c>
      <c r="L101" s="431"/>
      <c r="M101" s="250">
        <f>RANK(K101, K$96:$K$113)</f>
        <v>4</v>
      </c>
      <c r="N101" s="419"/>
      <c r="O101" s="419"/>
      <c r="P101" s="250">
        <v>14</v>
      </c>
      <c r="Q101" s="250">
        <v>1787</v>
      </c>
      <c r="R101" s="251">
        <f t="shared" si="69"/>
        <v>127.64285714285714</v>
      </c>
      <c r="S101" s="249">
        <f t="shared" si="70"/>
        <v>4</v>
      </c>
      <c r="T101" s="431"/>
      <c r="U101" s="250">
        <v>14</v>
      </c>
      <c r="V101" s="250">
        <v>1670</v>
      </c>
      <c r="W101" s="251">
        <f t="shared" si="71"/>
        <v>119.28571428571429</v>
      </c>
      <c r="X101" s="249">
        <f t="shared" si="72"/>
        <v>5</v>
      </c>
      <c r="Y101" s="431"/>
      <c r="Z101" s="250">
        <v>14</v>
      </c>
      <c r="AA101" s="250">
        <v>1881</v>
      </c>
      <c r="AB101" s="251">
        <f t="shared" si="73"/>
        <v>134.35714285714286</v>
      </c>
      <c r="AC101" s="249">
        <f t="shared" si="74"/>
        <v>4</v>
      </c>
      <c r="AD101" s="431"/>
      <c r="AE101" s="250">
        <v>14</v>
      </c>
      <c r="AF101" s="250">
        <v>1848</v>
      </c>
      <c r="AG101" s="251">
        <f t="shared" si="75"/>
        <v>132</v>
      </c>
      <c r="AH101" s="249" t="e">
        <f t="shared" si="76"/>
        <v>#DIV/0!</v>
      </c>
      <c r="AI101" s="431"/>
      <c r="AJ101" s="250"/>
      <c r="AK101" s="250"/>
      <c r="AL101" s="251" t="e">
        <f t="shared" si="77"/>
        <v>#DIV/0!</v>
      </c>
      <c r="AM101" s="249" t="e">
        <f t="shared" si="78"/>
        <v>#DIV/0!</v>
      </c>
      <c r="AN101" s="431"/>
      <c r="AO101" s="249"/>
      <c r="AP101" s="249"/>
      <c r="AQ101" s="251" t="e">
        <f t="shared" si="79"/>
        <v>#DIV/0!</v>
      </c>
      <c r="AR101" s="249" t="e">
        <f t="shared" si="80"/>
        <v>#DIV/0!</v>
      </c>
      <c r="AS101" s="431"/>
      <c r="AT101" s="249"/>
      <c r="AU101" s="249"/>
      <c r="AV101" s="251" t="e">
        <f t="shared" si="81"/>
        <v>#DIV/0!</v>
      </c>
      <c r="AW101" s="249" t="e">
        <f t="shared" si="82"/>
        <v>#DIV/0!</v>
      </c>
      <c r="AX101" s="431"/>
    </row>
    <row r="102" spans="1:50">
      <c r="B102" s="621"/>
      <c r="C102" s="622">
        <v>7</v>
      </c>
      <c r="D102" s="249" t="s">
        <v>124</v>
      </c>
      <c r="E102" s="250" t="e">
        <f>VLOOKUP(D102,#REF!,2,0)</f>
        <v>#REF!</v>
      </c>
      <c r="F102" s="250" t="e">
        <f>VLOOKUP(D102,#REF!,3,0)</f>
        <v>#REF!</v>
      </c>
      <c r="G102" s="251" t="e">
        <f t="shared" si="66"/>
        <v>#REF!</v>
      </c>
      <c r="H102" s="431"/>
      <c r="I102" s="250">
        <f t="shared" si="67"/>
        <v>15.75</v>
      </c>
      <c r="J102" s="250">
        <f t="shared" si="67"/>
        <v>1085.25</v>
      </c>
      <c r="K102" s="251">
        <f t="shared" si="68"/>
        <v>68.973835784313735</v>
      </c>
      <c r="L102" s="431"/>
      <c r="M102" s="250">
        <f>RANK(K102, K$96:$K$113)</f>
        <v>12</v>
      </c>
      <c r="N102" s="419"/>
      <c r="O102" s="419"/>
      <c r="P102" s="250">
        <v>15</v>
      </c>
      <c r="Q102" s="250">
        <v>1167</v>
      </c>
      <c r="R102" s="251">
        <f t="shared" si="69"/>
        <v>77.8</v>
      </c>
      <c r="S102" s="249">
        <f t="shared" si="70"/>
        <v>10</v>
      </c>
      <c r="T102" s="431"/>
      <c r="U102" s="250">
        <v>17</v>
      </c>
      <c r="V102" s="250">
        <v>1240</v>
      </c>
      <c r="W102" s="251">
        <f t="shared" si="71"/>
        <v>72.941176470588232</v>
      </c>
      <c r="X102" s="249">
        <f t="shared" si="72"/>
        <v>9</v>
      </c>
      <c r="Y102" s="431"/>
      <c r="Z102" s="250">
        <v>15</v>
      </c>
      <c r="AA102" s="250">
        <v>1027</v>
      </c>
      <c r="AB102" s="251">
        <f t="shared" si="73"/>
        <v>68.466666666666669</v>
      </c>
      <c r="AC102" s="249">
        <f t="shared" si="74"/>
        <v>12</v>
      </c>
      <c r="AD102" s="431"/>
      <c r="AE102" s="250">
        <v>16</v>
      </c>
      <c r="AF102" s="250">
        <v>907</v>
      </c>
      <c r="AG102" s="251">
        <f t="shared" si="75"/>
        <v>56.6875</v>
      </c>
      <c r="AH102" s="249" t="e">
        <f t="shared" si="76"/>
        <v>#DIV/0!</v>
      </c>
      <c r="AI102" s="431"/>
      <c r="AJ102" s="250"/>
      <c r="AK102" s="250"/>
      <c r="AL102" s="251"/>
      <c r="AM102" s="249"/>
      <c r="AN102" s="431"/>
      <c r="AO102" s="249"/>
      <c r="AP102" s="249"/>
      <c r="AQ102" s="251"/>
      <c r="AR102" s="249"/>
      <c r="AS102" s="431"/>
      <c r="AT102" s="249"/>
      <c r="AU102" s="249"/>
      <c r="AV102" s="251"/>
      <c r="AW102" s="249"/>
      <c r="AX102" s="431"/>
    </row>
    <row r="103" spans="1:50">
      <c r="B103" s="621"/>
      <c r="C103" s="622">
        <v>8</v>
      </c>
      <c r="D103" s="249" t="s">
        <v>117</v>
      </c>
      <c r="E103" s="250" t="e">
        <f>VLOOKUP(D103,#REF!,2,0)</f>
        <v>#REF!</v>
      </c>
      <c r="F103" s="250" t="e">
        <f>VLOOKUP(D103,#REF!,3,0)</f>
        <v>#REF!</v>
      </c>
      <c r="G103" s="251" t="e">
        <f t="shared" si="66"/>
        <v>#REF!</v>
      </c>
      <c r="H103" s="431"/>
      <c r="I103" s="250">
        <f t="shared" si="67"/>
        <v>15.5</v>
      </c>
      <c r="J103" s="250">
        <f t="shared" si="67"/>
        <v>1082.25</v>
      </c>
      <c r="K103" s="251">
        <f t="shared" si="68"/>
        <v>69.748800770308122</v>
      </c>
      <c r="L103" s="431"/>
      <c r="M103" s="250">
        <f>RANK(K103, K$96:$K$113)</f>
        <v>11</v>
      </c>
      <c r="N103" s="419"/>
      <c r="O103" s="419"/>
      <c r="P103" s="250">
        <v>17</v>
      </c>
      <c r="Q103" s="250">
        <v>1196</v>
      </c>
      <c r="R103" s="251">
        <f t="shared" si="69"/>
        <v>70.352941176470594</v>
      </c>
      <c r="S103" s="249">
        <f t="shared" si="70"/>
        <v>12</v>
      </c>
      <c r="T103" s="431"/>
      <c r="U103" s="250">
        <v>16</v>
      </c>
      <c r="V103" s="250">
        <v>1119</v>
      </c>
      <c r="W103" s="251">
        <f t="shared" si="71"/>
        <v>69.9375</v>
      </c>
      <c r="X103" s="249">
        <f t="shared" si="72"/>
        <v>10</v>
      </c>
      <c r="Y103" s="431"/>
      <c r="Z103" s="250">
        <v>15</v>
      </c>
      <c r="AA103" s="250">
        <v>1082</v>
      </c>
      <c r="AB103" s="251">
        <f t="shared" si="73"/>
        <v>72.13333333333334</v>
      </c>
      <c r="AC103" s="249">
        <f t="shared" si="74"/>
        <v>9</v>
      </c>
      <c r="AD103" s="431"/>
      <c r="AE103" s="250">
        <v>14</v>
      </c>
      <c r="AF103" s="250">
        <v>932</v>
      </c>
      <c r="AG103" s="251">
        <f t="shared" si="75"/>
        <v>66.571428571428569</v>
      </c>
      <c r="AH103" s="249" t="e">
        <f t="shared" si="76"/>
        <v>#DIV/0!</v>
      </c>
      <c r="AI103" s="431"/>
      <c r="AJ103" s="250"/>
      <c r="AK103" s="250"/>
      <c r="AL103" s="251" t="e">
        <f t="shared" si="77"/>
        <v>#DIV/0!</v>
      </c>
      <c r="AM103" s="249" t="e">
        <f t="shared" si="78"/>
        <v>#DIV/0!</v>
      </c>
      <c r="AN103" s="431"/>
      <c r="AO103" s="249"/>
      <c r="AP103" s="249"/>
      <c r="AQ103" s="251" t="e">
        <f t="shared" si="79"/>
        <v>#DIV/0!</v>
      </c>
      <c r="AR103" s="249" t="e">
        <f t="shared" si="80"/>
        <v>#DIV/0!</v>
      </c>
      <c r="AS103" s="431"/>
      <c r="AT103" s="249"/>
      <c r="AU103" s="249"/>
      <c r="AV103" s="251" t="e">
        <f t="shared" si="81"/>
        <v>#DIV/0!</v>
      </c>
      <c r="AW103" s="249" t="e">
        <f t="shared" si="82"/>
        <v>#DIV/0!</v>
      </c>
      <c r="AX103" s="431"/>
    </row>
    <row r="104" spans="1:50">
      <c r="B104" s="621"/>
      <c r="C104" s="622">
        <v>9</v>
      </c>
      <c r="D104" s="249" t="s">
        <v>118</v>
      </c>
      <c r="E104" s="250" t="e">
        <f>VLOOKUP(D104,#REF!,2,0)</f>
        <v>#REF!</v>
      </c>
      <c r="F104" s="250" t="e">
        <f>VLOOKUP(D104,#REF!,3,0)</f>
        <v>#REF!</v>
      </c>
      <c r="G104" s="251" t="e">
        <f t="shared" si="66"/>
        <v>#REF!</v>
      </c>
      <c r="H104" s="431"/>
      <c r="I104" s="250">
        <f t="shared" si="67"/>
        <v>15.25</v>
      </c>
      <c r="J104" s="250">
        <f t="shared" si="67"/>
        <v>1189</v>
      </c>
      <c r="K104" s="251">
        <f t="shared" si="68"/>
        <v>77.752083333333331</v>
      </c>
      <c r="L104" s="431"/>
      <c r="M104" s="250">
        <f>RANK(K104, K$96:$K$113)</f>
        <v>8</v>
      </c>
      <c r="N104" s="419"/>
      <c r="O104" s="419"/>
      <c r="P104" s="250">
        <v>15</v>
      </c>
      <c r="Q104" s="250">
        <v>1156</v>
      </c>
      <c r="R104" s="251">
        <f t="shared" si="69"/>
        <v>77.066666666666663</v>
      </c>
      <c r="S104" s="249">
        <f t="shared" si="70"/>
        <v>11</v>
      </c>
      <c r="T104" s="431"/>
      <c r="U104" s="250">
        <v>15</v>
      </c>
      <c r="V104" s="250">
        <v>1033</v>
      </c>
      <c r="W104" s="251">
        <f t="shared" si="71"/>
        <v>68.86666666666666</v>
      </c>
      <c r="X104" s="249">
        <f t="shared" si="72"/>
        <v>12</v>
      </c>
      <c r="Y104" s="431"/>
      <c r="Z104" s="250">
        <v>16</v>
      </c>
      <c r="AA104" s="250">
        <v>1454</v>
      </c>
      <c r="AB104" s="251">
        <f t="shared" si="73"/>
        <v>90.875</v>
      </c>
      <c r="AC104" s="249">
        <f t="shared" si="74"/>
        <v>7</v>
      </c>
      <c r="AD104" s="431"/>
      <c r="AE104" s="250">
        <v>15</v>
      </c>
      <c r="AF104" s="250">
        <v>1113</v>
      </c>
      <c r="AG104" s="251">
        <f t="shared" si="75"/>
        <v>74.2</v>
      </c>
      <c r="AH104" s="249" t="e">
        <f t="shared" si="76"/>
        <v>#DIV/0!</v>
      </c>
      <c r="AI104" s="431"/>
      <c r="AJ104" s="250"/>
      <c r="AK104" s="250"/>
      <c r="AL104" s="251" t="e">
        <f t="shared" si="77"/>
        <v>#DIV/0!</v>
      </c>
      <c r="AM104" s="249" t="e">
        <f t="shared" si="78"/>
        <v>#DIV/0!</v>
      </c>
      <c r="AN104" s="431"/>
      <c r="AO104" s="249"/>
      <c r="AP104" s="249"/>
      <c r="AQ104" s="251" t="e">
        <f t="shared" si="79"/>
        <v>#DIV/0!</v>
      </c>
      <c r="AR104" s="249" t="e">
        <f t="shared" si="80"/>
        <v>#DIV/0!</v>
      </c>
      <c r="AS104" s="431"/>
      <c r="AT104" s="249"/>
      <c r="AU104" s="249"/>
      <c r="AV104" s="251" t="e">
        <f t="shared" si="81"/>
        <v>#DIV/0!</v>
      </c>
      <c r="AW104" s="249" t="e">
        <f t="shared" si="82"/>
        <v>#DIV/0!</v>
      </c>
      <c r="AX104" s="431"/>
    </row>
    <row r="105" spans="1:50">
      <c r="B105" s="621"/>
      <c r="C105" s="622">
        <v>10</v>
      </c>
      <c r="D105" s="249" t="s">
        <v>121</v>
      </c>
      <c r="E105" s="250" t="e">
        <f>VLOOKUP(D105,#REF!,2,0)</f>
        <v>#REF!</v>
      </c>
      <c r="F105" s="250" t="e">
        <f>VLOOKUP(D105,#REF!,3,0)</f>
        <v>#REF!</v>
      </c>
      <c r="G105" s="251" t="e">
        <f t="shared" si="66"/>
        <v>#REF!</v>
      </c>
      <c r="H105" s="431"/>
      <c r="I105" s="250">
        <f t="shared" si="67"/>
        <v>17</v>
      </c>
      <c r="J105" s="250">
        <f t="shared" si="67"/>
        <v>1473.5</v>
      </c>
      <c r="K105" s="251">
        <f t="shared" si="68"/>
        <v>86.67647058823529</v>
      </c>
      <c r="L105" s="431"/>
      <c r="M105" s="250">
        <f>RANK(K105, K$96:$K$113)</f>
        <v>6</v>
      </c>
      <c r="N105" s="419"/>
      <c r="O105" s="419"/>
      <c r="P105" s="250">
        <v>17</v>
      </c>
      <c r="Q105" s="250">
        <v>1446</v>
      </c>
      <c r="R105" s="251">
        <f t="shared" si="69"/>
        <v>85.058823529411768</v>
      </c>
      <c r="S105" s="249">
        <f t="shared" si="70"/>
        <v>6</v>
      </c>
      <c r="T105" s="431"/>
      <c r="U105" s="250">
        <v>17</v>
      </c>
      <c r="V105" s="250">
        <v>1487</v>
      </c>
      <c r="W105" s="251">
        <f t="shared" si="71"/>
        <v>87.470588235294116</v>
      </c>
      <c r="X105" s="249">
        <f t="shared" si="72"/>
        <v>6</v>
      </c>
      <c r="Y105" s="431"/>
      <c r="Z105" s="250">
        <v>17</v>
      </c>
      <c r="AA105" s="250">
        <v>1567</v>
      </c>
      <c r="AB105" s="251">
        <f t="shared" si="73"/>
        <v>92.17647058823529</v>
      </c>
      <c r="AC105" s="249">
        <f t="shared" si="74"/>
        <v>6</v>
      </c>
      <c r="AD105" s="431"/>
      <c r="AE105" s="250">
        <v>17</v>
      </c>
      <c r="AF105" s="250">
        <v>1394</v>
      </c>
      <c r="AG105" s="251">
        <f t="shared" si="75"/>
        <v>82</v>
      </c>
      <c r="AH105" s="249" t="e">
        <f t="shared" si="76"/>
        <v>#DIV/0!</v>
      </c>
      <c r="AI105" s="431"/>
      <c r="AJ105" s="250"/>
      <c r="AK105" s="250"/>
      <c r="AL105" s="251" t="e">
        <f t="shared" si="77"/>
        <v>#DIV/0!</v>
      </c>
      <c r="AM105" s="249" t="e">
        <f t="shared" si="78"/>
        <v>#DIV/0!</v>
      </c>
      <c r="AN105" s="431"/>
      <c r="AO105" s="249"/>
      <c r="AP105" s="249"/>
      <c r="AQ105" s="251" t="e">
        <f t="shared" si="79"/>
        <v>#DIV/0!</v>
      </c>
      <c r="AR105" s="249" t="e">
        <f t="shared" si="80"/>
        <v>#DIV/0!</v>
      </c>
      <c r="AS105" s="431"/>
      <c r="AT105" s="249"/>
      <c r="AU105" s="249"/>
      <c r="AV105" s="251"/>
      <c r="AW105" s="249"/>
      <c r="AX105" s="431"/>
    </row>
    <row r="106" spans="1:50">
      <c r="B106" s="621"/>
      <c r="C106" s="622">
        <v>11</v>
      </c>
      <c r="D106" s="249" t="s">
        <v>125</v>
      </c>
      <c r="E106" s="250" t="e">
        <f>VLOOKUP(D106,#REF!,2,0)</f>
        <v>#REF!</v>
      </c>
      <c r="F106" s="250" t="e">
        <f>VLOOKUP(D106,#REF!,3,0)</f>
        <v>#REF!</v>
      </c>
      <c r="G106" s="251" t="e">
        <f t="shared" si="66"/>
        <v>#REF!</v>
      </c>
      <c r="H106" s="431"/>
      <c r="I106" s="250">
        <f t="shared" si="67"/>
        <v>14.5</v>
      </c>
      <c r="J106" s="250">
        <f t="shared" si="67"/>
        <v>1080.25</v>
      </c>
      <c r="K106" s="251">
        <f t="shared" si="68"/>
        <v>74.832051282051282</v>
      </c>
      <c r="L106" s="431"/>
      <c r="M106" s="250">
        <f>RANK(K106, K$96:$K$113)</f>
        <v>10</v>
      </c>
      <c r="N106" s="419"/>
      <c r="O106" s="419"/>
      <c r="P106" s="249">
        <v>13</v>
      </c>
      <c r="Q106" s="249">
        <v>1098</v>
      </c>
      <c r="R106" s="251">
        <f t="shared" si="69"/>
        <v>84.461538461538467</v>
      </c>
      <c r="S106" s="249">
        <f t="shared" si="70"/>
        <v>7</v>
      </c>
      <c r="T106" s="431"/>
      <c r="U106" s="249">
        <v>15</v>
      </c>
      <c r="V106" s="249">
        <v>1195</v>
      </c>
      <c r="W106" s="251">
        <f t="shared" si="71"/>
        <v>79.666666666666671</v>
      </c>
      <c r="X106" s="249">
        <f t="shared" si="72"/>
        <v>8</v>
      </c>
      <c r="Y106" s="431"/>
      <c r="Z106" s="249">
        <v>15</v>
      </c>
      <c r="AA106" s="249">
        <v>1071</v>
      </c>
      <c r="AB106" s="251">
        <f t="shared" si="73"/>
        <v>71.400000000000006</v>
      </c>
      <c r="AC106" s="249">
        <f t="shared" si="74"/>
        <v>10</v>
      </c>
      <c r="AD106" s="431"/>
      <c r="AE106" s="249">
        <v>15</v>
      </c>
      <c r="AF106" s="249">
        <v>957</v>
      </c>
      <c r="AG106" s="251">
        <f t="shared" si="75"/>
        <v>63.8</v>
      </c>
      <c r="AH106" s="249" t="e">
        <f t="shared" si="76"/>
        <v>#DIV/0!</v>
      </c>
      <c r="AI106" s="431"/>
      <c r="AJ106" s="249"/>
      <c r="AK106" s="249"/>
      <c r="AL106" s="251" t="e">
        <f t="shared" si="77"/>
        <v>#DIV/0!</v>
      </c>
      <c r="AM106" s="249" t="e">
        <f t="shared" si="78"/>
        <v>#DIV/0!</v>
      </c>
      <c r="AN106" s="431"/>
      <c r="AO106" s="249"/>
      <c r="AP106" s="249"/>
      <c r="AQ106" s="251" t="e">
        <f>AP106/AO106</f>
        <v>#DIV/0!</v>
      </c>
      <c r="AR106" s="249" t="e">
        <f t="shared" si="80"/>
        <v>#DIV/0!</v>
      </c>
      <c r="AS106" s="431"/>
      <c r="AT106" s="249"/>
      <c r="AU106" s="249"/>
      <c r="AV106" s="251" t="e">
        <f>AU106/AT106</f>
        <v>#DIV/0!</v>
      </c>
      <c r="AW106" s="249" t="e">
        <f t="shared" si="82"/>
        <v>#DIV/0!</v>
      </c>
      <c r="AX106" s="431"/>
    </row>
    <row r="107" spans="1:50">
      <c r="B107" s="621"/>
      <c r="C107" s="622">
        <v>12</v>
      </c>
      <c r="D107" s="249" t="s">
        <v>126</v>
      </c>
      <c r="E107" s="250" t="e">
        <f>VLOOKUP(D107,#REF!,2,0)</f>
        <v>#REF!</v>
      </c>
      <c r="F107" s="250" t="e">
        <f>VLOOKUP(D107,#REF!,3,0)</f>
        <v>#REF!</v>
      </c>
      <c r="G107" s="251" t="e">
        <f t="shared" si="66"/>
        <v>#REF!</v>
      </c>
      <c r="H107" s="431"/>
      <c r="I107" s="250">
        <f>AVERAGE(P107,U107,Z107,AE107,AJ107,AO107,AT107)</f>
        <v>14.75</v>
      </c>
      <c r="J107" s="250">
        <f>AVERAGE(Q107,V107,AA107,AF107,AK107,AP107,AU107)</f>
        <v>1147.5</v>
      </c>
      <c r="K107" s="251">
        <f t="shared" si="68"/>
        <v>77.370673076923083</v>
      </c>
      <c r="L107" s="431"/>
      <c r="M107" s="250">
        <f>RANK(K107, K$96:$K$113)</f>
        <v>9</v>
      </c>
      <c r="N107" s="419"/>
      <c r="O107" s="419"/>
      <c r="P107" s="249">
        <v>15</v>
      </c>
      <c r="Q107" s="249">
        <v>1241</v>
      </c>
      <c r="R107" s="251">
        <f>Q107/P107</f>
        <v>82.733333333333334</v>
      </c>
      <c r="S107" s="249">
        <f>RANK(R107,$R$96:$R$113)</f>
        <v>9</v>
      </c>
      <c r="T107" s="431"/>
      <c r="U107" s="249">
        <v>13</v>
      </c>
      <c r="V107" s="249">
        <v>901</v>
      </c>
      <c r="W107" s="251">
        <f>V107/U107</f>
        <v>69.307692307692307</v>
      </c>
      <c r="X107" s="249">
        <f>RANK(W107,$W$96:$W$113)</f>
        <v>11</v>
      </c>
      <c r="Y107" s="431"/>
      <c r="Z107" s="249">
        <v>15</v>
      </c>
      <c r="AA107" s="249">
        <v>1066</v>
      </c>
      <c r="AB107" s="251">
        <f>AA107/Z107</f>
        <v>71.066666666666663</v>
      </c>
      <c r="AC107" s="249">
        <f>RANK(AB107, $AB$96:$AB$113)</f>
        <v>11</v>
      </c>
      <c r="AD107" s="431"/>
      <c r="AE107" s="249">
        <v>16</v>
      </c>
      <c r="AF107" s="249">
        <v>1382</v>
      </c>
      <c r="AG107" s="251">
        <f>AF107/AE107</f>
        <v>86.375</v>
      </c>
      <c r="AH107" s="249" t="e">
        <f>RANK(AG107,$AG$96:$AG$113)</f>
        <v>#DIV/0!</v>
      </c>
      <c r="AI107" s="431"/>
      <c r="AJ107" s="249"/>
      <c r="AK107" s="249"/>
      <c r="AL107" s="251" t="e">
        <f>AK107/AJ107</f>
        <v>#DIV/0!</v>
      </c>
      <c r="AM107" s="249" t="e">
        <f>RANK(AL107,$AL$96:$AL$113)</f>
        <v>#DIV/0!</v>
      </c>
      <c r="AN107" s="431"/>
      <c r="AO107" s="249"/>
      <c r="AP107" s="249"/>
      <c r="AQ107" s="251" t="e">
        <f t="shared" ref="AQ107:AQ112" si="83">AP107/AO107</f>
        <v>#DIV/0!</v>
      </c>
      <c r="AR107" s="249" t="e">
        <f t="shared" si="80"/>
        <v>#DIV/0!</v>
      </c>
      <c r="AS107" s="431"/>
      <c r="AT107" s="249"/>
      <c r="AU107" s="249"/>
      <c r="AV107" s="251" t="e">
        <f t="shared" ref="AV107:AV112" si="84">AU107/AT107</f>
        <v>#DIV/0!</v>
      </c>
      <c r="AW107" s="249" t="e">
        <f t="shared" si="82"/>
        <v>#DIV/0!</v>
      </c>
      <c r="AX107" s="431"/>
    </row>
    <row r="108" spans="1:50">
      <c r="B108" s="621"/>
      <c r="C108" s="622">
        <v>13</v>
      </c>
      <c r="D108" s="249"/>
      <c r="E108" s="250"/>
      <c r="F108" s="250"/>
      <c r="G108" s="251"/>
      <c r="H108" s="431"/>
      <c r="I108" s="250"/>
      <c r="J108" s="250"/>
      <c r="K108" s="251"/>
      <c r="L108" s="431"/>
      <c r="M108" s="250"/>
      <c r="N108" s="419"/>
      <c r="O108" s="419"/>
      <c r="P108" s="249"/>
      <c r="Q108" s="249"/>
      <c r="R108" s="251"/>
      <c r="S108" s="249"/>
      <c r="T108" s="431"/>
      <c r="U108" s="249"/>
      <c r="V108" s="249"/>
      <c r="W108" s="251"/>
      <c r="X108" s="249"/>
      <c r="Y108" s="431"/>
      <c r="Z108" s="249"/>
      <c r="AA108" s="249"/>
      <c r="AB108" s="251"/>
      <c r="AC108" s="249"/>
      <c r="AD108" s="431"/>
      <c r="AE108" s="249"/>
      <c r="AF108" s="249"/>
      <c r="AG108" s="251" t="e">
        <f t="shared" si="75"/>
        <v>#DIV/0!</v>
      </c>
      <c r="AH108" s="249" t="e">
        <f t="shared" si="76"/>
        <v>#DIV/0!</v>
      </c>
      <c r="AI108" s="431"/>
      <c r="AJ108" s="249"/>
      <c r="AK108" s="249"/>
      <c r="AL108" s="251" t="e">
        <f t="shared" si="77"/>
        <v>#DIV/0!</v>
      </c>
      <c r="AM108" s="249" t="e">
        <f t="shared" si="78"/>
        <v>#DIV/0!</v>
      </c>
      <c r="AN108" s="431"/>
      <c r="AO108" s="249"/>
      <c r="AP108" s="249"/>
      <c r="AQ108" s="251" t="e">
        <f t="shared" si="83"/>
        <v>#DIV/0!</v>
      </c>
      <c r="AR108" s="249" t="e">
        <f t="shared" si="80"/>
        <v>#DIV/0!</v>
      </c>
      <c r="AS108" s="431"/>
      <c r="AT108" s="249"/>
      <c r="AU108" s="249"/>
      <c r="AV108" s="251" t="e">
        <f t="shared" si="84"/>
        <v>#DIV/0!</v>
      </c>
      <c r="AW108" s="249" t="e">
        <f t="shared" si="82"/>
        <v>#DIV/0!</v>
      </c>
      <c r="AX108" s="431"/>
    </row>
    <row r="109" spans="1:50">
      <c r="B109" s="621"/>
      <c r="C109" s="622">
        <v>14</v>
      </c>
      <c r="D109" s="249"/>
      <c r="E109" s="250"/>
      <c r="F109" s="250"/>
      <c r="G109" s="251"/>
      <c r="H109" s="431"/>
      <c r="I109" s="250"/>
      <c r="J109" s="250"/>
      <c r="K109" s="251"/>
      <c r="L109" s="431"/>
      <c r="M109" s="250"/>
      <c r="N109" s="419"/>
      <c r="O109" s="419"/>
      <c r="P109" s="249"/>
      <c r="Q109" s="249"/>
      <c r="R109" s="251"/>
      <c r="S109" s="249"/>
      <c r="T109" s="431"/>
      <c r="U109" s="249"/>
      <c r="V109" s="249"/>
      <c r="W109" s="251"/>
      <c r="X109" s="249"/>
      <c r="Y109" s="431"/>
      <c r="Z109" s="249"/>
      <c r="AA109" s="249"/>
      <c r="AB109" s="251"/>
      <c r="AC109" s="249"/>
      <c r="AD109" s="431"/>
      <c r="AE109" s="249"/>
      <c r="AF109" s="249"/>
      <c r="AG109" s="251" t="e">
        <f t="shared" si="75"/>
        <v>#DIV/0!</v>
      </c>
      <c r="AH109" s="249" t="e">
        <f t="shared" si="76"/>
        <v>#DIV/0!</v>
      </c>
      <c r="AI109" s="431"/>
      <c r="AJ109" s="249"/>
      <c r="AK109" s="249"/>
      <c r="AL109" s="251" t="e">
        <f t="shared" si="77"/>
        <v>#DIV/0!</v>
      </c>
      <c r="AM109" s="249" t="e">
        <f t="shared" si="78"/>
        <v>#DIV/0!</v>
      </c>
      <c r="AN109" s="431"/>
      <c r="AO109" s="249"/>
      <c r="AP109" s="249"/>
      <c r="AQ109" s="251" t="e">
        <f t="shared" si="83"/>
        <v>#DIV/0!</v>
      </c>
      <c r="AR109" s="249" t="e">
        <f t="shared" si="80"/>
        <v>#DIV/0!</v>
      </c>
      <c r="AS109" s="431"/>
      <c r="AT109" s="249"/>
      <c r="AU109" s="249"/>
      <c r="AV109" s="251" t="e">
        <f t="shared" si="84"/>
        <v>#DIV/0!</v>
      </c>
      <c r="AW109" s="249" t="e">
        <f t="shared" si="82"/>
        <v>#DIV/0!</v>
      </c>
      <c r="AX109" s="431"/>
    </row>
    <row r="110" spans="1:50">
      <c r="B110" s="621"/>
      <c r="C110" s="622">
        <v>15</v>
      </c>
      <c r="D110" s="249"/>
      <c r="E110" s="250"/>
      <c r="F110" s="250"/>
      <c r="G110" s="251"/>
      <c r="H110" s="431"/>
      <c r="I110" s="250"/>
      <c r="J110" s="250"/>
      <c r="K110" s="251"/>
      <c r="L110" s="431"/>
      <c r="M110" s="250"/>
      <c r="N110" s="419"/>
      <c r="O110" s="419"/>
      <c r="P110" s="249"/>
      <c r="Q110" s="249"/>
      <c r="R110" s="251"/>
      <c r="S110" s="249"/>
      <c r="T110" s="431"/>
      <c r="U110" s="249"/>
      <c r="V110" s="249"/>
      <c r="W110" s="251"/>
      <c r="X110" s="249"/>
      <c r="Y110" s="431"/>
      <c r="Z110" s="249"/>
      <c r="AA110" s="249"/>
      <c r="AB110" s="251"/>
      <c r="AC110" s="249"/>
      <c r="AD110" s="431"/>
      <c r="AE110" s="249"/>
      <c r="AF110" s="249"/>
      <c r="AG110" s="251" t="e">
        <f t="shared" si="75"/>
        <v>#DIV/0!</v>
      </c>
      <c r="AH110" s="249" t="e">
        <f t="shared" si="76"/>
        <v>#DIV/0!</v>
      </c>
      <c r="AI110" s="431"/>
      <c r="AJ110" s="249"/>
      <c r="AK110" s="249"/>
      <c r="AL110" s="251" t="e">
        <f t="shared" si="77"/>
        <v>#DIV/0!</v>
      </c>
      <c r="AM110" s="249" t="e">
        <f t="shared" si="78"/>
        <v>#DIV/0!</v>
      </c>
      <c r="AN110" s="431"/>
      <c r="AO110" s="249"/>
      <c r="AP110" s="249"/>
      <c r="AQ110" s="251" t="e">
        <f t="shared" si="83"/>
        <v>#DIV/0!</v>
      </c>
      <c r="AR110" s="249" t="e">
        <f t="shared" si="80"/>
        <v>#DIV/0!</v>
      </c>
      <c r="AS110" s="431"/>
      <c r="AT110" s="249"/>
      <c r="AU110" s="249"/>
      <c r="AV110" s="251" t="e">
        <f t="shared" si="84"/>
        <v>#DIV/0!</v>
      </c>
      <c r="AW110" s="249" t="e">
        <f t="shared" si="82"/>
        <v>#DIV/0!</v>
      </c>
      <c r="AX110" s="431"/>
    </row>
    <row r="111" spans="1:50">
      <c r="B111" s="621"/>
      <c r="C111" s="622">
        <v>16</v>
      </c>
      <c r="D111" s="249"/>
      <c r="E111" s="250"/>
      <c r="F111" s="250"/>
      <c r="G111" s="251"/>
      <c r="H111" s="431"/>
      <c r="I111" s="250"/>
      <c r="J111" s="250"/>
      <c r="K111" s="251"/>
      <c r="L111" s="431"/>
      <c r="M111" s="250"/>
      <c r="N111" s="419"/>
      <c r="O111" s="419"/>
      <c r="P111" s="249"/>
      <c r="Q111" s="249"/>
      <c r="R111" s="251"/>
      <c r="S111" s="249"/>
      <c r="T111" s="431"/>
      <c r="U111" s="249"/>
      <c r="V111" s="249"/>
      <c r="W111" s="251"/>
      <c r="X111" s="249"/>
      <c r="Y111" s="431"/>
      <c r="Z111" s="249"/>
      <c r="AA111" s="249"/>
      <c r="AB111" s="251"/>
      <c r="AC111" s="249"/>
      <c r="AD111" s="431"/>
      <c r="AE111" s="249"/>
      <c r="AF111" s="249"/>
      <c r="AG111" s="251" t="e">
        <f t="shared" si="75"/>
        <v>#DIV/0!</v>
      </c>
      <c r="AH111" s="249" t="e">
        <f t="shared" si="76"/>
        <v>#DIV/0!</v>
      </c>
      <c r="AI111" s="431"/>
      <c r="AJ111" s="249"/>
      <c r="AK111" s="249"/>
      <c r="AL111" s="251" t="e">
        <f t="shared" si="77"/>
        <v>#DIV/0!</v>
      </c>
      <c r="AM111" s="249" t="e">
        <f t="shared" si="78"/>
        <v>#DIV/0!</v>
      </c>
      <c r="AN111" s="431"/>
      <c r="AO111" s="249"/>
      <c r="AP111" s="249"/>
      <c r="AQ111" s="251" t="e">
        <f t="shared" si="83"/>
        <v>#DIV/0!</v>
      </c>
      <c r="AR111" s="249" t="e">
        <f t="shared" si="80"/>
        <v>#DIV/0!</v>
      </c>
      <c r="AS111" s="431"/>
      <c r="AT111" s="249"/>
      <c r="AU111" s="249"/>
      <c r="AV111" s="251" t="e">
        <f t="shared" si="84"/>
        <v>#DIV/0!</v>
      </c>
      <c r="AW111" s="249" t="e">
        <f t="shared" si="82"/>
        <v>#DIV/0!</v>
      </c>
      <c r="AX111" s="431"/>
    </row>
    <row r="112" spans="1:50">
      <c r="B112" s="621"/>
      <c r="C112" s="622">
        <v>17</v>
      </c>
      <c r="D112" s="249"/>
      <c r="E112" s="250"/>
      <c r="F112" s="250"/>
      <c r="G112" s="251"/>
      <c r="H112" s="431"/>
      <c r="I112" s="250"/>
      <c r="J112" s="250"/>
      <c r="K112" s="251"/>
      <c r="L112" s="431"/>
      <c r="M112" s="250"/>
      <c r="N112" s="419"/>
      <c r="O112" s="419"/>
      <c r="P112" s="249"/>
      <c r="Q112" s="249"/>
      <c r="R112" s="251"/>
      <c r="S112" s="249"/>
      <c r="T112" s="431"/>
      <c r="U112" s="249"/>
      <c r="V112" s="249"/>
      <c r="W112" s="251"/>
      <c r="X112" s="249"/>
      <c r="Y112" s="431"/>
      <c r="Z112" s="249"/>
      <c r="AA112" s="249"/>
      <c r="AB112" s="251"/>
      <c r="AC112" s="249"/>
      <c r="AD112" s="431"/>
      <c r="AE112" s="249"/>
      <c r="AF112" s="249"/>
      <c r="AG112" s="251" t="e">
        <f>AF112/AE112</f>
        <v>#DIV/0!</v>
      </c>
      <c r="AH112" s="249" t="e">
        <f>RANK(AG112,$AG$96:$AG$113)</f>
        <v>#DIV/0!</v>
      </c>
      <c r="AI112" s="431"/>
      <c r="AJ112" s="249"/>
      <c r="AK112" s="249"/>
      <c r="AL112" s="251" t="e">
        <f>AK112/AJ112</f>
        <v>#DIV/0!</v>
      </c>
      <c r="AM112" s="249" t="e">
        <f>RANK(AL112,$AL$96:$AL$113)</f>
        <v>#DIV/0!</v>
      </c>
      <c r="AN112" s="431"/>
      <c r="AO112" s="249"/>
      <c r="AP112" s="249"/>
      <c r="AQ112" s="251" t="e">
        <f t="shared" si="83"/>
        <v>#DIV/0!</v>
      </c>
      <c r="AR112" s="249" t="e">
        <f t="shared" si="80"/>
        <v>#DIV/0!</v>
      </c>
      <c r="AS112" s="431"/>
      <c r="AT112" s="249">
        <v>16</v>
      </c>
      <c r="AU112" s="249">
        <v>1100</v>
      </c>
      <c r="AV112" s="251">
        <f t="shared" si="84"/>
        <v>68.75</v>
      </c>
      <c r="AW112" s="249" t="e">
        <f t="shared" si="82"/>
        <v>#DIV/0!</v>
      </c>
      <c r="AX112" s="431"/>
    </row>
    <row r="113" spans="2:50">
      <c r="B113" s="621"/>
      <c r="C113" s="622">
        <v>18</v>
      </c>
      <c r="D113" s="249"/>
      <c r="E113" s="249"/>
      <c r="F113" s="249"/>
      <c r="G113" s="249"/>
      <c r="H113" s="431"/>
      <c r="I113" s="249"/>
      <c r="J113" s="249"/>
      <c r="K113" s="249"/>
      <c r="L113" s="432"/>
      <c r="M113" s="250"/>
      <c r="N113" s="420"/>
      <c r="O113" s="420"/>
      <c r="P113" s="249"/>
      <c r="Q113" s="249"/>
      <c r="R113" s="249"/>
      <c r="S113" s="249"/>
      <c r="T113" s="432"/>
      <c r="U113" s="249"/>
      <c r="V113" s="249"/>
      <c r="W113" s="251"/>
      <c r="X113" s="249"/>
      <c r="Y113" s="432"/>
      <c r="Z113" s="249"/>
      <c r="AA113" s="249"/>
      <c r="AB113" s="251"/>
      <c r="AC113" s="249"/>
      <c r="AD113" s="432"/>
      <c r="AE113" s="249"/>
      <c r="AF113" s="249"/>
      <c r="AG113" s="251"/>
      <c r="AH113" s="249"/>
      <c r="AI113" s="432"/>
      <c r="AJ113" s="249"/>
      <c r="AK113" s="249"/>
      <c r="AL113" s="251"/>
      <c r="AM113" s="249"/>
      <c r="AN113" s="432"/>
      <c r="AO113" s="249"/>
      <c r="AP113" s="249"/>
      <c r="AQ113" s="251"/>
      <c r="AR113" s="249"/>
      <c r="AS113" s="432"/>
      <c r="AT113" s="249"/>
      <c r="AU113" s="249"/>
      <c r="AV113" s="251"/>
      <c r="AW113" s="249"/>
      <c r="AX113" s="432"/>
    </row>
    <row r="114" spans="2:50" ht="15.75">
      <c r="B114" s="421" t="s">
        <v>93</v>
      </c>
      <c r="C114" s="422"/>
      <c r="D114" s="422"/>
      <c r="E114" s="422"/>
      <c r="F114" s="422"/>
      <c r="G114" s="422"/>
      <c r="H114" s="422"/>
      <c r="I114" s="243"/>
      <c r="J114" s="243"/>
      <c r="K114" s="243"/>
      <c r="L114" s="243"/>
      <c r="M114" s="244"/>
      <c r="N114" s="418" t="s">
        <v>94</v>
      </c>
      <c r="O114" s="418" t="s">
        <v>45</v>
      </c>
      <c r="P114" s="413"/>
      <c r="Q114" s="405"/>
      <c r="R114" s="405"/>
      <c r="S114" s="405"/>
      <c r="T114" s="405"/>
      <c r="U114" s="413"/>
      <c r="V114" s="405"/>
      <c r="W114" s="405"/>
      <c r="X114" s="405"/>
      <c r="Y114" s="405"/>
      <c r="Z114" s="413"/>
      <c r="AA114" s="405"/>
      <c r="AB114" s="405"/>
      <c r="AC114" s="405"/>
      <c r="AD114" s="405"/>
      <c r="AE114" s="413"/>
      <c r="AF114" s="405"/>
      <c r="AG114" s="405"/>
      <c r="AH114" s="405"/>
      <c r="AI114" s="405"/>
      <c r="AJ114" s="413"/>
      <c r="AK114" s="405"/>
      <c r="AL114" s="405"/>
      <c r="AM114" s="405"/>
      <c r="AN114" s="405"/>
      <c r="AO114" s="413"/>
      <c r="AP114" s="405"/>
      <c r="AQ114" s="405"/>
      <c r="AR114" s="405"/>
      <c r="AS114" s="405"/>
      <c r="AT114" s="413"/>
      <c r="AU114" s="405"/>
      <c r="AV114" s="405"/>
      <c r="AW114" s="405"/>
      <c r="AX114" s="405"/>
    </row>
    <row r="115" spans="2:50" ht="15.75">
      <c r="B115" s="423"/>
      <c r="C115" s="423"/>
      <c r="D115" s="423"/>
      <c r="E115" s="423"/>
      <c r="F115" s="423"/>
      <c r="G115" s="423"/>
      <c r="H115" s="423"/>
      <c r="I115" s="245"/>
      <c r="J115" s="245"/>
      <c r="K115" s="245"/>
      <c r="L115" s="245"/>
      <c r="M115" s="246"/>
      <c r="N115" s="420"/>
      <c r="O115" s="420"/>
      <c r="P115" s="413" t="s">
        <v>77</v>
      </c>
      <c r="Q115" s="405"/>
      <c r="R115" s="405"/>
      <c r="S115" s="405"/>
      <c r="T115" s="405"/>
      <c r="U115" s="413" t="s">
        <v>72</v>
      </c>
      <c r="V115" s="405"/>
      <c r="W115" s="405"/>
      <c r="X115" s="405"/>
      <c r="Y115" s="405"/>
      <c r="Z115" s="413" t="s">
        <v>73</v>
      </c>
      <c r="AA115" s="405"/>
      <c r="AB115" s="405"/>
      <c r="AC115" s="405"/>
      <c r="AD115" s="405"/>
      <c r="AE115" s="413" t="s">
        <v>74</v>
      </c>
      <c r="AF115" s="405"/>
      <c r="AG115" s="405"/>
      <c r="AH115" s="405"/>
      <c r="AI115" s="405"/>
      <c r="AJ115" s="413" t="s">
        <v>75</v>
      </c>
      <c r="AK115" s="405"/>
      <c r="AL115" s="405"/>
      <c r="AM115" s="405"/>
      <c r="AN115" s="405"/>
      <c r="AO115" s="413" t="s">
        <v>52</v>
      </c>
      <c r="AP115" s="405"/>
      <c r="AQ115" s="405"/>
      <c r="AR115" s="405"/>
      <c r="AS115" s="405"/>
      <c r="AT115" s="413" t="s">
        <v>76</v>
      </c>
      <c r="AU115" s="405"/>
      <c r="AV115" s="405"/>
      <c r="AW115" s="405"/>
      <c r="AX115" s="405"/>
    </row>
    <row r="116" spans="2:50">
      <c r="B116" s="409" t="s">
        <v>95</v>
      </c>
      <c r="C116" s="414" t="s">
        <v>96</v>
      </c>
      <c r="D116" s="409"/>
      <c r="E116" s="409" t="s">
        <v>97</v>
      </c>
      <c r="F116" s="409"/>
      <c r="G116" s="409"/>
      <c r="H116" s="415" t="s">
        <v>98</v>
      </c>
      <c r="I116" s="409" t="s">
        <v>99</v>
      </c>
      <c r="J116" s="409"/>
      <c r="K116" s="409"/>
      <c r="L116" s="415" t="s">
        <v>98</v>
      </c>
      <c r="M116" s="418" t="s">
        <v>100</v>
      </c>
      <c r="N116" s="409"/>
      <c r="O116" s="409" t="s">
        <v>101</v>
      </c>
      <c r="P116" s="410" t="s">
        <v>102</v>
      </c>
      <c r="Q116" s="411"/>
      <c r="R116" s="411"/>
      <c r="S116" s="412"/>
      <c r="T116" s="409" t="s">
        <v>98</v>
      </c>
      <c r="U116" s="410" t="s">
        <v>102</v>
      </c>
      <c r="V116" s="411"/>
      <c r="W116" s="411"/>
      <c r="X116" s="412"/>
      <c r="Y116" s="409" t="s">
        <v>98</v>
      </c>
      <c r="Z116" s="410" t="s">
        <v>102</v>
      </c>
      <c r="AA116" s="411"/>
      <c r="AB116" s="411"/>
      <c r="AC116" s="412"/>
      <c r="AD116" s="409" t="s">
        <v>98</v>
      </c>
      <c r="AE116" s="410" t="s">
        <v>102</v>
      </c>
      <c r="AF116" s="411"/>
      <c r="AG116" s="411"/>
      <c r="AH116" s="412"/>
      <c r="AI116" s="409" t="s">
        <v>98</v>
      </c>
      <c r="AJ116" s="410" t="s">
        <v>102</v>
      </c>
      <c r="AK116" s="411"/>
      <c r="AL116" s="411"/>
      <c r="AM116" s="412"/>
      <c r="AN116" s="409" t="s">
        <v>98</v>
      </c>
      <c r="AO116" s="410" t="s">
        <v>102</v>
      </c>
      <c r="AP116" s="411"/>
      <c r="AQ116" s="411"/>
      <c r="AR116" s="412"/>
      <c r="AS116" s="409" t="s">
        <v>98</v>
      </c>
      <c r="AT116" s="410" t="s">
        <v>102</v>
      </c>
      <c r="AU116" s="411"/>
      <c r="AV116" s="411"/>
      <c r="AW116" s="412"/>
      <c r="AX116" s="409" t="s">
        <v>98</v>
      </c>
    </row>
    <row r="117" spans="2:50">
      <c r="B117" s="409"/>
      <c r="C117" s="409"/>
      <c r="D117" s="409"/>
      <c r="E117" s="409" t="s">
        <v>103</v>
      </c>
      <c r="F117" s="409"/>
      <c r="G117" s="409"/>
      <c r="H117" s="416"/>
      <c r="I117" s="409" t="s">
        <v>103</v>
      </c>
      <c r="J117" s="409"/>
      <c r="K117" s="409"/>
      <c r="L117" s="416"/>
      <c r="M117" s="419"/>
      <c r="N117" s="409"/>
      <c r="O117" s="409"/>
      <c r="P117" s="410" t="s">
        <v>104</v>
      </c>
      <c r="Q117" s="411"/>
      <c r="R117" s="411"/>
      <c r="S117" s="412"/>
      <c r="T117" s="409"/>
      <c r="U117" s="410" t="s">
        <v>104</v>
      </c>
      <c r="V117" s="411"/>
      <c r="W117" s="411"/>
      <c r="X117" s="412"/>
      <c r="Y117" s="409"/>
      <c r="Z117" s="410" t="s">
        <v>104</v>
      </c>
      <c r="AA117" s="411"/>
      <c r="AB117" s="411"/>
      <c r="AC117" s="412"/>
      <c r="AD117" s="409"/>
      <c r="AE117" s="410" t="s">
        <v>104</v>
      </c>
      <c r="AF117" s="411"/>
      <c r="AG117" s="411"/>
      <c r="AH117" s="412"/>
      <c r="AI117" s="409"/>
      <c r="AJ117" s="410" t="s">
        <v>104</v>
      </c>
      <c r="AK117" s="411"/>
      <c r="AL117" s="411"/>
      <c r="AM117" s="412"/>
      <c r="AN117" s="409"/>
      <c r="AO117" s="410" t="s">
        <v>104</v>
      </c>
      <c r="AP117" s="411"/>
      <c r="AQ117" s="411"/>
      <c r="AR117" s="412"/>
      <c r="AS117" s="409"/>
      <c r="AT117" s="410" t="s">
        <v>104</v>
      </c>
      <c r="AU117" s="411"/>
      <c r="AV117" s="411"/>
      <c r="AW117" s="412"/>
      <c r="AX117" s="409"/>
    </row>
    <row r="118" spans="2:50">
      <c r="B118" s="409"/>
      <c r="C118" s="409"/>
      <c r="D118" s="409"/>
      <c r="E118" s="248" t="s">
        <v>105</v>
      </c>
      <c r="F118" s="248" t="s">
        <v>106</v>
      </c>
      <c r="G118" s="248" t="s">
        <v>107</v>
      </c>
      <c r="H118" s="417"/>
      <c r="I118" s="248" t="s">
        <v>105</v>
      </c>
      <c r="J118" s="248" t="s">
        <v>106</v>
      </c>
      <c r="K118" s="248" t="s">
        <v>107</v>
      </c>
      <c r="L118" s="417"/>
      <c r="M118" s="420"/>
      <c r="N118" s="409"/>
      <c r="O118" s="409"/>
      <c r="P118" s="248" t="s">
        <v>105</v>
      </c>
      <c r="Q118" s="248" t="s">
        <v>106</v>
      </c>
      <c r="R118" s="248" t="s">
        <v>107</v>
      </c>
      <c r="S118" s="248" t="s">
        <v>100</v>
      </c>
      <c r="T118" s="409"/>
      <c r="U118" s="248" t="s">
        <v>105</v>
      </c>
      <c r="V118" s="248" t="s">
        <v>106</v>
      </c>
      <c r="W118" s="248" t="s">
        <v>107</v>
      </c>
      <c r="X118" s="248" t="s">
        <v>100</v>
      </c>
      <c r="Y118" s="409"/>
      <c r="Z118" s="248" t="s">
        <v>105</v>
      </c>
      <c r="AA118" s="248" t="s">
        <v>106</v>
      </c>
      <c r="AB118" s="248" t="s">
        <v>107</v>
      </c>
      <c r="AC118" s="248" t="s">
        <v>100</v>
      </c>
      <c r="AD118" s="409"/>
      <c r="AE118" s="248" t="s">
        <v>105</v>
      </c>
      <c r="AF118" s="248" t="s">
        <v>106</v>
      </c>
      <c r="AG118" s="248" t="s">
        <v>107</v>
      </c>
      <c r="AH118" s="248" t="s">
        <v>100</v>
      </c>
      <c r="AI118" s="409"/>
      <c r="AJ118" s="248" t="s">
        <v>105</v>
      </c>
      <c r="AK118" s="248" t="s">
        <v>106</v>
      </c>
      <c r="AL118" s="248" t="s">
        <v>107</v>
      </c>
      <c r="AM118" s="248" t="s">
        <v>100</v>
      </c>
      <c r="AN118" s="409"/>
      <c r="AO118" s="248" t="s">
        <v>105</v>
      </c>
      <c r="AP118" s="248" t="s">
        <v>106</v>
      </c>
      <c r="AQ118" s="248" t="s">
        <v>107</v>
      </c>
      <c r="AR118" s="248" t="s">
        <v>100</v>
      </c>
      <c r="AS118" s="409"/>
      <c r="AT118" s="248" t="s">
        <v>105</v>
      </c>
      <c r="AU118" s="248" t="s">
        <v>106</v>
      </c>
      <c r="AV118" s="248" t="s">
        <v>107</v>
      </c>
      <c r="AW118" s="248" t="s">
        <v>100</v>
      </c>
      <c r="AX118" s="409"/>
    </row>
    <row r="119" spans="2:50" ht="13.5">
      <c r="B119" s="405" t="s">
        <v>108</v>
      </c>
      <c r="C119" s="249">
        <v>1</v>
      </c>
      <c r="D119" s="253" t="s">
        <v>109</v>
      </c>
      <c r="E119" s="250" t="e">
        <f>VLOOKUP(D119,#REF!,2,0)</f>
        <v>#REF!</v>
      </c>
      <c r="F119" s="250" t="e">
        <f>VLOOKUP(D119,#REF!,3,0)</f>
        <v>#REF!</v>
      </c>
      <c r="G119" s="251" t="e">
        <f>F119/E119</f>
        <v>#REF!</v>
      </c>
      <c r="H119" s="406" t="e">
        <f>AVERAGE(G119:G136)</f>
        <v>#REF!</v>
      </c>
      <c r="I119" s="250" t="e">
        <f>AVERAGE(P119,U119,Z119,AE119,AJ119,AO119,AT119)</f>
        <v>#DIV/0!</v>
      </c>
      <c r="J119" s="250" t="e">
        <f>AVERAGE(Q119,V119,AA119,AF119,AK119,AP119,AU119)</f>
        <v>#DIV/0!</v>
      </c>
      <c r="K119" s="251" t="e">
        <f>AVERAGE(R119)</f>
        <v>#DIV/0!</v>
      </c>
      <c r="L119" s="406" t="str">
        <f>IFERROR(AVERAGE(K119:K136),"-")</f>
        <v>-</v>
      </c>
      <c r="M119" s="252" t="e">
        <f>RANK(K119,$K$119:$K$136)</f>
        <v>#DIV/0!</v>
      </c>
      <c r="N119" s="409"/>
      <c r="O119" s="409"/>
      <c r="P119" s="250"/>
      <c r="Q119" s="250"/>
      <c r="R119" s="251" t="e">
        <f>Q119/P119</f>
        <v>#DIV/0!</v>
      </c>
      <c r="S119" s="249" t="e">
        <f>RANK(R119,$R$119:$R$136)</f>
        <v>#DIV/0!</v>
      </c>
      <c r="T119" s="404" t="e">
        <f>AVERAGE(R119:R136)</f>
        <v>#DIV/0!</v>
      </c>
      <c r="U119" s="250"/>
      <c r="V119" s="250"/>
      <c r="W119" s="251" t="e">
        <f>V119/U119</f>
        <v>#DIV/0!</v>
      </c>
      <c r="X119" s="249" t="e">
        <f>RANK(W119, W$7:W$24)</f>
        <v>#DIV/0!</v>
      </c>
      <c r="Y119" s="404" t="e">
        <f>AVERAGE(W119:W136)</f>
        <v>#DIV/0!</v>
      </c>
      <c r="Z119" s="249"/>
      <c r="AA119" s="250"/>
      <c r="AB119" s="251" t="e">
        <f>AA119/Z119</f>
        <v>#DIV/0!</v>
      </c>
      <c r="AC119" s="249" t="e">
        <f>RANK(AB119, AB$7:AB$24)</f>
        <v>#DIV/0!</v>
      </c>
      <c r="AD119" s="404" t="e">
        <f>AVERAGE(AB119:AB136)</f>
        <v>#DIV/0!</v>
      </c>
      <c r="AE119" s="250"/>
      <c r="AF119" s="250"/>
      <c r="AG119" s="251" t="e">
        <f>AF119/AE119</f>
        <v>#DIV/0!</v>
      </c>
      <c r="AH119" s="249" t="e">
        <f>RANK(AG119, AG$7:AG$24)</f>
        <v>#DIV/0!</v>
      </c>
      <c r="AI119" s="404" t="e">
        <f>AVERAGE(AG119:AG136)</f>
        <v>#DIV/0!</v>
      </c>
      <c r="AJ119" s="250"/>
      <c r="AK119" s="250"/>
      <c r="AL119" s="251" t="e">
        <f>AK119/AJ119</f>
        <v>#DIV/0!</v>
      </c>
      <c r="AM119" s="249" t="e">
        <f>RANK(AL119, AL$7:AL$24)</f>
        <v>#DIV/0!</v>
      </c>
      <c r="AN119" s="404" t="e">
        <f>AVERAGE(AL119:AL136)</f>
        <v>#DIV/0!</v>
      </c>
      <c r="AO119" s="250"/>
      <c r="AP119" s="250"/>
      <c r="AQ119" s="251" t="e">
        <f>AP119/AO119</f>
        <v>#DIV/0!</v>
      </c>
      <c r="AR119" s="249" t="e">
        <f>RANK(AQ119, AQ$7:AQ$24)</f>
        <v>#DIV/0!</v>
      </c>
      <c r="AS119" s="404" t="e">
        <f>AVERAGE(AQ119:AQ136)</f>
        <v>#DIV/0!</v>
      </c>
      <c r="AT119" s="250"/>
      <c r="AU119" s="251"/>
      <c r="AV119" s="251" t="e">
        <f>AU119/AT119</f>
        <v>#DIV/0!</v>
      </c>
      <c r="AW119" s="249" t="e">
        <f>RANK(AV119, AV$7:AV$24)</f>
        <v>#DIV/0!</v>
      </c>
      <c r="AX119" s="404" t="e">
        <f>AVERAGE(AV119:AV136)</f>
        <v>#DIV/0!</v>
      </c>
    </row>
    <row r="120" spans="2:50">
      <c r="B120" s="405"/>
      <c r="C120" s="249">
        <v>2</v>
      </c>
      <c r="D120" s="249" t="s">
        <v>110</v>
      </c>
      <c r="E120" s="250" t="e">
        <f>VLOOKUP(D120,#REF!,2,0)</f>
        <v>#REF!</v>
      </c>
      <c r="F120" s="250" t="e">
        <f>VLOOKUP(D120,#REF!,3,0)</f>
        <v>#REF!</v>
      </c>
      <c r="G120" s="251" t="e">
        <f t="shared" ref="G120:G132" si="85">F120/E120</f>
        <v>#REF!</v>
      </c>
      <c r="H120" s="407"/>
      <c r="I120" s="250" t="e">
        <f t="shared" ref="I120:J135" si="86">AVERAGE(P120,U120,Z120,AE120,AJ120,AO120,AT120)</f>
        <v>#DIV/0!</v>
      </c>
      <c r="J120" s="250" t="e">
        <f t="shared" si="86"/>
        <v>#DIV/0!</v>
      </c>
      <c r="K120" s="251" t="e">
        <f t="shared" ref="K120:K135" si="87">AVERAGE(R120)</f>
        <v>#DIV/0!</v>
      </c>
      <c r="L120" s="407"/>
      <c r="M120" s="252" t="e">
        <f t="shared" ref="M120:M135" si="88">RANK(K120,$K$119:$K$136)</f>
        <v>#DIV/0!</v>
      </c>
      <c r="N120" s="409"/>
      <c r="O120" s="409"/>
      <c r="P120" s="250"/>
      <c r="Q120" s="250"/>
      <c r="R120" s="251" t="e">
        <f t="shared" ref="R120:R127" si="89">Q120/P120</f>
        <v>#DIV/0!</v>
      </c>
      <c r="S120" s="249" t="e">
        <f t="shared" ref="S120:S135" si="90">RANK(R120,$R$119:$R$136)</f>
        <v>#DIV/0!</v>
      </c>
      <c r="T120" s="404"/>
      <c r="U120" s="250"/>
      <c r="V120" s="250"/>
      <c r="W120" s="251" t="e">
        <f t="shared" ref="W120:W128" si="91">V120/U120</f>
        <v>#DIV/0!</v>
      </c>
      <c r="X120" s="249" t="e">
        <f t="shared" ref="X120:X136" si="92">RANK(W120, W$7:W$24)</f>
        <v>#DIV/0!</v>
      </c>
      <c r="Y120" s="404"/>
      <c r="Z120" s="249"/>
      <c r="AA120" s="250"/>
      <c r="AB120" s="251" t="e">
        <f t="shared" ref="AB120:AB128" si="93">AA120/Z120</f>
        <v>#DIV/0!</v>
      </c>
      <c r="AC120" s="249" t="e">
        <f t="shared" ref="AC120:AC136" si="94">RANK(AB120, AB$7:AB$24)</f>
        <v>#DIV/0!</v>
      </c>
      <c r="AD120" s="404"/>
      <c r="AE120" s="250"/>
      <c r="AF120" s="250"/>
      <c r="AG120" s="251" t="e">
        <f t="shared" ref="AG120:AG128" si="95">AF120/AE120</f>
        <v>#DIV/0!</v>
      </c>
      <c r="AH120" s="249" t="e">
        <f t="shared" ref="AH120:AH132" si="96">RANK(AG120, AG$7:AG$24)</f>
        <v>#DIV/0!</v>
      </c>
      <c r="AI120" s="404"/>
      <c r="AJ120" s="250"/>
      <c r="AK120" s="250"/>
      <c r="AL120" s="251" t="e">
        <f t="shared" ref="AL120:AL128" si="97">AK120/AJ120</f>
        <v>#DIV/0!</v>
      </c>
      <c r="AM120" s="249" t="e">
        <f t="shared" ref="AM120:AM132" si="98">RANK(AL120, AL$7:AL$24)</f>
        <v>#DIV/0!</v>
      </c>
      <c r="AN120" s="404"/>
      <c r="AO120" s="250"/>
      <c r="AP120" s="250"/>
      <c r="AQ120" s="251" t="e">
        <f t="shared" ref="AQ120:AQ128" si="99">AP120/AO120</f>
        <v>#DIV/0!</v>
      </c>
      <c r="AR120" s="249" t="e">
        <f t="shared" ref="AR120:AR136" si="100">RANK(AQ120, AQ$7:AQ$24)</f>
        <v>#DIV/0!</v>
      </c>
      <c r="AS120" s="404"/>
      <c r="AT120" s="250"/>
      <c r="AU120" s="251"/>
      <c r="AV120" s="251" t="e">
        <f t="shared" ref="AV120:AV132" si="101">AU120/AT120</f>
        <v>#DIV/0!</v>
      </c>
      <c r="AW120" s="249" t="e">
        <f t="shared" ref="AW120:AW129" si="102">RANK(AV120, AV$7:AV$24)</f>
        <v>#DIV/0!</v>
      </c>
      <c r="AX120" s="404"/>
    </row>
    <row r="121" spans="2:50">
      <c r="B121" s="405"/>
      <c r="C121" s="249">
        <v>3</v>
      </c>
      <c r="D121" s="249" t="s">
        <v>111</v>
      </c>
      <c r="E121" s="250" t="e">
        <f>VLOOKUP(D121,#REF!,2,0)</f>
        <v>#REF!</v>
      </c>
      <c r="F121" s="250" t="e">
        <f>VLOOKUP(D121,#REF!,3,0)</f>
        <v>#REF!</v>
      </c>
      <c r="G121" s="251" t="e">
        <f t="shared" si="85"/>
        <v>#REF!</v>
      </c>
      <c r="H121" s="407"/>
      <c r="I121" s="250" t="e">
        <f t="shared" si="86"/>
        <v>#DIV/0!</v>
      </c>
      <c r="J121" s="250" t="e">
        <f t="shared" si="86"/>
        <v>#DIV/0!</v>
      </c>
      <c r="K121" s="251" t="e">
        <f t="shared" si="87"/>
        <v>#DIV/0!</v>
      </c>
      <c r="L121" s="407"/>
      <c r="M121" s="252" t="e">
        <f t="shared" si="88"/>
        <v>#DIV/0!</v>
      </c>
      <c r="N121" s="409"/>
      <c r="O121" s="409"/>
      <c r="P121" s="250"/>
      <c r="Q121" s="250"/>
      <c r="R121" s="251" t="e">
        <f t="shared" si="89"/>
        <v>#DIV/0!</v>
      </c>
      <c r="S121" s="249" t="e">
        <f t="shared" si="90"/>
        <v>#DIV/0!</v>
      </c>
      <c r="T121" s="404"/>
      <c r="U121" s="250"/>
      <c r="V121" s="250"/>
      <c r="W121" s="251" t="e">
        <f t="shared" si="91"/>
        <v>#DIV/0!</v>
      </c>
      <c r="X121" s="249" t="e">
        <f t="shared" si="92"/>
        <v>#DIV/0!</v>
      </c>
      <c r="Y121" s="404"/>
      <c r="Z121" s="249"/>
      <c r="AA121" s="250"/>
      <c r="AB121" s="251" t="e">
        <f t="shared" si="93"/>
        <v>#DIV/0!</v>
      </c>
      <c r="AC121" s="249" t="e">
        <f t="shared" si="94"/>
        <v>#DIV/0!</v>
      </c>
      <c r="AD121" s="404"/>
      <c r="AE121" s="250"/>
      <c r="AF121" s="250"/>
      <c r="AG121" s="251" t="e">
        <f t="shared" si="95"/>
        <v>#DIV/0!</v>
      </c>
      <c r="AH121" s="249" t="e">
        <f t="shared" si="96"/>
        <v>#DIV/0!</v>
      </c>
      <c r="AI121" s="404"/>
      <c r="AJ121" s="250"/>
      <c r="AK121" s="250"/>
      <c r="AL121" s="251" t="e">
        <f t="shared" si="97"/>
        <v>#DIV/0!</v>
      </c>
      <c r="AM121" s="249" t="e">
        <f t="shared" si="98"/>
        <v>#DIV/0!</v>
      </c>
      <c r="AN121" s="404"/>
      <c r="AO121" s="250"/>
      <c r="AP121" s="250"/>
      <c r="AQ121" s="251" t="e">
        <f t="shared" si="99"/>
        <v>#DIV/0!</v>
      </c>
      <c r="AR121" s="249" t="e">
        <f t="shared" si="100"/>
        <v>#DIV/0!</v>
      </c>
      <c r="AS121" s="404"/>
      <c r="AT121" s="250"/>
      <c r="AU121" s="251"/>
      <c r="AV121" s="251" t="e">
        <f t="shared" si="101"/>
        <v>#DIV/0!</v>
      </c>
      <c r="AW121" s="249" t="e">
        <f t="shared" si="102"/>
        <v>#DIV/0!</v>
      </c>
      <c r="AX121" s="404"/>
    </row>
    <row r="122" spans="2:50">
      <c r="B122" s="405"/>
      <c r="C122" s="249">
        <v>4</v>
      </c>
      <c r="D122" s="249" t="s">
        <v>112</v>
      </c>
      <c r="E122" s="250" t="e">
        <f>VLOOKUP(D122,#REF!,2,0)</f>
        <v>#REF!</v>
      </c>
      <c r="F122" s="250" t="e">
        <f>VLOOKUP(D122,#REF!,3,0)</f>
        <v>#REF!</v>
      </c>
      <c r="G122" s="251" t="e">
        <f t="shared" si="85"/>
        <v>#REF!</v>
      </c>
      <c r="H122" s="407"/>
      <c r="I122" s="250" t="e">
        <f t="shared" si="86"/>
        <v>#DIV/0!</v>
      </c>
      <c r="J122" s="250" t="e">
        <f t="shared" si="86"/>
        <v>#DIV/0!</v>
      </c>
      <c r="K122" s="251" t="e">
        <f t="shared" si="87"/>
        <v>#DIV/0!</v>
      </c>
      <c r="L122" s="407"/>
      <c r="M122" s="252" t="e">
        <f t="shared" si="88"/>
        <v>#DIV/0!</v>
      </c>
      <c r="N122" s="409"/>
      <c r="O122" s="409"/>
      <c r="P122" s="250"/>
      <c r="Q122" s="250"/>
      <c r="R122" s="251" t="e">
        <f t="shared" si="89"/>
        <v>#DIV/0!</v>
      </c>
      <c r="S122" s="249" t="e">
        <f t="shared" si="90"/>
        <v>#DIV/0!</v>
      </c>
      <c r="T122" s="404"/>
      <c r="U122" s="250"/>
      <c r="V122" s="250"/>
      <c r="W122" s="251" t="e">
        <f t="shared" si="91"/>
        <v>#DIV/0!</v>
      </c>
      <c r="X122" s="249" t="e">
        <f t="shared" si="92"/>
        <v>#DIV/0!</v>
      </c>
      <c r="Y122" s="404"/>
      <c r="Z122" s="249"/>
      <c r="AA122" s="250"/>
      <c r="AB122" s="251" t="e">
        <f t="shared" si="93"/>
        <v>#DIV/0!</v>
      </c>
      <c r="AC122" s="249" t="e">
        <f t="shared" si="94"/>
        <v>#DIV/0!</v>
      </c>
      <c r="AD122" s="404"/>
      <c r="AE122" s="250"/>
      <c r="AF122" s="250"/>
      <c r="AG122" s="251" t="e">
        <f t="shared" si="95"/>
        <v>#DIV/0!</v>
      </c>
      <c r="AH122" s="249" t="e">
        <f t="shared" si="96"/>
        <v>#DIV/0!</v>
      </c>
      <c r="AI122" s="404"/>
      <c r="AJ122" s="250"/>
      <c r="AK122" s="250"/>
      <c r="AL122" s="251" t="e">
        <f t="shared" si="97"/>
        <v>#DIV/0!</v>
      </c>
      <c r="AM122" s="249" t="e">
        <f t="shared" si="98"/>
        <v>#DIV/0!</v>
      </c>
      <c r="AN122" s="404"/>
      <c r="AO122" s="250"/>
      <c r="AP122" s="250"/>
      <c r="AQ122" s="251" t="e">
        <f t="shared" si="99"/>
        <v>#DIV/0!</v>
      </c>
      <c r="AR122" s="249" t="e">
        <f t="shared" si="100"/>
        <v>#DIV/0!</v>
      </c>
      <c r="AS122" s="404"/>
      <c r="AT122" s="250"/>
      <c r="AU122" s="251"/>
      <c r="AV122" s="251" t="e">
        <f t="shared" si="101"/>
        <v>#DIV/0!</v>
      </c>
      <c r="AW122" s="249" t="e">
        <f t="shared" si="102"/>
        <v>#DIV/0!</v>
      </c>
      <c r="AX122" s="404"/>
    </row>
    <row r="123" spans="2:50">
      <c r="B123" s="405"/>
      <c r="C123" s="249">
        <v>5</v>
      </c>
      <c r="D123" s="249" t="s">
        <v>113</v>
      </c>
      <c r="E123" s="250" t="e">
        <f>VLOOKUP(D123,#REF!,2,0)</f>
        <v>#REF!</v>
      </c>
      <c r="F123" s="250" t="e">
        <f>VLOOKUP(D123,#REF!,3,0)</f>
        <v>#REF!</v>
      </c>
      <c r="G123" s="251" t="e">
        <f t="shared" si="85"/>
        <v>#REF!</v>
      </c>
      <c r="H123" s="407"/>
      <c r="I123" s="250" t="e">
        <f t="shared" si="86"/>
        <v>#DIV/0!</v>
      </c>
      <c r="J123" s="250" t="e">
        <f t="shared" si="86"/>
        <v>#DIV/0!</v>
      </c>
      <c r="K123" s="251" t="e">
        <f t="shared" si="87"/>
        <v>#DIV/0!</v>
      </c>
      <c r="L123" s="407"/>
      <c r="M123" s="252" t="e">
        <f t="shared" si="88"/>
        <v>#DIV/0!</v>
      </c>
      <c r="N123" s="409"/>
      <c r="O123" s="409"/>
      <c r="P123" s="250"/>
      <c r="Q123" s="250"/>
      <c r="R123" s="251" t="e">
        <f t="shared" si="89"/>
        <v>#DIV/0!</v>
      </c>
      <c r="S123" s="249" t="e">
        <f t="shared" si="90"/>
        <v>#DIV/0!</v>
      </c>
      <c r="T123" s="404"/>
      <c r="U123" s="250"/>
      <c r="V123" s="250"/>
      <c r="W123" s="251" t="e">
        <f t="shared" si="91"/>
        <v>#DIV/0!</v>
      </c>
      <c r="X123" s="249" t="e">
        <f t="shared" si="92"/>
        <v>#DIV/0!</v>
      </c>
      <c r="Y123" s="404"/>
      <c r="Z123" s="249"/>
      <c r="AA123" s="250"/>
      <c r="AB123" s="251" t="e">
        <f t="shared" si="93"/>
        <v>#DIV/0!</v>
      </c>
      <c r="AC123" s="249" t="e">
        <f t="shared" si="94"/>
        <v>#DIV/0!</v>
      </c>
      <c r="AD123" s="404"/>
      <c r="AE123" s="250"/>
      <c r="AF123" s="250"/>
      <c r="AG123" s="251" t="e">
        <f t="shared" si="95"/>
        <v>#DIV/0!</v>
      </c>
      <c r="AH123" s="249" t="e">
        <f t="shared" si="96"/>
        <v>#DIV/0!</v>
      </c>
      <c r="AI123" s="404"/>
      <c r="AJ123" s="250"/>
      <c r="AK123" s="250"/>
      <c r="AL123" s="251" t="e">
        <f t="shared" si="97"/>
        <v>#DIV/0!</v>
      </c>
      <c r="AM123" s="249" t="e">
        <f t="shared" si="98"/>
        <v>#DIV/0!</v>
      </c>
      <c r="AN123" s="404"/>
      <c r="AO123" s="250"/>
      <c r="AP123" s="250"/>
      <c r="AQ123" s="251" t="e">
        <f t="shared" si="99"/>
        <v>#DIV/0!</v>
      </c>
      <c r="AR123" s="249" t="e">
        <f t="shared" si="100"/>
        <v>#DIV/0!</v>
      </c>
      <c r="AS123" s="404"/>
      <c r="AT123" s="250"/>
      <c r="AU123" s="251"/>
      <c r="AV123" s="251" t="e">
        <f t="shared" si="101"/>
        <v>#DIV/0!</v>
      </c>
      <c r="AW123" s="249" t="e">
        <f t="shared" si="102"/>
        <v>#DIV/0!</v>
      </c>
      <c r="AX123" s="404"/>
    </row>
    <row r="124" spans="2:50">
      <c r="B124" s="405"/>
      <c r="C124" s="249">
        <v>6</v>
      </c>
      <c r="D124" s="249" t="s">
        <v>114</v>
      </c>
      <c r="E124" s="250" t="e">
        <f>VLOOKUP(D124,#REF!,2,0)</f>
        <v>#REF!</v>
      </c>
      <c r="F124" s="250" t="e">
        <f>VLOOKUP(D124,#REF!,3,0)</f>
        <v>#REF!</v>
      </c>
      <c r="G124" s="251" t="e">
        <f t="shared" si="85"/>
        <v>#REF!</v>
      </c>
      <c r="H124" s="407"/>
      <c r="I124" s="250" t="e">
        <f t="shared" si="86"/>
        <v>#DIV/0!</v>
      </c>
      <c r="J124" s="250" t="e">
        <f t="shared" si="86"/>
        <v>#DIV/0!</v>
      </c>
      <c r="K124" s="251" t="e">
        <f t="shared" si="87"/>
        <v>#DIV/0!</v>
      </c>
      <c r="L124" s="407"/>
      <c r="M124" s="252" t="e">
        <f t="shared" si="88"/>
        <v>#DIV/0!</v>
      </c>
      <c r="N124" s="409"/>
      <c r="O124" s="409"/>
      <c r="P124" s="250"/>
      <c r="Q124" s="250"/>
      <c r="R124" s="251" t="e">
        <f t="shared" si="89"/>
        <v>#DIV/0!</v>
      </c>
      <c r="S124" s="249" t="e">
        <f t="shared" si="90"/>
        <v>#DIV/0!</v>
      </c>
      <c r="T124" s="404"/>
      <c r="U124" s="250"/>
      <c r="V124" s="250"/>
      <c r="W124" s="251" t="e">
        <f t="shared" si="91"/>
        <v>#DIV/0!</v>
      </c>
      <c r="X124" s="249" t="e">
        <f t="shared" si="92"/>
        <v>#DIV/0!</v>
      </c>
      <c r="Y124" s="404"/>
      <c r="Z124" s="249"/>
      <c r="AA124" s="250"/>
      <c r="AB124" s="251" t="e">
        <f t="shared" si="93"/>
        <v>#DIV/0!</v>
      </c>
      <c r="AC124" s="249" t="e">
        <f t="shared" si="94"/>
        <v>#DIV/0!</v>
      </c>
      <c r="AD124" s="404"/>
      <c r="AE124" s="250"/>
      <c r="AF124" s="250"/>
      <c r="AG124" s="251" t="e">
        <f t="shared" si="95"/>
        <v>#DIV/0!</v>
      </c>
      <c r="AH124" s="249" t="e">
        <f t="shared" si="96"/>
        <v>#DIV/0!</v>
      </c>
      <c r="AI124" s="404"/>
      <c r="AJ124" s="250"/>
      <c r="AK124" s="250"/>
      <c r="AL124" s="251" t="e">
        <f t="shared" si="97"/>
        <v>#DIV/0!</v>
      </c>
      <c r="AM124" s="249" t="e">
        <f t="shared" si="98"/>
        <v>#DIV/0!</v>
      </c>
      <c r="AN124" s="404"/>
      <c r="AO124" s="250"/>
      <c r="AP124" s="250"/>
      <c r="AQ124" s="251" t="e">
        <f t="shared" si="99"/>
        <v>#DIV/0!</v>
      </c>
      <c r="AR124" s="249" t="e">
        <f t="shared" si="100"/>
        <v>#DIV/0!</v>
      </c>
      <c r="AS124" s="404"/>
      <c r="AT124" s="250"/>
      <c r="AU124" s="251"/>
      <c r="AV124" s="251" t="e">
        <f t="shared" si="101"/>
        <v>#DIV/0!</v>
      </c>
      <c r="AW124" s="249" t="e">
        <f t="shared" si="102"/>
        <v>#DIV/0!</v>
      </c>
      <c r="AX124" s="404"/>
    </row>
    <row r="125" spans="2:50">
      <c r="B125" s="405"/>
      <c r="C125" s="249">
        <v>7</v>
      </c>
      <c r="D125" s="249" t="s">
        <v>115</v>
      </c>
      <c r="E125" s="250" t="e">
        <f>VLOOKUP(D125,#REF!,2,0)</f>
        <v>#REF!</v>
      </c>
      <c r="F125" s="250" t="e">
        <f>VLOOKUP(D125,#REF!,3,0)</f>
        <v>#REF!</v>
      </c>
      <c r="G125" s="251" t="e">
        <f t="shared" si="85"/>
        <v>#REF!</v>
      </c>
      <c r="H125" s="407"/>
      <c r="I125" s="250"/>
      <c r="J125" s="250"/>
      <c r="K125" s="251"/>
      <c r="L125" s="407"/>
      <c r="M125" s="252"/>
      <c r="N125" s="409"/>
      <c r="O125" s="409"/>
      <c r="P125" s="250"/>
      <c r="Q125" s="250"/>
      <c r="R125" s="251"/>
      <c r="S125" s="249"/>
      <c r="T125" s="404"/>
      <c r="U125" s="250"/>
      <c r="V125" s="250"/>
      <c r="W125" s="251" t="e">
        <f t="shared" si="91"/>
        <v>#DIV/0!</v>
      </c>
      <c r="X125" s="249" t="e">
        <f t="shared" si="92"/>
        <v>#DIV/0!</v>
      </c>
      <c r="Y125" s="404"/>
      <c r="Z125" s="249"/>
      <c r="AA125" s="250"/>
      <c r="AB125" s="251" t="e">
        <f t="shared" si="93"/>
        <v>#DIV/0!</v>
      </c>
      <c r="AC125" s="249" t="e">
        <f t="shared" si="94"/>
        <v>#DIV/0!</v>
      </c>
      <c r="AD125" s="404"/>
      <c r="AE125" s="250"/>
      <c r="AF125" s="250"/>
      <c r="AG125" s="251" t="e">
        <f t="shared" si="95"/>
        <v>#DIV/0!</v>
      </c>
      <c r="AH125" s="249" t="e">
        <f t="shared" si="96"/>
        <v>#DIV/0!</v>
      </c>
      <c r="AI125" s="404"/>
      <c r="AJ125" s="250"/>
      <c r="AK125" s="250"/>
      <c r="AL125" s="251" t="e">
        <f t="shared" si="97"/>
        <v>#DIV/0!</v>
      </c>
      <c r="AM125" s="249" t="e">
        <f t="shared" si="98"/>
        <v>#DIV/0!</v>
      </c>
      <c r="AN125" s="404"/>
      <c r="AO125" s="250"/>
      <c r="AP125" s="250"/>
      <c r="AQ125" s="251" t="e">
        <f t="shared" si="99"/>
        <v>#DIV/0!</v>
      </c>
      <c r="AR125" s="249" t="e">
        <f t="shared" si="100"/>
        <v>#DIV/0!</v>
      </c>
      <c r="AS125" s="404"/>
      <c r="AT125" s="250"/>
      <c r="AU125" s="251"/>
      <c r="AV125" s="251" t="e">
        <f t="shared" si="101"/>
        <v>#DIV/0!</v>
      </c>
      <c r="AW125" s="249" t="e">
        <f t="shared" si="102"/>
        <v>#DIV/0!</v>
      </c>
      <c r="AX125" s="404"/>
    </row>
    <row r="126" spans="2:50">
      <c r="B126" s="405"/>
      <c r="C126" s="249">
        <v>8</v>
      </c>
      <c r="D126" s="249" t="s">
        <v>116</v>
      </c>
      <c r="E126" s="250" t="e">
        <f>VLOOKUP(D126,#REF!,2,0)</f>
        <v>#REF!</v>
      </c>
      <c r="F126" s="250" t="e">
        <f>VLOOKUP(D126,#REF!,3,0)</f>
        <v>#REF!</v>
      </c>
      <c r="G126" s="251" t="e">
        <f t="shared" si="85"/>
        <v>#REF!</v>
      </c>
      <c r="H126" s="407"/>
      <c r="I126" s="250" t="e">
        <f t="shared" si="86"/>
        <v>#DIV/0!</v>
      </c>
      <c r="J126" s="250" t="e">
        <f t="shared" si="86"/>
        <v>#DIV/0!</v>
      </c>
      <c r="K126" s="251" t="e">
        <f t="shared" si="87"/>
        <v>#DIV/0!</v>
      </c>
      <c r="L126" s="407"/>
      <c r="M126" s="252" t="e">
        <f t="shared" si="88"/>
        <v>#DIV/0!</v>
      </c>
      <c r="N126" s="409"/>
      <c r="O126" s="409"/>
      <c r="P126" s="250"/>
      <c r="Q126" s="250"/>
      <c r="R126" s="251" t="e">
        <f t="shared" si="89"/>
        <v>#DIV/0!</v>
      </c>
      <c r="S126" s="249" t="e">
        <f t="shared" si="90"/>
        <v>#DIV/0!</v>
      </c>
      <c r="T126" s="404"/>
      <c r="U126" s="250"/>
      <c r="V126" s="250"/>
      <c r="W126" s="251" t="e">
        <f t="shared" si="91"/>
        <v>#DIV/0!</v>
      </c>
      <c r="X126" s="249" t="e">
        <f t="shared" si="92"/>
        <v>#DIV/0!</v>
      </c>
      <c r="Y126" s="404"/>
      <c r="Z126" s="249"/>
      <c r="AA126" s="250"/>
      <c r="AB126" s="251" t="e">
        <f t="shared" si="93"/>
        <v>#DIV/0!</v>
      </c>
      <c r="AC126" s="249" t="e">
        <f t="shared" si="94"/>
        <v>#DIV/0!</v>
      </c>
      <c r="AD126" s="404"/>
      <c r="AE126" s="250"/>
      <c r="AF126" s="250"/>
      <c r="AG126" s="251" t="e">
        <f t="shared" si="95"/>
        <v>#DIV/0!</v>
      </c>
      <c r="AH126" s="249" t="e">
        <f t="shared" si="96"/>
        <v>#DIV/0!</v>
      </c>
      <c r="AI126" s="404"/>
      <c r="AJ126" s="250"/>
      <c r="AK126" s="250"/>
      <c r="AL126" s="251" t="e">
        <f t="shared" si="97"/>
        <v>#DIV/0!</v>
      </c>
      <c r="AM126" s="249" t="e">
        <f t="shared" si="98"/>
        <v>#DIV/0!</v>
      </c>
      <c r="AN126" s="404"/>
      <c r="AO126" s="250"/>
      <c r="AP126" s="250"/>
      <c r="AQ126" s="251" t="e">
        <f t="shared" si="99"/>
        <v>#DIV/0!</v>
      </c>
      <c r="AR126" s="249" t="e">
        <f t="shared" si="100"/>
        <v>#DIV/0!</v>
      </c>
      <c r="AS126" s="404"/>
      <c r="AT126" s="250"/>
      <c r="AU126" s="251"/>
      <c r="AV126" s="251" t="e">
        <f t="shared" si="101"/>
        <v>#DIV/0!</v>
      </c>
      <c r="AW126" s="249" t="e">
        <f t="shared" si="102"/>
        <v>#DIV/0!</v>
      </c>
      <c r="AX126" s="404"/>
    </row>
    <row r="127" spans="2:50">
      <c r="B127" s="405"/>
      <c r="C127" s="249">
        <v>9</v>
      </c>
      <c r="D127" s="249" t="s">
        <v>117</v>
      </c>
      <c r="E127" s="250" t="e">
        <f>VLOOKUP(D127,#REF!,2,0)</f>
        <v>#REF!</v>
      </c>
      <c r="F127" s="250" t="e">
        <f>VLOOKUP(D127,#REF!,3,0)</f>
        <v>#REF!</v>
      </c>
      <c r="G127" s="251" t="e">
        <f t="shared" si="85"/>
        <v>#REF!</v>
      </c>
      <c r="H127" s="407"/>
      <c r="I127" s="250" t="e">
        <f t="shared" si="86"/>
        <v>#DIV/0!</v>
      </c>
      <c r="J127" s="250" t="e">
        <f t="shared" si="86"/>
        <v>#DIV/0!</v>
      </c>
      <c r="K127" s="251" t="e">
        <f t="shared" si="87"/>
        <v>#DIV/0!</v>
      </c>
      <c r="L127" s="407"/>
      <c r="M127" s="252" t="e">
        <f t="shared" si="88"/>
        <v>#DIV/0!</v>
      </c>
      <c r="N127" s="409"/>
      <c r="O127" s="409"/>
      <c r="P127" s="250"/>
      <c r="Q127" s="250"/>
      <c r="R127" s="251" t="e">
        <f t="shared" si="89"/>
        <v>#DIV/0!</v>
      </c>
      <c r="S127" s="249" t="e">
        <f t="shared" si="90"/>
        <v>#DIV/0!</v>
      </c>
      <c r="T127" s="404"/>
      <c r="U127" s="250"/>
      <c r="V127" s="250"/>
      <c r="W127" s="251" t="e">
        <f t="shared" si="91"/>
        <v>#DIV/0!</v>
      </c>
      <c r="X127" s="249" t="e">
        <f t="shared" si="92"/>
        <v>#DIV/0!</v>
      </c>
      <c r="Y127" s="404"/>
      <c r="Z127" s="249"/>
      <c r="AA127" s="250"/>
      <c r="AB127" s="251" t="e">
        <f t="shared" si="93"/>
        <v>#DIV/0!</v>
      </c>
      <c r="AC127" s="249" t="e">
        <f t="shared" si="94"/>
        <v>#DIV/0!</v>
      </c>
      <c r="AD127" s="404"/>
      <c r="AE127" s="250"/>
      <c r="AF127" s="250"/>
      <c r="AG127" s="251" t="e">
        <f t="shared" si="95"/>
        <v>#DIV/0!</v>
      </c>
      <c r="AH127" s="249" t="e">
        <f t="shared" si="96"/>
        <v>#DIV/0!</v>
      </c>
      <c r="AI127" s="404"/>
      <c r="AJ127" s="250"/>
      <c r="AK127" s="250"/>
      <c r="AL127" s="251" t="e">
        <f t="shared" si="97"/>
        <v>#DIV/0!</v>
      </c>
      <c r="AM127" s="249" t="e">
        <f t="shared" si="98"/>
        <v>#DIV/0!</v>
      </c>
      <c r="AN127" s="404"/>
      <c r="AO127" s="250"/>
      <c r="AP127" s="250"/>
      <c r="AQ127" s="251" t="e">
        <f t="shared" si="99"/>
        <v>#DIV/0!</v>
      </c>
      <c r="AR127" s="249" t="e">
        <f t="shared" si="100"/>
        <v>#DIV/0!</v>
      </c>
      <c r="AS127" s="404"/>
      <c r="AT127" s="250"/>
      <c r="AU127" s="251"/>
      <c r="AV127" s="251" t="e">
        <f t="shared" si="101"/>
        <v>#DIV/0!</v>
      </c>
      <c r="AW127" s="249" t="e">
        <f t="shared" si="102"/>
        <v>#DIV/0!</v>
      </c>
      <c r="AX127" s="404"/>
    </row>
    <row r="128" spans="2:50">
      <c r="B128" s="405"/>
      <c r="C128" s="249">
        <v>10</v>
      </c>
      <c r="D128" s="249" t="s">
        <v>118</v>
      </c>
      <c r="E128" s="250" t="e">
        <f>VLOOKUP(D128,#REF!,2,0)</f>
        <v>#REF!</v>
      </c>
      <c r="F128" s="250" t="e">
        <f>VLOOKUP(D128,#REF!,3,0)</f>
        <v>#REF!</v>
      </c>
      <c r="G128" s="251" t="e">
        <f t="shared" si="85"/>
        <v>#REF!</v>
      </c>
      <c r="H128" s="407"/>
      <c r="I128" s="250"/>
      <c r="J128" s="250"/>
      <c r="K128" s="251"/>
      <c r="L128" s="407"/>
      <c r="M128" s="252"/>
      <c r="N128" s="409"/>
      <c r="O128" s="409"/>
      <c r="P128" s="250"/>
      <c r="Q128" s="250"/>
      <c r="R128" s="251"/>
      <c r="S128" s="249"/>
      <c r="T128" s="404"/>
      <c r="U128" s="250"/>
      <c r="V128" s="250"/>
      <c r="W128" s="251" t="e">
        <f t="shared" si="91"/>
        <v>#DIV/0!</v>
      </c>
      <c r="X128" s="249" t="e">
        <f t="shared" si="92"/>
        <v>#DIV/0!</v>
      </c>
      <c r="Y128" s="404"/>
      <c r="Z128" s="249"/>
      <c r="AA128" s="250"/>
      <c r="AB128" s="251" t="e">
        <f t="shared" si="93"/>
        <v>#DIV/0!</v>
      </c>
      <c r="AC128" s="249" t="e">
        <f t="shared" si="94"/>
        <v>#DIV/0!</v>
      </c>
      <c r="AD128" s="404"/>
      <c r="AE128" s="250"/>
      <c r="AF128" s="250"/>
      <c r="AG128" s="251" t="e">
        <f t="shared" si="95"/>
        <v>#DIV/0!</v>
      </c>
      <c r="AH128" s="249" t="e">
        <f t="shared" si="96"/>
        <v>#DIV/0!</v>
      </c>
      <c r="AI128" s="404"/>
      <c r="AJ128" s="250"/>
      <c r="AK128" s="250"/>
      <c r="AL128" s="251" t="e">
        <f t="shared" si="97"/>
        <v>#DIV/0!</v>
      </c>
      <c r="AM128" s="249" t="e">
        <f t="shared" si="98"/>
        <v>#DIV/0!</v>
      </c>
      <c r="AN128" s="404"/>
      <c r="AO128" s="250"/>
      <c r="AP128" s="250"/>
      <c r="AQ128" s="251" t="e">
        <f t="shared" si="99"/>
        <v>#DIV/0!</v>
      </c>
      <c r="AR128" s="249" t="e">
        <f t="shared" si="100"/>
        <v>#DIV/0!</v>
      </c>
      <c r="AS128" s="404"/>
      <c r="AT128" s="250"/>
      <c r="AU128" s="251"/>
      <c r="AV128" s="251" t="e">
        <f t="shared" si="101"/>
        <v>#DIV/0!</v>
      </c>
      <c r="AW128" s="249" t="e">
        <f t="shared" si="102"/>
        <v>#DIV/0!</v>
      </c>
      <c r="AX128" s="404"/>
    </row>
    <row r="129" spans="2:50">
      <c r="B129" s="405"/>
      <c r="C129" s="249">
        <v>11</v>
      </c>
      <c r="D129" s="249" t="s">
        <v>119</v>
      </c>
      <c r="E129" s="250" t="e">
        <f>VLOOKUP(D129,#REF!,2,0)</f>
        <v>#REF!</v>
      </c>
      <c r="F129" s="250" t="e">
        <f>VLOOKUP(D129,#REF!,3,0)</f>
        <v>#REF!</v>
      </c>
      <c r="G129" s="251" t="e">
        <f t="shared" si="85"/>
        <v>#REF!</v>
      </c>
      <c r="H129" s="407"/>
      <c r="I129" s="250" t="e">
        <f t="shared" si="86"/>
        <v>#DIV/0!</v>
      </c>
      <c r="J129" s="250" t="e">
        <f t="shared" si="86"/>
        <v>#DIV/0!</v>
      </c>
      <c r="K129" s="251" t="e">
        <f t="shared" si="87"/>
        <v>#DIV/0!</v>
      </c>
      <c r="L129" s="407"/>
      <c r="M129" s="252" t="e">
        <f t="shared" si="88"/>
        <v>#DIV/0!</v>
      </c>
      <c r="N129" s="409"/>
      <c r="O129" s="409"/>
      <c r="P129" s="249"/>
      <c r="Q129" s="249"/>
      <c r="R129" s="251" t="e">
        <f>Q129/P129</f>
        <v>#DIV/0!</v>
      </c>
      <c r="S129" s="249" t="e">
        <f t="shared" si="90"/>
        <v>#DIV/0!</v>
      </c>
      <c r="T129" s="404"/>
      <c r="U129" s="249"/>
      <c r="V129" s="249"/>
      <c r="W129" s="249" t="e">
        <f>V129/U129</f>
        <v>#DIV/0!</v>
      </c>
      <c r="X129" s="249" t="e">
        <f t="shared" si="92"/>
        <v>#DIV/0!</v>
      </c>
      <c r="Y129" s="404"/>
      <c r="Z129" s="249"/>
      <c r="AA129" s="249"/>
      <c r="AB129" s="249" t="e">
        <f>AA129/Z129</f>
        <v>#DIV/0!</v>
      </c>
      <c r="AC129" s="249" t="e">
        <f t="shared" si="94"/>
        <v>#DIV/0!</v>
      </c>
      <c r="AD129" s="404"/>
      <c r="AE129" s="249"/>
      <c r="AF129" s="249"/>
      <c r="AG129" s="251" t="e">
        <f>AF129/AE129</f>
        <v>#DIV/0!</v>
      </c>
      <c r="AH129" s="249" t="e">
        <f t="shared" si="96"/>
        <v>#DIV/0!</v>
      </c>
      <c r="AI129" s="404"/>
      <c r="AJ129" s="249"/>
      <c r="AK129" s="249"/>
      <c r="AL129" s="251" t="e">
        <f>AK129/AJ129</f>
        <v>#DIV/0!</v>
      </c>
      <c r="AM129" s="249" t="e">
        <f t="shared" si="98"/>
        <v>#DIV/0!</v>
      </c>
      <c r="AN129" s="404"/>
      <c r="AO129" s="249"/>
      <c r="AP129" s="249"/>
      <c r="AQ129" s="251" t="e">
        <f>AP129/AO129</f>
        <v>#DIV/0!</v>
      </c>
      <c r="AR129" s="249" t="e">
        <f t="shared" si="100"/>
        <v>#DIV/0!</v>
      </c>
      <c r="AS129" s="404"/>
      <c r="AT129" s="249"/>
      <c r="AU129" s="251"/>
      <c r="AV129" s="251" t="e">
        <f t="shared" si="101"/>
        <v>#DIV/0!</v>
      </c>
      <c r="AW129" s="249" t="e">
        <f t="shared" si="102"/>
        <v>#DIV/0!</v>
      </c>
      <c r="AX129" s="404"/>
    </row>
    <row r="130" spans="2:50">
      <c r="B130" s="405"/>
      <c r="C130" s="249">
        <v>12</v>
      </c>
      <c r="D130" s="249" t="s">
        <v>120</v>
      </c>
      <c r="E130" s="250" t="e">
        <f>VLOOKUP(D130,#REF!,2,0)</f>
        <v>#REF!</v>
      </c>
      <c r="F130" s="250" t="e">
        <f>VLOOKUP(D130,#REF!,3,0)</f>
        <v>#REF!</v>
      </c>
      <c r="G130" s="251" t="e">
        <f t="shared" si="85"/>
        <v>#REF!</v>
      </c>
      <c r="H130" s="407"/>
      <c r="I130" s="249" t="e">
        <f t="shared" si="86"/>
        <v>#DIV/0!</v>
      </c>
      <c r="J130" s="250" t="e">
        <f t="shared" si="86"/>
        <v>#DIV/0!</v>
      </c>
      <c r="K130" s="251" t="e">
        <f t="shared" si="87"/>
        <v>#DIV/0!</v>
      </c>
      <c r="L130" s="407"/>
      <c r="M130" s="252" t="e">
        <f t="shared" si="88"/>
        <v>#DIV/0!</v>
      </c>
      <c r="N130" s="409"/>
      <c r="O130" s="409"/>
      <c r="P130" s="249"/>
      <c r="Q130" s="249"/>
      <c r="R130" s="251" t="e">
        <f t="shared" ref="R130:R135" si="103">Q130/P130</f>
        <v>#DIV/0!</v>
      </c>
      <c r="S130" s="249" t="e">
        <f t="shared" si="90"/>
        <v>#DIV/0!</v>
      </c>
      <c r="T130" s="404"/>
      <c r="U130" s="249"/>
      <c r="V130" s="249"/>
      <c r="W130" s="249" t="e">
        <f t="shared" ref="W130:W136" si="104">V130/U130</f>
        <v>#DIV/0!</v>
      </c>
      <c r="X130" s="249" t="e">
        <f t="shared" si="92"/>
        <v>#DIV/0!</v>
      </c>
      <c r="Y130" s="404"/>
      <c r="Z130" s="249"/>
      <c r="AA130" s="249"/>
      <c r="AB130" s="249" t="e">
        <f t="shared" ref="AB130:AB136" si="105">AA130/Z130</f>
        <v>#DIV/0!</v>
      </c>
      <c r="AC130" s="249" t="e">
        <f t="shared" si="94"/>
        <v>#DIV/0!</v>
      </c>
      <c r="AD130" s="404"/>
      <c r="AE130" s="249"/>
      <c r="AF130" s="249"/>
      <c r="AG130" s="251" t="e">
        <f>AF130/AE130</f>
        <v>#DIV/0!</v>
      </c>
      <c r="AH130" s="249" t="e">
        <f t="shared" si="96"/>
        <v>#DIV/0!</v>
      </c>
      <c r="AI130" s="404"/>
      <c r="AJ130" s="249"/>
      <c r="AK130" s="249"/>
      <c r="AL130" s="251" t="e">
        <f>AK130/AJ130</f>
        <v>#DIV/0!</v>
      </c>
      <c r="AM130" s="249" t="e">
        <f t="shared" si="98"/>
        <v>#DIV/0!</v>
      </c>
      <c r="AN130" s="404"/>
      <c r="AO130" s="249"/>
      <c r="AP130" s="249"/>
      <c r="AQ130" s="251" t="e">
        <f>AP130/AO130</f>
        <v>#DIV/0!</v>
      </c>
      <c r="AR130" s="249" t="e">
        <f t="shared" si="100"/>
        <v>#DIV/0!</v>
      </c>
      <c r="AS130" s="404"/>
      <c r="AT130" s="249"/>
      <c r="AU130" s="249"/>
      <c r="AV130" s="251" t="e">
        <f t="shared" si="101"/>
        <v>#DIV/0!</v>
      </c>
      <c r="AW130" s="249" t="e">
        <f>RANK(AV130, AV$7:AV$24)</f>
        <v>#DIV/0!</v>
      </c>
      <c r="AX130" s="404"/>
    </row>
    <row r="131" spans="2:50">
      <c r="B131" s="405"/>
      <c r="C131" s="249">
        <v>13</v>
      </c>
      <c r="D131" s="249" t="s">
        <v>121</v>
      </c>
      <c r="E131" s="250" t="e">
        <f>VLOOKUP(D131,#REF!,2,0)</f>
        <v>#REF!</v>
      </c>
      <c r="F131" s="250" t="e">
        <f>VLOOKUP(D131,#REF!,3,0)</f>
        <v>#REF!</v>
      </c>
      <c r="G131" s="251" t="e">
        <f t="shared" si="85"/>
        <v>#REF!</v>
      </c>
      <c r="H131" s="407"/>
      <c r="I131" s="249" t="e">
        <f t="shared" si="86"/>
        <v>#DIV/0!</v>
      </c>
      <c r="J131" s="250" t="e">
        <f t="shared" si="86"/>
        <v>#DIV/0!</v>
      </c>
      <c r="K131" s="251" t="e">
        <f t="shared" si="87"/>
        <v>#DIV/0!</v>
      </c>
      <c r="L131" s="407"/>
      <c r="M131" s="252" t="e">
        <f t="shared" si="88"/>
        <v>#DIV/0!</v>
      </c>
      <c r="N131" s="409"/>
      <c r="O131" s="409"/>
      <c r="P131" s="249"/>
      <c r="Q131" s="249"/>
      <c r="R131" s="251" t="e">
        <f t="shared" si="103"/>
        <v>#DIV/0!</v>
      </c>
      <c r="S131" s="249" t="e">
        <f t="shared" si="90"/>
        <v>#DIV/0!</v>
      </c>
      <c r="T131" s="404"/>
      <c r="U131" s="249"/>
      <c r="V131" s="249"/>
      <c r="W131" s="249" t="e">
        <f t="shared" si="104"/>
        <v>#DIV/0!</v>
      </c>
      <c r="X131" s="249" t="e">
        <f t="shared" si="92"/>
        <v>#DIV/0!</v>
      </c>
      <c r="Y131" s="404"/>
      <c r="Z131" s="249"/>
      <c r="AA131" s="249"/>
      <c r="AB131" s="249" t="e">
        <f t="shared" si="105"/>
        <v>#DIV/0!</v>
      </c>
      <c r="AC131" s="249" t="e">
        <f t="shared" si="94"/>
        <v>#DIV/0!</v>
      </c>
      <c r="AD131" s="404"/>
      <c r="AE131" s="249"/>
      <c r="AF131" s="249"/>
      <c r="AG131" s="251" t="e">
        <f>AF131/AE131</f>
        <v>#DIV/0!</v>
      </c>
      <c r="AH131" s="249" t="e">
        <f t="shared" si="96"/>
        <v>#DIV/0!</v>
      </c>
      <c r="AI131" s="404"/>
      <c r="AJ131" s="249"/>
      <c r="AK131" s="249"/>
      <c r="AL131" s="251" t="e">
        <f>AK131/AJ131</f>
        <v>#DIV/0!</v>
      </c>
      <c r="AM131" s="249" t="e">
        <f t="shared" si="98"/>
        <v>#DIV/0!</v>
      </c>
      <c r="AN131" s="404"/>
      <c r="AO131" s="249"/>
      <c r="AP131" s="249"/>
      <c r="AQ131" s="251" t="e">
        <f>AP131/AO131</f>
        <v>#DIV/0!</v>
      </c>
      <c r="AR131" s="249" t="e">
        <f t="shared" si="100"/>
        <v>#DIV/0!</v>
      </c>
      <c r="AS131" s="404"/>
      <c r="AT131" s="249"/>
      <c r="AU131" s="249"/>
      <c r="AV131" s="251" t="e">
        <f t="shared" si="101"/>
        <v>#DIV/0!</v>
      </c>
      <c r="AW131" s="249" t="e">
        <f>RANK(AV131, AV$7:AV$24)</f>
        <v>#DIV/0!</v>
      </c>
      <c r="AX131" s="404"/>
    </row>
    <row r="132" spans="2:50">
      <c r="B132" s="405"/>
      <c r="C132" s="249">
        <v>14</v>
      </c>
      <c r="D132" s="249" t="s">
        <v>122</v>
      </c>
      <c r="E132" s="250" t="e">
        <f>VLOOKUP(D132,#REF!,2,0)</f>
        <v>#REF!</v>
      </c>
      <c r="F132" s="250" t="e">
        <f>VLOOKUP(D132,#REF!,3,0)</f>
        <v>#REF!</v>
      </c>
      <c r="G132" s="251" t="e">
        <f t="shared" si="85"/>
        <v>#REF!</v>
      </c>
      <c r="H132" s="407"/>
      <c r="I132" s="249"/>
      <c r="J132" s="250"/>
      <c r="K132" s="251"/>
      <c r="L132" s="407"/>
      <c r="M132" s="252"/>
      <c r="N132" s="409"/>
      <c r="O132" s="409"/>
      <c r="P132" s="249"/>
      <c r="Q132" s="249"/>
      <c r="R132" s="251"/>
      <c r="S132" s="249"/>
      <c r="T132" s="404"/>
      <c r="U132" s="249"/>
      <c r="V132" s="249"/>
      <c r="W132" s="249" t="e">
        <f t="shared" si="104"/>
        <v>#DIV/0!</v>
      </c>
      <c r="X132" s="249" t="e">
        <f t="shared" si="92"/>
        <v>#DIV/0!</v>
      </c>
      <c r="Y132" s="404"/>
      <c r="Z132" s="249"/>
      <c r="AA132" s="249"/>
      <c r="AB132" s="249" t="e">
        <f t="shared" si="105"/>
        <v>#DIV/0!</v>
      </c>
      <c r="AC132" s="249" t="e">
        <f t="shared" si="94"/>
        <v>#DIV/0!</v>
      </c>
      <c r="AD132" s="404"/>
      <c r="AE132" s="249"/>
      <c r="AF132" s="249"/>
      <c r="AG132" s="251" t="e">
        <f>AF132/AE132</f>
        <v>#DIV/0!</v>
      </c>
      <c r="AH132" s="249" t="e">
        <f t="shared" si="96"/>
        <v>#DIV/0!</v>
      </c>
      <c r="AI132" s="404"/>
      <c r="AJ132" s="249"/>
      <c r="AK132" s="249"/>
      <c r="AL132" s="251" t="e">
        <f>AK132/AJ132</f>
        <v>#DIV/0!</v>
      </c>
      <c r="AM132" s="249" t="e">
        <f t="shared" si="98"/>
        <v>#DIV/0!</v>
      </c>
      <c r="AN132" s="404"/>
      <c r="AO132" s="249"/>
      <c r="AP132" s="249"/>
      <c r="AQ132" s="249" t="e">
        <f>AP132/AO132</f>
        <v>#DIV/0!</v>
      </c>
      <c r="AR132" s="249" t="e">
        <f t="shared" si="100"/>
        <v>#DIV/0!</v>
      </c>
      <c r="AS132" s="404"/>
      <c r="AT132" s="249"/>
      <c r="AU132" s="249"/>
      <c r="AV132" s="251" t="e">
        <f t="shared" si="101"/>
        <v>#DIV/0!</v>
      </c>
      <c r="AW132" s="249" t="e">
        <f>RANK(AV132, AV$7:AV$24)</f>
        <v>#DIV/0!</v>
      </c>
      <c r="AX132" s="404"/>
    </row>
    <row r="133" spans="2:50">
      <c r="B133" s="405"/>
      <c r="C133" s="249">
        <v>15</v>
      </c>
      <c r="D133" s="249"/>
      <c r="E133" s="250"/>
      <c r="F133" s="250"/>
      <c r="G133" s="251"/>
      <c r="H133" s="407"/>
      <c r="I133" s="249" t="e">
        <f t="shared" si="86"/>
        <v>#DIV/0!</v>
      </c>
      <c r="J133" s="249" t="e">
        <f t="shared" si="86"/>
        <v>#DIV/0!</v>
      </c>
      <c r="K133" s="251" t="e">
        <f t="shared" si="87"/>
        <v>#DIV/0!</v>
      </c>
      <c r="L133" s="407"/>
      <c r="M133" s="252" t="e">
        <f t="shared" si="88"/>
        <v>#DIV/0!</v>
      </c>
      <c r="N133" s="409"/>
      <c r="O133" s="409"/>
      <c r="P133" s="249"/>
      <c r="Q133" s="249"/>
      <c r="R133" s="251" t="e">
        <f t="shared" si="103"/>
        <v>#DIV/0!</v>
      </c>
      <c r="S133" s="249" t="e">
        <f t="shared" si="90"/>
        <v>#DIV/0!</v>
      </c>
      <c r="T133" s="404"/>
      <c r="U133" s="249"/>
      <c r="V133" s="249"/>
      <c r="W133" s="249" t="e">
        <f t="shared" si="104"/>
        <v>#DIV/0!</v>
      </c>
      <c r="X133" s="249" t="e">
        <f t="shared" si="92"/>
        <v>#DIV/0!</v>
      </c>
      <c r="Y133" s="404"/>
      <c r="Z133" s="249"/>
      <c r="AA133" s="249"/>
      <c r="AB133" s="249" t="e">
        <f t="shared" si="105"/>
        <v>#DIV/0!</v>
      </c>
      <c r="AC133" s="249" t="e">
        <f t="shared" si="94"/>
        <v>#DIV/0!</v>
      </c>
      <c r="AD133" s="404"/>
      <c r="AE133" s="249"/>
      <c r="AF133" s="249"/>
      <c r="AG133" s="251"/>
      <c r="AH133" s="249"/>
      <c r="AI133" s="404"/>
      <c r="AJ133" s="249"/>
      <c r="AK133" s="249"/>
      <c r="AL133" s="249"/>
      <c r="AM133" s="249"/>
      <c r="AN133" s="404"/>
      <c r="AO133" s="249"/>
      <c r="AP133" s="249"/>
      <c r="AQ133" s="249"/>
      <c r="AR133" s="249" t="e">
        <f t="shared" si="100"/>
        <v>#N/A</v>
      </c>
      <c r="AS133" s="404"/>
      <c r="AT133" s="249"/>
      <c r="AU133" s="249"/>
      <c r="AV133" s="251" t="e">
        <f>AU133/AT133</f>
        <v>#DIV/0!</v>
      </c>
      <c r="AW133" s="249" t="e">
        <f>RANK(AV133, AV$7:AV$24)</f>
        <v>#DIV/0!</v>
      </c>
      <c r="AX133" s="404"/>
    </row>
    <row r="134" spans="2:50">
      <c r="B134" s="405"/>
      <c r="C134" s="249">
        <v>16</v>
      </c>
      <c r="D134" s="249"/>
      <c r="E134" s="250"/>
      <c r="F134" s="250"/>
      <c r="G134" s="251"/>
      <c r="H134" s="407"/>
      <c r="I134" s="249" t="e">
        <f t="shared" si="86"/>
        <v>#DIV/0!</v>
      </c>
      <c r="J134" s="249" t="e">
        <f t="shared" si="86"/>
        <v>#DIV/0!</v>
      </c>
      <c r="K134" s="251" t="e">
        <f t="shared" si="87"/>
        <v>#DIV/0!</v>
      </c>
      <c r="L134" s="407"/>
      <c r="M134" s="252" t="e">
        <f t="shared" si="88"/>
        <v>#DIV/0!</v>
      </c>
      <c r="N134" s="409"/>
      <c r="O134" s="409"/>
      <c r="P134" s="249"/>
      <c r="Q134" s="249"/>
      <c r="R134" s="251" t="e">
        <f t="shared" si="103"/>
        <v>#DIV/0!</v>
      </c>
      <c r="S134" s="249" t="e">
        <f t="shared" si="90"/>
        <v>#DIV/0!</v>
      </c>
      <c r="T134" s="404"/>
      <c r="U134" s="249"/>
      <c r="V134" s="249"/>
      <c r="W134" s="249" t="e">
        <f t="shared" si="104"/>
        <v>#DIV/0!</v>
      </c>
      <c r="X134" s="249" t="e">
        <f t="shared" si="92"/>
        <v>#DIV/0!</v>
      </c>
      <c r="Y134" s="404"/>
      <c r="Z134" s="249"/>
      <c r="AA134" s="249"/>
      <c r="AB134" s="249" t="e">
        <f t="shared" si="105"/>
        <v>#DIV/0!</v>
      </c>
      <c r="AC134" s="249" t="e">
        <f t="shared" si="94"/>
        <v>#DIV/0!</v>
      </c>
      <c r="AD134" s="404"/>
      <c r="AE134" s="249"/>
      <c r="AF134" s="249"/>
      <c r="AG134" s="251"/>
      <c r="AH134" s="249"/>
      <c r="AI134" s="404"/>
      <c r="AJ134" s="249"/>
      <c r="AK134" s="249"/>
      <c r="AL134" s="249"/>
      <c r="AM134" s="249"/>
      <c r="AN134" s="404"/>
      <c r="AO134" s="249"/>
      <c r="AP134" s="249"/>
      <c r="AQ134" s="249"/>
      <c r="AR134" s="249" t="e">
        <f t="shared" si="100"/>
        <v>#N/A</v>
      </c>
      <c r="AS134" s="404"/>
      <c r="AT134" s="249"/>
      <c r="AU134" s="249"/>
      <c r="AV134" s="249"/>
      <c r="AW134" s="249"/>
      <c r="AX134" s="404"/>
    </row>
    <row r="135" spans="2:50">
      <c r="B135" s="405"/>
      <c r="C135" s="249">
        <v>17</v>
      </c>
      <c r="D135" s="249"/>
      <c r="E135" s="250"/>
      <c r="F135" s="250"/>
      <c r="G135" s="251"/>
      <c r="H135" s="407"/>
      <c r="I135" s="249" t="e">
        <f t="shared" si="86"/>
        <v>#DIV/0!</v>
      </c>
      <c r="J135" s="249" t="e">
        <f t="shared" si="86"/>
        <v>#DIV/0!</v>
      </c>
      <c r="K135" s="251" t="e">
        <f t="shared" si="87"/>
        <v>#DIV/0!</v>
      </c>
      <c r="L135" s="407"/>
      <c r="M135" s="252" t="e">
        <f t="shared" si="88"/>
        <v>#DIV/0!</v>
      </c>
      <c r="N135" s="409"/>
      <c r="O135" s="409"/>
      <c r="P135" s="249"/>
      <c r="Q135" s="249"/>
      <c r="R135" s="251" t="e">
        <f t="shared" si="103"/>
        <v>#DIV/0!</v>
      </c>
      <c r="S135" s="249" t="e">
        <f t="shared" si="90"/>
        <v>#DIV/0!</v>
      </c>
      <c r="T135" s="404"/>
      <c r="U135" s="249"/>
      <c r="V135" s="249"/>
      <c r="W135" s="249" t="e">
        <f t="shared" si="104"/>
        <v>#DIV/0!</v>
      </c>
      <c r="X135" s="249" t="e">
        <f t="shared" si="92"/>
        <v>#DIV/0!</v>
      </c>
      <c r="Y135" s="404"/>
      <c r="Z135" s="249"/>
      <c r="AA135" s="249"/>
      <c r="AB135" s="249" t="e">
        <f t="shared" si="105"/>
        <v>#DIV/0!</v>
      </c>
      <c r="AC135" s="249" t="e">
        <f t="shared" si="94"/>
        <v>#DIV/0!</v>
      </c>
      <c r="AD135" s="404"/>
      <c r="AE135" s="249"/>
      <c r="AF135" s="249"/>
      <c r="AG135" s="251"/>
      <c r="AH135" s="249"/>
      <c r="AI135" s="404"/>
      <c r="AJ135" s="249"/>
      <c r="AK135" s="249"/>
      <c r="AL135" s="249"/>
      <c r="AM135" s="249"/>
      <c r="AN135" s="404"/>
      <c r="AO135" s="249"/>
      <c r="AP135" s="249"/>
      <c r="AQ135" s="249"/>
      <c r="AR135" s="249" t="e">
        <f t="shared" si="100"/>
        <v>#N/A</v>
      </c>
      <c r="AS135" s="404"/>
      <c r="AT135" s="249"/>
      <c r="AU135" s="249"/>
      <c r="AV135" s="249"/>
      <c r="AW135" s="249"/>
      <c r="AX135" s="404"/>
    </row>
    <row r="136" spans="2:50">
      <c r="B136" s="405"/>
      <c r="C136" s="249">
        <v>18</v>
      </c>
      <c r="D136" s="249"/>
      <c r="E136" s="250"/>
      <c r="F136" s="250"/>
      <c r="G136" s="251"/>
      <c r="H136" s="408"/>
      <c r="I136" s="249"/>
      <c r="J136" s="249"/>
      <c r="K136" s="251"/>
      <c r="L136" s="408"/>
      <c r="M136" s="252"/>
      <c r="N136" s="409"/>
      <c r="O136" s="409"/>
      <c r="P136" s="249"/>
      <c r="Q136" s="249"/>
      <c r="R136" s="251"/>
      <c r="S136" s="249"/>
      <c r="T136" s="404"/>
      <c r="U136" s="249"/>
      <c r="V136" s="249"/>
      <c r="W136" s="249" t="e">
        <f t="shared" si="104"/>
        <v>#DIV/0!</v>
      </c>
      <c r="X136" s="249" t="e">
        <f t="shared" si="92"/>
        <v>#DIV/0!</v>
      </c>
      <c r="Y136" s="404"/>
      <c r="Z136" s="249"/>
      <c r="AA136" s="249"/>
      <c r="AB136" s="249" t="e">
        <f t="shared" si="105"/>
        <v>#DIV/0!</v>
      </c>
      <c r="AC136" s="249" t="e">
        <f t="shared" si="94"/>
        <v>#DIV/0!</v>
      </c>
      <c r="AD136" s="404"/>
      <c r="AE136" s="249"/>
      <c r="AF136" s="249"/>
      <c r="AG136" s="251"/>
      <c r="AH136" s="249"/>
      <c r="AI136" s="404"/>
      <c r="AJ136" s="249"/>
      <c r="AK136" s="249"/>
      <c r="AL136" s="249"/>
      <c r="AM136" s="249"/>
      <c r="AN136" s="404"/>
      <c r="AO136" s="249"/>
      <c r="AP136" s="249"/>
      <c r="AQ136" s="249"/>
      <c r="AR136" s="249" t="e">
        <f t="shared" si="100"/>
        <v>#N/A</v>
      </c>
      <c r="AS136" s="404"/>
      <c r="AT136" s="249"/>
      <c r="AU136" s="249"/>
      <c r="AV136" s="249"/>
      <c r="AW136" s="249"/>
      <c r="AX136" s="404"/>
    </row>
  </sheetData>
  <mergeCells count="354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8"/>
      <c r="B1" s="209" t="s">
        <v>127</v>
      </c>
      <c r="C1" s="107" t="e">
        <f>AVERAGE(L7,L27,L47,L67,L87)</f>
        <v>#DIV/0!</v>
      </c>
    </row>
    <row r="2" spans="1:50" ht="15.75">
      <c r="A2" s="83"/>
      <c r="B2" s="436" t="s">
        <v>93</v>
      </c>
      <c r="C2" s="437"/>
      <c r="D2" s="437"/>
      <c r="E2" s="437"/>
      <c r="F2" s="437"/>
      <c r="G2" s="437"/>
      <c r="H2" s="437"/>
      <c r="I2" s="183"/>
      <c r="J2" s="183"/>
      <c r="K2" s="183"/>
      <c r="L2" s="183"/>
      <c r="M2" s="179"/>
      <c r="N2" s="439" t="s">
        <v>94</v>
      </c>
      <c r="O2" s="439" t="s">
        <v>45</v>
      </c>
      <c r="P2" s="434"/>
      <c r="Q2" s="435"/>
      <c r="R2" s="435"/>
      <c r="S2" s="435"/>
      <c r="T2" s="435"/>
      <c r="U2" s="434"/>
      <c r="V2" s="435"/>
      <c r="W2" s="435"/>
      <c r="X2" s="435"/>
      <c r="Y2" s="435"/>
      <c r="Z2" s="434"/>
      <c r="AA2" s="435"/>
      <c r="AB2" s="435"/>
      <c r="AC2" s="435"/>
      <c r="AD2" s="435"/>
      <c r="AE2" s="434">
        <v>45870</v>
      </c>
      <c r="AF2" s="435"/>
      <c r="AG2" s="435"/>
      <c r="AH2" s="435"/>
      <c r="AI2" s="435"/>
      <c r="AJ2" s="434">
        <v>45871</v>
      </c>
      <c r="AK2" s="435"/>
      <c r="AL2" s="435"/>
      <c r="AM2" s="435"/>
      <c r="AN2" s="435"/>
      <c r="AO2" s="434">
        <v>45872</v>
      </c>
      <c r="AP2" s="435"/>
      <c r="AQ2" s="435"/>
      <c r="AR2" s="435"/>
      <c r="AS2" s="435"/>
      <c r="AT2" s="434">
        <v>45873</v>
      </c>
      <c r="AU2" s="435"/>
      <c r="AV2" s="435"/>
      <c r="AW2" s="435"/>
      <c r="AX2" s="435"/>
    </row>
    <row r="3" spans="1:50" ht="15.75">
      <c r="A3" s="83"/>
      <c r="B3" s="438"/>
      <c r="C3" s="438"/>
      <c r="D3" s="438"/>
      <c r="E3" s="438"/>
      <c r="F3" s="438"/>
      <c r="G3" s="438"/>
      <c r="H3" s="438"/>
      <c r="I3" s="180"/>
      <c r="J3" s="180"/>
      <c r="K3" s="180"/>
      <c r="L3" s="180"/>
      <c r="M3" s="181"/>
      <c r="N3" s="440"/>
      <c r="O3" s="440"/>
      <c r="P3" s="434" t="s">
        <v>77</v>
      </c>
      <c r="Q3" s="435"/>
      <c r="R3" s="435"/>
      <c r="S3" s="435"/>
      <c r="T3" s="435"/>
      <c r="U3" s="434" t="s">
        <v>72</v>
      </c>
      <c r="V3" s="435"/>
      <c r="W3" s="435"/>
      <c r="X3" s="435"/>
      <c r="Y3" s="435"/>
      <c r="Z3" s="434" t="s">
        <v>73</v>
      </c>
      <c r="AA3" s="435"/>
      <c r="AB3" s="435"/>
      <c r="AC3" s="435"/>
      <c r="AD3" s="435"/>
      <c r="AE3" s="434" t="s">
        <v>74</v>
      </c>
      <c r="AF3" s="435"/>
      <c r="AG3" s="435"/>
      <c r="AH3" s="435"/>
      <c r="AI3" s="435"/>
      <c r="AJ3" s="434" t="s">
        <v>75</v>
      </c>
      <c r="AK3" s="435"/>
      <c r="AL3" s="435"/>
      <c r="AM3" s="435"/>
      <c r="AN3" s="435"/>
      <c r="AO3" s="434" t="s">
        <v>52</v>
      </c>
      <c r="AP3" s="435"/>
      <c r="AQ3" s="435"/>
      <c r="AR3" s="435"/>
      <c r="AS3" s="435"/>
      <c r="AT3" s="434" t="s">
        <v>76</v>
      </c>
      <c r="AU3" s="435"/>
      <c r="AV3" s="435"/>
      <c r="AW3" s="435"/>
      <c r="AX3" s="435"/>
    </row>
    <row r="4" spans="1:50">
      <c r="A4" s="83"/>
      <c r="B4" s="444" t="s">
        <v>95</v>
      </c>
      <c r="C4" s="444" t="s">
        <v>96</v>
      </c>
      <c r="D4" s="444"/>
      <c r="E4" s="444" t="s">
        <v>97</v>
      </c>
      <c r="F4" s="444"/>
      <c r="G4" s="444"/>
      <c r="H4" s="450" t="s">
        <v>98</v>
      </c>
      <c r="I4" s="444" t="s">
        <v>99</v>
      </c>
      <c r="J4" s="444"/>
      <c r="K4" s="444"/>
      <c r="L4" s="450" t="s">
        <v>98</v>
      </c>
      <c r="M4" s="439" t="s">
        <v>100</v>
      </c>
      <c r="N4" s="444"/>
      <c r="O4" s="444" t="s">
        <v>101</v>
      </c>
      <c r="P4" s="441" t="s">
        <v>102</v>
      </c>
      <c r="Q4" s="442"/>
      <c r="R4" s="442"/>
      <c r="S4" s="443"/>
      <c r="T4" s="444" t="s">
        <v>98</v>
      </c>
      <c r="U4" s="441" t="s">
        <v>102</v>
      </c>
      <c r="V4" s="442"/>
      <c r="W4" s="442"/>
      <c r="X4" s="443"/>
      <c r="Y4" s="444" t="s">
        <v>98</v>
      </c>
      <c r="Z4" s="441" t="s">
        <v>102</v>
      </c>
      <c r="AA4" s="442"/>
      <c r="AB4" s="442"/>
      <c r="AC4" s="443"/>
      <c r="AD4" s="444" t="s">
        <v>98</v>
      </c>
      <c r="AE4" s="441" t="s">
        <v>102</v>
      </c>
      <c r="AF4" s="442"/>
      <c r="AG4" s="442"/>
      <c r="AH4" s="443"/>
      <c r="AI4" s="444" t="s">
        <v>98</v>
      </c>
      <c r="AJ4" s="441" t="s">
        <v>102</v>
      </c>
      <c r="AK4" s="442"/>
      <c r="AL4" s="442"/>
      <c r="AM4" s="443"/>
      <c r="AN4" s="444" t="s">
        <v>98</v>
      </c>
      <c r="AO4" s="441" t="s">
        <v>102</v>
      </c>
      <c r="AP4" s="442"/>
      <c r="AQ4" s="442"/>
      <c r="AR4" s="443"/>
      <c r="AS4" s="444" t="s">
        <v>98</v>
      </c>
      <c r="AT4" s="441" t="s">
        <v>102</v>
      </c>
      <c r="AU4" s="442"/>
      <c r="AV4" s="442"/>
      <c r="AW4" s="443"/>
      <c r="AX4" s="444" t="s">
        <v>98</v>
      </c>
    </row>
    <row r="5" spans="1:50">
      <c r="A5" s="83"/>
      <c r="B5" s="444"/>
      <c r="C5" s="444"/>
      <c r="D5" s="444"/>
      <c r="E5" s="444" t="s">
        <v>103</v>
      </c>
      <c r="F5" s="444"/>
      <c r="G5" s="444"/>
      <c r="H5" s="451"/>
      <c r="I5" s="444" t="s">
        <v>103</v>
      </c>
      <c r="J5" s="444"/>
      <c r="K5" s="444"/>
      <c r="L5" s="451"/>
      <c r="M5" s="453"/>
      <c r="N5" s="444"/>
      <c r="O5" s="444"/>
      <c r="P5" s="441" t="s">
        <v>104</v>
      </c>
      <c r="Q5" s="442"/>
      <c r="R5" s="442"/>
      <c r="S5" s="443"/>
      <c r="T5" s="444"/>
      <c r="U5" s="441" t="s">
        <v>104</v>
      </c>
      <c r="V5" s="442"/>
      <c r="W5" s="442"/>
      <c r="X5" s="443"/>
      <c r="Y5" s="444"/>
      <c r="Z5" s="441" t="s">
        <v>104</v>
      </c>
      <c r="AA5" s="442"/>
      <c r="AB5" s="442"/>
      <c r="AC5" s="443"/>
      <c r="AD5" s="444"/>
      <c r="AE5" s="441" t="s">
        <v>104</v>
      </c>
      <c r="AF5" s="442"/>
      <c r="AG5" s="442"/>
      <c r="AH5" s="443"/>
      <c r="AI5" s="444"/>
      <c r="AJ5" s="441" t="s">
        <v>104</v>
      </c>
      <c r="AK5" s="442"/>
      <c r="AL5" s="442"/>
      <c r="AM5" s="443"/>
      <c r="AN5" s="444"/>
      <c r="AO5" s="441" t="s">
        <v>104</v>
      </c>
      <c r="AP5" s="442"/>
      <c r="AQ5" s="442"/>
      <c r="AR5" s="443"/>
      <c r="AS5" s="444"/>
      <c r="AT5" s="441" t="s">
        <v>104</v>
      </c>
      <c r="AU5" s="442"/>
      <c r="AV5" s="442"/>
      <c r="AW5" s="443"/>
      <c r="AX5" s="444"/>
    </row>
    <row r="6" spans="1:50">
      <c r="A6" s="81"/>
      <c r="B6" s="444"/>
      <c r="C6" s="444"/>
      <c r="D6" s="444"/>
      <c r="E6" s="109" t="s">
        <v>105</v>
      </c>
      <c r="F6" s="109" t="s">
        <v>106</v>
      </c>
      <c r="G6" s="109" t="s">
        <v>107</v>
      </c>
      <c r="H6" s="452"/>
      <c r="I6" s="109" t="s">
        <v>105</v>
      </c>
      <c r="J6" s="109" t="s">
        <v>106</v>
      </c>
      <c r="K6" s="109" t="s">
        <v>107</v>
      </c>
      <c r="L6" s="452"/>
      <c r="M6" s="440"/>
      <c r="N6" s="444"/>
      <c r="O6" s="444"/>
      <c r="P6" s="109" t="s">
        <v>105</v>
      </c>
      <c r="Q6" s="109" t="s">
        <v>106</v>
      </c>
      <c r="R6" s="109" t="s">
        <v>107</v>
      </c>
      <c r="S6" s="109" t="s">
        <v>100</v>
      </c>
      <c r="T6" s="444"/>
      <c r="U6" s="109" t="s">
        <v>105</v>
      </c>
      <c r="V6" s="109" t="s">
        <v>106</v>
      </c>
      <c r="W6" s="109" t="s">
        <v>107</v>
      </c>
      <c r="X6" s="109" t="s">
        <v>100</v>
      </c>
      <c r="Y6" s="444"/>
      <c r="Z6" s="109" t="s">
        <v>105</v>
      </c>
      <c r="AA6" s="109" t="s">
        <v>106</v>
      </c>
      <c r="AB6" s="109" t="s">
        <v>107</v>
      </c>
      <c r="AC6" s="109" t="s">
        <v>100</v>
      </c>
      <c r="AD6" s="444"/>
      <c r="AE6" s="109" t="s">
        <v>105</v>
      </c>
      <c r="AF6" s="109" t="s">
        <v>106</v>
      </c>
      <c r="AG6" s="109" t="s">
        <v>107</v>
      </c>
      <c r="AH6" s="109" t="s">
        <v>100</v>
      </c>
      <c r="AI6" s="444"/>
      <c r="AJ6" s="109" t="s">
        <v>105</v>
      </c>
      <c r="AK6" s="109" t="s">
        <v>106</v>
      </c>
      <c r="AL6" s="109" t="s">
        <v>107</v>
      </c>
      <c r="AM6" s="109" t="s">
        <v>100</v>
      </c>
      <c r="AN6" s="444"/>
      <c r="AO6" s="109" t="s">
        <v>105</v>
      </c>
      <c r="AP6" s="109" t="s">
        <v>106</v>
      </c>
      <c r="AQ6" s="109" t="s">
        <v>107</v>
      </c>
      <c r="AR6" s="109" t="s">
        <v>100</v>
      </c>
      <c r="AS6" s="444"/>
      <c r="AT6" s="109" t="s">
        <v>105</v>
      </c>
      <c r="AU6" s="109" t="s">
        <v>106</v>
      </c>
      <c r="AV6" s="109" t="s">
        <v>107</v>
      </c>
      <c r="AW6" s="109" t="s">
        <v>100</v>
      </c>
      <c r="AX6" s="444"/>
    </row>
    <row r="7" spans="1:50">
      <c r="A7" s="83"/>
      <c r="B7" s="445" t="s">
        <v>128</v>
      </c>
      <c r="C7" s="110">
        <v>1</v>
      </c>
      <c r="D7" s="110"/>
      <c r="E7" s="184"/>
      <c r="F7" s="110"/>
      <c r="G7" s="182"/>
      <c r="H7" s="446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446" t="e">
        <f>AVERAGE(K7:K21)</f>
        <v>#DIV/0!</v>
      </c>
      <c r="M7" s="199" t="e">
        <f>RANK(K7, K$7:$K$21)</f>
        <v>#DIV/0!</v>
      </c>
      <c r="N7" s="444"/>
      <c r="O7" s="444"/>
      <c r="P7" s="184"/>
      <c r="Q7" s="184"/>
      <c r="R7" s="182"/>
      <c r="S7" s="110" t="e">
        <f>RANK(R7, R$7:R$21)</f>
        <v>#N/A</v>
      </c>
      <c r="T7" s="449" t="e">
        <f>AVERAGE(R7:R21)</f>
        <v>#DIV/0!</v>
      </c>
      <c r="U7" s="184"/>
      <c r="V7" s="184"/>
      <c r="W7" s="182"/>
      <c r="X7" s="110" t="e">
        <f>RANK(W7, W$7:W$21)</f>
        <v>#N/A</v>
      </c>
      <c r="Y7" s="449" t="e">
        <f>AVERAGE(W7:W21)</f>
        <v>#DIV/0!</v>
      </c>
      <c r="Z7" s="110"/>
      <c r="AA7" s="184"/>
      <c r="AB7" s="182"/>
      <c r="AC7" s="110" t="e">
        <f>RANK(AB7, AB$7:AB$21)</f>
        <v>#N/A</v>
      </c>
      <c r="AD7" s="449" t="e">
        <f>AVERAGE(AB7:AB21)</f>
        <v>#DIV/0!</v>
      </c>
      <c r="AE7" s="184"/>
      <c r="AF7" s="184"/>
      <c r="AG7" s="182"/>
      <c r="AH7" s="110" t="e">
        <f>RANK(AG7, AG$7:AG$21)</f>
        <v>#N/A</v>
      </c>
      <c r="AI7" s="449" t="e">
        <f>AVERAGE(AG7:AG21)</f>
        <v>#DIV/0!</v>
      </c>
      <c r="AJ7" s="110"/>
      <c r="AK7" s="184"/>
      <c r="AL7" s="182"/>
      <c r="AM7" s="110" t="e">
        <f>RANK(AL7, AL$7:AL$21)</f>
        <v>#N/A</v>
      </c>
      <c r="AN7" s="449" t="e">
        <f>AVERAGE(AL7:AL21)</f>
        <v>#DIV/0!</v>
      </c>
      <c r="AO7" s="110"/>
      <c r="AP7" s="184"/>
      <c r="AQ7" s="182"/>
      <c r="AR7" s="110" t="e">
        <f>RANK(AQ7, AQ$7:AQ$21)</f>
        <v>#N/A</v>
      </c>
      <c r="AS7" s="449" t="e">
        <f>AVERAGE(AQ7:AQ21)</f>
        <v>#DIV/0!</v>
      </c>
      <c r="AT7" s="110"/>
      <c r="AU7" s="184"/>
      <c r="AV7" s="182"/>
      <c r="AW7" s="110" t="e">
        <f>RANK(AV7, AV$7:AV$21)</f>
        <v>#N/A</v>
      </c>
      <c r="AX7" s="449" t="e">
        <f>AVERAGE(AV7:AV21)</f>
        <v>#DIV/0!</v>
      </c>
    </row>
    <row r="8" spans="1:50" ht="15" customHeight="1">
      <c r="A8" s="83"/>
      <c r="B8" s="435"/>
      <c r="C8" s="110">
        <v>2</v>
      </c>
      <c r="D8" s="110"/>
      <c r="E8" s="184"/>
      <c r="F8" s="110"/>
      <c r="G8" s="182"/>
      <c r="H8" s="447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447"/>
      <c r="M8" s="199" t="e">
        <f>RANK(K8, K$7:$K$21)</f>
        <v>#DIV/0!</v>
      </c>
      <c r="N8" s="444"/>
      <c r="O8" s="444"/>
      <c r="P8" s="184"/>
      <c r="Q8" s="184"/>
      <c r="R8" s="182"/>
      <c r="S8" s="110" t="e">
        <f t="shared" ref="S8:S21" si="1">RANK(R8, R$7:R$21)</f>
        <v>#N/A</v>
      </c>
      <c r="T8" s="449"/>
      <c r="U8" s="184"/>
      <c r="V8" s="184"/>
      <c r="W8" s="182"/>
      <c r="X8" s="110" t="e">
        <f t="shared" ref="X8:X21" si="2">RANK(W8, W$7:W$21)</f>
        <v>#N/A</v>
      </c>
      <c r="Y8" s="449"/>
      <c r="Z8" s="110"/>
      <c r="AA8" s="184"/>
      <c r="AB8" s="182"/>
      <c r="AC8" s="110" t="e">
        <f t="shared" ref="AC8:AC21" si="3">RANK(AB8, AB$7:AB$21)</f>
        <v>#N/A</v>
      </c>
      <c r="AD8" s="449"/>
      <c r="AE8" s="184"/>
      <c r="AF8" s="184"/>
      <c r="AG8" s="182"/>
      <c r="AH8" s="110" t="e">
        <f t="shared" ref="AH8:AH21" si="4">RANK(AG8, AG$7:AG$21)</f>
        <v>#N/A</v>
      </c>
      <c r="AI8" s="449"/>
      <c r="AJ8" s="110"/>
      <c r="AK8" s="184"/>
      <c r="AL8" s="182"/>
      <c r="AM8" s="110" t="e">
        <f t="shared" ref="AM8:AM21" si="5">RANK(AL8, AL$7:AL$21)</f>
        <v>#N/A</v>
      </c>
      <c r="AN8" s="449"/>
      <c r="AO8" s="110"/>
      <c r="AP8" s="184"/>
      <c r="AQ8" s="182"/>
      <c r="AR8" s="110" t="e">
        <f t="shared" ref="AR8:AR21" si="6">RANK(AQ8, AQ$7:AQ$21)</f>
        <v>#N/A</v>
      </c>
      <c r="AS8" s="449"/>
      <c r="AT8" s="110"/>
      <c r="AU8" s="184"/>
      <c r="AV8" s="182"/>
      <c r="AW8" s="110" t="e">
        <f t="shared" ref="AW8:AW21" si="7">RANK(AV8, AV$7:AV$21)</f>
        <v>#N/A</v>
      </c>
      <c r="AX8" s="449"/>
    </row>
    <row r="9" spans="1:50">
      <c r="A9" s="83"/>
      <c r="B9" s="435"/>
      <c r="C9" s="110">
        <v>3</v>
      </c>
      <c r="D9" s="110"/>
      <c r="E9" s="184"/>
      <c r="F9" s="110"/>
      <c r="G9" s="182"/>
      <c r="H9" s="447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447"/>
      <c r="M9" s="199" t="e">
        <f>RANK(K9, K$7:$K$21)</f>
        <v>#DIV/0!</v>
      </c>
      <c r="N9" s="444"/>
      <c r="O9" s="444"/>
      <c r="P9" s="184"/>
      <c r="Q9" s="184"/>
      <c r="R9" s="182"/>
      <c r="S9" s="110" t="e">
        <f t="shared" si="1"/>
        <v>#N/A</v>
      </c>
      <c r="T9" s="449"/>
      <c r="U9" s="184"/>
      <c r="V9" s="184"/>
      <c r="W9" s="182"/>
      <c r="X9" s="110" t="e">
        <f t="shared" si="2"/>
        <v>#N/A</v>
      </c>
      <c r="Y9" s="449"/>
      <c r="Z9" s="110"/>
      <c r="AA9" s="184"/>
      <c r="AB9" s="182"/>
      <c r="AC9" s="110" t="e">
        <f t="shared" si="3"/>
        <v>#N/A</v>
      </c>
      <c r="AD9" s="449"/>
      <c r="AE9" s="184"/>
      <c r="AF9" s="184"/>
      <c r="AG9" s="182"/>
      <c r="AH9" s="110" t="e">
        <f t="shared" si="4"/>
        <v>#N/A</v>
      </c>
      <c r="AI9" s="449"/>
      <c r="AJ9" s="110"/>
      <c r="AK9" s="184"/>
      <c r="AL9" s="182"/>
      <c r="AM9" s="110" t="e">
        <f t="shared" si="5"/>
        <v>#N/A</v>
      </c>
      <c r="AN9" s="449"/>
      <c r="AO9" s="110"/>
      <c r="AP9" s="184"/>
      <c r="AQ9" s="182"/>
      <c r="AR9" s="110" t="e">
        <f t="shared" si="6"/>
        <v>#N/A</v>
      </c>
      <c r="AS9" s="449"/>
      <c r="AT9" s="110"/>
      <c r="AU9" s="184"/>
      <c r="AV9" s="182"/>
      <c r="AW9" s="110" t="e">
        <f t="shared" si="7"/>
        <v>#N/A</v>
      </c>
      <c r="AX9" s="449"/>
    </row>
    <row r="10" spans="1:50">
      <c r="A10" s="83"/>
      <c r="B10" s="435"/>
      <c r="C10" s="110">
        <v>4</v>
      </c>
      <c r="D10" s="110"/>
      <c r="E10" s="184"/>
      <c r="F10" s="110"/>
      <c r="G10" s="182"/>
      <c r="H10" s="447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447"/>
      <c r="M10" s="199" t="e">
        <f>RANK(K10, K$7:$K$21)</f>
        <v>#DIV/0!</v>
      </c>
      <c r="N10" s="444"/>
      <c r="O10" s="444"/>
      <c r="P10" s="184"/>
      <c r="Q10" s="184"/>
      <c r="R10" s="182"/>
      <c r="S10" s="110" t="e">
        <f t="shared" si="1"/>
        <v>#N/A</v>
      </c>
      <c r="T10" s="449"/>
      <c r="U10" s="184"/>
      <c r="V10" s="184"/>
      <c r="W10" s="182"/>
      <c r="X10" s="110" t="e">
        <f t="shared" si="2"/>
        <v>#N/A</v>
      </c>
      <c r="Y10" s="449"/>
      <c r="Z10" s="110"/>
      <c r="AA10" s="184"/>
      <c r="AB10" s="182"/>
      <c r="AC10" s="110" t="e">
        <f t="shared" si="3"/>
        <v>#N/A</v>
      </c>
      <c r="AD10" s="449"/>
      <c r="AE10" s="184"/>
      <c r="AF10" s="184"/>
      <c r="AG10" s="182"/>
      <c r="AH10" s="110" t="e">
        <f t="shared" si="4"/>
        <v>#N/A</v>
      </c>
      <c r="AI10" s="449"/>
      <c r="AJ10" s="110"/>
      <c r="AK10" s="184"/>
      <c r="AL10" s="182"/>
      <c r="AM10" s="110" t="e">
        <f t="shared" si="5"/>
        <v>#N/A</v>
      </c>
      <c r="AN10" s="449"/>
      <c r="AO10" s="110"/>
      <c r="AP10" s="184"/>
      <c r="AQ10" s="182"/>
      <c r="AR10" s="110" t="e">
        <f t="shared" si="6"/>
        <v>#N/A</v>
      </c>
      <c r="AS10" s="449"/>
      <c r="AT10" s="110"/>
      <c r="AU10" s="184"/>
      <c r="AV10" s="182"/>
      <c r="AW10" s="110" t="e">
        <f t="shared" si="7"/>
        <v>#N/A</v>
      </c>
      <c r="AX10" s="449"/>
    </row>
    <row r="11" spans="1:50">
      <c r="A11" s="83"/>
      <c r="B11" s="435"/>
      <c r="C11" s="110">
        <v>5</v>
      </c>
      <c r="D11" s="110"/>
      <c r="E11" s="184"/>
      <c r="F11" s="110"/>
      <c r="G11" s="182"/>
      <c r="H11" s="447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447"/>
      <c r="M11" s="199" t="e">
        <f>RANK(K11, K$7:$K$21)</f>
        <v>#DIV/0!</v>
      </c>
      <c r="N11" s="444"/>
      <c r="O11" s="444"/>
      <c r="P11" s="184"/>
      <c r="Q11" s="184"/>
      <c r="R11" s="182"/>
      <c r="S11" s="110" t="e">
        <f t="shared" si="1"/>
        <v>#N/A</v>
      </c>
      <c r="T11" s="449"/>
      <c r="U11" s="184"/>
      <c r="V11" s="184"/>
      <c r="W11" s="182"/>
      <c r="X11" s="110" t="e">
        <f t="shared" si="2"/>
        <v>#N/A</v>
      </c>
      <c r="Y11" s="449"/>
      <c r="Z11" s="110"/>
      <c r="AA11" s="184"/>
      <c r="AB11" s="182"/>
      <c r="AC11" s="110" t="e">
        <f t="shared" si="3"/>
        <v>#N/A</v>
      </c>
      <c r="AD11" s="449"/>
      <c r="AE11" s="184"/>
      <c r="AF11" s="184"/>
      <c r="AG11" s="182"/>
      <c r="AH11" s="110" t="e">
        <f t="shared" si="4"/>
        <v>#N/A</v>
      </c>
      <c r="AI11" s="449"/>
      <c r="AJ11" s="110"/>
      <c r="AK11" s="184"/>
      <c r="AL11" s="182"/>
      <c r="AM11" s="110" t="e">
        <f t="shared" si="5"/>
        <v>#N/A</v>
      </c>
      <c r="AN11" s="449"/>
      <c r="AO11" s="110"/>
      <c r="AP11" s="184"/>
      <c r="AQ11" s="182"/>
      <c r="AR11" s="110" t="e">
        <f t="shared" si="6"/>
        <v>#N/A</v>
      </c>
      <c r="AS11" s="449"/>
      <c r="AT11" s="110"/>
      <c r="AU11" s="184"/>
      <c r="AV11" s="182"/>
      <c r="AW11" s="110" t="e">
        <f t="shared" si="7"/>
        <v>#N/A</v>
      </c>
      <c r="AX11" s="449"/>
    </row>
    <row r="12" spans="1:50">
      <c r="A12" s="83"/>
      <c r="B12" s="435"/>
      <c r="C12" s="110">
        <v>6</v>
      </c>
      <c r="D12" s="110"/>
      <c r="E12" s="184"/>
      <c r="F12" s="110"/>
      <c r="G12" s="182"/>
      <c r="H12" s="447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447"/>
      <c r="M12" s="199" t="e">
        <f>RANK(K12, K$7:$K$21)</f>
        <v>#DIV/0!</v>
      </c>
      <c r="N12" s="444"/>
      <c r="O12" s="444"/>
      <c r="P12" s="184"/>
      <c r="Q12" s="184"/>
      <c r="R12" s="182"/>
      <c r="S12" s="110" t="e">
        <f t="shared" si="1"/>
        <v>#N/A</v>
      </c>
      <c r="T12" s="449"/>
      <c r="U12" s="184"/>
      <c r="V12" s="184"/>
      <c r="W12" s="182"/>
      <c r="X12" s="110" t="e">
        <f t="shared" si="2"/>
        <v>#N/A</v>
      </c>
      <c r="Y12" s="449"/>
      <c r="Z12" s="110"/>
      <c r="AA12" s="184"/>
      <c r="AB12" s="182"/>
      <c r="AC12" s="110" t="e">
        <f t="shared" si="3"/>
        <v>#N/A</v>
      </c>
      <c r="AD12" s="449"/>
      <c r="AE12" s="184"/>
      <c r="AF12" s="184"/>
      <c r="AG12" s="182"/>
      <c r="AH12" s="110" t="e">
        <f t="shared" si="4"/>
        <v>#N/A</v>
      </c>
      <c r="AI12" s="449"/>
      <c r="AJ12" s="110"/>
      <c r="AK12" s="184"/>
      <c r="AL12" s="182"/>
      <c r="AM12" s="110" t="e">
        <f t="shared" si="5"/>
        <v>#N/A</v>
      </c>
      <c r="AN12" s="449"/>
      <c r="AO12" s="110"/>
      <c r="AP12" s="184"/>
      <c r="AQ12" s="182"/>
      <c r="AR12" s="110" t="e">
        <f t="shared" si="6"/>
        <v>#N/A</v>
      </c>
      <c r="AS12" s="449"/>
      <c r="AT12" s="110"/>
      <c r="AU12" s="184"/>
      <c r="AV12" s="182"/>
      <c r="AW12" s="110" t="e">
        <f t="shared" si="7"/>
        <v>#N/A</v>
      </c>
      <c r="AX12" s="449"/>
    </row>
    <row r="13" spans="1:50">
      <c r="A13" s="83"/>
      <c r="B13" s="435"/>
      <c r="C13" s="110">
        <v>7</v>
      </c>
      <c r="D13" s="110"/>
      <c r="E13" s="184"/>
      <c r="F13" s="110"/>
      <c r="G13" s="182"/>
      <c r="H13" s="447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447"/>
      <c r="M13" s="199" t="e">
        <f>RANK(K13, K$7:$K$21)</f>
        <v>#DIV/0!</v>
      </c>
      <c r="N13" s="444"/>
      <c r="O13" s="444"/>
      <c r="P13" s="184"/>
      <c r="Q13" s="184"/>
      <c r="R13" s="182"/>
      <c r="S13" s="110" t="e">
        <f t="shared" si="1"/>
        <v>#N/A</v>
      </c>
      <c r="T13" s="449"/>
      <c r="U13" s="184"/>
      <c r="V13" s="184"/>
      <c r="W13" s="182"/>
      <c r="X13" s="110" t="e">
        <f t="shared" si="2"/>
        <v>#N/A</v>
      </c>
      <c r="Y13" s="449"/>
      <c r="Z13" s="110"/>
      <c r="AA13" s="184"/>
      <c r="AB13" s="182"/>
      <c r="AC13" s="110" t="e">
        <f t="shared" si="3"/>
        <v>#N/A</v>
      </c>
      <c r="AD13" s="449"/>
      <c r="AE13" s="184"/>
      <c r="AF13" s="184"/>
      <c r="AG13" s="182"/>
      <c r="AH13" s="110" t="e">
        <f t="shared" si="4"/>
        <v>#N/A</v>
      </c>
      <c r="AI13" s="449"/>
      <c r="AJ13" s="110"/>
      <c r="AK13" s="184"/>
      <c r="AL13" s="182"/>
      <c r="AM13" s="110" t="e">
        <f t="shared" si="5"/>
        <v>#N/A</v>
      </c>
      <c r="AN13" s="449"/>
      <c r="AO13" s="110"/>
      <c r="AP13" s="184"/>
      <c r="AQ13" s="182"/>
      <c r="AR13" s="110" t="e">
        <f t="shared" si="6"/>
        <v>#N/A</v>
      </c>
      <c r="AS13" s="449"/>
      <c r="AT13" s="110"/>
      <c r="AU13" s="184"/>
      <c r="AV13" s="182"/>
      <c r="AW13" s="110" t="e">
        <f t="shared" si="7"/>
        <v>#N/A</v>
      </c>
      <c r="AX13" s="449"/>
    </row>
    <row r="14" spans="1:50">
      <c r="A14" s="83"/>
      <c r="B14" s="435"/>
      <c r="C14" s="110">
        <v>8</v>
      </c>
      <c r="D14" s="110"/>
      <c r="E14" s="184"/>
      <c r="F14" s="110"/>
      <c r="G14" s="182"/>
      <c r="H14" s="447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447"/>
      <c r="M14" s="199" t="e">
        <f>RANK(K14, K$7:$K$21)</f>
        <v>#DIV/0!</v>
      </c>
      <c r="N14" s="444"/>
      <c r="O14" s="444"/>
      <c r="P14" s="184"/>
      <c r="Q14" s="184"/>
      <c r="R14" s="182"/>
      <c r="S14" s="110" t="e">
        <f t="shared" si="1"/>
        <v>#N/A</v>
      </c>
      <c r="T14" s="449"/>
      <c r="U14" s="184"/>
      <c r="V14" s="184"/>
      <c r="W14" s="182"/>
      <c r="X14" s="110" t="e">
        <f t="shared" si="2"/>
        <v>#N/A</v>
      </c>
      <c r="Y14" s="449"/>
      <c r="Z14" s="110"/>
      <c r="AA14" s="184"/>
      <c r="AB14" s="182"/>
      <c r="AC14" s="110" t="e">
        <f t="shared" si="3"/>
        <v>#N/A</v>
      </c>
      <c r="AD14" s="449"/>
      <c r="AE14" s="184"/>
      <c r="AF14" s="184"/>
      <c r="AG14" s="182"/>
      <c r="AH14" s="110" t="e">
        <f t="shared" si="4"/>
        <v>#N/A</v>
      </c>
      <c r="AI14" s="449"/>
      <c r="AJ14" s="110"/>
      <c r="AK14" s="184"/>
      <c r="AL14" s="182"/>
      <c r="AM14" s="110" t="e">
        <f t="shared" si="5"/>
        <v>#N/A</v>
      </c>
      <c r="AN14" s="449"/>
      <c r="AO14" s="110"/>
      <c r="AP14" s="184"/>
      <c r="AQ14" s="182"/>
      <c r="AR14" s="110" t="e">
        <f t="shared" si="6"/>
        <v>#N/A</v>
      </c>
      <c r="AS14" s="449"/>
      <c r="AT14" s="110"/>
      <c r="AU14" s="184"/>
      <c r="AV14" s="182"/>
      <c r="AW14" s="110" t="e">
        <f t="shared" si="7"/>
        <v>#N/A</v>
      </c>
      <c r="AX14" s="449"/>
    </row>
    <row r="15" spans="1:50">
      <c r="A15" s="83"/>
      <c r="B15" s="435"/>
      <c r="C15" s="110">
        <v>9</v>
      </c>
      <c r="D15" s="110"/>
      <c r="E15" s="184"/>
      <c r="F15" s="110"/>
      <c r="G15" s="182"/>
      <c r="H15" s="447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447"/>
      <c r="M15" s="199" t="e">
        <f>RANK(K15, K$7:$K$21)</f>
        <v>#DIV/0!</v>
      </c>
      <c r="N15" s="444"/>
      <c r="O15" s="444"/>
      <c r="P15" s="184"/>
      <c r="Q15" s="184"/>
      <c r="R15" s="182"/>
      <c r="S15" s="110" t="e">
        <f t="shared" si="1"/>
        <v>#N/A</v>
      </c>
      <c r="T15" s="449"/>
      <c r="U15" s="184"/>
      <c r="V15" s="184"/>
      <c r="W15" s="182"/>
      <c r="X15" s="110" t="e">
        <f t="shared" si="2"/>
        <v>#N/A</v>
      </c>
      <c r="Y15" s="449"/>
      <c r="Z15" s="110"/>
      <c r="AA15" s="184"/>
      <c r="AB15" s="182"/>
      <c r="AC15" s="110" t="e">
        <f t="shared" si="3"/>
        <v>#N/A</v>
      </c>
      <c r="AD15" s="449"/>
      <c r="AE15" s="184"/>
      <c r="AF15" s="184"/>
      <c r="AG15" s="182"/>
      <c r="AH15" s="110" t="e">
        <f t="shared" si="4"/>
        <v>#N/A</v>
      </c>
      <c r="AI15" s="449"/>
      <c r="AJ15" s="110"/>
      <c r="AK15" s="184"/>
      <c r="AL15" s="182"/>
      <c r="AM15" s="110" t="e">
        <f t="shared" si="5"/>
        <v>#N/A</v>
      </c>
      <c r="AN15" s="449"/>
      <c r="AO15" s="110"/>
      <c r="AP15" s="184"/>
      <c r="AQ15" s="182"/>
      <c r="AR15" s="110" t="e">
        <f t="shared" si="6"/>
        <v>#N/A</v>
      </c>
      <c r="AS15" s="449"/>
      <c r="AT15" s="110"/>
      <c r="AU15" s="184"/>
      <c r="AV15" s="182"/>
      <c r="AW15" s="110" t="e">
        <f t="shared" si="7"/>
        <v>#N/A</v>
      </c>
      <c r="AX15" s="449"/>
    </row>
    <row r="16" spans="1:50">
      <c r="A16" s="83"/>
      <c r="B16" s="435"/>
      <c r="C16" s="110">
        <v>10</v>
      </c>
      <c r="D16" s="110"/>
      <c r="E16" s="184"/>
      <c r="F16" s="110"/>
      <c r="G16" s="182"/>
      <c r="H16" s="447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447"/>
      <c r="M16" s="199" t="e">
        <f>RANK(K16, K$7:$K$21)</f>
        <v>#DIV/0!</v>
      </c>
      <c r="N16" s="444"/>
      <c r="O16" s="444"/>
      <c r="P16" s="184"/>
      <c r="Q16" s="184"/>
      <c r="R16" s="182"/>
      <c r="S16" s="110" t="e">
        <f t="shared" si="1"/>
        <v>#N/A</v>
      </c>
      <c r="T16" s="449"/>
      <c r="U16" s="184"/>
      <c r="V16" s="184"/>
      <c r="W16" s="182"/>
      <c r="X16" s="110" t="e">
        <f t="shared" si="2"/>
        <v>#N/A</v>
      </c>
      <c r="Y16" s="449"/>
      <c r="Z16" s="110"/>
      <c r="AA16" s="184"/>
      <c r="AB16" s="182"/>
      <c r="AC16" s="110" t="e">
        <f t="shared" si="3"/>
        <v>#N/A</v>
      </c>
      <c r="AD16" s="449"/>
      <c r="AE16" s="184"/>
      <c r="AF16" s="184"/>
      <c r="AG16" s="182"/>
      <c r="AH16" s="110" t="e">
        <f t="shared" si="4"/>
        <v>#N/A</v>
      </c>
      <c r="AI16" s="449"/>
      <c r="AJ16" s="110"/>
      <c r="AK16" s="184"/>
      <c r="AL16" s="182"/>
      <c r="AM16" s="110" t="e">
        <f t="shared" si="5"/>
        <v>#N/A</v>
      </c>
      <c r="AN16" s="449"/>
      <c r="AO16" s="110"/>
      <c r="AP16" s="184"/>
      <c r="AQ16" s="182"/>
      <c r="AR16" s="110" t="e">
        <f t="shared" si="6"/>
        <v>#N/A</v>
      </c>
      <c r="AS16" s="449"/>
      <c r="AT16" s="110"/>
      <c r="AU16" s="184"/>
      <c r="AV16" s="182"/>
      <c r="AW16" s="110" t="e">
        <f t="shared" si="7"/>
        <v>#N/A</v>
      </c>
      <c r="AX16" s="449"/>
    </row>
    <row r="17" spans="2:50">
      <c r="B17" s="435"/>
      <c r="C17" s="110">
        <v>11</v>
      </c>
      <c r="D17" s="110"/>
      <c r="E17" s="110"/>
      <c r="F17" s="110"/>
      <c r="G17" s="110"/>
      <c r="H17" s="447"/>
      <c r="I17" s="110"/>
      <c r="J17" s="110"/>
      <c r="K17" s="110"/>
      <c r="L17" s="447"/>
      <c r="M17" s="199" t="e">
        <f>RANK(K17, K$7:$K$21)</f>
        <v>#DIV/0!</v>
      </c>
      <c r="N17" s="444"/>
      <c r="O17" s="444"/>
      <c r="P17" s="110"/>
      <c r="Q17" s="110"/>
      <c r="R17" s="110"/>
      <c r="S17" s="110" t="e">
        <f t="shared" si="1"/>
        <v>#N/A</v>
      </c>
      <c r="T17" s="449"/>
      <c r="U17" s="110"/>
      <c r="V17" s="110"/>
      <c r="W17" s="110"/>
      <c r="X17" s="110" t="e">
        <f t="shared" si="2"/>
        <v>#N/A</v>
      </c>
      <c r="Y17" s="449"/>
      <c r="Z17" s="110"/>
      <c r="AA17" s="110"/>
      <c r="AB17" s="110"/>
      <c r="AC17" s="110" t="e">
        <f t="shared" si="3"/>
        <v>#N/A</v>
      </c>
      <c r="AD17" s="449"/>
      <c r="AE17" s="110"/>
      <c r="AF17" s="110"/>
      <c r="AG17" s="110"/>
      <c r="AH17" s="110" t="e">
        <f t="shared" si="4"/>
        <v>#N/A</v>
      </c>
      <c r="AI17" s="449"/>
      <c r="AJ17" s="110"/>
      <c r="AK17" s="110"/>
      <c r="AL17" s="110"/>
      <c r="AM17" s="110" t="e">
        <f t="shared" si="5"/>
        <v>#N/A</v>
      </c>
      <c r="AN17" s="449"/>
      <c r="AO17" s="110"/>
      <c r="AP17" s="110"/>
      <c r="AQ17" s="110"/>
      <c r="AR17" s="110" t="e">
        <f t="shared" si="6"/>
        <v>#N/A</v>
      </c>
      <c r="AS17" s="449"/>
      <c r="AT17" s="110"/>
      <c r="AU17" s="110"/>
      <c r="AV17" s="110"/>
      <c r="AW17" s="110" t="e">
        <f t="shared" si="7"/>
        <v>#N/A</v>
      </c>
      <c r="AX17" s="449"/>
    </row>
    <row r="18" spans="2:50">
      <c r="B18" s="435"/>
      <c r="C18" s="110">
        <v>12</v>
      </c>
      <c r="D18" s="110"/>
      <c r="E18" s="110"/>
      <c r="F18" s="110"/>
      <c r="G18" s="110"/>
      <c r="H18" s="447"/>
      <c r="I18" s="110"/>
      <c r="J18" s="110"/>
      <c r="K18" s="110"/>
      <c r="L18" s="447"/>
      <c r="M18" s="199" t="e">
        <f>RANK(K18, K$7:$K$21)</f>
        <v>#DIV/0!</v>
      </c>
      <c r="N18" s="444"/>
      <c r="O18" s="444"/>
      <c r="P18" s="110"/>
      <c r="Q18" s="110"/>
      <c r="R18" s="110"/>
      <c r="S18" s="110" t="e">
        <f t="shared" si="1"/>
        <v>#N/A</v>
      </c>
      <c r="T18" s="449"/>
      <c r="U18" s="110"/>
      <c r="V18" s="110"/>
      <c r="W18" s="110"/>
      <c r="X18" s="110" t="e">
        <f t="shared" si="2"/>
        <v>#N/A</v>
      </c>
      <c r="Y18" s="449"/>
      <c r="Z18" s="110"/>
      <c r="AA18" s="110"/>
      <c r="AB18" s="110"/>
      <c r="AC18" s="110" t="e">
        <f t="shared" si="3"/>
        <v>#N/A</v>
      </c>
      <c r="AD18" s="449"/>
      <c r="AE18" s="110"/>
      <c r="AF18" s="110"/>
      <c r="AG18" s="110"/>
      <c r="AH18" s="110" t="e">
        <f t="shared" si="4"/>
        <v>#N/A</v>
      </c>
      <c r="AI18" s="449"/>
      <c r="AJ18" s="110"/>
      <c r="AK18" s="110"/>
      <c r="AL18" s="110"/>
      <c r="AM18" s="110" t="e">
        <f t="shared" si="5"/>
        <v>#N/A</v>
      </c>
      <c r="AN18" s="449"/>
      <c r="AO18" s="110"/>
      <c r="AP18" s="110"/>
      <c r="AQ18" s="110"/>
      <c r="AR18" s="110" t="e">
        <f t="shared" si="6"/>
        <v>#N/A</v>
      </c>
      <c r="AS18" s="449"/>
      <c r="AT18" s="110"/>
      <c r="AU18" s="110"/>
      <c r="AV18" s="110"/>
      <c r="AW18" s="110" t="e">
        <f t="shared" si="7"/>
        <v>#N/A</v>
      </c>
      <c r="AX18" s="449"/>
    </row>
    <row r="19" spans="2:50">
      <c r="B19" s="435"/>
      <c r="C19" s="110">
        <v>13</v>
      </c>
      <c r="D19" s="110"/>
      <c r="E19" s="110"/>
      <c r="F19" s="110"/>
      <c r="G19" s="110"/>
      <c r="H19" s="447"/>
      <c r="I19" s="110"/>
      <c r="J19" s="110"/>
      <c r="K19" s="110"/>
      <c r="L19" s="447"/>
      <c r="M19" s="199" t="e">
        <f>RANK(K19, K$7:$K$21)</f>
        <v>#DIV/0!</v>
      </c>
      <c r="N19" s="444"/>
      <c r="O19" s="444"/>
      <c r="P19" s="110"/>
      <c r="Q19" s="110"/>
      <c r="R19" s="110"/>
      <c r="S19" s="110" t="e">
        <f t="shared" si="1"/>
        <v>#N/A</v>
      </c>
      <c r="T19" s="449"/>
      <c r="U19" s="110"/>
      <c r="V19" s="110"/>
      <c r="W19" s="110"/>
      <c r="X19" s="110" t="e">
        <f t="shared" si="2"/>
        <v>#N/A</v>
      </c>
      <c r="Y19" s="449"/>
      <c r="Z19" s="110"/>
      <c r="AA19" s="110"/>
      <c r="AB19" s="110"/>
      <c r="AC19" s="110" t="e">
        <f t="shared" si="3"/>
        <v>#N/A</v>
      </c>
      <c r="AD19" s="449"/>
      <c r="AE19" s="110"/>
      <c r="AF19" s="110"/>
      <c r="AG19" s="110"/>
      <c r="AH19" s="110" t="e">
        <f t="shared" si="4"/>
        <v>#N/A</v>
      </c>
      <c r="AI19" s="449"/>
      <c r="AJ19" s="110"/>
      <c r="AK19" s="110"/>
      <c r="AL19" s="110"/>
      <c r="AM19" s="110" t="e">
        <f t="shared" si="5"/>
        <v>#N/A</v>
      </c>
      <c r="AN19" s="449"/>
      <c r="AO19" s="110"/>
      <c r="AP19" s="110"/>
      <c r="AQ19" s="110"/>
      <c r="AR19" s="110" t="e">
        <f t="shared" si="6"/>
        <v>#N/A</v>
      </c>
      <c r="AS19" s="449"/>
      <c r="AT19" s="110"/>
      <c r="AU19" s="110"/>
      <c r="AV19" s="110"/>
      <c r="AW19" s="110" t="e">
        <f t="shared" si="7"/>
        <v>#N/A</v>
      </c>
      <c r="AX19" s="449"/>
    </row>
    <row r="20" spans="2:50">
      <c r="B20" s="435"/>
      <c r="C20" s="110">
        <v>14</v>
      </c>
      <c r="D20" s="110"/>
      <c r="E20" s="110"/>
      <c r="F20" s="110"/>
      <c r="G20" s="110"/>
      <c r="H20" s="447"/>
      <c r="I20" s="110"/>
      <c r="J20" s="110"/>
      <c r="K20" s="110"/>
      <c r="L20" s="447"/>
      <c r="M20" s="199" t="e">
        <f>RANK(K20, K$7:$K$21)</f>
        <v>#DIV/0!</v>
      </c>
      <c r="N20" s="444"/>
      <c r="O20" s="444"/>
      <c r="P20" s="110"/>
      <c r="Q20" s="110"/>
      <c r="R20" s="110"/>
      <c r="S20" s="110" t="e">
        <f t="shared" si="1"/>
        <v>#N/A</v>
      </c>
      <c r="T20" s="449"/>
      <c r="U20" s="110"/>
      <c r="V20" s="110"/>
      <c r="W20" s="110"/>
      <c r="X20" s="110" t="e">
        <f t="shared" si="2"/>
        <v>#N/A</v>
      </c>
      <c r="Y20" s="449"/>
      <c r="Z20" s="110"/>
      <c r="AA20" s="110"/>
      <c r="AB20" s="110"/>
      <c r="AC20" s="110" t="e">
        <f t="shared" si="3"/>
        <v>#N/A</v>
      </c>
      <c r="AD20" s="449"/>
      <c r="AE20" s="110"/>
      <c r="AF20" s="110"/>
      <c r="AG20" s="110"/>
      <c r="AH20" s="110" t="e">
        <f t="shared" si="4"/>
        <v>#N/A</v>
      </c>
      <c r="AI20" s="449"/>
      <c r="AJ20" s="110"/>
      <c r="AK20" s="110"/>
      <c r="AL20" s="110"/>
      <c r="AM20" s="110" t="e">
        <f t="shared" si="5"/>
        <v>#N/A</v>
      </c>
      <c r="AN20" s="449"/>
      <c r="AO20" s="110"/>
      <c r="AP20" s="110"/>
      <c r="AQ20" s="110"/>
      <c r="AR20" s="110" t="e">
        <f t="shared" si="6"/>
        <v>#N/A</v>
      </c>
      <c r="AS20" s="449"/>
      <c r="AT20" s="110"/>
      <c r="AU20" s="110"/>
      <c r="AV20" s="110"/>
      <c r="AW20" s="110" t="e">
        <f t="shared" si="7"/>
        <v>#N/A</v>
      </c>
      <c r="AX20" s="449"/>
    </row>
    <row r="21" spans="2:50">
      <c r="B21" s="435"/>
      <c r="C21" s="110">
        <v>15</v>
      </c>
      <c r="D21" s="110"/>
      <c r="E21" s="110"/>
      <c r="F21" s="110"/>
      <c r="G21" s="110"/>
      <c r="H21" s="448"/>
      <c r="I21" s="110"/>
      <c r="J21" s="110"/>
      <c r="K21" s="110"/>
      <c r="L21" s="448"/>
      <c r="M21" s="184" t="e">
        <f>RANK(K21, K$7:$K$21)</f>
        <v>#DIV/0!</v>
      </c>
      <c r="N21" s="444"/>
      <c r="O21" s="444"/>
      <c r="P21" s="110"/>
      <c r="Q21" s="110"/>
      <c r="R21" s="110"/>
      <c r="S21" s="110" t="e">
        <f t="shared" si="1"/>
        <v>#N/A</v>
      </c>
      <c r="T21" s="449"/>
      <c r="U21" s="110"/>
      <c r="V21" s="110"/>
      <c r="W21" s="110"/>
      <c r="X21" s="110" t="e">
        <f t="shared" si="2"/>
        <v>#N/A</v>
      </c>
      <c r="Y21" s="449"/>
      <c r="Z21" s="110"/>
      <c r="AA21" s="110"/>
      <c r="AB21" s="110"/>
      <c r="AC21" s="110" t="e">
        <f t="shared" si="3"/>
        <v>#N/A</v>
      </c>
      <c r="AD21" s="449"/>
      <c r="AE21" s="110"/>
      <c r="AF21" s="110"/>
      <c r="AG21" s="110"/>
      <c r="AH21" s="110" t="e">
        <f t="shared" si="4"/>
        <v>#N/A</v>
      </c>
      <c r="AI21" s="449"/>
      <c r="AJ21" s="110"/>
      <c r="AK21" s="110"/>
      <c r="AL21" s="110"/>
      <c r="AM21" s="110" t="e">
        <f t="shared" si="5"/>
        <v>#N/A</v>
      </c>
      <c r="AN21" s="449"/>
      <c r="AO21" s="110"/>
      <c r="AP21" s="110"/>
      <c r="AQ21" s="110"/>
      <c r="AR21" s="110" t="e">
        <f t="shared" si="6"/>
        <v>#N/A</v>
      </c>
      <c r="AS21" s="449"/>
      <c r="AT21" s="110"/>
      <c r="AU21" s="110"/>
      <c r="AV21" s="110"/>
      <c r="AW21" s="110" t="e">
        <f t="shared" si="7"/>
        <v>#N/A</v>
      </c>
      <c r="AX21" s="449"/>
    </row>
    <row r="22" spans="2:50" ht="15.75">
      <c r="B22" s="454" t="s">
        <v>93</v>
      </c>
      <c r="C22" s="455"/>
      <c r="D22" s="455"/>
      <c r="E22" s="455"/>
      <c r="F22" s="455"/>
      <c r="G22" s="455"/>
      <c r="H22" s="455"/>
      <c r="I22" s="183"/>
      <c r="J22" s="183"/>
      <c r="K22" s="183"/>
      <c r="L22" s="183"/>
      <c r="M22" s="179"/>
      <c r="N22" s="439" t="s">
        <v>94</v>
      </c>
      <c r="O22" s="439" t="s">
        <v>45</v>
      </c>
      <c r="P22" s="434">
        <v>45874</v>
      </c>
      <c r="Q22" s="435"/>
      <c r="R22" s="435"/>
      <c r="S22" s="435"/>
      <c r="T22" s="435"/>
      <c r="U22" s="434">
        <v>45875</v>
      </c>
      <c r="V22" s="435"/>
      <c r="W22" s="435"/>
      <c r="X22" s="435"/>
      <c r="Y22" s="435"/>
      <c r="Z22" s="434">
        <v>45876</v>
      </c>
      <c r="AA22" s="435"/>
      <c r="AB22" s="435"/>
      <c r="AC22" s="435"/>
      <c r="AD22" s="435"/>
      <c r="AE22" s="434">
        <v>45877</v>
      </c>
      <c r="AF22" s="435"/>
      <c r="AG22" s="435"/>
      <c r="AH22" s="435"/>
      <c r="AI22" s="435"/>
      <c r="AJ22" s="434">
        <v>45878</v>
      </c>
      <c r="AK22" s="435"/>
      <c r="AL22" s="435"/>
      <c r="AM22" s="435"/>
      <c r="AN22" s="435"/>
      <c r="AO22" s="434">
        <v>45879</v>
      </c>
      <c r="AP22" s="435"/>
      <c r="AQ22" s="435"/>
      <c r="AR22" s="435"/>
      <c r="AS22" s="435"/>
      <c r="AT22" s="434">
        <v>45880</v>
      </c>
      <c r="AU22" s="435"/>
      <c r="AV22" s="435"/>
      <c r="AW22" s="435"/>
      <c r="AX22" s="435"/>
    </row>
    <row r="23" spans="2:50" ht="15.75">
      <c r="B23" s="438"/>
      <c r="C23" s="438"/>
      <c r="D23" s="438"/>
      <c r="E23" s="438"/>
      <c r="F23" s="438"/>
      <c r="G23" s="438"/>
      <c r="H23" s="438"/>
      <c r="I23" s="180"/>
      <c r="J23" s="180"/>
      <c r="K23" s="180"/>
      <c r="L23" s="180"/>
      <c r="M23" s="181"/>
      <c r="N23" s="440"/>
      <c r="O23" s="440"/>
      <c r="P23" s="434" t="s">
        <v>77</v>
      </c>
      <c r="Q23" s="435"/>
      <c r="R23" s="435"/>
      <c r="S23" s="435"/>
      <c r="T23" s="435"/>
      <c r="U23" s="434" t="s">
        <v>72</v>
      </c>
      <c r="V23" s="435"/>
      <c r="W23" s="435"/>
      <c r="X23" s="435"/>
      <c r="Y23" s="435"/>
      <c r="Z23" s="434" t="s">
        <v>73</v>
      </c>
      <c r="AA23" s="435"/>
      <c r="AB23" s="435"/>
      <c r="AC23" s="435"/>
      <c r="AD23" s="435"/>
      <c r="AE23" s="434" t="s">
        <v>74</v>
      </c>
      <c r="AF23" s="435"/>
      <c r="AG23" s="435"/>
      <c r="AH23" s="435"/>
      <c r="AI23" s="435"/>
      <c r="AJ23" s="434" t="s">
        <v>75</v>
      </c>
      <c r="AK23" s="435"/>
      <c r="AL23" s="435"/>
      <c r="AM23" s="435"/>
      <c r="AN23" s="435"/>
      <c r="AO23" s="434" t="s">
        <v>52</v>
      </c>
      <c r="AP23" s="435"/>
      <c r="AQ23" s="435"/>
      <c r="AR23" s="435"/>
      <c r="AS23" s="435"/>
      <c r="AT23" s="434" t="s">
        <v>76</v>
      </c>
      <c r="AU23" s="435"/>
      <c r="AV23" s="435"/>
      <c r="AW23" s="435"/>
      <c r="AX23" s="435"/>
    </row>
    <row r="24" spans="2:50">
      <c r="B24" s="444" t="s">
        <v>95</v>
      </c>
      <c r="C24" s="444" t="s">
        <v>96</v>
      </c>
      <c r="D24" s="444"/>
      <c r="E24" s="444" t="s">
        <v>97</v>
      </c>
      <c r="F24" s="444"/>
      <c r="G24" s="444"/>
      <c r="H24" s="450" t="s">
        <v>98</v>
      </c>
      <c r="I24" s="444" t="s">
        <v>99</v>
      </c>
      <c r="J24" s="444"/>
      <c r="K24" s="444"/>
      <c r="L24" s="450" t="s">
        <v>98</v>
      </c>
      <c r="M24" s="439" t="s">
        <v>100</v>
      </c>
      <c r="N24" s="444"/>
      <c r="O24" s="444" t="s">
        <v>101</v>
      </c>
      <c r="P24" s="441" t="s">
        <v>102</v>
      </c>
      <c r="Q24" s="442"/>
      <c r="R24" s="442"/>
      <c r="S24" s="443"/>
      <c r="T24" s="444" t="s">
        <v>98</v>
      </c>
      <c r="U24" s="441" t="s">
        <v>102</v>
      </c>
      <c r="V24" s="442"/>
      <c r="W24" s="442"/>
      <c r="X24" s="443"/>
      <c r="Y24" s="444" t="s">
        <v>98</v>
      </c>
      <c r="Z24" s="441" t="s">
        <v>102</v>
      </c>
      <c r="AA24" s="442"/>
      <c r="AB24" s="442"/>
      <c r="AC24" s="443"/>
      <c r="AD24" s="444" t="s">
        <v>98</v>
      </c>
      <c r="AE24" s="441" t="s">
        <v>102</v>
      </c>
      <c r="AF24" s="442"/>
      <c r="AG24" s="442"/>
      <c r="AH24" s="443"/>
      <c r="AI24" s="444" t="s">
        <v>98</v>
      </c>
      <c r="AJ24" s="441" t="s">
        <v>102</v>
      </c>
      <c r="AK24" s="442"/>
      <c r="AL24" s="442"/>
      <c r="AM24" s="443"/>
      <c r="AN24" s="444" t="s">
        <v>98</v>
      </c>
      <c r="AO24" s="441" t="s">
        <v>102</v>
      </c>
      <c r="AP24" s="442"/>
      <c r="AQ24" s="442"/>
      <c r="AR24" s="443"/>
      <c r="AS24" s="444" t="s">
        <v>98</v>
      </c>
      <c r="AT24" s="441" t="s">
        <v>102</v>
      </c>
      <c r="AU24" s="442"/>
      <c r="AV24" s="442"/>
      <c r="AW24" s="443"/>
      <c r="AX24" s="444" t="s">
        <v>98</v>
      </c>
    </row>
    <row r="25" spans="2:50">
      <c r="B25" s="444"/>
      <c r="C25" s="444"/>
      <c r="D25" s="444"/>
      <c r="E25" s="444" t="s">
        <v>103</v>
      </c>
      <c r="F25" s="444"/>
      <c r="G25" s="444"/>
      <c r="H25" s="451"/>
      <c r="I25" s="444" t="s">
        <v>103</v>
      </c>
      <c r="J25" s="444"/>
      <c r="K25" s="444"/>
      <c r="L25" s="451"/>
      <c r="M25" s="453"/>
      <c r="N25" s="444"/>
      <c r="O25" s="444"/>
      <c r="P25" s="441" t="s">
        <v>104</v>
      </c>
      <c r="Q25" s="442"/>
      <c r="R25" s="442"/>
      <c r="S25" s="443"/>
      <c r="T25" s="444"/>
      <c r="U25" s="441" t="s">
        <v>104</v>
      </c>
      <c r="V25" s="442"/>
      <c r="W25" s="442"/>
      <c r="X25" s="443"/>
      <c r="Y25" s="444"/>
      <c r="Z25" s="441" t="s">
        <v>104</v>
      </c>
      <c r="AA25" s="442"/>
      <c r="AB25" s="442"/>
      <c r="AC25" s="443"/>
      <c r="AD25" s="444"/>
      <c r="AE25" s="441" t="s">
        <v>104</v>
      </c>
      <c r="AF25" s="442"/>
      <c r="AG25" s="442"/>
      <c r="AH25" s="443"/>
      <c r="AI25" s="444"/>
      <c r="AJ25" s="441" t="s">
        <v>104</v>
      </c>
      <c r="AK25" s="442"/>
      <c r="AL25" s="442"/>
      <c r="AM25" s="443"/>
      <c r="AN25" s="444"/>
      <c r="AO25" s="441" t="s">
        <v>104</v>
      </c>
      <c r="AP25" s="442"/>
      <c r="AQ25" s="442"/>
      <c r="AR25" s="443"/>
      <c r="AS25" s="444"/>
      <c r="AT25" s="441" t="s">
        <v>104</v>
      </c>
      <c r="AU25" s="442"/>
      <c r="AV25" s="442"/>
      <c r="AW25" s="443"/>
      <c r="AX25" s="444"/>
    </row>
    <row r="26" spans="2:50">
      <c r="B26" s="444"/>
      <c r="C26" s="444"/>
      <c r="D26" s="444"/>
      <c r="E26" s="109" t="s">
        <v>105</v>
      </c>
      <c r="F26" s="109" t="s">
        <v>106</v>
      </c>
      <c r="G26" s="109" t="s">
        <v>107</v>
      </c>
      <c r="H26" s="452"/>
      <c r="I26" s="109" t="s">
        <v>105</v>
      </c>
      <c r="J26" s="109" t="s">
        <v>106</v>
      </c>
      <c r="K26" s="109" t="s">
        <v>107</v>
      </c>
      <c r="L26" s="452"/>
      <c r="M26" s="440"/>
      <c r="N26" s="444"/>
      <c r="O26" s="444"/>
      <c r="P26" s="109" t="s">
        <v>105</v>
      </c>
      <c r="Q26" s="109" t="s">
        <v>106</v>
      </c>
      <c r="R26" s="109" t="s">
        <v>107</v>
      </c>
      <c r="S26" s="109" t="s">
        <v>100</v>
      </c>
      <c r="T26" s="444"/>
      <c r="U26" s="109" t="s">
        <v>105</v>
      </c>
      <c r="V26" s="109" t="s">
        <v>106</v>
      </c>
      <c r="W26" s="109" t="s">
        <v>107</v>
      </c>
      <c r="X26" s="109" t="s">
        <v>100</v>
      </c>
      <c r="Y26" s="444"/>
      <c r="Z26" s="109" t="s">
        <v>105</v>
      </c>
      <c r="AA26" s="109" t="s">
        <v>106</v>
      </c>
      <c r="AB26" s="109" t="s">
        <v>107</v>
      </c>
      <c r="AC26" s="109" t="s">
        <v>100</v>
      </c>
      <c r="AD26" s="444"/>
      <c r="AE26" s="109" t="s">
        <v>105</v>
      </c>
      <c r="AF26" s="109" t="s">
        <v>106</v>
      </c>
      <c r="AG26" s="109" t="s">
        <v>107</v>
      </c>
      <c r="AH26" s="109" t="s">
        <v>100</v>
      </c>
      <c r="AI26" s="444"/>
      <c r="AJ26" s="109" t="s">
        <v>105</v>
      </c>
      <c r="AK26" s="109" t="s">
        <v>106</v>
      </c>
      <c r="AL26" s="109" t="s">
        <v>107</v>
      </c>
      <c r="AM26" s="109" t="s">
        <v>100</v>
      </c>
      <c r="AN26" s="444"/>
      <c r="AO26" s="109" t="s">
        <v>105</v>
      </c>
      <c r="AP26" s="109" t="s">
        <v>106</v>
      </c>
      <c r="AQ26" s="109" t="s">
        <v>107</v>
      </c>
      <c r="AR26" s="109" t="s">
        <v>100</v>
      </c>
      <c r="AS26" s="444"/>
      <c r="AT26" s="109" t="s">
        <v>105</v>
      </c>
      <c r="AU26" s="109" t="s">
        <v>106</v>
      </c>
      <c r="AV26" s="109" t="s">
        <v>107</v>
      </c>
      <c r="AW26" s="109" t="s">
        <v>100</v>
      </c>
      <c r="AX26" s="444"/>
    </row>
    <row r="27" spans="2:50">
      <c r="B27" s="444" t="s">
        <v>129</v>
      </c>
      <c r="C27" s="110">
        <v>1</v>
      </c>
      <c r="D27" s="110"/>
      <c r="E27" s="110"/>
      <c r="F27" s="110"/>
      <c r="G27" s="110"/>
      <c r="H27" s="456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446" t="e">
        <f>AVERAGE(K27:K41)</f>
        <v>#DIV/0!</v>
      </c>
      <c r="M27" s="199" t="e">
        <f>RANK(K27, K$27:$K$41)</f>
        <v>#DIV/0!</v>
      </c>
      <c r="N27" s="444"/>
      <c r="O27" s="444"/>
      <c r="P27" s="110"/>
      <c r="Q27" s="110"/>
      <c r="R27" s="110"/>
      <c r="S27" s="110"/>
      <c r="T27" s="435" t="e">
        <f>AVERAGE(R27:R41)</f>
        <v>#DIV/0!</v>
      </c>
      <c r="U27" s="110"/>
      <c r="V27" s="110"/>
      <c r="W27" s="110"/>
      <c r="X27" s="110"/>
      <c r="Y27" s="435" t="e">
        <f>AVERAGE(W27:W41)</f>
        <v>#DIV/0!</v>
      </c>
      <c r="Z27" s="110"/>
      <c r="AA27" s="110"/>
      <c r="AB27" s="110"/>
      <c r="AC27" s="110"/>
      <c r="AD27" s="435" t="e">
        <f>AVERAGE(AB27:AB41)</f>
        <v>#DIV/0!</v>
      </c>
      <c r="AE27" s="110"/>
      <c r="AF27" s="110"/>
      <c r="AG27" s="110"/>
      <c r="AH27" s="110"/>
      <c r="AI27" s="435" t="e">
        <f>AVERAGE(AG27:AG41)</f>
        <v>#DIV/0!</v>
      </c>
      <c r="AJ27" s="110"/>
      <c r="AK27" s="110"/>
      <c r="AL27" s="110"/>
      <c r="AM27" s="110"/>
      <c r="AN27" s="435" t="e">
        <f>AVERAGE(AL27:AL41)</f>
        <v>#DIV/0!</v>
      </c>
      <c r="AO27" s="110"/>
      <c r="AP27" s="110"/>
      <c r="AQ27" s="110"/>
      <c r="AR27" s="110"/>
      <c r="AS27" s="435" t="e">
        <f>AVERAGE(AQ27:AQ41)</f>
        <v>#DIV/0!</v>
      </c>
      <c r="AT27" s="110"/>
      <c r="AU27" s="110"/>
      <c r="AV27" s="110"/>
      <c r="AW27" s="110"/>
      <c r="AX27" s="435" t="e">
        <f>AVERAGE(AV27:AV41)</f>
        <v>#DIV/0!</v>
      </c>
    </row>
    <row r="28" spans="2:50">
      <c r="B28" s="435"/>
      <c r="C28" s="110">
        <v>2</v>
      </c>
      <c r="D28" s="110"/>
      <c r="E28" s="110"/>
      <c r="F28" s="110"/>
      <c r="G28" s="110"/>
      <c r="H28" s="457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447"/>
      <c r="M28" s="199" t="e">
        <f>RANK(K28, K$27:$K$41)</f>
        <v>#DIV/0!</v>
      </c>
      <c r="N28" s="444"/>
      <c r="O28" s="444"/>
      <c r="P28" s="110"/>
      <c r="Q28" s="110"/>
      <c r="R28" s="110"/>
      <c r="S28" s="110"/>
      <c r="T28" s="435"/>
      <c r="U28" s="110"/>
      <c r="V28" s="110"/>
      <c r="W28" s="110"/>
      <c r="X28" s="110"/>
      <c r="Y28" s="435"/>
      <c r="Z28" s="110"/>
      <c r="AA28" s="110"/>
      <c r="AB28" s="110"/>
      <c r="AC28" s="110"/>
      <c r="AD28" s="435"/>
      <c r="AE28" s="110"/>
      <c r="AF28" s="110"/>
      <c r="AG28" s="110"/>
      <c r="AH28" s="110"/>
      <c r="AI28" s="435"/>
      <c r="AJ28" s="110"/>
      <c r="AK28" s="110"/>
      <c r="AL28" s="110"/>
      <c r="AM28" s="110"/>
      <c r="AN28" s="435"/>
      <c r="AO28" s="110"/>
      <c r="AP28" s="110"/>
      <c r="AQ28" s="110"/>
      <c r="AR28" s="110"/>
      <c r="AS28" s="435"/>
      <c r="AT28" s="110"/>
      <c r="AU28" s="110"/>
      <c r="AV28" s="110"/>
      <c r="AW28" s="110"/>
      <c r="AX28" s="435"/>
    </row>
    <row r="29" spans="2:50">
      <c r="B29" s="435"/>
      <c r="C29" s="110">
        <v>3</v>
      </c>
      <c r="D29" s="110"/>
      <c r="E29" s="110"/>
      <c r="F29" s="110"/>
      <c r="G29" s="110"/>
      <c r="H29" s="457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447"/>
      <c r="M29" s="199" t="e">
        <f>RANK(K29, K$27:$K$41)</f>
        <v>#DIV/0!</v>
      </c>
      <c r="N29" s="444"/>
      <c r="O29" s="444"/>
      <c r="P29" s="110"/>
      <c r="Q29" s="110"/>
      <c r="R29" s="110"/>
      <c r="S29" s="110"/>
      <c r="T29" s="435"/>
      <c r="U29" s="110"/>
      <c r="V29" s="110"/>
      <c r="W29" s="110"/>
      <c r="X29" s="110"/>
      <c r="Y29" s="435"/>
      <c r="Z29" s="110"/>
      <c r="AA29" s="110"/>
      <c r="AB29" s="110"/>
      <c r="AC29" s="110"/>
      <c r="AD29" s="435"/>
      <c r="AE29" s="110"/>
      <c r="AF29" s="110"/>
      <c r="AG29" s="110"/>
      <c r="AH29" s="110"/>
      <c r="AI29" s="435"/>
      <c r="AJ29" s="110"/>
      <c r="AK29" s="110"/>
      <c r="AL29" s="110"/>
      <c r="AM29" s="110"/>
      <c r="AN29" s="435"/>
      <c r="AO29" s="110"/>
      <c r="AP29" s="110"/>
      <c r="AQ29" s="110"/>
      <c r="AR29" s="110"/>
      <c r="AS29" s="435"/>
      <c r="AT29" s="110"/>
      <c r="AU29" s="110"/>
      <c r="AV29" s="110"/>
      <c r="AW29" s="110"/>
      <c r="AX29" s="435"/>
    </row>
    <row r="30" spans="2:50">
      <c r="B30" s="435"/>
      <c r="C30" s="110">
        <v>4</v>
      </c>
      <c r="D30" s="110"/>
      <c r="E30" s="110"/>
      <c r="F30" s="110"/>
      <c r="G30" s="110"/>
      <c r="H30" s="457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447"/>
      <c r="M30" s="199" t="e">
        <f>RANK(K30, K$27:$K$41)</f>
        <v>#DIV/0!</v>
      </c>
      <c r="N30" s="444"/>
      <c r="O30" s="444"/>
      <c r="P30" s="110"/>
      <c r="Q30" s="110"/>
      <c r="R30" s="110"/>
      <c r="S30" s="110"/>
      <c r="T30" s="435"/>
      <c r="U30" s="110"/>
      <c r="V30" s="110"/>
      <c r="W30" s="110"/>
      <c r="X30" s="110"/>
      <c r="Y30" s="435"/>
      <c r="Z30" s="110"/>
      <c r="AA30" s="110"/>
      <c r="AB30" s="110"/>
      <c r="AC30" s="110"/>
      <c r="AD30" s="435"/>
      <c r="AE30" s="110"/>
      <c r="AF30" s="110"/>
      <c r="AG30" s="110"/>
      <c r="AH30" s="110"/>
      <c r="AI30" s="435"/>
      <c r="AJ30" s="110"/>
      <c r="AK30" s="110"/>
      <c r="AL30" s="110"/>
      <c r="AM30" s="110"/>
      <c r="AN30" s="435"/>
      <c r="AO30" s="110"/>
      <c r="AP30" s="110"/>
      <c r="AQ30" s="110"/>
      <c r="AR30" s="110"/>
      <c r="AS30" s="435"/>
      <c r="AT30" s="110"/>
      <c r="AU30" s="110"/>
      <c r="AV30" s="110"/>
      <c r="AW30" s="110"/>
      <c r="AX30" s="435"/>
    </row>
    <row r="31" spans="2:50">
      <c r="B31" s="435"/>
      <c r="C31" s="110">
        <v>5</v>
      </c>
      <c r="D31" s="110"/>
      <c r="E31" s="110"/>
      <c r="F31" s="110"/>
      <c r="G31" s="110"/>
      <c r="H31" s="457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447"/>
      <c r="M31" s="199" t="e">
        <f>RANK(K31, K$27:$K$41)</f>
        <v>#DIV/0!</v>
      </c>
      <c r="N31" s="444"/>
      <c r="O31" s="444"/>
      <c r="P31" s="110"/>
      <c r="Q31" s="110"/>
      <c r="R31" s="110"/>
      <c r="S31" s="110"/>
      <c r="T31" s="435"/>
      <c r="U31" s="110"/>
      <c r="V31" s="110"/>
      <c r="W31" s="110"/>
      <c r="X31" s="110"/>
      <c r="Y31" s="435"/>
      <c r="Z31" s="110"/>
      <c r="AA31" s="110"/>
      <c r="AB31" s="110"/>
      <c r="AC31" s="110"/>
      <c r="AD31" s="435"/>
      <c r="AE31" s="110"/>
      <c r="AF31" s="110"/>
      <c r="AG31" s="110"/>
      <c r="AH31" s="110"/>
      <c r="AI31" s="435"/>
      <c r="AJ31" s="110"/>
      <c r="AK31" s="110"/>
      <c r="AL31" s="110"/>
      <c r="AM31" s="110"/>
      <c r="AN31" s="435"/>
      <c r="AO31" s="110"/>
      <c r="AP31" s="110"/>
      <c r="AQ31" s="110"/>
      <c r="AR31" s="110"/>
      <c r="AS31" s="435"/>
      <c r="AT31" s="110"/>
      <c r="AU31" s="110"/>
      <c r="AV31" s="110"/>
      <c r="AW31" s="110"/>
      <c r="AX31" s="435"/>
    </row>
    <row r="32" spans="2:50">
      <c r="B32" s="435"/>
      <c r="C32" s="110">
        <v>6</v>
      </c>
      <c r="D32" s="110"/>
      <c r="E32" s="110"/>
      <c r="F32" s="110"/>
      <c r="G32" s="110"/>
      <c r="H32" s="457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447"/>
      <c r="M32" s="199" t="e">
        <f>RANK(K32, K$27:$K$41)</f>
        <v>#DIV/0!</v>
      </c>
      <c r="N32" s="444"/>
      <c r="O32" s="444"/>
      <c r="P32" s="110"/>
      <c r="Q32" s="110"/>
      <c r="R32" s="110"/>
      <c r="S32" s="110"/>
      <c r="T32" s="435"/>
      <c r="U32" s="110"/>
      <c r="V32" s="110"/>
      <c r="W32" s="110"/>
      <c r="X32" s="110"/>
      <c r="Y32" s="435"/>
      <c r="Z32" s="110"/>
      <c r="AA32" s="110"/>
      <c r="AB32" s="110"/>
      <c r="AC32" s="110"/>
      <c r="AD32" s="435"/>
      <c r="AE32" s="110"/>
      <c r="AF32" s="110"/>
      <c r="AG32" s="110"/>
      <c r="AH32" s="110"/>
      <c r="AI32" s="435"/>
      <c r="AJ32" s="110"/>
      <c r="AK32" s="110"/>
      <c r="AL32" s="110"/>
      <c r="AM32" s="110"/>
      <c r="AN32" s="435"/>
      <c r="AO32" s="110"/>
      <c r="AP32" s="110"/>
      <c r="AQ32" s="110"/>
      <c r="AR32" s="110"/>
      <c r="AS32" s="435"/>
      <c r="AT32" s="110"/>
      <c r="AU32" s="110"/>
      <c r="AV32" s="110"/>
      <c r="AW32" s="110"/>
      <c r="AX32" s="435"/>
    </row>
    <row r="33" spans="2:50">
      <c r="B33" s="435"/>
      <c r="C33" s="110">
        <v>7</v>
      </c>
      <c r="D33" s="110"/>
      <c r="E33" s="110"/>
      <c r="F33" s="110"/>
      <c r="G33" s="110"/>
      <c r="H33" s="457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447"/>
      <c r="M33" s="199" t="e">
        <f>RANK(K33, K$27:$K$41)</f>
        <v>#DIV/0!</v>
      </c>
      <c r="N33" s="444"/>
      <c r="O33" s="444"/>
      <c r="P33" s="110"/>
      <c r="Q33" s="110"/>
      <c r="R33" s="110"/>
      <c r="S33" s="110"/>
      <c r="T33" s="435"/>
      <c r="U33" s="110"/>
      <c r="V33" s="110"/>
      <c r="W33" s="110"/>
      <c r="X33" s="110"/>
      <c r="Y33" s="435"/>
      <c r="Z33" s="110"/>
      <c r="AA33" s="110"/>
      <c r="AB33" s="110"/>
      <c r="AC33" s="110"/>
      <c r="AD33" s="435"/>
      <c r="AE33" s="110"/>
      <c r="AF33" s="110"/>
      <c r="AG33" s="110"/>
      <c r="AH33" s="110"/>
      <c r="AI33" s="435"/>
      <c r="AJ33" s="110"/>
      <c r="AK33" s="110"/>
      <c r="AL33" s="110"/>
      <c r="AM33" s="110"/>
      <c r="AN33" s="435"/>
      <c r="AO33" s="110"/>
      <c r="AP33" s="110"/>
      <c r="AQ33" s="110"/>
      <c r="AR33" s="110"/>
      <c r="AS33" s="435"/>
      <c r="AT33" s="110"/>
      <c r="AU33" s="110"/>
      <c r="AV33" s="110"/>
      <c r="AW33" s="110"/>
      <c r="AX33" s="435"/>
    </row>
    <row r="34" spans="2:50">
      <c r="B34" s="435"/>
      <c r="C34" s="110">
        <v>8</v>
      </c>
      <c r="D34" s="110"/>
      <c r="E34" s="110"/>
      <c r="F34" s="110"/>
      <c r="G34" s="110"/>
      <c r="H34" s="457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447"/>
      <c r="M34" s="199" t="e">
        <f>RANK(K34, K$27:$K$41)</f>
        <v>#DIV/0!</v>
      </c>
      <c r="N34" s="444"/>
      <c r="O34" s="444"/>
      <c r="P34" s="110"/>
      <c r="Q34" s="110"/>
      <c r="R34" s="110"/>
      <c r="S34" s="110"/>
      <c r="T34" s="435"/>
      <c r="U34" s="110"/>
      <c r="V34" s="110"/>
      <c r="W34" s="110"/>
      <c r="X34" s="110"/>
      <c r="Y34" s="435"/>
      <c r="Z34" s="110"/>
      <c r="AA34" s="110"/>
      <c r="AB34" s="110"/>
      <c r="AC34" s="110"/>
      <c r="AD34" s="435"/>
      <c r="AE34" s="110"/>
      <c r="AF34" s="110"/>
      <c r="AG34" s="110"/>
      <c r="AH34" s="110"/>
      <c r="AI34" s="435"/>
      <c r="AJ34" s="110"/>
      <c r="AK34" s="110"/>
      <c r="AL34" s="110"/>
      <c r="AM34" s="110"/>
      <c r="AN34" s="435"/>
      <c r="AO34" s="110"/>
      <c r="AP34" s="110"/>
      <c r="AQ34" s="110"/>
      <c r="AR34" s="110"/>
      <c r="AS34" s="435"/>
      <c r="AT34" s="110"/>
      <c r="AU34" s="110"/>
      <c r="AV34" s="110"/>
      <c r="AW34" s="110"/>
      <c r="AX34" s="435"/>
    </row>
    <row r="35" spans="2:50">
      <c r="B35" s="435"/>
      <c r="C35" s="110">
        <v>9</v>
      </c>
      <c r="D35" s="110"/>
      <c r="E35" s="110"/>
      <c r="F35" s="110"/>
      <c r="G35" s="110"/>
      <c r="H35" s="457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447"/>
      <c r="M35" s="199" t="e">
        <f>RANK(K35, K$27:$K$41)</f>
        <v>#DIV/0!</v>
      </c>
      <c r="N35" s="444"/>
      <c r="O35" s="444"/>
      <c r="P35" s="110"/>
      <c r="Q35" s="110"/>
      <c r="R35" s="110"/>
      <c r="S35" s="110"/>
      <c r="T35" s="435"/>
      <c r="U35" s="110"/>
      <c r="V35" s="110"/>
      <c r="W35" s="110"/>
      <c r="X35" s="110"/>
      <c r="Y35" s="435"/>
      <c r="Z35" s="110"/>
      <c r="AA35" s="110"/>
      <c r="AB35" s="110"/>
      <c r="AC35" s="110"/>
      <c r="AD35" s="435"/>
      <c r="AE35" s="110"/>
      <c r="AF35" s="110"/>
      <c r="AG35" s="110"/>
      <c r="AH35" s="110"/>
      <c r="AI35" s="435"/>
      <c r="AJ35" s="110"/>
      <c r="AK35" s="110"/>
      <c r="AL35" s="110"/>
      <c r="AM35" s="110"/>
      <c r="AN35" s="435"/>
      <c r="AO35" s="110"/>
      <c r="AP35" s="110"/>
      <c r="AQ35" s="110"/>
      <c r="AR35" s="110"/>
      <c r="AS35" s="435"/>
      <c r="AT35" s="110"/>
      <c r="AU35" s="110"/>
      <c r="AV35" s="110"/>
      <c r="AW35" s="110"/>
      <c r="AX35" s="435"/>
    </row>
    <row r="36" spans="2:50">
      <c r="B36" s="435"/>
      <c r="C36" s="110">
        <v>10</v>
      </c>
      <c r="D36" s="110"/>
      <c r="E36" s="110"/>
      <c r="F36" s="110"/>
      <c r="G36" s="110"/>
      <c r="H36" s="457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447"/>
      <c r="M36" s="199" t="e">
        <f>RANK(K36, K$27:$K$41)</f>
        <v>#DIV/0!</v>
      </c>
      <c r="N36" s="444"/>
      <c r="O36" s="444"/>
      <c r="P36" s="110"/>
      <c r="Q36" s="110"/>
      <c r="R36" s="110"/>
      <c r="S36" s="110"/>
      <c r="T36" s="435"/>
      <c r="U36" s="110"/>
      <c r="V36" s="110"/>
      <c r="W36" s="110"/>
      <c r="X36" s="110"/>
      <c r="Y36" s="435"/>
      <c r="Z36" s="110"/>
      <c r="AA36" s="110"/>
      <c r="AB36" s="110"/>
      <c r="AC36" s="110"/>
      <c r="AD36" s="435"/>
      <c r="AE36" s="110"/>
      <c r="AF36" s="110"/>
      <c r="AG36" s="110"/>
      <c r="AH36" s="110"/>
      <c r="AI36" s="435"/>
      <c r="AJ36" s="110"/>
      <c r="AK36" s="110"/>
      <c r="AL36" s="110"/>
      <c r="AM36" s="110"/>
      <c r="AN36" s="435"/>
      <c r="AO36" s="110"/>
      <c r="AP36" s="110"/>
      <c r="AQ36" s="110"/>
      <c r="AR36" s="110"/>
      <c r="AS36" s="435"/>
      <c r="AT36" s="110"/>
      <c r="AU36" s="110"/>
      <c r="AV36" s="110"/>
      <c r="AW36" s="110"/>
      <c r="AX36" s="435"/>
    </row>
    <row r="37" spans="2:50">
      <c r="B37" s="435"/>
      <c r="C37" s="110">
        <v>11</v>
      </c>
      <c r="D37" s="110"/>
      <c r="E37" s="110"/>
      <c r="F37" s="110"/>
      <c r="G37" s="110"/>
      <c r="H37" s="457"/>
      <c r="I37" s="110"/>
      <c r="J37" s="110"/>
      <c r="K37" s="110"/>
      <c r="L37" s="447"/>
      <c r="M37" s="199" t="e">
        <f>RANK(K37, K$27:$K$41)</f>
        <v>#DIV/0!</v>
      </c>
      <c r="N37" s="444"/>
      <c r="O37" s="444"/>
      <c r="P37" s="110"/>
      <c r="Q37" s="110"/>
      <c r="R37" s="110"/>
      <c r="S37" s="110"/>
      <c r="T37" s="435"/>
      <c r="U37" s="110"/>
      <c r="V37" s="110"/>
      <c r="W37" s="110"/>
      <c r="X37" s="110"/>
      <c r="Y37" s="435"/>
      <c r="Z37" s="110"/>
      <c r="AA37" s="110"/>
      <c r="AB37" s="110"/>
      <c r="AC37" s="110"/>
      <c r="AD37" s="435"/>
      <c r="AE37" s="110"/>
      <c r="AF37" s="110"/>
      <c r="AG37" s="110"/>
      <c r="AH37" s="110"/>
      <c r="AI37" s="435"/>
      <c r="AJ37" s="110"/>
      <c r="AK37" s="110"/>
      <c r="AL37" s="110"/>
      <c r="AM37" s="110"/>
      <c r="AN37" s="435"/>
      <c r="AO37" s="110"/>
      <c r="AP37" s="110"/>
      <c r="AQ37" s="110"/>
      <c r="AR37" s="110"/>
      <c r="AS37" s="435"/>
      <c r="AT37" s="110"/>
      <c r="AU37" s="110"/>
      <c r="AV37" s="110"/>
      <c r="AW37" s="110"/>
      <c r="AX37" s="435"/>
    </row>
    <row r="38" spans="2:50">
      <c r="B38" s="435"/>
      <c r="C38" s="110">
        <v>12</v>
      </c>
      <c r="D38" s="110"/>
      <c r="E38" s="110"/>
      <c r="F38" s="110"/>
      <c r="G38" s="110"/>
      <c r="H38" s="457"/>
      <c r="I38" s="110"/>
      <c r="J38" s="110"/>
      <c r="K38" s="110"/>
      <c r="L38" s="447"/>
      <c r="M38" s="199" t="e">
        <f>RANK(K38, K$27:$K$41)</f>
        <v>#DIV/0!</v>
      </c>
      <c r="N38" s="444"/>
      <c r="O38" s="444"/>
      <c r="P38" s="110"/>
      <c r="Q38" s="110"/>
      <c r="R38" s="110"/>
      <c r="S38" s="110"/>
      <c r="T38" s="435"/>
      <c r="U38" s="110"/>
      <c r="V38" s="110"/>
      <c r="W38" s="110"/>
      <c r="X38" s="110"/>
      <c r="Y38" s="435"/>
      <c r="Z38" s="110"/>
      <c r="AA38" s="110"/>
      <c r="AB38" s="110"/>
      <c r="AC38" s="110"/>
      <c r="AD38" s="435"/>
      <c r="AE38" s="110"/>
      <c r="AF38" s="110"/>
      <c r="AG38" s="110"/>
      <c r="AH38" s="110"/>
      <c r="AI38" s="435"/>
      <c r="AJ38" s="110"/>
      <c r="AK38" s="110"/>
      <c r="AL38" s="110"/>
      <c r="AM38" s="110"/>
      <c r="AN38" s="435"/>
      <c r="AO38" s="110"/>
      <c r="AP38" s="110"/>
      <c r="AQ38" s="110"/>
      <c r="AR38" s="110"/>
      <c r="AS38" s="435"/>
      <c r="AT38" s="110"/>
      <c r="AU38" s="110"/>
      <c r="AV38" s="110"/>
      <c r="AW38" s="110"/>
      <c r="AX38" s="435"/>
    </row>
    <row r="39" spans="2:50">
      <c r="B39" s="435"/>
      <c r="C39" s="110">
        <v>13</v>
      </c>
      <c r="D39" s="110"/>
      <c r="E39" s="110"/>
      <c r="F39" s="110"/>
      <c r="G39" s="110"/>
      <c r="H39" s="457"/>
      <c r="I39" s="110"/>
      <c r="J39" s="110"/>
      <c r="K39" s="110"/>
      <c r="L39" s="447"/>
      <c r="M39" s="199" t="e">
        <f>RANK(K39, K$27:$K$41)</f>
        <v>#DIV/0!</v>
      </c>
      <c r="N39" s="444"/>
      <c r="O39" s="444"/>
      <c r="P39" s="110"/>
      <c r="Q39" s="110"/>
      <c r="R39" s="110"/>
      <c r="S39" s="110"/>
      <c r="T39" s="435"/>
      <c r="U39" s="110"/>
      <c r="V39" s="110"/>
      <c r="W39" s="110"/>
      <c r="X39" s="110"/>
      <c r="Y39" s="435"/>
      <c r="Z39" s="110"/>
      <c r="AA39" s="110"/>
      <c r="AB39" s="110"/>
      <c r="AC39" s="110"/>
      <c r="AD39" s="435"/>
      <c r="AE39" s="110"/>
      <c r="AF39" s="110"/>
      <c r="AG39" s="110"/>
      <c r="AH39" s="110"/>
      <c r="AI39" s="435"/>
      <c r="AJ39" s="110"/>
      <c r="AK39" s="110"/>
      <c r="AL39" s="110"/>
      <c r="AM39" s="110"/>
      <c r="AN39" s="435"/>
      <c r="AO39" s="110"/>
      <c r="AP39" s="110"/>
      <c r="AQ39" s="110"/>
      <c r="AR39" s="110"/>
      <c r="AS39" s="435"/>
      <c r="AT39" s="110"/>
      <c r="AU39" s="110"/>
      <c r="AV39" s="110"/>
      <c r="AW39" s="110"/>
      <c r="AX39" s="435"/>
    </row>
    <row r="40" spans="2:50">
      <c r="B40" s="435"/>
      <c r="C40" s="110">
        <v>14</v>
      </c>
      <c r="D40" s="110"/>
      <c r="E40" s="110"/>
      <c r="F40" s="110"/>
      <c r="G40" s="110"/>
      <c r="H40" s="457"/>
      <c r="I40" s="110"/>
      <c r="J40" s="110"/>
      <c r="K40" s="110"/>
      <c r="L40" s="447"/>
      <c r="M40" s="199" t="e">
        <f>RANK(K40, K$27:$K$41)</f>
        <v>#DIV/0!</v>
      </c>
      <c r="N40" s="444"/>
      <c r="O40" s="444"/>
      <c r="P40" s="110"/>
      <c r="Q40" s="110"/>
      <c r="R40" s="110"/>
      <c r="S40" s="110"/>
      <c r="T40" s="435"/>
      <c r="U40" s="110"/>
      <c r="V40" s="110"/>
      <c r="W40" s="110"/>
      <c r="X40" s="110"/>
      <c r="Y40" s="435"/>
      <c r="Z40" s="110"/>
      <c r="AA40" s="110"/>
      <c r="AB40" s="110"/>
      <c r="AC40" s="110"/>
      <c r="AD40" s="435"/>
      <c r="AE40" s="110"/>
      <c r="AF40" s="110"/>
      <c r="AG40" s="110"/>
      <c r="AH40" s="110"/>
      <c r="AI40" s="435"/>
      <c r="AJ40" s="110"/>
      <c r="AK40" s="110"/>
      <c r="AL40" s="110"/>
      <c r="AM40" s="110"/>
      <c r="AN40" s="435"/>
      <c r="AO40" s="110"/>
      <c r="AP40" s="110"/>
      <c r="AQ40" s="110"/>
      <c r="AR40" s="110"/>
      <c r="AS40" s="435"/>
      <c r="AT40" s="110"/>
      <c r="AU40" s="110"/>
      <c r="AV40" s="110"/>
      <c r="AW40" s="110"/>
      <c r="AX40" s="435"/>
    </row>
    <row r="41" spans="2:50">
      <c r="B41" s="435"/>
      <c r="C41" s="110">
        <v>15</v>
      </c>
      <c r="D41" s="110"/>
      <c r="E41" s="110"/>
      <c r="F41" s="110"/>
      <c r="G41" s="110"/>
      <c r="H41" s="458"/>
      <c r="I41" s="110"/>
      <c r="J41" s="110"/>
      <c r="K41" s="110"/>
      <c r="L41" s="448"/>
      <c r="M41" s="184" t="e">
        <f>RANK(K41, K$27:$K$41)</f>
        <v>#DIV/0!</v>
      </c>
      <c r="N41" s="444"/>
      <c r="O41" s="444"/>
      <c r="P41" s="110"/>
      <c r="Q41" s="110"/>
      <c r="R41" s="110"/>
      <c r="S41" s="110"/>
      <c r="T41" s="435"/>
      <c r="U41" s="110"/>
      <c r="V41" s="110"/>
      <c r="W41" s="110"/>
      <c r="X41" s="110"/>
      <c r="Y41" s="435"/>
      <c r="Z41" s="110"/>
      <c r="AA41" s="110"/>
      <c r="AB41" s="110"/>
      <c r="AC41" s="110"/>
      <c r="AD41" s="435"/>
      <c r="AE41" s="110"/>
      <c r="AF41" s="110"/>
      <c r="AG41" s="110"/>
      <c r="AH41" s="110"/>
      <c r="AI41" s="435"/>
      <c r="AJ41" s="110"/>
      <c r="AK41" s="110"/>
      <c r="AL41" s="110"/>
      <c r="AM41" s="110"/>
      <c r="AN41" s="435"/>
      <c r="AO41" s="110"/>
      <c r="AP41" s="110"/>
      <c r="AQ41" s="110"/>
      <c r="AR41" s="110"/>
      <c r="AS41" s="435"/>
      <c r="AT41" s="110"/>
      <c r="AU41" s="110"/>
      <c r="AV41" s="110"/>
      <c r="AW41" s="110"/>
      <c r="AX41" s="435"/>
    </row>
    <row r="42" spans="2:50" ht="15.75">
      <c r="B42" s="454" t="s">
        <v>93</v>
      </c>
      <c r="C42" s="455"/>
      <c r="D42" s="455"/>
      <c r="E42" s="455"/>
      <c r="F42" s="455"/>
      <c r="G42" s="455"/>
      <c r="H42" s="455"/>
      <c r="I42" s="201"/>
      <c r="J42" s="183"/>
      <c r="K42" s="201"/>
      <c r="L42" s="201"/>
      <c r="M42" s="179"/>
      <c r="N42" s="439" t="s">
        <v>94</v>
      </c>
      <c r="O42" s="439" t="s">
        <v>45</v>
      </c>
      <c r="P42" s="434">
        <v>45881</v>
      </c>
      <c r="Q42" s="435"/>
      <c r="R42" s="435"/>
      <c r="S42" s="435"/>
      <c r="T42" s="435"/>
      <c r="U42" s="434">
        <v>45882</v>
      </c>
      <c r="V42" s="435"/>
      <c r="W42" s="435"/>
      <c r="X42" s="435"/>
      <c r="Y42" s="435"/>
      <c r="Z42" s="434">
        <v>45883</v>
      </c>
      <c r="AA42" s="435"/>
      <c r="AB42" s="435"/>
      <c r="AC42" s="435"/>
      <c r="AD42" s="435"/>
      <c r="AE42" s="434">
        <v>45884</v>
      </c>
      <c r="AF42" s="435"/>
      <c r="AG42" s="435"/>
      <c r="AH42" s="435"/>
      <c r="AI42" s="435"/>
      <c r="AJ42" s="434">
        <v>45885</v>
      </c>
      <c r="AK42" s="435"/>
      <c r="AL42" s="435"/>
      <c r="AM42" s="435"/>
      <c r="AN42" s="435"/>
      <c r="AO42" s="434">
        <v>45886</v>
      </c>
      <c r="AP42" s="435"/>
      <c r="AQ42" s="435"/>
      <c r="AR42" s="435"/>
      <c r="AS42" s="435"/>
      <c r="AT42" s="434">
        <v>45887</v>
      </c>
      <c r="AU42" s="435"/>
      <c r="AV42" s="435"/>
      <c r="AW42" s="435"/>
      <c r="AX42" s="435"/>
    </row>
    <row r="43" spans="2:50" ht="15.75">
      <c r="B43" s="438"/>
      <c r="C43" s="438"/>
      <c r="D43" s="438"/>
      <c r="E43" s="438"/>
      <c r="F43" s="438"/>
      <c r="G43" s="438"/>
      <c r="H43" s="438"/>
      <c r="I43" s="180"/>
      <c r="J43" s="180"/>
      <c r="K43" s="180"/>
      <c r="L43" s="180"/>
      <c r="M43" s="181"/>
      <c r="N43" s="440"/>
      <c r="O43" s="440"/>
      <c r="P43" s="434" t="s">
        <v>77</v>
      </c>
      <c r="Q43" s="435"/>
      <c r="R43" s="435"/>
      <c r="S43" s="435"/>
      <c r="T43" s="435"/>
      <c r="U43" s="434" t="s">
        <v>72</v>
      </c>
      <c r="V43" s="435"/>
      <c r="W43" s="435"/>
      <c r="X43" s="435"/>
      <c r="Y43" s="435"/>
      <c r="Z43" s="434" t="s">
        <v>73</v>
      </c>
      <c r="AA43" s="435"/>
      <c r="AB43" s="435"/>
      <c r="AC43" s="435"/>
      <c r="AD43" s="435"/>
      <c r="AE43" s="434" t="s">
        <v>74</v>
      </c>
      <c r="AF43" s="435"/>
      <c r="AG43" s="435"/>
      <c r="AH43" s="435"/>
      <c r="AI43" s="435"/>
      <c r="AJ43" s="434" t="s">
        <v>75</v>
      </c>
      <c r="AK43" s="435"/>
      <c r="AL43" s="435"/>
      <c r="AM43" s="435"/>
      <c r="AN43" s="435"/>
      <c r="AO43" s="434" t="s">
        <v>52</v>
      </c>
      <c r="AP43" s="435"/>
      <c r="AQ43" s="435"/>
      <c r="AR43" s="435"/>
      <c r="AS43" s="435"/>
      <c r="AT43" s="434" t="s">
        <v>76</v>
      </c>
      <c r="AU43" s="435"/>
      <c r="AV43" s="435"/>
      <c r="AW43" s="435"/>
      <c r="AX43" s="435"/>
    </row>
    <row r="44" spans="2:50">
      <c r="B44" s="444" t="s">
        <v>95</v>
      </c>
      <c r="C44" s="444" t="s">
        <v>96</v>
      </c>
      <c r="D44" s="444"/>
      <c r="E44" s="444" t="s">
        <v>97</v>
      </c>
      <c r="F44" s="444"/>
      <c r="G44" s="444"/>
      <c r="H44" s="450" t="s">
        <v>98</v>
      </c>
      <c r="I44" s="444" t="s">
        <v>99</v>
      </c>
      <c r="J44" s="444"/>
      <c r="K44" s="444"/>
      <c r="L44" s="450" t="s">
        <v>98</v>
      </c>
      <c r="M44" s="439" t="s">
        <v>100</v>
      </c>
      <c r="N44" s="444"/>
      <c r="O44" s="444" t="s">
        <v>101</v>
      </c>
      <c r="P44" s="441" t="s">
        <v>102</v>
      </c>
      <c r="Q44" s="442"/>
      <c r="R44" s="442"/>
      <c r="S44" s="443"/>
      <c r="T44" s="444" t="s">
        <v>98</v>
      </c>
      <c r="U44" s="441" t="s">
        <v>102</v>
      </c>
      <c r="V44" s="442"/>
      <c r="W44" s="442"/>
      <c r="X44" s="443"/>
      <c r="Y44" s="444" t="s">
        <v>98</v>
      </c>
      <c r="Z44" s="441" t="s">
        <v>102</v>
      </c>
      <c r="AA44" s="442"/>
      <c r="AB44" s="442"/>
      <c r="AC44" s="443"/>
      <c r="AD44" s="444" t="s">
        <v>98</v>
      </c>
      <c r="AE44" s="441" t="s">
        <v>102</v>
      </c>
      <c r="AF44" s="442"/>
      <c r="AG44" s="442"/>
      <c r="AH44" s="443"/>
      <c r="AI44" s="444" t="s">
        <v>98</v>
      </c>
      <c r="AJ44" s="441" t="s">
        <v>102</v>
      </c>
      <c r="AK44" s="442"/>
      <c r="AL44" s="442"/>
      <c r="AM44" s="443"/>
      <c r="AN44" s="444" t="s">
        <v>98</v>
      </c>
      <c r="AO44" s="441" t="s">
        <v>102</v>
      </c>
      <c r="AP44" s="442"/>
      <c r="AQ44" s="442"/>
      <c r="AR44" s="443"/>
      <c r="AS44" s="444" t="s">
        <v>98</v>
      </c>
      <c r="AT44" s="441" t="s">
        <v>102</v>
      </c>
      <c r="AU44" s="442"/>
      <c r="AV44" s="442"/>
      <c r="AW44" s="443"/>
      <c r="AX44" s="444" t="s">
        <v>98</v>
      </c>
    </row>
    <row r="45" spans="2:50">
      <c r="B45" s="444"/>
      <c r="C45" s="444"/>
      <c r="D45" s="444"/>
      <c r="E45" s="444" t="s">
        <v>103</v>
      </c>
      <c r="F45" s="444"/>
      <c r="G45" s="444"/>
      <c r="H45" s="451"/>
      <c r="I45" s="444" t="s">
        <v>103</v>
      </c>
      <c r="J45" s="444"/>
      <c r="K45" s="444"/>
      <c r="L45" s="451"/>
      <c r="M45" s="453"/>
      <c r="N45" s="444"/>
      <c r="O45" s="444"/>
      <c r="P45" s="441" t="s">
        <v>104</v>
      </c>
      <c r="Q45" s="442"/>
      <c r="R45" s="442"/>
      <c r="S45" s="443"/>
      <c r="T45" s="444"/>
      <c r="U45" s="441" t="s">
        <v>104</v>
      </c>
      <c r="V45" s="442"/>
      <c r="W45" s="442"/>
      <c r="X45" s="443"/>
      <c r="Y45" s="444"/>
      <c r="Z45" s="441" t="s">
        <v>104</v>
      </c>
      <c r="AA45" s="442"/>
      <c r="AB45" s="442"/>
      <c r="AC45" s="443"/>
      <c r="AD45" s="444"/>
      <c r="AE45" s="441" t="s">
        <v>104</v>
      </c>
      <c r="AF45" s="442"/>
      <c r="AG45" s="442"/>
      <c r="AH45" s="443"/>
      <c r="AI45" s="444"/>
      <c r="AJ45" s="441" t="s">
        <v>104</v>
      </c>
      <c r="AK45" s="442"/>
      <c r="AL45" s="442"/>
      <c r="AM45" s="443"/>
      <c r="AN45" s="444"/>
      <c r="AO45" s="441" t="s">
        <v>104</v>
      </c>
      <c r="AP45" s="442"/>
      <c r="AQ45" s="442"/>
      <c r="AR45" s="443"/>
      <c r="AS45" s="444"/>
      <c r="AT45" s="441" t="s">
        <v>104</v>
      </c>
      <c r="AU45" s="442"/>
      <c r="AV45" s="442"/>
      <c r="AW45" s="443"/>
      <c r="AX45" s="444"/>
    </row>
    <row r="46" spans="2:50">
      <c r="B46" s="444"/>
      <c r="C46" s="444"/>
      <c r="D46" s="444"/>
      <c r="E46" s="109" t="s">
        <v>105</v>
      </c>
      <c r="F46" s="109" t="s">
        <v>106</v>
      </c>
      <c r="G46" s="109" t="s">
        <v>107</v>
      </c>
      <c r="H46" s="452"/>
      <c r="I46" s="109" t="s">
        <v>105</v>
      </c>
      <c r="J46" s="109" t="s">
        <v>106</v>
      </c>
      <c r="K46" s="109" t="s">
        <v>107</v>
      </c>
      <c r="L46" s="452"/>
      <c r="M46" s="440"/>
      <c r="N46" s="444"/>
      <c r="O46" s="444"/>
      <c r="P46" s="109" t="s">
        <v>105</v>
      </c>
      <c r="Q46" s="109" t="s">
        <v>106</v>
      </c>
      <c r="R46" s="109" t="s">
        <v>107</v>
      </c>
      <c r="S46" s="109" t="s">
        <v>100</v>
      </c>
      <c r="T46" s="444"/>
      <c r="U46" s="109" t="s">
        <v>105</v>
      </c>
      <c r="V46" s="109" t="s">
        <v>106</v>
      </c>
      <c r="W46" s="109" t="s">
        <v>107</v>
      </c>
      <c r="X46" s="109" t="s">
        <v>100</v>
      </c>
      <c r="Y46" s="444"/>
      <c r="Z46" s="109" t="s">
        <v>105</v>
      </c>
      <c r="AA46" s="109" t="s">
        <v>106</v>
      </c>
      <c r="AB46" s="109" t="s">
        <v>107</v>
      </c>
      <c r="AC46" s="109" t="s">
        <v>100</v>
      </c>
      <c r="AD46" s="444"/>
      <c r="AE46" s="109" t="s">
        <v>105</v>
      </c>
      <c r="AF46" s="109" t="s">
        <v>106</v>
      </c>
      <c r="AG46" s="109" t="s">
        <v>107</v>
      </c>
      <c r="AH46" s="109" t="s">
        <v>100</v>
      </c>
      <c r="AI46" s="444"/>
      <c r="AJ46" s="109" t="s">
        <v>105</v>
      </c>
      <c r="AK46" s="109" t="s">
        <v>106</v>
      </c>
      <c r="AL46" s="109" t="s">
        <v>107</v>
      </c>
      <c r="AM46" s="109" t="s">
        <v>100</v>
      </c>
      <c r="AN46" s="444"/>
      <c r="AO46" s="109" t="s">
        <v>105</v>
      </c>
      <c r="AP46" s="109" t="s">
        <v>106</v>
      </c>
      <c r="AQ46" s="109" t="s">
        <v>107</v>
      </c>
      <c r="AR46" s="109" t="s">
        <v>100</v>
      </c>
      <c r="AS46" s="444"/>
      <c r="AT46" s="109" t="s">
        <v>105</v>
      </c>
      <c r="AU46" s="109" t="s">
        <v>106</v>
      </c>
      <c r="AV46" s="109" t="s">
        <v>107</v>
      </c>
      <c r="AW46" s="109" t="s">
        <v>100</v>
      </c>
      <c r="AX46" s="444"/>
    </row>
    <row r="47" spans="2:50">
      <c r="B47" s="444" t="s">
        <v>129</v>
      </c>
      <c r="C47" s="110">
        <v>1</v>
      </c>
      <c r="D47" s="110"/>
      <c r="E47" s="110"/>
      <c r="F47" s="110"/>
      <c r="G47" s="110"/>
      <c r="H47" s="456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446" t="e">
        <f>AVERAGE(K47:K61)</f>
        <v>#DIV/0!</v>
      </c>
      <c r="M47" s="184" t="e">
        <f>RANK(K47, K$47:$K$61)</f>
        <v>#DIV/0!</v>
      </c>
      <c r="N47" s="444"/>
      <c r="O47" s="444"/>
      <c r="P47" s="110"/>
      <c r="Q47" s="110"/>
      <c r="R47" s="110"/>
      <c r="S47" s="110"/>
      <c r="T47" s="435" t="e">
        <f>AVERAGE(R47:R61)</f>
        <v>#DIV/0!</v>
      </c>
      <c r="U47" s="110"/>
      <c r="V47" s="110"/>
      <c r="W47" s="110"/>
      <c r="X47" s="110"/>
      <c r="Y47" s="435" t="e">
        <f>AVERAGE(W47:W61)</f>
        <v>#DIV/0!</v>
      </c>
      <c r="Z47" s="110"/>
      <c r="AA47" s="110"/>
      <c r="AB47" s="110"/>
      <c r="AC47" s="110"/>
      <c r="AD47" s="435" t="e">
        <f>AVERAGE(AB47:AB61)</f>
        <v>#DIV/0!</v>
      </c>
      <c r="AE47" s="110"/>
      <c r="AF47" s="110"/>
      <c r="AG47" s="110"/>
      <c r="AH47" s="110"/>
      <c r="AI47" s="435" t="e">
        <f>AVERAGE(AG47:AG61)</f>
        <v>#DIV/0!</v>
      </c>
      <c r="AJ47" s="110"/>
      <c r="AK47" s="110"/>
      <c r="AL47" s="110"/>
      <c r="AM47" s="110"/>
      <c r="AN47" s="435" t="e">
        <f>AVERAGE(AL47:AL61)</f>
        <v>#DIV/0!</v>
      </c>
      <c r="AO47" s="110"/>
      <c r="AP47" s="110"/>
      <c r="AQ47" s="110"/>
      <c r="AR47" s="110"/>
      <c r="AS47" s="435" t="e">
        <f>AVERAGE(AQ47:AQ61)</f>
        <v>#DIV/0!</v>
      </c>
      <c r="AT47" s="110"/>
      <c r="AU47" s="110"/>
      <c r="AV47" s="110"/>
      <c r="AW47" s="110"/>
      <c r="AX47" s="435" t="e">
        <f>AVERAGE(AV47:AV61)</f>
        <v>#DIV/0!</v>
      </c>
    </row>
    <row r="48" spans="2:50">
      <c r="B48" s="435"/>
      <c r="C48" s="110">
        <v>2</v>
      </c>
      <c r="D48" s="110"/>
      <c r="E48" s="110"/>
      <c r="F48" s="110"/>
      <c r="G48" s="110"/>
      <c r="H48" s="457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447"/>
      <c r="M48" s="184" t="e">
        <f>RANK(K48, K$47:$K$61)</f>
        <v>#DIV/0!</v>
      </c>
      <c r="N48" s="444"/>
      <c r="O48" s="444"/>
      <c r="P48" s="110"/>
      <c r="Q48" s="110"/>
      <c r="R48" s="110"/>
      <c r="S48" s="110"/>
      <c r="T48" s="435"/>
      <c r="U48" s="110"/>
      <c r="V48" s="110"/>
      <c r="W48" s="110"/>
      <c r="X48" s="110"/>
      <c r="Y48" s="435"/>
      <c r="Z48" s="110"/>
      <c r="AA48" s="110"/>
      <c r="AB48" s="110"/>
      <c r="AC48" s="110"/>
      <c r="AD48" s="435"/>
      <c r="AE48" s="110"/>
      <c r="AF48" s="110"/>
      <c r="AG48" s="110"/>
      <c r="AH48" s="110"/>
      <c r="AI48" s="435"/>
      <c r="AJ48" s="110"/>
      <c r="AK48" s="110"/>
      <c r="AL48" s="110"/>
      <c r="AM48" s="110"/>
      <c r="AN48" s="435"/>
      <c r="AO48" s="110"/>
      <c r="AP48" s="110"/>
      <c r="AQ48" s="110"/>
      <c r="AR48" s="110"/>
      <c r="AS48" s="435"/>
      <c r="AT48" s="110"/>
      <c r="AU48" s="110"/>
      <c r="AV48" s="110"/>
      <c r="AW48" s="110"/>
      <c r="AX48" s="435"/>
    </row>
    <row r="49" spans="2:50">
      <c r="B49" s="435"/>
      <c r="C49" s="110">
        <v>3</v>
      </c>
      <c r="D49" s="110"/>
      <c r="E49" s="110"/>
      <c r="F49" s="110"/>
      <c r="G49" s="110"/>
      <c r="H49" s="457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447"/>
      <c r="M49" s="184" t="e">
        <f>RANK(K49, K$47:$K$61)</f>
        <v>#DIV/0!</v>
      </c>
      <c r="N49" s="444"/>
      <c r="O49" s="444"/>
      <c r="P49" s="110"/>
      <c r="Q49" s="110"/>
      <c r="R49" s="110"/>
      <c r="S49" s="110"/>
      <c r="T49" s="435"/>
      <c r="U49" s="110"/>
      <c r="V49" s="110"/>
      <c r="W49" s="110"/>
      <c r="X49" s="110"/>
      <c r="Y49" s="435"/>
      <c r="Z49" s="110"/>
      <c r="AA49" s="110"/>
      <c r="AB49" s="110"/>
      <c r="AC49" s="110"/>
      <c r="AD49" s="435"/>
      <c r="AE49" s="110"/>
      <c r="AF49" s="110"/>
      <c r="AG49" s="110"/>
      <c r="AH49" s="110"/>
      <c r="AI49" s="435"/>
      <c r="AJ49" s="110"/>
      <c r="AK49" s="110"/>
      <c r="AL49" s="110"/>
      <c r="AM49" s="110"/>
      <c r="AN49" s="435"/>
      <c r="AO49" s="110"/>
      <c r="AP49" s="110"/>
      <c r="AQ49" s="110"/>
      <c r="AR49" s="110"/>
      <c r="AS49" s="435"/>
      <c r="AT49" s="110"/>
      <c r="AU49" s="110"/>
      <c r="AV49" s="110"/>
      <c r="AW49" s="110"/>
      <c r="AX49" s="435"/>
    </row>
    <row r="50" spans="2:50">
      <c r="B50" s="435"/>
      <c r="C50" s="110">
        <v>4</v>
      </c>
      <c r="D50" s="110"/>
      <c r="E50" s="110"/>
      <c r="F50" s="110"/>
      <c r="G50" s="110"/>
      <c r="H50" s="457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447"/>
      <c r="M50" s="184" t="e">
        <f>RANK(K50, K$47:$K$61)</f>
        <v>#DIV/0!</v>
      </c>
      <c r="N50" s="444"/>
      <c r="O50" s="444"/>
      <c r="P50" s="110"/>
      <c r="Q50" s="110"/>
      <c r="R50" s="110"/>
      <c r="S50" s="110"/>
      <c r="T50" s="435"/>
      <c r="U50" s="110"/>
      <c r="V50" s="110"/>
      <c r="W50" s="110"/>
      <c r="X50" s="110"/>
      <c r="Y50" s="435"/>
      <c r="Z50" s="110"/>
      <c r="AA50" s="110"/>
      <c r="AB50" s="110"/>
      <c r="AC50" s="110"/>
      <c r="AD50" s="435"/>
      <c r="AE50" s="110"/>
      <c r="AF50" s="110"/>
      <c r="AG50" s="110"/>
      <c r="AH50" s="110"/>
      <c r="AI50" s="435"/>
      <c r="AJ50" s="110"/>
      <c r="AK50" s="110"/>
      <c r="AL50" s="110"/>
      <c r="AM50" s="110"/>
      <c r="AN50" s="435"/>
      <c r="AO50" s="110"/>
      <c r="AP50" s="110"/>
      <c r="AQ50" s="110"/>
      <c r="AR50" s="110"/>
      <c r="AS50" s="435"/>
      <c r="AT50" s="110"/>
      <c r="AU50" s="110"/>
      <c r="AV50" s="110"/>
      <c r="AW50" s="110"/>
      <c r="AX50" s="435"/>
    </row>
    <row r="51" spans="2:50">
      <c r="B51" s="435"/>
      <c r="C51" s="110">
        <v>5</v>
      </c>
      <c r="D51" s="110"/>
      <c r="E51" s="110"/>
      <c r="F51" s="110"/>
      <c r="G51" s="110"/>
      <c r="H51" s="457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447"/>
      <c r="M51" s="184" t="e">
        <f>RANK(K51, K$47:$K$61)</f>
        <v>#DIV/0!</v>
      </c>
      <c r="N51" s="444"/>
      <c r="O51" s="444"/>
      <c r="P51" s="110"/>
      <c r="Q51" s="110"/>
      <c r="R51" s="110"/>
      <c r="S51" s="110"/>
      <c r="T51" s="435"/>
      <c r="U51" s="110"/>
      <c r="V51" s="110"/>
      <c r="W51" s="110"/>
      <c r="X51" s="110"/>
      <c r="Y51" s="435"/>
      <c r="Z51" s="110"/>
      <c r="AA51" s="110"/>
      <c r="AB51" s="110"/>
      <c r="AC51" s="110"/>
      <c r="AD51" s="435"/>
      <c r="AE51" s="110"/>
      <c r="AF51" s="110"/>
      <c r="AG51" s="110"/>
      <c r="AH51" s="110"/>
      <c r="AI51" s="435"/>
      <c r="AJ51" s="110"/>
      <c r="AK51" s="110"/>
      <c r="AL51" s="110"/>
      <c r="AM51" s="110"/>
      <c r="AN51" s="435"/>
      <c r="AO51" s="110"/>
      <c r="AP51" s="110"/>
      <c r="AQ51" s="110"/>
      <c r="AR51" s="110"/>
      <c r="AS51" s="435"/>
      <c r="AT51" s="110"/>
      <c r="AU51" s="110"/>
      <c r="AV51" s="110"/>
      <c r="AW51" s="110"/>
      <c r="AX51" s="435"/>
    </row>
    <row r="52" spans="2:50">
      <c r="B52" s="435"/>
      <c r="C52" s="110">
        <v>6</v>
      </c>
      <c r="D52" s="110"/>
      <c r="E52" s="110"/>
      <c r="F52" s="110"/>
      <c r="G52" s="110"/>
      <c r="H52" s="457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447"/>
      <c r="M52" s="184" t="e">
        <f>RANK(K52, K$47:$K$61)</f>
        <v>#DIV/0!</v>
      </c>
      <c r="N52" s="444"/>
      <c r="O52" s="444"/>
      <c r="P52" s="110"/>
      <c r="Q52" s="110"/>
      <c r="R52" s="110"/>
      <c r="S52" s="110"/>
      <c r="T52" s="435"/>
      <c r="U52" s="110"/>
      <c r="V52" s="110"/>
      <c r="W52" s="110"/>
      <c r="X52" s="110"/>
      <c r="Y52" s="435"/>
      <c r="Z52" s="110"/>
      <c r="AA52" s="110"/>
      <c r="AB52" s="110"/>
      <c r="AC52" s="110"/>
      <c r="AD52" s="435"/>
      <c r="AE52" s="110"/>
      <c r="AF52" s="110"/>
      <c r="AG52" s="110"/>
      <c r="AH52" s="110"/>
      <c r="AI52" s="435"/>
      <c r="AJ52" s="110"/>
      <c r="AK52" s="110"/>
      <c r="AL52" s="110"/>
      <c r="AM52" s="110"/>
      <c r="AN52" s="435"/>
      <c r="AO52" s="110"/>
      <c r="AP52" s="110"/>
      <c r="AQ52" s="110"/>
      <c r="AR52" s="110"/>
      <c r="AS52" s="435"/>
      <c r="AT52" s="110"/>
      <c r="AU52" s="110"/>
      <c r="AV52" s="110"/>
      <c r="AW52" s="110"/>
      <c r="AX52" s="435"/>
    </row>
    <row r="53" spans="2:50">
      <c r="B53" s="435"/>
      <c r="C53" s="110">
        <v>7</v>
      </c>
      <c r="D53" s="110"/>
      <c r="E53" s="110"/>
      <c r="F53" s="110"/>
      <c r="G53" s="110"/>
      <c r="H53" s="457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447"/>
      <c r="M53" s="184" t="e">
        <f>RANK(K53, K$47:$K$61)</f>
        <v>#DIV/0!</v>
      </c>
      <c r="N53" s="444"/>
      <c r="O53" s="444"/>
      <c r="P53" s="110"/>
      <c r="Q53" s="110"/>
      <c r="R53" s="110"/>
      <c r="S53" s="110"/>
      <c r="T53" s="435"/>
      <c r="U53" s="110"/>
      <c r="V53" s="110"/>
      <c r="W53" s="110"/>
      <c r="X53" s="110"/>
      <c r="Y53" s="435"/>
      <c r="Z53" s="110"/>
      <c r="AA53" s="110"/>
      <c r="AB53" s="110"/>
      <c r="AC53" s="110"/>
      <c r="AD53" s="435"/>
      <c r="AE53" s="110"/>
      <c r="AF53" s="110"/>
      <c r="AG53" s="110"/>
      <c r="AH53" s="110"/>
      <c r="AI53" s="435"/>
      <c r="AJ53" s="110"/>
      <c r="AK53" s="110"/>
      <c r="AL53" s="110"/>
      <c r="AM53" s="110"/>
      <c r="AN53" s="435"/>
      <c r="AO53" s="110"/>
      <c r="AP53" s="110"/>
      <c r="AQ53" s="110"/>
      <c r="AR53" s="110"/>
      <c r="AS53" s="435"/>
      <c r="AT53" s="110"/>
      <c r="AU53" s="110"/>
      <c r="AV53" s="110"/>
      <c r="AW53" s="110"/>
      <c r="AX53" s="435"/>
    </row>
    <row r="54" spans="2:50">
      <c r="B54" s="435"/>
      <c r="C54" s="110">
        <v>8</v>
      </c>
      <c r="D54" s="110"/>
      <c r="E54" s="110"/>
      <c r="F54" s="110"/>
      <c r="G54" s="110"/>
      <c r="H54" s="457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447"/>
      <c r="M54" s="184" t="e">
        <f>RANK(K54, K$47:$K$61)</f>
        <v>#DIV/0!</v>
      </c>
      <c r="N54" s="444"/>
      <c r="O54" s="444"/>
      <c r="P54" s="110"/>
      <c r="Q54" s="110"/>
      <c r="R54" s="110"/>
      <c r="S54" s="110"/>
      <c r="T54" s="435"/>
      <c r="U54" s="110"/>
      <c r="V54" s="110"/>
      <c r="W54" s="110"/>
      <c r="X54" s="110"/>
      <c r="Y54" s="435"/>
      <c r="Z54" s="110"/>
      <c r="AA54" s="110"/>
      <c r="AB54" s="110"/>
      <c r="AC54" s="110"/>
      <c r="AD54" s="435"/>
      <c r="AE54" s="110"/>
      <c r="AF54" s="110"/>
      <c r="AG54" s="110"/>
      <c r="AH54" s="110"/>
      <c r="AI54" s="435"/>
      <c r="AJ54" s="110"/>
      <c r="AK54" s="110"/>
      <c r="AL54" s="110"/>
      <c r="AM54" s="110"/>
      <c r="AN54" s="435"/>
      <c r="AO54" s="110"/>
      <c r="AP54" s="110"/>
      <c r="AQ54" s="110"/>
      <c r="AR54" s="110"/>
      <c r="AS54" s="435"/>
      <c r="AT54" s="110"/>
      <c r="AU54" s="110"/>
      <c r="AV54" s="110"/>
      <c r="AW54" s="110"/>
      <c r="AX54" s="435"/>
    </row>
    <row r="55" spans="2:50">
      <c r="B55" s="435"/>
      <c r="C55" s="110">
        <v>9</v>
      </c>
      <c r="D55" s="110"/>
      <c r="E55" s="110"/>
      <c r="F55" s="110"/>
      <c r="G55" s="110"/>
      <c r="H55" s="457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447"/>
      <c r="M55" s="184" t="e">
        <f>RANK(K55, K$47:$K$61)</f>
        <v>#DIV/0!</v>
      </c>
      <c r="N55" s="444"/>
      <c r="O55" s="444"/>
      <c r="P55" s="110"/>
      <c r="Q55" s="110"/>
      <c r="R55" s="110"/>
      <c r="S55" s="110"/>
      <c r="T55" s="435"/>
      <c r="U55" s="110"/>
      <c r="V55" s="110"/>
      <c r="W55" s="110"/>
      <c r="X55" s="110"/>
      <c r="Y55" s="435"/>
      <c r="Z55" s="110"/>
      <c r="AA55" s="110"/>
      <c r="AB55" s="110"/>
      <c r="AC55" s="110"/>
      <c r="AD55" s="435"/>
      <c r="AE55" s="110"/>
      <c r="AF55" s="110"/>
      <c r="AG55" s="110"/>
      <c r="AH55" s="110"/>
      <c r="AI55" s="435"/>
      <c r="AJ55" s="110"/>
      <c r="AK55" s="110"/>
      <c r="AL55" s="110"/>
      <c r="AM55" s="110"/>
      <c r="AN55" s="435"/>
      <c r="AO55" s="110"/>
      <c r="AP55" s="110"/>
      <c r="AQ55" s="110"/>
      <c r="AR55" s="110"/>
      <c r="AS55" s="435"/>
      <c r="AT55" s="110"/>
      <c r="AU55" s="110"/>
      <c r="AV55" s="110"/>
      <c r="AW55" s="110"/>
      <c r="AX55" s="435"/>
    </row>
    <row r="56" spans="2:50">
      <c r="B56" s="435"/>
      <c r="C56" s="110">
        <v>10</v>
      </c>
      <c r="D56" s="110"/>
      <c r="E56" s="110"/>
      <c r="F56" s="110"/>
      <c r="G56" s="110"/>
      <c r="H56" s="457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447"/>
      <c r="M56" s="184" t="e">
        <f>RANK(K56, K$47:$K$61)</f>
        <v>#DIV/0!</v>
      </c>
      <c r="N56" s="444"/>
      <c r="O56" s="444"/>
      <c r="P56" s="110"/>
      <c r="Q56" s="110"/>
      <c r="R56" s="110"/>
      <c r="S56" s="110"/>
      <c r="T56" s="435"/>
      <c r="U56" s="110"/>
      <c r="V56" s="110"/>
      <c r="W56" s="110"/>
      <c r="X56" s="110"/>
      <c r="Y56" s="435"/>
      <c r="Z56" s="110"/>
      <c r="AA56" s="110"/>
      <c r="AB56" s="110"/>
      <c r="AC56" s="110"/>
      <c r="AD56" s="435"/>
      <c r="AE56" s="110"/>
      <c r="AF56" s="110"/>
      <c r="AG56" s="110"/>
      <c r="AH56" s="110"/>
      <c r="AI56" s="435"/>
      <c r="AJ56" s="110"/>
      <c r="AK56" s="110"/>
      <c r="AL56" s="110"/>
      <c r="AM56" s="110"/>
      <c r="AN56" s="435"/>
      <c r="AO56" s="110"/>
      <c r="AP56" s="110"/>
      <c r="AQ56" s="110"/>
      <c r="AR56" s="110"/>
      <c r="AS56" s="435"/>
      <c r="AT56" s="110"/>
      <c r="AU56" s="110"/>
      <c r="AV56" s="110"/>
      <c r="AW56" s="110"/>
      <c r="AX56" s="435"/>
    </row>
    <row r="57" spans="2:50">
      <c r="B57" s="435"/>
      <c r="C57" s="110">
        <v>11</v>
      </c>
      <c r="D57" s="110"/>
      <c r="E57" s="110"/>
      <c r="F57" s="110"/>
      <c r="G57" s="110"/>
      <c r="H57" s="457"/>
      <c r="I57" s="110"/>
      <c r="J57" s="110"/>
      <c r="K57" s="110"/>
      <c r="L57" s="447"/>
      <c r="M57" s="184" t="e">
        <f>RANK(K57, K$47:$K$61)</f>
        <v>#DIV/0!</v>
      </c>
      <c r="N57" s="444"/>
      <c r="O57" s="444"/>
      <c r="P57" s="110"/>
      <c r="Q57" s="110"/>
      <c r="R57" s="110"/>
      <c r="S57" s="110"/>
      <c r="T57" s="435"/>
      <c r="U57" s="110"/>
      <c r="V57" s="110"/>
      <c r="W57" s="110"/>
      <c r="X57" s="110"/>
      <c r="Y57" s="435"/>
      <c r="Z57" s="110"/>
      <c r="AA57" s="110"/>
      <c r="AB57" s="110"/>
      <c r="AC57" s="110"/>
      <c r="AD57" s="435"/>
      <c r="AE57" s="110"/>
      <c r="AF57" s="110"/>
      <c r="AG57" s="110"/>
      <c r="AH57" s="110"/>
      <c r="AI57" s="435"/>
      <c r="AJ57" s="110"/>
      <c r="AK57" s="110"/>
      <c r="AL57" s="110"/>
      <c r="AM57" s="110"/>
      <c r="AN57" s="435"/>
      <c r="AO57" s="110"/>
      <c r="AP57" s="110"/>
      <c r="AQ57" s="110"/>
      <c r="AR57" s="110"/>
      <c r="AS57" s="435"/>
      <c r="AT57" s="110"/>
      <c r="AU57" s="110"/>
      <c r="AV57" s="110"/>
      <c r="AW57" s="110"/>
      <c r="AX57" s="435"/>
    </row>
    <row r="58" spans="2:50">
      <c r="B58" s="435"/>
      <c r="C58" s="110">
        <v>12</v>
      </c>
      <c r="D58" s="110"/>
      <c r="E58" s="110"/>
      <c r="F58" s="110"/>
      <c r="G58" s="110"/>
      <c r="H58" s="457"/>
      <c r="I58" s="110"/>
      <c r="J58" s="110"/>
      <c r="K58" s="110"/>
      <c r="L58" s="447"/>
      <c r="M58" s="184" t="e">
        <f>RANK(K58, K$47:$K$61)</f>
        <v>#DIV/0!</v>
      </c>
      <c r="N58" s="444"/>
      <c r="O58" s="444"/>
      <c r="P58" s="110"/>
      <c r="Q58" s="110"/>
      <c r="R58" s="110"/>
      <c r="S58" s="110"/>
      <c r="T58" s="435"/>
      <c r="U58" s="110"/>
      <c r="V58" s="110"/>
      <c r="W58" s="110"/>
      <c r="X58" s="110"/>
      <c r="Y58" s="435"/>
      <c r="Z58" s="110"/>
      <c r="AA58" s="110"/>
      <c r="AB58" s="110"/>
      <c r="AC58" s="110"/>
      <c r="AD58" s="435"/>
      <c r="AE58" s="110"/>
      <c r="AF58" s="110"/>
      <c r="AG58" s="110"/>
      <c r="AH58" s="110"/>
      <c r="AI58" s="435"/>
      <c r="AJ58" s="110"/>
      <c r="AK58" s="110"/>
      <c r="AL58" s="110"/>
      <c r="AM58" s="110"/>
      <c r="AN58" s="435"/>
      <c r="AO58" s="110"/>
      <c r="AP58" s="110"/>
      <c r="AQ58" s="110"/>
      <c r="AR58" s="110"/>
      <c r="AS58" s="435"/>
      <c r="AT58" s="110"/>
      <c r="AU58" s="110"/>
      <c r="AV58" s="110"/>
      <c r="AW58" s="110"/>
      <c r="AX58" s="435"/>
    </row>
    <row r="59" spans="2:50">
      <c r="B59" s="435"/>
      <c r="C59" s="110">
        <v>13</v>
      </c>
      <c r="D59" s="110"/>
      <c r="E59" s="110"/>
      <c r="F59" s="110"/>
      <c r="G59" s="110"/>
      <c r="H59" s="457"/>
      <c r="I59" s="110"/>
      <c r="J59" s="110"/>
      <c r="K59" s="110"/>
      <c r="L59" s="447"/>
      <c r="M59" s="184" t="e">
        <f>RANK(K59, K$47:$K$61)</f>
        <v>#DIV/0!</v>
      </c>
      <c r="N59" s="444"/>
      <c r="O59" s="444"/>
      <c r="P59" s="110"/>
      <c r="Q59" s="110"/>
      <c r="R59" s="110"/>
      <c r="S59" s="110"/>
      <c r="T59" s="435"/>
      <c r="U59" s="110"/>
      <c r="V59" s="110"/>
      <c r="W59" s="110"/>
      <c r="X59" s="110"/>
      <c r="Y59" s="435"/>
      <c r="Z59" s="110"/>
      <c r="AA59" s="110"/>
      <c r="AB59" s="110"/>
      <c r="AC59" s="110"/>
      <c r="AD59" s="435"/>
      <c r="AE59" s="110"/>
      <c r="AF59" s="110"/>
      <c r="AG59" s="110"/>
      <c r="AH59" s="110"/>
      <c r="AI59" s="435"/>
      <c r="AJ59" s="110"/>
      <c r="AK59" s="110"/>
      <c r="AL59" s="110"/>
      <c r="AM59" s="110"/>
      <c r="AN59" s="435"/>
      <c r="AO59" s="110"/>
      <c r="AP59" s="110"/>
      <c r="AQ59" s="110"/>
      <c r="AR59" s="110"/>
      <c r="AS59" s="435"/>
      <c r="AT59" s="110"/>
      <c r="AU59" s="110"/>
      <c r="AV59" s="110"/>
      <c r="AW59" s="110"/>
      <c r="AX59" s="435"/>
    </row>
    <row r="60" spans="2:50">
      <c r="B60" s="435"/>
      <c r="C60" s="110">
        <v>14</v>
      </c>
      <c r="D60" s="110"/>
      <c r="E60" s="110"/>
      <c r="F60" s="110"/>
      <c r="G60" s="110"/>
      <c r="H60" s="457"/>
      <c r="I60" s="110"/>
      <c r="J60" s="110"/>
      <c r="K60" s="110"/>
      <c r="L60" s="447"/>
      <c r="M60" s="184" t="e">
        <f>RANK(K60, K$47:$K$61)</f>
        <v>#DIV/0!</v>
      </c>
      <c r="N60" s="444"/>
      <c r="O60" s="444"/>
      <c r="P60" s="110"/>
      <c r="Q60" s="110"/>
      <c r="R60" s="110"/>
      <c r="S60" s="110"/>
      <c r="T60" s="435"/>
      <c r="U60" s="110"/>
      <c r="V60" s="110"/>
      <c r="W60" s="110"/>
      <c r="X60" s="110"/>
      <c r="Y60" s="435"/>
      <c r="Z60" s="110"/>
      <c r="AA60" s="110"/>
      <c r="AB60" s="110"/>
      <c r="AC60" s="110"/>
      <c r="AD60" s="435"/>
      <c r="AE60" s="110"/>
      <c r="AF60" s="110"/>
      <c r="AG60" s="110"/>
      <c r="AH60" s="110"/>
      <c r="AI60" s="435"/>
      <c r="AJ60" s="110"/>
      <c r="AK60" s="110"/>
      <c r="AL60" s="110"/>
      <c r="AM60" s="110"/>
      <c r="AN60" s="435"/>
      <c r="AO60" s="110"/>
      <c r="AP60" s="110"/>
      <c r="AQ60" s="110"/>
      <c r="AR60" s="110"/>
      <c r="AS60" s="435"/>
      <c r="AT60" s="110"/>
      <c r="AU60" s="110"/>
      <c r="AV60" s="110"/>
      <c r="AW60" s="110"/>
      <c r="AX60" s="435"/>
    </row>
    <row r="61" spans="2:50">
      <c r="B61" s="435"/>
      <c r="C61" s="110">
        <v>15</v>
      </c>
      <c r="D61" s="110"/>
      <c r="E61" s="110"/>
      <c r="F61" s="110"/>
      <c r="G61" s="110"/>
      <c r="H61" s="458"/>
      <c r="I61" s="110"/>
      <c r="J61" s="110"/>
      <c r="K61" s="110"/>
      <c r="L61" s="448"/>
      <c r="M61" s="184" t="e">
        <f>RANK(K61, K$47:$K$61)</f>
        <v>#DIV/0!</v>
      </c>
      <c r="N61" s="444"/>
      <c r="O61" s="444"/>
      <c r="P61" s="110"/>
      <c r="Q61" s="110"/>
      <c r="R61" s="110"/>
      <c r="S61" s="110"/>
      <c r="T61" s="435"/>
      <c r="U61" s="110"/>
      <c r="V61" s="110"/>
      <c r="W61" s="110"/>
      <c r="X61" s="110"/>
      <c r="Y61" s="435"/>
      <c r="Z61" s="110"/>
      <c r="AA61" s="110"/>
      <c r="AB61" s="110"/>
      <c r="AC61" s="110"/>
      <c r="AD61" s="435"/>
      <c r="AE61" s="110"/>
      <c r="AF61" s="110"/>
      <c r="AG61" s="110"/>
      <c r="AH61" s="110"/>
      <c r="AI61" s="435"/>
      <c r="AJ61" s="110"/>
      <c r="AK61" s="110"/>
      <c r="AL61" s="110"/>
      <c r="AM61" s="110"/>
      <c r="AN61" s="435"/>
      <c r="AO61" s="110"/>
      <c r="AP61" s="110"/>
      <c r="AQ61" s="110"/>
      <c r="AR61" s="110"/>
      <c r="AS61" s="435"/>
      <c r="AT61" s="110"/>
      <c r="AU61" s="110"/>
      <c r="AV61" s="110"/>
      <c r="AW61" s="110"/>
      <c r="AX61" s="435"/>
    </row>
    <row r="62" spans="2:50" ht="15.75">
      <c r="B62" s="436" t="s">
        <v>93</v>
      </c>
      <c r="C62" s="437"/>
      <c r="D62" s="437"/>
      <c r="E62" s="437"/>
      <c r="F62" s="437"/>
      <c r="G62" s="437"/>
      <c r="H62" s="437"/>
      <c r="I62" s="201"/>
      <c r="J62" s="201"/>
      <c r="K62" s="201"/>
      <c r="L62" s="201"/>
      <c r="M62" s="200"/>
      <c r="N62" s="439" t="s">
        <v>94</v>
      </c>
      <c r="O62" s="439" t="s">
        <v>45</v>
      </c>
      <c r="P62" s="434">
        <v>45888</v>
      </c>
      <c r="Q62" s="435"/>
      <c r="R62" s="435"/>
      <c r="S62" s="435"/>
      <c r="T62" s="435"/>
      <c r="U62" s="434">
        <v>45889</v>
      </c>
      <c r="V62" s="435"/>
      <c r="W62" s="435"/>
      <c r="X62" s="435"/>
      <c r="Y62" s="435"/>
      <c r="Z62" s="434">
        <v>45890</v>
      </c>
      <c r="AA62" s="435"/>
      <c r="AB62" s="435"/>
      <c r="AC62" s="435"/>
      <c r="AD62" s="435"/>
      <c r="AE62" s="434">
        <v>45891</v>
      </c>
      <c r="AF62" s="435"/>
      <c r="AG62" s="435"/>
      <c r="AH62" s="435"/>
      <c r="AI62" s="435"/>
      <c r="AJ62" s="434">
        <v>45892</v>
      </c>
      <c r="AK62" s="435"/>
      <c r="AL62" s="435"/>
      <c r="AM62" s="435"/>
      <c r="AN62" s="435"/>
      <c r="AO62" s="434">
        <v>45893</v>
      </c>
      <c r="AP62" s="435"/>
      <c r="AQ62" s="435"/>
      <c r="AR62" s="435"/>
      <c r="AS62" s="435"/>
      <c r="AT62" s="434">
        <v>45894</v>
      </c>
      <c r="AU62" s="435"/>
      <c r="AV62" s="435"/>
      <c r="AW62" s="435"/>
      <c r="AX62" s="435"/>
    </row>
    <row r="63" spans="2:50" ht="15.75">
      <c r="B63" s="438"/>
      <c r="C63" s="438"/>
      <c r="D63" s="438"/>
      <c r="E63" s="438"/>
      <c r="F63" s="438"/>
      <c r="G63" s="438"/>
      <c r="H63" s="438"/>
      <c r="I63" s="180"/>
      <c r="J63" s="180"/>
      <c r="K63" s="180"/>
      <c r="L63" s="180"/>
      <c r="M63" s="181"/>
      <c r="N63" s="440"/>
      <c r="O63" s="440"/>
      <c r="P63" s="434" t="s">
        <v>77</v>
      </c>
      <c r="Q63" s="435"/>
      <c r="R63" s="435"/>
      <c r="S63" s="435"/>
      <c r="T63" s="435"/>
      <c r="U63" s="434" t="s">
        <v>72</v>
      </c>
      <c r="V63" s="435"/>
      <c r="W63" s="435"/>
      <c r="X63" s="435"/>
      <c r="Y63" s="435"/>
      <c r="Z63" s="434" t="s">
        <v>73</v>
      </c>
      <c r="AA63" s="435"/>
      <c r="AB63" s="435"/>
      <c r="AC63" s="435"/>
      <c r="AD63" s="435"/>
      <c r="AE63" s="434" t="s">
        <v>74</v>
      </c>
      <c r="AF63" s="435"/>
      <c r="AG63" s="435"/>
      <c r="AH63" s="435"/>
      <c r="AI63" s="435"/>
      <c r="AJ63" s="434" t="s">
        <v>75</v>
      </c>
      <c r="AK63" s="435"/>
      <c r="AL63" s="435"/>
      <c r="AM63" s="435"/>
      <c r="AN63" s="435"/>
      <c r="AO63" s="434" t="s">
        <v>52</v>
      </c>
      <c r="AP63" s="435"/>
      <c r="AQ63" s="435"/>
      <c r="AR63" s="435"/>
      <c r="AS63" s="435"/>
      <c r="AT63" s="434" t="s">
        <v>76</v>
      </c>
      <c r="AU63" s="435"/>
      <c r="AV63" s="435"/>
      <c r="AW63" s="435"/>
      <c r="AX63" s="435"/>
    </row>
    <row r="64" spans="2:50">
      <c r="B64" s="444" t="s">
        <v>95</v>
      </c>
      <c r="C64" s="444" t="s">
        <v>96</v>
      </c>
      <c r="D64" s="444"/>
      <c r="E64" s="444" t="s">
        <v>97</v>
      </c>
      <c r="F64" s="444"/>
      <c r="G64" s="444"/>
      <c r="H64" s="450" t="s">
        <v>98</v>
      </c>
      <c r="I64" s="444" t="s">
        <v>99</v>
      </c>
      <c r="J64" s="444"/>
      <c r="K64" s="444"/>
      <c r="L64" s="450" t="s">
        <v>98</v>
      </c>
      <c r="M64" s="439" t="s">
        <v>100</v>
      </c>
      <c r="N64" s="444"/>
      <c r="O64" s="444" t="s">
        <v>101</v>
      </c>
      <c r="P64" s="441" t="s">
        <v>102</v>
      </c>
      <c r="Q64" s="442"/>
      <c r="R64" s="442"/>
      <c r="S64" s="443"/>
      <c r="T64" s="444" t="s">
        <v>98</v>
      </c>
      <c r="U64" s="441" t="s">
        <v>102</v>
      </c>
      <c r="V64" s="442"/>
      <c r="W64" s="442"/>
      <c r="X64" s="443"/>
      <c r="Y64" s="444" t="s">
        <v>98</v>
      </c>
      <c r="Z64" s="441" t="s">
        <v>102</v>
      </c>
      <c r="AA64" s="442"/>
      <c r="AB64" s="442"/>
      <c r="AC64" s="443"/>
      <c r="AD64" s="444" t="s">
        <v>98</v>
      </c>
      <c r="AE64" s="441" t="s">
        <v>102</v>
      </c>
      <c r="AF64" s="442"/>
      <c r="AG64" s="442"/>
      <c r="AH64" s="443"/>
      <c r="AI64" s="444" t="s">
        <v>98</v>
      </c>
      <c r="AJ64" s="441" t="s">
        <v>102</v>
      </c>
      <c r="AK64" s="442"/>
      <c r="AL64" s="442"/>
      <c r="AM64" s="443"/>
      <c r="AN64" s="444" t="s">
        <v>98</v>
      </c>
      <c r="AO64" s="441" t="s">
        <v>102</v>
      </c>
      <c r="AP64" s="442"/>
      <c r="AQ64" s="442"/>
      <c r="AR64" s="443"/>
      <c r="AS64" s="444" t="s">
        <v>98</v>
      </c>
      <c r="AT64" s="441" t="s">
        <v>102</v>
      </c>
      <c r="AU64" s="442"/>
      <c r="AV64" s="442"/>
      <c r="AW64" s="443"/>
      <c r="AX64" s="444" t="s">
        <v>98</v>
      </c>
    </row>
    <row r="65" spans="2:50">
      <c r="B65" s="444"/>
      <c r="C65" s="444"/>
      <c r="D65" s="444"/>
      <c r="E65" s="444" t="s">
        <v>103</v>
      </c>
      <c r="F65" s="444"/>
      <c r="G65" s="444"/>
      <c r="H65" s="451"/>
      <c r="I65" s="444" t="s">
        <v>103</v>
      </c>
      <c r="J65" s="444"/>
      <c r="K65" s="444"/>
      <c r="L65" s="451"/>
      <c r="M65" s="453"/>
      <c r="N65" s="444"/>
      <c r="O65" s="444"/>
      <c r="P65" s="441" t="s">
        <v>104</v>
      </c>
      <c r="Q65" s="442"/>
      <c r="R65" s="442"/>
      <c r="S65" s="443"/>
      <c r="T65" s="444"/>
      <c r="U65" s="441" t="s">
        <v>104</v>
      </c>
      <c r="V65" s="442"/>
      <c r="W65" s="442"/>
      <c r="X65" s="443"/>
      <c r="Y65" s="444"/>
      <c r="Z65" s="441" t="s">
        <v>104</v>
      </c>
      <c r="AA65" s="442"/>
      <c r="AB65" s="442"/>
      <c r="AC65" s="443"/>
      <c r="AD65" s="444"/>
      <c r="AE65" s="441" t="s">
        <v>104</v>
      </c>
      <c r="AF65" s="442"/>
      <c r="AG65" s="442"/>
      <c r="AH65" s="443"/>
      <c r="AI65" s="444"/>
      <c r="AJ65" s="441" t="s">
        <v>104</v>
      </c>
      <c r="AK65" s="442"/>
      <c r="AL65" s="442"/>
      <c r="AM65" s="443"/>
      <c r="AN65" s="444"/>
      <c r="AO65" s="441" t="s">
        <v>104</v>
      </c>
      <c r="AP65" s="442"/>
      <c r="AQ65" s="442"/>
      <c r="AR65" s="443"/>
      <c r="AS65" s="444"/>
      <c r="AT65" s="441" t="s">
        <v>104</v>
      </c>
      <c r="AU65" s="442"/>
      <c r="AV65" s="442"/>
      <c r="AW65" s="443"/>
      <c r="AX65" s="444"/>
    </row>
    <row r="66" spans="2:50">
      <c r="B66" s="444"/>
      <c r="C66" s="444"/>
      <c r="D66" s="444"/>
      <c r="E66" s="109" t="s">
        <v>105</v>
      </c>
      <c r="F66" s="109" t="s">
        <v>106</v>
      </c>
      <c r="G66" s="109" t="s">
        <v>107</v>
      </c>
      <c r="H66" s="452"/>
      <c r="I66" s="109" t="s">
        <v>105</v>
      </c>
      <c r="J66" s="109" t="s">
        <v>106</v>
      </c>
      <c r="K66" s="109" t="s">
        <v>107</v>
      </c>
      <c r="L66" s="452"/>
      <c r="M66" s="440"/>
      <c r="N66" s="444"/>
      <c r="O66" s="444"/>
      <c r="P66" s="109" t="s">
        <v>105</v>
      </c>
      <c r="Q66" s="109" t="s">
        <v>106</v>
      </c>
      <c r="R66" s="109" t="s">
        <v>107</v>
      </c>
      <c r="S66" s="109" t="s">
        <v>100</v>
      </c>
      <c r="T66" s="444"/>
      <c r="U66" s="109" t="s">
        <v>105</v>
      </c>
      <c r="V66" s="109" t="s">
        <v>106</v>
      </c>
      <c r="W66" s="109" t="s">
        <v>107</v>
      </c>
      <c r="X66" s="109" t="s">
        <v>100</v>
      </c>
      <c r="Y66" s="444"/>
      <c r="Z66" s="109" t="s">
        <v>105</v>
      </c>
      <c r="AA66" s="109" t="s">
        <v>106</v>
      </c>
      <c r="AB66" s="109" t="s">
        <v>107</v>
      </c>
      <c r="AC66" s="109" t="s">
        <v>100</v>
      </c>
      <c r="AD66" s="444"/>
      <c r="AE66" s="109" t="s">
        <v>105</v>
      </c>
      <c r="AF66" s="109" t="s">
        <v>106</v>
      </c>
      <c r="AG66" s="109" t="s">
        <v>107</v>
      </c>
      <c r="AH66" s="109" t="s">
        <v>100</v>
      </c>
      <c r="AI66" s="444"/>
      <c r="AJ66" s="109" t="s">
        <v>105</v>
      </c>
      <c r="AK66" s="109" t="s">
        <v>106</v>
      </c>
      <c r="AL66" s="109" t="s">
        <v>107</v>
      </c>
      <c r="AM66" s="109" t="s">
        <v>100</v>
      </c>
      <c r="AN66" s="444"/>
      <c r="AO66" s="109" t="s">
        <v>105</v>
      </c>
      <c r="AP66" s="109" t="s">
        <v>106</v>
      </c>
      <c r="AQ66" s="109" t="s">
        <v>107</v>
      </c>
      <c r="AR66" s="109" t="s">
        <v>100</v>
      </c>
      <c r="AS66" s="444"/>
      <c r="AT66" s="109" t="s">
        <v>105</v>
      </c>
      <c r="AU66" s="109" t="s">
        <v>106</v>
      </c>
      <c r="AV66" s="109" t="s">
        <v>107</v>
      </c>
      <c r="AW66" s="109" t="s">
        <v>100</v>
      </c>
      <c r="AX66" s="444"/>
    </row>
    <row r="67" spans="2:50" ht="13.5">
      <c r="B67" s="444" t="s">
        <v>129</v>
      </c>
      <c r="C67" s="110">
        <v>1</v>
      </c>
      <c r="D67" s="256"/>
      <c r="E67" s="184"/>
      <c r="F67" s="184"/>
      <c r="G67" s="182"/>
      <c r="H67" s="446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446" t="e">
        <f>AVERAGE(K67:K81)</f>
        <v>#DIV/0!</v>
      </c>
      <c r="M67" s="184" t="e">
        <f>RANK(K67, K$67:$K$81)</f>
        <v>#DIV/0!</v>
      </c>
      <c r="N67" s="444"/>
      <c r="O67" s="444"/>
      <c r="P67" s="110"/>
      <c r="Q67" s="110"/>
      <c r="R67" s="182"/>
      <c r="S67" s="110"/>
      <c r="T67" s="446" t="e">
        <f>AVERAGE(R67:R81)</f>
        <v>#DIV/0!</v>
      </c>
      <c r="U67" s="110"/>
      <c r="V67" s="110"/>
      <c r="W67" s="110"/>
      <c r="X67" s="110"/>
      <c r="Y67" s="435" t="e">
        <f>AVERAGE(W67:W81)</f>
        <v>#DIV/0!</v>
      </c>
      <c r="Z67" s="110"/>
      <c r="AA67" s="110"/>
      <c r="AB67" s="110"/>
      <c r="AC67" s="110"/>
      <c r="AD67" s="435" t="e">
        <f>AVERAGE(AB67:AB81)</f>
        <v>#DIV/0!</v>
      </c>
      <c r="AE67" s="110"/>
      <c r="AF67" s="110"/>
      <c r="AG67" s="110"/>
      <c r="AH67" s="110"/>
      <c r="AI67" s="435" t="e">
        <f>AVERAGE(AG67:AG81)</f>
        <v>#DIV/0!</v>
      </c>
      <c r="AJ67" s="110"/>
      <c r="AK67" s="110"/>
      <c r="AL67" s="110"/>
      <c r="AM67" s="110"/>
      <c r="AN67" s="435" t="e">
        <f>AVERAGE(AL67:AL81)</f>
        <v>#DIV/0!</v>
      </c>
      <c r="AO67" s="110"/>
      <c r="AP67" s="110"/>
      <c r="AQ67" s="110"/>
      <c r="AR67" s="110"/>
      <c r="AS67" s="435" t="e">
        <f>AVERAGE(AQ67:AQ81)</f>
        <v>#DIV/0!</v>
      </c>
      <c r="AT67" s="110"/>
      <c r="AU67" s="110"/>
      <c r="AV67" s="110"/>
      <c r="AW67" s="110"/>
      <c r="AX67" s="435" t="e">
        <f>AVERAGE(AV67:AV81)</f>
        <v>#DIV/0!</v>
      </c>
    </row>
    <row r="68" spans="2:50">
      <c r="B68" s="435"/>
      <c r="C68" s="110">
        <v>2</v>
      </c>
      <c r="D68" s="110"/>
      <c r="E68" s="184"/>
      <c r="F68" s="184"/>
      <c r="G68" s="182"/>
      <c r="H68" s="447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447"/>
      <c r="M68" s="184" t="e">
        <f>RANK(K68, K$67:$K$81)</f>
        <v>#DIV/0!</v>
      </c>
      <c r="N68" s="444"/>
      <c r="O68" s="444"/>
      <c r="P68" s="110"/>
      <c r="Q68" s="110"/>
      <c r="R68" s="182"/>
      <c r="S68" s="110"/>
      <c r="T68" s="447"/>
      <c r="U68" s="110"/>
      <c r="V68" s="110"/>
      <c r="W68" s="110"/>
      <c r="X68" s="110"/>
      <c r="Y68" s="435"/>
      <c r="Z68" s="110"/>
      <c r="AA68" s="110"/>
      <c r="AB68" s="110"/>
      <c r="AC68" s="110"/>
      <c r="AD68" s="435"/>
      <c r="AE68" s="110"/>
      <c r="AF68" s="110"/>
      <c r="AG68" s="110"/>
      <c r="AH68" s="110"/>
      <c r="AI68" s="435"/>
      <c r="AJ68" s="110"/>
      <c r="AK68" s="110"/>
      <c r="AL68" s="110"/>
      <c r="AM68" s="110"/>
      <c r="AN68" s="435"/>
      <c r="AO68" s="110"/>
      <c r="AP68" s="110"/>
      <c r="AQ68" s="110"/>
      <c r="AR68" s="110"/>
      <c r="AS68" s="435"/>
      <c r="AT68" s="110"/>
      <c r="AU68" s="110"/>
      <c r="AV68" s="110"/>
      <c r="AW68" s="110"/>
      <c r="AX68" s="435"/>
    </row>
    <row r="69" spans="2:50">
      <c r="B69" s="435"/>
      <c r="C69" s="110">
        <v>3</v>
      </c>
      <c r="D69" s="110"/>
      <c r="E69" s="184"/>
      <c r="F69" s="184"/>
      <c r="G69" s="182"/>
      <c r="H69" s="447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447"/>
      <c r="M69" s="184" t="e">
        <f>RANK(K69, K$67:$K$81)</f>
        <v>#DIV/0!</v>
      </c>
      <c r="N69" s="444"/>
      <c r="O69" s="444"/>
      <c r="P69" s="110"/>
      <c r="Q69" s="110"/>
      <c r="R69" s="182"/>
      <c r="S69" s="110"/>
      <c r="T69" s="447"/>
      <c r="U69" s="110"/>
      <c r="V69" s="110"/>
      <c r="W69" s="110"/>
      <c r="X69" s="110"/>
      <c r="Y69" s="435"/>
      <c r="Z69" s="110"/>
      <c r="AA69" s="110"/>
      <c r="AB69" s="110"/>
      <c r="AC69" s="110"/>
      <c r="AD69" s="435"/>
      <c r="AE69" s="110"/>
      <c r="AF69" s="110"/>
      <c r="AG69" s="110"/>
      <c r="AH69" s="110"/>
      <c r="AI69" s="435"/>
      <c r="AJ69" s="110"/>
      <c r="AK69" s="110"/>
      <c r="AL69" s="110"/>
      <c r="AM69" s="110"/>
      <c r="AN69" s="435"/>
      <c r="AO69" s="110"/>
      <c r="AP69" s="110"/>
      <c r="AQ69" s="110"/>
      <c r="AR69" s="110"/>
      <c r="AS69" s="435"/>
      <c r="AT69" s="110"/>
      <c r="AU69" s="110"/>
      <c r="AV69" s="110"/>
      <c r="AW69" s="110"/>
      <c r="AX69" s="435"/>
    </row>
    <row r="70" spans="2:50">
      <c r="B70" s="435"/>
      <c r="C70" s="110">
        <v>4</v>
      </c>
      <c r="D70" s="110"/>
      <c r="E70" s="184"/>
      <c r="F70" s="184"/>
      <c r="G70" s="182"/>
      <c r="H70" s="447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447"/>
      <c r="M70" s="184" t="e">
        <f>RANK(K70, K$67:$K$81)</f>
        <v>#DIV/0!</v>
      </c>
      <c r="N70" s="444"/>
      <c r="O70" s="444"/>
      <c r="P70" s="110"/>
      <c r="Q70" s="110"/>
      <c r="R70" s="182"/>
      <c r="S70" s="110"/>
      <c r="T70" s="447"/>
      <c r="U70" s="110"/>
      <c r="V70" s="110"/>
      <c r="W70" s="110"/>
      <c r="X70" s="110"/>
      <c r="Y70" s="435"/>
      <c r="Z70" s="110"/>
      <c r="AA70" s="110"/>
      <c r="AB70" s="110"/>
      <c r="AC70" s="110"/>
      <c r="AD70" s="435"/>
      <c r="AE70" s="110"/>
      <c r="AF70" s="110"/>
      <c r="AG70" s="110"/>
      <c r="AH70" s="110"/>
      <c r="AI70" s="435"/>
      <c r="AJ70" s="110"/>
      <c r="AK70" s="110"/>
      <c r="AL70" s="110"/>
      <c r="AM70" s="110"/>
      <c r="AN70" s="435"/>
      <c r="AO70" s="110"/>
      <c r="AP70" s="110"/>
      <c r="AQ70" s="110"/>
      <c r="AR70" s="110"/>
      <c r="AS70" s="435"/>
      <c r="AT70" s="110"/>
      <c r="AU70" s="110"/>
      <c r="AV70" s="110"/>
      <c r="AW70" s="110"/>
      <c r="AX70" s="435"/>
    </row>
    <row r="71" spans="2:50">
      <c r="B71" s="435"/>
      <c r="C71" s="110">
        <v>5</v>
      </c>
      <c r="D71" s="110"/>
      <c r="E71" s="184"/>
      <c r="F71" s="184"/>
      <c r="G71" s="182"/>
      <c r="H71" s="447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447"/>
      <c r="M71" s="184" t="e">
        <f>RANK(K71, K$67:$K$81)</f>
        <v>#DIV/0!</v>
      </c>
      <c r="N71" s="444"/>
      <c r="O71" s="444"/>
      <c r="P71" s="110"/>
      <c r="Q71" s="110"/>
      <c r="R71" s="182"/>
      <c r="S71" s="110"/>
      <c r="T71" s="447"/>
      <c r="U71" s="110"/>
      <c r="V71" s="110"/>
      <c r="W71" s="110"/>
      <c r="X71" s="110"/>
      <c r="Y71" s="435"/>
      <c r="Z71" s="110"/>
      <c r="AA71" s="110"/>
      <c r="AB71" s="110"/>
      <c r="AC71" s="110"/>
      <c r="AD71" s="435"/>
      <c r="AE71" s="110"/>
      <c r="AF71" s="110"/>
      <c r="AG71" s="110"/>
      <c r="AH71" s="110"/>
      <c r="AI71" s="435"/>
      <c r="AJ71" s="110"/>
      <c r="AK71" s="110"/>
      <c r="AL71" s="110"/>
      <c r="AM71" s="110"/>
      <c r="AN71" s="435"/>
      <c r="AO71" s="110"/>
      <c r="AP71" s="110"/>
      <c r="AQ71" s="110"/>
      <c r="AR71" s="110"/>
      <c r="AS71" s="435"/>
      <c r="AT71" s="110"/>
      <c r="AU71" s="110"/>
      <c r="AV71" s="110"/>
      <c r="AW71" s="110"/>
      <c r="AX71" s="435"/>
    </row>
    <row r="72" spans="2:50">
      <c r="B72" s="435"/>
      <c r="C72" s="110">
        <v>6</v>
      </c>
      <c r="D72" s="110"/>
      <c r="E72" s="184"/>
      <c r="F72" s="184"/>
      <c r="G72" s="182"/>
      <c r="H72" s="447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447"/>
      <c r="M72" s="184" t="e">
        <f>RANK(K72, K$67:$K$81)</f>
        <v>#DIV/0!</v>
      </c>
      <c r="N72" s="444"/>
      <c r="O72" s="444"/>
      <c r="P72" s="110"/>
      <c r="Q72" s="110"/>
      <c r="R72" s="182"/>
      <c r="S72" s="110"/>
      <c r="T72" s="447"/>
      <c r="U72" s="110"/>
      <c r="V72" s="110"/>
      <c r="W72" s="110"/>
      <c r="X72" s="110"/>
      <c r="Y72" s="435"/>
      <c r="Z72" s="110"/>
      <c r="AA72" s="110"/>
      <c r="AB72" s="110"/>
      <c r="AC72" s="110"/>
      <c r="AD72" s="435"/>
      <c r="AE72" s="110"/>
      <c r="AF72" s="110"/>
      <c r="AG72" s="110"/>
      <c r="AH72" s="110"/>
      <c r="AI72" s="435"/>
      <c r="AJ72" s="110"/>
      <c r="AK72" s="110"/>
      <c r="AL72" s="110"/>
      <c r="AM72" s="110"/>
      <c r="AN72" s="435"/>
      <c r="AO72" s="110"/>
      <c r="AP72" s="110"/>
      <c r="AQ72" s="110"/>
      <c r="AR72" s="110"/>
      <c r="AS72" s="435"/>
      <c r="AT72" s="110"/>
      <c r="AU72" s="110"/>
      <c r="AV72" s="110"/>
      <c r="AW72" s="110"/>
      <c r="AX72" s="435"/>
    </row>
    <row r="73" spans="2:50">
      <c r="B73" s="435"/>
      <c r="C73" s="110">
        <v>7</v>
      </c>
      <c r="D73" s="110"/>
      <c r="E73" s="184"/>
      <c r="F73" s="184"/>
      <c r="G73" s="182"/>
      <c r="H73" s="447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447"/>
      <c r="M73" s="184" t="e">
        <f>RANK(K73, K$67:$K$81)</f>
        <v>#DIV/0!</v>
      </c>
      <c r="N73" s="444"/>
      <c r="O73" s="444"/>
      <c r="P73" s="110"/>
      <c r="Q73" s="110"/>
      <c r="R73" s="182"/>
      <c r="S73" s="110"/>
      <c r="T73" s="447"/>
      <c r="U73" s="110"/>
      <c r="V73" s="110"/>
      <c r="W73" s="110"/>
      <c r="X73" s="110"/>
      <c r="Y73" s="435"/>
      <c r="Z73" s="110"/>
      <c r="AA73" s="110"/>
      <c r="AB73" s="110"/>
      <c r="AC73" s="110"/>
      <c r="AD73" s="435"/>
      <c r="AE73" s="110"/>
      <c r="AF73" s="110"/>
      <c r="AG73" s="110"/>
      <c r="AH73" s="110"/>
      <c r="AI73" s="435"/>
      <c r="AJ73" s="110"/>
      <c r="AK73" s="110"/>
      <c r="AL73" s="110"/>
      <c r="AM73" s="110"/>
      <c r="AN73" s="435"/>
      <c r="AO73" s="110"/>
      <c r="AP73" s="110"/>
      <c r="AQ73" s="110"/>
      <c r="AR73" s="110"/>
      <c r="AS73" s="435"/>
      <c r="AT73" s="110"/>
      <c r="AU73" s="110"/>
      <c r="AV73" s="110"/>
      <c r="AW73" s="110"/>
      <c r="AX73" s="435"/>
    </row>
    <row r="74" spans="2:50">
      <c r="B74" s="435"/>
      <c r="C74" s="110">
        <v>8</v>
      </c>
      <c r="D74" s="110"/>
      <c r="E74" s="184"/>
      <c r="F74" s="184"/>
      <c r="G74" s="182"/>
      <c r="H74" s="447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447"/>
      <c r="M74" s="184" t="e">
        <f>RANK(K74, K$67:$K$81)</f>
        <v>#DIV/0!</v>
      </c>
      <c r="N74" s="444"/>
      <c r="O74" s="444"/>
      <c r="P74" s="110"/>
      <c r="Q74" s="110"/>
      <c r="R74" s="182"/>
      <c r="S74" s="110"/>
      <c r="T74" s="447"/>
      <c r="U74" s="110"/>
      <c r="V74" s="110"/>
      <c r="W74" s="110"/>
      <c r="X74" s="110"/>
      <c r="Y74" s="435"/>
      <c r="Z74" s="110"/>
      <c r="AA74" s="110"/>
      <c r="AB74" s="110"/>
      <c r="AC74" s="110"/>
      <c r="AD74" s="435"/>
      <c r="AE74" s="110"/>
      <c r="AF74" s="110"/>
      <c r="AG74" s="110"/>
      <c r="AH74" s="110"/>
      <c r="AI74" s="435"/>
      <c r="AJ74" s="110"/>
      <c r="AK74" s="110"/>
      <c r="AL74" s="110"/>
      <c r="AM74" s="110"/>
      <c r="AN74" s="435"/>
      <c r="AO74" s="110"/>
      <c r="AP74" s="110"/>
      <c r="AQ74" s="110"/>
      <c r="AR74" s="110"/>
      <c r="AS74" s="435"/>
      <c r="AT74" s="110"/>
      <c r="AU74" s="110"/>
      <c r="AV74" s="110"/>
      <c r="AW74" s="110"/>
      <c r="AX74" s="435"/>
    </row>
    <row r="75" spans="2:50">
      <c r="B75" s="435"/>
      <c r="C75" s="110">
        <v>9</v>
      </c>
      <c r="D75" s="110"/>
      <c r="E75" s="184"/>
      <c r="F75" s="184"/>
      <c r="G75" s="182"/>
      <c r="H75" s="447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447"/>
      <c r="M75" s="184" t="e">
        <f>RANK(K75, K$67:$K$81)</f>
        <v>#DIV/0!</v>
      </c>
      <c r="N75" s="444"/>
      <c r="O75" s="444"/>
      <c r="P75" s="110"/>
      <c r="Q75" s="110"/>
      <c r="R75" s="182"/>
      <c r="S75" s="110"/>
      <c r="T75" s="447"/>
      <c r="U75" s="110"/>
      <c r="V75" s="110"/>
      <c r="W75" s="110"/>
      <c r="X75" s="110"/>
      <c r="Y75" s="435"/>
      <c r="Z75" s="110"/>
      <c r="AA75" s="110"/>
      <c r="AB75" s="110"/>
      <c r="AC75" s="110"/>
      <c r="AD75" s="435"/>
      <c r="AE75" s="110"/>
      <c r="AF75" s="110"/>
      <c r="AG75" s="110"/>
      <c r="AH75" s="110"/>
      <c r="AI75" s="435"/>
      <c r="AJ75" s="110"/>
      <c r="AK75" s="110"/>
      <c r="AL75" s="110"/>
      <c r="AM75" s="110"/>
      <c r="AN75" s="435"/>
      <c r="AO75" s="110"/>
      <c r="AP75" s="110"/>
      <c r="AQ75" s="110"/>
      <c r="AR75" s="110"/>
      <c r="AS75" s="435"/>
      <c r="AT75" s="110"/>
      <c r="AU75" s="110"/>
      <c r="AV75" s="110"/>
      <c r="AW75" s="110"/>
      <c r="AX75" s="435"/>
    </row>
    <row r="76" spans="2:50">
      <c r="B76" s="435"/>
      <c r="C76" s="110">
        <v>10</v>
      </c>
      <c r="D76" s="110"/>
      <c r="E76" s="184"/>
      <c r="F76" s="184"/>
      <c r="G76" s="182"/>
      <c r="H76" s="447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447"/>
      <c r="M76" s="184" t="e">
        <f>RANK(K76, K$67:$K$81)</f>
        <v>#DIV/0!</v>
      </c>
      <c r="N76" s="444"/>
      <c r="O76" s="444"/>
      <c r="P76" s="110"/>
      <c r="Q76" s="110"/>
      <c r="R76" s="182"/>
      <c r="S76" s="110"/>
      <c r="T76" s="447"/>
      <c r="U76" s="110"/>
      <c r="V76" s="110"/>
      <c r="W76" s="110"/>
      <c r="X76" s="110"/>
      <c r="Y76" s="435"/>
      <c r="Z76" s="110"/>
      <c r="AA76" s="110"/>
      <c r="AB76" s="110"/>
      <c r="AC76" s="110"/>
      <c r="AD76" s="435"/>
      <c r="AE76" s="110"/>
      <c r="AF76" s="110"/>
      <c r="AG76" s="110"/>
      <c r="AH76" s="110"/>
      <c r="AI76" s="435"/>
      <c r="AJ76" s="110"/>
      <c r="AK76" s="110"/>
      <c r="AL76" s="110"/>
      <c r="AM76" s="110"/>
      <c r="AN76" s="435"/>
      <c r="AO76" s="110"/>
      <c r="AP76" s="110"/>
      <c r="AQ76" s="110"/>
      <c r="AR76" s="110"/>
      <c r="AS76" s="435"/>
      <c r="AT76" s="110"/>
      <c r="AU76" s="110"/>
      <c r="AV76" s="110"/>
      <c r="AW76" s="110"/>
      <c r="AX76" s="435"/>
    </row>
    <row r="77" spans="2:50">
      <c r="B77" s="435"/>
      <c r="C77" s="110">
        <v>11</v>
      </c>
      <c r="D77" s="110"/>
      <c r="E77" s="184"/>
      <c r="F77" s="184"/>
      <c r="G77" s="182"/>
      <c r="H77" s="447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447"/>
      <c r="M77" s="184" t="e">
        <f>RANK(K77, K$67:$K$81)</f>
        <v>#DIV/0!</v>
      </c>
      <c r="N77" s="444"/>
      <c r="O77" s="444"/>
      <c r="P77" s="110"/>
      <c r="Q77" s="110"/>
      <c r="R77" s="182"/>
      <c r="S77" s="110"/>
      <c r="T77" s="447"/>
      <c r="U77" s="110"/>
      <c r="V77" s="110"/>
      <c r="W77" s="110"/>
      <c r="X77" s="110"/>
      <c r="Y77" s="435"/>
      <c r="Z77" s="110"/>
      <c r="AA77" s="110"/>
      <c r="AB77" s="110"/>
      <c r="AC77" s="110"/>
      <c r="AD77" s="435"/>
      <c r="AE77" s="110"/>
      <c r="AF77" s="110"/>
      <c r="AG77" s="110"/>
      <c r="AH77" s="110"/>
      <c r="AI77" s="435"/>
      <c r="AJ77" s="110"/>
      <c r="AK77" s="110"/>
      <c r="AL77" s="110"/>
      <c r="AM77" s="110"/>
      <c r="AN77" s="435"/>
      <c r="AO77" s="110"/>
      <c r="AP77" s="110"/>
      <c r="AQ77" s="110"/>
      <c r="AR77" s="110"/>
      <c r="AS77" s="435"/>
      <c r="AT77" s="110"/>
      <c r="AU77" s="110"/>
      <c r="AV77" s="110"/>
      <c r="AW77" s="110"/>
      <c r="AX77" s="435"/>
    </row>
    <row r="78" spans="2:50">
      <c r="B78" s="435"/>
      <c r="C78" s="110">
        <v>12</v>
      </c>
      <c r="D78" s="110"/>
      <c r="E78" s="184"/>
      <c r="F78" s="184"/>
      <c r="G78" s="182"/>
      <c r="H78" s="447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447"/>
      <c r="M78" s="184" t="e">
        <f>RANK(K78, K$67:$K$81)</f>
        <v>#DIV/0!</v>
      </c>
      <c r="N78" s="444"/>
      <c r="O78" s="444"/>
      <c r="P78" s="110"/>
      <c r="Q78" s="110"/>
      <c r="R78" s="182"/>
      <c r="S78" s="110"/>
      <c r="T78" s="447"/>
      <c r="U78" s="110"/>
      <c r="V78" s="110"/>
      <c r="W78" s="110"/>
      <c r="X78" s="110"/>
      <c r="Y78" s="435"/>
      <c r="Z78" s="110"/>
      <c r="AA78" s="110"/>
      <c r="AB78" s="110"/>
      <c r="AC78" s="110"/>
      <c r="AD78" s="435"/>
      <c r="AE78" s="110"/>
      <c r="AF78" s="110"/>
      <c r="AG78" s="110"/>
      <c r="AH78" s="110"/>
      <c r="AI78" s="435"/>
      <c r="AJ78" s="110"/>
      <c r="AK78" s="110"/>
      <c r="AL78" s="110"/>
      <c r="AM78" s="110"/>
      <c r="AN78" s="435"/>
      <c r="AO78" s="110"/>
      <c r="AP78" s="110"/>
      <c r="AQ78" s="110"/>
      <c r="AR78" s="110"/>
      <c r="AS78" s="435"/>
      <c r="AT78" s="110"/>
      <c r="AU78" s="110"/>
      <c r="AV78" s="110"/>
      <c r="AW78" s="110"/>
      <c r="AX78" s="435"/>
    </row>
    <row r="79" spans="2:50">
      <c r="B79" s="435"/>
      <c r="C79" s="110">
        <v>13</v>
      </c>
      <c r="D79" s="110"/>
      <c r="E79" s="184"/>
      <c r="F79" s="184"/>
      <c r="G79" s="182"/>
      <c r="H79" s="447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447"/>
      <c r="M79" s="184" t="e">
        <f>RANK(K79, K$67:$K$81)</f>
        <v>#DIV/0!</v>
      </c>
      <c r="N79" s="444"/>
      <c r="O79" s="444"/>
      <c r="P79" s="110"/>
      <c r="Q79" s="110"/>
      <c r="R79" s="182"/>
      <c r="S79" s="110"/>
      <c r="T79" s="447"/>
      <c r="U79" s="110"/>
      <c r="V79" s="110"/>
      <c r="W79" s="110"/>
      <c r="X79" s="110"/>
      <c r="Y79" s="435"/>
      <c r="Z79" s="110"/>
      <c r="AA79" s="110"/>
      <c r="AB79" s="110"/>
      <c r="AC79" s="110"/>
      <c r="AD79" s="435"/>
      <c r="AE79" s="110"/>
      <c r="AF79" s="110"/>
      <c r="AG79" s="110"/>
      <c r="AH79" s="110"/>
      <c r="AI79" s="435"/>
      <c r="AJ79" s="110"/>
      <c r="AK79" s="110"/>
      <c r="AL79" s="110"/>
      <c r="AM79" s="110"/>
      <c r="AN79" s="435"/>
      <c r="AO79" s="110"/>
      <c r="AP79" s="110"/>
      <c r="AQ79" s="110"/>
      <c r="AR79" s="110"/>
      <c r="AS79" s="435"/>
      <c r="AT79" s="110"/>
      <c r="AU79" s="110"/>
      <c r="AV79" s="110"/>
      <c r="AW79" s="110"/>
      <c r="AX79" s="435"/>
    </row>
    <row r="80" spans="2:50">
      <c r="B80" s="435"/>
      <c r="C80" s="110">
        <v>14</v>
      </c>
      <c r="D80" s="110"/>
      <c r="E80" s="184"/>
      <c r="F80" s="184"/>
      <c r="G80" s="182"/>
      <c r="H80" s="447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447"/>
      <c r="M80" s="184" t="e">
        <f>RANK(K80, K$67:$K$81)</f>
        <v>#DIV/0!</v>
      </c>
      <c r="N80" s="444"/>
      <c r="O80" s="444"/>
      <c r="P80" s="110"/>
      <c r="Q80" s="110"/>
      <c r="R80" s="110"/>
      <c r="S80" s="110"/>
      <c r="T80" s="447"/>
      <c r="U80" s="110"/>
      <c r="V80" s="110"/>
      <c r="W80" s="110"/>
      <c r="X80" s="110"/>
      <c r="Y80" s="435"/>
      <c r="Z80" s="110"/>
      <c r="AA80" s="110"/>
      <c r="AB80" s="110"/>
      <c r="AC80" s="110"/>
      <c r="AD80" s="435"/>
      <c r="AE80" s="110"/>
      <c r="AF80" s="110"/>
      <c r="AG80" s="110"/>
      <c r="AH80" s="110"/>
      <c r="AI80" s="435"/>
      <c r="AJ80" s="110"/>
      <c r="AK80" s="110"/>
      <c r="AL80" s="110"/>
      <c r="AM80" s="110"/>
      <c r="AN80" s="435"/>
      <c r="AO80" s="110"/>
      <c r="AP80" s="110"/>
      <c r="AQ80" s="110"/>
      <c r="AR80" s="110"/>
      <c r="AS80" s="435"/>
      <c r="AT80" s="110"/>
      <c r="AU80" s="110"/>
      <c r="AV80" s="110"/>
      <c r="AW80" s="110"/>
      <c r="AX80" s="435"/>
    </row>
    <row r="81" spans="2:50">
      <c r="B81" s="435"/>
      <c r="C81" s="110">
        <v>15</v>
      </c>
      <c r="D81" s="110"/>
      <c r="E81" s="110"/>
      <c r="F81" s="110"/>
      <c r="G81" s="110"/>
      <c r="H81" s="448"/>
      <c r="I81" s="110"/>
      <c r="J81" s="110"/>
      <c r="K81" s="110"/>
      <c r="L81" s="448"/>
      <c r="M81" s="184" t="e">
        <f>RANK(K81, K$67:$K$81)</f>
        <v>#DIV/0!</v>
      </c>
      <c r="N81" s="444"/>
      <c r="O81" s="444"/>
      <c r="P81" s="110"/>
      <c r="Q81" s="110"/>
      <c r="R81" s="110"/>
      <c r="S81" s="110"/>
      <c r="T81" s="448"/>
      <c r="U81" s="110"/>
      <c r="V81" s="110"/>
      <c r="W81" s="110"/>
      <c r="X81" s="110"/>
      <c r="Y81" s="435"/>
      <c r="Z81" s="110"/>
      <c r="AA81" s="110"/>
      <c r="AB81" s="110"/>
      <c r="AC81" s="110"/>
      <c r="AD81" s="435"/>
      <c r="AE81" s="110"/>
      <c r="AF81" s="110"/>
      <c r="AG81" s="110"/>
      <c r="AH81" s="110"/>
      <c r="AI81" s="435"/>
      <c r="AJ81" s="110"/>
      <c r="AK81" s="110"/>
      <c r="AL81" s="110"/>
      <c r="AM81" s="110"/>
      <c r="AN81" s="435"/>
      <c r="AO81" s="110"/>
      <c r="AP81" s="110"/>
      <c r="AQ81" s="110"/>
      <c r="AR81" s="110"/>
      <c r="AS81" s="435"/>
      <c r="AT81" s="110"/>
      <c r="AU81" s="110"/>
      <c r="AV81" s="110"/>
      <c r="AW81" s="110"/>
      <c r="AX81" s="435"/>
    </row>
    <row r="82" spans="2:50" ht="15.75">
      <c r="B82" s="436" t="s">
        <v>93</v>
      </c>
      <c r="C82" s="437"/>
      <c r="D82" s="437"/>
      <c r="E82" s="437"/>
      <c r="F82" s="437"/>
      <c r="G82" s="437"/>
      <c r="H82" s="437"/>
      <c r="I82" s="201"/>
      <c r="J82" s="201"/>
      <c r="K82" s="201"/>
      <c r="L82" s="201"/>
      <c r="M82" s="200"/>
      <c r="N82" s="439" t="s">
        <v>94</v>
      </c>
      <c r="O82" s="439" t="s">
        <v>45</v>
      </c>
      <c r="P82" s="434">
        <v>45895</v>
      </c>
      <c r="Q82" s="435"/>
      <c r="R82" s="435"/>
      <c r="S82" s="435"/>
      <c r="T82" s="435"/>
      <c r="U82" s="434">
        <v>45896</v>
      </c>
      <c r="V82" s="435"/>
      <c r="W82" s="435"/>
      <c r="X82" s="435"/>
      <c r="Y82" s="435"/>
      <c r="Z82" s="434">
        <v>45897</v>
      </c>
      <c r="AA82" s="435"/>
      <c r="AB82" s="435"/>
      <c r="AC82" s="435"/>
      <c r="AD82" s="435"/>
      <c r="AE82" s="434">
        <v>45898</v>
      </c>
      <c r="AF82" s="435"/>
      <c r="AG82" s="435"/>
      <c r="AH82" s="435"/>
      <c r="AI82" s="435"/>
      <c r="AJ82" s="434">
        <v>45899</v>
      </c>
      <c r="AK82" s="435"/>
      <c r="AL82" s="435"/>
      <c r="AM82" s="435"/>
      <c r="AN82" s="435"/>
      <c r="AO82" s="434">
        <v>45900</v>
      </c>
      <c r="AP82" s="435"/>
      <c r="AQ82" s="435"/>
      <c r="AR82" s="435"/>
      <c r="AS82" s="435"/>
      <c r="AT82" s="434"/>
      <c r="AU82" s="435"/>
      <c r="AV82" s="435"/>
      <c r="AW82" s="435"/>
      <c r="AX82" s="435"/>
    </row>
    <row r="83" spans="2:50" ht="15.75">
      <c r="B83" s="438"/>
      <c r="C83" s="438"/>
      <c r="D83" s="438"/>
      <c r="E83" s="438"/>
      <c r="F83" s="438"/>
      <c r="G83" s="438"/>
      <c r="H83" s="438"/>
      <c r="I83" s="180"/>
      <c r="J83" s="180"/>
      <c r="K83" s="180"/>
      <c r="L83" s="180"/>
      <c r="M83" s="181"/>
      <c r="N83" s="440"/>
      <c r="O83" s="440"/>
      <c r="P83" s="434" t="s">
        <v>77</v>
      </c>
      <c r="Q83" s="435"/>
      <c r="R83" s="435"/>
      <c r="S83" s="435"/>
      <c r="T83" s="435"/>
      <c r="U83" s="434" t="s">
        <v>72</v>
      </c>
      <c r="V83" s="435"/>
      <c r="W83" s="435"/>
      <c r="X83" s="435"/>
      <c r="Y83" s="435"/>
      <c r="Z83" s="434" t="s">
        <v>73</v>
      </c>
      <c r="AA83" s="435"/>
      <c r="AB83" s="435"/>
      <c r="AC83" s="435"/>
      <c r="AD83" s="435"/>
      <c r="AE83" s="434" t="s">
        <v>74</v>
      </c>
      <c r="AF83" s="435"/>
      <c r="AG83" s="435"/>
      <c r="AH83" s="435"/>
      <c r="AI83" s="435"/>
      <c r="AJ83" s="434" t="s">
        <v>75</v>
      </c>
      <c r="AK83" s="435"/>
      <c r="AL83" s="435"/>
      <c r="AM83" s="435"/>
      <c r="AN83" s="435"/>
      <c r="AO83" s="434" t="s">
        <v>52</v>
      </c>
      <c r="AP83" s="435"/>
      <c r="AQ83" s="435"/>
      <c r="AR83" s="435"/>
      <c r="AS83" s="435"/>
      <c r="AT83" s="434" t="s">
        <v>76</v>
      </c>
      <c r="AU83" s="435"/>
      <c r="AV83" s="435"/>
      <c r="AW83" s="435"/>
      <c r="AX83" s="435"/>
    </row>
    <row r="84" spans="2:50">
      <c r="B84" s="444" t="s">
        <v>95</v>
      </c>
      <c r="C84" s="444" t="s">
        <v>96</v>
      </c>
      <c r="D84" s="444"/>
      <c r="E84" s="444" t="s">
        <v>97</v>
      </c>
      <c r="F84" s="444"/>
      <c r="G84" s="444"/>
      <c r="H84" s="450" t="s">
        <v>98</v>
      </c>
      <c r="I84" s="444" t="s">
        <v>99</v>
      </c>
      <c r="J84" s="444"/>
      <c r="K84" s="444"/>
      <c r="L84" s="450" t="s">
        <v>98</v>
      </c>
      <c r="M84" s="439" t="s">
        <v>100</v>
      </c>
      <c r="N84" s="444"/>
      <c r="O84" s="444" t="s">
        <v>101</v>
      </c>
      <c r="P84" s="441" t="s">
        <v>102</v>
      </c>
      <c r="Q84" s="442"/>
      <c r="R84" s="442"/>
      <c r="S84" s="443"/>
      <c r="T84" s="444" t="s">
        <v>98</v>
      </c>
      <c r="U84" s="441" t="s">
        <v>102</v>
      </c>
      <c r="V84" s="442"/>
      <c r="W84" s="442"/>
      <c r="X84" s="443"/>
      <c r="Y84" s="444" t="s">
        <v>98</v>
      </c>
      <c r="Z84" s="441" t="s">
        <v>102</v>
      </c>
      <c r="AA84" s="442"/>
      <c r="AB84" s="442"/>
      <c r="AC84" s="443"/>
      <c r="AD84" s="444" t="s">
        <v>98</v>
      </c>
      <c r="AE84" s="441" t="s">
        <v>102</v>
      </c>
      <c r="AF84" s="442"/>
      <c r="AG84" s="442"/>
      <c r="AH84" s="443"/>
      <c r="AI84" s="444" t="s">
        <v>98</v>
      </c>
      <c r="AJ84" s="441" t="s">
        <v>102</v>
      </c>
      <c r="AK84" s="442"/>
      <c r="AL84" s="442"/>
      <c r="AM84" s="443"/>
      <c r="AN84" s="444" t="s">
        <v>98</v>
      </c>
      <c r="AO84" s="441" t="s">
        <v>102</v>
      </c>
      <c r="AP84" s="442"/>
      <c r="AQ84" s="442"/>
      <c r="AR84" s="443"/>
      <c r="AS84" s="444" t="s">
        <v>98</v>
      </c>
      <c r="AT84" s="441" t="s">
        <v>102</v>
      </c>
      <c r="AU84" s="442"/>
      <c r="AV84" s="442"/>
      <c r="AW84" s="443"/>
      <c r="AX84" s="444" t="s">
        <v>98</v>
      </c>
    </row>
    <row r="85" spans="2:50">
      <c r="B85" s="444"/>
      <c r="C85" s="444"/>
      <c r="D85" s="444"/>
      <c r="E85" s="444" t="s">
        <v>103</v>
      </c>
      <c r="F85" s="444"/>
      <c r="G85" s="444"/>
      <c r="H85" s="451"/>
      <c r="I85" s="444" t="s">
        <v>103</v>
      </c>
      <c r="J85" s="444"/>
      <c r="K85" s="444"/>
      <c r="L85" s="451"/>
      <c r="M85" s="453"/>
      <c r="N85" s="444"/>
      <c r="O85" s="444"/>
      <c r="P85" s="441" t="s">
        <v>104</v>
      </c>
      <c r="Q85" s="442"/>
      <c r="R85" s="442"/>
      <c r="S85" s="443"/>
      <c r="T85" s="444"/>
      <c r="U85" s="441" t="s">
        <v>104</v>
      </c>
      <c r="V85" s="442"/>
      <c r="W85" s="442"/>
      <c r="X85" s="443"/>
      <c r="Y85" s="444"/>
      <c r="Z85" s="441" t="s">
        <v>104</v>
      </c>
      <c r="AA85" s="442"/>
      <c r="AB85" s="442"/>
      <c r="AC85" s="443"/>
      <c r="AD85" s="444"/>
      <c r="AE85" s="441" t="s">
        <v>104</v>
      </c>
      <c r="AF85" s="442"/>
      <c r="AG85" s="442"/>
      <c r="AH85" s="443"/>
      <c r="AI85" s="444"/>
      <c r="AJ85" s="441" t="s">
        <v>104</v>
      </c>
      <c r="AK85" s="442"/>
      <c r="AL85" s="442"/>
      <c r="AM85" s="443"/>
      <c r="AN85" s="444"/>
      <c r="AO85" s="441" t="s">
        <v>104</v>
      </c>
      <c r="AP85" s="442"/>
      <c r="AQ85" s="442"/>
      <c r="AR85" s="443"/>
      <c r="AS85" s="444"/>
      <c r="AT85" s="441" t="s">
        <v>104</v>
      </c>
      <c r="AU85" s="442"/>
      <c r="AV85" s="442"/>
      <c r="AW85" s="443"/>
      <c r="AX85" s="444"/>
    </row>
    <row r="86" spans="2:50">
      <c r="B86" s="444"/>
      <c r="C86" s="444"/>
      <c r="D86" s="444"/>
      <c r="E86" s="109" t="s">
        <v>105</v>
      </c>
      <c r="F86" s="109" t="s">
        <v>106</v>
      </c>
      <c r="G86" s="109" t="s">
        <v>107</v>
      </c>
      <c r="H86" s="452"/>
      <c r="I86" s="109" t="s">
        <v>105</v>
      </c>
      <c r="J86" s="109" t="s">
        <v>106</v>
      </c>
      <c r="K86" s="109" t="s">
        <v>107</v>
      </c>
      <c r="L86" s="452"/>
      <c r="M86" s="440"/>
      <c r="N86" s="444"/>
      <c r="O86" s="444"/>
      <c r="P86" s="109" t="s">
        <v>105</v>
      </c>
      <c r="Q86" s="109" t="s">
        <v>106</v>
      </c>
      <c r="R86" s="109" t="s">
        <v>107</v>
      </c>
      <c r="S86" s="109" t="s">
        <v>100</v>
      </c>
      <c r="T86" s="444"/>
      <c r="U86" s="109" t="s">
        <v>105</v>
      </c>
      <c r="V86" s="109" t="s">
        <v>106</v>
      </c>
      <c r="W86" s="109" t="s">
        <v>107</v>
      </c>
      <c r="X86" s="109" t="s">
        <v>100</v>
      </c>
      <c r="Y86" s="444"/>
      <c r="Z86" s="109" t="s">
        <v>105</v>
      </c>
      <c r="AA86" s="109" t="s">
        <v>106</v>
      </c>
      <c r="AB86" s="109" t="s">
        <v>107</v>
      </c>
      <c r="AC86" s="109" t="s">
        <v>100</v>
      </c>
      <c r="AD86" s="444"/>
      <c r="AE86" s="109" t="s">
        <v>105</v>
      </c>
      <c r="AF86" s="109" t="s">
        <v>106</v>
      </c>
      <c r="AG86" s="109" t="s">
        <v>107</v>
      </c>
      <c r="AH86" s="109" t="s">
        <v>100</v>
      </c>
      <c r="AI86" s="444"/>
      <c r="AJ86" s="109" t="s">
        <v>105</v>
      </c>
      <c r="AK86" s="109" t="s">
        <v>106</v>
      </c>
      <c r="AL86" s="109" t="s">
        <v>107</v>
      </c>
      <c r="AM86" s="109" t="s">
        <v>100</v>
      </c>
      <c r="AN86" s="444"/>
      <c r="AO86" s="109" t="s">
        <v>105</v>
      </c>
      <c r="AP86" s="109" t="s">
        <v>106</v>
      </c>
      <c r="AQ86" s="109" t="s">
        <v>107</v>
      </c>
      <c r="AR86" s="109" t="s">
        <v>100</v>
      </c>
      <c r="AS86" s="444"/>
      <c r="AT86" s="109" t="s">
        <v>105</v>
      </c>
      <c r="AU86" s="109" t="s">
        <v>106</v>
      </c>
      <c r="AV86" s="109" t="s">
        <v>107</v>
      </c>
      <c r="AW86" s="109" t="s">
        <v>100</v>
      </c>
      <c r="AX86" s="444"/>
    </row>
    <row r="87" spans="2:50">
      <c r="B87" s="444" t="s">
        <v>129</v>
      </c>
      <c r="C87" s="110">
        <v>1</v>
      </c>
      <c r="D87" s="110"/>
      <c r="E87" s="110"/>
      <c r="F87" s="110"/>
      <c r="G87" s="110"/>
      <c r="H87" s="456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446" t="e">
        <f>AVERAGE(K87:K101)</f>
        <v>#DIV/0!</v>
      </c>
      <c r="M87" s="184" t="e">
        <f>RANK(K87, K$87:$K$101)</f>
        <v>#DIV/0!</v>
      </c>
      <c r="N87" s="444"/>
      <c r="O87" s="444"/>
      <c r="P87" s="110"/>
      <c r="Q87" s="110"/>
      <c r="R87" s="110"/>
      <c r="S87" s="110"/>
      <c r="T87" s="435" t="e">
        <f>AVERAGE(R87:R101)</f>
        <v>#DIV/0!</v>
      </c>
      <c r="U87" s="110"/>
      <c r="V87" s="110"/>
      <c r="W87" s="110"/>
      <c r="X87" s="110"/>
      <c r="Y87" s="435" t="e">
        <f>AVERAGE(W87:W101)</f>
        <v>#DIV/0!</v>
      </c>
      <c r="Z87" s="110"/>
      <c r="AA87" s="110"/>
      <c r="AB87" s="110"/>
      <c r="AC87" s="110"/>
      <c r="AD87" s="435" t="e">
        <f>AVERAGE(AB87:AB101)</f>
        <v>#DIV/0!</v>
      </c>
      <c r="AE87" s="110"/>
      <c r="AF87" s="110"/>
      <c r="AG87" s="110"/>
      <c r="AH87" s="110"/>
      <c r="AI87" s="435" t="e">
        <f>AVERAGE(AG87:AG101)</f>
        <v>#DIV/0!</v>
      </c>
      <c r="AJ87" s="110"/>
      <c r="AK87" s="110"/>
      <c r="AL87" s="110"/>
      <c r="AM87" s="110"/>
      <c r="AN87" s="435" t="e">
        <f>AVERAGE(AL87:AL101)</f>
        <v>#DIV/0!</v>
      </c>
      <c r="AO87" s="110"/>
      <c r="AP87" s="110"/>
      <c r="AQ87" s="110"/>
      <c r="AR87" s="110"/>
      <c r="AS87" s="435" t="e">
        <f>AVERAGE(AQ87:AQ101)</f>
        <v>#DIV/0!</v>
      </c>
      <c r="AT87" s="110"/>
      <c r="AU87" s="110"/>
      <c r="AV87" s="110"/>
      <c r="AW87" s="110"/>
      <c r="AX87" s="435" t="e">
        <f>AVERAGE(AV87:AV101)</f>
        <v>#DIV/0!</v>
      </c>
    </row>
    <row r="88" spans="2:50">
      <c r="B88" s="435"/>
      <c r="C88" s="110">
        <v>2</v>
      </c>
      <c r="D88" s="110"/>
      <c r="E88" s="110"/>
      <c r="F88" s="110"/>
      <c r="G88" s="110"/>
      <c r="H88" s="457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447"/>
      <c r="M88" s="184" t="e">
        <f>RANK(K88, K$87:$K$101)</f>
        <v>#DIV/0!</v>
      </c>
      <c r="N88" s="444"/>
      <c r="O88" s="444"/>
      <c r="P88" s="110"/>
      <c r="Q88" s="110"/>
      <c r="R88" s="110"/>
      <c r="S88" s="110"/>
      <c r="T88" s="435"/>
      <c r="U88" s="110"/>
      <c r="V88" s="110"/>
      <c r="W88" s="110"/>
      <c r="X88" s="110"/>
      <c r="Y88" s="435"/>
      <c r="Z88" s="110"/>
      <c r="AA88" s="110"/>
      <c r="AB88" s="110"/>
      <c r="AC88" s="110"/>
      <c r="AD88" s="435"/>
      <c r="AE88" s="110"/>
      <c r="AF88" s="110"/>
      <c r="AG88" s="110"/>
      <c r="AH88" s="110"/>
      <c r="AI88" s="435"/>
      <c r="AJ88" s="110"/>
      <c r="AK88" s="110"/>
      <c r="AL88" s="110"/>
      <c r="AM88" s="110"/>
      <c r="AN88" s="435"/>
      <c r="AO88" s="110"/>
      <c r="AP88" s="110"/>
      <c r="AQ88" s="110"/>
      <c r="AR88" s="110"/>
      <c r="AS88" s="435"/>
      <c r="AT88" s="110"/>
      <c r="AU88" s="110"/>
      <c r="AV88" s="110"/>
      <c r="AW88" s="110"/>
      <c r="AX88" s="435"/>
    </row>
    <row r="89" spans="2:50">
      <c r="B89" s="435"/>
      <c r="C89" s="110">
        <v>3</v>
      </c>
      <c r="D89" s="110"/>
      <c r="E89" s="110"/>
      <c r="F89" s="110"/>
      <c r="G89" s="110"/>
      <c r="H89" s="457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447"/>
      <c r="M89" s="184" t="e">
        <f>RANK(K89, K$87:$K$101)</f>
        <v>#DIV/0!</v>
      </c>
      <c r="N89" s="444"/>
      <c r="O89" s="444"/>
      <c r="P89" s="110"/>
      <c r="Q89" s="110"/>
      <c r="R89" s="110"/>
      <c r="S89" s="110"/>
      <c r="T89" s="435"/>
      <c r="U89" s="110"/>
      <c r="V89" s="110"/>
      <c r="W89" s="110"/>
      <c r="X89" s="110"/>
      <c r="Y89" s="435"/>
      <c r="Z89" s="110"/>
      <c r="AA89" s="110"/>
      <c r="AB89" s="110"/>
      <c r="AC89" s="110"/>
      <c r="AD89" s="435"/>
      <c r="AE89" s="110"/>
      <c r="AF89" s="110"/>
      <c r="AG89" s="110"/>
      <c r="AH89" s="110"/>
      <c r="AI89" s="435"/>
      <c r="AJ89" s="110"/>
      <c r="AK89" s="110"/>
      <c r="AL89" s="110"/>
      <c r="AM89" s="110"/>
      <c r="AN89" s="435"/>
      <c r="AO89" s="110"/>
      <c r="AP89" s="110"/>
      <c r="AQ89" s="110"/>
      <c r="AR89" s="110"/>
      <c r="AS89" s="435"/>
      <c r="AT89" s="110"/>
      <c r="AU89" s="110"/>
      <c r="AV89" s="110"/>
      <c r="AW89" s="110"/>
      <c r="AX89" s="435"/>
    </row>
    <row r="90" spans="2:50">
      <c r="B90" s="435"/>
      <c r="C90" s="110">
        <v>4</v>
      </c>
      <c r="D90" s="110"/>
      <c r="E90" s="110"/>
      <c r="F90" s="110"/>
      <c r="G90" s="110"/>
      <c r="H90" s="457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447"/>
      <c r="M90" s="184" t="e">
        <f>RANK(K90, K$87:$K$101)</f>
        <v>#DIV/0!</v>
      </c>
      <c r="N90" s="444"/>
      <c r="O90" s="444"/>
      <c r="P90" s="110"/>
      <c r="Q90" s="110"/>
      <c r="R90" s="110"/>
      <c r="S90" s="110"/>
      <c r="T90" s="435"/>
      <c r="U90" s="110"/>
      <c r="V90" s="110"/>
      <c r="W90" s="110"/>
      <c r="X90" s="110"/>
      <c r="Y90" s="435"/>
      <c r="Z90" s="110"/>
      <c r="AA90" s="110"/>
      <c r="AB90" s="110"/>
      <c r="AC90" s="110"/>
      <c r="AD90" s="435"/>
      <c r="AE90" s="110"/>
      <c r="AF90" s="110"/>
      <c r="AG90" s="110"/>
      <c r="AH90" s="110"/>
      <c r="AI90" s="435"/>
      <c r="AJ90" s="110"/>
      <c r="AK90" s="110"/>
      <c r="AL90" s="110"/>
      <c r="AM90" s="110"/>
      <c r="AN90" s="435"/>
      <c r="AO90" s="110"/>
      <c r="AP90" s="110"/>
      <c r="AQ90" s="110"/>
      <c r="AR90" s="110"/>
      <c r="AS90" s="435"/>
      <c r="AT90" s="110"/>
      <c r="AU90" s="110"/>
      <c r="AV90" s="110"/>
      <c r="AW90" s="110"/>
      <c r="AX90" s="435"/>
    </row>
    <row r="91" spans="2:50">
      <c r="B91" s="435"/>
      <c r="C91" s="110">
        <v>5</v>
      </c>
      <c r="D91" s="110"/>
      <c r="E91" s="110"/>
      <c r="F91" s="110"/>
      <c r="G91" s="110"/>
      <c r="H91" s="457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447"/>
      <c r="M91" s="184" t="e">
        <f>RANK(K91, K$87:$K$101)</f>
        <v>#DIV/0!</v>
      </c>
      <c r="N91" s="444"/>
      <c r="O91" s="444"/>
      <c r="P91" s="110"/>
      <c r="Q91" s="110"/>
      <c r="R91" s="110"/>
      <c r="S91" s="110"/>
      <c r="T91" s="435"/>
      <c r="U91" s="110"/>
      <c r="V91" s="110"/>
      <c r="W91" s="110"/>
      <c r="X91" s="110"/>
      <c r="Y91" s="435"/>
      <c r="Z91" s="110"/>
      <c r="AA91" s="110"/>
      <c r="AB91" s="110"/>
      <c r="AC91" s="110"/>
      <c r="AD91" s="435"/>
      <c r="AE91" s="110"/>
      <c r="AF91" s="110"/>
      <c r="AG91" s="110"/>
      <c r="AH91" s="110"/>
      <c r="AI91" s="435"/>
      <c r="AJ91" s="110"/>
      <c r="AK91" s="110"/>
      <c r="AL91" s="110"/>
      <c r="AM91" s="110"/>
      <c r="AN91" s="435"/>
      <c r="AO91" s="110"/>
      <c r="AP91" s="110"/>
      <c r="AQ91" s="110"/>
      <c r="AR91" s="110"/>
      <c r="AS91" s="435"/>
      <c r="AT91" s="110"/>
      <c r="AU91" s="110"/>
      <c r="AV91" s="110"/>
      <c r="AW91" s="110"/>
      <c r="AX91" s="435"/>
    </row>
    <row r="92" spans="2:50">
      <c r="B92" s="435"/>
      <c r="C92" s="110">
        <v>6</v>
      </c>
      <c r="D92" s="110"/>
      <c r="E92" s="110"/>
      <c r="F92" s="110"/>
      <c r="G92" s="110"/>
      <c r="H92" s="457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447"/>
      <c r="M92" s="184" t="e">
        <f>RANK(K92, K$87:$K$101)</f>
        <v>#DIV/0!</v>
      </c>
      <c r="N92" s="444"/>
      <c r="O92" s="444"/>
      <c r="P92" s="110"/>
      <c r="Q92" s="110"/>
      <c r="R92" s="110"/>
      <c r="S92" s="110"/>
      <c r="T92" s="435"/>
      <c r="U92" s="110"/>
      <c r="V92" s="110"/>
      <c r="W92" s="110"/>
      <c r="X92" s="110"/>
      <c r="Y92" s="435"/>
      <c r="Z92" s="110"/>
      <c r="AA92" s="110"/>
      <c r="AB92" s="110"/>
      <c r="AC92" s="110"/>
      <c r="AD92" s="435"/>
      <c r="AE92" s="110"/>
      <c r="AF92" s="110"/>
      <c r="AG92" s="110"/>
      <c r="AH92" s="110"/>
      <c r="AI92" s="435"/>
      <c r="AJ92" s="110"/>
      <c r="AK92" s="110"/>
      <c r="AL92" s="110"/>
      <c r="AM92" s="110"/>
      <c r="AN92" s="435"/>
      <c r="AO92" s="110"/>
      <c r="AP92" s="110"/>
      <c r="AQ92" s="110"/>
      <c r="AR92" s="110"/>
      <c r="AS92" s="435"/>
      <c r="AT92" s="110"/>
      <c r="AU92" s="110"/>
      <c r="AV92" s="110"/>
      <c r="AW92" s="110"/>
      <c r="AX92" s="435"/>
    </row>
    <row r="93" spans="2:50">
      <c r="B93" s="435"/>
      <c r="C93" s="110">
        <v>7</v>
      </c>
      <c r="D93" s="110"/>
      <c r="E93" s="110"/>
      <c r="F93" s="110"/>
      <c r="G93" s="110"/>
      <c r="H93" s="457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447"/>
      <c r="M93" s="184" t="e">
        <f>RANK(K93, K$87:$K$101)</f>
        <v>#DIV/0!</v>
      </c>
      <c r="N93" s="444"/>
      <c r="O93" s="444"/>
      <c r="P93" s="110"/>
      <c r="Q93" s="110"/>
      <c r="R93" s="110"/>
      <c r="S93" s="110"/>
      <c r="T93" s="435"/>
      <c r="U93" s="110"/>
      <c r="V93" s="110"/>
      <c r="W93" s="110"/>
      <c r="X93" s="110"/>
      <c r="Y93" s="435"/>
      <c r="Z93" s="110"/>
      <c r="AA93" s="110"/>
      <c r="AB93" s="110"/>
      <c r="AC93" s="110"/>
      <c r="AD93" s="435"/>
      <c r="AE93" s="110"/>
      <c r="AF93" s="110"/>
      <c r="AG93" s="110"/>
      <c r="AH93" s="110"/>
      <c r="AI93" s="435"/>
      <c r="AJ93" s="110"/>
      <c r="AK93" s="110"/>
      <c r="AL93" s="110"/>
      <c r="AM93" s="110"/>
      <c r="AN93" s="435"/>
      <c r="AO93" s="110"/>
      <c r="AP93" s="110"/>
      <c r="AQ93" s="110"/>
      <c r="AR93" s="110"/>
      <c r="AS93" s="435"/>
      <c r="AT93" s="110"/>
      <c r="AU93" s="110"/>
      <c r="AV93" s="110"/>
      <c r="AW93" s="110"/>
      <c r="AX93" s="435"/>
    </row>
    <row r="94" spans="2:50">
      <c r="B94" s="435"/>
      <c r="C94" s="110">
        <v>8</v>
      </c>
      <c r="D94" s="110"/>
      <c r="E94" s="110"/>
      <c r="F94" s="110"/>
      <c r="G94" s="110"/>
      <c r="H94" s="457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447"/>
      <c r="M94" s="184" t="e">
        <f>RANK(K94, K$87:$K$101)</f>
        <v>#DIV/0!</v>
      </c>
      <c r="N94" s="444"/>
      <c r="O94" s="444"/>
      <c r="P94" s="110"/>
      <c r="Q94" s="110"/>
      <c r="R94" s="110"/>
      <c r="S94" s="110"/>
      <c r="T94" s="435"/>
      <c r="U94" s="110"/>
      <c r="V94" s="110"/>
      <c r="W94" s="110"/>
      <c r="X94" s="110"/>
      <c r="Y94" s="435"/>
      <c r="Z94" s="110"/>
      <c r="AA94" s="110"/>
      <c r="AB94" s="110"/>
      <c r="AC94" s="110"/>
      <c r="AD94" s="435"/>
      <c r="AE94" s="110"/>
      <c r="AF94" s="110"/>
      <c r="AG94" s="110"/>
      <c r="AH94" s="110"/>
      <c r="AI94" s="435"/>
      <c r="AJ94" s="110"/>
      <c r="AK94" s="110"/>
      <c r="AL94" s="110"/>
      <c r="AM94" s="110"/>
      <c r="AN94" s="435"/>
      <c r="AO94" s="110"/>
      <c r="AP94" s="110"/>
      <c r="AQ94" s="110"/>
      <c r="AR94" s="110"/>
      <c r="AS94" s="435"/>
      <c r="AT94" s="110"/>
      <c r="AU94" s="110"/>
      <c r="AV94" s="110"/>
      <c r="AW94" s="110"/>
      <c r="AX94" s="435"/>
    </row>
    <row r="95" spans="2:50">
      <c r="B95" s="435"/>
      <c r="C95" s="110">
        <v>9</v>
      </c>
      <c r="D95" s="110"/>
      <c r="E95" s="110"/>
      <c r="F95" s="110"/>
      <c r="G95" s="110"/>
      <c r="H95" s="457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447"/>
      <c r="M95" s="184" t="e">
        <f>RANK(K95, K$87:$K$101)</f>
        <v>#DIV/0!</v>
      </c>
      <c r="N95" s="444"/>
      <c r="O95" s="444"/>
      <c r="P95" s="110"/>
      <c r="Q95" s="110"/>
      <c r="R95" s="110"/>
      <c r="S95" s="110"/>
      <c r="T95" s="435"/>
      <c r="U95" s="110"/>
      <c r="V95" s="110"/>
      <c r="W95" s="110"/>
      <c r="X95" s="110"/>
      <c r="Y95" s="435"/>
      <c r="Z95" s="110"/>
      <c r="AA95" s="110"/>
      <c r="AB95" s="110"/>
      <c r="AC95" s="110"/>
      <c r="AD95" s="435"/>
      <c r="AE95" s="110"/>
      <c r="AF95" s="110"/>
      <c r="AG95" s="110"/>
      <c r="AH95" s="110"/>
      <c r="AI95" s="435"/>
      <c r="AJ95" s="110"/>
      <c r="AK95" s="110"/>
      <c r="AL95" s="110"/>
      <c r="AM95" s="110"/>
      <c r="AN95" s="435"/>
      <c r="AO95" s="110"/>
      <c r="AP95" s="110"/>
      <c r="AQ95" s="110"/>
      <c r="AR95" s="110"/>
      <c r="AS95" s="435"/>
      <c r="AT95" s="110"/>
      <c r="AU95" s="110"/>
      <c r="AV95" s="110"/>
      <c r="AW95" s="110"/>
      <c r="AX95" s="435"/>
    </row>
    <row r="96" spans="2:50">
      <c r="B96" s="435"/>
      <c r="C96" s="110">
        <v>10</v>
      </c>
      <c r="D96" s="110"/>
      <c r="E96" s="110"/>
      <c r="F96" s="110"/>
      <c r="G96" s="110"/>
      <c r="H96" s="457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447"/>
      <c r="M96" s="184" t="e">
        <f>RANK(K96, K$87:$K$101)</f>
        <v>#DIV/0!</v>
      </c>
      <c r="N96" s="444"/>
      <c r="O96" s="444"/>
      <c r="P96" s="110"/>
      <c r="Q96" s="110"/>
      <c r="R96" s="110"/>
      <c r="S96" s="110"/>
      <c r="T96" s="435"/>
      <c r="U96" s="110"/>
      <c r="V96" s="110"/>
      <c r="W96" s="110"/>
      <c r="X96" s="110"/>
      <c r="Y96" s="435"/>
      <c r="Z96" s="110"/>
      <c r="AA96" s="110"/>
      <c r="AB96" s="110"/>
      <c r="AC96" s="110"/>
      <c r="AD96" s="435"/>
      <c r="AE96" s="110"/>
      <c r="AF96" s="110"/>
      <c r="AG96" s="110"/>
      <c r="AH96" s="110"/>
      <c r="AI96" s="435"/>
      <c r="AJ96" s="110"/>
      <c r="AK96" s="110"/>
      <c r="AL96" s="110"/>
      <c r="AM96" s="110"/>
      <c r="AN96" s="435"/>
      <c r="AO96" s="110"/>
      <c r="AP96" s="110"/>
      <c r="AQ96" s="110"/>
      <c r="AR96" s="110"/>
      <c r="AS96" s="435"/>
      <c r="AT96" s="110"/>
      <c r="AU96" s="110"/>
      <c r="AV96" s="110"/>
      <c r="AW96" s="110"/>
      <c r="AX96" s="435"/>
    </row>
    <row r="97" spans="2:50">
      <c r="B97" s="435"/>
      <c r="C97" s="110">
        <v>11</v>
      </c>
      <c r="D97" s="110"/>
      <c r="E97" s="110"/>
      <c r="F97" s="110"/>
      <c r="G97" s="110"/>
      <c r="H97" s="457"/>
      <c r="I97" s="110"/>
      <c r="J97" s="110"/>
      <c r="K97" s="110"/>
      <c r="L97" s="447"/>
      <c r="M97" s="184" t="e">
        <f>RANK(K97, K$87:$K$101)</f>
        <v>#DIV/0!</v>
      </c>
      <c r="N97" s="444"/>
      <c r="O97" s="444"/>
      <c r="P97" s="110"/>
      <c r="Q97" s="110"/>
      <c r="R97" s="110"/>
      <c r="S97" s="110"/>
      <c r="T97" s="435"/>
      <c r="U97" s="110"/>
      <c r="V97" s="110"/>
      <c r="W97" s="110"/>
      <c r="X97" s="110"/>
      <c r="Y97" s="435"/>
      <c r="Z97" s="110"/>
      <c r="AA97" s="110"/>
      <c r="AB97" s="110"/>
      <c r="AC97" s="110"/>
      <c r="AD97" s="435"/>
      <c r="AE97" s="110"/>
      <c r="AF97" s="110"/>
      <c r="AG97" s="110"/>
      <c r="AH97" s="110"/>
      <c r="AI97" s="435"/>
      <c r="AJ97" s="110"/>
      <c r="AK97" s="110"/>
      <c r="AL97" s="110"/>
      <c r="AM97" s="110"/>
      <c r="AN97" s="435"/>
      <c r="AO97" s="110"/>
      <c r="AP97" s="110"/>
      <c r="AQ97" s="110"/>
      <c r="AR97" s="110"/>
      <c r="AS97" s="435"/>
      <c r="AT97" s="110"/>
      <c r="AU97" s="110"/>
      <c r="AV97" s="110"/>
      <c r="AW97" s="110"/>
      <c r="AX97" s="435"/>
    </row>
    <row r="98" spans="2:50">
      <c r="B98" s="435"/>
      <c r="C98" s="110">
        <v>12</v>
      </c>
      <c r="D98" s="110"/>
      <c r="E98" s="110"/>
      <c r="F98" s="110"/>
      <c r="G98" s="110"/>
      <c r="H98" s="457"/>
      <c r="I98" s="110"/>
      <c r="J98" s="110"/>
      <c r="K98" s="110"/>
      <c r="L98" s="447"/>
      <c r="M98" s="184" t="e">
        <f>RANK(K98, K$87:$K$101)</f>
        <v>#DIV/0!</v>
      </c>
      <c r="N98" s="444"/>
      <c r="O98" s="444"/>
      <c r="P98" s="110"/>
      <c r="Q98" s="110"/>
      <c r="R98" s="110"/>
      <c r="S98" s="110"/>
      <c r="T98" s="435"/>
      <c r="U98" s="110"/>
      <c r="V98" s="110"/>
      <c r="W98" s="110"/>
      <c r="X98" s="110"/>
      <c r="Y98" s="435"/>
      <c r="Z98" s="110"/>
      <c r="AA98" s="110"/>
      <c r="AB98" s="110"/>
      <c r="AC98" s="110"/>
      <c r="AD98" s="435"/>
      <c r="AE98" s="110"/>
      <c r="AF98" s="110"/>
      <c r="AG98" s="110"/>
      <c r="AH98" s="110"/>
      <c r="AI98" s="435"/>
      <c r="AJ98" s="110"/>
      <c r="AK98" s="110"/>
      <c r="AL98" s="110"/>
      <c r="AM98" s="110"/>
      <c r="AN98" s="435"/>
      <c r="AO98" s="110"/>
      <c r="AP98" s="110"/>
      <c r="AQ98" s="110"/>
      <c r="AR98" s="110"/>
      <c r="AS98" s="435"/>
      <c r="AT98" s="110"/>
      <c r="AU98" s="110"/>
      <c r="AV98" s="110"/>
      <c r="AW98" s="110"/>
      <c r="AX98" s="435"/>
    </row>
    <row r="99" spans="2:50">
      <c r="B99" s="435"/>
      <c r="C99" s="110">
        <v>13</v>
      </c>
      <c r="D99" s="110"/>
      <c r="E99" s="110"/>
      <c r="F99" s="110"/>
      <c r="G99" s="110"/>
      <c r="H99" s="457"/>
      <c r="I99" s="110"/>
      <c r="J99" s="110"/>
      <c r="K99" s="110"/>
      <c r="L99" s="447"/>
      <c r="M99" s="184" t="e">
        <f>RANK(K99, K$87:$K$101)</f>
        <v>#DIV/0!</v>
      </c>
      <c r="N99" s="444"/>
      <c r="O99" s="444"/>
      <c r="P99" s="110"/>
      <c r="Q99" s="110"/>
      <c r="R99" s="110"/>
      <c r="S99" s="110"/>
      <c r="T99" s="435"/>
      <c r="U99" s="110"/>
      <c r="V99" s="110"/>
      <c r="W99" s="110"/>
      <c r="X99" s="110"/>
      <c r="Y99" s="435"/>
      <c r="Z99" s="110"/>
      <c r="AA99" s="110"/>
      <c r="AB99" s="110"/>
      <c r="AC99" s="110"/>
      <c r="AD99" s="435"/>
      <c r="AE99" s="110"/>
      <c r="AF99" s="110"/>
      <c r="AG99" s="110"/>
      <c r="AH99" s="110"/>
      <c r="AI99" s="435"/>
      <c r="AJ99" s="110"/>
      <c r="AK99" s="110"/>
      <c r="AL99" s="110"/>
      <c r="AM99" s="110"/>
      <c r="AN99" s="435"/>
      <c r="AO99" s="110"/>
      <c r="AP99" s="110"/>
      <c r="AQ99" s="110"/>
      <c r="AR99" s="110"/>
      <c r="AS99" s="435"/>
      <c r="AT99" s="110"/>
      <c r="AU99" s="110"/>
      <c r="AV99" s="110"/>
      <c r="AW99" s="110"/>
      <c r="AX99" s="435"/>
    </row>
    <row r="100" spans="2:50">
      <c r="B100" s="435"/>
      <c r="C100" s="110">
        <v>14</v>
      </c>
      <c r="D100" s="110"/>
      <c r="E100" s="110"/>
      <c r="F100" s="110"/>
      <c r="G100" s="110"/>
      <c r="H100" s="457"/>
      <c r="I100" s="110"/>
      <c r="J100" s="110"/>
      <c r="K100" s="110"/>
      <c r="L100" s="447"/>
      <c r="M100" s="184" t="e">
        <f>RANK(K100, K$87:$K$101)</f>
        <v>#DIV/0!</v>
      </c>
      <c r="N100" s="444"/>
      <c r="O100" s="444"/>
      <c r="P100" s="110"/>
      <c r="Q100" s="110"/>
      <c r="R100" s="110"/>
      <c r="S100" s="110"/>
      <c r="T100" s="435"/>
      <c r="U100" s="110"/>
      <c r="V100" s="110"/>
      <c r="W100" s="110"/>
      <c r="X100" s="110"/>
      <c r="Y100" s="435"/>
      <c r="Z100" s="110"/>
      <c r="AA100" s="110"/>
      <c r="AB100" s="110"/>
      <c r="AC100" s="110"/>
      <c r="AD100" s="435"/>
      <c r="AE100" s="110"/>
      <c r="AF100" s="110"/>
      <c r="AG100" s="110"/>
      <c r="AH100" s="110"/>
      <c r="AI100" s="435"/>
      <c r="AJ100" s="110"/>
      <c r="AK100" s="110"/>
      <c r="AL100" s="110"/>
      <c r="AM100" s="110"/>
      <c r="AN100" s="435"/>
      <c r="AO100" s="110"/>
      <c r="AP100" s="110"/>
      <c r="AQ100" s="110"/>
      <c r="AR100" s="110"/>
      <c r="AS100" s="435"/>
      <c r="AT100" s="110"/>
      <c r="AU100" s="110"/>
      <c r="AV100" s="110"/>
      <c r="AW100" s="110"/>
      <c r="AX100" s="435"/>
    </row>
    <row r="101" spans="2:50">
      <c r="B101" s="435"/>
      <c r="C101" s="110">
        <v>15</v>
      </c>
      <c r="D101" s="110"/>
      <c r="E101" s="110"/>
      <c r="F101" s="110"/>
      <c r="G101" s="110"/>
      <c r="H101" s="458"/>
      <c r="I101" s="110"/>
      <c r="J101" s="110"/>
      <c r="K101" s="110"/>
      <c r="L101" s="448"/>
      <c r="M101" s="184" t="e">
        <f>RANK(K101, K$87:$K$101)</f>
        <v>#DIV/0!</v>
      </c>
      <c r="N101" s="444"/>
      <c r="O101" s="444"/>
      <c r="P101" s="110"/>
      <c r="Q101" s="110"/>
      <c r="R101" s="110"/>
      <c r="S101" s="110"/>
      <c r="T101" s="435"/>
      <c r="U101" s="110"/>
      <c r="V101" s="110"/>
      <c r="W101" s="110"/>
      <c r="X101" s="110"/>
      <c r="Y101" s="435"/>
      <c r="Z101" s="110"/>
      <c r="AA101" s="110"/>
      <c r="AB101" s="110"/>
      <c r="AC101" s="110"/>
      <c r="AD101" s="435"/>
      <c r="AE101" s="110"/>
      <c r="AF101" s="110"/>
      <c r="AG101" s="110"/>
      <c r="AH101" s="110"/>
      <c r="AI101" s="435"/>
      <c r="AJ101" s="110"/>
      <c r="AK101" s="110"/>
      <c r="AL101" s="110"/>
      <c r="AM101" s="110"/>
      <c r="AN101" s="435"/>
      <c r="AO101" s="110"/>
      <c r="AP101" s="110"/>
      <c r="AQ101" s="110"/>
      <c r="AR101" s="110"/>
      <c r="AS101" s="435"/>
      <c r="AT101" s="110"/>
      <c r="AU101" s="110"/>
      <c r="AV101" s="110"/>
      <c r="AW101" s="110"/>
      <c r="AX101" s="435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4" topLeftCell="E1" activePane="topRight" state="frozen"/>
      <selection pane="topRight" activeCell="G15" sqref="G15"/>
    </sheetView>
  </sheetViews>
  <sheetFormatPr defaultColWidth="8.85546875" defaultRowHeight="12.75"/>
  <cols>
    <col min="1" max="1" width="5.5703125" style="241" customWidth="1"/>
    <col min="2" max="2" width="12.42578125" style="241" customWidth="1"/>
    <col min="3" max="3" width="8.85546875" style="240"/>
    <col min="4" max="4" width="26.42578125" style="240" customWidth="1"/>
    <col min="5" max="7" width="8.42578125" style="240" customWidth="1"/>
    <col min="8" max="8" width="11.140625" style="240" bestFit="1" customWidth="1"/>
    <col min="9" max="12" width="11.140625" style="240" customWidth="1"/>
    <col min="13" max="13" width="13.5703125" style="240" customWidth="1"/>
    <col min="14" max="14" width="9.85546875" style="240" customWidth="1"/>
    <col min="15" max="15" width="7.140625" style="240" customWidth="1"/>
    <col min="16" max="18" width="12.85546875" style="240" customWidth="1"/>
    <col min="19" max="19" width="7.7109375" style="240" bestFit="1" customWidth="1"/>
    <col min="20" max="20" width="12.85546875" style="240" customWidth="1"/>
    <col min="21" max="23" width="12.85546875" style="241" customWidth="1"/>
    <col min="24" max="24" width="5.42578125" style="240" customWidth="1"/>
    <col min="25" max="28" width="12.85546875" style="241" customWidth="1"/>
    <col min="29" max="29" width="5.42578125" style="240" customWidth="1"/>
    <col min="30" max="30" width="12.85546875" style="241" customWidth="1"/>
    <col min="31" max="33" width="12.5703125" style="241" customWidth="1"/>
    <col min="34" max="34" width="5.42578125" style="240" customWidth="1"/>
    <col min="35" max="35" width="13" style="241" customWidth="1"/>
    <col min="36" max="38" width="12.5703125" style="241" customWidth="1"/>
    <col min="39" max="39" width="5.42578125" style="240" customWidth="1"/>
    <col min="40" max="40" width="13" style="241" customWidth="1"/>
    <col min="41" max="43" width="13.140625" style="241" customWidth="1"/>
    <col min="44" max="44" width="5.42578125" style="241" customWidth="1"/>
    <col min="45" max="48" width="13.140625" style="241" customWidth="1"/>
    <col min="49" max="49" width="5.42578125" style="241" customWidth="1"/>
    <col min="50" max="50" width="13.140625" style="241" customWidth="1"/>
    <col min="51" max="16384" width="8.85546875" style="241"/>
  </cols>
  <sheetData>
    <row r="1" spans="1:50" ht="21">
      <c r="A1" s="237"/>
      <c r="B1" s="238" t="s">
        <v>127</v>
      </c>
      <c r="C1" s="239">
        <v>111.7</v>
      </c>
    </row>
    <row r="2" spans="1:50" ht="15.75">
      <c r="A2" s="242"/>
      <c r="B2" s="426" t="s">
        <v>93</v>
      </c>
      <c r="C2" s="422"/>
      <c r="D2" s="422"/>
      <c r="E2" s="422"/>
      <c r="F2" s="422"/>
      <c r="G2" s="422"/>
      <c r="H2" s="422"/>
      <c r="I2" s="243"/>
      <c r="J2" s="243"/>
      <c r="K2" s="243"/>
      <c r="L2" s="243"/>
      <c r="M2" s="244"/>
      <c r="N2" s="418" t="s">
        <v>94</v>
      </c>
      <c r="O2" s="418" t="s">
        <v>45</v>
      </c>
      <c r="P2" s="413"/>
      <c r="Q2" s="405"/>
      <c r="R2" s="405"/>
      <c r="S2" s="405"/>
      <c r="T2" s="405"/>
      <c r="U2" s="413">
        <v>45931</v>
      </c>
      <c r="V2" s="405"/>
      <c r="W2" s="405"/>
      <c r="X2" s="405"/>
      <c r="Y2" s="405"/>
      <c r="Z2" s="413">
        <v>45932</v>
      </c>
      <c r="AA2" s="405"/>
      <c r="AB2" s="405"/>
      <c r="AC2" s="405"/>
      <c r="AD2" s="405"/>
      <c r="AE2" s="413">
        <v>45933</v>
      </c>
      <c r="AF2" s="405"/>
      <c r="AG2" s="405"/>
      <c r="AH2" s="405"/>
      <c r="AI2" s="405"/>
      <c r="AJ2" s="413">
        <v>45934</v>
      </c>
      <c r="AK2" s="405"/>
      <c r="AL2" s="405"/>
      <c r="AM2" s="405"/>
      <c r="AN2" s="405"/>
      <c r="AO2" s="413">
        <v>45935</v>
      </c>
      <c r="AP2" s="405"/>
      <c r="AQ2" s="405"/>
      <c r="AR2" s="405"/>
      <c r="AS2" s="405"/>
      <c r="AT2" s="413">
        <v>45936</v>
      </c>
      <c r="AU2" s="405"/>
      <c r="AV2" s="405"/>
      <c r="AW2" s="405"/>
      <c r="AX2" s="405"/>
    </row>
    <row r="3" spans="1:50" ht="15.75">
      <c r="A3" s="242"/>
      <c r="B3" s="423"/>
      <c r="C3" s="423"/>
      <c r="D3" s="423"/>
      <c r="E3" s="423"/>
      <c r="F3" s="423"/>
      <c r="G3" s="423"/>
      <c r="H3" s="423"/>
      <c r="I3" s="245"/>
      <c r="J3" s="245"/>
      <c r="K3" s="245"/>
      <c r="L3" s="245"/>
      <c r="M3" s="246"/>
      <c r="N3" s="420"/>
      <c r="O3" s="420"/>
      <c r="P3" s="413" t="s">
        <v>77</v>
      </c>
      <c r="Q3" s="405"/>
      <c r="R3" s="405"/>
      <c r="S3" s="405"/>
      <c r="T3" s="405"/>
      <c r="U3" s="413" t="s">
        <v>72</v>
      </c>
      <c r="V3" s="405"/>
      <c r="W3" s="405"/>
      <c r="X3" s="405"/>
      <c r="Y3" s="405"/>
      <c r="Z3" s="413" t="s">
        <v>73</v>
      </c>
      <c r="AA3" s="405"/>
      <c r="AB3" s="405"/>
      <c r="AC3" s="405"/>
      <c r="AD3" s="405"/>
      <c r="AE3" s="413" t="s">
        <v>74</v>
      </c>
      <c r="AF3" s="405"/>
      <c r="AG3" s="405"/>
      <c r="AH3" s="405"/>
      <c r="AI3" s="405"/>
      <c r="AJ3" s="413" t="s">
        <v>75</v>
      </c>
      <c r="AK3" s="405"/>
      <c r="AL3" s="405"/>
      <c r="AM3" s="405"/>
      <c r="AN3" s="405"/>
      <c r="AO3" s="413" t="s">
        <v>52</v>
      </c>
      <c r="AP3" s="405"/>
      <c r="AQ3" s="405"/>
      <c r="AR3" s="405"/>
      <c r="AS3" s="405"/>
      <c r="AT3" s="413" t="s">
        <v>76</v>
      </c>
      <c r="AU3" s="405"/>
      <c r="AV3" s="405"/>
      <c r="AW3" s="405"/>
      <c r="AX3" s="405"/>
    </row>
    <row r="4" spans="1:50">
      <c r="A4" s="242"/>
      <c r="B4" s="409" t="s">
        <v>95</v>
      </c>
      <c r="C4" s="409" t="s">
        <v>96</v>
      </c>
      <c r="D4" s="409"/>
      <c r="E4" s="409" t="s">
        <v>97</v>
      </c>
      <c r="F4" s="409"/>
      <c r="G4" s="409"/>
      <c r="H4" s="415" t="s">
        <v>98</v>
      </c>
      <c r="I4" s="409" t="s">
        <v>99</v>
      </c>
      <c r="J4" s="409"/>
      <c r="K4" s="409"/>
      <c r="L4" s="415" t="s">
        <v>98</v>
      </c>
      <c r="M4" s="418" t="s">
        <v>100</v>
      </c>
      <c r="N4" s="409"/>
      <c r="O4" s="409" t="s">
        <v>101</v>
      </c>
      <c r="P4" s="410" t="s">
        <v>102</v>
      </c>
      <c r="Q4" s="411"/>
      <c r="R4" s="411"/>
      <c r="S4" s="412"/>
      <c r="T4" s="409" t="s">
        <v>98</v>
      </c>
      <c r="U4" s="410" t="s">
        <v>102</v>
      </c>
      <c r="V4" s="411"/>
      <c r="W4" s="411"/>
      <c r="X4" s="412"/>
      <c r="Y4" s="409" t="s">
        <v>98</v>
      </c>
      <c r="Z4" s="410" t="s">
        <v>102</v>
      </c>
      <c r="AA4" s="411"/>
      <c r="AB4" s="411"/>
      <c r="AC4" s="412"/>
      <c r="AD4" s="409" t="s">
        <v>98</v>
      </c>
      <c r="AE4" s="410" t="s">
        <v>102</v>
      </c>
      <c r="AF4" s="411"/>
      <c r="AG4" s="411"/>
      <c r="AH4" s="412"/>
      <c r="AI4" s="409" t="s">
        <v>98</v>
      </c>
      <c r="AJ4" s="410" t="s">
        <v>102</v>
      </c>
      <c r="AK4" s="411"/>
      <c r="AL4" s="411"/>
      <c r="AM4" s="412"/>
      <c r="AN4" s="409" t="s">
        <v>98</v>
      </c>
      <c r="AO4" s="410" t="s">
        <v>102</v>
      </c>
      <c r="AP4" s="411"/>
      <c r="AQ4" s="411"/>
      <c r="AR4" s="412"/>
      <c r="AS4" s="409" t="s">
        <v>98</v>
      </c>
      <c r="AT4" s="410" t="s">
        <v>102</v>
      </c>
      <c r="AU4" s="411"/>
      <c r="AV4" s="411"/>
      <c r="AW4" s="412"/>
      <c r="AX4" s="409" t="s">
        <v>98</v>
      </c>
    </row>
    <row r="5" spans="1:50">
      <c r="A5" s="242"/>
      <c r="B5" s="409"/>
      <c r="C5" s="409"/>
      <c r="D5" s="409"/>
      <c r="E5" s="409" t="s">
        <v>103</v>
      </c>
      <c r="F5" s="409"/>
      <c r="G5" s="409"/>
      <c r="H5" s="416"/>
      <c r="I5" s="409" t="s">
        <v>103</v>
      </c>
      <c r="J5" s="409"/>
      <c r="K5" s="409"/>
      <c r="L5" s="416"/>
      <c r="M5" s="419"/>
      <c r="N5" s="409"/>
      <c r="O5" s="409"/>
      <c r="P5" s="410" t="s">
        <v>104</v>
      </c>
      <c r="Q5" s="411"/>
      <c r="R5" s="411"/>
      <c r="S5" s="412"/>
      <c r="T5" s="409"/>
      <c r="U5" s="410" t="s">
        <v>104</v>
      </c>
      <c r="V5" s="411"/>
      <c r="W5" s="411"/>
      <c r="X5" s="412"/>
      <c r="Y5" s="409"/>
      <c r="Z5" s="410" t="s">
        <v>104</v>
      </c>
      <c r="AA5" s="411"/>
      <c r="AB5" s="411"/>
      <c r="AC5" s="412"/>
      <c r="AD5" s="409"/>
      <c r="AE5" s="410" t="s">
        <v>104</v>
      </c>
      <c r="AF5" s="411"/>
      <c r="AG5" s="411"/>
      <c r="AH5" s="412"/>
      <c r="AI5" s="409"/>
      <c r="AJ5" s="410" t="s">
        <v>104</v>
      </c>
      <c r="AK5" s="411"/>
      <c r="AL5" s="411"/>
      <c r="AM5" s="412"/>
      <c r="AN5" s="409"/>
      <c r="AO5" s="410" t="s">
        <v>104</v>
      </c>
      <c r="AP5" s="411"/>
      <c r="AQ5" s="411"/>
      <c r="AR5" s="412"/>
      <c r="AS5" s="409"/>
      <c r="AT5" s="410" t="s">
        <v>104</v>
      </c>
      <c r="AU5" s="411"/>
      <c r="AV5" s="411"/>
      <c r="AW5" s="412"/>
      <c r="AX5" s="409"/>
    </row>
    <row r="6" spans="1:50">
      <c r="A6" s="247"/>
      <c r="B6" s="409"/>
      <c r="C6" s="409"/>
      <c r="D6" s="409"/>
      <c r="E6" s="248" t="s">
        <v>105</v>
      </c>
      <c r="F6" s="248" t="s">
        <v>106</v>
      </c>
      <c r="G6" s="248" t="s">
        <v>107</v>
      </c>
      <c r="H6" s="417"/>
      <c r="I6" s="248" t="s">
        <v>105</v>
      </c>
      <c r="J6" s="248" t="s">
        <v>106</v>
      </c>
      <c r="K6" s="248" t="s">
        <v>107</v>
      </c>
      <c r="L6" s="417"/>
      <c r="M6" s="420"/>
      <c r="N6" s="409"/>
      <c r="O6" s="409"/>
      <c r="P6" s="248" t="s">
        <v>105</v>
      </c>
      <c r="Q6" s="248" t="s">
        <v>106</v>
      </c>
      <c r="R6" s="248" t="s">
        <v>107</v>
      </c>
      <c r="S6" s="248" t="s">
        <v>100</v>
      </c>
      <c r="T6" s="409"/>
      <c r="U6" s="248" t="s">
        <v>105</v>
      </c>
      <c r="V6" s="248" t="s">
        <v>106</v>
      </c>
      <c r="W6" s="248" t="s">
        <v>107</v>
      </c>
      <c r="X6" s="248" t="s">
        <v>100</v>
      </c>
      <c r="Y6" s="409"/>
      <c r="Z6" s="248" t="s">
        <v>105</v>
      </c>
      <c r="AA6" s="248" t="s">
        <v>106</v>
      </c>
      <c r="AB6" s="248" t="s">
        <v>107</v>
      </c>
      <c r="AC6" s="248" t="s">
        <v>100</v>
      </c>
      <c r="AD6" s="409"/>
      <c r="AE6" s="248" t="s">
        <v>105</v>
      </c>
      <c r="AF6" s="248" t="s">
        <v>106</v>
      </c>
      <c r="AG6" s="248" t="s">
        <v>107</v>
      </c>
      <c r="AH6" s="248" t="s">
        <v>100</v>
      </c>
      <c r="AI6" s="409"/>
      <c r="AJ6" s="248" t="s">
        <v>105</v>
      </c>
      <c r="AK6" s="248" t="s">
        <v>106</v>
      </c>
      <c r="AL6" s="248" t="s">
        <v>107</v>
      </c>
      <c r="AM6" s="248" t="s">
        <v>100</v>
      </c>
      <c r="AN6" s="409"/>
      <c r="AO6" s="248" t="s">
        <v>105</v>
      </c>
      <c r="AP6" s="248" t="s">
        <v>106</v>
      </c>
      <c r="AQ6" s="248" t="s">
        <v>107</v>
      </c>
      <c r="AR6" s="248" t="s">
        <v>100</v>
      </c>
      <c r="AS6" s="409"/>
      <c r="AT6" s="248" t="s">
        <v>105</v>
      </c>
      <c r="AU6" s="248" t="s">
        <v>106</v>
      </c>
      <c r="AV6" s="248" t="s">
        <v>107</v>
      </c>
      <c r="AW6" s="248" t="s">
        <v>100</v>
      </c>
      <c r="AX6" s="409"/>
    </row>
    <row r="7" spans="1:50">
      <c r="A7" s="242"/>
      <c r="B7" s="409" t="s">
        <v>84</v>
      </c>
      <c r="C7" s="249">
        <v>1</v>
      </c>
      <c r="D7" s="249" t="s">
        <v>130</v>
      </c>
      <c r="E7" s="250" t="e">
        <f>VLOOKUP(D7,#REF!,2,0)</f>
        <v>#REF!</v>
      </c>
      <c r="F7" s="250" t="e">
        <f>VLOOKUP(D7,#REF!,3,0)</f>
        <v>#REF!</v>
      </c>
      <c r="G7" s="251" t="e">
        <f>F7/E7</f>
        <v>#REF!</v>
      </c>
      <c r="H7" s="406" t="e">
        <f>AVERAGE(G7:G21)</f>
        <v>#REF!</v>
      </c>
      <c r="I7" s="250">
        <f t="shared" ref="I7:J9" si="0">AVERAGE(P7,U7,Z7,AE7,AJ7,AO7,AT7)</f>
        <v>13</v>
      </c>
      <c r="J7" s="250">
        <f t="shared" si="0"/>
        <v>1473.8333333333333</v>
      </c>
      <c r="K7" s="251">
        <f>AVERAGE(W7,AB7,AG7,AL7,AQ7,AV7)</f>
        <v>113.37179487179488</v>
      </c>
      <c r="L7" s="406">
        <f>IFERROR(AVERAGE(K7:K21),"-")</f>
        <v>111.71652421652421</v>
      </c>
      <c r="M7" s="252">
        <f>RANK(K7, K$7:$K$21)</f>
        <v>1</v>
      </c>
      <c r="N7" s="409"/>
      <c r="O7" s="409"/>
      <c r="P7" s="250"/>
      <c r="Q7" s="250"/>
      <c r="R7" s="251" t="e">
        <f>Q7/P7</f>
        <v>#DIV/0!</v>
      </c>
      <c r="S7" s="249" t="e">
        <f>RANK(R7, R$7:R$21)</f>
        <v>#DIV/0!</v>
      </c>
      <c r="T7" s="404" t="e">
        <f>AVERAGE(R7:R21)</f>
        <v>#DIV/0!</v>
      </c>
      <c r="U7" s="250">
        <v>13</v>
      </c>
      <c r="V7" s="250">
        <v>1427</v>
      </c>
      <c r="W7" s="251">
        <f>V7/U7</f>
        <v>109.76923076923077</v>
      </c>
      <c r="X7" s="249">
        <f>RANK(W7, W$7:W$21)</f>
        <v>3</v>
      </c>
      <c r="Y7" s="404">
        <f>AVERAGE(W7:W21)</f>
        <v>118.97863247863249</v>
      </c>
      <c r="Z7" s="249">
        <v>13</v>
      </c>
      <c r="AA7" s="250">
        <v>1507</v>
      </c>
      <c r="AB7" s="251">
        <f>AA7/Z7</f>
        <v>115.92307692307692</v>
      </c>
      <c r="AC7" s="249">
        <f>RANK(AB7, AB$7:AB$21)</f>
        <v>2</v>
      </c>
      <c r="AD7" s="404">
        <f>AVERAGE(AB7:AB21)</f>
        <v>116.52991452991454</v>
      </c>
      <c r="AE7" s="250">
        <v>13</v>
      </c>
      <c r="AF7" s="250">
        <v>1506</v>
      </c>
      <c r="AG7" s="251">
        <f>AF7/AE7</f>
        <v>115.84615384615384</v>
      </c>
      <c r="AH7" s="249">
        <f>RANK(AG7, AG$7:AG$21)</f>
        <v>1</v>
      </c>
      <c r="AI7" s="404">
        <f>AVERAGE(AG7:AG21)</f>
        <v>104.22649572649573</v>
      </c>
      <c r="AJ7" s="250">
        <v>13</v>
      </c>
      <c r="AK7" s="250">
        <v>1367</v>
      </c>
      <c r="AL7" s="251">
        <f>AK7/AJ7</f>
        <v>105.15384615384616</v>
      </c>
      <c r="AM7" s="249">
        <f>RANK(AL7, AL$7:AL$21)</f>
        <v>3</v>
      </c>
      <c r="AN7" s="404">
        <f>AVERAGE(AL7:AL21)</f>
        <v>115.57905982905983</v>
      </c>
      <c r="AO7" s="250">
        <v>13</v>
      </c>
      <c r="AP7" s="250">
        <v>1564</v>
      </c>
      <c r="AQ7" s="251">
        <f>AP7/AO7</f>
        <v>120.30769230769231</v>
      </c>
      <c r="AR7" s="249">
        <f>RANK(AQ7, AQ$7:AQ$21)</f>
        <v>1</v>
      </c>
      <c r="AS7" s="404">
        <f>AVERAGE(AQ7:AQ21)</f>
        <v>113.96367521367522</v>
      </c>
      <c r="AT7" s="250">
        <v>13</v>
      </c>
      <c r="AU7" s="250">
        <v>1472</v>
      </c>
      <c r="AV7" s="251">
        <f>AU7/AT7</f>
        <v>113.23076923076923</v>
      </c>
      <c r="AW7" s="249">
        <f>RANK(AV7, AV$7:AV$21)</f>
        <v>2</v>
      </c>
      <c r="AX7" s="404">
        <f>AVERAGE(AV7:AV21)</f>
        <v>101.02136752136754</v>
      </c>
    </row>
    <row r="8" spans="1:50" ht="15" customHeight="1">
      <c r="A8" s="242"/>
      <c r="B8" s="405"/>
      <c r="C8" s="249">
        <v>2</v>
      </c>
      <c r="D8" s="249" t="s">
        <v>131</v>
      </c>
      <c r="E8" s="250" t="e">
        <f>VLOOKUP(D8,#REF!,2,0)</f>
        <v>#REF!</v>
      </c>
      <c r="F8" s="250" t="e">
        <f>VLOOKUP(D8,#REF!,3,0)</f>
        <v>#REF!</v>
      </c>
      <c r="G8" s="251" t="e">
        <f>F8/E8</f>
        <v>#REF!</v>
      </c>
      <c r="H8" s="407"/>
      <c r="I8" s="250">
        <f t="shared" si="0"/>
        <v>12</v>
      </c>
      <c r="J8" s="250">
        <f t="shared" si="0"/>
        <v>1304.3333333333333</v>
      </c>
      <c r="K8" s="251">
        <f>AVERAGE(W8,AB8,AG8,AL8,AQ8,AV8)</f>
        <v>108.69444444444444</v>
      </c>
      <c r="L8" s="407"/>
      <c r="M8" s="252">
        <f>RANK(K8, K$7:$K$21)</f>
        <v>3</v>
      </c>
      <c r="N8" s="409"/>
      <c r="O8" s="409"/>
      <c r="P8" s="250"/>
      <c r="Q8" s="250"/>
      <c r="R8" s="251" t="e">
        <f t="shared" ref="R8:R13" si="1">Q8/P8</f>
        <v>#DIV/0!</v>
      </c>
      <c r="S8" s="249" t="e">
        <f t="shared" ref="S8:S13" si="2">RANK(R8, R$7:R$21)</f>
        <v>#DIV/0!</v>
      </c>
      <c r="T8" s="404"/>
      <c r="U8" s="250">
        <v>12</v>
      </c>
      <c r="V8" s="250">
        <v>1472</v>
      </c>
      <c r="W8" s="251">
        <f>V8/U8</f>
        <v>122.66666666666667</v>
      </c>
      <c r="X8" s="249">
        <f>RANK(W8, W$7:W$21)</f>
        <v>2</v>
      </c>
      <c r="Y8" s="404"/>
      <c r="Z8" s="249">
        <v>12</v>
      </c>
      <c r="AA8" s="250">
        <v>1516</v>
      </c>
      <c r="AB8" s="251">
        <f>AA8/Z8</f>
        <v>126.33333333333333</v>
      </c>
      <c r="AC8" s="249">
        <f>RANK(AB8, AB$7:AB$21)</f>
        <v>1</v>
      </c>
      <c r="AD8" s="404"/>
      <c r="AE8" s="250">
        <v>12</v>
      </c>
      <c r="AF8" s="250">
        <v>1181</v>
      </c>
      <c r="AG8" s="251">
        <f>AF8/AE8</f>
        <v>98.416666666666671</v>
      </c>
      <c r="AH8" s="249">
        <f>RANK(AG8, AG$7:AG$21)</f>
        <v>2</v>
      </c>
      <c r="AI8" s="404"/>
      <c r="AJ8" s="250">
        <v>12</v>
      </c>
      <c r="AK8" s="250">
        <v>1527</v>
      </c>
      <c r="AL8" s="251">
        <f>AK8/AJ8</f>
        <v>127.25</v>
      </c>
      <c r="AM8" s="249">
        <f>RANK(AL8, AL$7:AL$21)</f>
        <v>1</v>
      </c>
      <c r="AN8" s="404"/>
      <c r="AO8" s="250">
        <v>12</v>
      </c>
      <c r="AP8" s="250">
        <v>1273</v>
      </c>
      <c r="AQ8" s="251">
        <f>AP8/AO8</f>
        <v>106.08333333333333</v>
      </c>
      <c r="AR8" s="249">
        <f>RANK(AQ8, AQ$7:AQ$21)</f>
        <v>3</v>
      </c>
      <c r="AS8" s="404"/>
      <c r="AT8" s="250">
        <v>12</v>
      </c>
      <c r="AU8" s="250">
        <v>857</v>
      </c>
      <c r="AV8" s="251">
        <f>AU8/AT8</f>
        <v>71.416666666666671</v>
      </c>
      <c r="AW8" s="249">
        <f>RANK(AV8, AV$7:AV$21)</f>
        <v>3</v>
      </c>
      <c r="AX8" s="404"/>
    </row>
    <row r="9" spans="1:50">
      <c r="A9" s="242"/>
      <c r="B9" s="405"/>
      <c r="C9" s="249">
        <v>3</v>
      </c>
      <c r="D9" s="249" t="s">
        <v>132</v>
      </c>
      <c r="E9" s="250" t="e">
        <f>VLOOKUP(D9,#REF!,2,0)</f>
        <v>#REF!</v>
      </c>
      <c r="F9" s="250" t="e">
        <f>VLOOKUP(D9,#REF!,3,0)</f>
        <v>#REF!</v>
      </c>
      <c r="G9" s="251" t="e">
        <f>F9/E9</f>
        <v>#REF!</v>
      </c>
      <c r="H9" s="407"/>
      <c r="I9" s="250">
        <f t="shared" si="0"/>
        <v>12</v>
      </c>
      <c r="J9" s="250">
        <f t="shared" si="0"/>
        <v>1357</v>
      </c>
      <c r="K9" s="251">
        <f>AVERAGE(W9,AB9,AG9,AL9,AQ9,AV9)</f>
        <v>113.08333333333331</v>
      </c>
      <c r="L9" s="407"/>
      <c r="M9" s="252">
        <f>RANK(K9, K$7:$K$21)</f>
        <v>2</v>
      </c>
      <c r="N9" s="409"/>
      <c r="O9" s="409"/>
      <c r="P9" s="250"/>
      <c r="Q9" s="250"/>
      <c r="R9" s="251" t="e">
        <f t="shared" si="1"/>
        <v>#DIV/0!</v>
      </c>
      <c r="S9" s="249" t="e">
        <f t="shared" si="2"/>
        <v>#DIV/0!</v>
      </c>
      <c r="T9" s="404"/>
      <c r="U9" s="250">
        <v>12</v>
      </c>
      <c r="V9" s="250">
        <v>1494</v>
      </c>
      <c r="W9" s="251">
        <f>V9/U9</f>
        <v>124.5</v>
      </c>
      <c r="X9" s="249">
        <f>RANK(W9, W$7:W$21)</f>
        <v>1</v>
      </c>
      <c r="Y9" s="404"/>
      <c r="Z9" s="249">
        <v>12</v>
      </c>
      <c r="AA9" s="250">
        <v>1288</v>
      </c>
      <c r="AB9" s="251">
        <f>AA9/Z9</f>
        <v>107.33333333333333</v>
      </c>
      <c r="AC9" s="249">
        <f>RANK(AB9, AB$7:AB$21)</f>
        <v>3</v>
      </c>
      <c r="AD9" s="404"/>
      <c r="AE9" s="250">
        <v>12</v>
      </c>
      <c r="AF9" s="250">
        <v>1181</v>
      </c>
      <c r="AG9" s="251">
        <f>AF9/AE9</f>
        <v>98.416666666666671</v>
      </c>
      <c r="AH9" s="249">
        <f>RANK(AG9, AG$7:AG$21)</f>
        <v>2</v>
      </c>
      <c r="AI9" s="404"/>
      <c r="AJ9" s="250">
        <v>12</v>
      </c>
      <c r="AK9" s="250">
        <v>1372</v>
      </c>
      <c r="AL9" s="251">
        <f>AK9/AJ9</f>
        <v>114.33333333333333</v>
      </c>
      <c r="AM9" s="249">
        <f>RANK(AL9, AL$7:AL$21)</f>
        <v>2</v>
      </c>
      <c r="AN9" s="404"/>
      <c r="AO9" s="250">
        <v>12</v>
      </c>
      <c r="AP9" s="250">
        <v>1386</v>
      </c>
      <c r="AQ9" s="251">
        <f>AP9/AO9</f>
        <v>115.5</v>
      </c>
      <c r="AR9" s="249">
        <f>RANK(AQ9, AQ$7:AQ$21)</f>
        <v>2</v>
      </c>
      <c r="AS9" s="404"/>
      <c r="AT9" s="250">
        <v>12</v>
      </c>
      <c r="AU9" s="250">
        <v>1421</v>
      </c>
      <c r="AV9" s="251">
        <f>AU9/AT9</f>
        <v>118.41666666666667</v>
      </c>
      <c r="AW9" s="249">
        <f>RANK(AV9, AV$7:AV$21)</f>
        <v>1</v>
      </c>
      <c r="AX9" s="404"/>
    </row>
    <row r="10" spans="1:50">
      <c r="A10" s="242"/>
      <c r="B10" s="405"/>
      <c r="C10" s="249">
        <v>4</v>
      </c>
      <c r="D10" s="249"/>
      <c r="E10" s="250"/>
      <c r="F10" s="250"/>
      <c r="G10" s="251"/>
      <c r="H10" s="407"/>
      <c r="I10" s="250"/>
      <c r="J10" s="250"/>
      <c r="K10" s="251"/>
      <c r="L10" s="407"/>
      <c r="M10" s="252"/>
      <c r="N10" s="409"/>
      <c r="O10" s="409"/>
      <c r="P10" s="250"/>
      <c r="Q10" s="250"/>
      <c r="R10" s="251" t="e">
        <f t="shared" si="1"/>
        <v>#DIV/0!</v>
      </c>
      <c r="S10" s="249" t="e">
        <f t="shared" si="2"/>
        <v>#DIV/0!</v>
      </c>
      <c r="T10" s="404"/>
      <c r="U10" s="250"/>
      <c r="V10" s="250"/>
      <c r="W10" s="251"/>
      <c r="X10" s="249"/>
      <c r="Y10" s="404"/>
      <c r="Z10" s="249"/>
      <c r="AA10" s="250"/>
      <c r="AB10" s="251"/>
      <c r="AC10" s="249"/>
      <c r="AD10" s="404"/>
      <c r="AE10" s="250"/>
      <c r="AF10" s="250"/>
      <c r="AG10" s="251"/>
      <c r="AH10" s="249"/>
      <c r="AI10" s="404"/>
      <c r="AJ10" s="250"/>
      <c r="AK10" s="250"/>
      <c r="AL10" s="251"/>
      <c r="AM10" s="249"/>
      <c r="AN10" s="404"/>
      <c r="AO10" s="250"/>
      <c r="AP10" s="250"/>
      <c r="AQ10" s="251"/>
      <c r="AR10" s="249"/>
      <c r="AS10" s="404"/>
      <c r="AT10" s="250"/>
      <c r="AU10" s="250"/>
      <c r="AV10" s="251"/>
      <c r="AW10" s="249"/>
      <c r="AX10" s="404"/>
    </row>
    <row r="11" spans="1:50">
      <c r="A11" s="242"/>
      <c r="B11" s="405"/>
      <c r="C11" s="249">
        <v>5</v>
      </c>
      <c r="D11" s="249"/>
      <c r="E11" s="250"/>
      <c r="F11" s="250"/>
      <c r="G11" s="251"/>
      <c r="H11" s="407"/>
      <c r="I11" s="250"/>
      <c r="J11" s="250"/>
      <c r="K11" s="251"/>
      <c r="L11" s="407"/>
      <c r="M11" s="252"/>
      <c r="N11" s="409"/>
      <c r="O11" s="409"/>
      <c r="P11" s="250"/>
      <c r="Q11" s="250"/>
      <c r="R11" s="251" t="e">
        <f t="shared" si="1"/>
        <v>#DIV/0!</v>
      </c>
      <c r="S11" s="249" t="e">
        <f t="shared" si="2"/>
        <v>#DIV/0!</v>
      </c>
      <c r="T11" s="404"/>
      <c r="U11" s="250"/>
      <c r="V11" s="250"/>
      <c r="W11" s="251"/>
      <c r="X11" s="249"/>
      <c r="Y11" s="404"/>
      <c r="Z11" s="249"/>
      <c r="AA11" s="250"/>
      <c r="AB11" s="251"/>
      <c r="AC11" s="249"/>
      <c r="AD11" s="404"/>
      <c r="AE11" s="250"/>
      <c r="AF11" s="250"/>
      <c r="AG11" s="251"/>
      <c r="AH11" s="249"/>
      <c r="AI11" s="404"/>
      <c r="AJ11" s="250"/>
      <c r="AK11" s="250"/>
      <c r="AL11" s="251"/>
      <c r="AM11" s="249"/>
      <c r="AN11" s="404"/>
      <c r="AO11" s="250"/>
      <c r="AP11" s="250"/>
      <c r="AQ11" s="251"/>
      <c r="AR11" s="249"/>
      <c r="AS11" s="404"/>
      <c r="AT11" s="250"/>
      <c r="AU11" s="250"/>
      <c r="AV11" s="251"/>
      <c r="AW11" s="249"/>
      <c r="AX11" s="404"/>
    </row>
    <row r="12" spans="1:50">
      <c r="A12" s="242"/>
      <c r="B12" s="405"/>
      <c r="C12" s="249">
        <v>6</v>
      </c>
      <c r="D12" s="249"/>
      <c r="E12" s="250"/>
      <c r="F12" s="250"/>
      <c r="G12" s="251"/>
      <c r="H12" s="407"/>
      <c r="I12" s="250"/>
      <c r="J12" s="250"/>
      <c r="K12" s="251"/>
      <c r="L12" s="407"/>
      <c r="M12" s="252"/>
      <c r="N12" s="409"/>
      <c r="O12" s="409"/>
      <c r="P12" s="250"/>
      <c r="Q12" s="250"/>
      <c r="R12" s="251" t="e">
        <f t="shared" si="1"/>
        <v>#DIV/0!</v>
      </c>
      <c r="S12" s="249" t="e">
        <f t="shared" si="2"/>
        <v>#DIV/0!</v>
      </c>
      <c r="T12" s="404"/>
      <c r="U12" s="250"/>
      <c r="V12" s="250"/>
      <c r="W12" s="251"/>
      <c r="X12" s="249"/>
      <c r="Y12" s="404"/>
      <c r="Z12" s="249"/>
      <c r="AA12" s="250"/>
      <c r="AB12" s="251"/>
      <c r="AC12" s="249"/>
      <c r="AD12" s="404"/>
      <c r="AE12" s="250"/>
      <c r="AF12" s="250"/>
      <c r="AG12" s="251"/>
      <c r="AH12" s="249"/>
      <c r="AI12" s="404"/>
      <c r="AJ12" s="250"/>
      <c r="AK12" s="250"/>
      <c r="AL12" s="251"/>
      <c r="AM12" s="249"/>
      <c r="AN12" s="404"/>
      <c r="AO12" s="250"/>
      <c r="AP12" s="250"/>
      <c r="AQ12" s="251"/>
      <c r="AR12" s="249"/>
      <c r="AS12" s="404"/>
      <c r="AT12" s="250"/>
      <c r="AU12" s="250"/>
      <c r="AV12" s="251"/>
      <c r="AW12" s="249"/>
      <c r="AX12" s="404"/>
    </row>
    <row r="13" spans="1:50">
      <c r="A13" s="242"/>
      <c r="B13" s="405"/>
      <c r="C13" s="249">
        <v>7</v>
      </c>
      <c r="D13" s="249"/>
      <c r="E13" s="250"/>
      <c r="F13" s="250"/>
      <c r="G13" s="251"/>
      <c r="H13" s="407"/>
      <c r="I13" s="250"/>
      <c r="J13" s="250"/>
      <c r="K13" s="251"/>
      <c r="L13" s="407"/>
      <c r="M13" s="252"/>
      <c r="N13" s="409"/>
      <c r="O13" s="409"/>
      <c r="P13" s="250"/>
      <c r="Q13" s="250"/>
      <c r="R13" s="251" t="e">
        <f t="shared" si="1"/>
        <v>#DIV/0!</v>
      </c>
      <c r="S13" s="249" t="e">
        <f t="shared" si="2"/>
        <v>#DIV/0!</v>
      </c>
      <c r="T13" s="404"/>
      <c r="U13" s="250"/>
      <c r="V13" s="250"/>
      <c r="W13" s="251"/>
      <c r="X13" s="249"/>
      <c r="Y13" s="404"/>
      <c r="Z13" s="249"/>
      <c r="AA13" s="250"/>
      <c r="AB13" s="251"/>
      <c r="AC13" s="249"/>
      <c r="AD13" s="404"/>
      <c r="AE13" s="250"/>
      <c r="AF13" s="250"/>
      <c r="AG13" s="251"/>
      <c r="AH13" s="249"/>
      <c r="AI13" s="404"/>
      <c r="AJ13" s="250"/>
      <c r="AK13" s="250"/>
      <c r="AL13" s="251"/>
      <c r="AM13" s="249"/>
      <c r="AN13" s="404"/>
      <c r="AO13" s="250"/>
      <c r="AP13" s="250"/>
      <c r="AQ13" s="251"/>
      <c r="AR13" s="249"/>
      <c r="AS13" s="404"/>
      <c r="AT13" s="250"/>
      <c r="AU13" s="250"/>
      <c r="AV13" s="251"/>
      <c r="AW13" s="249"/>
      <c r="AX13" s="404"/>
    </row>
    <row r="14" spans="1:50">
      <c r="A14" s="242"/>
      <c r="B14" s="405"/>
      <c r="C14" s="249">
        <v>8</v>
      </c>
      <c r="D14" s="249"/>
      <c r="E14" s="250"/>
      <c r="F14" s="250"/>
      <c r="G14" s="251"/>
      <c r="H14" s="407"/>
      <c r="I14" s="250"/>
      <c r="J14" s="250"/>
      <c r="K14" s="251"/>
      <c r="L14" s="407"/>
      <c r="M14" s="252"/>
      <c r="N14" s="409"/>
      <c r="O14" s="409"/>
      <c r="P14" s="250"/>
      <c r="Q14" s="250"/>
      <c r="R14" s="251"/>
      <c r="S14" s="249"/>
      <c r="T14" s="404"/>
      <c r="U14" s="250"/>
      <c r="V14" s="250"/>
      <c r="W14" s="251"/>
      <c r="X14" s="249"/>
      <c r="Y14" s="404"/>
      <c r="Z14" s="249"/>
      <c r="AA14" s="250"/>
      <c r="AB14" s="251"/>
      <c r="AC14" s="249"/>
      <c r="AD14" s="404"/>
      <c r="AE14" s="250"/>
      <c r="AF14" s="250"/>
      <c r="AG14" s="251"/>
      <c r="AH14" s="249"/>
      <c r="AI14" s="404"/>
      <c r="AJ14" s="250"/>
      <c r="AK14" s="250"/>
      <c r="AL14" s="251"/>
      <c r="AM14" s="249"/>
      <c r="AN14" s="404"/>
      <c r="AO14" s="250"/>
      <c r="AP14" s="250"/>
      <c r="AQ14" s="251"/>
      <c r="AR14" s="249"/>
      <c r="AS14" s="404"/>
      <c r="AT14" s="250"/>
      <c r="AU14" s="250"/>
      <c r="AV14" s="251"/>
      <c r="AW14" s="249"/>
      <c r="AX14" s="404"/>
    </row>
    <row r="15" spans="1:50">
      <c r="A15" s="242"/>
      <c r="B15" s="405"/>
      <c r="C15" s="249">
        <v>9</v>
      </c>
      <c r="D15" s="249"/>
      <c r="E15" s="250"/>
      <c r="F15" s="250"/>
      <c r="G15" s="251"/>
      <c r="H15" s="407"/>
      <c r="I15" s="250"/>
      <c r="J15" s="250"/>
      <c r="K15" s="251"/>
      <c r="L15" s="407"/>
      <c r="M15" s="252"/>
      <c r="N15" s="409"/>
      <c r="O15" s="409"/>
      <c r="P15" s="250"/>
      <c r="Q15" s="250"/>
      <c r="R15" s="251"/>
      <c r="S15" s="249"/>
      <c r="T15" s="404"/>
      <c r="U15" s="250"/>
      <c r="V15" s="250"/>
      <c r="W15" s="251"/>
      <c r="X15" s="249"/>
      <c r="Y15" s="404"/>
      <c r="Z15" s="249"/>
      <c r="AA15" s="250"/>
      <c r="AB15" s="251"/>
      <c r="AC15" s="249"/>
      <c r="AD15" s="404"/>
      <c r="AE15" s="250"/>
      <c r="AF15" s="250"/>
      <c r="AG15" s="251"/>
      <c r="AH15" s="249"/>
      <c r="AI15" s="404"/>
      <c r="AJ15" s="250"/>
      <c r="AK15" s="250"/>
      <c r="AL15" s="251"/>
      <c r="AM15" s="249"/>
      <c r="AN15" s="404"/>
      <c r="AO15" s="250"/>
      <c r="AP15" s="250"/>
      <c r="AQ15" s="251"/>
      <c r="AR15" s="249"/>
      <c r="AS15" s="404"/>
      <c r="AT15" s="250"/>
      <c r="AU15" s="250"/>
      <c r="AV15" s="251"/>
      <c r="AW15" s="249"/>
      <c r="AX15" s="404"/>
    </row>
    <row r="16" spans="1:50">
      <c r="A16" s="242"/>
      <c r="B16" s="405"/>
      <c r="C16" s="249">
        <v>10</v>
      </c>
      <c r="D16" s="249"/>
      <c r="E16" s="250"/>
      <c r="F16" s="250"/>
      <c r="G16" s="251"/>
      <c r="H16" s="407"/>
      <c r="I16" s="250"/>
      <c r="J16" s="250"/>
      <c r="K16" s="251"/>
      <c r="L16" s="407"/>
      <c r="M16" s="252"/>
      <c r="N16" s="409"/>
      <c r="O16" s="409"/>
      <c r="P16" s="250"/>
      <c r="Q16" s="250"/>
      <c r="R16" s="251"/>
      <c r="S16" s="249"/>
      <c r="T16" s="404"/>
      <c r="U16" s="250"/>
      <c r="V16" s="250"/>
      <c r="W16" s="251"/>
      <c r="X16" s="249"/>
      <c r="Y16" s="404"/>
      <c r="Z16" s="249"/>
      <c r="AA16" s="250"/>
      <c r="AB16" s="251"/>
      <c r="AC16" s="249"/>
      <c r="AD16" s="404"/>
      <c r="AE16" s="250"/>
      <c r="AF16" s="250"/>
      <c r="AG16" s="251"/>
      <c r="AH16" s="249"/>
      <c r="AI16" s="404"/>
      <c r="AJ16" s="250"/>
      <c r="AK16" s="250"/>
      <c r="AL16" s="251"/>
      <c r="AM16" s="249"/>
      <c r="AN16" s="404"/>
      <c r="AO16" s="250"/>
      <c r="AP16" s="250"/>
      <c r="AQ16" s="251"/>
      <c r="AR16" s="249"/>
      <c r="AS16" s="404"/>
      <c r="AT16" s="250"/>
      <c r="AU16" s="250"/>
      <c r="AV16" s="251"/>
      <c r="AW16" s="249"/>
      <c r="AX16" s="404"/>
    </row>
    <row r="17" spans="2:50">
      <c r="B17" s="405"/>
      <c r="C17" s="249">
        <v>11</v>
      </c>
      <c r="D17" s="249"/>
      <c r="E17" s="250"/>
      <c r="F17" s="250"/>
      <c r="G17" s="251"/>
      <c r="H17" s="407"/>
      <c r="I17" s="250"/>
      <c r="J17" s="250"/>
      <c r="K17" s="251"/>
      <c r="L17" s="407"/>
      <c r="M17" s="252"/>
      <c r="N17" s="409"/>
      <c r="O17" s="409"/>
      <c r="P17" s="249"/>
      <c r="Q17" s="249"/>
      <c r="R17" s="251"/>
      <c r="S17" s="249"/>
      <c r="T17" s="404"/>
      <c r="U17" s="249"/>
      <c r="V17" s="249"/>
      <c r="W17" s="251"/>
      <c r="X17" s="249"/>
      <c r="Y17" s="404"/>
      <c r="Z17" s="249"/>
      <c r="AA17" s="249"/>
      <c r="AB17" s="251"/>
      <c r="AC17" s="249"/>
      <c r="AD17" s="404"/>
      <c r="AE17" s="249"/>
      <c r="AF17" s="249"/>
      <c r="AG17" s="251"/>
      <c r="AH17" s="249"/>
      <c r="AI17" s="404"/>
      <c r="AJ17" s="249"/>
      <c r="AK17" s="249"/>
      <c r="AL17" s="249"/>
      <c r="AM17" s="249"/>
      <c r="AN17" s="404"/>
      <c r="AO17" s="249"/>
      <c r="AP17" s="249"/>
      <c r="AQ17" s="251"/>
      <c r="AR17" s="249"/>
      <c r="AS17" s="404"/>
      <c r="AT17" s="249"/>
      <c r="AU17" s="249"/>
      <c r="AV17" s="251"/>
      <c r="AW17" s="249"/>
      <c r="AX17" s="404"/>
    </row>
    <row r="18" spans="2:50">
      <c r="B18" s="405"/>
      <c r="C18" s="249">
        <v>12</v>
      </c>
      <c r="D18" s="249"/>
      <c r="E18" s="250"/>
      <c r="F18" s="250"/>
      <c r="G18" s="251"/>
      <c r="H18" s="407"/>
      <c r="I18" s="250"/>
      <c r="J18" s="250"/>
      <c r="K18" s="251"/>
      <c r="L18" s="407"/>
      <c r="M18" s="252"/>
      <c r="N18" s="409"/>
      <c r="O18" s="409"/>
      <c r="P18" s="249"/>
      <c r="Q18" s="249"/>
      <c r="R18" s="251"/>
      <c r="S18" s="249"/>
      <c r="T18" s="404"/>
      <c r="U18" s="249"/>
      <c r="V18" s="249"/>
      <c r="W18" s="251"/>
      <c r="X18" s="249"/>
      <c r="Y18" s="404"/>
      <c r="Z18" s="249"/>
      <c r="AA18" s="249"/>
      <c r="AB18" s="251"/>
      <c r="AC18" s="249"/>
      <c r="AD18" s="404"/>
      <c r="AE18" s="249"/>
      <c r="AF18" s="249"/>
      <c r="AG18" s="251"/>
      <c r="AH18" s="249"/>
      <c r="AI18" s="404"/>
      <c r="AJ18" s="249"/>
      <c r="AK18" s="249"/>
      <c r="AL18" s="249"/>
      <c r="AM18" s="249"/>
      <c r="AN18" s="404"/>
      <c r="AO18" s="249"/>
      <c r="AP18" s="249"/>
      <c r="AQ18" s="251"/>
      <c r="AR18" s="249"/>
      <c r="AS18" s="404"/>
      <c r="AT18" s="249"/>
      <c r="AU18" s="249"/>
      <c r="AV18" s="251"/>
      <c r="AW18" s="249"/>
      <c r="AX18" s="404"/>
    </row>
    <row r="19" spans="2:50">
      <c r="B19" s="405"/>
      <c r="C19" s="249">
        <v>13</v>
      </c>
      <c r="D19" s="249"/>
      <c r="E19" s="250"/>
      <c r="F19" s="250"/>
      <c r="G19" s="251"/>
      <c r="H19" s="407"/>
      <c r="I19" s="250"/>
      <c r="J19" s="250"/>
      <c r="K19" s="251"/>
      <c r="L19" s="407"/>
      <c r="M19" s="252"/>
      <c r="N19" s="409"/>
      <c r="O19" s="409"/>
      <c r="P19" s="249"/>
      <c r="Q19" s="249"/>
      <c r="R19" s="251"/>
      <c r="S19" s="249"/>
      <c r="T19" s="404"/>
      <c r="U19" s="249"/>
      <c r="V19" s="249"/>
      <c r="W19" s="251"/>
      <c r="X19" s="249"/>
      <c r="Y19" s="404"/>
      <c r="Z19" s="249"/>
      <c r="AA19" s="249"/>
      <c r="AB19" s="251"/>
      <c r="AC19" s="249"/>
      <c r="AD19" s="404"/>
      <c r="AE19" s="249"/>
      <c r="AF19" s="249"/>
      <c r="AG19" s="251"/>
      <c r="AH19" s="249"/>
      <c r="AI19" s="404"/>
      <c r="AJ19" s="249"/>
      <c r="AK19" s="249"/>
      <c r="AL19" s="249"/>
      <c r="AM19" s="249"/>
      <c r="AN19" s="404"/>
      <c r="AO19" s="249"/>
      <c r="AP19" s="249"/>
      <c r="AQ19" s="251"/>
      <c r="AR19" s="249"/>
      <c r="AS19" s="404"/>
      <c r="AT19" s="249"/>
      <c r="AU19" s="249"/>
      <c r="AV19" s="251"/>
      <c r="AW19" s="249"/>
      <c r="AX19" s="404"/>
    </row>
    <row r="20" spans="2:50">
      <c r="B20" s="405"/>
      <c r="C20" s="249">
        <v>14</v>
      </c>
      <c r="D20" s="249"/>
      <c r="E20" s="250"/>
      <c r="F20" s="250"/>
      <c r="G20" s="251"/>
      <c r="H20" s="407"/>
      <c r="I20" s="250"/>
      <c r="J20" s="250"/>
      <c r="K20" s="251"/>
      <c r="L20" s="407"/>
      <c r="M20" s="252"/>
      <c r="N20" s="409"/>
      <c r="O20" s="409"/>
      <c r="P20" s="249"/>
      <c r="Q20" s="249"/>
      <c r="R20" s="251"/>
      <c r="S20" s="249"/>
      <c r="T20" s="404"/>
      <c r="U20" s="249"/>
      <c r="V20" s="249"/>
      <c r="W20" s="251"/>
      <c r="X20" s="249"/>
      <c r="Y20" s="404"/>
      <c r="Z20" s="249"/>
      <c r="AA20" s="249"/>
      <c r="AB20" s="251"/>
      <c r="AC20" s="249"/>
      <c r="AD20" s="404"/>
      <c r="AE20" s="249"/>
      <c r="AF20" s="249"/>
      <c r="AG20" s="251"/>
      <c r="AH20" s="249"/>
      <c r="AI20" s="404"/>
      <c r="AJ20" s="249"/>
      <c r="AK20" s="249"/>
      <c r="AL20" s="249"/>
      <c r="AM20" s="249"/>
      <c r="AN20" s="404"/>
      <c r="AO20" s="249"/>
      <c r="AP20" s="249"/>
      <c r="AQ20" s="251"/>
      <c r="AR20" s="249"/>
      <c r="AS20" s="404"/>
      <c r="AT20" s="249"/>
      <c r="AU20" s="249"/>
      <c r="AV20" s="251"/>
      <c r="AW20" s="249"/>
      <c r="AX20" s="404"/>
    </row>
    <row r="21" spans="2:50">
      <c r="B21" s="405"/>
      <c r="C21" s="249">
        <v>15</v>
      </c>
      <c r="D21" s="249"/>
      <c r="E21" s="250"/>
      <c r="F21" s="250"/>
      <c r="G21" s="251"/>
      <c r="H21" s="408"/>
      <c r="I21" s="250"/>
      <c r="J21" s="250"/>
      <c r="K21" s="251"/>
      <c r="L21" s="408"/>
      <c r="M21" s="250"/>
      <c r="N21" s="409"/>
      <c r="O21" s="409"/>
      <c r="P21" s="249"/>
      <c r="Q21" s="249"/>
      <c r="R21" s="251"/>
      <c r="S21" s="249"/>
      <c r="T21" s="404"/>
      <c r="U21" s="249"/>
      <c r="V21" s="249"/>
      <c r="W21" s="251"/>
      <c r="X21" s="249"/>
      <c r="Y21" s="404"/>
      <c r="Z21" s="249"/>
      <c r="AA21" s="249"/>
      <c r="AB21" s="251"/>
      <c r="AC21" s="249"/>
      <c r="AD21" s="404"/>
      <c r="AE21" s="249"/>
      <c r="AF21" s="249"/>
      <c r="AG21" s="251"/>
      <c r="AH21" s="249"/>
      <c r="AI21" s="404"/>
      <c r="AJ21" s="249"/>
      <c r="AK21" s="249"/>
      <c r="AL21" s="249"/>
      <c r="AM21" s="249"/>
      <c r="AN21" s="404"/>
      <c r="AO21" s="249"/>
      <c r="AP21" s="249"/>
      <c r="AQ21" s="251"/>
      <c r="AR21" s="249"/>
      <c r="AS21" s="404"/>
      <c r="AT21" s="249"/>
      <c r="AU21" s="249"/>
      <c r="AV21" s="251"/>
      <c r="AW21" s="249"/>
      <c r="AX21" s="404"/>
    </row>
    <row r="22" spans="2:50" ht="15.75">
      <c r="B22" s="424" t="s">
        <v>93</v>
      </c>
      <c r="C22" s="425"/>
      <c r="D22" s="425"/>
      <c r="E22" s="425"/>
      <c r="F22" s="425"/>
      <c r="G22" s="425"/>
      <c r="H22" s="425"/>
      <c r="I22" s="243"/>
      <c r="J22" s="243"/>
      <c r="K22" s="243"/>
      <c r="L22" s="243"/>
      <c r="M22" s="244"/>
      <c r="N22" s="418" t="s">
        <v>94</v>
      </c>
      <c r="O22" s="418" t="s">
        <v>45</v>
      </c>
      <c r="P22" s="413">
        <v>45937</v>
      </c>
      <c r="Q22" s="405"/>
      <c r="R22" s="405"/>
      <c r="S22" s="405"/>
      <c r="T22" s="405"/>
      <c r="U22" s="413">
        <v>45938</v>
      </c>
      <c r="V22" s="405"/>
      <c r="W22" s="405"/>
      <c r="X22" s="405"/>
      <c r="Y22" s="405"/>
      <c r="Z22" s="413">
        <v>45939</v>
      </c>
      <c r="AA22" s="405"/>
      <c r="AB22" s="405"/>
      <c r="AC22" s="405"/>
      <c r="AD22" s="405"/>
      <c r="AE22" s="413">
        <v>45940</v>
      </c>
      <c r="AF22" s="405"/>
      <c r="AG22" s="405"/>
      <c r="AH22" s="405"/>
      <c r="AI22" s="405"/>
      <c r="AJ22" s="413">
        <v>45941</v>
      </c>
      <c r="AK22" s="405"/>
      <c r="AL22" s="405"/>
      <c r="AM22" s="405"/>
      <c r="AN22" s="405"/>
      <c r="AO22" s="413">
        <v>45942</v>
      </c>
      <c r="AP22" s="405"/>
      <c r="AQ22" s="405"/>
      <c r="AR22" s="405"/>
      <c r="AS22" s="405"/>
      <c r="AT22" s="413">
        <v>45943</v>
      </c>
      <c r="AU22" s="405"/>
      <c r="AV22" s="405"/>
      <c r="AW22" s="405"/>
      <c r="AX22" s="405"/>
    </row>
    <row r="23" spans="2:50" ht="15.75">
      <c r="B23" s="423"/>
      <c r="C23" s="423"/>
      <c r="D23" s="423"/>
      <c r="E23" s="423"/>
      <c r="F23" s="423"/>
      <c r="G23" s="423"/>
      <c r="H23" s="423"/>
      <c r="I23" s="245"/>
      <c r="J23" s="245"/>
      <c r="K23" s="245"/>
      <c r="L23" s="245"/>
      <c r="M23" s="246"/>
      <c r="N23" s="420"/>
      <c r="O23" s="420"/>
      <c r="P23" s="413" t="s">
        <v>77</v>
      </c>
      <c r="Q23" s="405"/>
      <c r="R23" s="405"/>
      <c r="S23" s="405"/>
      <c r="T23" s="405"/>
      <c r="U23" s="413" t="s">
        <v>72</v>
      </c>
      <c r="V23" s="405"/>
      <c r="W23" s="405"/>
      <c r="X23" s="405"/>
      <c r="Y23" s="405"/>
      <c r="Z23" s="413" t="s">
        <v>73</v>
      </c>
      <c r="AA23" s="405"/>
      <c r="AB23" s="405"/>
      <c r="AC23" s="405"/>
      <c r="AD23" s="405"/>
      <c r="AE23" s="413" t="s">
        <v>74</v>
      </c>
      <c r="AF23" s="405"/>
      <c r="AG23" s="405"/>
      <c r="AH23" s="405"/>
      <c r="AI23" s="405"/>
      <c r="AJ23" s="413" t="s">
        <v>75</v>
      </c>
      <c r="AK23" s="405"/>
      <c r="AL23" s="405"/>
      <c r="AM23" s="405"/>
      <c r="AN23" s="405"/>
      <c r="AO23" s="413" t="s">
        <v>52</v>
      </c>
      <c r="AP23" s="405"/>
      <c r="AQ23" s="405"/>
      <c r="AR23" s="405"/>
      <c r="AS23" s="405"/>
      <c r="AT23" s="413" t="s">
        <v>76</v>
      </c>
      <c r="AU23" s="405"/>
      <c r="AV23" s="405"/>
      <c r="AW23" s="405"/>
      <c r="AX23" s="405"/>
    </row>
    <row r="24" spans="2:50">
      <c r="B24" s="409" t="s">
        <v>95</v>
      </c>
      <c r="C24" s="409" t="s">
        <v>96</v>
      </c>
      <c r="D24" s="409"/>
      <c r="E24" s="409" t="s">
        <v>97</v>
      </c>
      <c r="F24" s="409"/>
      <c r="G24" s="409"/>
      <c r="H24" s="415" t="s">
        <v>98</v>
      </c>
      <c r="I24" s="409" t="s">
        <v>99</v>
      </c>
      <c r="J24" s="409"/>
      <c r="K24" s="409"/>
      <c r="L24" s="415" t="s">
        <v>98</v>
      </c>
      <c r="M24" s="418" t="s">
        <v>100</v>
      </c>
      <c r="N24" s="409"/>
      <c r="O24" s="409" t="s">
        <v>101</v>
      </c>
      <c r="P24" s="410" t="s">
        <v>102</v>
      </c>
      <c r="Q24" s="411"/>
      <c r="R24" s="411"/>
      <c r="S24" s="412"/>
      <c r="T24" s="409" t="s">
        <v>98</v>
      </c>
      <c r="U24" s="410" t="s">
        <v>102</v>
      </c>
      <c r="V24" s="411"/>
      <c r="W24" s="411"/>
      <c r="X24" s="412"/>
      <c r="Y24" s="409" t="s">
        <v>98</v>
      </c>
      <c r="Z24" s="410" t="s">
        <v>102</v>
      </c>
      <c r="AA24" s="411"/>
      <c r="AB24" s="411"/>
      <c r="AC24" s="412"/>
      <c r="AD24" s="409" t="s">
        <v>98</v>
      </c>
      <c r="AE24" s="410" t="s">
        <v>102</v>
      </c>
      <c r="AF24" s="411"/>
      <c r="AG24" s="411"/>
      <c r="AH24" s="412"/>
      <c r="AI24" s="409" t="s">
        <v>98</v>
      </c>
      <c r="AJ24" s="410" t="s">
        <v>102</v>
      </c>
      <c r="AK24" s="411"/>
      <c r="AL24" s="411"/>
      <c r="AM24" s="412"/>
      <c r="AN24" s="409" t="s">
        <v>98</v>
      </c>
      <c r="AO24" s="410" t="s">
        <v>102</v>
      </c>
      <c r="AP24" s="411"/>
      <c r="AQ24" s="411"/>
      <c r="AR24" s="412"/>
      <c r="AS24" s="409" t="s">
        <v>98</v>
      </c>
      <c r="AT24" s="410" t="s">
        <v>102</v>
      </c>
      <c r="AU24" s="411"/>
      <c r="AV24" s="411"/>
      <c r="AW24" s="412"/>
      <c r="AX24" s="409" t="s">
        <v>98</v>
      </c>
    </row>
    <row r="25" spans="2:50">
      <c r="B25" s="409"/>
      <c r="C25" s="409"/>
      <c r="D25" s="409"/>
      <c r="E25" s="409" t="s">
        <v>103</v>
      </c>
      <c r="F25" s="409"/>
      <c r="G25" s="409"/>
      <c r="H25" s="416"/>
      <c r="I25" s="409" t="s">
        <v>103</v>
      </c>
      <c r="J25" s="409"/>
      <c r="K25" s="409"/>
      <c r="L25" s="416"/>
      <c r="M25" s="419"/>
      <c r="N25" s="409"/>
      <c r="O25" s="409"/>
      <c r="P25" s="410" t="s">
        <v>104</v>
      </c>
      <c r="Q25" s="411"/>
      <c r="R25" s="411"/>
      <c r="S25" s="412"/>
      <c r="T25" s="409"/>
      <c r="U25" s="410" t="s">
        <v>104</v>
      </c>
      <c r="V25" s="411"/>
      <c r="W25" s="411"/>
      <c r="X25" s="412"/>
      <c r="Y25" s="409"/>
      <c r="Z25" s="410" t="s">
        <v>104</v>
      </c>
      <c r="AA25" s="411"/>
      <c r="AB25" s="411"/>
      <c r="AC25" s="412"/>
      <c r="AD25" s="409"/>
      <c r="AE25" s="410" t="s">
        <v>104</v>
      </c>
      <c r="AF25" s="411"/>
      <c r="AG25" s="411"/>
      <c r="AH25" s="412"/>
      <c r="AI25" s="409"/>
      <c r="AJ25" s="410" t="s">
        <v>104</v>
      </c>
      <c r="AK25" s="411"/>
      <c r="AL25" s="411"/>
      <c r="AM25" s="412"/>
      <c r="AN25" s="409"/>
      <c r="AO25" s="410" t="s">
        <v>104</v>
      </c>
      <c r="AP25" s="411"/>
      <c r="AQ25" s="411"/>
      <c r="AR25" s="412"/>
      <c r="AS25" s="409"/>
      <c r="AT25" s="410" t="s">
        <v>104</v>
      </c>
      <c r="AU25" s="411"/>
      <c r="AV25" s="411"/>
      <c r="AW25" s="412"/>
      <c r="AX25" s="409"/>
    </row>
    <row r="26" spans="2:50">
      <c r="B26" s="409"/>
      <c r="C26" s="409"/>
      <c r="D26" s="409"/>
      <c r="E26" s="248" t="s">
        <v>105</v>
      </c>
      <c r="F26" s="248" t="s">
        <v>106</v>
      </c>
      <c r="G26" s="248" t="s">
        <v>107</v>
      </c>
      <c r="H26" s="417"/>
      <c r="I26" s="248" t="s">
        <v>105</v>
      </c>
      <c r="J26" s="248" t="s">
        <v>106</v>
      </c>
      <c r="K26" s="248" t="s">
        <v>107</v>
      </c>
      <c r="L26" s="417"/>
      <c r="M26" s="420"/>
      <c r="N26" s="409"/>
      <c r="O26" s="409"/>
      <c r="P26" s="248" t="s">
        <v>105</v>
      </c>
      <c r="Q26" s="248" t="s">
        <v>106</v>
      </c>
      <c r="R26" s="248" t="s">
        <v>107</v>
      </c>
      <c r="S26" s="248" t="s">
        <v>100</v>
      </c>
      <c r="T26" s="409"/>
      <c r="U26" s="248" t="s">
        <v>105</v>
      </c>
      <c r="V26" s="248" t="s">
        <v>106</v>
      </c>
      <c r="W26" s="248" t="s">
        <v>107</v>
      </c>
      <c r="X26" s="248" t="s">
        <v>100</v>
      </c>
      <c r="Y26" s="409"/>
      <c r="Z26" s="248" t="s">
        <v>105</v>
      </c>
      <c r="AA26" s="248" t="s">
        <v>106</v>
      </c>
      <c r="AB26" s="248" t="s">
        <v>107</v>
      </c>
      <c r="AC26" s="248" t="s">
        <v>100</v>
      </c>
      <c r="AD26" s="409"/>
      <c r="AE26" s="248" t="s">
        <v>105</v>
      </c>
      <c r="AF26" s="248" t="s">
        <v>106</v>
      </c>
      <c r="AG26" s="248" t="s">
        <v>107</v>
      </c>
      <c r="AH26" s="248" t="s">
        <v>100</v>
      </c>
      <c r="AI26" s="409"/>
      <c r="AJ26" s="248" t="s">
        <v>105</v>
      </c>
      <c r="AK26" s="248" t="s">
        <v>106</v>
      </c>
      <c r="AL26" s="248" t="s">
        <v>107</v>
      </c>
      <c r="AM26" s="248" t="s">
        <v>100</v>
      </c>
      <c r="AN26" s="409"/>
      <c r="AO26" s="248" t="s">
        <v>105</v>
      </c>
      <c r="AP26" s="248" t="s">
        <v>106</v>
      </c>
      <c r="AQ26" s="248" t="s">
        <v>107</v>
      </c>
      <c r="AR26" s="248" t="s">
        <v>100</v>
      </c>
      <c r="AS26" s="409"/>
      <c r="AT26" s="248" t="s">
        <v>105</v>
      </c>
      <c r="AU26" s="248" t="s">
        <v>106</v>
      </c>
      <c r="AV26" s="248" t="s">
        <v>107</v>
      </c>
      <c r="AW26" s="248" t="s">
        <v>100</v>
      </c>
      <c r="AX26" s="409"/>
    </row>
    <row r="27" spans="2:50">
      <c r="B27" s="409" t="s">
        <v>84</v>
      </c>
      <c r="C27" s="249">
        <v>1</v>
      </c>
      <c r="D27" s="249" t="s">
        <v>130</v>
      </c>
      <c r="E27" s="250" t="e">
        <f>VLOOKUP(D27,#REF!,2,0)</f>
        <v>#REF!</v>
      </c>
      <c r="F27" s="250" t="e">
        <f>VLOOKUP(D27,#REF!,3,0)</f>
        <v>#REF!</v>
      </c>
      <c r="G27" s="251" t="e">
        <f>F27/E27</f>
        <v>#REF!</v>
      </c>
      <c r="H27" s="406" t="e">
        <f>AVERAGE(G27:G41)</f>
        <v>#REF!</v>
      </c>
      <c r="I27" s="250">
        <f>AVERAGE(P27,U27,Z27,AE27,AJ27,AO27,AT27)</f>
        <v>13</v>
      </c>
      <c r="J27" s="250">
        <f>AVERAGE(Q27,V27,AA27,AF27,AK27,AP27,AU27)</f>
        <v>1455.5714285714287</v>
      </c>
      <c r="K27" s="251">
        <f>AVERAGE(R27,W27,AB27,AG27,AL27,AQ27,AV27)</f>
        <v>111.96703296703298</v>
      </c>
      <c r="L27" s="406">
        <f>IFERROR(AVERAGE(K27:K41),"-")</f>
        <v>110.97313797313798</v>
      </c>
      <c r="M27" s="252">
        <f>RANK(K27, K$27:$K$41)</f>
        <v>1</v>
      </c>
      <c r="N27" s="409"/>
      <c r="O27" s="409"/>
      <c r="P27" s="250">
        <v>13</v>
      </c>
      <c r="Q27" s="250">
        <v>1214</v>
      </c>
      <c r="R27" s="251">
        <f>Q27/P27</f>
        <v>93.384615384615387</v>
      </c>
      <c r="S27" s="249">
        <f>RANK(R27, $R$27:$R$41)</f>
        <v>2</v>
      </c>
      <c r="T27" s="404">
        <f>AVERAGE(R27:R41)</f>
        <v>93.044871794871781</v>
      </c>
      <c r="U27" s="250">
        <v>13</v>
      </c>
      <c r="V27" s="250">
        <v>1387</v>
      </c>
      <c r="W27" s="251">
        <f>V27/U27</f>
        <v>106.69230769230769</v>
      </c>
      <c r="X27" s="249">
        <f>RANK(W27, $W$27:$W$41)</f>
        <v>3</v>
      </c>
      <c r="Y27" s="404">
        <f>AVERAGE(W27:W41)</f>
        <v>116.84188034188035</v>
      </c>
      <c r="Z27" s="250">
        <v>13</v>
      </c>
      <c r="AA27" s="250">
        <v>1557</v>
      </c>
      <c r="AB27" s="251">
        <f>AA27/Z27</f>
        <v>119.76923076923077</v>
      </c>
      <c r="AC27" s="249">
        <f>RANK(AB27, $AB$27:$AB$29)</f>
        <v>1</v>
      </c>
      <c r="AD27" s="404">
        <f>AVERAGE(AB27:AB41)</f>
        <v>105.45085470085469</v>
      </c>
      <c r="AE27" s="250">
        <v>13</v>
      </c>
      <c r="AF27" s="250">
        <v>1380</v>
      </c>
      <c r="AG27" s="251">
        <f>AF27/AE27</f>
        <v>106.15384615384616</v>
      </c>
      <c r="AH27" s="249">
        <f>RANK(AG27, $AG$27:$AG$29)</f>
        <v>3</v>
      </c>
      <c r="AI27" s="404">
        <f>AVERAGE(AG27:AG41)</f>
        <v>110.44017094017094</v>
      </c>
      <c r="AJ27" s="250">
        <v>13</v>
      </c>
      <c r="AK27" s="250">
        <v>1549</v>
      </c>
      <c r="AL27" s="251">
        <f>AK27/AJ27</f>
        <v>119.15384615384616</v>
      </c>
      <c r="AM27" s="249">
        <f>RANK(AL27, $AL$27:$AL$29)</f>
        <v>2</v>
      </c>
      <c r="AN27" s="404">
        <f>AVERAGE(AL27:AL41)</f>
        <v>117.52350427350427</v>
      </c>
      <c r="AO27" s="250">
        <v>13</v>
      </c>
      <c r="AP27" s="250">
        <v>1547</v>
      </c>
      <c r="AQ27" s="251">
        <f>AP27/AO27</f>
        <v>119</v>
      </c>
      <c r="AR27" s="249">
        <f>RANK(AQ27, $AQ$27:$AQ$41)</f>
        <v>1</v>
      </c>
      <c r="AS27" s="404">
        <f>AVERAGE(AQ27:AQ41)</f>
        <v>115.27777777777779</v>
      </c>
      <c r="AT27" s="250">
        <v>13</v>
      </c>
      <c r="AU27" s="250">
        <v>1555</v>
      </c>
      <c r="AV27" s="251">
        <f>AU27/AT27</f>
        <v>119.61538461538461</v>
      </c>
      <c r="AW27" s="249">
        <f>RANK(AV27, $AV$27:$AV$41)</f>
        <v>2</v>
      </c>
      <c r="AX27" s="404">
        <f>AVERAGE(AV27:AV41)</f>
        <v>118.23290598290599</v>
      </c>
    </row>
    <row r="28" spans="2:50">
      <c r="B28" s="405"/>
      <c r="C28" s="249">
        <v>2</v>
      </c>
      <c r="D28" s="249" t="s">
        <v>131</v>
      </c>
      <c r="E28" s="250" t="e">
        <f>VLOOKUP(D28,#REF!,2,0)</f>
        <v>#REF!</v>
      </c>
      <c r="F28" s="250" t="e">
        <f>VLOOKUP(D28,#REF!,3,0)</f>
        <v>#REF!</v>
      </c>
      <c r="G28" s="251" t="e">
        <f>F28/E28</f>
        <v>#REF!</v>
      </c>
      <c r="H28" s="407"/>
      <c r="I28" s="250">
        <f t="shared" ref="I28:K29" si="3">AVERAGE(P28,U28,Z28,AE28,AJ28,AO28,AT28)</f>
        <v>12</v>
      </c>
      <c r="J28" s="250">
        <f t="shared" si="3"/>
        <v>1330.8571428571429</v>
      </c>
      <c r="K28" s="251">
        <f t="shared" si="3"/>
        <v>110.90476190476191</v>
      </c>
      <c r="L28" s="407"/>
      <c r="M28" s="252">
        <f>RANK(K28, K$27:$K$41)</f>
        <v>2</v>
      </c>
      <c r="N28" s="409"/>
      <c r="O28" s="409"/>
      <c r="P28" s="250">
        <v>12</v>
      </c>
      <c r="Q28" s="250">
        <v>1095</v>
      </c>
      <c r="R28" s="251">
        <f>Q28/P28</f>
        <v>91.25</v>
      </c>
      <c r="S28" s="249">
        <f>RANK(R28, $R$27:$R$41)</f>
        <v>3</v>
      </c>
      <c r="T28" s="404"/>
      <c r="U28" s="250">
        <v>12</v>
      </c>
      <c r="V28" s="250">
        <v>1397</v>
      </c>
      <c r="W28" s="251">
        <f>V28/U28</f>
        <v>116.41666666666667</v>
      </c>
      <c r="X28" s="249">
        <f>RANK(W28, $W$27:$W$41)</f>
        <v>2</v>
      </c>
      <c r="Y28" s="404"/>
      <c r="Z28" s="250">
        <v>12</v>
      </c>
      <c r="AA28" s="250">
        <v>1348</v>
      </c>
      <c r="AB28" s="251">
        <f>AA28/Z28</f>
        <v>112.33333333333333</v>
      </c>
      <c r="AC28" s="249">
        <f>RANK(AB28, $AB$27:$AB$29)</f>
        <v>2</v>
      </c>
      <c r="AD28" s="404"/>
      <c r="AE28" s="250">
        <v>12</v>
      </c>
      <c r="AF28" s="250">
        <v>1313</v>
      </c>
      <c r="AG28" s="251">
        <f>AF28/AE28</f>
        <v>109.41666666666667</v>
      </c>
      <c r="AH28" s="249">
        <f>RANK(AG28, $AG$27:$AG$29)</f>
        <v>2</v>
      </c>
      <c r="AI28" s="404"/>
      <c r="AJ28" s="250">
        <v>12</v>
      </c>
      <c r="AK28" s="250">
        <v>1305</v>
      </c>
      <c r="AL28" s="251">
        <f>AK28/AJ28</f>
        <v>108.75</v>
      </c>
      <c r="AM28" s="249">
        <f>RANK(AL28, $AL$27:$AL$29)</f>
        <v>3</v>
      </c>
      <c r="AN28" s="404"/>
      <c r="AO28" s="250">
        <v>12</v>
      </c>
      <c r="AP28" s="250">
        <v>1364</v>
      </c>
      <c r="AQ28" s="251">
        <f>AP28/AO28</f>
        <v>113.66666666666667</v>
      </c>
      <c r="AR28" s="249">
        <f>RANK(AQ28, $AQ$27:$AQ$41)</f>
        <v>2</v>
      </c>
      <c r="AS28" s="404"/>
      <c r="AT28" s="250">
        <v>12</v>
      </c>
      <c r="AU28" s="250">
        <v>1494</v>
      </c>
      <c r="AV28" s="251">
        <f>AU28/AT28</f>
        <v>124.5</v>
      </c>
      <c r="AW28" s="249">
        <f>RANK(AV28, $AV$27:$AV$41)</f>
        <v>1</v>
      </c>
      <c r="AX28" s="404"/>
    </row>
    <row r="29" spans="2:50">
      <c r="B29" s="405"/>
      <c r="C29" s="249">
        <v>3</v>
      </c>
      <c r="D29" s="249" t="s">
        <v>132</v>
      </c>
      <c r="E29" s="250" t="e">
        <f>VLOOKUP(D29,#REF!,2,0)</f>
        <v>#REF!</v>
      </c>
      <c r="F29" s="250" t="e">
        <f>VLOOKUP(D29,#REF!,3,0)</f>
        <v>#REF!</v>
      </c>
      <c r="G29" s="251" t="e">
        <f>F29/E29</f>
        <v>#REF!</v>
      </c>
      <c r="H29" s="407"/>
      <c r="I29" s="250">
        <f t="shared" si="3"/>
        <v>12</v>
      </c>
      <c r="J29" s="250">
        <f t="shared" si="3"/>
        <v>1320.5714285714287</v>
      </c>
      <c r="K29" s="251">
        <f t="shared" si="3"/>
        <v>110.04761904761905</v>
      </c>
      <c r="L29" s="407"/>
      <c r="M29" s="252">
        <f>RANK(K29, K$27:$K$41)</f>
        <v>3</v>
      </c>
      <c r="N29" s="409"/>
      <c r="O29" s="409"/>
      <c r="P29" s="250">
        <v>12</v>
      </c>
      <c r="Q29" s="250">
        <v>1134</v>
      </c>
      <c r="R29" s="251">
        <f>Q29/P29</f>
        <v>94.5</v>
      </c>
      <c r="S29" s="249">
        <f>RANK(R29, $R$27:$R$41)</f>
        <v>1</v>
      </c>
      <c r="T29" s="404"/>
      <c r="U29" s="250">
        <v>12</v>
      </c>
      <c r="V29" s="250">
        <v>1529</v>
      </c>
      <c r="W29" s="251">
        <f>V29/U29</f>
        <v>127.41666666666667</v>
      </c>
      <c r="X29" s="249">
        <f>RANK(W29, $W$27:$W$41)</f>
        <v>1</v>
      </c>
      <c r="Y29" s="404"/>
      <c r="Z29" s="250">
        <v>12</v>
      </c>
      <c r="AA29" s="250">
        <v>1011</v>
      </c>
      <c r="AB29" s="251">
        <f>AA29/Z29</f>
        <v>84.25</v>
      </c>
      <c r="AC29" s="249">
        <f>RANK(AB29, $AB$27:$AB$29)</f>
        <v>3</v>
      </c>
      <c r="AD29" s="404"/>
      <c r="AE29" s="250">
        <v>12</v>
      </c>
      <c r="AF29" s="250">
        <v>1389</v>
      </c>
      <c r="AG29" s="251">
        <f>AF29/AE29</f>
        <v>115.75</v>
      </c>
      <c r="AH29" s="249">
        <f>RANK(AG29, $AG$27:$AG$29)</f>
        <v>1</v>
      </c>
      <c r="AI29" s="404"/>
      <c r="AJ29" s="250">
        <v>12</v>
      </c>
      <c r="AK29" s="250">
        <v>1496</v>
      </c>
      <c r="AL29" s="251">
        <f>AK29/AJ29</f>
        <v>124.66666666666667</v>
      </c>
      <c r="AM29" s="249">
        <f>RANK(AL29, $AL$27:$AL$29)</f>
        <v>1</v>
      </c>
      <c r="AN29" s="404"/>
      <c r="AO29" s="250">
        <v>12</v>
      </c>
      <c r="AP29" s="250">
        <v>1358</v>
      </c>
      <c r="AQ29" s="251">
        <f>AP29/AO29</f>
        <v>113.16666666666667</v>
      </c>
      <c r="AR29" s="249">
        <f>RANK(AQ29, $AQ$27:$AQ$41)</f>
        <v>3</v>
      </c>
      <c r="AS29" s="404"/>
      <c r="AT29" s="250">
        <v>12</v>
      </c>
      <c r="AU29" s="250">
        <v>1327</v>
      </c>
      <c r="AV29" s="251">
        <f>AU29/AT29</f>
        <v>110.58333333333333</v>
      </c>
      <c r="AW29" s="249">
        <f>RANK(AV29, $AV$27:$AV$41)</f>
        <v>3</v>
      </c>
      <c r="AX29" s="404"/>
    </row>
    <row r="30" spans="2:50">
      <c r="B30" s="405"/>
      <c r="C30" s="249">
        <v>4</v>
      </c>
      <c r="D30" s="249"/>
      <c r="E30" s="250"/>
      <c r="F30" s="250"/>
      <c r="G30" s="251"/>
      <c r="H30" s="407"/>
      <c r="I30" s="250"/>
      <c r="J30" s="250"/>
      <c r="K30" s="251"/>
      <c r="L30" s="407"/>
      <c r="M30" s="252"/>
      <c r="N30" s="409"/>
      <c r="O30" s="409"/>
      <c r="P30" s="250"/>
      <c r="Q30" s="250"/>
      <c r="R30" s="249"/>
      <c r="S30" s="249"/>
      <c r="T30" s="404"/>
      <c r="U30" s="250"/>
      <c r="V30" s="250"/>
      <c r="W30" s="249"/>
      <c r="X30" s="249"/>
      <c r="Y30" s="404"/>
      <c r="Z30" s="250"/>
      <c r="AA30" s="250"/>
      <c r="AB30" s="249"/>
      <c r="AC30" s="249"/>
      <c r="AD30" s="404"/>
      <c r="AE30" s="250"/>
      <c r="AF30" s="250"/>
      <c r="AG30" s="249"/>
      <c r="AH30" s="249"/>
      <c r="AI30" s="404"/>
      <c r="AJ30" s="250"/>
      <c r="AK30" s="250"/>
      <c r="AL30" s="249"/>
      <c r="AM30" s="249"/>
      <c r="AN30" s="404"/>
      <c r="AO30" s="250"/>
      <c r="AP30" s="250"/>
      <c r="AQ30" s="249"/>
      <c r="AR30" s="249"/>
      <c r="AS30" s="404"/>
      <c r="AT30" s="250"/>
      <c r="AU30" s="250"/>
      <c r="AV30" s="249"/>
      <c r="AW30" s="249"/>
      <c r="AX30" s="404"/>
    </row>
    <row r="31" spans="2:50">
      <c r="B31" s="405"/>
      <c r="C31" s="249">
        <v>5</v>
      </c>
      <c r="D31" s="249"/>
      <c r="E31" s="250"/>
      <c r="F31" s="250"/>
      <c r="G31" s="251"/>
      <c r="H31" s="407"/>
      <c r="I31" s="250"/>
      <c r="J31" s="250"/>
      <c r="K31" s="251"/>
      <c r="L31" s="407"/>
      <c r="M31" s="252"/>
      <c r="N31" s="409"/>
      <c r="O31" s="409"/>
      <c r="P31" s="250"/>
      <c r="Q31" s="250"/>
      <c r="R31" s="249"/>
      <c r="S31" s="249"/>
      <c r="T31" s="404"/>
      <c r="U31" s="250"/>
      <c r="V31" s="250"/>
      <c r="W31" s="249"/>
      <c r="X31" s="249"/>
      <c r="Y31" s="404"/>
      <c r="Z31" s="250"/>
      <c r="AA31" s="250"/>
      <c r="AB31" s="249"/>
      <c r="AC31" s="249"/>
      <c r="AD31" s="404"/>
      <c r="AE31" s="250"/>
      <c r="AF31" s="250"/>
      <c r="AG31" s="249"/>
      <c r="AH31" s="249"/>
      <c r="AI31" s="404"/>
      <c r="AJ31" s="250"/>
      <c r="AK31" s="250"/>
      <c r="AL31" s="249"/>
      <c r="AM31" s="249"/>
      <c r="AN31" s="404"/>
      <c r="AO31" s="250"/>
      <c r="AP31" s="250"/>
      <c r="AQ31" s="249"/>
      <c r="AR31" s="249"/>
      <c r="AS31" s="404"/>
      <c r="AT31" s="250"/>
      <c r="AU31" s="250"/>
      <c r="AV31" s="249"/>
      <c r="AW31" s="249"/>
      <c r="AX31" s="404"/>
    </row>
    <row r="32" spans="2:50">
      <c r="B32" s="405"/>
      <c r="C32" s="249">
        <v>6</v>
      </c>
      <c r="D32" s="249"/>
      <c r="E32" s="250"/>
      <c r="F32" s="250"/>
      <c r="G32" s="251"/>
      <c r="H32" s="407"/>
      <c r="I32" s="250"/>
      <c r="J32" s="250"/>
      <c r="K32" s="251"/>
      <c r="L32" s="407"/>
      <c r="M32" s="252"/>
      <c r="N32" s="409"/>
      <c r="O32" s="409"/>
      <c r="P32" s="250"/>
      <c r="Q32" s="250"/>
      <c r="R32" s="249"/>
      <c r="S32" s="249"/>
      <c r="T32" s="404"/>
      <c r="U32" s="250"/>
      <c r="V32" s="250"/>
      <c r="W32" s="249"/>
      <c r="X32" s="249"/>
      <c r="Y32" s="404"/>
      <c r="Z32" s="250"/>
      <c r="AA32" s="250"/>
      <c r="AB32" s="249"/>
      <c r="AC32" s="249"/>
      <c r="AD32" s="404"/>
      <c r="AE32" s="250"/>
      <c r="AF32" s="250"/>
      <c r="AG32" s="249"/>
      <c r="AH32" s="249"/>
      <c r="AI32" s="404"/>
      <c r="AJ32" s="250"/>
      <c r="AK32" s="250"/>
      <c r="AL32" s="249"/>
      <c r="AM32" s="249"/>
      <c r="AN32" s="404"/>
      <c r="AO32" s="250"/>
      <c r="AP32" s="250"/>
      <c r="AQ32" s="249"/>
      <c r="AR32" s="249"/>
      <c r="AS32" s="404"/>
      <c r="AT32" s="250"/>
      <c r="AU32" s="250"/>
      <c r="AV32" s="249"/>
      <c r="AW32" s="249"/>
      <c r="AX32" s="404"/>
    </row>
    <row r="33" spans="2:50">
      <c r="B33" s="405"/>
      <c r="C33" s="249">
        <v>7</v>
      </c>
      <c r="D33" s="249"/>
      <c r="E33" s="250"/>
      <c r="F33" s="250"/>
      <c r="G33" s="251"/>
      <c r="H33" s="407"/>
      <c r="I33" s="250"/>
      <c r="J33" s="250"/>
      <c r="K33" s="251"/>
      <c r="L33" s="407"/>
      <c r="M33" s="252"/>
      <c r="N33" s="409"/>
      <c r="O33" s="409"/>
      <c r="P33" s="250"/>
      <c r="Q33" s="250"/>
      <c r="R33" s="249"/>
      <c r="S33" s="249"/>
      <c r="T33" s="404"/>
      <c r="U33" s="250"/>
      <c r="V33" s="250"/>
      <c r="W33" s="249"/>
      <c r="X33" s="249"/>
      <c r="Y33" s="404"/>
      <c r="Z33" s="250"/>
      <c r="AA33" s="250"/>
      <c r="AB33" s="249"/>
      <c r="AC33" s="249"/>
      <c r="AD33" s="404"/>
      <c r="AE33" s="250"/>
      <c r="AF33" s="250"/>
      <c r="AG33" s="249"/>
      <c r="AH33" s="249"/>
      <c r="AI33" s="404"/>
      <c r="AJ33" s="250"/>
      <c r="AK33" s="250"/>
      <c r="AL33" s="249"/>
      <c r="AM33" s="249"/>
      <c r="AN33" s="404"/>
      <c r="AO33" s="250"/>
      <c r="AP33" s="250"/>
      <c r="AQ33" s="249"/>
      <c r="AR33" s="249"/>
      <c r="AS33" s="404"/>
      <c r="AT33" s="250"/>
      <c r="AU33" s="250"/>
      <c r="AV33" s="249"/>
      <c r="AW33" s="249"/>
      <c r="AX33" s="404"/>
    </row>
    <row r="34" spans="2:50">
      <c r="B34" s="405"/>
      <c r="C34" s="249">
        <v>8</v>
      </c>
      <c r="D34" s="249"/>
      <c r="E34" s="249"/>
      <c r="F34" s="249"/>
      <c r="G34" s="249"/>
      <c r="H34" s="407"/>
      <c r="I34" s="250"/>
      <c r="J34" s="250"/>
      <c r="K34" s="251"/>
      <c r="L34" s="407"/>
      <c r="M34" s="252"/>
      <c r="N34" s="409"/>
      <c r="O34" s="409"/>
      <c r="P34" s="250"/>
      <c r="Q34" s="250"/>
      <c r="R34" s="249"/>
      <c r="S34" s="249"/>
      <c r="T34" s="404"/>
      <c r="U34" s="250"/>
      <c r="V34" s="250"/>
      <c r="W34" s="249"/>
      <c r="X34" s="249"/>
      <c r="Y34" s="404"/>
      <c r="Z34" s="250"/>
      <c r="AA34" s="250"/>
      <c r="AB34" s="249"/>
      <c r="AC34" s="249"/>
      <c r="AD34" s="404"/>
      <c r="AE34" s="250"/>
      <c r="AF34" s="250"/>
      <c r="AG34" s="249"/>
      <c r="AH34" s="249"/>
      <c r="AI34" s="404"/>
      <c r="AJ34" s="250"/>
      <c r="AK34" s="250"/>
      <c r="AL34" s="249"/>
      <c r="AM34" s="249"/>
      <c r="AN34" s="404"/>
      <c r="AO34" s="250"/>
      <c r="AP34" s="250"/>
      <c r="AQ34" s="249"/>
      <c r="AR34" s="249"/>
      <c r="AS34" s="404"/>
      <c r="AT34" s="250"/>
      <c r="AU34" s="250"/>
      <c r="AV34" s="249"/>
      <c r="AW34" s="249"/>
      <c r="AX34" s="404"/>
    </row>
    <row r="35" spans="2:50">
      <c r="B35" s="405"/>
      <c r="C35" s="249">
        <v>9</v>
      </c>
      <c r="D35" s="249"/>
      <c r="E35" s="249"/>
      <c r="F35" s="249"/>
      <c r="G35" s="249"/>
      <c r="H35" s="407"/>
      <c r="I35" s="250"/>
      <c r="J35" s="250"/>
      <c r="K35" s="251"/>
      <c r="L35" s="407"/>
      <c r="M35" s="252"/>
      <c r="N35" s="409"/>
      <c r="O35" s="409"/>
      <c r="P35" s="250"/>
      <c r="Q35" s="250"/>
      <c r="R35" s="249"/>
      <c r="S35" s="249"/>
      <c r="T35" s="404"/>
      <c r="U35" s="250"/>
      <c r="V35" s="250"/>
      <c r="W35" s="249"/>
      <c r="X35" s="249"/>
      <c r="Y35" s="404"/>
      <c r="Z35" s="250"/>
      <c r="AA35" s="250"/>
      <c r="AB35" s="249"/>
      <c r="AC35" s="249"/>
      <c r="AD35" s="404"/>
      <c r="AE35" s="250"/>
      <c r="AF35" s="250"/>
      <c r="AG35" s="249"/>
      <c r="AH35" s="249"/>
      <c r="AI35" s="404"/>
      <c r="AJ35" s="250"/>
      <c r="AK35" s="250"/>
      <c r="AL35" s="249"/>
      <c r="AM35" s="249"/>
      <c r="AN35" s="404"/>
      <c r="AO35" s="250"/>
      <c r="AP35" s="250"/>
      <c r="AQ35" s="249"/>
      <c r="AR35" s="249"/>
      <c r="AS35" s="404"/>
      <c r="AT35" s="250"/>
      <c r="AU35" s="250"/>
      <c r="AV35" s="249"/>
      <c r="AW35" s="249"/>
      <c r="AX35" s="404"/>
    </row>
    <row r="36" spans="2:50">
      <c r="B36" s="405"/>
      <c r="C36" s="249">
        <v>10</v>
      </c>
      <c r="D36" s="249"/>
      <c r="E36" s="249"/>
      <c r="F36" s="249"/>
      <c r="G36" s="249"/>
      <c r="H36" s="407"/>
      <c r="I36" s="250"/>
      <c r="J36" s="250"/>
      <c r="K36" s="251"/>
      <c r="L36" s="407"/>
      <c r="M36" s="252"/>
      <c r="N36" s="409"/>
      <c r="O36" s="409"/>
      <c r="P36" s="250"/>
      <c r="Q36" s="250"/>
      <c r="R36" s="249"/>
      <c r="S36" s="249"/>
      <c r="T36" s="404"/>
      <c r="U36" s="250"/>
      <c r="V36" s="250"/>
      <c r="W36" s="249"/>
      <c r="X36" s="249"/>
      <c r="Y36" s="404"/>
      <c r="Z36" s="250"/>
      <c r="AA36" s="250"/>
      <c r="AB36" s="249"/>
      <c r="AC36" s="249"/>
      <c r="AD36" s="404"/>
      <c r="AE36" s="250"/>
      <c r="AF36" s="250"/>
      <c r="AG36" s="249"/>
      <c r="AH36" s="249"/>
      <c r="AI36" s="404"/>
      <c r="AJ36" s="250"/>
      <c r="AK36" s="250"/>
      <c r="AL36" s="249"/>
      <c r="AM36" s="249"/>
      <c r="AN36" s="404"/>
      <c r="AO36" s="250"/>
      <c r="AP36" s="250"/>
      <c r="AQ36" s="249"/>
      <c r="AR36" s="249"/>
      <c r="AS36" s="404"/>
      <c r="AT36" s="250"/>
      <c r="AU36" s="250"/>
      <c r="AV36" s="249"/>
      <c r="AW36" s="249"/>
      <c r="AX36" s="404"/>
    </row>
    <row r="37" spans="2:50">
      <c r="B37" s="405"/>
      <c r="C37" s="249">
        <v>11</v>
      </c>
      <c r="D37" s="249"/>
      <c r="E37" s="249"/>
      <c r="F37" s="249"/>
      <c r="G37" s="249"/>
      <c r="H37" s="407"/>
      <c r="I37" s="250"/>
      <c r="J37" s="250"/>
      <c r="K37" s="251"/>
      <c r="L37" s="407"/>
      <c r="M37" s="252"/>
      <c r="N37" s="409"/>
      <c r="O37" s="409"/>
      <c r="P37" s="249"/>
      <c r="Q37" s="249"/>
      <c r="R37" s="249"/>
      <c r="S37" s="249"/>
      <c r="T37" s="404"/>
      <c r="U37" s="249"/>
      <c r="V37" s="249"/>
      <c r="W37" s="249"/>
      <c r="X37" s="249"/>
      <c r="Y37" s="404"/>
      <c r="Z37" s="249"/>
      <c r="AA37" s="249"/>
      <c r="AB37" s="249"/>
      <c r="AC37" s="249"/>
      <c r="AD37" s="404"/>
      <c r="AE37" s="249"/>
      <c r="AF37" s="249"/>
      <c r="AG37" s="249"/>
      <c r="AH37" s="249"/>
      <c r="AI37" s="404"/>
      <c r="AJ37" s="249"/>
      <c r="AK37" s="249"/>
      <c r="AL37" s="249"/>
      <c r="AM37" s="249"/>
      <c r="AN37" s="404"/>
      <c r="AO37" s="249"/>
      <c r="AP37" s="249"/>
      <c r="AQ37" s="249"/>
      <c r="AR37" s="249"/>
      <c r="AS37" s="404"/>
      <c r="AT37" s="249"/>
      <c r="AU37" s="249"/>
      <c r="AV37" s="249"/>
      <c r="AW37" s="249"/>
      <c r="AX37" s="404"/>
    </row>
    <row r="38" spans="2:50">
      <c r="B38" s="405"/>
      <c r="C38" s="249">
        <v>12</v>
      </c>
      <c r="D38" s="249"/>
      <c r="E38" s="249"/>
      <c r="F38" s="249"/>
      <c r="G38" s="249"/>
      <c r="H38" s="407"/>
      <c r="I38" s="250"/>
      <c r="J38" s="250"/>
      <c r="K38" s="251"/>
      <c r="L38" s="407"/>
      <c r="M38" s="252"/>
      <c r="N38" s="409"/>
      <c r="O38" s="409"/>
      <c r="P38" s="249"/>
      <c r="Q38" s="249"/>
      <c r="R38" s="249"/>
      <c r="S38" s="249"/>
      <c r="T38" s="404"/>
      <c r="U38" s="249"/>
      <c r="V38" s="249"/>
      <c r="W38" s="249"/>
      <c r="X38" s="249"/>
      <c r="Y38" s="404"/>
      <c r="Z38" s="249"/>
      <c r="AA38" s="249"/>
      <c r="AB38" s="249"/>
      <c r="AC38" s="249"/>
      <c r="AD38" s="404"/>
      <c r="AE38" s="249"/>
      <c r="AF38" s="249"/>
      <c r="AG38" s="249"/>
      <c r="AH38" s="249"/>
      <c r="AI38" s="404"/>
      <c r="AJ38" s="249"/>
      <c r="AK38" s="249"/>
      <c r="AL38" s="249"/>
      <c r="AM38" s="249"/>
      <c r="AN38" s="404"/>
      <c r="AO38" s="249"/>
      <c r="AP38" s="249"/>
      <c r="AQ38" s="249"/>
      <c r="AR38" s="249"/>
      <c r="AS38" s="404"/>
      <c r="AT38" s="249"/>
      <c r="AU38" s="249"/>
      <c r="AV38" s="249"/>
      <c r="AW38" s="249"/>
      <c r="AX38" s="404"/>
    </row>
    <row r="39" spans="2:50">
      <c r="B39" s="405"/>
      <c r="C39" s="249">
        <v>13</v>
      </c>
      <c r="D39" s="249"/>
      <c r="E39" s="249"/>
      <c r="F39" s="249"/>
      <c r="G39" s="249"/>
      <c r="H39" s="407"/>
      <c r="I39" s="250"/>
      <c r="J39" s="250"/>
      <c r="K39" s="251"/>
      <c r="L39" s="407"/>
      <c r="M39" s="252"/>
      <c r="N39" s="409"/>
      <c r="O39" s="409"/>
      <c r="P39" s="249"/>
      <c r="Q39" s="249"/>
      <c r="R39" s="249"/>
      <c r="S39" s="249"/>
      <c r="T39" s="404"/>
      <c r="U39" s="249"/>
      <c r="V39" s="249"/>
      <c r="W39" s="249"/>
      <c r="X39" s="249"/>
      <c r="Y39" s="404"/>
      <c r="Z39" s="249"/>
      <c r="AA39" s="249"/>
      <c r="AB39" s="249"/>
      <c r="AC39" s="249"/>
      <c r="AD39" s="404"/>
      <c r="AE39" s="249"/>
      <c r="AF39" s="249"/>
      <c r="AG39" s="249"/>
      <c r="AH39" s="249"/>
      <c r="AI39" s="404"/>
      <c r="AJ39" s="249"/>
      <c r="AK39" s="249"/>
      <c r="AL39" s="249"/>
      <c r="AM39" s="249"/>
      <c r="AN39" s="404"/>
      <c r="AO39" s="249"/>
      <c r="AP39" s="249"/>
      <c r="AQ39" s="249"/>
      <c r="AR39" s="249"/>
      <c r="AS39" s="404"/>
      <c r="AT39" s="249"/>
      <c r="AU39" s="249"/>
      <c r="AV39" s="249"/>
      <c r="AW39" s="249"/>
      <c r="AX39" s="404"/>
    </row>
    <row r="40" spans="2:50">
      <c r="B40" s="405"/>
      <c r="C40" s="249">
        <v>14</v>
      </c>
      <c r="D40" s="249"/>
      <c r="E40" s="249"/>
      <c r="F40" s="249"/>
      <c r="G40" s="249"/>
      <c r="H40" s="407"/>
      <c r="I40" s="250"/>
      <c r="J40" s="250"/>
      <c r="K40" s="251"/>
      <c r="L40" s="407"/>
      <c r="M40" s="252"/>
      <c r="N40" s="409"/>
      <c r="O40" s="409"/>
      <c r="P40" s="249"/>
      <c r="Q40" s="249"/>
      <c r="R40" s="249"/>
      <c r="S40" s="249"/>
      <c r="T40" s="404"/>
      <c r="U40" s="249"/>
      <c r="V40" s="249"/>
      <c r="W40" s="249"/>
      <c r="X40" s="249"/>
      <c r="Y40" s="404"/>
      <c r="Z40" s="249"/>
      <c r="AA40" s="249"/>
      <c r="AB40" s="249"/>
      <c r="AC40" s="249"/>
      <c r="AD40" s="404"/>
      <c r="AE40" s="249"/>
      <c r="AF40" s="249"/>
      <c r="AG40" s="249"/>
      <c r="AH40" s="249"/>
      <c r="AI40" s="404"/>
      <c r="AJ40" s="249"/>
      <c r="AK40" s="249"/>
      <c r="AL40" s="249"/>
      <c r="AM40" s="249"/>
      <c r="AN40" s="404"/>
      <c r="AO40" s="249"/>
      <c r="AP40" s="249"/>
      <c r="AQ40" s="249"/>
      <c r="AR40" s="249"/>
      <c r="AS40" s="404"/>
      <c r="AT40" s="249"/>
      <c r="AU40" s="249"/>
      <c r="AV40" s="249"/>
      <c r="AW40" s="249"/>
      <c r="AX40" s="404"/>
    </row>
    <row r="41" spans="2:50">
      <c r="B41" s="405"/>
      <c r="C41" s="249">
        <v>15</v>
      </c>
      <c r="D41" s="249"/>
      <c r="E41" s="249"/>
      <c r="F41" s="249"/>
      <c r="G41" s="249"/>
      <c r="H41" s="408"/>
      <c r="I41" s="250"/>
      <c r="J41" s="250"/>
      <c r="K41" s="251"/>
      <c r="L41" s="408"/>
      <c r="M41" s="250"/>
      <c r="N41" s="409"/>
      <c r="O41" s="409"/>
      <c r="P41" s="249"/>
      <c r="Q41" s="249"/>
      <c r="R41" s="249"/>
      <c r="S41" s="249"/>
      <c r="T41" s="404"/>
      <c r="U41" s="249"/>
      <c r="V41" s="249"/>
      <c r="W41" s="249"/>
      <c r="X41" s="249"/>
      <c r="Y41" s="404"/>
      <c r="Z41" s="249"/>
      <c r="AA41" s="249"/>
      <c r="AB41" s="249"/>
      <c r="AC41" s="249"/>
      <c r="AD41" s="404"/>
      <c r="AE41" s="249"/>
      <c r="AF41" s="249"/>
      <c r="AG41" s="249"/>
      <c r="AH41" s="249"/>
      <c r="AI41" s="404"/>
      <c r="AJ41" s="249"/>
      <c r="AK41" s="249"/>
      <c r="AL41" s="249"/>
      <c r="AM41" s="249"/>
      <c r="AN41" s="404"/>
      <c r="AO41" s="249"/>
      <c r="AP41" s="249"/>
      <c r="AQ41" s="249"/>
      <c r="AR41" s="249"/>
      <c r="AS41" s="404"/>
      <c r="AT41" s="249"/>
      <c r="AU41" s="249"/>
      <c r="AV41" s="249"/>
      <c r="AW41" s="249"/>
      <c r="AX41" s="404"/>
    </row>
    <row r="42" spans="2:50" ht="15.75">
      <c r="B42" s="424" t="s">
        <v>93</v>
      </c>
      <c r="C42" s="425"/>
      <c r="D42" s="425"/>
      <c r="E42" s="425"/>
      <c r="F42" s="425"/>
      <c r="G42" s="425"/>
      <c r="H42" s="425"/>
      <c r="I42" s="254"/>
      <c r="J42" s="243"/>
      <c r="K42" s="254"/>
      <c r="L42" s="254"/>
      <c r="M42" s="244"/>
      <c r="N42" s="418" t="s">
        <v>94</v>
      </c>
      <c r="O42" s="418" t="s">
        <v>45</v>
      </c>
      <c r="P42" s="413">
        <v>45944</v>
      </c>
      <c r="Q42" s="405"/>
      <c r="R42" s="405"/>
      <c r="S42" s="405"/>
      <c r="T42" s="405"/>
      <c r="U42" s="413">
        <v>45945</v>
      </c>
      <c r="V42" s="405"/>
      <c r="W42" s="405"/>
      <c r="X42" s="405"/>
      <c r="Y42" s="405"/>
      <c r="Z42" s="413">
        <v>45946</v>
      </c>
      <c r="AA42" s="405"/>
      <c r="AB42" s="405"/>
      <c r="AC42" s="405"/>
      <c r="AD42" s="405"/>
      <c r="AE42" s="413">
        <v>45947</v>
      </c>
      <c r="AF42" s="405"/>
      <c r="AG42" s="405"/>
      <c r="AH42" s="405"/>
      <c r="AI42" s="405"/>
      <c r="AJ42" s="413">
        <v>45948</v>
      </c>
      <c r="AK42" s="405"/>
      <c r="AL42" s="405"/>
      <c r="AM42" s="405"/>
      <c r="AN42" s="405"/>
      <c r="AO42" s="413">
        <v>45949</v>
      </c>
      <c r="AP42" s="405"/>
      <c r="AQ42" s="405"/>
      <c r="AR42" s="405"/>
      <c r="AS42" s="405"/>
      <c r="AT42" s="413">
        <v>45950</v>
      </c>
      <c r="AU42" s="405"/>
      <c r="AV42" s="405"/>
      <c r="AW42" s="405"/>
      <c r="AX42" s="405"/>
    </row>
    <row r="43" spans="2:50" ht="15.75">
      <c r="B43" s="423"/>
      <c r="C43" s="423"/>
      <c r="D43" s="423"/>
      <c r="E43" s="423"/>
      <c r="F43" s="423"/>
      <c r="G43" s="423"/>
      <c r="H43" s="423"/>
      <c r="I43" s="245"/>
      <c r="J43" s="245"/>
      <c r="K43" s="245"/>
      <c r="L43" s="245"/>
      <c r="M43" s="246"/>
      <c r="N43" s="420"/>
      <c r="O43" s="420"/>
      <c r="P43" s="413" t="s">
        <v>77</v>
      </c>
      <c r="Q43" s="405"/>
      <c r="R43" s="405"/>
      <c r="S43" s="405"/>
      <c r="T43" s="405"/>
      <c r="U43" s="413" t="s">
        <v>72</v>
      </c>
      <c r="V43" s="405"/>
      <c r="W43" s="405"/>
      <c r="X43" s="405"/>
      <c r="Y43" s="405"/>
      <c r="Z43" s="413" t="s">
        <v>73</v>
      </c>
      <c r="AA43" s="405"/>
      <c r="AB43" s="405"/>
      <c r="AC43" s="405"/>
      <c r="AD43" s="405"/>
      <c r="AE43" s="413" t="s">
        <v>74</v>
      </c>
      <c r="AF43" s="405"/>
      <c r="AG43" s="405"/>
      <c r="AH43" s="405"/>
      <c r="AI43" s="405"/>
      <c r="AJ43" s="413" t="s">
        <v>75</v>
      </c>
      <c r="AK43" s="405"/>
      <c r="AL43" s="405"/>
      <c r="AM43" s="405"/>
      <c r="AN43" s="405"/>
      <c r="AO43" s="413" t="s">
        <v>52</v>
      </c>
      <c r="AP43" s="405"/>
      <c r="AQ43" s="405"/>
      <c r="AR43" s="405"/>
      <c r="AS43" s="405"/>
      <c r="AT43" s="413" t="s">
        <v>76</v>
      </c>
      <c r="AU43" s="405"/>
      <c r="AV43" s="405"/>
      <c r="AW43" s="405"/>
      <c r="AX43" s="405"/>
    </row>
    <row r="44" spans="2:50">
      <c r="B44" s="409" t="s">
        <v>95</v>
      </c>
      <c r="C44" s="409" t="s">
        <v>96</v>
      </c>
      <c r="D44" s="409"/>
      <c r="E44" s="409" t="s">
        <v>97</v>
      </c>
      <c r="F44" s="409"/>
      <c r="G44" s="409"/>
      <c r="H44" s="415" t="s">
        <v>98</v>
      </c>
      <c r="I44" s="409" t="s">
        <v>99</v>
      </c>
      <c r="J44" s="409"/>
      <c r="K44" s="409"/>
      <c r="L44" s="415" t="s">
        <v>98</v>
      </c>
      <c r="M44" s="418" t="s">
        <v>100</v>
      </c>
      <c r="N44" s="409"/>
      <c r="O44" s="409" t="s">
        <v>101</v>
      </c>
      <c r="P44" s="410" t="s">
        <v>102</v>
      </c>
      <c r="Q44" s="411"/>
      <c r="R44" s="411"/>
      <c r="S44" s="412"/>
      <c r="T44" s="409" t="s">
        <v>98</v>
      </c>
      <c r="U44" s="410" t="s">
        <v>102</v>
      </c>
      <c r="V44" s="411"/>
      <c r="W44" s="411"/>
      <c r="X44" s="412"/>
      <c r="Y44" s="409" t="s">
        <v>98</v>
      </c>
      <c r="Z44" s="410" t="s">
        <v>102</v>
      </c>
      <c r="AA44" s="411"/>
      <c r="AB44" s="411"/>
      <c r="AC44" s="412"/>
      <c r="AD44" s="409" t="s">
        <v>98</v>
      </c>
      <c r="AE44" s="410" t="s">
        <v>102</v>
      </c>
      <c r="AF44" s="411"/>
      <c r="AG44" s="411"/>
      <c r="AH44" s="412"/>
      <c r="AI44" s="409" t="s">
        <v>98</v>
      </c>
      <c r="AJ44" s="410" t="s">
        <v>102</v>
      </c>
      <c r="AK44" s="411"/>
      <c r="AL44" s="411"/>
      <c r="AM44" s="412"/>
      <c r="AN44" s="409" t="s">
        <v>98</v>
      </c>
      <c r="AO44" s="410" t="s">
        <v>102</v>
      </c>
      <c r="AP44" s="411"/>
      <c r="AQ44" s="411"/>
      <c r="AR44" s="412"/>
      <c r="AS44" s="409" t="s">
        <v>98</v>
      </c>
      <c r="AT44" s="410" t="s">
        <v>102</v>
      </c>
      <c r="AU44" s="411"/>
      <c r="AV44" s="411"/>
      <c r="AW44" s="412"/>
      <c r="AX44" s="409" t="s">
        <v>98</v>
      </c>
    </row>
    <row r="45" spans="2:50">
      <c r="B45" s="409"/>
      <c r="C45" s="409"/>
      <c r="D45" s="409"/>
      <c r="E45" s="409" t="s">
        <v>103</v>
      </c>
      <c r="F45" s="409"/>
      <c r="G45" s="409"/>
      <c r="H45" s="416"/>
      <c r="I45" s="409" t="s">
        <v>103</v>
      </c>
      <c r="J45" s="409"/>
      <c r="K45" s="409"/>
      <c r="L45" s="416"/>
      <c r="M45" s="419"/>
      <c r="N45" s="409"/>
      <c r="O45" s="409"/>
      <c r="P45" s="410" t="s">
        <v>104</v>
      </c>
      <c r="Q45" s="411"/>
      <c r="R45" s="411"/>
      <c r="S45" s="412"/>
      <c r="T45" s="409"/>
      <c r="U45" s="410" t="s">
        <v>104</v>
      </c>
      <c r="V45" s="411"/>
      <c r="W45" s="411"/>
      <c r="X45" s="412"/>
      <c r="Y45" s="409"/>
      <c r="Z45" s="410" t="s">
        <v>104</v>
      </c>
      <c r="AA45" s="411"/>
      <c r="AB45" s="411"/>
      <c r="AC45" s="412"/>
      <c r="AD45" s="409"/>
      <c r="AE45" s="410" t="s">
        <v>104</v>
      </c>
      <c r="AF45" s="411"/>
      <c r="AG45" s="411"/>
      <c r="AH45" s="412"/>
      <c r="AI45" s="409"/>
      <c r="AJ45" s="410" t="s">
        <v>104</v>
      </c>
      <c r="AK45" s="411"/>
      <c r="AL45" s="411"/>
      <c r="AM45" s="412"/>
      <c r="AN45" s="409"/>
      <c r="AO45" s="410" t="s">
        <v>104</v>
      </c>
      <c r="AP45" s="411"/>
      <c r="AQ45" s="411"/>
      <c r="AR45" s="412"/>
      <c r="AS45" s="409"/>
      <c r="AT45" s="410" t="s">
        <v>104</v>
      </c>
      <c r="AU45" s="411"/>
      <c r="AV45" s="411"/>
      <c r="AW45" s="412"/>
      <c r="AX45" s="409"/>
    </row>
    <row r="46" spans="2:50">
      <c r="B46" s="409"/>
      <c r="C46" s="409"/>
      <c r="D46" s="409"/>
      <c r="E46" s="248" t="s">
        <v>105</v>
      </c>
      <c r="F46" s="248" t="s">
        <v>106</v>
      </c>
      <c r="G46" s="248" t="s">
        <v>107</v>
      </c>
      <c r="H46" s="417"/>
      <c r="I46" s="248" t="s">
        <v>105</v>
      </c>
      <c r="J46" s="248" t="s">
        <v>106</v>
      </c>
      <c r="K46" s="248" t="s">
        <v>107</v>
      </c>
      <c r="L46" s="417"/>
      <c r="M46" s="420"/>
      <c r="N46" s="409"/>
      <c r="O46" s="409"/>
      <c r="P46" s="248" t="s">
        <v>105</v>
      </c>
      <c r="Q46" s="248" t="s">
        <v>106</v>
      </c>
      <c r="R46" s="248" t="s">
        <v>107</v>
      </c>
      <c r="S46" s="248" t="s">
        <v>100</v>
      </c>
      <c r="T46" s="409"/>
      <c r="U46" s="248" t="s">
        <v>105</v>
      </c>
      <c r="V46" s="248" t="s">
        <v>106</v>
      </c>
      <c r="W46" s="248" t="s">
        <v>107</v>
      </c>
      <c r="X46" s="248" t="s">
        <v>100</v>
      </c>
      <c r="Y46" s="409"/>
      <c r="Z46" s="248" t="s">
        <v>105</v>
      </c>
      <c r="AA46" s="248" t="s">
        <v>106</v>
      </c>
      <c r="AB46" s="248" t="s">
        <v>107</v>
      </c>
      <c r="AC46" s="248" t="s">
        <v>100</v>
      </c>
      <c r="AD46" s="409"/>
      <c r="AE46" s="248" t="s">
        <v>105</v>
      </c>
      <c r="AF46" s="248" t="s">
        <v>106</v>
      </c>
      <c r="AG46" s="248" t="s">
        <v>107</v>
      </c>
      <c r="AH46" s="248" t="s">
        <v>100</v>
      </c>
      <c r="AI46" s="409"/>
      <c r="AJ46" s="248" t="s">
        <v>105</v>
      </c>
      <c r="AK46" s="248" t="s">
        <v>106</v>
      </c>
      <c r="AL46" s="248" t="s">
        <v>107</v>
      </c>
      <c r="AM46" s="248" t="s">
        <v>100</v>
      </c>
      <c r="AN46" s="409"/>
      <c r="AO46" s="248" t="s">
        <v>105</v>
      </c>
      <c r="AP46" s="248" t="s">
        <v>106</v>
      </c>
      <c r="AQ46" s="248" t="s">
        <v>107</v>
      </c>
      <c r="AR46" s="248" t="s">
        <v>100</v>
      </c>
      <c r="AS46" s="409"/>
      <c r="AT46" s="248" t="s">
        <v>105</v>
      </c>
      <c r="AU46" s="248" t="s">
        <v>106</v>
      </c>
      <c r="AV46" s="248" t="s">
        <v>107</v>
      </c>
      <c r="AW46" s="248" t="s">
        <v>100</v>
      </c>
      <c r="AX46" s="409"/>
    </row>
    <row r="47" spans="2:50">
      <c r="B47" s="409" t="s">
        <v>84</v>
      </c>
      <c r="C47" s="249">
        <v>1</v>
      </c>
      <c r="D47" s="249" t="s">
        <v>130</v>
      </c>
      <c r="E47" s="250" t="e">
        <f>VLOOKUP(D47,#REF!,2,0)</f>
        <v>#REF!</v>
      </c>
      <c r="F47" s="250" t="e">
        <f>VLOOKUP(D47,#REF!,3,0)</f>
        <v>#REF!</v>
      </c>
      <c r="G47" s="251" t="e">
        <f>F47/E47</f>
        <v>#REF!</v>
      </c>
      <c r="H47" s="406" t="e">
        <f>AVERAGE(G47:G61)</f>
        <v>#REF!</v>
      </c>
      <c r="I47" s="250">
        <f>AVERAGE(P47,U47,Z47,AE47,AJ47,AO47,AT47)</f>
        <v>13.142857142857142</v>
      </c>
      <c r="J47" s="250">
        <f>AVERAGE(Q47,V47,AA47,AF47,AK47,AP47,AU47)</f>
        <v>1415.1428571428571</v>
      </c>
      <c r="K47" s="251">
        <f>AVERAGE(R47,W47,AB47,AG47,AL47,AQ47,AV47)</f>
        <v>107.68131868131869</v>
      </c>
      <c r="L47" s="406">
        <f>IFERROR(AVERAGE(K47:K61),"-")</f>
        <v>109.50885225885226</v>
      </c>
      <c r="M47" s="250">
        <f>RANK(K47, K$47:$K$61)</f>
        <v>2</v>
      </c>
      <c r="N47" s="409"/>
      <c r="O47" s="409"/>
      <c r="P47" s="250">
        <v>13</v>
      </c>
      <c r="Q47" s="250">
        <v>1375</v>
      </c>
      <c r="R47" s="251">
        <f>Q47/P47</f>
        <v>105.76923076923077</v>
      </c>
      <c r="S47" s="249">
        <f>RANK(R47, $R$47:$R$49)</f>
        <v>2</v>
      </c>
      <c r="T47" s="404">
        <f>AVERAGE(R47:R61)</f>
        <v>108.53418803418803</v>
      </c>
      <c r="U47" s="250">
        <v>13</v>
      </c>
      <c r="V47" s="250">
        <v>1409</v>
      </c>
      <c r="W47" s="251">
        <f>V47/U47</f>
        <v>108.38461538461539</v>
      </c>
      <c r="X47" s="249">
        <f>RANK(W47, $W$47:$W$49)</f>
        <v>3</v>
      </c>
      <c r="Y47" s="404">
        <f>AVERAGE(W47:W61)</f>
        <v>114.21153846153845</v>
      </c>
      <c r="Z47" s="250">
        <v>13</v>
      </c>
      <c r="AA47" s="250">
        <v>1393</v>
      </c>
      <c r="AB47" s="251">
        <f>AA47/Z47</f>
        <v>107.15384615384616</v>
      </c>
      <c r="AC47" s="249">
        <f>RANK(AB47, $AB$47:$AB$49)</f>
        <v>3</v>
      </c>
      <c r="AD47" s="404">
        <f>AVERAGE(AB47:AB61)</f>
        <v>116.27350427350427</v>
      </c>
      <c r="AE47" s="250">
        <v>13</v>
      </c>
      <c r="AF47" s="250">
        <v>1460</v>
      </c>
      <c r="AG47" s="251">
        <f>AF47/AE47</f>
        <v>112.30769230769231</v>
      </c>
      <c r="AH47" s="249">
        <f>RANK(AG47,$AG$47:$AG$49)</f>
        <v>1</v>
      </c>
      <c r="AI47" s="404">
        <f>AVERAGE(AG47:AG61)</f>
        <v>106.26923076923077</v>
      </c>
      <c r="AJ47" s="250">
        <v>13</v>
      </c>
      <c r="AK47" s="250">
        <v>1254</v>
      </c>
      <c r="AL47" s="251">
        <f>AK47/AJ47</f>
        <v>96.461538461538467</v>
      </c>
      <c r="AM47" s="249">
        <f>RANK(AL47, $AL$47:$AL$49)</f>
        <v>3</v>
      </c>
      <c r="AN47" s="404">
        <f>AVERAGE(AL47:AL61)</f>
        <v>102.01495726495726</v>
      </c>
      <c r="AO47" s="250">
        <v>14</v>
      </c>
      <c r="AP47" s="250">
        <v>1498</v>
      </c>
      <c r="AQ47" s="251">
        <f>AP47/AO47</f>
        <v>107</v>
      </c>
      <c r="AR47" s="249">
        <f>RANK(AQ47,$AQ$47:$AQ$49)</f>
        <v>2</v>
      </c>
      <c r="AS47" s="404">
        <f>AVERAGE(AQ47:AQ61)</f>
        <v>107.02777777777777</v>
      </c>
      <c r="AT47" s="264">
        <v>13</v>
      </c>
      <c r="AU47" s="264">
        <v>1517</v>
      </c>
      <c r="AV47" s="251">
        <f>AU47/AT47</f>
        <v>116.69230769230769</v>
      </c>
      <c r="AW47" s="249">
        <f>RANK(AV47,$AV$47:$AV$49)</f>
        <v>1</v>
      </c>
      <c r="AX47" s="404">
        <f>AVERAGE(AV47:AV61)</f>
        <v>112.23076923076923</v>
      </c>
    </row>
    <row r="48" spans="2:50">
      <c r="B48" s="405"/>
      <c r="C48" s="249">
        <v>2</v>
      </c>
      <c r="D48" s="249" t="s">
        <v>131</v>
      </c>
      <c r="E48" s="250" t="e">
        <f>VLOOKUP(D48,#REF!,2,0)</f>
        <v>#REF!</v>
      </c>
      <c r="F48" s="250" t="e">
        <f>VLOOKUP(D48,#REF!,3,0)</f>
        <v>#REF!</v>
      </c>
      <c r="G48" s="251" t="e">
        <f>F48/E48</f>
        <v>#REF!</v>
      </c>
      <c r="H48" s="407"/>
      <c r="I48" s="250">
        <f t="shared" ref="I48:K49" si="4">AVERAGE(P48,U48,Z48,AE48,AJ48,AO48,AT48)</f>
        <v>12</v>
      </c>
      <c r="J48" s="250">
        <f t="shared" si="4"/>
        <v>1371.5714285714287</v>
      </c>
      <c r="K48" s="251">
        <f t="shared" si="4"/>
        <v>114.29761904761907</v>
      </c>
      <c r="L48" s="407"/>
      <c r="M48" s="250">
        <f>RANK(K48, K$47:$K$61)</f>
        <v>1</v>
      </c>
      <c r="N48" s="409"/>
      <c r="O48" s="409"/>
      <c r="P48" s="250">
        <v>12</v>
      </c>
      <c r="Q48" s="250">
        <v>1537</v>
      </c>
      <c r="R48" s="251">
        <f>Q48/P48</f>
        <v>128.08333333333334</v>
      </c>
      <c r="S48" s="249">
        <f>RANK(R48, $R$47:$R$49)</f>
        <v>1</v>
      </c>
      <c r="T48" s="404"/>
      <c r="U48" s="250">
        <v>12</v>
      </c>
      <c r="V48" s="250">
        <v>1398</v>
      </c>
      <c r="W48" s="251">
        <f>V48/U48</f>
        <v>116.5</v>
      </c>
      <c r="X48" s="249">
        <f>RANK(W48, $W$47:$W$49)</f>
        <v>2</v>
      </c>
      <c r="Y48" s="404"/>
      <c r="Z48" s="250">
        <v>12</v>
      </c>
      <c r="AA48" s="250">
        <v>1559</v>
      </c>
      <c r="AB48" s="251">
        <f>AA48/Z48</f>
        <v>129.91666666666666</v>
      </c>
      <c r="AC48" s="249">
        <f>RANK(AB48, $AB$47:$AB$49)</f>
        <v>1</v>
      </c>
      <c r="AD48" s="404"/>
      <c r="AE48" s="250">
        <v>12</v>
      </c>
      <c r="AF48" s="250">
        <v>1193</v>
      </c>
      <c r="AG48" s="251">
        <f>AF48/AE48</f>
        <v>99.416666666666671</v>
      </c>
      <c r="AH48" s="249">
        <f>RANK(AG48,$AG$47:$AG$49)</f>
        <v>3</v>
      </c>
      <c r="AI48" s="404"/>
      <c r="AJ48" s="250">
        <v>12</v>
      </c>
      <c r="AK48" s="250">
        <v>1254</v>
      </c>
      <c r="AL48" s="251">
        <f>AK48/AJ48</f>
        <v>104.5</v>
      </c>
      <c r="AM48" s="249">
        <f>RANK(AL48, $AL$47:$AL$49)</f>
        <v>2</v>
      </c>
      <c r="AN48" s="404"/>
      <c r="AO48" s="250">
        <v>12</v>
      </c>
      <c r="AP48" s="250">
        <v>1297</v>
      </c>
      <c r="AQ48" s="251">
        <f>AP48/AO48</f>
        <v>108.08333333333333</v>
      </c>
      <c r="AR48" s="249">
        <f>RANK(AQ48,$AQ$47:$AQ$49)</f>
        <v>1</v>
      </c>
      <c r="AS48" s="404"/>
      <c r="AT48" s="264">
        <v>12</v>
      </c>
      <c r="AU48" s="264">
        <v>1363</v>
      </c>
      <c r="AV48" s="251">
        <f>AU48/AT48</f>
        <v>113.58333333333333</v>
      </c>
      <c r="AW48" s="249">
        <f>RANK(AV48,$AV$47:$AV$49)</f>
        <v>2</v>
      </c>
      <c r="AX48" s="404"/>
    </row>
    <row r="49" spans="2:50">
      <c r="B49" s="405"/>
      <c r="C49" s="249">
        <v>3</v>
      </c>
      <c r="D49" s="249" t="s">
        <v>132</v>
      </c>
      <c r="E49" s="250" t="e">
        <f>VLOOKUP(D49,#REF!,2,0)</f>
        <v>#REF!</v>
      </c>
      <c r="F49" s="250" t="e">
        <f>VLOOKUP(D49,#REF!,3,0)</f>
        <v>#REF!</v>
      </c>
      <c r="G49" s="251" t="e">
        <f>F49/E49</f>
        <v>#REF!</v>
      </c>
      <c r="H49" s="407"/>
      <c r="I49" s="250">
        <f t="shared" si="4"/>
        <v>12</v>
      </c>
      <c r="J49" s="250">
        <f t="shared" si="4"/>
        <v>1278.5714285714287</v>
      </c>
      <c r="K49" s="251">
        <f t="shared" si="4"/>
        <v>106.54761904761904</v>
      </c>
      <c r="L49" s="407"/>
      <c r="M49" s="250">
        <f>RANK(K49, K$47:$K$61)</f>
        <v>3</v>
      </c>
      <c r="N49" s="409"/>
      <c r="O49" s="409"/>
      <c r="P49" s="250">
        <v>12</v>
      </c>
      <c r="Q49" s="250">
        <v>1101</v>
      </c>
      <c r="R49" s="251">
        <f>Q49/P49</f>
        <v>91.75</v>
      </c>
      <c r="S49" s="249">
        <f>RANK(R49, $R$47:$R$49)</f>
        <v>3</v>
      </c>
      <c r="T49" s="404"/>
      <c r="U49" s="250">
        <v>12</v>
      </c>
      <c r="V49" s="250">
        <v>1413</v>
      </c>
      <c r="W49" s="251">
        <f>V49/U49</f>
        <v>117.75</v>
      </c>
      <c r="X49" s="249">
        <f>RANK(W49, $W$47:$W$49)</f>
        <v>1</v>
      </c>
      <c r="Y49" s="404"/>
      <c r="Z49" s="250">
        <v>12</v>
      </c>
      <c r="AA49" s="250">
        <v>1341</v>
      </c>
      <c r="AB49" s="251">
        <f>AA49/Z49</f>
        <v>111.75</v>
      </c>
      <c r="AC49" s="249">
        <f>RANK(AB49, $AB$47:$AB$49)</f>
        <v>2</v>
      </c>
      <c r="AD49" s="404"/>
      <c r="AE49" s="250">
        <v>12</v>
      </c>
      <c r="AF49" s="250">
        <v>1285</v>
      </c>
      <c r="AG49" s="251">
        <f>AF49/AE49</f>
        <v>107.08333333333333</v>
      </c>
      <c r="AH49" s="249">
        <f>RANK(AG49,$AG$47:$AG$49)</f>
        <v>2</v>
      </c>
      <c r="AI49" s="404"/>
      <c r="AJ49" s="250">
        <v>12</v>
      </c>
      <c r="AK49" s="250">
        <v>1261</v>
      </c>
      <c r="AL49" s="251">
        <f>AK49/AJ49</f>
        <v>105.08333333333333</v>
      </c>
      <c r="AM49" s="249">
        <f>RANK(AL49, $AL$47:$AL$49)</f>
        <v>1</v>
      </c>
      <c r="AN49" s="404"/>
      <c r="AO49" s="250">
        <v>12</v>
      </c>
      <c r="AP49" s="250">
        <v>1272</v>
      </c>
      <c r="AQ49" s="251">
        <f>AP49/AO49</f>
        <v>106</v>
      </c>
      <c r="AR49" s="249">
        <f>RANK(AQ49,$AQ$47:$AQ$49)</f>
        <v>3</v>
      </c>
      <c r="AS49" s="404"/>
      <c r="AT49" s="264">
        <v>12</v>
      </c>
      <c r="AU49" s="264">
        <v>1277</v>
      </c>
      <c r="AV49" s="251">
        <f>AU49/AT49</f>
        <v>106.41666666666667</v>
      </c>
      <c r="AW49" s="249">
        <f>RANK(AV49,$AV$47:$AV$49)</f>
        <v>3</v>
      </c>
      <c r="AX49" s="404"/>
    </row>
    <row r="50" spans="2:50">
      <c r="B50" s="405"/>
      <c r="C50" s="249">
        <v>4</v>
      </c>
      <c r="D50" s="249"/>
      <c r="E50" s="250"/>
      <c r="F50" s="250"/>
      <c r="G50" s="251"/>
      <c r="H50" s="407"/>
      <c r="I50" s="250"/>
      <c r="J50" s="250"/>
      <c r="K50" s="251"/>
      <c r="L50" s="407"/>
      <c r="M50" s="250"/>
      <c r="N50" s="409"/>
      <c r="O50" s="409"/>
      <c r="P50" s="250"/>
      <c r="Q50" s="250"/>
      <c r="R50" s="249"/>
      <c r="S50" s="249"/>
      <c r="T50" s="404"/>
      <c r="U50" s="250"/>
      <c r="V50" s="250"/>
      <c r="W50" s="249"/>
      <c r="X50" s="249"/>
      <c r="Y50" s="404"/>
      <c r="Z50" s="250"/>
      <c r="AA50" s="250"/>
      <c r="AB50" s="249"/>
      <c r="AC50" s="249"/>
      <c r="AD50" s="404"/>
      <c r="AE50" s="250"/>
      <c r="AF50" s="250"/>
      <c r="AG50" s="249"/>
      <c r="AH50" s="249"/>
      <c r="AI50" s="404"/>
      <c r="AJ50" s="250"/>
      <c r="AK50" s="250"/>
      <c r="AL50" s="249"/>
      <c r="AM50" s="249"/>
      <c r="AN50" s="404"/>
      <c r="AO50" s="250"/>
      <c r="AP50" s="250"/>
      <c r="AQ50" s="249"/>
      <c r="AR50" s="249"/>
      <c r="AS50" s="404"/>
      <c r="AT50" s="250"/>
      <c r="AU50" s="250"/>
      <c r="AV50" s="249"/>
      <c r="AW50" s="249"/>
      <c r="AX50" s="404"/>
    </row>
    <row r="51" spans="2:50">
      <c r="B51" s="405"/>
      <c r="C51" s="249">
        <v>5</v>
      </c>
      <c r="D51" s="249"/>
      <c r="E51" s="250"/>
      <c r="F51" s="250"/>
      <c r="G51" s="251"/>
      <c r="H51" s="407"/>
      <c r="I51" s="250"/>
      <c r="J51" s="250"/>
      <c r="K51" s="251"/>
      <c r="L51" s="407"/>
      <c r="M51" s="250"/>
      <c r="N51" s="409"/>
      <c r="O51" s="409"/>
      <c r="P51" s="250"/>
      <c r="Q51" s="250"/>
      <c r="R51" s="249"/>
      <c r="S51" s="249"/>
      <c r="T51" s="404"/>
      <c r="U51" s="250"/>
      <c r="V51" s="250"/>
      <c r="W51" s="249"/>
      <c r="X51" s="249"/>
      <c r="Y51" s="404"/>
      <c r="Z51" s="250"/>
      <c r="AA51" s="250"/>
      <c r="AB51" s="249"/>
      <c r="AC51" s="249"/>
      <c r="AD51" s="404"/>
      <c r="AE51" s="250"/>
      <c r="AF51" s="250"/>
      <c r="AG51" s="249"/>
      <c r="AH51" s="249"/>
      <c r="AI51" s="404"/>
      <c r="AJ51" s="250"/>
      <c r="AK51" s="250"/>
      <c r="AL51" s="249"/>
      <c r="AM51" s="249"/>
      <c r="AN51" s="404"/>
      <c r="AO51" s="250"/>
      <c r="AP51" s="250"/>
      <c r="AQ51" s="249"/>
      <c r="AR51" s="249"/>
      <c r="AS51" s="404"/>
      <c r="AT51" s="250"/>
      <c r="AU51" s="250"/>
      <c r="AV51" s="249"/>
      <c r="AW51" s="249"/>
      <c r="AX51" s="404"/>
    </row>
    <row r="52" spans="2:50">
      <c r="B52" s="405"/>
      <c r="C52" s="249">
        <v>6</v>
      </c>
      <c r="D52" s="249"/>
      <c r="E52" s="250"/>
      <c r="F52" s="250"/>
      <c r="G52" s="251"/>
      <c r="H52" s="407"/>
      <c r="I52" s="250"/>
      <c r="J52" s="250"/>
      <c r="K52" s="251"/>
      <c r="L52" s="407"/>
      <c r="M52" s="250"/>
      <c r="N52" s="409"/>
      <c r="O52" s="409"/>
      <c r="P52" s="250"/>
      <c r="Q52" s="250"/>
      <c r="R52" s="249"/>
      <c r="S52" s="249"/>
      <c r="T52" s="404"/>
      <c r="U52" s="250"/>
      <c r="V52" s="250"/>
      <c r="W52" s="249"/>
      <c r="X52" s="249"/>
      <c r="Y52" s="404"/>
      <c r="Z52" s="250"/>
      <c r="AA52" s="250"/>
      <c r="AB52" s="249"/>
      <c r="AC52" s="249"/>
      <c r="AD52" s="404"/>
      <c r="AE52" s="250"/>
      <c r="AF52" s="250"/>
      <c r="AG52" s="249"/>
      <c r="AH52" s="249"/>
      <c r="AI52" s="404"/>
      <c r="AJ52" s="250"/>
      <c r="AK52" s="250"/>
      <c r="AL52" s="249"/>
      <c r="AM52" s="249"/>
      <c r="AN52" s="404"/>
      <c r="AO52" s="250"/>
      <c r="AP52" s="250"/>
      <c r="AQ52" s="249"/>
      <c r="AR52" s="249"/>
      <c r="AS52" s="404"/>
      <c r="AT52" s="250"/>
      <c r="AU52" s="250"/>
      <c r="AV52" s="249"/>
      <c r="AW52" s="249"/>
      <c r="AX52" s="404"/>
    </row>
    <row r="53" spans="2:50">
      <c r="B53" s="405"/>
      <c r="C53" s="249">
        <v>7</v>
      </c>
      <c r="D53" s="249"/>
      <c r="E53" s="250"/>
      <c r="F53" s="250"/>
      <c r="G53" s="251"/>
      <c r="H53" s="407"/>
      <c r="I53" s="250"/>
      <c r="J53" s="250"/>
      <c r="K53" s="251"/>
      <c r="L53" s="407"/>
      <c r="M53" s="250"/>
      <c r="N53" s="409"/>
      <c r="O53" s="409"/>
      <c r="P53" s="250"/>
      <c r="Q53" s="250"/>
      <c r="R53" s="249"/>
      <c r="S53" s="249"/>
      <c r="T53" s="404"/>
      <c r="U53" s="250"/>
      <c r="V53" s="250"/>
      <c r="W53" s="249"/>
      <c r="X53" s="249"/>
      <c r="Y53" s="404"/>
      <c r="Z53" s="250"/>
      <c r="AA53" s="250"/>
      <c r="AB53" s="249"/>
      <c r="AC53" s="249"/>
      <c r="AD53" s="404"/>
      <c r="AE53" s="250"/>
      <c r="AF53" s="250"/>
      <c r="AG53" s="249"/>
      <c r="AH53" s="249"/>
      <c r="AI53" s="404"/>
      <c r="AJ53" s="250"/>
      <c r="AK53" s="250"/>
      <c r="AL53" s="249"/>
      <c r="AM53" s="249"/>
      <c r="AN53" s="404"/>
      <c r="AO53" s="250"/>
      <c r="AP53" s="250"/>
      <c r="AQ53" s="249"/>
      <c r="AR53" s="249"/>
      <c r="AS53" s="404"/>
      <c r="AT53" s="250"/>
      <c r="AU53" s="250"/>
      <c r="AV53" s="249"/>
      <c r="AW53" s="249"/>
      <c r="AX53" s="404"/>
    </row>
    <row r="54" spans="2:50">
      <c r="B54" s="405"/>
      <c r="C54" s="249">
        <v>8</v>
      </c>
      <c r="D54" s="249"/>
      <c r="E54" s="249"/>
      <c r="F54" s="249"/>
      <c r="G54" s="249"/>
      <c r="H54" s="407"/>
      <c r="I54" s="250"/>
      <c r="J54" s="250"/>
      <c r="K54" s="251"/>
      <c r="L54" s="407"/>
      <c r="M54" s="250"/>
      <c r="N54" s="409"/>
      <c r="O54" s="409"/>
      <c r="P54" s="250"/>
      <c r="Q54" s="250"/>
      <c r="R54" s="249"/>
      <c r="S54" s="249"/>
      <c r="T54" s="404"/>
      <c r="U54" s="250"/>
      <c r="V54" s="250"/>
      <c r="W54" s="249"/>
      <c r="X54" s="249"/>
      <c r="Y54" s="404"/>
      <c r="Z54" s="250"/>
      <c r="AA54" s="250"/>
      <c r="AB54" s="249"/>
      <c r="AC54" s="249"/>
      <c r="AD54" s="404"/>
      <c r="AE54" s="250"/>
      <c r="AF54" s="250"/>
      <c r="AG54" s="249"/>
      <c r="AH54" s="249"/>
      <c r="AI54" s="404"/>
      <c r="AJ54" s="250"/>
      <c r="AK54" s="250"/>
      <c r="AL54" s="249"/>
      <c r="AM54" s="249"/>
      <c r="AN54" s="404"/>
      <c r="AO54" s="250"/>
      <c r="AP54" s="250"/>
      <c r="AQ54" s="249"/>
      <c r="AR54" s="249"/>
      <c r="AS54" s="404"/>
      <c r="AT54" s="250"/>
      <c r="AU54" s="250"/>
      <c r="AV54" s="249"/>
      <c r="AW54" s="249"/>
      <c r="AX54" s="404"/>
    </row>
    <row r="55" spans="2:50">
      <c r="B55" s="405"/>
      <c r="C55" s="249">
        <v>9</v>
      </c>
      <c r="D55" s="249"/>
      <c r="E55" s="249"/>
      <c r="F55" s="249"/>
      <c r="G55" s="249"/>
      <c r="H55" s="407"/>
      <c r="I55" s="250"/>
      <c r="J55" s="250"/>
      <c r="K55" s="251"/>
      <c r="L55" s="407"/>
      <c r="M55" s="250"/>
      <c r="N55" s="409"/>
      <c r="O55" s="409"/>
      <c r="P55" s="250"/>
      <c r="Q55" s="250"/>
      <c r="R55" s="249"/>
      <c r="S55" s="249"/>
      <c r="T55" s="404"/>
      <c r="U55" s="250"/>
      <c r="V55" s="250"/>
      <c r="W55" s="249"/>
      <c r="X55" s="249"/>
      <c r="Y55" s="404"/>
      <c r="Z55" s="250"/>
      <c r="AA55" s="250"/>
      <c r="AB55" s="249"/>
      <c r="AC55" s="249"/>
      <c r="AD55" s="404"/>
      <c r="AE55" s="250"/>
      <c r="AF55" s="250"/>
      <c r="AG55" s="249"/>
      <c r="AH55" s="249"/>
      <c r="AI55" s="404"/>
      <c r="AJ55" s="250"/>
      <c r="AK55" s="250"/>
      <c r="AL55" s="249"/>
      <c r="AM55" s="249"/>
      <c r="AN55" s="404"/>
      <c r="AO55" s="250"/>
      <c r="AP55" s="250"/>
      <c r="AQ55" s="249"/>
      <c r="AR55" s="249"/>
      <c r="AS55" s="404"/>
      <c r="AT55" s="250"/>
      <c r="AU55" s="250"/>
      <c r="AV55" s="249"/>
      <c r="AW55" s="249"/>
      <c r="AX55" s="404"/>
    </row>
    <row r="56" spans="2:50">
      <c r="B56" s="405"/>
      <c r="C56" s="249">
        <v>10</v>
      </c>
      <c r="D56" s="249"/>
      <c r="E56" s="249"/>
      <c r="F56" s="249"/>
      <c r="G56" s="249"/>
      <c r="H56" s="407"/>
      <c r="I56" s="250"/>
      <c r="J56" s="250"/>
      <c r="K56" s="251"/>
      <c r="L56" s="407"/>
      <c r="M56" s="250"/>
      <c r="N56" s="409"/>
      <c r="O56" s="409"/>
      <c r="P56" s="250"/>
      <c r="Q56" s="250"/>
      <c r="R56" s="249"/>
      <c r="S56" s="249"/>
      <c r="T56" s="404"/>
      <c r="U56" s="250"/>
      <c r="V56" s="250"/>
      <c r="W56" s="249"/>
      <c r="X56" s="249"/>
      <c r="Y56" s="404"/>
      <c r="Z56" s="250"/>
      <c r="AA56" s="250"/>
      <c r="AB56" s="249"/>
      <c r="AC56" s="249"/>
      <c r="AD56" s="404"/>
      <c r="AE56" s="250"/>
      <c r="AF56" s="250"/>
      <c r="AG56" s="249"/>
      <c r="AH56" s="249"/>
      <c r="AI56" s="404"/>
      <c r="AJ56" s="250"/>
      <c r="AK56" s="250"/>
      <c r="AL56" s="249"/>
      <c r="AM56" s="249"/>
      <c r="AN56" s="404"/>
      <c r="AO56" s="250"/>
      <c r="AP56" s="250"/>
      <c r="AQ56" s="249"/>
      <c r="AR56" s="249"/>
      <c r="AS56" s="404"/>
      <c r="AT56" s="250"/>
      <c r="AU56" s="250"/>
      <c r="AV56" s="249"/>
      <c r="AW56" s="249"/>
      <c r="AX56" s="404"/>
    </row>
    <row r="57" spans="2:50">
      <c r="B57" s="405"/>
      <c r="C57" s="249">
        <v>11</v>
      </c>
      <c r="D57" s="249"/>
      <c r="E57" s="249"/>
      <c r="F57" s="249"/>
      <c r="G57" s="249"/>
      <c r="H57" s="407"/>
      <c r="I57" s="250"/>
      <c r="J57" s="250"/>
      <c r="K57" s="251"/>
      <c r="L57" s="407"/>
      <c r="M57" s="250"/>
      <c r="N57" s="409"/>
      <c r="O57" s="409"/>
      <c r="P57" s="249"/>
      <c r="Q57" s="249"/>
      <c r="R57" s="249"/>
      <c r="S57" s="249"/>
      <c r="T57" s="404"/>
      <c r="U57" s="249"/>
      <c r="V57" s="249"/>
      <c r="W57" s="249"/>
      <c r="X57" s="249"/>
      <c r="Y57" s="404"/>
      <c r="Z57" s="249"/>
      <c r="AA57" s="249"/>
      <c r="AB57" s="249"/>
      <c r="AC57" s="249"/>
      <c r="AD57" s="404"/>
      <c r="AE57" s="249"/>
      <c r="AF57" s="249"/>
      <c r="AG57" s="249"/>
      <c r="AH57" s="249"/>
      <c r="AI57" s="404"/>
      <c r="AJ57" s="249"/>
      <c r="AK57" s="249"/>
      <c r="AL57" s="249"/>
      <c r="AM57" s="249"/>
      <c r="AN57" s="404"/>
      <c r="AO57" s="249"/>
      <c r="AP57" s="249"/>
      <c r="AQ57" s="249"/>
      <c r="AR57" s="249"/>
      <c r="AS57" s="404"/>
      <c r="AT57" s="249"/>
      <c r="AU57" s="249"/>
      <c r="AV57" s="249"/>
      <c r="AW57" s="249"/>
      <c r="AX57" s="404"/>
    </row>
    <row r="58" spans="2:50">
      <c r="B58" s="405"/>
      <c r="C58" s="249">
        <v>12</v>
      </c>
      <c r="D58" s="249"/>
      <c r="E58" s="249"/>
      <c r="F58" s="249"/>
      <c r="G58" s="249"/>
      <c r="H58" s="407"/>
      <c r="I58" s="250"/>
      <c r="J58" s="250"/>
      <c r="K58" s="251"/>
      <c r="L58" s="407"/>
      <c r="M58" s="250"/>
      <c r="N58" s="409"/>
      <c r="O58" s="409"/>
      <c r="P58" s="249"/>
      <c r="Q58" s="249"/>
      <c r="R58" s="249"/>
      <c r="S58" s="249"/>
      <c r="T58" s="404"/>
      <c r="U58" s="249"/>
      <c r="V58" s="249"/>
      <c r="W58" s="249"/>
      <c r="X58" s="249"/>
      <c r="Y58" s="404"/>
      <c r="Z58" s="249"/>
      <c r="AA58" s="249"/>
      <c r="AB58" s="249"/>
      <c r="AC58" s="249"/>
      <c r="AD58" s="404"/>
      <c r="AE58" s="249"/>
      <c r="AF58" s="249"/>
      <c r="AG58" s="249"/>
      <c r="AH58" s="249"/>
      <c r="AI58" s="404"/>
      <c r="AJ58" s="249"/>
      <c r="AK58" s="249"/>
      <c r="AL58" s="249"/>
      <c r="AM58" s="249"/>
      <c r="AN58" s="404"/>
      <c r="AO58" s="249"/>
      <c r="AP58" s="249"/>
      <c r="AQ58" s="249"/>
      <c r="AR58" s="249"/>
      <c r="AS58" s="404"/>
      <c r="AT58" s="249"/>
      <c r="AU58" s="249"/>
      <c r="AV58" s="249"/>
      <c r="AW58" s="249"/>
      <c r="AX58" s="404"/>
    </row>
    <row r="59" spans="2:50">
      <c r="B59" s="405"/>
      <c r="C59" s="249">
        <v>13</v>
      </c>
      <c r="D59" s="249"/>
      <c r="E59" s="249"/>
      <c r="F59" s="249"/>
      <c r="G59" s="249"/>
      <c r="H59" s="407"/>
      <c r="I59" s="250"/>
      <c r="J59" s="250"/>
      <c r="K59" s="251"/>
      <c r="L59" s="407"/>
      <c r="M59" s="250"/>
      <c r="N59" s="409"/>
      <c r="O59" s="409"/>
      <c r="P59" s="249"/>
      <c r="Q59" s="249"/>
      <c r="R59" s="249"/>
      <c r="S59" s="249"/>
      <c r="T59" s="404"/>
      <c r="U59" s="249"/>
      <c r="V59" s="249"/>
      <c r="W59" s="249"/>
      <c r="X59" s="249"/>
      <c r="Y59" s="404"/>
      <c r="Z59" s="249"/>
      <c r="AA59" s="249"/>
      <c r="AB59" s="249"/>
      <c r="AC59" s="249"/>
      <c r="AD59" s="404"/>
      <c r="AE59" s="249"/>
      <c r="AF59" s="249"/>
      <c r="AG59" s="249"/>
      <c r="AH59" s="249"/>
      <c r="AI59" s="404"/>
      <c r="AJ59" s="249"/>
      <c r="AK59" s="249"/>
      <c r="AL59" s="249"/>
      <c r="AM59" s="249"/>
      <c r="AN59" s="404"/>
      <c r="AO59" s="249"/>
      <c r="AP59" s="249"/>
      <c r="AQ59" s="249"/>
      <c r="AR59" s="249"/>
      <c r="AS59" s="404"/>
      <c r="AT59" s="249"/>
      <c r="AU59" s="249"/>
      <c r="AV59" s="249"/>
      <c r="AW59" s="249"/>
      <c r="AX59" s="404"/>
    </row>
    <row r="60" spans="2:50">
      <c r="B60" s="405"/>
      <c r="C60" s="249">
        <v>14</v>
      </c>
      <c r="D60" s="249"/>
      <c r="E60" s="249"/>
      <c r="F60" s="249"/>
      <c r="G60" s="249"/>
      <c r="H60" s="407"/>
      <c r="I60" s="250"/>
      <c r="J60" s="250"/>
      <c r="K60" s="251"/>
      <c r="L60" s="407"/>
      <c r="M60" s="250"/>
      <c r="N60" s="409"/>
      <c r="O60" s="409"/>
      <c r="P60" s="249"/>
      <c r="Q60" s="249"/>
      <c r="R60" s="249"/>
      <c r="S60" s="249"/>
      <c r="T60" s="404"/>
      <c r="U60" s="249"/>
      <c r="V60" s="249"/>
      <c r="W60" s="249"/>
      <c r="X60" s="249"/>
      <c r="Y60" s="404"/>
      <c r="Z60" s="249"/>
      <c r="AA60" s="249"/>
      <c r="AB60" s="249"/>
      <c r="AC60" s="249"/>
      <c r="AD60" s="404"/>
      <c r="AE60" s="249"/>
      <c r="AF60" s="249"/>
      <c r="AG60" s="249"/>
      <c r="AH60" s="249"/>
      <c r="AI60" s="404"/>
      <c r="AJ60" s="249"/>
      <c r="AK60" s="249"/>
      <c r="AL60" s="249"/>
      <c r="AM60" s="249"/>
      <c r="AN60" s="404"/>
      <c r="AO60" s="249"/>
      <c r="AP60" s="249"/>
      <c r="AQ60" s="249"/>
      <c r="AR60" s="249"/>
      <c r="AS60" s="404"/>
      <c r="AT60" s="249"/>
      <c r="AU60" s="249"/>
      <c r="AV60" s="249"/>
      <c r="AW60" s="249"/>
      <c r="AX60" s="404"/>
    </row>
    <row r="61" spans="2:50">
      <c r="B61" s="405"/>
      <c r="C61" s="249">
        <v>15</v>
      </c>
      <c r="D61" s="249"/>
      <c r="E61" s="249"/>
      <c r="F61" s="249"/>
      <c r="G61" s="249"/>
      <c r="H61" s="408"/>
      <c r="I61" s="250"/>
      <c r="J61" s="250"/>
      <c r="K61" s="251"/>
      <c r="L61" s="408"/>
      <c r="M61" s="250"/>
      <c r="N61" s="409"/>
      <c r="O61" s="409"/>
      <c r="P61" s="249"/>
      <c r="Q61" s="249"/>
      <c r="R61" s="249"/>
      <c r="S61" s="249"/>
      <c r="T61" s="404"/>
      <c r="U61" s="249"/>
      <c r="V61" s="249"/>
      <c r="W61" s="249"/>
      <c r="X61" s="249"/>
      <c r="Y61" s="404"/>
      <c r="Z61" s="249"/>
      <c r="AA61" s="249"/>
      <c r="AB61" s="249"/>
      <c r="AC61" s="249"/>
      <c r="AD61" s="404"/>
      <c r="AE61" s="249"/>
      <c r="AF61" s="249"/>
      <c r="AG61" s="249"/>
      <c r="AH61" s="249"/>
      <c r="AI61" s="404"/>
      <c r="AJ61" s="249"/>
      <c r="AK61" s="249"/>
      <c r="AL61" s="249"/>
      <c r="AM61" s="249"/>
      <c r="AN61" s="404"/>
      <c r="AO61" s="249"/>
      <c r="AP61" s="249"/>
      <c r="AQ61" s="249"/>
      <c r="AR61" s="249"/>
      <c r="AS61" s="404"/>
      <c r="AT61" s="249"/>
      <c r="AU61" s="249"/>
      <c r="AV61" s="249"/>
      <c r="AW61" s="249"/>
      <c r="AX61" s="404"/>
    </row>
    <row r="62" spans="2:50" ht="15.75">
      <c r="B62" s="426" t="s">
        <v>93</v>
      </c>
      <c r="C62" s="422"/>
      <c r="D62" s="422"/>
      <c r="E62" s="422"/>
      <c r="F62" s="422"/>
      <c r="G62" s="422"/>
      <c r="H62" s="422"/>
      <c r="I62" s="254"/>
      <c r="J62" s="254"/>
      <c r="K62" s="254"/>
      <c r="L62" s="254"/>
      <c r="M62" s="255"/>
      <c r="N62" s="418" t="s">
        <v>94</v>
      </c>
      <c r="O62" s="418" t="s">
        <v>45</v>
      </c>
      <c r="P62" s="413">
        <v>45951</v>
      </c>
      <c r="Q62" s="405"/>
      <c r="R62" s="405"/>
      <c r="S62" s="405"/>
      <c r="T62" s="405"/>
      <c r="U62" s="413">
        <v>45952</v>
      </c>
      <c r="V62" s="405"/>
      <c r="W62" s="405"/>
      <c r="X62" s="405"/>
      <c r="Y62" s="405"/>
      <c r="Z62" s="413">
        <v>45953</v>
      </c>
      <c r="AA62" s="405"/>
      <c r="AB62" s="405"/>
      <c r="AC62" s="405"/>
      <c r="AD62" s="405"/>
      <c r="AE62" s="413">
        <v>45954</v>
      </c>
      <c r="AF62" s="405"/>
      <c r="AG62" s="405"/>
      <c r="AH62" s="405"/>
      <c r="AI62" s="405"/>
      <c r="AJ62" s="413">
        <v>45955</v>
      </c>
      <c r="AK62" s="405"/>
      <c r="AL62" s="405"/>
      <c r="AM62" s="405"/>
      <c r="AN62" s="405"/>
      <c r="AO62" s="413">
        <v>45956</v>
      </c>
      <c r="AP62" s="405"/>
      <c r="AQ62" s="405"/>
      <c r="AR62" s="405"/>
      <c r="AS62" s="405"/>
      <c r="AT62" s="413">
        <v>45957</v>
      </c>
      <c r="AU62" s="405"/>
      <c r="AV62" s="405"/>
      <c r="AW62" s="405"/>
      <c r="AX62" s="405"/>
    </row>
    <row r="63" spans="2:50" ht="15.75">
      <c r="B63" s="423"/>
      <c r="C63" s="423"/>
      <c r="D63" s="423"/>
      <c r="E63" s="423"/>
      <c r="F63" s="423"/>
      <c r="G63" s="423"/>
      <c r="H63" s="423"/>
      <c r="I63" s="245"/>
      <c r="J63" s="245"/>
      <c r="K63" s="245"/>
      <c r="L63" s="245"/>
      <c r="M63" s="246"/>
      <c r="N63" s="420"/>
      <c r="O63" s="420"/>
      <c r="P63" s="413" t="s">
        <v>77</v>
      </c>
      <c r="Q63" s="405"/>
      <c r="R63" s="405"/>
      <c r="S63" s="405"/>
      <c r="T63" s="405"/>
      <c r="U63" s="413" t="s">
        <v>72</v>
      </c>
      <c r="V63" s="405"/>
      <c r="W63" s="405"/>
      <c r="X63" s="405"/>
      <c r="Y63" s="405"/>
      <c r="Z63" s="413" t="s">
        <v>73</v>
      </c>
      <c r="AA63" s="405"/>
      <c r="AB63" s="405"/>
      <c r="AC63" s="405"/>
      <c r="AD63" s="405"/>
      <c r="AE63" s="413" t="s">
        <v>74</v>
      </c>
      <c r="AF63" s="405"/>
      <c r="AG63" s="405"/>
      <c r="AH63" s="405"/>
      <c r="AI63" s="405"/>
      <c r="AJ63" s="413" t="s">
        <v>75</v>
      </c>
      <c r="AK63" s="405"/>
      <c r="AL63" s="405"/>
      <c r="AM63" s="405"/>
      <c r="AN63" s="405"/>
      <c r="AO63" s="413" t="s">
        <v>52</v>
      </c>
      <c r="AP63" s="405"/>
      <c r="AQ63" s="405"/>
      <c r="AR63" s="405"/>
      <c r="AS63" s="405"/>
      <c r="AT63" s="413" t="s">
        <v>76</v>
      </c>
      <c r="AU63" s="405"/>
      <c r="AV63" s="405"/>
      <c r="AW63" s="405"/>
      <c r="AX63" s="405"/>
    </row>
    <row r="64" spans="2:50">
      <c r="B64" s="409" t="s">
        <v>95</v>
      </c>
      <c r="C64" s="409" t="s">
        <v>96</v>
      </c>
      <c r="D64" s="409"/>
      <c r="E64" s="409" t="s">
        <v>97</v>
      </c>
      <c r="F64" s="409"/>
      <c r="G64" s="409"/>
      <c r="H64" s="415" t="s">
        <v>98</v>
      </c>
      <c r="I64" s="409" t="s">
        <v>99</v>
      </c>
      <c r="J64" s="409"/>
      <c r="K64" s="409"/>
      <c r="L64" s="415" t="s">
        <v>98</v>
      </c>
      <c r="M64" s="418" t="s">
        <v>100</v>
      </c>
      <c r="N64" s="409"/>
      <c r="O64" s="409" t="s">
        <v>101</v>
      </c>
      <c r="P64" s="410" t="s">
        <v>102</v>
      </c>
      <c r="Q64" s="411"/>
      <c r="R64" s="411"/>
      <c r="S64" s="412"/>
      <c r="T64" s="409" t="s">
        <v>98</v>
      </c>
      <c r="U64" s="410" t="s">
        <v>102</v>
      </c>
      <c r="V64" s="411"/>
      <c r="W64" s="411"/>
      <c r="X64" s="412"/>
      <c r="Y64" s="409" t="s">
        <v>98</v>
      </c>
      <c r="Z64" s="410" t="s">
        <v>102</v>
      </c>
      <c r="AA64" s="411"/>
      <c r="AB64" s="411"/>
      <c r="AC64" s="412"/>
      <c r="AD64" s="409" t="s">
        <v>98</v>
      </c>
      <c r="AE64" s="410" t="s">
        <v>102</v>
      </c>
      <c r="AF64" s="411"/>
      <c r="AG64" s="411"/>
      <c r="AH64" s="412"/>
      <c r="AI64" s="409" t="s">
        <v>98</v>
      </c>
      <c r="AJ64" s="410" t="s">
        <v>102</v>
      </c>
      <c r="AK64" s="411"/>
      <c r="AL64" s="411"/>
      <c r="AM64" s="412"/>
      <c r="AN64" s="409" t="s">
        <v>98</v>
      </c>
      <c r="AO64" s="410" t="s">
        <v>102</v>
      </c>
      <c r="AP64" s="411"/>
      <c r="AQ64" s="411"/>
      <c r="AR64" s="412"/>
      <c r="AS64" s="409" t="s">
        <v>98</v>
      </c>
      <c r="AT64" s="410" t="s">
        <v>102</v>
      </c>
      <c r="AU64" s="411"/>
      <c r="AV64" s="411"/>
      <c r="AW64" s="412"/>
      <c r="AX64" s="409" t="s">
        <v>98</v>
      </c>
    </row>
    <row r="65" spans="2:50">
      <c r="B65" s="409"/>
      <c r="C65" s="409"/>
      <c r="D65" s="409"/>
      <c r="E65" s="409" t="s">
        <v>103</v>
      </c>
      <c r="F65" s="409"/>
      <c r="G65" s="409"/>
      <c r="H65" s="416"/>
      <c r="I65" s="409" t="s">
        <v>103</v>
      </c>
      <c r="J65" s="409"/>
      <c r="K65" s="409"/>
      <c r="L65" s="416"/>
      <c r="M65" s="419"/>
      <c r="N65" s="409"/>
      <c r="O65" s="409"/>
      <c r="P65" s="410" t="s">
        <v>104</v>
      </c>
      <c r="Q65" s="411"/>
      <c r="R65" s="411"/>
      <c r="S65" s="412"/>
      <c r="T65" s="409"/>
      <c r="U65" s="410" t="s">
        <v>104</v>
      </c>
      <c r="V65" s="411"/>
      <c r="W65" s="411"/>
      <c r="X65" s="412"/>
      <c r="Y65" s="409"/>
      <c r="Z65" s="410" t="s">
        <v>104</v>
      </c>
      <c r="AA65" s="411"/>
      <c r="AB65" s="411"/>
      <c r="AC65" s="412"/>
      <c r="AD65" s="409"/>
      <c r="AE65" s="410" t="s">
        <v>104</v>
      </c>
      <c r="AF65" s="411"/>
      <c r="AG65" s="411"/>
      <c r="AH65" s="412"/>
      <c r="AI65" s="409"/>
      <c r="AJ65" s="410" t="s">
        <v>104</v>
      </c>
      <c r="AK65" s="411"/>
      <c r="AL65" s="411"/>
      <c r="AM65" s="412"/>
      <c r="AN65" s="409"/>
      <c r="AO65" s="410" t="s">
        <v>104</v>
      </c>
      <c r="AP65" s="411"/>
      <c r="AQ65" s="411"/>
      <c r="AR65" s="412"/>
      <c r="AS65" s="409"/>
      <c r="AT65" s="410" t="s">
        <v>104</v>
      </c>
      <c r="AU65" s="411"/>
      <c r="AV65" s="411"/>
      <c r="AW65" s="412"/>
      <c r="AX65" s="409"/>
    </row>
    <row r="66" spans="2:50">
      <c r="B66" s="409"/>
      <c r="C66" s="409"/>
      <c r="D66" s="409"/>
      <c r="E66" s="248" t="s">
        <v>105</v>
      </c>
      <c r="F66" s="248" t="s">
        <v>106</v>
      </c>
      <c r="G66" s="248" t="s">
        <v>107</v>
      </c>
      <c r="H66" s="417"/>
      <c r="I66" s="248" t="s">
        <v>105</v>
      </c>
      <c r="J66" s="248" t="s">
        <v>106</v>
      </c>
      <c r="K66" s="248" t="s">
        <v>107</v>
      </c>
      <c r="L66" s="417"/>
      <c r="M66" s="420"/>
      <c r="N66" s="409"/>
      <c r="O66" s="409"/>
      <c r="P66" s="248" t="s">
        <v>105</v>
      </c>
      <c r="Q66" s="248" t="s">
        <v>106</v>
      </c>
      <c r="R66" s="248" t="s">
        <v>107</v>
      </c>
      <c r="S66" s="248" t="s">
        <v>100</v>
      </c>
      <c r="T66" s="409"/>
      <c r="U66" s="248" t="s">
        <v>105</v>
      </c>
      <c r="V66" s="248" t="s">
        <v>106</v>
      </c>
      <c r="W66" s="248" t="s">
        <v>107</v>
      </c>
      <c r="X66" s="248" t="s">
        <v>100</v>
      </c>
      <c r="Y66" s="409"/>
      <c r="Z66" s="248" t="s">
        <v>105</v>
      </c>
      <c r="AA66" s="248" t="s">
        <v>106</v>
      </c>
      <c r="AB66" s="248" t="s">
        <v>107</v>
      </c>
      <c r="AC66" s="248" t="s">
        <v>100</v>
      </c>
      <c r="AD66" s="409"/>
      <c r="AE66" s="248" t="s">
        <v>105</v>
      </c>
      <c r="AF66" s="248" t="s">
        <v>106</v>
      </c>
      <c r="AG66" s="248" t="s">
        <v>107</v>
      </c>
      <c r="AH66" s="248" t="s">
        <v>100</v>
      </c>
      <c r="AI66" s="409"/>
      <c r="AJ66" s="248" t="s">
        <v>105</v>
      </c>
      <c r="AK66" s="248" t="s">
        <v>106</v>
      </c>
      <c r="AL66" s="248" t="s">
        <v>107</v>
      </c>
      <c r="AM66" s="248" t="s">
        <v>100</v>
      </c>
      <c r="AN66" s="409"/>
      <c r="AO66" s="248" t="s">
        <v>105</v>
      </c>
      <c r="AP66" s="248" t="s">
        <v>106</v>
      </c>
      <c r="AQ66" s="248" t="s">
        <v>107</v>
      </c>
      <c r="AR66" s="248" t="s">
        <v>100</v>
      </c>
      <c r="AS66" s="409"/>
      <c r="AT66" s="248" t="s">
        <v>105</v>
      </c>
      <c r="AU66" s="248" t="s">
        <v>106</v>
      </c>
      <c r="AV66" s="248" t="s">
        <v>107</v>
      </c>
      <c r="AW66" s="248" t="s">
        <v>100</v>
      </c>
      <c r="AX66" s="409"/>
    </row>
    <row r="67" spans="2:50">
      <c r="B67" s="409" t="s">
        <v>84</v>
      </c>
      <c r="C67" s="249">
        <v>1</v>
      </c>
      <c r="D67" s="249" t="s">
        <v>130</v>
      </c>
      <c r="E67" s="250" t="e">
        <f>VLOOKUP(D67,#REF!,2,0)</f>
        <v>#REF!</v>
      </c>
      <c r="F67" s="250" t="e">
        <f>VLOOKUP(D67,#REF!,3,0)</f>
        <v>#REF!</v>
      </c>
      <c r="G67" s="251" t="e">
        <f>F67/E67</f>
        <v>#REF!</v>
      </c>
      <c r="H67" s="406" t="e">
        <f>AVERAGE(G67:G81)</f>
        <v>#REF!</v>
      </c>
      <c r="I67" s="250">
        <f>AVERAGE(P67,U67,Z66,AE67,AJ67,AO67,AT67)</f>
        <v>13.166666666666666</v>
      </c>
      <c r="J67" s="250">
        <f>AVERAGE(Q67,V67,AA67,AF67,AK67,AP67,AU67)</f>
        <v>1499.5714285714287</v>
      </c>
      <c r="K67" s="251">
        <f>AVERAGE(R67,W67,AB67,AG67,AL67,AQ67,AV67)</f>
        <v>114.14050235478807</v>
      </c>
      <c r="L67" s="406">
        <f>IFERROR(AVERAGE(K67:K81),"-")</f>
        <v>112.13230420373277</v>
      </c>
      <c r="M67" s="250">
        <f>RANK(K67, K$67:$K$81)</f>
        <v>2</v>
      </c>
      <c r="N67" s="409"/>
      <c r="O67" s="409"/>
      <c r="P67" s="250">
        <v>14</v>
      </c>
      <c r="Q67" s="250">
        <v>1543</v>
      </c>
      <c r="R67" s="251">
        <f>Q67/P67</f>
        <v>110.21428571428571</v>
      </c>
      <c r="S67" s="249">
        <f>RANK(R67,$R$67:$R$81)</f>
        <v>2</v>
      </c>
      <c r="T67" s="404">
        <f>AVERAGE(R67:R81)</f>
        <v>106.16971916971916</v>
      </c>
      <c r="U67" s="250">
        <v>13</v>
      </c>
      <c r="V67" s="250">
        <v>1450</v>
      </c>
      <c r="W67" s="251">
        <f>V67/U67</f>
        <v>111.53846153846153</v>
      </c>
      <c r="X67" s="249">
        <f>RANK(W67,$W$67:$W$81)</f>
        <v>2</v>
      </c>
      <c r="Y67" s="404">
        <f>AVERAGE(W67:W81)</f>
        <v>113.17948717948718</v>
      </c>
      <c r="Z67" s="250">
        <v>13</v>
      </c>
      <c r="AA67" s="250">
        <v>1471</v>
      </c>
      <c r="AB67" s="251">
        <f>AA67/Z67</f>
        <v>113.15384615384616</v>
      </c>
      <c r="AC67" s="249">
        <f>RANK(AB67, $AB$67:$AB$69)</f>
        <v>1</v>
      </c>
      <c r="AD67" s="404">
        <f>AVERAGE(AB67:AB81)</f>
        <v>112.57905982905983</v>
      </c>
      <c r="AE67" s="250">
        <v>13</v>
      </c>
      <c r="AF67" s="250">
        <v>1539</v>
      </c>
      <c r="AG67" s="251">
        <f>AF67/AE67</f>
        <v>118.38461538461539</v>
      </c>
      <c r="AH67" s="249">
        <f>RANK(AG67, $AG$67:$AG$69)</f>
        <v>1</v>
      </c>
      <c r="AI67" s="404">
        <f>AVERAGE(AG67:AG81)</f>
        <v>106.73931623931624</v>
      </c>
      <c r="AJ67" s="250">
        <v>13</v>
      </c>
      <c r="AK67" s="250">
        <v>1419</v>
      </c>
      <c r="AL67" s="251">
        <f>AK67/AJ67</f>
        <v>109.15384615384616</v>
      </c>
      <c r="AM67" s="249">
        <f>RANK(AL67, $AL$67:$AL$69)</f>
        <v>3</v>
      </c>
      <c r="AN67" s="404">
        <f>AVERAGE(AL67:AL81)</f>
        <v>113.8568376068376</v>
      </c>
      <c r="AO67" s="250">
        <v>13</v>
      </c>
      <c r="AP67" s="250">
        <v>1533</v>
      </c>
      <c r="AQ67" s="251">
        <f>AP67/AO67</f>
        <v>117.92307692307692</v>
      </c>
      <c r="AR67" s="249">
        <f>RANK(AQ67, $AQ$67:$AQ$69)</f>
        <v>1</v>
      </c>
      <c r="AS67" s="404">
        <f>AVERAGE(AQ67:AQ81)</f>
        <v>117.22435897435896</v>
      </c>
      <c r="AT67" s="250">
        <v>13</v>
      </c>
      <c r="AU67" s="250">
        <v>1542</v>
      </c>
      <c r="AV67" s="251">
        <f>AU67/AT67</f>
        <v>118.61538461538461</v>
      </c>
      <c r="AW67" s="249">
        <f>RANK(AV67, $AV$67:$AV$69)</f>
        <v>2</v>
      </c>
      <c r="AX67" s="404">
        <f>AVERAGE(AV67:AV81)</f>
        <v>115.17735042735042</v>
      </c>
    </row>
    <row r="68" spans="2:50">
      <c r="B68" s="405"/>
      <c r="C68" s="249">
        <v>2</v>
      </c>
      <c r="D68" s="249" t="s">
        <v>131</v>
      </c>
      <c r="E68" s="250" t="e">
        <f>VLOOKUP(D68,#REF!,2,0)</f>
        <v>#REF!</v>
      </c>
      <c r="F68" s="250" t="e">
        <f>VLOOKUP(D68,#REF!,3,0)</f>
        <v>#REF!</v>
      </c>
      <c r="G68" s="251" t="e">
        <f>F68/E68</f>
        <v>#REF!</v>
      </c>
      <c r="H68" s="407"/>
      <c r="I68" s="250">
        <f>AVERAGE(P68,U68,Z67,AE68,AJ68,AO68,AT68)</f>
        <v>12.142857142857142</v>
      </c>
      <c r="J68" s="250">
        <f t="shared" ref="I68:K69" si="5">AVERAGE(Q68,V68,AA68,AF68,AK68,AP68,AU68)</f>
        <v>1413.8571428571429</v>
      </c>
      <c r="K68" s="251">
        <f t="shared" si="5"/>
        <v>117.82142857142857</v>
      </c>
      <c r="L68" s="407"/>
      <c r="M68" s="250">
        <f>RANK(K68, K$67:$K$81)</f>
        <v>1</v>
      </c>
      <c r="N68" s="409"/>
      <c r="O68" s="409"/>
      <c r="P68" s="250">
        <v>12</v>
      </c>
      <c r="Q68" s="250">
        <v>1390</v>
      </c>
      <c r="R68" s="251">
        <f>Q68/P68</f>
        <v>115.83333333333333</v>
      </c>
      <c r="S68" s="249">
        <f>RANK(R68,$R$67:$R$81)</f>
        <v>1</v>
      </c>
      <c r="T68" s="404"/>
      <c r="U68" s="250">
        <v>12</v>
      </c>
      <c r="V68" s="250">
        <v>1441</v>
      </c>
      <c r="W68" s="251">
        <f>V68/U68</f>
        <v>120.08333333333333</v>
      </c>
      <c r="X68" s="249">
        <f>RANK(W68,$W$67:$W$81)</f>
        <v>1</v>
      </c>
      <c r="Y68" s="404"/>
      <c r="Z68" s="250">
        <v>12</v>
      </c>
      <c r="AA68" s="250">
        <v>1351</v>
      </c>
      <c r="AB68" s="251">
        <f>AA68/Z68</f>
        <v>112.58333333333333</v>
      </c>
      <c r="AC68" s="249">
        <f>RANK(AB68, $AB$67:$AB$69)</f>
        <v>2</v>
      </c>
      <c r="AD68" s="404"/>
      <c r="AE68" s="250">
        <v>12</v>
      </c>
      <c r="AF68" s="250">
        <v>1391</v>
      </c>
      <c r="AG68" s="251">
        <f>AF68/AE68</f>
        <v>115.91666666666667</v>
      </c>
      <c r="AH68" s="249">
        <f>RANK(AG68, $AG$67:$AG$69)</f>
        <v>2</v>
      </c>
      <c r="AI68" s="404"/>
      <c r="AJ68" s="250">
        <v>12</v>
      </c>
      <c r="AK68" s="250">
        <v>1475</v>
      </c>
      <c r="AL68" s="251">
        <f>AK68/AJ68</f>
        <v>122.91666666666667</v>
      </c>
      <c r="AM68" s="249">
        <f>RANK(AL68, $AL$67:$AL$69)</f>
        <v>1</v>
      </c>
      <c r="AN68" s="404"/>
      <c r="AO68" s="250">
        <v>12</v>
      </c>
      <c r="AP68" s="250">
        <v>1397</v>
      </c>
      <c r="AQ68" s="251">
        <f>AP68/AO68</f>
        <v>116.41666666666667</v>
      </c>
      <c r="AR68" s="249">
        <f>RANK(AQ68, $AQ$67:$AQ$69)</f>
        <v>3</v>
      </c>
      <c r="AS68" s="404"/>
      <c r="AT68" s="250">
        <v>12</v>
      </c>
      <c r="AU68" s="250">
        <v>1452</v>
      </c>
      <c r="AV68" s="251">
        <f>AU68/AT68</f>
        <v>121</v>
      </c>
      <c r="AW68" s="249">
        <f>RANK(AV68, $AV$67:$AV$69)</f>
        <v>1</v>
      </c>
      <c r="AX68" s="404"/>
    </row>
    <row r="69" spans="2:50">
      <c r="B69" s="405"/>
      <c r="C69" s="249">
        <v>3</v>
      </c>
      <c r="D69" s="249" t="s">
        <v>132</v>
      </c>
      <c r="E69" s="250" t="e">
        <f>VLOOKUP(D69,#REF!,2,0)</f>
        <v>#REF!</v>
      </c>
      <c r="F69" s="250" t="e">
        <f>VLOOKUP(D69,#REF!,3,0)</f>
        <v>#REF!</v>
      </c>
      <c r="G69" s="251" t="e">
        <f>F69/E69</f>
        <v>#REF!</v>
      </c>
      <c r="H69" s="407"/>
      <c r="I69" s="250">
        <f t="shared" si="5"/>
        <v>12.142857142857142</v>
      </c>
      <c r="J69" s="250">
        <f t="shared" si="5"/>
        <v>1266.4285714285713</v>
      </c>
      <c r="K69" s="251">
        <f t="shared" si="5"/>
        <v>104.43498168498169</v>
      </c>
      <c r="L69" s="407"/>
      <c r="M69" s="250">
        <f>RANK(K69, K$67:$K$81)</f>
        <v>3</v>
      </c>
      <c r="N69" s="409"/>
      <c r="O69" s="409"/>
      <c r="P69" s="250">
        <v>13</v>
      </c>
      <c r="Q69" s="250">
        <v>1202</v>
      </c>
      <c r="R69" s="251">
        <f>Q69/P69</f>
        <v>92.461538461538467</v>
      </c>
      <c r="S69" s="249">
        <f>RANK(R69,$R$67:$R$81)</f>
        <v>3</v>
      </c>
      <c r="T69" s="404"/>
      <c r="U69" s="250">
        <v>12</v>
      </c>
      <c r="V69" s="250">
        <v>1295</v>
      </c>
      <c r="W69" s="251">
        <f>V69/U69</f>
        <v>107.91666666666667</v>
      </c>
      <c r="X69" s="249">
        <f>RANK(W69,$W$67:$W$81)</f>
        <v>3</v>
      </c>
      <c r="Y69" s="404"/>
      <c r="Z69" s="250">
        <v>12</v>
      </c>
      <c r="AA69" s="250">
        <v>1344</v>
      </c>
      <c r="AB69" s="251">
        <f>AA69/Z69</f>
        <v>112</v>
      </c>
      <c r="AC69" s="249">
        <f>RANK(AB69, $AB$67:$AB$69)</f>
        <v>3</v>
      </c>
      <c r="AD69" s="404"/>
      <c r="AE69" s="250">
        <v>12</v>
      </c>
      <c r="AF69" s="250">
        <v>1031</v>
      </c>
      <c r="AG69" s="251">
        <f>AF69/AE69</f>
        <v>85.916666666666671</v>
      </c>
      <c r="AH69" s="249">
        <f>RANK(AG69, $AG$67:$AG$69)</f>
        <v>3</v>
      </c>
      <c r="AI69" s="404"/>
      <c r="AJ69" s="250">
        <v>12</v>
      </c>
      <c r="AK69" s="250">
        <v>1314</v>
      </c>
      <c r="AL69" s="251">
        <f>AK69/AJ69</f>
        <v>109.5</v>
      </c>
      <c r="AM69" s="249">
        <f>RANK(AL69, $AL$67:$AL$69)</f>
        <v>2</v>
      </c>
      <c r="AN69" s="404"/>
      <c r="AO69" s="250">
        <v>12</v>
      </c>
      <c r="AP69" s="250">
        <v>1408</v>
      </c>
      <c r="AQ69" s="251">
        <f>AP69/AO69</f>
        <v>117.33333333333333</v>
      </c>
      <c r="AR69" s="249">
        <f>RANK(AQ69, $AQ$67:$AQ$69)</f>
        <v>2</v>
      </c>
      <c r="AS69" s="404"/>
      <c r="AT69" s="250">
        <v>12</v>
      </c>
      <c r="AU69" s="250">
        <v>1271</v>
      </c>
      <c r="AV69" s="251">
        <f>AU69/AT69</f>
        <v>105.91666666666667</v>
      </c>
      <c r="AW69" s="249">
        <f>RANK(AV69, $AV$67:$AV$69)</f>
        <v>3</v>
      </c>
      <c r="AX69" s="404"/>
    </row>
    <row r="70" spans="2:50">
      <c r="B70" s="405"/>
      <c r="C70" s="249">
        <v>4</v>
      </c>
      <c r="D70" s="249"/>
      <c r="E70" s="250"/>
      <c r="F70" s="250"/>
      <c r="G70" s="251"/>
      <c r="H70" s="407"/>
      <c r="I70" s="250"/>
      <c r="J70" s="250"/>
      <c r="K70" s="251"/>
      <c r="L70" s="407"/>
      <c r="M70" s="250"/>
      <c r="N70" s="409"/>
      <c r="O70" s="409"/>
      <c r="P70" s="250"/>
      <c r="Q70" s="250"/>
      <c r="R70" s="249"/>
      <c r="S70" s="249"/>
      <c r="T70" s="404"/>
      <c r="U70" s="250"/>
      <c r="V70" s="250"/>
      <c r="W70" s="249"/>
      <c r="X70" s="249"/>
      <c r="Y70" s="404"/>
      <c r="Z70" s="250"/>
      <c r="AA70" s="250"/>
      <c r="AB70" s="249"/>
      <c r="AC70" s="249"/>
      <c r="AD70" s="404"/>
      <c r="AE70" s="250"/>
      <c r="AF70" s="250"/>
      <c r="AG70" s="249"/>
      <c r="AH70" s="249"/>
      <c r="AI70" s="404"/>
      <c r="AJ70" s="250"/>
      <c r="AK70" s="250"/>
      <c r="AL70" s="249"/>
      <c r="AM70" s="249"/>
      <c r="AN70" s="404"/>
      <c r="AO70" s="250"/>
      <c r="AP70" s="250"/>
      <c r="AQ70" s="249"/>
      <c r="AR70" s="249"/>
      <c r="AS70" s="404"/>
      <c r="AT70" s="250"/>
      <c r="AU70" s="250"/>
      <c r="AV70" s="249"/>
      <c r="AW70" s="249"/>
      <c r="AX70" s="404"/>
    </row>
    <row r="71" spans="2:50">
      <c r="B71" s="405"/>
      <c r="C71" s="249">
        <v>5</v>
      </c>
      <c r="D71" s="249"/>
      <c r="E71" s="250"/>
      <c r="F71" s="250"/>
      <c r="G71" s="251"/>
      <c r="H71" s="407"/>
      <c r="I71" s="250"/>
      <c r="J71" s="250"/>
      <c r="K71" s="251"/>
      <c r="L71" s="407"/>
      <c r="M71" s="250"/>
      <c r="N71" s="409"/>
      <c r="O71" s="409"/>
      <c r="P71" s="250"/>
      <c r="Q71" s="250"/>
      <c r="R71" s="249"/>
      <c r="S71" s="249"/>
      <c r="T71" s="404"/>
      <c r="U71" s="250"/>
      <c r="V71" s="250"/>
      <c r="W71" s="249"/>
      <c r="X71" s="249"/>
      <c r="Y71" s="404"/>
      <c r="Z71" s="250"/>
      <c r="AA71" s="250"/>
      <c r="AB71" s="249"/>
      <c r="AC71" s="249"/>
      <c r="AD71" s="404"/>
      <c r="AE71" s="250"/>
      <c r="AF71" s="250"/>
      <c r="AG71" s="249"/>
      <c r="AH71" s="249"/>
      <c r="AI71" s="404"/>
      <c r="AJ71" s="250"/>
      <c r="AK71" s="250"/>
      <c r="AL71" s="249"/>
      <c r="AM71" s="249"/>
      <c r="AN71" s="404"/>
      <c r="AO71" s="250"/>
      <c r="AP71" s="250"/>
      <c r="AQ71" s="249"/>
      <c r="AR71" s="249"/>
      <c r="AS71" s="404"/>
      <c r="AT71" s="250"/>
      <c r="AU71" s="250"/>
      <c r="AV71" s="249"/>
      <c r="AW71" s="249"/>
      <c r="AX71" s="404"/>
    </row>
    <row r="72" spans="2:50">
      <c r="B72" s="405"/>
      <c r="C72" s="249">
        <v>6</v>
      </c>
      <c r="D72" s="249"/>
      <c r="E72" s="250"/>
      <c r="F72" s="250"/>
      <c r="G72" s="251"/>
      <c r="H72" s="407"/>
      <c r="I72" s="250"/>
      <c r="J72" s="250"/>
      <c r="K72" s="251"/>
      <c r="L72" s="407"/>
      <c r="M72" s="250"/>
      <c r="N72" s="409"/>
      <c r="O72" s="409"/>
      <c r="P72" s="250"/>
      <c r="Q72" s="250"/>
      <c r="R72" s="249"/>
      <c r="S72" s="249"/>
      <c r="T72" s="404"/>
      <c r="U72" s="250"/>
      <c r="V72" s="250"/>
      <c r="W72" s="249"/>
      <c r="X72" s="249"/>
      <c r="Y72" s="404"/>
      <c r="Z72" s="250"/>
      <c r="AA72" s="250"/>
      <c r="AB72" s="249"/>
      <c r="AC72" s="249"/>
      <c r="AD72" s="404"/>
      <c r="AE72" s="250"/>
      <c r="AF72" s="250"/>
      <c r="AG72" s="249"/>
      <c r="AH72" s="249"/>
      <c r="AI72" s="404"/>
      <c r="AJ72" s="250"/>
      <c r="AK72" s="250"/>
      <c r="AL72" s="249"/>
      <c r="AM72" s="249"/>
      <c r="AN72" s="404"/>
      <c r="AO72" s="250"/>
      <c r="AP72" s="250"/>
      <c r="AQ72" s="249"/>
      <c r="AR72" s="249"/>
      <c r="AS72" s="404"/>
      <c r="AT72" s="250"/>
      <c r="AU72" s="250"/>
      <c r="AV72" s="249"/>
      <c r="AW72" s="249"/>
      <c r="AX72" s="404"/>
    </row>
    <row r="73" spans="2:50">
      <c r="B73" s="405"/>
      <c r="C73" s="249">
        <v>7</v>
      </c>
      <c r="D73" s="249"/>
      <c r="E73" s="250"/>
      <c r="F73" s="250"/>
      <c r="G73" s="251"/>
      <c r="H73" s="407"/>
      <c r="I73" s="250"/>
      <c r="J73" s="250"/>
      <c r="K73" s="251"/>
      <c r="L73" s="407"/>
      <c r="M73" s="250"/>
      <c r="N73" s="409"/>
      <c r="O73" s="409"/>
      <c r="P73" s="250"/>
      <c r="Q73" s="250"/>
      <c r="R73" s="249"/>
      <c r="S73" s="249"/>
      <c r="T73" s="404"/>
      <c r="U73" s="250"/>
      <c r="V73" s="250"/>
      <c r="W73" s="249"/>
      <c r="X73" s="249"/>
      <c r="Y73" s="404"/>
      <c r="Z73" s="250"/>
      <c r="AA73" s="250"/>
      <c r="AB73" s="249"/>
      <c r="AC73" s="249"/>
      <c r="AD73" s="404"/>
      <c r="AE73" s="250"/>
      <c r="AF73" s="250"/>
      <c r="AG73" s="249"/>
      <c r="AH73" s="249"/>
      <c r="AI73" s="404"/>
      <c r="AJ73" s="250"/>
      <c r="AK73" s="250"/>
      <c r="AL73" s="249"/>
      <c r="AM73" s="249"/>
      <c r="AN73" s="404"/>
      <c r="AO73" s="250"/>
      <c r="AP73" s="250"/>
      <c r="AQ73" s="249"/>
      <c r="AR73" s="249"/>
      <c r="AS73" s="404"/>
      <c r="AT73" s="250"/>
      <c r="AU73" s="250"/>
      <c r="AV73" s="249"/>
      <c r="AW73" s="249"/>
      <c r="AX73" s="404"/>
    </row>
    <row r="74" spans="2:50">
      <c r="B74" s="405"/>
      <c r="C74" s="249">
        <v>8</v>
      </c>
      <c r="D74" s="249"/>
      <c r="E74" s="249"/>
      <c r="F74" s="249"/>
      <c r="G74" s="249"/>
      <c r="H74" s="407"/>
      <c r="I74" s="250"/>
      <c r="J74" s="250"/>
      <c r="K74" s="251"/>
      <c r="L74" s="407"/>
      <c r="M74" s="250"/>
      <c r="N74" s="409"/>
      <c r="O74" s="409"/>
      <c r="P74" s="250"/>
      <c r="Q74" s="250"/>
      <c r="R74" s="249"/>
      <c r="S74" s="249"/>
      <c r="T74" s="404"/>
      <c r="U74" s="250"/>
      <c r="V74" s="250"/>
      <c r="W74" s="249"/>
      <c r="X74" s="249"/>
      <c r="Y74" s="404"/>
      <c r="Z74" s="250"/>
      <c r="AA74" s="250"/>
      <c r="AB74" s="249"/>
      <c r="AC74" s="249"/>
      <c r="AD74" s="404"/>
      <c r="AE74" s="250"/>
      <c r="AF74" s="250"/>
      <c r="AG74" s="249"/>
      <c r="AH74" s="249"/>
      <c r="AI74" s="404"/>
      <c r="AJ74" s="250"/>
      <c r="AK74" s="250"/>
      <c r="AL74" s="249"/>
      <c r="AM74" s="249"/>
      <c r="AN74" s="404"/>
      <c r="AO74" s="250"/>
      <c r="AP74" s="250"/>
      <c r="AQ74" s="249"/>
      <c r="AR74" s="249"/>
      <c r="AS74" s="404"/>
      <c r="AT74" s="250"/>
      <c r="AU74" s="250"/>
      <c r="AV74" s="249"/>
      <c r="AW74" s="249"/>
      <c r="AX74" s="404"/>
    </row>
    <row r="75" spans="2:50">
      <c r="B75" s="405"/>
      <c r="C75" s="249">
        <v>9</v>
      </c>
      <c r="D75" s="249"/>
      <c r="E75" s="249"/>
      <c r="F75" s="249"/>
      <c r="G75" s="249"/>
      <c r="H75" s="407"/>
      <c r="I75" s="250"/>
      <c r="J75" s="250"/>
      <c r="K75" s="251"/>
      <c r="L75" s="407"/>
      <c r="M75" s="250"/>
      <c r="N75" s="409"/>
      <c r="O75" s="409"/>
      <c r="P75" s="250"/>
      <c r="Q75" s="250"/>
      <c r="R75" s="249"/>
      <c r="S75" s="249"/>
      <c r="T75" s="404"/>
      <c r="U75" s="250"/>
      <c r="V75" s="250"/>
      <c r="W75" s="249"/>
      <c r="X75" s="249"/>
      <c r="Y75" s="404"/>
      <c r="Z75" s="250"/>
      <c r="AA75" s="250"/>
      <c r="AB75" s="249"/>
      <c r="AC75" s="249"/>
      <c r="AD75" s="404"/>
      <c r="AE75" s="250"/>
      <c r="AF75" s="250"/>
      <c r="AG75" s="249"/>
      <c r="AH75" s="249"/>
      <c r="AI75" s="404"/>
      <c r="AJ75" s="250"/>
      <c r="AK75" s="250"/>
      <c r="AL75" s="249"/>
      <c r="AM75" s="249"/>
      <c r="AN75" s="404"/>
      <c r="AO75" s="250"/>
      <c r="AP75" s="250"/>
      <c r="AQ75" s="249"/>
      <c r="AR75" s="249"/>
      <c r="AS75" s="404"/>
      <c r="AT75" s="250"/>
      <c r="AU75" s="250"/>
      <c r="AV75" s="249"/>
      <c r="AW75" s="249"/>
      <c r="AX75" s="404"/>
    </row>
    <row r="76" spans="2:50">
      <c r="B76" s="405"/>
      <c r="C76" s="249">
        <v>10</v>
      </c>
      <c r="D76" s="249"/>
      <c r="E76" s="249"/>
      <c r="F76" s="249"/>
      <c r="G76" s="249"/>
      <c r="H76" s="407"/>
      <c r="I76" s="250"/>
      <c r="J76" s="250"/>
      <c r="K76" s="251"/>
      <c r="L76" s="407"/>
      <c r="M76" s="250"/>
      <c r="N76" s="409"/>
      <c r="O76" s="409"/>
      <c r="P76" s="250"/>
      <c r="Q76" s="250"/>
      <c r="R76" s="249"/>
      <c r="S76" s="249"/>
      <c r="T76" s="404"/>
      <c r="U76" s="250"/>
      <c r="V76" s="250"/>
      <c r="W76" s="249"/>
      <c r="X76" s="249"/>
      <c r="Y76" s="404"/>
      <c r="Z76" s="250"/>
      <c r="AA76" s="250"/>
      <c r="AB76" s="249"/>
      <c r="AC76" s="249"/>
      <c r="AD76" s="404"/>
      <c r="AE76" s="250"/>
      <c r="AF76" s="250"/>
      <c r="AG76" s="249"/>
      <c r="AH76" s="249"/>
      <c r="AI76" s="404"/>
      <c r="AJ76" s="250"/>
      <c r="AK76" s="250"/>
      <c r="AL76" s="249"/>
      <c r="AM76" s="249"/>
      <c r="AN76" s="404"/>
      <c r="AO76" s="250"/>
      <c r="AP76" s="250"/>
      <c r="AQ76" s="249"/>
      <c r="AR76" s="249"/>
      <c r="AS76" s="404"/>
      <c r="AT76" s="250"/>
      <c r="AU76" s="250"/>
      <c r="AV76" s="249"/>
      <c r="AW76" s="249"/>
      <c r="AX76" s="404"/>
    </row>
    <row r="77" spans="2:50">
      <c r="B77" s="405"/>
      <c r="C77" s="249">
        <v>11</v>
      </c>
      <c r="D77" s="249"/>
      <c r="E77" s="249"/>
      <c r="F77" s="249"/>
      <c r="G77" s="249"/>
      <c r="H77" s="407"/>
      <c r="I77" s="250"/>
      <c r="J77" s="250"/>
      <c r="K77" s="251"/>
      <c r="L77" s="407"/>
      <c r="M77" s="250"/>
      <c r="N77" s="409"/>
      <c r="O77" s="409"/>
      <c r="P77" s="249"/>
      <c r="Q77" s="249"/>
      <c r="R77" s="249"/>
      <c r="S77" s="249"/>
      <c r="T77" s="404"/>
      <c r="U77" s="249"/>
      <c r="V77" s="249"/>
      <c r="W77" s="249"/>
      <c r="X77" s="249"/>
      <c r="Y77" s="404"/>
      <c r="Z77" s="249"/>
      <c r="AA77" s="249"/>
      <c r="AB77" s="249"/>
      <c r="AC77" s="249"/>
      <c r="AD77" s="404"/>
      <c r="AE77" s="249"/>
      <c r="AF77" s="249"/>
      <c r="AG77" s="249"/>
      <c r="AH77" s="249"/>
      <c r="AI77" s="404"/>
      <c r="AJ77" s="249"/>
      <c r="AK77" s="249"/>
      <c r="AL77" s="249"/>
      <c r="AM77" s="249"/>
      <c r="AN77" s="404"/>
      <c r="AO77" s="249"/>
      <c r="AP77" s="249"/>
      <c r="AQ77" s="249"/>
      <c r="AR77" s="249"/>
      <c r="AS77" s="404"/>
      <c r="AT77" s="249"/>
      <c r="AU77" s="249"/>
      <c r="AV77" s="249"/>
      <c r="AW77" s="249"/>
      <c r="AX77" s="404"/>
    </row>
    <row r="78" spans="2:50">
      <c r="B78" s="405"/>
      <c r="C78" s="249">
        <v>12</v>
      </c>
      <c r="D78" s="249"/>
      <c r="E78" s="249"/>
      <c r="F78" s="249"/>
      <c r="G78" s="249"/>
      <c r="H78" s="407"/>
      <c r="I78" s="250"/>
      <c r="J78" s="250"/>
      <c r="K78" s="251"/>
      <c r="L78" s="407"/>
      <c r="M78" s="250"/>
      <c r="N78" s="409"/>
      <c r="O78" s="409"/>
      <c r="P78" s="249"/>
      <c r="Q78" s="249"/>
      <c r="R78" s="249"/>
      <c r="S78" s="249"/>
      <c r="T78" s="404"/>
      <c r="U78" s="249"/>
      <c r="V78" s="249"/>
      <c r="W78" s="249"/>
      <c r="X78" s="249"/>
      <c r="Y78" s="404"/>
      <c r="Z78" s="249"/>
      <c r="AA78" s="249"/>
      <c r="AB78" s="249"/>
      <c r="AC78" s="249"/>
      <c r="AD78" s="404"/>
      <c r="AE78" s="249"/>
      <c r="AF78" s="249"/>
      <c r="AG78" s="249"/>
      <c r="AH78" s="249"/>
      <c r="AI78" s="404"/>
      <c r="AJ78" s="249"/>
      <c r="AK78" s="249"/>
      <c r="AL78" s="249"/>
      <c r="AM78" s="249"/>
      <c r="AN78" s="404"/>
      <c r="AO78" s="249"/>
      <c r="AP78" s="249"/>
      <c r="AQ78" s="249"/>
      <c r="AR78" s="249"/>
      <c r="AS78" s="404"/>
      <c r="AT78" s="249"/>
      <c r="AU78" s="249"/>
      <c r="AV78" s="249"/>
      <c r="AW78" s="249"/>
      <c r="AX78" s="404"/>
    </row>
    <row r="79" spans="2:50">
      <c r="B79" s="405"/>
      <c r="C79" s="249">
        <v>13</v>
      </c>
      <c r="D79" s="249"/>
      <c r="E79" s="249"/>
      <c r="F79" s="249"/>
      <c r="G79" s="249"/>
      <c r="H79" s="407"/>
      <c r="I79" s="250"/>
      <c r="J79" s="250"/>
      <c r="K79" s="251"/>
      <c r="L79" s="407"/>
      <c r="M79" s="250"/>
      <c r="N79" s="409"/>
      <c r="O79" s="409"/>
      <c r="P79" s="249"/>
      <c r="Q79" s="249"/>
      <c r="R79" s="249"/>
      <c r="S79" s="249"/>
      <c r="T79" s="404"/>
      <c r="U79" s="249"/>
      <c r="V79" s="249"/>
      <c r="W79" s="249"/>
      <c r="X79" s="249"/>
      <c r="Y79" s="404"/>
      <c r="Z79" s="249"/>
      <c r="AA79" s="249"/>
      <c r="AB79" s="249"/>
      <c r="AC79" s="249"/>
      <c r="AD79" s="404"/>
      <c r="AE79" s="249"/>
      <c r="AF79" s="249"/>
      <c r="AG79" s="249"/>
      <c r="AH79" s="249"/>
      <c r="AI79" s="404"/>
      <c r="AJ79" s="249"/>
      <c r="AK79" s="249"/>
      <c r="AL79" s="249"/>
      <c r="AM79" s="249"/>
      <c r="AN79" s="404"/>
      <c r="AO79" s="249"/>
      <c r="AP79" s="249"/>
      <c r="AQ79" s="249"/>
      <c r="AR79" s="249"/>
      <c r="AS79" s="404"/>
      <c r="AT79" s="249"/>
      <c r="AU79" s="249"/>
      <c r="AV79" s="249"/>
      <c r="AW79" s="249"/>
      <c r="AX79" s="404"/>
    </row>
    <row r="80" spans="2:50">
      <c r="B80" s="405"/>
      <c r="C80" s="249">
        <v>14</v>
      </c>
      <c r="D80" s="249"/>
      <c r="E80" s="249"/>
      <c r="F80" s="249"/>
      <c r="G80" s="249"/>
      <c r="H80" s="407"/>
      <c r="I80" s="250"/>
      <c r="J80" s="250"/>
      <c r="K80" s="251"/>
      <c r="L80" s="407"/>
      <c r="M80" s="250"/>
      <c r="N80" s="409"/>
      <c r="O80" s="409"/>
      <c r="P80" s="249"/>
      <c r="Q80" s="249"/>
      <c r="R80" s="249"/>
      <c r="S80" s="249"/>
      <c r="T80" s="404"/>
      <c r="U80" s="249"/>
      <c r="V80" s="249"/>
      <c r="W80" s="249"/>
      <c r="X80" s="249"/>
      <c r="Y80" s="404"/>
      <c r="Z80" s="249"/>
      <c r="AA80" s="249"/>
      <c r="AB80" s="249"/>
      <c r="AC80" s="249"/>
      <c r="AD80" s="404"/>
      <c r="AE80" s="249"/>
      <c r="AF80" s="249"/>
      <c r="AG80" s="249"/>
      <c r="AH80" s="249"/>
      <c r="AI80" s="404"/>
      <c r="AJ80" s="249"/>
      <c r="AK80" s="249"/>
      <c r="AL80" s="249"/>
      <c r="AM80" s="249"/>
      <c r="AN80" s="404"/>
      <c r="AO80" s="249"/>
      <c r="AP80" s="249"/>
      <c r="AQ80" s="249"/>
      <c r="AR80" s="249"/>
      <c r="AS80" s="404"/>
      <c r="AT80" s="249"/>
      <c r="AU80" s="249"/>
      <c r="AV80" s="249"/>
      <c r="AW80" s="249"/>
      <c r="AX80" s="404"/>
    </row>
    <row r="81" spans="2:50">
      <c r="B81" s="405"/>
      <c r="C81" s="249">
        <v>15</v>
      </c>
      <c r="D81" s="249"/>
      <c r="E81" s="249"/>
      <c r="F81" s="249"/>
      <c r="G81" s="249"/>
      <c r="H81" s="408"/>
      <c r="I81" s="250"/>
      <c r="J81" s="250"/>
      <c r="K81" s="251"/>
      <c r="L81" s="408"/>
      <c r="M81" s="250"/>
      <c r="N81" s="409"/>
      <c r="O81" s="409"/>
      <c r="P81" s="249"/>
      <c r="Q81" s="249"/>
      <c r="R81" s="249"/>
      <c r="S81" s="249"/>
      <c r="T81" s="404"/>
      <c r="U81" s="249"/>
      <c r="V81" s="249"/>
      <c r="W81" s="249"/>
      <c r="X81" s="249"/>
      <c r="Y81" s="404"/>
      <c r="Z81" s="249"/>
      <c r="AA81" s="249"/>
      <c r="AB81" s="249"/>
      <c r="AC81" s="249"/>
      <c r="AD81" s="404"/>
      <c r="AE81" s="249"/>
      <c r="AF81" s="249"/>
      <c r="AG81" s="249"/>
      <c r="AH81" s="249"/>
      <c r="AI81" s="404"/>
      <c r="AJ81" s="249"/>
      <c r="AK81" s="249"/>
      <c r="AL81" s="249"/>
      <c r="AM81" s="249"/>
      <c r="AN81" s="404"/>
      <c r="AO81" s="249"/>
      <c r="AP81" s="249"/>
      <c r="AQ81" s="249"/>
      <c r="AR81" s="249"/>
      <c r="AS81" s="404"/>
      <c r="AT81" s="249"/>
      <c r="AU81" s="249"/>
      <c r="AV81" s="249"/>
      <c r="AW81" s="249"/>
      <c r="AX81" s="404"/>
    </row>
    <row r="82" spans="2:50" ht="15.75">
      <c r="B82" s="426" t="s">
        <v>93</v>
      </c>
      <c r="C82" s="422"/>
      <c r="D82" s="422"/>
      <c r="E82" s="422"/>
      <c r="F82" s="422"/>
      <c r="G82" s="422"/>
      <c r="H82" s="422"/>
      <c r="I82" s="254"/>
      <c r="J82" s="254"/>
      <c r="K82" s="254"/>
      <c r="L82" s="254"/>
      <c r="M82" s="255"/>
      <c r="N82" s="418" t="s">
        <v>94</v>
      </c>
      <c r="O82" s="418" t="s">
        <v>45</v>
      </c>
      <c r="P82" s="413">
        <v>45958</v>
      </c>
      <c r="Q82" s="405"/>
      <c r="R82" s="405"/>
      <c r="S82" s="405"/>
      <c r="T82" s="405"/>
      <c r="U82" s="413">
        <v>45959</v>
      </c>
      <c r="V82" s="405"/>
      <c r="W82" s="405"/>
      <c r="X82" s="405"/>
      <c r="Y82" s="405"/>
      <c r="Z82" s="413">
        <v>45960</v>
      </c>
      <c r="AA82" s="405"/>
      <c r="AB82" s="405"/>
      <c r="AC82" s="405"/>
      <c r="AD82" s="405"/>
      <c r="AE82" s="413">
        <v>45961</v>
      </c>
      <c r="AF82" s="405"/>
      <c r="AG82" s="405"/>
      <c r="AH82" s="405"/>
      <c r="AI82" s="405"/>
      <c r="AJ82" s="413"/>
      <c r="AK82" s="405"/>
      <c r="AL82" s="405"/>
      <c r="AM82" s="405"/>
      <c r="AN82" s="405"/>
      <c r="AO82" s="413"/>
      <c r="AP82" s="405"/>
      <c r="AQ82" s="405"/>
      <c r="AR82" s="405"/>
      <c r="AS82" s="405"/>
      <c r="AT82" s="413"/>
      <c r="AU82" s="405"/>
      <c r="AV82" s="405"/>
      <c r="AW82" s="405"/>
      <c r="AX82" s="405"/>
    </row>
    <row r="83" spans="2:50" ht="15.75">
      <c r="B83" s="423"/>
      <c r="C83" s="423"/>
      <c r="D83" s="423"/>
      <c r="E83" s="423"/>
      <c r="F83" s="423"/>
      <c r="G83" s="423"/>
      <c r="H83" s="423"/>
      <c r="I83" s="245"/>
      <c r="J83" s="245"/>
      <c r="K83" s="245"/>
      <c r="L83" s="245"/>
      <c r="M83" s="246"/>
      <c r="N83" s="420"/>
      <c r="O83" s="420"/>
      <c r="P83" s="413" t="s">
        <v>77</v>
      </c>
      <c r="Q83" s="405"/>
      <c r="R83" s="405"/>
      <c r="S83" s="405"/>
      <c r="T83" s="405"/>
      <c r="U83" s="413" t="s">
        <v>72</v>
      </c>
      <c r="V83" s="405"/>
      <c r="W83" s="405"/>
      <c r="X83" s="405"/>
      <c r="Y83" s="405"/>
      <c r="Z83" s="413" t="s">
        <v>73</v>
      </c>
      <c r="AA83" s="405"/>
      <c r="AB83" s="405"/>
      <c r="AC83" s="405"/>
      <c r="AD83" s="405"/>
      <c r="AE83" s="413" t="s">
        <v>74</v>
      </c>
      <c r="AF83" s="405"/>
      <c r="AG83" s="405"/>
      <c r="AH83" s="405"/>
      <c r="AI83" s="405"/>
      <c r="AJ83" s="413" t="s">
        <v>75</v>
      </c>
      <c r="AK83" s="405"/>
      <c r="AL83" s="405"/>
      <c r="AM83" s="405"/>
      <c r="AN83" s="405"/>
      <c r="AO83" s="413" t="s">
        <v>52</v>
      </c>
      <c r="AP83" s="405"/>
      <c r="AQ83" s="405"/>
      <c r="AR83" s="405"/>
      <c r="AS83" s="405"/>
      <c r="AT83" s="413" t="s">
        <v>76</v>
      </c>
      <c r="AU83" s="405"/>
      <c r="AV83" s="405"/>
      <c r="AW83" s="405"/>
      <c r="AX83" s="405"/>
    </row>
    <row r="84" spans="2:50">
      <c r="B84" s="409" t="s">
        <v>95</v>
      </c>
      <c r="C84" s="409" t="s">
        <v>96</v>
      </c>
      <c r="D84" s="409"/>
      <c r="E84" s="409" t="s">
        <v>97</v>
      </c>
      <c r="F84" s="409"/>
      <c r="G84" s="409"/>
      <c r="H84" s="415" t="s">
        <v>98</v>
      </c>
      <c r="I84" s="409" t="s">
        <v>99</v>
      </c>
      <c r="J84" s="409"/>
      <c r="K84" s="409"/>
      <c r="L84" s="415" t="s">
        <v>98</v>
      </c>
      <c r="M84" s="418" t="s">
        <v>100</v>
      </c>
      <c r="N84" s="409"/>
      <c r="O84" s="409" t="s">
        <v>101</v>
      </c>
      <c r="P84" s="410" t="s">
        <v>102</v>
      </c>
      <c r="Q84" s="411"/>
      <c r="R84" s="411"/>
      <c r="S84" s="412"/>
      <c r="T84" s="409" t="s">
        <v>98</v>
      </c>
      <c r="U84" s="410" t="s">
        <v>102</v>
      </c>
      <c r="V84" s="411"/>
      <c r="W84" s="411"/>
      <c r="X84" s="412"/>
      <c r="Y84" s="409" t="s">
        <v>98</v>
      </c>
      <c r="Z84" s="410" t="s">
        <v>102</v>
      </c>
      <c r="AA84" s="411"/>
      <c r="AB84" s="411"/>
      <c r="AC84" s="412"/>
      <c r="AD84" s="409" t="s">
        <v>98</v>
      </c>
      <c r="AE84" s="410" t="s">
        <v>102</v>
      </c>
      <c r="AF84" s="411"/>
      <c r="AG84" s="411"/>
      <c r="AH84" s="412"/>
      <c r="AI84" s="409" t="s">
        <v>98</v>
      </c>
      <c r="AJ84" s="410" t="s">
        <v>102</v>
      </c>
      <c r="AK84" s="411"/>
      <c r="AL84" s="411"/>
      <c r="AM84" s="412"/>
      <c r="AN84" s="409" t="s">
        <v>98</v>
      </c>
      <c r="AO84" s="410" t="s">
        <v>102</v>
      </c>
      <c r="AP84" s="411"/>
      <c r="AQ84" s="411"/>
      <c r="AR84" s="412"/>
      <c r="AS84" s="409" t="s">
        <v>98</v>
      </c>
      <c r="AT84" s="410" t="s">
        <v>102</v>
      </c>
      <c r="AU84" s="411"/>
      <c r="AV84" s="411"/>
      <c r="AW84" s="412"/>
      <c r="AX84" s="409" t="s">
        <v>98</v>
      </c>
    </row>
    <row r="85" spans="2:50">
      <c r="B85" s="409"/>
      <c r="C85" s="409"/>
      <c r="D85" s="409"/>
      <c r="E85" s="409" t="s">
        <v>103</v>
      </c>
      <c r="F85" s="409"/>
      <c r="G85" s="409"/>
      <c r="H85" s="416"/>
      <c r="I85" s="409" t="s">
        <v>103</v>
      </c>
      <c r="J85" s="409"/>
      <c r="K85" s="409"/>
      <c r="L85" s="416"/>
      <c r="M85" s="419"/>
      <c r="N85" s="409"/>
      <c r="O85" s="409"/>
      <c r="P85" s="410" t="s">
        <v>104</v>
      </c>
      <c r="Q85" s="411"/>
      <c r="R85" s="411"/>
      <c r="S85" s="412"/>
      <c r="T85" s="409"/>
      <c r="U85" s="410" t="s">
        <v>104</v>
      </c>
      <c r="V85" s="411"/>
      <c r="W85" s="411"/>
      <c r="X85" s="412"/>
      <c r="Y85" s="409"/>
      <c r="Z85" s="410" t="s">
        <v>104</v>
      </c>
      <c r="AA85" s="411"/>
      <c r="AB85" s="411"/>
      <c r="AC85" s="412"/>
      <c r="AD85" s="409"/>
      <c r="AE85" s="410" t="s">
        <v>104</v>
      </c>
      <c r="AF85" s="411"/>
      <c r="AG85" s="411"/>
      <c r="AH85" s="412"/>
      <c r="AI85" s="409"/>
      <c r="AJ85" s="410" t="s">
        <v>104</v>
      </c>
      <c r="AK85" s="411"/>
      <c r="AL85" s="411"/>
      <c r="AM85" s="412"/>
      <c r="AN85" s="409"/>
      <c r="AO85" s="410" t="s">
        <v>104</v>
      </c>
      <c r="AP85" s="411"/>
      <c r="AQ85" s="411"/>
      <c r="AR85" s="412"/>
      <c r="AS85" s="409"/>
      <c r="AT85" s="410" t="s">
        <v>104</v>
      </c>
      <c r="AU85" s="411"/>
      <c r="AV85" s="411"/>
      <c r="AW85" s="412"/>
      <c r="AX85" s="409"/>
    </row>
    <row r="86" spans="2:50">
      <c r="B86" s="409"/>
      <c r="C86" s="409"/>
      <c r="D86" s="409"/>
      <c r="E86" s="248" t="s">
        <v>105</v>
      </c>
      <c r="F86" s="248" t="s">
        <v>106</v>
      </c>
      <c r="G86" s="248" t="s">
        <v>107</v>
      </c>
      <c r="H86" s="417"/>
      <c r="I86" s="248" t="s">
        <v>105</v>
      </c>
      <c r="J86" s="248" t="s">
        <v>106</v>
      </c>
      <c r="K86" s="248" t="s">
        <v>107</v>
      </c>
      <c r="L86" s="417"/>
      <c r="M86" s="420"/>
      <c r="N86" s="409"/>
      <c r="O86" s="409"/>
      <c r="P86" s="248" t="s">
        <v>105</v>
      </c>
      <c r="Q86" s="248" t="s">
        <v>106</v>
      </c>
      <c r="R86" s="248" t="s">
        <v>107</v>
      </c>
      <c r="S86" s="248" t="s">
        <v>100</v>
      </c>
      <c r="T86" s="409"/>
      <c r="U86" s="248" t="s">
        <v>105</v>
      </c>
      <c r="V86" s="248" t="s">
        <v>106</v>
      </c>
      <c r="W86" s="248" t="s">
        <v>107</v>
      </c>
      <c r="X86" s="248" t="s">
        <v>100</v>
      </c>
      <c r="Y86" s="409"/>
      <c r="Z86" s="248" t="s">
        <v>105</v>
      </c>
      <c r="AA86" s="248" t="s">
        <v>106</v>
      </c>
      <c r="AB86" s="248" t="s">
        <v>107</v>
      </c>
      <c r="AC86" s="248" t="s">
        <v>100</v>
      </c>
      <c r="AD86" s="409"/>
      <c r="AE86" s="248" t="s">
        <v>105</v>
      </c>
      <c r="AF86" s="248" t="s">
        <v>106</v>
      </c>
      <c r="AG86" s="248" t="s">
        <v>107</v>
      </c>
      <c r="AH86" s="248" t="s">
        <v>100</v>
      </c>
      <c r="AI86" s="409"/>
      <c r="AJ86" s="248" t="s">
        <v>105</v>
      </c>
      <c r="AK86" s="248" t="s">
        <v>106</v>
      </c>
      <c r="AL86" s="248" t="s">
        <v>107</v>
      </c>
      <c r="AM86" s="248" t="s">
        <v>100</v>
      </c>
      <c r="AN86" s="409"/>
      <c r="AO86" s="248" t="s">
        <v>105</v>
      </c>
      <c r="AP86" s="248" t="s">
        <v>106</v>
      </c>
      <c r="AQ86" s="248" t="s">
        <v>107</v>
      </c>
      <c r="AR86" s="248" t="s">
        <v>100</v>
      </c>
      <c r="AS86" s="409"/>
      <c r="AT86" s="248" t="s">
        <v>105</v>
      </c>
      <c r="AU86" s="248" t="s">
        <v>106</v>
      </c>
      <c r="AV86" s="248" t="s">
        <v>107</v>
      </c>
      <c r="AW86" s="248" t="s">
        <v>100</v>
      </c>
      <c r="AX86" s="409"/>
    </row>
    <row r="87" spans="2:50">
      <c r="B87" s="409" t="s">
        <v>84</v>
      </c>
      <c r="C87" s="249">
        <v>1</v>
      </c>
      <c r="D87" s="249" t="s">
        <v>130</v>
      </c>
      <c r="E87" s="250" t="e">
        <f>VLOOKUP(D87,#REF!,2,0)</f>
        <v>#REF!</v>
      </c>
      <c r="F87" s="250" t="e">
        <f>VLOOKUP(D87,#REF!,3,0)</f>
        <v>#REF!</v>
      </c>
      <c r="G87" s="251" t="e">
        <f>F87/E87</f>
        <v>#REF!</v>
      </c>
      <c r="H87" s="406" t="e">
        <f>AVERAGE(G87:G101)</f>
        <v>#REF!</v>
      </c>
      <c r="I87" s="250">
        <f>AVERAGE(P87,U87,Z87,AE87,AJ87,AO87,AT87)</f>
        <v>13</v>
      </c>
      <c r="J87" s="250">
        <f>AVERAGE(Q87,V87,AA87,AF87,AK87,AP87,AU87)</f>
        <v>1431</v>
      </c>
      <c r="K87" s="251">
        <f>AVERAGE(R87,W87,AB87,AG87)</f>
        <v>110.07692307692308</v>
      </c>
      <c r="L87" s="406">
        <f>IFERROR(AVERAGE(K87:K101),"-")</f>
        <v>108.73397435897436</v>
      </c>
      <c r="M87" s="250">
        <f>RANK(K87, K$87:$K$101)</f>
        <v>2</v>
      </c>
      <c r="N87" s="409"/>
      <c r="O87" s="409"/>
      <c r="P87" s="250">
        <v>13</v>
      </c>
      <c r="Q87" s="250">
        <v>1499</v>
      </c>
      <c r="R87" s="251">
        <f>Q87/P87</f>
        <v>115.30769230769231</v>
      </c>
      <c r="S87" s="249">
        <f>RANK(R87,$R$87:$R$101)</f>
        <v>2</v>
      </c>
      <c r="T87" s="404">
        <f>AVERAGE(R87:R101)</f>
        <v>114.04700854700855</v>
      </c>
      <c r="U87" s="250">
        <v>13</v>
      </c>
      <c r="V87" s="250">
        <v>1247</v>
      </c>
      <c r="W87" s="251">
        <f>V87/U87</f>
        <v>95.92307692307692</v>
      </c>
      <c r="X87" s="249">
        <f>RANK(W87,$W$87:$W$90)</f>
        <v>3</v>
      </c>
      <c r="Y87" s="404">
        <f>AVERAGE(W87:W101)</f>
        <v>107.00213675213676</v>
      </c>
      <c r="Z87" s="250">
        <v>13</v>
      </c>
      <c r="AA87" s="250">
        <v>1473</v>
      </c>
      <c r="AB87" s="251">
        <f>AA87/Z87</f>
        <v>113.30769230769231</v>
      </c>
      <c r="AC87" s="249">
        <f>RANK(AB87,$AB$87:$AB$101)</f>
        <v>2</v>
      </c>
      <c r="AD87" s="404">
        <f>AVERAGE(AB87:AB101)</f>
        <v>103.29700854700855</v>
      </c>
      <c r="AE87" s="250">
        <v>13</v>
      </c>
      <c r="AF87" s="250">
        <v>1505</v>
      </c>
      <c r="AG87" s="251">
        <f>AF87/AE87</f>
        <v>115.76923076923077</v>
      </c>
      <c r="AH87" s="249">
        <f>RANK(AG87,$AG$87:$AG$101)</f>
        <v>2</v>
      </c>
      <c r="AI87" s="404">
        <f>AVERAGE(AG87:AG101)</f>
        <v>110.58974358974359</v>
      </c>
      <c r="AJ87" s="250"/>
      <c r="AK87" s="250"/>
      <c r="AL87" s="251" t="e">
        <f>AK87/AJ87</f>
        <v>#DIV/0!</v>
      </c>
      <c r="AM87" s="249" t="e">
        <f>RANK(AL87,$AL$87:$AL$90)</f>
        <v>#DIV/0!</v>
      </c>
      <c r="AN87" s="404" t="e">
        <f>AVERAGE(AL87:AL101)</f>
        <v>#DIV/0!</v>
      </c>
      <c r="AO87" s="249"/>
      <c r="AP87" s="249"/>
      <c r="AQ87" s="251" t="e">
        <f>AP87/AO87</f>
        <v>#DIV/0!</v>
      </c>
      <c r="AR87" s="249" t="e">
        <f>RANK(AQ87,$AQ$87:$AQ$101)</f>
        <v>#DIV/0!</v>
      </c>
      <c r="AS87" s="404" t="e">
        <f>AVERAGE(AQ87:AQ101)</f>
        <v>#DIV/0!</v>
      </c>
      <c r="AT87" s="249"/>
      <c r="AU87" s="249"/>
      <c r="AV87" s="251" t="e">
        <f>AU87/AT87</f>
        <v>#DIV/0!</v>
      </c>
      <c r="AW87" s="249" t="e">
        <f>RANK(AV87,$AV$87:$AV$101)</f>
        <v>#DIV/0!</v>
      </c>
      <c r="AX87" s="404" t="e">
        <f>AVERAGE(AV87:AV101)</f>
        <v>#DIV/0!</v>
      </c>
    </row>
    <row r="88" spans="2:50">
      <c r="B88" s="405"/>
      <c r="C88" s="249">
        <v>2</v>
      </c>
      <c r="D88" s="249" t="s">
        <v>131</v>
      </c>
      <c r="E88" s="250" t="e">
        <f>VLOOKUP(D88,#REF!,2,0)</f>
        <v>#REF!</v>
      </c>
      <c r="F88" s="250" t="e">
        <f>VLOOKUP(D88,#REF!,3,0)</f>
        <v>#REF!</v>
      </c>
      <c r="G88" s="251" t="e">
        <f>F88/E88</f>
        <v>#REF!</v>
      </c>
      <c r="H88" s="407"/>
      <c r="I88" s="250">
        <f t="shared" ref="I88:J89" si="6">AVERAGE(P88,U88,Z88,AE88,AJ88,AO88,AT88)</f>
        <v>12</v>
      </c>
      <c r="J88" s="250">
        <f t="shared" si="6"/>
        <v>1441.5</v>
      </c>
      <c r="K88" s="251">
        <f t="shared" ref="K88:K89" si="7">AVERAGE(R88,W88,AB88,AG88)</f>
        <v>120.125</v>
      </c>
      <c r="L88" s="407"/>
      <c r="M88" s="250">
        <f>RANK(K88, K$87:$K$101)</f>
        <v>1</v>
      </c>
      <c r="N88" s="409"/>
      <c r="O88" s="409"/>
      <c r="P88" s="250">
        <v>12</v>
      </c>
      <c r="Q88" s="250">
        <v>1457</v>
      </c>
      <c r="R88" s="251">
        <f>Q88/P88</f>
        <v>121.41666666666667</v>
      </c>
      <c r="S88" s="249">
        <f>RANK(R88,$R$87:$R$101)</f>
        <v>1</v>
      </c>
      <c r="T88" s="404"/>
      <c r="U88" s="250">
        <v>12</v>
      </c>
      <c r="V88" s="250">
        <v>1376</v>
      </c>
      <c r="W88" s="251">
        <f>V88/U88</f>
        <v>114.66666666666667</v>
      </c>
      <c r="X88" s="249">
        <f>RANK(W88,$W$87:$W$90)</f>
        <v>1</v>
      </c>
      <c r="Y88" s="404"/>
      <c r="Z88" s="250">
        <v>12</v>
      </c>
      <c r="AA88" s="250">
        <v>1400</v>
      </c>
      <c r="AB88" s="251">
        <f>AA88/Z88</f>
        <v>116.66666666666667</v>
      </c>
      <c r="AC88" s="249">
        <f>RANK(AB88,$AB$87:$AB$101)</f>
        <v>1</v>
      </c>
      <c r="AD88" s="404"/>
      <c r="AE88" s="250">
        <v>12</v>
      </c>
      <c r="AF88" s="250">
        <v>1533</v>
      </c>
      <c r="AG88" s="251">
        <f>AF88/AE88</f>
        <v>127.75</v>
      </c>
      <c r="AH88" s="249">
        <f>RANK(AG88,$AG$87:$AG$101)</f>
        <v>1</v>
      </c>
      <c r="AI88" s="404"/>
      <c r="AJ88" s="250"/>
      <c r="AK88" s="250"/>
      <c r="AL88" s="251" t="e">
        <f>AK88/AJ88</f>
        <v>#DIV/0!</v>
      </c>
      <c r="AM88" s="249" t="e">
        <f>RANK(AL88,$AL$87:$AL$90)</f>
        <v>#DIV/0!</v>
      </c>
      <c r="AN88" s="404"/>
      <c r="AO88" s="249"/>
      <c r="AP88" s="249"/>
      <c r="AQ88" s="251" t="e">
        <f>AP88/AO88</f>
        <v>#DIV/0!</v>
      </c>
      <c r="AR88" s="249" t="e">
        <f>RANK(AQ88,$AQ$87:$AQ$101)</f>
        <v>#DIV/0!</v>
      </c>
      <c r="AS88" s="404"/>
      <c r="AT88" s="249"/>
      <c r="AU88" s="249"/>
      <c r="AV88" s="251" t="e">
        <f>AU88/AT88</f>
        <v>#DIV/0!</v>
      </c>
      <c r="AW88" s="249" t="e">
        <f>RANK(AV88,$AV$87:$AV$101)</f>
        <v>#DIV/0!</v>
      </c>
      <c r="AX88" s="404"/>
    </row>
    <row r="89" spans="2:50">
      <c r="B89" s="405"/>
      <c r="C89" s="249">
        <v>3</v>
      </c>
      <c r="D89" s="249" t="s">
        <v>132</v>
      </c>
      <c r="E89" s="250" t="e">
        <f>VLOOKUP(D89,#REF!,2,0)</f>
        <v>#REF!</v>
      </c>
      <c r="F89" s="250" t="e">
        <f>VLOOKUP(D89,#REF!,3,0)</f>
        <v>#REF!</v>
      </c>
      <c r="G89" s="251" t="e">
        <f>F89/E89</f>
        <v>#REF!</v>
      </c>
      <c r="H89" s="407"/>
      <c r="I89" s="250">
        <f t="shared" si="6"/>
        <v>12</v>
      </c>
      <c r="J89" s="250">
        <f t="shared" si="6"/>
        <v>1152</v>
      </c>
      <c r="K89" s="251">
        <f t="shared" si="7"/>
        <v>96</v>
      </c>
      <c r="L89" s="407"/>
      <c r="M89" s="250">
        <f>RANK(K89, K$87:$K$101)</f>
        <v>3</v>
      </c>
      <c r="N89" s="409"/>
      <c r="O89" s="409"/>
      <c r="P89" s="250">
        <v>12</v>
      </c>
      <c r="Q89" s="250">
        <v>1265</v>
      </c>
      <c r="R89" s="251">
        <f>Q89/P89</f>
        <v>105.41666666666667</v>
      </c>
      <c r="S89" s="249">
        <f>RANK(R89,$R$87:$R$101)</f>
        <v>3</v>
      </c>
      <c r="T89" s="404"/>
      <c r="U89" s="250">
        <v>12</v>
      </c>
      <c r="V89" s="250">
        <v>1325</v>
      </c>
      <c r="W89" s="251">
        <f>V89/U89</f>
        <v>110.41666666666667</v>
      </c>
      <c r="X89" s="249">
        <f>RANK(W89,$W$87:$W$90)</f>
        <v>2</v>
      </c>
      <c r="Y89" s="404"/>
      <c r="Z89" s="250">
        <v>12</v>
      </c>
      <c r="AA89" s="250">
        <v>959</v>
      </c>
      <c r="AB89" s="251">
        <f>AA89/Z89</f>
        <v>79.916666666666671</v>
      </c>
      <c r="AC89" s="249">
        <f>RANK(AB89,$AB$87:$AB$101)</f>
        <v>3</v>
      </c>
      <c r="AD89" s="404"/>
      <c r="AE89" s="250">
        <v>12</v>
      </c>
      <c r="AF89" s="250">
        <v>1059</v>
      </c>
      <c r="AG89" s="251">
        <f>AF89/AE89</f>
        <v>88.25</v>
      </c>
      <c r="AH89" s="249">
        <f>RANK(AG89,$AG$87:$AG$101)</f>
        <v>3</v>
      </c>
      <c r="AI89" s="404"/>
      <c r="AJ89" s="250"/>
      <c r="AK89" s="250"/>
      <c r="AL89" s="251" t="e">
        <f>AK89/AJ89</f>
        <v>#DIV/0!</v>
      </c>
      <c r="AM89" s="249" t="e">
        <f>RANK(AL89,$AL$87:$AL$90)</f>
        <v>#DIV/0!</v>
      </c>
      <c r="AN89" s="404"/>
      <c r="AO89" s="249"/>
      <c r="AP89" s="249"/>
      <c r="AQ89" s="251" t="e">
        <f>AP89/AO89</f>
        <v>#DIV/0!</v>
      </c>
      <c r="AR89" s="249" t="e">
        <f>RANK(AQ89,$AQ$87:$AQ$101)</f>
        <v>#DIV/0!</v>
      </c>
      <c r="AS89" s="404"/>
      <c r="AT89" s="249"/>
      <c r="AU89" s="249"/>
      <c r="AV89" s="251" t="e">
        <f>AU89/AT89</f>
        <v>#DIV/0!</v>
      </c>
      <c r="AW89" s="249" t="e">
        <f>RANK(AV89,$AV$87:$AV$101)</f>
        <v>#DIV/0!</v>
      </c>
      <c r="AX89" s="404"/>
    </row>
    <row r="90" spans="2:50">
      <c r="B90" s="405"/>
      <c r="C90" s="249">
        <v>4</v>
      </c>
      <c r="D90" s="249"/>
      <c r="E90" s="250"/>
      <c r="F90" s="250"/>
      <c r="G90" s="251"/>
      <c r="H90" s="407"/>
      <c r="I90" s="250"/>
      <c r="J90" s="250"/>
      <c r="K90" s="251"/>
      <c r="L90" s="407"/>
      <c r="M90" s="250"/>
      <c r="N90" s="409"/>
      <c r="O90" s="409"/>
      <c r="P90" s="250"/>
      <c r="Q90" s="250"/>
      <c r="R90" s="251"/>
      <c r="S90" s="249"/>
      <c r="T90" s="404"/>
      <c r="U90" s="250"/>
      <c r="V90" s="250"/>
      <c r="W90" s="251"/>
      <c r="X90" s="249"/>
      <c r="Y90" s="404"/>
      <c r="Z90" s="250"/>
      <c r="AA90" s="250"/>
      <c r="AB90" s="251"/>
      <c r="AC90" s="249"/>
      <c r="AD90" s="404"/>
      <c r="AE90" s="250"/>
      <c r="AF90" s="250"/>
      <c r="AG90" s="251"/>
      <c r="AH90" s="249"/>
      <c r="AI90" s="404"/>
      <c r="AJ90" s="250"/>
      <c r="AK90" s="250"/>
      <c r="AL90" s="251"/>
      <c r="AM90" s="249"/>
      <c r="AN90" s="404"/>
      <c r="AO90" s="249"/>
      <c r="AP90" s="249"/>
      <c r="AQ90" s="249"/>
      <c r="AR90" s="249"/>
      <c r="AS90" s="404"/>
      <c r="AT90" s="249"/>
      <c r="AU90" s="249"/>
      <c r="AV90" s="249"/>
      <c r="AW90" s="249"/>
      <c r="AX90" s="404"/>
    </row>
    <row r="91" spans="2:50">
      <c r="B91" s="405"/>
      <c r="C91" s="249">
        <v>5</v>
      </c>
      <c r="D91" s="249"/>
      <c r="E91" s="250"/>
      <c r="F91" s="250"/>
      <c r="G91" s="251"/>
      <c r="H91" s="407"/>
      <c r="I91" s="250"/>
      <c r="J91" s="250"/>
      <c r="K91" s="251"/>
      <c r="L91" s="407"/>
      <c r="M91" s="250"/>
      <c r="N91" s="409"/>
      <c r="O91" s="409"/>
      <c r="P91" s="250"/>
      <c r="Q91" s="250"/>
      <c r="R91" s="249"/>
      <c r="S91" s="249"/>
      <c r="T91" s="404"/>
      <c r="U91" s="250"/>
      <c r="V91" s="250"/>
      <c r="W91" s="249"/>
      <c r="X91" s="249"/>
      <c r="Y91" s="404"/>
      <c r="Z91" s="250"/>
      <c r="AA91" s="250"/>
      <c r="AB91" s="249"/>
      <c r="AC91" s="249"/>
      <c r="AD91" s="404"/>
      <c r="AE91" s="250"/>
      <c r="AF91" s="250"/>
      <c r="AG91" s="249"/>
      <c r="AH91" s="249"/>
      <c r="AI91" s="404"/>
      <c r="AJ91" s="250"/>
      <c r="AK91" s="250"/>
      <c r="AL91" s="249"/>
      <c r="AM91" s="249"/>
      <c r="AN91" s="404"/>
      <c r="AO91" s="249"/>
      <c r="AP91" s="249"/>
      <c r="AQ91" s="249"/>
      <c r="AR91" s="249"/>
      <c r="AS91" s="404"/>
      <c r="AT91" s="249"/>
      <c r="AU91" s="249"/>
      <c r="AV91" s="249"/>
      <c r="AW91" s="249"/>
      <c r="AX91" s="404"/>
    </row>
    <row r="92" spans="2:50">
      <c r="B92" s="405"/>
      <c r="C92" s="249">
        <v>6</v>
      </c>
      <c r="D92" s="249"/>
      <c r="E92" s="250"/>
      <c r="F92" s="250"/>
      <c r="G92" s="251"/>
      <c r="H92" s="407"/>
      <c r="I92" s="250"/>
      <c r="J92" s="250"/>
      <c r="K92" s="251"/>
      <c r="L92" s="407"/>
      <c r="M92" s="250"/>
      <c r="N92" s="409"/>
      <c r="O92" s="409"/>
      <c r="P92" s="249"/>
      <c r="Q92" s="249"/>
      <c r="R92" s="249"/>
      <c r="S92" s="249"/>
      <c r="T92" s="404"/>
      <c r="U92" s="249"/>
      <c r="V92" s="249"/>
      <c r="W92" s="249"/>
      <c r="X92" s="249"/>
      <c r="Y92" s="404"/>
      <c r="Z92" s="249"/>
      <c r="AA92" s="249"/>
      <c r="AB92" s="249"/>
      <c r="AC92" s="249"/>
      <c r="AD92" s="404"/>
      <c r="AE92" s="249"/>
      <c r="AF92" s="249"/>
      <c r="AG92" s="249"/>
      <c r="AH92" s="249"/>
      <c r="AI92" s="404"/>
      <c r="AJ92" s="249"/>
      <c r="AK92" s="249"/>
      <c r="AL92" s="249"/>
      <c r="AM92" s="249"/>
      <c r="AN92" s="404"/>
      <c r="AO92" s="249"/>
      <c r="AP92" s="249"/>
      <c r="AQ92" s="249"/>
      <c r="AR92" s="249"/>
      <c r="AS92" s="404"/>
      <c r="AT92" s="249"/>
      <c r="AU92" s="249"/>
      <c r="AV92" s="249"/>
      <c r="AW92" s="249"/>
      <c r="AX92" s="404"/>
    </row>
    <row r="93" spans="2:50">
      <c r="B93" s="405"/>
      <c r="C93" s="249">
        <v>7</v>
      </c>
      <c r="D93" s="249"/>
      <c r="E93" s="250"/>
      <c r="F93" s="250"/>
      <c r="G93" s="251"/>
      <c r="H93" s="407"/>
      <c r="I93" s="250"/>
      <c r="J93" s="250"/>
      <c r="K93" s="251"/>
      <c r="L93" s="407"/>
      <c r="M93" s="250"/>
      <c r="N93" s="409"/>
      <c r="O93" s="409"/>
      <c r="P93" s="249"/>
      <c r="Q93" s="249"/>
      <c r="R93" s="249"/>
      <c r="S93" s="249"/>
      <c r="T93" s="404"/>
      <c r="U93" s="249"/>
      <c r="V93" s="249"/>
      <c r="W93" s="249"/>
      <c r="X93" s="249"/>
      <c r="Y93" s="404"/>
      <c r="Z93" s="249"/>
      <c r="AA93" s="249"/>
      <c r="AB93" s="249"/>
      <c r="AC93" s="249"/>
      <c r="AD93" s="404"/>
      <c r="AE93" s="249"/>
      <c r="AF93" s="249"/>
      <c r="AG93" s="249"/>
      <c r="AH93" s="249"/>
      <c r="AI93" s="404"/>
      <c r="AJ93" s="249"/>
      <c r="AK93" s="249"/>
      <c r="AL93" s="249"/>
      <c r="AM93" s="249"/>
      <c r="AN93" s="404"/>
      <c r="AO93" s="249"/>
      <c r="AP93" s="249"/>
      <c r="AQ93" s="249"/>
      <c r="AR93" s="249"/>
      <c r="AS93" s="404"/>
      <c r="AT93" s="249"/>
      <c r="AU93" s="249"/>
      <c r="AV93" s="249"/>
      <c r="AW93" s="249"/>
      <c r="AX93" s="404"/>
    </row>
    <row r="94" spans="2:50">
      <c r="B94" s="405"/>
      <c r="C94" s="249">
        <v>8</v>
      </c>
      <c r="D94" s="249"/>
      <c r="E94" s="249"/>
      <c r="F94" s="249"/>
      <c r="G94" s="249"/>
      <c r="H94" s="407"/>
      <c r="I94" s="250"/>
      <c r="J94" s="250"/>
      <c r="K94" s="251"/>
      <c r="L94" s="407"/>
      <c r="M94" s="250"/>
      <c r="N94" s="409"/>
      <c r="O94" s="409"/>
      <c r="P94" s="249"/>
      <c r="Q94" s="249"/>
      <c r="R94" s="249"/>
      <c r="S94" s="249"/>
      <c r="T94" s="404"/>
      <c r="U94" s="249"/>
      <c r="V94" s="249"/>
      <c r="W94" s="249"/>
      <c r="X94" s="249"/>
      <c r="Y94" s="404"/>
      <c r="Z94" s="249"/>
      <c r="AA94" s="249"/>
      <c r="AB94" s="249"/>
      <c r="AC94" s="249"/>
      <c r="AD94" s="404"/>
      <c r="AE94" s="249"/>
      <c r="AF94" s="249"/>
      <c r="AG94" s="249"/>
      <c r="AH94" s="249"/>
      <c r="AI94" s="404"/>
      <c r="AJ94" s="249"/>
      <c r="AK94" s="249"/>
      <c r="AL94" s="249"/>
      <c r="AM94" s="249"/>
      <c r="AN94" s="404"/>
      <c r="AO94" s="249"/>
      <c r="AP94" s="249"/>
      <c r="AQ94" s="249"/>
      <c r="AR94" s="249"/>
      <c r="AS94" s="404"/>
      <c r="AT94" s="249"/>
      <c r="AU94" s="249"/>
      <c r="AV94" s="249"/>
      <c r="AW94" s="249"/>
      <c r="AX94" s="404"/>
    </row>
    <row r="95" spans="2:50">
      <c r="B95" s="405"/>
      <c r="C95" s="249">
        <v>9</v>
      </c>
      <c r="D95" s="249"/>
      <c r="E95" s="249"/>
      <c r="F95" s="249"/>
      <c r="G95" s="249"/>
      <c r="H95" s="407"/>
      <c r="I95" s="250"/>
      <c r="J95" s="250"/>
      <c r="K95" s="251"/>
      <c r="L95" s="407"/>
      <c r="M95" s="250"/>
      <c r="N95" s="409"/>
      <c r="O95" s="409"/>
      <c r="P95" s="249"/>
      <c r="Q95" s="249"/>
      <c r="R95" s="249"/>
      <c r="S95" s="249"/>
      <c r="T95" s="404"/>
      <c r="U95" s="249"/>
      <c r="V95" s="249"/>
      <c r="W95" s="249"/>
      <c r="X95" s="249"/>
      <c r="Y95" s="404"/>
      <c r="Z95" s="249"/>
      <c r="AA95" s="249"/>
      <c r="AB95" s="249"/>
      <c r="AC95" s="249"/>
      <c r="AD95" s="404"/>
      <c r="AE95" s="249"/>
      <c r="AF95" s="249"/>
      <c r="AG95" s="249"/>
      <c r="AH95" s="249"/>
      <c r="AI95" s="404"/>
      <c r="AJ95" s="249"/>
      <c r="AK95" s="249"/>
      <c r="AL95" s="249"/>
      <c r="AM95" s="249"/>
      <c r="AN95" s="404"/>
      <c r="AO95" s="249"/>
      <c r="AP95" s="249"/>
      <c r="AQ95" s="249"/>
      <c r="AR95" s="249"/>
      <c r="AS95" s="404"/>
      <c r="AT95" s="249"/>
      <c r="AU95" s="249"/>
      <c r="AV95" s="249"/>
      <c r="AW95" s="249"/>
      <c r="AX95" s="404"/>
    </row>
    <row r="96" spans="2:50">
      <c r="B96" s="405"/>
      <c r="C96" s="249">
        <v>10</v>
      </c>
      <c r="D96" s="249"/>
      <c r="E96" s="249"/>
      <c r="F96" s="249"/>
      <c r="G96" s="249"/>
      <c r="H96" s="407"/>
      <c r="I96" s="250"/>
      <c r="J96" s="250"/>
      <c r="K96" s="251"/>
      <c r="L96" s="407"/>
      <c r="M96" s="250"/>
      <c r="N96" s="409"/>
      <c r="O96" s="409"/>
      <c r="P96" s="249"/>
      <c r="Q96" s="249"/>
      <c r="R96" s="249"/>
      <c r="S96" s="249"/>
      <c r="T96" s="404"/>
      <c r="U96" s="249"/>
      <c r="V96" s="249"/>
      <c r="W96" s="249"/>
      <c r="X96" s="249"/>
      <c r="Y96" s="404"/>
      <c r="Z96" s="249"/>
      <c r="AA96" s="249"/>
      <c r="AB96" s="249"/>
      <c r="AC96" s="249"/>
      <c r="AD96" s="404"/>
      <c r="AE96" s="249"/>
      <c r="AF96" s="249"/>
      <c r="AG96" s="249"/>
      <c r="AH96" s="249"/>
      <c r="AI96" s="404"/>
      <c r="AJ96" s="249"/>
      <c r="AK96" s="249"/>
      <c r="AL96" s="249"/>
      <c r="AM96" s="249"/>
      <c r="AN96" s="404"/>
      <c r="AO96" s="249"/>
      <c r="AP96" s="249"/>
      <c r="AQ96" s="249"/>
      <c r="AR96" s="249"/>
      <c r="AS96" s="404"/>
      <c r="AT96" s="249"/>
      <c r="AU96" s="249"/>
      <c r="AV96" s="249"/>
      <c r="AW96" s="249"/>
      <c r="AX96" s="404"/>
    </row>
    <row r="97" spans="2:50">
      <c r="B97" s="405"/>
      <c r="C97" s="249">
        <v>11</v>
      </c>
      <c r="D97" s="249"/>
      <c r="E97" s="249"/>
      <c r="F97" s="249"/>
      <c r="G97" s="249"/>
      <c r="H97" s="407"/>
      <c r="I97" s="250"/>
      <c r="J97" s="250"/>
      <c r="K97" s="251"/>
      <c r="L97" s="407"/>
      <c r="M97" s="250"/>
      <c r="N97" s="409"/>
      <c r="O97" s="409"/>
      <c r="P97" s="249"/>
      <c r="Q97" s="249"/>
      <c r="R97" s="249"/>
      <c r="S97" s="249"/>
      <c r="T97" s="404"/>
      <c r="U97" s="249"/>
      <c r="V97" s="249"/>
      <c r="W97" s="249"/>
      <c r="X97" s="249"/>
      <c r="Y97" s="404"/>
      <c r="Z97" s="249"/>
      <c r="AA97" s="249"/>
      <c r="AB97" s="249"/>
      <c r="AC97" s="249"/>
      <c r="AD97" s="404"/>
      <c r="AE97" s="249"/>
      <c r="AF97" s="249"/>
      <c r="AG97" s="249"/>
      <c r="AH97" s="249"/>
      <c r="AI97" s="404"/>
      <c r="AJ97" s="249"/>
      <c r="AK97" s="249"/>
      <c r="AL97" s="249"/>
      <c r="AM97" s="249"/>
      <c r="AN97" s="404"/>
      <c r="AO97" s="249"/>
      <c r="AP97" s="249"/>
      <c r="AQ97" s="249"/>
      <c r="AR97" s="249"/>
      <c r="AS97" s="404"/>
      <c r="AT97" s="249"/>
      <c r="AU97" s="249"/>
      <c r="AV97" s="249"/>
      <c r="AW97" s="249"/>
      <c r="AX97" s="404"/>
    </row>
    <row r="98" spans="2:50">
      <c r="B98" s="405"/>
      <c r="C98" s="249">
        <v>12</v>
      </c>
      <c r="D98" s="249"/>
      <c r="E98" s="249"/>
      <c r="F98" s="249"/>
      <c r="G98" s="249"/>
      <c r="H98" s="407"/>
      <c r="I98" s="250"/>
      <c r="J98" s="250"/>
      <c r="K98" s="251"/>
      <c r="L98" s="407"/>
      <c r="M98" s="250"/>
      <c r="N98" s="409"/>
      <c r="O98" s="409"/>
      <c r="P98" s="249"/>
      <c r="Q98" s="249"/>
      <c r="R98" s="249"/>
      <c r="S98" s="249"/>
      <c r="T98" s="404"/>
      <c r="U98" s="249"/>
      <c r="V98" s="249"/>
      <c r="W98" s="249"/>
      <c r="X98" s="249"/>
      <c r="Y98" s="404"/>
      <c r="Z98" s="249"/>
      <c r="AA98" s="249"/>
      <c r="AB98" s="249"/>
      <c r="AC98" s="249"/>
      <c r="AD98" s="404"/>
      <c r="AE98" s="249"/>
      <c r="AF98" s="249"/>
      <c r="AG98" s="249"/>
      <c r="AH98" s="249"/>
      <c r="AI98" s="404"/>
      <c r="AJ98" s="249"/>
      <c r="AK98" s="249"/>
      <c r="AL98" s="249"/>
      <c r="AM98" s="249"/>
      <c r="AN98" s="404"/>
      <c r="AO98" s="249"/>
      <c r="AP98" s="249"/>
      <c r="AQ98" s="249"/>
      <c r="AR98" s="249"/>
      <c r="AS98" s="404"/>
      <c r="AT98" s="249"/>
      <c r="AU98" s="249"/>
      <c r="AV98" s="249"/>
      <c r="AW98" s="249"/>
      <c r="AX98" s="404"/>
    </row>
    <row r="99" spans="2:50">
      <c r="B99" s="405"/>
      <c r="C99" s="249">
        <v>13</v>
      </c>
      <c r="D99" s="249"/>
      <c r="E99" s="249"/>
      <c r="F99" s="249"/>
      <c r="G99" s="249"/>
      <c r="H99" s="407"/>
      <c r="I99" s="250"/>
      <c r="J99" s="250"/>
      <c r="K99" s="251"/>
      <c r="L99" s="407"/>
      <c r="M99" s="250"/>
      <c r="N99" s="409"/>
      <c r="O99" s="409"/>
      <c r="P99" s="249"/>
      <c r="Q99" s="249"/>
      <c r="R99" s="249"/>
      <c r="S99" s="249"/>
      <c r="T99" s="404"/>
      <c r="U99" s="249"/>
      <c r="V99" s="249"/>
      <c r="W99" s="249"/>
      <c r="X99" s="249"/>
      <c r="Y99" s="404"/>
      <c r="Z99" s="249"/>
      <c r="AA99" s="249"/>
      <c r="AB99" s="249"/>
      <c r="AC99" s="249"/>
      <c r="AD99" s="404"/>
      <c r="AE99" s="249"/>
      <c r="AF99" s="249"/>
      <c r="AG99" s="249"/>
      <c r="AH99" s="249"/>
      <c r="AI99" s="404"/>
      <c r="AJ99" s="249"/>
      <c r="AK99" s="249"/>
      <c r="AL99" s="249"/>
      <c r="AM99" s="249"/>
      <c r="AN99" s="404"/>
      <c r="AO99" s="249"/>
      <c r="AP99" s="249"/>
      <c r="AQ99" s="249"/>
      <c r="AR99" s="249"/>
      <c r="AS99" s="404"/>
      <c r="AT99" s="249"/>
      <c r="AU99" s="249"/>
      <c r="AV99" s="249"/>
      <c r="AW99" s="249"/>
      <c r="AX99" s="404"/>
    </row>
    <row r="100" spans="2:50">
      <c r="B100" s="405"/>
      <c r="C100" s="249">
        <v>14</v>
      </c>
      <c r="D100" s="249"/>
      <c r="E100" s="249"/>
      <c r="F100" s="249"/>
      <c r="G100" s="249"/>
      <c r="H100" s="407"/>
      <c r="I100" s="250"/>
      <c r="J100" s="250"/>
      <c r="K100" s="251"/>
      <c r="L100" s="407"/>
      <c r="M100" s="250"/>
      <c r="N100" s="409"/>
      <c r="O100" s="409"/>
      <c r="P100" s="249"/>
      <c r="Q100" s="249"/>
      <c r="R100" s="249"/>
      <c r="S100" s="249"/>
      <c r="T100" s="404"/>
      <c r="U100" s="249"/>
      <c r="V100" s="249"/>
      <c r="W100" s="249"/>
      <c r="X100" s="249"/>
      <c r="Y100" s="404"/>
      <c r="Z100" s="249"/>
      <c r="AA100" s="249"/>
      <c r="AB100" s="249"/>
      <c r="AC100" s="249"/>
      <c r="AD100" s="404"/>
      <c r="AE100" s="249"/>
      <c r="AF100" s="249"/>
      <c r="AG100" s="249"/>
      <c r="AH100" s="249"/>
      <c r="AI100" s="404"/>
      <c r="AJ100" s="249"/>
      <c r="AK100" s="249"/>
      <c r="AL100" s="249"/>
      <c r="AM100" s="249"/>
      <c r="AN100" s="404"/>
      <c r="AO100" s="249"/>
      <c r="AP100" s="249"/>
      <c r="AQ100" s="249"/>
      <c r="AR100" s="249"/>
      <c r="AS100" s="404"/>
      <c r="AT100" s="249"/>
      <c r="AU100" s="249"/>
      <c r="AV100" s="249"/>
      <c r="AW100" s="249"/>
      <c r="AX100" s="404"/>
    </row>
    <row r="101" spans="2:50">
      <c r="B101" s="405"/>
      <c r="C101" s="249">
        <v>15</v>
      </c>
      <c r="D101" s="249"/>
      <c r="E101" s="249"/>
      <c r="F101" s="249"/>
      <c r="G101" s="249"/>
      <c r="H101" s="408"/>
      <c r="I101" s="250"/>
      <c r="J101" s="250"/>
      <c r="K101" s="251"/>
      <c r="L101" s="408"/>
      <c r="M101" s="250"/>
      <c r="N101" s="409"/>
      <c r="O101" s="409"/>
      <c r="P101" s="249"/>
      <c r="Q101" s="249"/>
      <c r="R101" s="249"/>
      <c r="S101" s="249"/>
      <c r="T101" s="404"/>
      <c r="U101" s="249"/>
      <c r="V101" s="249"/>
      <c r="W101" s="249"/>
      <c r="X101" s="249"/>
      <c r="Y101" s="404"/>
      <c r="Z101" s="249"/>
      <c r="AA101" s="249"/>
      <c r="AB101" s="249"/>
      <c r="AC101" s="249"/>
      <c r="AD101" s="404"/>
      <c r="AE101" s="249"/>
      <c r="AF101" s="249"/>
      <c r="AG101" s="249"/>
      <c r="AH101" s="249"/>
      <c r="AI101" s="404"/>
      <c r="AJ101" s="249"/>
      <c r="AK101" s="249"/>
      <c r="AL101" s="249"/>
      <c r="AM101" s="249"/>
      <c r="AN101" s="404"/>
      <c r="AO101" s="249"/>
      <c r="AP101" s="249"/>
      <c r="AQ101" s="249"/>
      <c r="AR101" s="249"/>
      <c r="AS101" s="404"/>
      <c r="AT101" s="249"/>
      <c r="AU101" s="249"/>
      <c r="AV101" s="249"/>
      <c r="AW101" s="249"/>
      <c r="AX101" s="404"/>
    </row>
    <row r="102" spans="2:50" ht="15.75">
      <c r="B102" s="426" t="s">
        <v>93</v>
      </c>
      <c r="C102" s="422"/>
      <c r="D102" s="422"/>
      <c r="E102" s="422"/>
      <c r="F102" s="422"/>
      <c r="G102" s="422"/>
      <c r="H102" s="422"/>
      <c r="I102" s="243"/>
      <c r="J102" s="243"/>
      <c r="K102" s="243"/>
      <c r="L102" s="243"/>
      <c r="M102" s="244"/>
      <c r="N102" s="418" t="s">
        <v>94</v>
      </c>
      <c r="O102" s="418" t="s">
        <v>45</v>
      </c>
      <c r="P102" s="413">
        <v>45930</v>
      </c>
      <c r="Q102" s="405"/>
      <c r="R102" s="405"/>
      <c r="S102" s="405"/>
      <c r="T102" s="405"/>
      <c r="U102" s="413"/>
      <c r="V102" s="405"/>
      <c r="W102" s="405"/>
      <c r="X102" s="405"/>
      <c r="Y102" s="405"/>
      <c r="Z102" s="413"/>
      <c r="AA102" s="405"/>
      <c r="AB102" s="405"/>
      <c r="AC102" s="405"/>
      <c r="AD102" s="405"/>
      <c r="AE102" s="413"/>
      <c r="AF102" s="405"/>
      <c r="AG102" s="405"/>
      <c r="AH102" s="405"/>
      <c r="AI102" s="405"/>
      <c r="AJ102" s="413"/>
      <c r="AK102" s="405"/>
      <c r="AL102" s="405"/>
      <c r="AM102" s="405"/>
      <c r="AN102" s="405"/>
      <c r="AO102" s="413"/>
      <c r="AP102" s="405"/>
      <c r="AQ102" s="405"/>
      <c r="AR102" s="405"/>
      <c r="AS102" s="405"/>
      <c r="AT102" s="413"/>
      <c r="AU102" s="405"/>
      <c r="AV102" s="405"/>
      <c r="AW102" s="405"/>
      <c r="AX102" s="405"/>
    </row>
    <row r="103" spans="2:50" ht="15.75">
      <c r="B103" s="423"/>
      <c r="C103" s="423"/>
      <c r="D103" s="423"/>
      <c r="E103" s="423"/>
      <c r="F103" s="423"/>
      <c r="G103" s="423"/>
      <c r="H103" s="423"/>
      <c r="I103" s="245"/>
      <c r="J103" s="245"/>
      <c r="K103" s="245"/>
      <c r="L103" s="245"/>
      <c r="M103" s="246"/>
      <c r="N103" s="420"/>
      <c r="O103" s="420"/>
      <c r="P103" s="413" t="s">
        <v>77</v>
      </c>
      <c r="Q103" s="405"/>
      <c r="R103" s="405"/>
      <c r="S103" s="405"/>
      <c r="T103" s="405"/>
      <c r="U103" s="413" t="s">
        <v>72</v>
      </c>
      <c r="V103" s="405"/>
      <c r="W103" s="405"/>
      <c r="X103" s="405"/>
      <c r="Y103" s="405"/>
      <c r="Z103" s="413" t="s">
        <v>73</v>
      </c>
      <c r="AA103" s="405"/>
      <c r="AB103" s="405"/>
      <c r="AC103" s="405"/>
      <c r="AD103" s="405"/>
      <c r="AE103" s="413" t="s">
        <v>74</v>
      </c>
      <c r="AF103" s="405"/>
      <c r="AG103" s="405"/>
      <c r="AH103" s="405"/>
      <c r="AI103" s="405"/>
      <c r="AJ103" s="413" t="s">
        <v>75</v>
      </c>
      <c r="AK103" s="405"/>
      <c r="AL103" s="405"/>
      <c r="AM103" s="405"/>
      <c r="AN103" s="405"/>
      <c r="AO103" s="413" t="s">
        <v>52</v>
      </c>
      <c r="AP103" s="405"/>
      <c r="AQ103" s="405"/>
      <c r="AR103" s="405"/>
      <c r="AS103" s="405"/>
      <c r="AT103" s="413" t="s">
        <v>76</v>
      </c>
      <c r="AU103" s="405"/>
      <c r="AV103" s="405"/>
      <c r="AW103" s="405"/>
      <c r="AX103" s="405"/>
    </row>
    <row r="104" spans="2:50">
      <c r="B104" s="409" t="s">
        <v>95</v>
      </c>
      <c r="C104" s="409" t="s">
        <v>96</v>
      </c>
      <c r="D104" s="409"/>
      <c r="E104" s="409" t="s">
        <v>97</v>
      </c>
      <c r="F104" s="409"/>
      <c r="G104" s="409"/>
      <c r="H104" s="415" t="s">
        <v>98</v>
      </c>
      <c r="I104" s="409" t="s">
        <v>99</v>
      </c>
      <c r="J104" s="409"/>
      <c r="K104" s="409"/>
      <c r="L104" s="415" t="s">
        <v>98</v>
      </c>
      <c r="M104" s="418" t="s">
        <v>100</v>
      </c>
      <c r="N104" s="409"/>
      <c r="O104" s="409" t="s">
        <v>101</v>
      </c>
      <c r="P104" s="410" t="s">
        <v>102</v>
      </c>
      <c r="Q104" s="411"/>
      <c r="R104" s="411"/>
      <c r="S104" s="412"/>
      <c r="T104" s="409" t="s">
        <v>98</v>
      </c>
      <c r="U104" s="410" t="s">
        <v>102</v>
      </c>
      <c r="V104" s="411"/>
      <c r="W104" s="411"/>
      <c r="X104" s="412"/>
      <c r="Y104" s="409" t="s">
        <v>98</v>
      </c>
      <c r="Z104" s="410" t="s">
        <v>102</v>
      </c>
      <c r="AA104" s="411"/>
      <c r="AB104" s="411"/>
      <c r="AC104" s="412"/>
      <c r="AD104" s="409" t="s">
        <v>98</v>
      </c>
      <c r="AE104" s="410" t="s">
        <v>102</v>
      </c>
      <c r="AF104" s="411"/>
      <c r="AG104" s="411"/>
      <c r="AH104" s="412"/>
      <c r="AI104" s="409" t="s">
        <v>98</v>
      </c>
      <c r="AJ104" s="410" t="s">
        <v>102</v>
      </c>
      <c r="AK104" s="411"/>
      <c r="AL104" s="411"/>
      <c r="AM104" s="412"/>
      <c r="AN104" s="409" t="s">
        <v>98</v>
      </c>
      <c r="AO104" s="410" t="s">
        <v>102</v>
      </c>
      <c r="AP104" s="411"/>
      <c r="AQ104" s="411"/>
      <c r="AR104" s="412"/>
      <c r="AS104" s="409" t="s">
        <v>98</v>
      </c>
      <c r="AT104" s="410" t="s">
        <v>102</v>
      </c>
      <c r="AU104" s="411"/>
      <c r="AV104" s="411"/>
      <c r="AW104" s="412"/>
      <c r="AX104" s="409" t="s">
        <v>98</v>
      </c>
    </row>
    <row r="105" spans="2:50">
      <c r="B105" s="409"/>
      <c r="C105" s="409"/>
      <c r="D105" s="409"/>
      <c r="E105" s="409" t="s">
        <v>103</v>
      </c>
      <c r="F105" s="409"/>
      <c r="G105" s="409"/>
      <c r="H105" s="416"/>
      <c r="I105" s="409" t="s">
        <v>103</v>
      </c>
      <c r="J105" s="409"/>
      <c r="K105" s="409"/>
      <c r="L105" s="416"/>
      <c r="M105" s="419"/>
      <c r="N105" s="409"/>
      <c r="O105" s="409"/>
      <c r="P105" s="410" t="s">
        <v>104</v>
      </c>
      <c r="Q105" s="411"/>
      <c r="R105" s="411"/>
      <c r="S105" s="412"/>
      <c r="T105" s="409"/>
      <c r="U105" s="410" t="s">
        <v>104</v>
      </c>
      <c r="V105" s="411"/>
      <c r="W105" s="411"/>
      <c r="X105" s="412"/>
      <c r="Y105" s="409"/>
      <c r="Z105" s="410" t="s">
        <v>104</v>
      </c>
      <c r="AA105" s="411"/>
      <c r="AB105" s="411"/>
      <c r="AC105" s="412"/>
      <c r="AD105" s="409"/>
      <c r="AE105" s="410" t="s">
        <v>104</v>
      </c>
      <c r="AF105" s="411"/>
      <c r="AG105" s="411"/>
      <c r="AH105" s="412"/>
      <c r="AI105" s="409"/>
      <c r="AJ105" s="410" t="s">
        <v>104</v>
      </c>
      <c r="AK105" s="411"/>
      <c r="AL105" s="411"/>
      <c r="AM105" s="412"/>
      <c r="AN105" s="409"/>
      <c r="AO105" s="410" t="s">
        <v>104</v>
      </c>
      <c r="AP105" s="411"/>
      <c r="AQ105" s="411"/>
      <c r="AR105" s="412"/>
      <c r="AS105" s="409"/>
      <c r="AT105" s="410" t="s">
        <v>104</v>
      </c>
      <c r="AU105" s="411"/>
      <c r="AV105" s="411"/>
      <c r="AW105" s="412"/>
      <c r="AX105" s="409"/>
    </row>
    <row r="106" spans="2:50">
      <c r="B106" s="409"/>
      <c r="C106" s="409"/>
      <c r="D106" s="409"/>
      <c r="E106" s="248" t="s">
        <v>105</v>
      </c>
      <c r="F106" s="248" t="s">
        <v>106</v>
      </c>
      <c r="G106" s="248" t="s">
        <v>107</v>
      </c>
      <c r="H106" s="417"/>
      <c r="I106" s="248" t="s">
        <v>105</v>
      </c>
      <c r="J106" s="248" t="s">
        <v>106</v>
      </c>
      <c r="K106" s="248" t="s">
        <v>107</v>
      </c>
      <c r="L106" s="417"/>
      <c r="M106" s="420"/>
      <c r="N106" s="409"/>
      <c r="O106" s="409"/>
      <c r="P106" s="248" t="s">
        <v>105</v>
      </c>
      <c r="Q106" s="248" t="s">
        <v>106</v>
      </c>
      <c r="R106" s="248" t="s">
        <v>107</v>
      </c>
      <c r="S106" s="248" t="s">
        <v>100</v>
      </c>
      <c r="T106" s="409"/>
      <c r="U106" s="248" t="s">
        <v>105</v>
      </c>
      <c r="V106" s="248" t="s">
        <v>106</v>
      </c>
      <c r="W106" s="248" t="s">
        <v>107</v>
      </c>
      <c r="X106" s="248" t="s">
        <v>100</v>
      </c>
      <c r="Y106" s="409"/>
      <c r="Z106" s="248" t="s">
        <v>105</v>
      </c>
      <c r="AA106" s="248" t="s">
        <v>106</v>
      </c>
      <c r="AB106" s="248" t="s">
        <v>107</v>
      </c>
      <c r="AC106" s="248" t="s">
        <v>100</v>
      </c>
      <c r="AD106" s="409"/>
      <c r="AE106" s="248" t="s">
        <v>105</v>
      </c>
      <c r="AF106" s="248" t="s">
        <v>106</v>
      </c>
      <c r="AG106" s="248" t="s">
        <v>107</v>
      </c>
      <c r="AH106" s="248" t="s">
        <v>100</v>
      </c>
      <c r="AI106" s="409"/>
      <c r="AJ106" s="248" t="s">
        <v>105</v>
      </c>
      <c r="AK106" s="248" t="s">
        <v>106</v>
      </c>
      <c r="AL106" s="248" t="s">
        <v>107</v>
      </c>
      <c r="AM106" s="248" t="s">
        <v>100</v>
      </c>
      <c r="AN106" s="409"/>
      <c r="AO106" s="248" t="s">
        <v>105</v>
      </c>
      <c r="AP106" s="248" t="s">
        <v>106</v>
      </c>
      <c r="AQ106" s="248" t="s">
        <v>107</v>
      </c>
      <c r="AR106" s="248" t="s">
        <v>100</v>
      </c>
      <c r="AS106" s="409"/>
      <c r="AT106" s="248" t="s">
        <v>105</v>
      </c>
      <c r="AU106" s="248" t="s">
        <v>106</v>
      </c>
      <c r="AV106" s="248" t="s">
        <v>107</v>
      </c>
      <c r="AW106" s="248" t="s">
        <v>100</v>
      </c>
      <c r="AX106" s="409"/>
    </row>
    <row r="107" spans="2:50">
      <c r="B107" s="409" t="s">
        <v>84</v>
      </c>
      <c r="C107" s="249">
        <v>1</v>
      </c>
      <c r="D107" s="249" t="s">
        <v>130</v>
      </c>
      <c r="E107" s="250" t="e">
        <f>VLOOKUP(D107,#REF!,2,0)</f>
        <v>#REF!</v>
      </c>
      <c r="F107" s="250" t="e">
        <f>VLOOKUP(D107,#REF!,3,0)</f>
        <v>#REF!</v>
      </c>
      <c r="G107" s="251" t="e">
        <f>F107/E107</f>
        <v>#REF!</v>
      </c>
      <c r="H107" s="406" t="e">
        <f>AVERAGE(G107:G121)</f>
        <v>#REF!</v>
      </c>
      <c r="I107" s="250" t="e">
        <f t="shared" ref="I107:J109" si="8">AVERAGE(P107,U107,Z107,AE107,AJ107,AO107,AT107)</f>
        <v>#DIV/0!</v>
      </c>
      <c r="J107" s="250" t="e">
        <f t="shared" si="8"/>
        <v>#DIV/0!</v>
      </c>
      <c r="K107" s="251" t="e">
        <f>AVERAGE(AG107,AL107,AQ107,AV107)</f>
        <v>#DIV/0!</v>
      </c>
      <c r="L107" s="406" t="str">
        <f>IFERROR(AVERAGE(K107:K121),"-")</f>
        <v>-</v>
      </c>
      <c r="M107" s="252" t="e">
        <f>RANK(K107, K$7:$K$21)</f>
        <v>#DIV/0!</v>
      </c>
      <c r="N107" s="409"/>
      <c r="O107" s="409"/>
      <c r="P107" s="250"/>
      <c r="Q107" s="250"/>
      <c r="R107" s="251" t="e">
        <f>Q107/P107</f>
        <v>#DIV/0!</v>
      </c>
      <c r="S107" s="249" t="e">
        <f>RANK(R107, R$7:R$21)</f>
        <v>#DIV/0!</v>
      </c>
      <c r="T107" s="404" t="e">
        <f>AVERAGE(R107:R121)</f>
        <v>#DIV/0!</v>
      </c>
      <c r="U107" s="250"/>
      <c r="V107" s="250"/>
      <c r="W107" s="251" t="e">
        <f>V107/U107</f>
        <v>#DIV/0!</v>
      </c>
      <c r="X107" s="249" t="e">
        <f>RANK(W107, W$7:W$21)</f>
        <v>#DIV/0!</v>
      </c>
      <c r="Y107" s="404" t="e">
        <f>AVERAGE(W107:W121)</f>
        <v>#DIV/0!</v>
      </c>
      <c r="Z107" s="249"/>
      <c r="AA107" s="250"/>
      <c r="AB107" s="251" t="e">
        <f>AA107/Z107</f>
        <v>#DIV/0!</v>
      </c>
      <c r="AC107" s="249" t="e">
        <f>RANK(AB107, AB$7:AB$21)</f>
        <v>#DIV/0!</v>
      </c>
      <c r="AD107" s="404" t="e">
        <f>AVERAGE(AB107:AB121)</f>
        <v>#DIV/0!</v>
      </c>
      <c r="AE107" s="250"/>
      <c r="AF107" s="250"/>
      <c r="AG107" s="251" t="e">
        <f>AF107/AE107</f>
        <v>#DIV/0!</v>
      </c>
      <c r="AH107" s="249" t="e">
        <f>RANK(AG107, AG$7:AG$21)</f>
        <v>#DIV/0!</v>
      </c>
      <c r="AI107" s="404" t="e">
        <f>AVERAGE(AG107:AG121)</f>
        <v>#DIV/0!</v>
      </c>
      <c r="AJ107" s="250"/>
      <c r="AK107" s="250"/>
      <c r="AL107" s="251" t="e">
        <f>AK107/AJ107</f>
        <v>#DIV/0!</v>
      </c>
      <c r="AM107" s="249" t="e">
        <f>RANK(AL107, AL$7:AL$21)</f>
        <v>#DIV/0!</v>
      </c>
      <c r="AN107" s="404" t="e">
        <f>AVERAGE(AL107:AL121)</f>
        <v>#DIV/0!</v>
      </c>
      <c r="AO107" s="250"/>
      <c r="AP107" s="250"/>
      <c r="AQ107" s="251" t="e">
        <f>AP107/AO107</f>
        <v>#DIV/0!</v>
      </c>
      <c r="AR107" s="249" t="e">
        <f>RANK(AQ107, AQ$7:AQ$21)</f>
        <v>#DIV/0!</v>
      </c>
      <c r="AS107" s="404" t="e">
        <f>AVERAGE(AQ107:AQ121)</f>
        <v>#DIV/0!</v>
      </c>
      <c r="AT107" s="250"/>
      <c r="AU107" s="250"/>
      <c r="AV107" s="251" t="e">
        <f>AU107/AT107</f>
        <v>#DIV/0!</v>
      </c>
      <c r="AW107" s="249" t="e">
        <f>RANK(AV107, AV$7:AV$21)</f>
        <v>#DIV/0!</v>
      </c>
      <c r="AX107" s="404" t="e">
        <f>AVERAGE(AV107:AV121)</f>
        <v>#DIV/0!</v>
      </c>
    </row>
    <row r="108" spans="2:50">
      <c r="B108" s="405"/>
      <c r="C108" s="249">
        <v>2</v>
      </c>
      <c r="D108" s="249" t="s">
        <v>131</v>
      </c>
      <c r="E108" s="250" t="e">
        <f>VLOOKUP(D108,#REF!,2,0)</f>
        <v>#REF!</v>
      </c>
      <c r="F108" s="250" t="e">
        <f>VLOOKUP(D108,#REF!,3,0)</f>
        <v>#REF!</v>
      </c>
      <c r="G108" s="251" t="e">
        <f>F108/E108</f>
        <v>#REF!</v>
      </c>
      <c r="H108" s="407"/>
      <c r="I108" s="250" t="e">
        <f t="shared" si="8"/>
        <v>#DIV/0!</v>
      </c>
      <c r="J108" s="250" t="e">
        <f t="shared" si="8"/>
        <v>#DIV/0!</v>
      </c>
      <c r="K108" s="251" t="e">
        <f>AVERAGE(AG108,AL108,AQ108,AV108)</f>
        <v>#DIV/0!</v>
      </c>
      <c r="L108" s="407"/>
      <c r="M108" s="252" t="e">
        <f>RANK(K108, K$7:$K$21)</f>
        <v>#DIV/0!</v>
      </c>
      <c r="N108" s="409"/>
      <c r="O108" s="409"/>
      <c r="P108" s="250"/>
      <c r="Q108" s="250"/>
      <c r="R108" s="251" t="e">
        <f t="shared" ref="R108:R113" si="9">Q108/P108</f>
        <v>#DIV/0!</v>
      </c>
      <c r="S108" s="249" t="e">
        <f t="shared" ref="S108:S113" si="10">RANK(R108, R$7:R$21)</f>
        <v>#DIV/0!</v>
      </c>
      <c r="T108" s="404"/>
      <c r="U108" s="250"/>
      <c r="V108" s="250"/>
      <c r="W108" s="251" t="e">
        <f t="shared" ref="W108:W113" si="11">V108/U108</f>
        <v>#DIV/0!</v>
      </c>
      <c r="X108" s="249" t="e">
        <f t="shared" ref="X108:X113" si="12">RANK(W108, W$7:W$21)</f>
        <v>#DIV/0!</v>
      </c>
      <c r="Y108" s="404"/>
      <c r="Z108" s="249"/>
      <c r="AA108" s="250"/>
      <c r="AB108" s="251" t="e">
        <f t="shared" ref="AB108:AB113" si="13">AA108/Z108</f>
        <v>#DIV/0!</v>
      </c>
      <c r="AC108" s="249" t="e">
        <f t="shared" ref="AC108:AC113" si="14">RANK(AB108, AB$7:AB$21)</f>
        <v>#DIV/0!</v>
      </c>
      <c r="AD108" s="404"/>
      <c r="AE108" s="250"/>
      <c r="AF108" s="250"/>
      <c r="AG108" s="251" t="e">
        <f>AF108/AE108</f>
        <v>#DIV/0!</v>
      </c>
      <c r="AH108" s="249" t="e">
        <f>RANK(AG108, AG$7:AG$21)</f>
        <v>#DIV/0!</v>
      </c>
      <c r="AI108" s="404"/>
      <c r="AJ108" s="250"/>
      <c r="AK108" s="250"/>
      <c r="AL108" s="251" t="e">
        <f>AK108/AJ108</f>
        <v>#DIV/0!</v>
      </c>
      <c r="AM108" s="249" t="e">
        <f>RANK(AL108, AL$7:AL$21)</f>
        <v>#DIV/0!</v>
      </c>
      <c r="AN108" s="404"/>
      <c r="AO108" s="250"/>
      <c r="AP108" s="250"/>
      <c r="AQ108" s="251" t="e">
        <f>AP108/AO108</f>
        <v>#DIV/0!</v>
      </c>
      <c r="AR108" s="249" t="e">
        <f>RANK(AQ108, AQ$7:AQ$21)</f>
        <v>#DIV/0!</v>
      </c>
      <c r="AS108" s="404"/>
      <c r="AT108" s="250"/>
      <c r="AU108" s="250"/>
      <c r="AV108" s="251" t="e">
        <f>AU108/AT108</f>
        <v>#DIV/0!</v>
      </c>
      <c r="AW108" s="249" t="e">
        <f>RANK(AV108, AV$7:AV$21)</f>
        <v>#DIV/0!</v>
      </c>
      <c r="AX108" s="404"/>
    </row>
    <row r="109" spans="2:50">
      <c r="B109" s="405"/>
      <c r="C109" s="249">
        <v>3</v>
      </c>
      <c r="D109" s="249" t="s">
        <v>132</v>
      </c>
      <c r="E109" s="250" t="e">
        <f>VLOOKUP(D109,#REF!,2,0)</f>
        <v>#REF!</v>
      </c>
      <c r="F109" s="250" t="e">
        <f>VLOOKUP(D109,#REF!,3,0)</f>
        <v>#REF!</v>
      </c>
      <c r="G109" s="251" t="e">
        <f>F109/E109</f>
        <v>#REF!</v>
      </c>
      <c r="H109" s="407"/>
      <c r="I109" s="250" t="e">
        <f t="shared" si="8"/>
        <v>#DIV/0!</v>
      </c>
      <c r="J109" s="250" t="e">
        <f t="shared" si="8"/>
        <v>#DIV/0!</v>
      </c>
      <c r="K109" s="251" t="e">
        <f>AVERAGE(AG109,AL109,AQ109,AV109)</f>
        <v>#DIV/0!</v>
      </c>
      <c r="L109" s="407"/>
      <c r="M109" s="252" t="e">
        <f>RANK(K109, K$7:$K$21)</f>
        <v>#DIV/0!</v>
      </c>
      <c r="N109" s="409"/>
      <c r="O109" s="409"/>
      <c r="P109" s="250"/>
      <c r="Q109" s="250"/>
      <c r="R109" s="251" t="e">
        <f t="shared" si="9"/>
        <v>#DIV/0!</v>
      </c>
      <c r="S109" s="249" t="e">
        <f t="shared" si="10"/>
        <v>#DIV/0!</v>
      </c>
      <c r="T109" s="404"/>
      <c r="U109" s="250"/>
      <c r="V109" s="250"/>
      <c r="W109" s="251" t="e">
        <f t="shared" si="11"/>
        <v>#DIV/0!</v>
      </c>
      <c r="X109" s="249" t="e">
        <f t="shared" si="12"/>
        <v>#DIV/0!</v>
      </c>
      <c r="Y109" s="404"/>
      <c r="Z109" s="249"/>
      <c r="AA109" s="250"/>
      <c r="AB109" s="251" t="e">
        <f t="shared" si="13"/>
        <v>#DIV/0!</v>
      </c>
      <c r="AC109" s="249" t="e">
        <f t="shared" si="14"/>
        <v>#DIV/0!</v>
      </c>
      <c r="AD109" s="404"/>
      <c r="AE109" s="250"/>
      <c r="AF109" s="250"/>
      <c r="AG109" s="251" t="e">
        <f>AF109/AE109</f>
        <v>#DIV/0!</v>
      </c>
      <c r="AH109" s="249" t="e">
        <f>RANK(AG109, AG$7:AG$21)</f>
        <v>#DIV/0!</v>
      </c>
      <c r="AI109" s="404"/>
      <c r="AJ109" s="250"/>
      <c r="AK109" s="250"/>
      <c r="AL109" s="251" t="e">
        <f>AK109/AJ109</f>
        <v>#DIV/0!</v>
      </c>
      <c r="AM109" s="249" t="e">
        <f>RANK(AL109, AL$7:AL$21)</f>
        <v>#DIV/0!</v>
      </c>
      <c r="AN109" s="404"/>
      <c r="AO109" s="250"/>
      <c r="AP109" s="250"/>
      <c r="AQ109" s="251" t="e">
        <f>AP109/AO109</f>
        <v>#DIV/0!</v>
      </c>
      <c r="AR109" s="249" t="e">
        <f>RANK(AQ109, AQ$7:AQ$21)</f>
        <v>#DIV/0!</v>
      </c>
      <c r="AS109" s="404"/>
      <c r="AT109" s="250"/>
      <c r="AU109" s="250"/>
      <c r="AV109" s="251" t="e">
        <f>AU109/AT109</f>
        <v>#DIV/0!</v>
      </c>
      <c r="AW109" s="249" t="e">
        <f>RANK(AV109, AV$7:AV$21)</f>
        <v>#DIV/0!</v>
      </c>
      <c r="AX109" s="404"/>
    </row>
    <row r="110" spans="2:50">
      <c r="B110" s="405"/>
      <c r="C110" s="249">
        <v>4</v>
      </c>
      <c r="D110" s="249"/>
      <c r="E110" s="250"/>
      <c r="F110" s="250"/>
      <c r="G110" s="251"/>
      <c r="H110" s="407"/>
      <c r="I110" s="250"/>
      <c r="J110" s="250"/>
      <c r="K110" s="251"/>
      <c r="L110" s="407"/>
      <c r="M110" s="252" t="e">
        <f>RANK(K110, K$7:$K$21)</f>
        <v>#N/A</v>
      </c>
      <c r="N110" s="409"/>
      <c r="O110" s="409"/>
      <c r="P110" s="250"/>
      <c r="Q110" s="250"/>
      <c r="R110" s="251" t="e">
        <f t="shared" si="9"/>
        <v>#DIV/0!</v>
      </c>
      <c r="S110" s="249" t="e">
        <f t="shared" si="10"/>
        <v>#DIV/0!</v>
      </c>
      <c r="T110" s="404"/>
      <c r="U110" s="250"/>
      <c r="V110" s="250"/>
      <c r="W110" s="251" t="e">
        <f t="shared" si="11"/>
        <v>#DIV/0!</v>
      </c>
      <c r="X110" s="249" t="e">
        <f t="shared" si="12"/>
        <v>#DIV/0!</v>
      </c>
      <c r="Y110" s="404"/>
      <c r="Z110" s="249"/>
      <c r="AA110" s="250"/>
      <c r="AB110" s="251" t="e">
        <f t="shared" si="13"/>
        <v>#DIV/0!</v>
      </c>
      <c r="AC110" s="249" t="e">
        <f t="shared" si="14"/>
        <v>#DIV/0!</v>
      </c>
      <c r="AD110" s="404"/>
      <c r="AE110" s="250"/>
      <c r="AF110" s="250"/>
      <c r="AG110" s="251"/>
      <c r="AH110" s="249"/>
      <c r="AI110" s="404"/>
      <c r="AJ110" s="250"/>
      <c r="AK110" s="250"/>
      <c r="AL110" s="251"/>
      <c r="AM110" s="249"/>
      <c r="AN110" s="404"/>
      <c r="AO110" s="250"/>
      <c r="AP110" s="250"/>
      <c r="AQ110" s="251"/>
      <c r="AR110" s="249"/>
      <c r="AS110" s="404"/>
      <c r="AT110" s="250"/>
      <c r="AU110" s="250"/>
      <c r="AV110" s="251"/>
      <c r="AW110" s="249"/>
      <c r="AX110" s="404"/>
    </row>
    <row r="111" spans="2:50">
      <c r="B111" s="405"/>
      <c r="C111" s="249">
        <v>5</v>
      </c>
      <c r="D111" s="249"/>
      <c r="E111" s="250"/>
      <c r="F111" s="250"/>
      <c r="G111" s="251"/>
      <c r="H111" s="407"/>
      <c r="I111" s="250"/>
      <c r="J111" s="250"/>
      <c r="K111" s="251"/>
      <c r="L111" s="407"/>
      <c r="M111" s="252" t="e">
        <f>RANK(K111, K$7:$K$21)</f>
        <v>#N/A</v>
      </c>
      <c r="N111" s="409"/>
      <c r="O111" s="409"/>
      <c r="P111" s="250"/>
      <c r="Q111" s="250"/>
      <c r="R111" s="251" t="e">
        <f t="shared" si="9"/>
        <v>#DIV/0!</v>
      </c>
      <c r="S111" s="249" t="e">
        <f t="shared" si="10"/>
        <v>#DIV/0!</v>
      </c>
      <c r="T111" s="404"/>
      <c r="U111" s="250"/>
      <c r="V111" s="250"/>
      <c r="W111" s="251" t="e">
        <f t="shared" si="11"/>
        <v>#DIV/0!</v>
      </c>
      <c r="X111" s="249" t="e">
        <f t="shared" si="12"/>
        <v>#DIV/0!</v>
      </c>
      <c r="Y111" s="404"/>
      <c r="Z111" s="249"/>
      <c r="AA111" s="250"/>
      <c r="AB111" s="251" t="e">
        <f t="shared" si="13"/>
        <v>#DIV/0!</v>
      </c>
      <c r="AC111" s="249" t="e">
        <f t="shared" si="14"/>
        <v>#DIV/0!</v>
      </c>
      <c r="AD111" s="404"/>
      <c r="AE111" s="250"/>
      <c r="AF111" s="250"/>
      <c r="AG111" s="251"/>
      <c r="AH111" s="249"/>
      <c r="AI111" s="404"/>
      <c r="AJ111" s="250"/>
      <c r="AK111" s="250"/>
      <c r="AL111" s="251"/>
      <c r="AM111" s="249"/>
      <c r="AN111" s="404"/>
      <c r="AO111" s="250"/>
      <c r="AP111" s="250"/>
      <c r="AQ111" s="251"/>
      <c r="AR111" s="249"/>
      <c r="AS111" s="404"/>
      <c r="AT111" s="250"/>
      <c r="AU111" s="250"/>
      <c r="AV111" s="251"/>
      <c r="AW111" s="249"/>
      <c r="AX111" s="404"/>
    </row>
    <row r="112" spans="2:50">
      <c r="B112" s="405"/>
      <c r="C112" s="249">
        <v>6</v>
      </c>
      <c r="D112" s="249"/>
      <c r="E112" s="250"/>
      <c r="F112" s="250"/>
      <c r="G112" s="251"/>
      <c r="H112" s="407"/>
      <c r="I112" s="250"/>
      <c r="J112" s="250"/>
      <c r="K112" s="251"/>
      <c r="L112" s="407"/>
      <c r="M112" s="252" t="e">
        <f>RANK(K112, K$7:$K$21)</f>
        <v>#N/A</v>
      </c>
      <c r="N112" s="409"/>
      <c r="O112" s="409"/>
      <c r="P112" s="250"/>
      <c r="Q112" s="250"/>
      <c r="R112" s="251" t="e">
        <f t="shared" si="9"/>
        <v>#DIV/0!</v>
      </c>
      <c r="S112" s="249" t="e">
        <f t="shared" si="10"/>
        <v>#DIV/0!</v>
      </c>
      <c r="T112" s="404"/>
      <c r="U112" s="250"/>
      <c r="V112" s="250"/>
      <c r="W112" s="251" t="e">
        <f t="shared" si="11"/>
        <v>#DIV/0!</v>
      </c>
      <c r="X112" s="249" t="e">
        <f t="shared" si="12"/>
        <v>#DIV/0!</v>
      </c>
      <c r="Y112" s="404"/>
      <c r="Z112" s="249"/>
      <c r="AA112" s="250"/>
      <c r="AB112" s="251" t="e">
        <f t="shared" si="13"/>
        <v>#DIV/0!</v>
      </c>
      <c r="AC112" s="249" t="e">
        <f t="shared" si="14"/>
        <v>#DIV/0!</v>
      </c>
      <c r="AD112" s="404"/>
      <c r="AE112" s="250"/>
      <c r="AF112" s="250"/>
      <c r="AG112" s="251"/>
      <c r="AH112" s="249"/>
      <c r="AI112" s="404"/>
      <c r="AJ112" s="250"/>
      <c r="AK112" s="250"/>
      <c r="AL112" s="251"/>
      <c r="AM112" s="249"/>
      <c r="AN112" s="404"/>
      <c r="AO112" s="250"/>
      <c r="AP112" s="250"/>
      <c r="AQ112" s="251"/>
      <c r="AR112" s="249"/>
      <c r="AS112" s="404"/>
      <c r="AT112" s="250"/>
      <c r="AU112" s="250"/>
      <c r="AV112" s="251"/>
      <c r="AW112" s="249"/>
      <c r="AX112" s="404"/>
    </row>
    <row r="113" spans="2:50">
      <c r="B113" s="405"/>
      <c r="C113" s="249">
        <v>7</v>
      </c>
      <c r="D113" s="249"/>
      <c r="E113" s="250"/>
      <c r="F113" s="250"/>
      <c r="G113" s="251"/>
      <c r="H113" s="407"/>
      <c r="I113" s="250"/>
      <c r="J113" s="250"/>
      <c r="K113" s="251"/>
      <c r="L113" s="407"/>
      <c r="M113" s="252" t="e">
        <f>RANK(K113, K$7:$K$21)</f>
        <v>#N/A</v>
      </c>
      <c r="N113" s="409"/>
      <c r="O113" s="409"/>
      <c r="P113" s="250"/>
      <c r="Q113" s="250"/>
      <c r="R113" s="251" t="e">
        <f t="shared" si="9"/>
        <v>#DIV/0!</v>
      </c>
      <c r="S113" s="249" t="e">
        <f t="shared" si="10"/>
        <v>#DIV/0!</v>
      </c>
      <c r="T113" s="404"/>
      <c r="U113" s="250"/>
      <c r="V113" s="250"/>
      <c r="W113" s="251" t="e">
        <f t="shared" si="11"/>
        <v>#DIV/0!</v>
      </c>
      <c r="X113" s="249" t="e">
        <f t="shared" si="12"/>
        <v>#DIV/0!</v>
      </c>
      <c r="Y113" s="404"/>
      <c r="Z113" s="249"/>
      <c r="AA113" s="250"/>
      <c r="AB113" s="251" t="e">
        <f t="shared" si="13"/>
        <v>#DIV/0!</v>
      </c>
      <c r="AC113" s="249" t="e">
        <f t="shared" si="14"/>
        <v>#DIV/0!</v>
      </c>
      <c r="AD113" s="404"/>
      <c r="AE113" s="250"/>
      <c r="AF113" s="250"/>
      <c r="AG113" s="251"/>
      <c r="AH113" s="249"/>
      <c r="AI113" s="404"/>
      <c r="AJ113" s="250"/>
      <c r="AK113" s="250"/>
      <c r="AL113" s="251"/>
      <c r="AM113" s="249"/>
      <c r="AN113" s="404"/>
      <c r="AO113" s="250"/>
      <c r="AP113" s="250"/>
      <c r="AQ113" s="251"/>
      <c r="AR113" s="249"/>
      <c r="AS113" s="404"/>
      <c r="AT113" s="250"/>
      <c r="AU113" s="250"/>
      <c r="AV113" s="251"/>
      <c r="AW113" s="249"/>
      <c r="AX113" s="404"/>
    </row>
    <row r="114" spans="2:50">
      <c r="B114" s="405"/>
      <c r="C114" s="249">
        <v>8</v>
      </c>
      <c r="D114" s="249"/>
      <c r="E114" s="250"/>
      <c r="F114" s="250"/>
      <c r="G114" s="251"/>
      <c r="H114" s="407"/>
      <c r="I114" s="250"/>
      <c r="J114" s="250"/>
      <c r="K114" s="251"/>
      <c r="L114" s="407"/>
      <c r="M114" s="252" t="e">
        <f>RANK(K114, K$7:$K$21)</f>
        <v>#N/A</v>
      </c>
      <c r="N114" s="409"/>
      <c r="O114" s="409"/>
      <c r="P114" s="250"/>
      <c r="Q114" s="250"/>
      <c r="R114" s="251"/>
      <c r="S114" s="249"/>
      <c r="T114" s="404"/>
      <c r="U114" s="250"/>
      <c r="V114" s="250"/>
      <c r="W114" s="251"/>
      <c r="X114" s="249"/>
      <c r="Y114" s="404"/>
      <c r="Z114" s="249"/>
      <c r="AA114" s="250"/>
      <c r="AB114" s="251"/>
      <c r="AC114" s="249"/>
      <c r="AD114" s="404"/>
      <c r="AE114" s="250"/>
      <c r="AF114" s="250"/>
      <c r="AG114" s="251"/>
      <c r="AH114" s="249"/>
      <c r="AI114" s="404"/>
      <c r="AJ114" s="250"/>
      <c r="AK114" s="250"/>
      <c r="AL114" s="251"/>
      <c r="AM114" s="249"/>
      <c r="AN114" s="404"/>
      <c r="AO114" s="250"/>
      <c r="AP114" s="250"/>
      <c r="AQ114" s="251"/>
      <c r="AR114" s="249"/>
      <c r="AS114" s="404"/>
      <c r="AT114" s="250"/>
      <c r="AU114" s="250"/>
      <c r="AV114" s="251"/>
      <c r="AW114" s="249"/>
      <c r="AX114" s="404"/>
    </row>
    <row r="115" spans="2:50">
      <c r="B115" s="405"/>
      <c r="C115" s="249">
        <v>9</v>
      </c>
      <c r="D115" s="249"/>
      <c r="E115" s="250"/>
      <c r="F115" s="250"/>
      <c r="G115" s="251"/>
      <c r="H115" s="407"/>
      <c r="I115" s="250"/>
      <c r="J115" s="250"/>
      <c r="K115" s="251"/>
      <c r="L115" s="407"/>
      <c r="M115" s="252" t="e">
        <f>RANK(K115, K$7:$K$21)</f>
        <v>#N/A</v>
      </c>
      <c r="N115" s="409"/>
      <c r="O115" s="409"/>
      <c r="P115" s="250"/>
      <c r="Q115" s="250"/>
      <c r="R115" s="251"/>
      <c r="S115" s="249"/>
      <c r="T115" s="404"/>
      <c r="U115" s="250"/>
      <c r="V115" s="250"/>
      <c r="W115" s="251"/>
      <c r="X115" s="249"/>
      <c r="Y115" s="404"/>
      <c r="Z115" s="249"/>
      <c r="AA115" s="250"/>
      <c r="AB115" s="251"/>
      <c r="AC115" s="249"/>
      <c r="AD115" s="404"/>
      <c r="AE115" s="250"/>
      <c r="AF115" s="250"/>
      <c r="AG115" s="251"/>
      <c r="AH115" s="249"/>
      <c r="AI115" s="404"/>
      <c r="AJ115" s="250"/>
      <c r="AK115" s="250"/>
      <c r="AL115" s="251"/>
      <c r="AM115" s="249"/>
      <c r="AN115" s="404"/>
      <c r="AO115" s="250"/>
      <c r="AP115" s="250"/>
      <c r="AQ115" s="251"/>
      <c r="AR115" s="249"/>
      <c r="AS115" s="404"/>
      <c r="AT115" s="250"/>
      <c r="AU115" s="250"/>
      <c r="AV115" s="251"/>
      <c r="AW115" s="249"/>
      <c r="AX115" s="404"/>
    </row>
    <row r="116" spans="2:50">
      <c r="B116" s="405"/>
      <c r="C116" s="249">
        <v>10</v>
      </c>
      <c r="D116" s="249"/>
      <c r="E116" s="250"/>
      <c r="F116" s="250"/>
      <c r="G116" s="251"/>
      <c r="H116" s="407"/>
      <c r="I116" s="250"/>
      <c r="J116" s="250"/>
      <c r="K116" s="251"/>
      <c r="L116" s="407"/>
      <c r="M116" s="252" t="e">
        <f>RANK(K116, K$7:$K$21)</f>
        <v>#N/A</v>
      </c>
      <c r="N116" s="409"/>
      <c r="O116" s="409"/>
      <c r="P116" s="250"/>
      <c r="Q116" s="250"/>
      <c r="R116" s="251"/>
      <c r="S116" s="249"/>
      <c r="T116" s="404"/>
      <c r="U116" s="250"/>
      <c r="V116" s="250"/>
      <c r="W116" s="251"/>
      <c r="X116" s="249"/>
      <c r="Y116" s="404"/>
      <c r="Z116" s="249"/>
      <c r="AA116" s="250"/>
      <c r="AB116" s="251"/>
      <c r="AC116" s="249"/>
      <c r="AD116" s="404"/>
      <c r="AE116" s="250"/>
      <c r="AF116" s="250"/>
      <c r="AG116" s="251"/>
      <c r="AH116" s="249"/>
      <c r="AI116" s="404"/>
      <c r="AJ116" s="250"/>
      <c r="AK116" s="250"/>
      <c r="AL116" s="251"/>
      <c r="AM116" s="249"/>
      <c r="AN116" s="404"/>
      <c r="AO116" s="250"/>
      <c r="AP116" s="250"/>
      <c r="AQ116" s="251"/>
      <c r="AR116" s="249"/>
      <c r="AS116" s="404"/>
      <c r="AT116" s="250"/>
      <c r="AU116" s="250"/>
      <c r="AV116" s="251"/>
      <c r="AW116" s="249"/>
      <c r="AX116" s="404"/>
    </row>
    <row r="117" spans="2:50">
      <c r="B117" s="405"/>
      <c r="C117" s="249">
        <v>11</v>
      </c>
      <c r="D117" s="249"/>
      <c r="E117" s="250"/>
      <c r="F117" s="250"/>
      <c r="G117" s="251"/>
      <c r="H117" s="407"/>
      <c r="I117" s="250"/>
      <c r="J117" s="250"/>
      <c r="K117" s="251"/>
      <c r="L117" s="407"/>
      <c r="M117" s="252" t="e">
        <f>RANK(K117, K$7:$K$21)</f>
        <v>#N/A</v>
      </c>
      <c r="N117" s="409"/>
      <c r="O117" s="409"/>
      <c r="P117" s="249"/>
      <c r="Q117" s="249"/>
      <c r="R117" s="251"/>
      <c r="S117" s="249"/>
      <c r="T117" s="404"/>
      <c r="U117" s="249"/>
      <c r="V117" s="249"/>
      <c r="W117" s="251"/>
      <c r="X117" s="249"/>
      <c r="Y117" s="404"/>
      <c r="Z117" s="249"/>
      <c r="AA117" s="249"/>
      <c r="AB117" s="251"/>
      <c r="AC117" s="249"/>
      <c r="AD117" s="404"/>
      <c r="AE117" s="249"/>
      <c r="AF117" s="249"/>
      <c r="AG117" s="251"/>
      <c r="AH117" s="249"/>
      <c r="AI117" s="404"/>
      <c r="AJ117" s="249"/>
      <c r="AK117" s="249"/>
      <c r="AL117" s="249"/>
      <c r="AM117" s="249"/>
      <c r="AN117" s="404"/>
      <c r="AO117" s="249"/>
      <c r="AP117" s="249"/>
      <c r="AQ117" s="251"/>
      <c r="AR117" s="249"/>
      <c r="AS117" s="404"/>
      <c r="AT117" s="249"/>
      <c r="AU117" s="249"/>
      <c r="AV117" s="251"/>
      <c r="AW117" s="249"/>
      <c r="AX117" s="404"/>
    </row>
    <row r="118" spans="2:50">
      <c r="B118" s="405"/>
      <c r="C118" s="249">
        <v>12</v>
      </c>
      <c r="D118" s="249"/>
      <c r="E118" s="250"/>
      <c r="F118" s="250"/>
      <c r="G118" s="251"/>
      <c r="H118" s="407"/>
      <c r="I118" s="250"/>
      <c r="J118" s="250"/>
      <c r="K118" s="251"/>
      <c r="L118" s="407"/>
      <c r="M118" s="252" t="e">
        <f>RANK(K118, K$7:$K$21)</f>
        <v>#N/A</v>
      </c>
      <c r="N118" s="409"/>
      <c r="O118" s="409"/>
      <c r="P118" s="249"/>
      <c r="Q118" s="249"/>
      <c r="R118" s="251"/>
      <c r="S118" s="249"/>
      <c r="T118" s="404"/>
      <c r="U118" s="249"/>
      <c r="V118" s="249"/>
      <c r="W118" s="251"/>
      <c r="X118" s="249"/>
      <c r="Y118" s="404"/>
      <c r="Z118" s="249"/>
      <c r="AA118" s="249"/>
      <c r="AB118" s="251"/>
      <c r="AC118" s="249"/>
      <c r="AD118" s="404"/>
      <c r="AE118" s="249"/>
      <c r="AF118" s="249"/>
      <c r="AG118" s="251"/>
      <c r="AH118" s="249"/>
      <c r="AI118" s="404"/>
      <c r="AJ118" s="249"/>
      <c r="AK118" s="249"/>
      <c r="AL118" s="249"/>
      <c r="AM118" s="249"/>
      <c r="AN118" s="404"/>
      <c r="AO118" s="249"/>
      <c r="AP118" s="249"/>
      <c r="AQ118" s="251"/>
      <c r="AR118" s="249"/>
      <c r="AS118" s="404"/>
      <c r="AT118" s="249"/>
      <c r="AU118" s="249"/>
      <c r="AV118" s="251"/>
      <c r="AW118" s="249"/>
      <c r="AX118" s="404"/>
    </row>
    <row r="119" spans="2:50">
      <c r="B119" s="405"/>
      <c r="C119" s="249">
        <v>13</v>
      </c>
      <c r="D119" s="249"/>
      <c r="E119" s="250"/>
      <c r="F119" s="250"/>
      <c r="G119" s="251"/>
      <c r="H119" s="407"/>
      <c r="I119" s="250"/>
      <c r="J119" s="250"/>
      <c r="K119" s="251"/>
      <c r="L119" s="407"/>
      <c r="M119" s="252" t="e">
        <f>RANK(K119, K$7:$K$21)</f>
        <v>#N/A</v>
      </c>
      <c r="N119" s="409"/>
      <c r="O119" s="409"/>
      <c r="P119" s="249"/>
      <c r="Q119" s="249"/>
      <c r="R119" s="251"/>
      <c r="S119" s="249"/>
      <c r="T119" s="404"/>
      <c r="U119" s="249"/>
      <c r="V119" s="249"/>
      <c r="W119" s="251"/>
      <c r="X119" s="249"/>
      <c r="Y119" s="404"/>
      <c r="Z119" s="249"/>
      <c r="AA119" s="249"/>
      <c r="AB119" s="251"/>
      <c r="AC119" s="249"/>
      <c r="AD119" s="404"/>
      <c r="AE119" s="249"/>
      <c r="AF119" s="249"/>
      <c r="AG119" s="251"/>
      <c r="AH119" s="249"/>
      <c r="AI119" s="404"/>
      <c r="AJ119" s="249"/>
      <c r="AK119" s="249"/>
      <c r="AL119" s="249"/>
      <c r="AM119" s="249"/>
      <c r="AN119" s="404"/>
      <c r="AO119" s="249"/>
      <c r="AP119" s="249"/>
      <c r="AQ119" s="251"/>
      <c r="AR119" s="249"/>
      <c r="AS119" s="404"/>
      <c r="AT119" s="249"/>
      <c r="AU119" s="249"/>
      <c r="AV119" s="251"/>
      <c r="AW119" s="249"/>
      <c r="AX119" s="404"/>
    </row>
    <row r="120" spans="2:50">
      <c r="B120" s="405"/>
      <c r="C120" s="249">
        <v>14</v>
      </c>
      <c r="D120" s="249"/>
      <c r="E120" s="250"/>
      <c r="F120" s="250"/>
      <c r="G120" s="251"/>
      <c r="H120" s="407"/>
      <c r="I120" s="250"/>
      <c r="J120" s="250"/>
      <c r="K120" s="251"/>
      <c r="L120" s="407"/>
      <c r="M120" s="252" t="e">
        <f>RANK(K120, K$7:$K$21)</f>
        <v>#N/A</v>
      </c>
      <c r="N120" s="409"/>
      <c r="O120" s="409"/>
      <c r="P120" s="249"/>
      <c r="Q120" s="249"/>
      <c r="R120" s="251"/>
      <c r="S120" s="249"/>
      <c r="T120" s="404"/>
      <c r="U120" s="249"/>
      <c r="V120" s="249"/>
      <c r="W120" s="251"/>
      <c r="X120" s="249"/>
      <c r="Y120" s="404"/>
      <c r="Z120" s="249"/>
      <c r="AA120" s="249"/>
      <c r="AB120" s="251"/>
      <c r="AC120" s="249"/>
      <c r="AD120" s="404"/>
      <c r="AE120" s="249"/>
      <c r="AF120" s="249"/>
      <c r="AG120" s="251"/>
      <c r="AH120" s="249"/>
      <c r="AI120" s="404"/>
      <c r="AJ120" s="249"/>
      <c r="AK120" s="249"/>
      <c r="AL120" s="249"/>
      <c r="AM120" s="249"/>
      <c r="AN120" s="404"/>
      <c r="AO120" s="249"/>
      <c r="AP120" s="249"/>
      <c r="AQ120" s="251"/>
      <c r="AR120" s="249"/>
      <c r="AS120" s="404"/>
      <c r="AT120" s="249"/>
      <c r="AU120" s="249"/>
      <c r="AV120" s="251"/>
      <c r="AW120" s="249"/>
      <c r="AX120" s="404"/>
    </row>
    <row r="121" spans="2:50">
      <c r="B121" s="405"/>
      <c r="C121" s="249">
        <v>15</v>
      </c>
      <c r="D121" s="249"/>
      <c r="E121" s="250"/>
      <c r="F121" s="250"/>
      <c r="G121" s="251"/>
      <c r="H121" s="408"/>
      <c r="I121" s="250"/>
      <c r="J121" s="250"/>
      <c r="K121" s="251"/>
      <c r="L121" s="408"/>
      <c r="M121" s="250" t="e">
        <f>RANK(K121, K$7:$K$21)</f>
        <v>#N/A</v>
      </c>
      <c r="N121" s="409"/>
      <c r="O121" s="409"/>
      <c r="P121" s="249"/>
      <c r="Q121" s="249"/>
      <c r="R121" s="251"/>
      <c r="S121" s="249"/>
      <c r="T121" s="404"/>
      <c r="U121" s="249"/>
      <c r="V121" s="249"/>
      <c r="W121" s="251"/>
      <c r="X121" s="249"/>
      <c r="Y121" s="404"/>
      <c r="Z121" s="249"/>
      <c r="AA121" s="249"/>
      <c r="AB121" s="251"/>
      <c r="AC121" s="249"/>
      <c r="AD121" s="404"/>
      <c r="AE121" s="249"/>
      <c r="AF121" s="249"/>
      <c r="AG121" s="251"/>
      <c r="AH121" s="249"/>
      <c r="AI121" s="404"/>
      <c r="AJ121" s="249"/>
      <c r="AK121" s="249"/>
      <c r="AL121" s="249"/>
      <c r="AM121" s="249"/>
      <c r="AN121" s="404"/>
      <c r="AO121" s="249"/>
      <c r="AP121" s="249"/>
      <c r="AQ121" s="251"/>
      <c r="AR121" s="249"/>
      <c r="AS121" s="404"/>
      <c r="AT121" s="249"/>
      <c r="AU121" s="249"/>
      <c r="AV121" s="251"/>
      <c r="AW121" s="249"/>
      <c r="AX121" s="404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M39"/>
  <sheetViews>
    <sheetView view="pageBreakPreview" zoomScale="85" zoomScaleNormal="60" zoomScaleSheetLayoutView="85" workbookViewId="0">
      <selection activeCell="K12" sqref="K12:L12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/>
    <col min="14" max="16384" width="12.5703125" style="185"/>
  </cols>
  <sheetData>
    <row r="1" spans="1:13" ht="15.75" customHeight="1">
      <c r="A1" s="459" t="s">
        <v>133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85"/>
    </row>
    <row r="2" spans="1:13" s="18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>
      <c r="A3" s="460" t="s">
        <v>134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185"/>
    </row>
    <row r="4" spans="1:13" s="186" customFormat="1" ht="15.75" customHeight="1">
      <c r="A4" s="461"/>
      <c r="B4" s="461"/>
      <c r="C4" s="461"/>
      <c r="D4" s="461"/>
      <c r="E4" s="461"/>
      <c r="F4" s="461"/>
      <c r="G4" s="461"/>
      <c r="H4" s="461"/>
      <c r="I4" s="461"/>
      <c r="J4" s="461"/>
      <c r="K4" s="461"/>
      <c r="L4" s="461"/>
    </row>
    <row r="5" spans="1:13" s="213" customFormat="1" ht="16.350000000000001" customHeight="1">
      <c r="A5" s="462" t="s">
        <v>95</v>
      </c>
      <c r="B5" s="211">
        <v>1</v>
      </c>
      <c r="C5" s="211">
        <v>2</v>
      </c>
      <c r="D5" s="211">
        <v>3</v>
      </c>
      <c r="E5" s="212"/>
      <c r="F5" s="212"/>
      <c r="G5" s="212"/>
    </row>
    <row r="6" spans="1:13" ht="16.350000000000001" customHeight="1">
      <c r="A6" s="462"/>
      <c r="B6" s="214" t="s">
        <v>135</v>
      </c>
      <c r="C6" s="214" t="s">
        <v>136</v>
      </c>
      <c r="D6" s="214" t="s">
        <v>137</v>
      </c>
      <c r="E6" s="215"/>
      <c r="F6" s="215"/>
      <c r="G6" s="186"/>
      <c r="M6" s="185"/>
    </row>
    <row r="7" spans="1:13" s="213" customFormat="1" ht="15.75" customHeight="1">
      <c r="A7" s="463" t="s">
        <v>41</v>
      </c>
      <c r="B7" s="463"/>
      <c r="C7" s="216" t="s">
        <v>138</v>
      </c>
      <c r="D7" s="463" t="s">
        <v>139</v>
      </c>
      <c r="E7" s="464"/>
      <c r="F7" s="464"/>
      <c r="G7" s="216" t="s">
        <v>140</v>
      </c>
      <c r="H7" s="216" t="s">
        <v>141</v>
      </c>
      <c r="I7" s="216" t="s">
        <v>142</v>
      </c>
      <c r="J7" s="217" t="s">
        <v>143</v>
      </c>
      <c r="K7" s="463" t="s">
        <v>144</v>
      </c>
      <c r="L7" s="464"/>
      <c r="M7" s="212"/>
    </row>
    <row r="8" spans="1:13" ht="15.75" customHeight="1">
      <c r="A8" s="462">
        <v>1</v>
      </c>
      <c r="B8" s="463" t="s">
        <v>145</v>
      </c>
      <c r="C8" s="218">
        <v>1</v>
      </c>
      <c r="D8" s="465" t="s">
        <v>109</v>
      </c>
      <c r="E8" s="466"/>
      <c r="F8" s="467"/>
      <c r="G8" s="219">
        <v>12</v>
      </c>
      <c r="H8" s="225">
        <v>1854</v>
      </c>
      <c r="I8" s="226">
        <f>H8/G8</f>
        <v>154.5</v>
      </c>
      <c r="J8" s="261">
        <v>1.0618000000000001</v>
      </c>
      <c r="K8" s="468"/>
      <c r="L8" s="469"/>
    </row>
    <row r="9" spans="1:13" ht="15.75" customHeight="1">
      <c r="A9" s="462"/>
      <c r="B9" s="463"/>
      <c r="C9" s="218">
        <v>2</v>
      </c>
      <c r="D9" s="465" t="s">
        <v>146</v>
      </c>
      <c r="E9" s="466"/>
      <c r="F9" s="467"/>
      <c r="G9" s="219">
        <v>13</v>
      </c>
      <c r="H9" s="225">
        <v>1889</v>
      </c>
      <c r="I9" s="226">
        <f t="shared" ref="I9:I17" si="0">H9/G9</f>
        <v>145.30769230769232</v>
      </c>
      <c r="J9" s="261">
        <v>1.0612999999999999</v>
      </c>
      <c r="K9" s="470"/>
      <c r="L9" s="469"/>
    </row>
    <row r="10" spans="1:13" ht="15.75" customHeight="1">
      <c r="A10" s="462"/>
      <c r="B10" s="463"/>
      <c r="C10" s="218">
        <v>3</v>
      </c>
      <c r="D10" s="465" t="s">
        <v>147</v>
      </c>
      <c r="E10" s="466"/>
      <c r="F10" s="467"/>
      <c r="G10" s="225">
        <v>13</v>
      </c>
      <c r="H10" s="225">
        <v>1771</v>
      </c>
      <c r="I10" s="226">
        <f t="shared" si="0"/>
        <v>136.23076923076923</v>
      </c>
      <c r="J10" s="261">
        <v>1.3869</v>
      </c>
      <c r="K10" s="471" t="s">
        <v>148</v>
      </c>
      <c r="L10" s="469"/>
    </row>
    <row r="11" spans="1:13" ht="15.75" customHeight="1">
      <c r="A11" s="462"/>
      <c r="B11" s="463"/>
      <c r="C11" s="218">
        <v>4</v>
      </c>
      <c r="D11" s="472" t="s">
        <v>149</v>
      </c>
      <c r="E11" s="466"/>
      <c r="F11" s="467"/>
      <c r="G11" s="225">
        <v>14</v>
      </c>
      <c r="H11" s="225">
        <v>1692</v>
      </c>
      <c r="I11" s="226">
        <f t="shared" si="0"/>
        <v>120.85714285714286</v>
      </c>
      <c r="J11" s="261">
        <v>1.0324</v>
      </c>
      <c r="K11" s="471" t="s">
        <v>150</v>
      </c>
      <c r="L11" s="469"/>
    </row>
    <row r="12" spans="1:13" ht="15.75" customHeight="1">
      <c r="A12" s="462"/>
      <c r="B12" s="463"/>
      <c r="C12" s="218">
        <v>5</v>
      </c>
      <c r="D12" s="473" t="s">
        <v>151</v>
      </c>
      <c r="E12" s="466"/>
      <c r="F12" s="467"/>
      <c r="G12" s="225">
        <v>15</v>
      </c>
      <c r="H12" s="225">
        <v>1254</v>
      </c>
      <c r="I12" s="226">
        <f t="shared" si="0"/>
        <v>83.6</v>
      </c>
      <c r="J12" s="261">
        <v>1.0295000000000001</v>
      </c>
      <c r="K12" s="470"/>
      <c r="L12" s="469"/>
    </row>
    <row r="13" spans="1:13" ht="15.75" customHeight="1">
      <c r="A13" s="462"/>
      <c r="B13" s="463"/>
      <c r="C13" s="220" t="s">
        <v>152</v>
      </c>
      <c r="D13" s="465" t="s">
        <v>153</v>
      </c>
      <c r="E13" s="466"/>
      <c r="F13" s="467"/>
      <c r="G13" s="225">
        <v>15</v>
      </c>
      <c r="H13" s="225">
        <v>1022</v>
      </c>
      <c r="I13" s="226">
        <f t="shared" si="0"/>
        <v>68.13333333333334</v>
      </c>
      <c r="J13" s="261">
        <v>0.99119999999999997</v>
      </c>
      <c r="K13" s="471"/>
      <c r="L13" s="469"/>
    </row>
    <row r="14" spans="1:13" ht="15.75" customHeight="1">
      <c r="A14" s="462"/>
      <c r="B14" s="463"/>
      <c r="C14" s="220" t="s">
        <v>154</v>
      </c>
      <c r="D14" s="465" t="s">
        <v>155</v>
      </c>
      <c r="E14" s="466"/>
      <c r="F14" s="467"/>
      <c r="G14" s="219">
        <v>16</v>
      </c>
      <c r="H14" s="219">
        <v>1173</v>
      </c>
      <c r="I14" s="226">
        <f t="shared" si="0"/>
        <v>73.3125</v>
      </c>
      <c r="J14" s="261">
        <v>1.0138</v>
      </c>
      <c r="K14" s="471"/>
      <c r="L14" s="469"/>
    </row>
    <row r="15" spans="1:13" ht="15.75" customHeight="1">
      <c r="A15" s="462"/>
      <c r="B15" s="463"/>
      <c r="C15" s="220" t="s">
        <v>156</v>
      </c>
      <c r="D15" s="465" t="s">
        <v>157</v>
      </c>
      <c r="E15" s="466"/>
      <c r="F15" s="467"/>
      <c r="G15" s="219">
        <v>15</v>
      </c>
      <c r="H15" s="219">
        <v>1080</v>
      </c>
      <c r="I15" s="226">
        <f t="shared" si="0"/>
        <v>72</v>
      </c>
      <c r="J15" s="261"/>
      <c r="K15" s="471" t="s">
        <v>158</v>
      </c>
      <c r="L15" s="469"/>
    </row>
    <row r="16" spans="1:13" ht="15.75" customHeight="1">
      <c r="A16" s="462"/>
      <c r="B16" s="463"/>
      <c r="C16" s="220" t="s">
        <v>159</v>
      </c>
      <c r="D16" s="465" t="s">
        <v>160</v>
      </c>
      <c r="E16" s="466"/>
      <c r="F16" s="467"/>
      <c r="G16" s="219">
        <v>15</v>
      </c>
      <c r="H16" s="219">
        <v>1148</v>
      </c>
      <c r="I16" s="226">
        <f t="shared" si="0"/>
        <v>76.533333333333331</v>
      </c>
      <c r="J16" s="261"/>
      <c r="K16" s="471" t="s">
        <v>158</v>
      </c>
      <c r="L16" s="469"/>
      <c r="M16" s="185"/>
    </row>
    <row r="17" spans="1:13" ht="15.75" customHeight="1">
      <c r="A17" s="462"/>
      <c r="B17" s="463"/>
      <c r="C17" s="220" t="s">
        <v>161</v>
      </c>
      <c r="D17" s="465" t="s">
        <v>162</v>
      </c>
      <c r="E17" s="466"/>
      <c r="F17" s="467"/>
      <c r="G17" s="219">
        <v>14</v>
      </c>
      <c r="H17" s="219">
        <v>1101</v>
      </c>
      <c r="I17" s="226">
        <f t="shared" si="0"/>
        <v>78.642857142857139</v>
      </c>
      <c r="J17" s="261">
        <v>0.7298</v>
      </c>
      <c r="K17" s="471" t="s">
        <v>163</v>
      </c>
      <c r="L17" s="469"/>
      <c r="M17" s="185"/>
    </row>
    <row r="18" spans="1:13" s="223" customFormat="1" ht="15.75" customHeight="1">
      <c r="A18" s="474" t="s">
        <v>41</v>
      </c>
      <c r="B18" s="474"/>
      <c r="C18" s="221" t="s">
        <v>138</v>
      </c>
      <c r="D18" s="474" t="s">
        <v>139</v>
      </c>
      <c r="E18" s="475"/>
      <c r="F18" s="475"/>
      <c r="G18" s="221" t="s">
        <v>140</v>
      </c>
      <c r="H18" s="221" t="s">
        <v>141</v>
      </c>
      <c r="I18" s="221" t="s">
        <v>142</v>
      </c>
      <c r="J18" s="222" t="s">
        <v>143</v>
      </c>
      <c r="K18" s="474" t="s">
        <v>144</v>
      </c>
      <c r="L18" s="475"/>
      <c r="M18" s="215"/>
    </row>
    <row r="19" spans="1:13" ht="15.75" customHeight="1">
      <c r="A19" s="462">
        <v>2</v>
      </c>
      <c r="B19" s="463" t="s">
        <v>164</v>
      </c>
      <c r="C19" s="218">
        <v>1</v>
      </c>
      <c r="D19" s="468"/>
      <c r="E19" s="469"/>
      <c r="F19" s="469"/>
      <c r="G19" s="219"/>
      <c r="H19" s="219"/>
      <c r="I19" s="219"/>
      <c r="J19" s="219"/>
      <c r="K19" s="468"/>
      <c r="L19" s="469"/>
      <c r="M19" s="185"/>
    </row>
    <row r="20" spans="1:13" ht="15.75" customHeight="1">
      <c r="A20" s="462"/>
      <c r="B20" s="463"/>
      <c r="C20" s="218">
        <v>2</v>
      </c>
      <c r="D20" s="470"/>
      <c r="E20" s="469"/>
      <c r="F20" s="469"/>
      <c r="G20" s="219"/>
      <c r="H20" s="219"/>
      <c r="I20" s="219"/>
      <c r="J20" s="219"/>
      <c r="K20" s="470"/>
      <c r="L20" s="469"/>
      <c r="M20" s="185"/>
    </row>
    <row r="21" spans="1:13" ht="15.75" customHeight="1">
      <c r="A21" s="462"/>
      <c r="B21" s="463"/>
      <c r="C21" s="218">
        <v>3</v>
      </c>
      <c r="D21" s="470"/>
      <c r="E21" s="469"/>
      <c r="F21" s="469"/>
      <c r="G21" s="219"/>
      <c r="H21" s="219"/>
      <c r="I21" s="219"/>
      <c r="J21" s="219"/>
      <c r="K21" s="470"/>
      <c r="L21" s="469"/>
      <c r="M21" s="185"/>
    </row>
    <row r="22" spans="1:13" ht="15.75" customHeight="1">
      <c r="A22" s="462"/>
      <c r="B22" s="463"/>
      <c r="C22" s="218">
        <v>4</v>
      </c>
      <c r="D22" s="470"/>
      <c r="E22" s="469"/>
      <c r="F22" s="469"/>
      <c r="G22" s="219"/>
      <c r="H22" s="219"/>
      <c r="I22" s="219"/>
      <c r="J22" s="219"/>
      <c r="K22" s="470"/>
      <c r="L22" s="469"/>
      <c r="M22" s="185"/>
    </row>
    <row r="23" spans="1:13" ht="15.75" customHeight="1">
      <c r="A23" s="462"/>
      <c r="B23" s="463"/>
      <c r="C23" s="218">
        <v>5</v>
      </c>
      <c r="D23" s="470"/>
      <c r="E23" s="469"/>
      <c r="F23" s="469"/>
      <c r="G23" s="219"/>
      <c r="H23" s="219"/>
      <c r="I23" s="219"/>
      <c r="J23" s="219"/>
      <c r="K23" s="470"/>
      <c r="L23" s="469"/>
      <c r="M23" s="185"/>
    </row>
    <row r="24" spans="1:13" ht="15.75" customHeight="1">
      <c r="A24" s="462"/>
      <c r="B24" s="463"/>
      <c r="C24" s="220" t="s">
        <v>152</v>
      </c>
      <c r="D24" s="468"/>
      <c r="E24" s="469"/>
      <c r="F24" s="469"/>
      <c r="G24" s="219"/>
      <c r="H24" s="219"/>
      <c r="I24" s="219"/>
      <c r="J24" s="219"/>
      <c r="K24" s="468"/>
      <c r="L24" s="469"/>
      <c r="M24" s="185"/>
    </row>
    <row r="25" spans="1:13" ht="15.75" customHeight="1">
      <c r="A25" s="462"/>
      <c r="B25" s="463"/>
      <c r="C25" s="220" t="s">
        <v>154</v>
      </c>
      <c r="D25" s="470"/>
      <c r="E25" s="469"/>
      <c r="F25" s="469"/>
      <c r="G25" s="219"/>
      <c r="H25" s="219"/>
      <c r="I25" s="219"/>
      <c r="J25" s="219"/>
      <c r="K25" s="470"/>
      <c r="L25" s="469"/>
      <c r="M25" s="185"/>
    </row>
    <row r="26" spans="1:13" ht="15.75" customHeight="1">
      <c r="A26" s="462"/>
      <c r="B26" s="463"/>
      <c r="C26" s="220" t="s">
        <v>156</v>
      </c>
      <c r="D26" s="470"/>
      <c r="E26" s="469"/>
      <c r="F26" s="469"/>
      <c r="G26" s="219"/>
      <c r="H26" s="219"/>
      <c r="I26" s="219"/>
      <c r="J26" s="219"/>
      <c r="K26" s="470"/>
      <c r="L26" s="469"/>
      <c r="M26" s="185"/>
    </row>
    <row r="27" spans="1:13" ht="15.75" customHeight="1">
      <c r="A27" s="462"/>
      <c r="B27" s="463"/>
      <c r="C27" s="220" t="s">
        <v>159</v>
      </c>
      <c r="D27" s="470"/>
      <c r="E27" s="469"/>
      <c r="F27" s="469"/>
      <c r="G27" s="219"/>
      <c r="H27" s="219"/>
      <c r="I27" s="219"/>
      <c r="J27" s="219"/>
      <c r="K27" s="470"/>
      <c r="L27" s="469"/>
      <c r="M27" s="185"/>
    </row>
    <row r="28" spans="1:13" ht="15.75" customHeight="1">
      <c r="A28" s="462"/>
      <c r="B28" s="463"/>
      <c r="C28" s="220" t="s">
        <v>161</v>
      </c>
      <c r="D28" s="470"/>
      <c r="E28" s="469"/>
      <c r="F28" s="469"/>
      <c r="G28" s="219"/>
      <c r="H28" s="219"/>
      <c r="I28" s="219"/>
      <c r="J28" s="219"/>
      <c r="K28" s="470"/>
      <c r="L28" s="469"/>
      <c r="M28" s="185"/>
    </row>
    <row r="29" spans="1:13" ht="15.75" customHeight="1">
      <c r="A29" s="474" t="s">
        <v>41</v>
      </c>
      <c r="B29" s="474"/>
      <c r="C29" s="221" t="s">
        <v>138</v>
      </c>
      <c r="D29" s="474" t="s">
        <v>139</v>
      </c>
      <c r="E29" s="475"/>
      <c r="F29" s="475"/>
      <c r="G29" s="221" t="s">
        <v>140</v>
      </c>
      <c r="H29" s="221" t="s">
        <v>141</v>
      </c>
      <c r="I29" s="221" t="s">
        <v>142</v>
      </c>
      <c r="J29" s="222" t="s">
        <v>143</v>
      </c>
      <c r="K29" s="474" t="s">
        <v>144</v>
      </c>
      <c r="L29" s="475"/>
    </row>
    <row r="30" spans="1:13" ht="15.75" customHeight="1">
      <c r="A30" s="462">
        <v>3</v>
      </c>
      <c r="B30" s="476" t="s">
        <v>84</v>
      </c>
      <c r="C30" s="218">
        <v>1</v>
      </c>
      <c r="D30" s="468" t="s">
        <v>165</v>
      </c>
      <c r="E30" s="469"/>
      <c r="F30" s="469"/>
      <c r="G30" s="225">
        <v>13</v>
      </c>
      <c r="H30" s="226">
        <v>1483</v>
      </c>
      <c r="I30" s="226">
        <v>112.8</v>
      </c>
      <c r="J30" s="261">
        <v>1.0980000000000001</v>
      </c>
      <c r="K30" s="477" t="s">
        <v>166</v>
      </c>
      <c r="L30" s="469"/>
    </row>
    <row r="31" spans="1:13" ht="15.75" customHeight="1">
      <c r="A31" s="462"/>
      <c r="B31" s="476"/>
      <c r="C31" s="218">
        <v>2</v>
      </c>
      <c r="D31" s="471" t="s">
        <v>167</v>
      </c>
      <c r="E31" s="469"/>
      <c r="F31" s="469"/>
      <c r="G31" s="225">
        <v>12</v>
      </c>
      <c r="H31" s="226">
        <v>1328</v>
      </c>
      <c r="I31" s="226">
        <v>112.9</v>
      </c>
      <c r="J31" s="261">
        <v>0.97099999999999997</v>
      </c>
      <c r="K31" s="468"/>
      <c r="L31" s="469"/>
    </row>
    <row r="32" spans="1:13" ht="15.75" customHeight="1">
      <c r="A32" s="462"/>
      <c r="B32" s="476"/>
      <c r="C32" s="218">
        <v>3</v>
      </c>
      <c r="D32" s="470" t="s">
        <v>168</v>
      </c>
      <c r="E32" s="469"/>
      <c r="F32" s="469"/>
      <c r="G32" s="225">
        <v>12</v>
      </c>
      <c r="H32" s="226">
        <v>1298</v>
      </c>
      <c r="I32" s="226">
        <v>109.9</v>
      </c>
      <c r="J32" s="261"/>
      <c r="K32" s="477"/>
      <c r="L32" s="469"/>
    </row>
    <row r="33" spans="1:12" ht="15.75" customHeight="1">
      <c r="A33" s="462"/>
      <c r="B33" s="476"/>
      <c r="C33" s="218">
        <v>4</v>
      </c>
      <c r="D33" s="470"/>
      <c r="E33" s="469"/>
      <c r="F33" s="469"/>
      <c r="G33" s="219"/>
      <c r="H33" s="219"/>
      <c r="I33" s="219"/>
      <c r="J33" s="219"/>
      <c r="K33" s="470"/>
      <c r="L33" s="469"/>
    </row>
    <row r="34" spans="1:12" ht="15.75" customHeight="1">
      <c r="A34" s="462"/>
      <c r="B34" s="476"/>
      <c r="C34" s="218">
        <v>5</v>
      </c>
      <c r="D34" s="470"/>
      <c r="E34" s="469"/>
      <c r="F34" s="469"/>
      <c r="G34" s="219"/>
      <c r="H34" s="219"/>
      <c r="I34" s="219"/>
      <c r="J34" s="219"/>
      <c r="K34" s="470"/>
      <c r="L34" s="469"/>
    </row>
    <row r="35" spans="1:12" ht="15.75" customHeight="1">
      <c r="A35" s="462"/>
      <c r="B35" s="476"/>
      <c r="C35" s="220" t="s">
        <v>152</v>
      </c>
      <c r="D35" s="468"/>
      <c r="E35" s="469"/>
      <c r="F35" s="469"/>
      <c r="G35" s="219"/>
      <c r="H35" s="219"/>
      <c r="I35" s="219"/>
      <c r="J35" s="219"/>
      <c r="K35" s="468"/>
      <c r="L35" s="469"/>
    </row>
    <row r="36" spans="1:12" ht="15.75" customHeight="1">
      <c r="A36" s="462"/>
      <c r="B36" s="476"/>
      <c r="C36" s="220" t="s">
        <v>154</v>
      </c>
      <c r="D36" s="470"/>
      <c r="E36" s="469"/>
      <c r="F36" s="469"/>
      <c r="G36" s="219"/>
      <c r="H36" s="219"/>
      <c r="I36" s="219"/>
      <c r="J36" s="219"/>
      <c r="K36" s="470"/>
      <c r="L36" s="469"/>
    </row>
    <row r="37" spans="1:12" ht="15.75" customHeight="1">
      <c r="A37" s="462"/>
      <c r="B37" s="476"/>
      <c r="C37" s="220" t="s">
        <v>156</v>
      </c>
      <c r="D37" s="470"/>
      <c r="E37" s="469"/>
      <c r="F37" s="469"/>
      <c r="G37" s="219"/>
      <c r="H37" s="219"/>
      <c r="I37" s="219"/>
      <c r="J37" s="219"/>
      <c r="K37" s="470"/>
      <c r="L37" s="469"/>
    </row>
    <row r="38" spans="1:12" ht="15.75" customHeight="1">
      <c r="A38" s="462"/>
      <c r="B38" s="476"/>
      <c r="C38" s="220" t="s">
        <v>159</v>
      </c>
      <c r="D38" s="470"/>
      <c r="E38" s="469"/>
      <c r="F38" s="469"/>
      <c r="G38" s="219"/>
      <c r="H38" s="219"/>
      <c r="I38" s="219"/>
      <c r="J38" s="219"/>
      <c r="K38" s="470"/>
      <c r="L38" s="469"/>
    </row>
    <row r="39" spans="1:12" ht="15.75" customHeight="1">
      <c r="A39" s="462"/>
      <c r="B39" s="476"/>
      <c r="C39" s="220" t="s">
        <v>161</v>
      </c>
      <c r="D39" s="470"/>
      <c r="E39" s="469"/>
      <c r="F39" s="469"/>
      <c r="G39" s="219"/>
      <c r="H39" s="219"/>
      <c r="I39" s="219"/>
      <c r="J39" s="219"/>
      <c r="K39" s="470"/>
      <c r="L39" s="469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C9" sqref="C9:C10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59" t="s">
        <v>133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</row>
    <row r="2" spans="1:13" s="18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</row>
    <row r="3" spans="1:13" ht="15.75" customHeight="1">
      <c r="A3" s="460" t="s">
        <v>169</v>
      </c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</row>
    <row r="4" spans="1:13" s="186" customFormat="1" ht="15.75" customHeight="1">
      <c r="A4" s="460"/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</row>
    <row r="5" spans="1:13" ht="15.75" customHeight="1">
      <c r="A5" s="187" t="s">
        <v>170</v>
      </c>
      <c r="B5" s="188">
        <v>79114254</v>
      </c>
    </row>
    <row r="6" spans="1:13" ht="15.75" customHeight="1">
      <c r="A6" s="478" t="s">
        <v>7</v>
      </c>
      <c r="B6" s="479" t="s">
        <v>171</v>
      </c>
      <c r="C6" s="479"/>
      <c r="D6" s="480"/>
      <c r="E6" s="478" t="s">
        <v>7</v>
      </c>
      <c r="F6" s="462">
        <v>1</v>
      </c>
      <c r="G6" s="462"/>
      <c r="H6" s="462">
        <v>2</v>
      </c>
      <c r="I6" s="462"/>
      <c r="J6" s="462">
        <v>3</v>
      </c>
      <c r="K6" s="462"/>
      <c r="L6" s="462">
        <v>4</v>
      </c>
      <c r="M6" s="462"/>
    </row>
    <row r="7" spans="1:13" ht="31.35" customHeight="1">
      <c r="A7" s="478"/>
      <c r="B7" s="479"/>
      <c r="C7" s="479"/>
      <c r="D7" s="481"/>
      <c r="E7" s="478"/>
      <c r="F7" s="483" t="s">
        <v>172</v>
      </c>
      <c r="G7" s="483"/>
      <c r="H7" s="483" t="s">
        <v>173</v>
      </c>
      <c r="I7" s="483"/>
      <c r="J7" s="483" t="s">
        <v>174</v>
      </c>
      <c r="K7" s="483"/>
      <c r="L7" s="485" t="s">
        <v>175</v>
      </c>
      <c r="M7" s="483"/>
    </row>
    <row r="8" spans="1:13" ht="15.75" customHeight="1">
      <c r="A8" s="478"/>
      <c r="B8" s="208" t="s">
        <v>176</v>
      </c>
      <c r="C8" s="208" t="s">
        <v>35</v>
      </c>
      <c r="D8" s="481"/>
      <c r="E8" s="478"/>
      <c r="F8" s="208" t="s">
        <v>176</v>
      </c>
      <c r="G8" s="208" t="s">
        <v>35</v>
      </c>
      <c r="H8" s="208" t="s">
        <v>176</v>
      </c>
      <c r="I8" s="208" t="s">
        <v>35</v>
      </c>
      <c r="J8" s="208" t="s">
        <v>176</v>
      </c>
      <c r="K8" s="208" t="s">
        <v>35</v>
      </c>
      <c r="L8" s="208" t="s">
        <v>176</v>
      </c>
      <c r="M8" s="208" t="s">
        <v>35</v>
      </c>
    </row>
    <row r="9" spans="1:13" ht="19.350000000000001" customHeight="1">
      <c r="A9" s="189" t="s">
        <v>177</v>
      </c>
      <c r="B9" s="190">
        <v>218936</v>
      </c>
      <c r="C9" s="191">
        <f>B9/$B$5</f>
        <v>2.7673394986445807E-3</v>
      </c>
      <c r="D9" s="481"/>
      <c r="E9" s="189" t="s">
        <v>177</v>
      </c>
      <c r="F9" s="192">
        <v>62024.66</v>
      </c>
      <c r="G9" s="193">
        <f>F9/B9</f>
        <v>0.28330041656009064</v>
      </c>
      <c r="H9" s="192"/>
      <c r="I9" s="193"/>
      <c r="J9" s="192"/>
      <c r="K9" s="193"/>
      <c r="L9" s="192">
        <v>120344</v>
      </c>
      <c r="M9" s="193">
        <f>L9/B9</f>
        <v>0.54967661782438704</v>
      </c>
    </row>
    <row r="10" spans="1:13" ht="19.350000000000001" customHeight="1">
      <c r="A10" s="194" t="s">
        <v>178</v>
      </c>
      <c r="B10" s="195">
        <v>278598</v>
      </c>
      <c r="C10" s="191">
        <f>B10/$B$5</f>
        <v>3.5214640335229602E-3</v>
      </c>
      <c r="D10" s="481"/>
      <c r="E10" s="194" t="s">
        <v>178</v>
      </c>
      <c r="F10" s="192">
        <v>49414.14</v>
      </c>
      <c r="G10" s="193">
        <f>F10/B10</f>
        <v>0.17736717420799861</v>
      </c>
      <c r="H10" s="192"/>
      <c r="I10" s="193"/>
      <c r="J10" s="192"/>
      <c r="K10" s="193"/>
      <c r="L10" s="192">
        <v>132276</v>
      </c>
      <c r="M10" s="193">
        <f>L10/B10</f>
        <v>0.47479163525940604</v>
      </c>
    </row>
    <row r="11" spans="1:13" ht="15.75" customHeight="1">
      <c r="D11" s="481"/>
      <c r="E11" s="478" t="s">
        <v>7</v>
      </c>
      <c r="F11" s="462">
        <v>5</v>
      </c>
      <c r="G11" s="462"/>
      <c r="H11" s="462">
        <v>6</v>
      </c>
      <c r="I11" s="462"/>
      <c r="J11" s="462">
        <v>7</v>
      </c>
      <c r="K11" s="462"/>
      <c r="L11" s="482">
        <v>8</v>
      </c>
      <c r="M11" s="482"/>
    </row>
    <row r="12" spans="1:13" ht="31.35" customHeight="1">
      <c r="D12" s="481"/>
      <c r="E12" s="478"/>
      <c r="F12" s="483" t="s">
        <v>179</v>
      </c>
      <c r="G12" s="483"/>
      <c r="H12" s="483" t="s">
        <v>180</v>
      </c>
      <c r="I12" s="483"/>
      <c r="J12" s="483" t="s">
        <v>181</v>
      </c>
      <c r="K12" s="483"/>
      <c r="L12" s="484" t="s">
        <v>182</v>
      </c>
      <c r="M12" s="484"/>
    </row>
    <row r="13" spans="1:13" ht="15.75" customHeight="1">
      <c r="D13" s="481"/>
      <c r="E13" s="478"/>
      <c r="F13" s="208" t="s">
        <v>176</v>
      </c>
      <c r="G13" s="208" t="s">
        <v>35</v>
      </c>
      <c r="H13" s="208" t="s">
        <v>176</v>
      </c>
      <c r="I13" s="208" t="s">
        <v>35</v>
      </c>
      <c r="J13" s="208" t="s">
        <v>176</v>
      </c>
      <c r="K13" s="208" t="s">
        <v>35</v>
      </c>
      <c r="L13" s="208" t="s">
        <v>176</v>
      </c>
      <c r="M13" s="208" t="s">
        <v>35</v>
      </c>
    </row>
    <row r="14" spans="1:13" ht="19.350000000000001" customHeight="1">
      <c r="D14" s="481"/>
      <c r="E14" s="189" t="s">
        <v>177</v>
      </c>
      <c r="F14" s="192">
        <v>7864.44</v>
      </c>
      <c r="G14" s="193">
        <f>F14/B9</f>
        <v>3.5921182446011619E-2</v>
      </c>
      <c r="H14" s="192"/>
      <c r="I14" s="193"/>
      <c r="J14" s="192"/>
      <c r="K14" s="193"/>
      <c r="L14" s="192"/>
      <c r="M14" s="193"/>
    </row>
    <row r="15" spans="1:13" ht="19.350000000000001" customHeight="1">
      <c r="D15" s="481"/>
      <c r="E15" s="194" t="s">
        <v>178</v>
      </c>
      <c r="F15" s="192">
        <v>40215.279999999999</v>
      </c>
      <c r="G15" s="193">
        <f>F15/B10</f>
        <v>0.14434877493736495</v>
      </c>
      <c r="H15" s="192">
        <v>10259.17</v>
      </c>
      <c r="I15" s="193">
        <f>H15/B10</f>
        <v>3.6824277274065141E-2</v>
      </c>
      <c r="J15" s="192"/>
      <c r="K15" s="193"/>
      <c r="L15" s="192"/>
      <c r="M15" s="19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O9" sqref="O9:P9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357" t="s">
        <v>133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</row>
    <row r="2" spans="1:17" s="123" customFormat="1" ht="15.7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</row>
    <row r="3" spans="1:17" ht="15.75" customHeight="1">
      <c r="A3" s="488" t="s">
        <v>183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</row>
    <row r="4" spans="1:17" s="123" customFormat="1" ht="15.75" customHeight="1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</row>
    <row r="5" spans="1:17" ht="15.75" customHeight="1">
      <c r="A5" s="394" t="s">
        <v>184</v>
      </c>
      <c r="B5" s="492">
        <v>1</v>
      </c>
      <c r="C5" s="492"/>
      <c r="D5" s="492">
        <v>2</v>
      </c>
      <c r="E5" s="492"/>
      <c r="F5" s="492">
        <v>3</v>
      </c>
      <c r="G5" s="492"/>
      <c r="H5" s="490">
        <v>4</v>
      </c>
      <c r="I5" s="490"/>
      <c r="J5" s="490">
        <v>5</v>
      </c>
      <c r="K5" s="490"/>
      <c r="L5" s="490">
        <v>6</v>
      </c>
      <c r="M5" s="490"/>
      <c r="N5" s="490">
        <v>7</v>
      </c>
      <c r="O5" s="490"/>
      <c r="P5" s="490">
        <v>8</v>
      </c>
      <c r="Q5" s="490"/>
    </row>
    <row r="6" spans="1:17" ht="15.75" customHeight="1">
      <c r="A6" s="394"/>
      <c r="B6" s="493" t="s">
        <v>172</v>
      </c>
      <c r="C6" s="493"/>
      <c r="D6" s="493" t="s">
        <v>185</v>
      </c>
      <c r="E6" s="493"/>
      <c r="F6" s="493" t="s">
        <v>174</v>
      </c>
      <c r="G6" s="493"/>
      <c r="H6" s="491" t="s">
        <v>175</v>
      </c>
      <c r="I6" s="394"/>
      <c r="J6" s="394" t="s">
        <v>179</v>
      </c>
      <c r="K6" s="394"/>
      <c r="L6" s="394" t="s">
        <v>180</v>
      </c>
      <c r="M6" s="394"/>
      <c r="N6" s="394" t="s">
        <v>181</v>
      </c>
      <c r="O6" s="394"/>
      <c r="P6" s="491" t="s">
        <v>186</v>
      </c>
      <c r="Q6" s="394"/>
    </row>
    <row r="8" spans="1:17" s="128" customFormat="1" ht="15.75" customHeight="1">
      <c r="A8" s="490" t="s">
        <v>184</v>
      </c>
      <c r="B8" s="490"/>
      <c r="C8" s="154" t="s">
        <v>138</v>
      </c>
      <c r="D8" s="506" t="s">
        <v>139</v>
      </c>
      <c r="E8" s="507"/>
      <c r="F8" s="508"/>
      <c r="G8" s="155" t="s">
        <v>187</v>
      </c>
      <c r="H8" s="156"/>
      <c r="I8" s="154"/>
      <c r="J8" s="157" t="s">
        <v>188</v>
      </c>
      <c r="K8" s="157" t="s">
        <v>23</v>
      </c>
      <c r="L8" s="157" t="s">
        <v>189</v>
      </c>
      <c r="M8" s="157" t="s">
        <v>176</v>
      </c>
      <c r="N8" s="157" t="s">
        <v>190</v>
      </c>
      <c r="O8" s="500" t="s">
        <v>144</v>
      </c>
      <c r="P8" s="501"/>
    </row>
    <row r="9" spans="1:17" ht="15.75" customHeight="1">
      <c r="A9" s="490">
        <v>1</v>
      </c>
      <c r="B9" s="505" t="s">
        <v>191</v>
      </c>
      <c r="C9" s="158">
        <v>1</v>
      </c>
      <c r="D9" s="497" t="s">
        <v>192</v>
      </c>
      <c r="E9" s="498"/>
      <c r="F9" s="499"/>
      <c r="G9" s="497" t="s">
        <v>193</v>
      </c>
      <c r="H9" s="498"/>
      <c r="I9" s="499"/>
      <c r="J9" s="159">
        <v>250.1</v>
      </c>
      <c r="K9" s="160">
        <v>0.126</v>
      </c>
      <c r="L9" s="159">
        <v>92.73</v>
      </c>
      <c r="M9" s="227">
        <f t="shared" ref="M9:M11" si="0">L9*J9</f>
        <v>23191.773000000001</v>
      </c>
      <c r="N9" s="159"/>
      <c r="O9" s="502" t="s">
        <v>194</v>
      </c>
      <c r="P9" s="503"/>
    </row>
    <row r="10" spans="1:17" ht="15.75" customHeight="1">
      <c r="A10" s="490"/>
      <c r="B10" s="505"/>
      <c r="C10" s="158">
        <v>2</v>
      </c>
      <c r="D10" s="497" t="s">
        <v>192</v>
      </c>
      <c r="E10" s="498"/>
      <c r="F10" s="499"/>
      <c r="G10" s="497" t="s">
        <v>195</v>
      </c>
      <c r="H10" s="498"/>
      <c r="I10" s="499"/>
      <c r="J10" s="159">
        <v>139.01</v>
      </c>
      <c r="K10" s="160">
        <v>0.111</v>
      </c>
      <c r="L10" s="159">
        <v>102.87</v>
      </c>
      <c r="M10" s="227">
        <f t="shared" si="0"/>
        <v>14299.958699999999</v>
      </c>
      <c r="N10" s="159"/>
      <c r="O10" s="502" t="s">
        <v>196</v>
      </c>
      <c r="P10" s="503"/>
    </row>
    <row r="11" spans="1:17" ht="15.75" customHeight="1">
      <c r="A11" s="490"/>
      <c r="B11" s="505"/>
      <c r="C11" s="158">
        <v>3</v>
      </c>
      <c r="D11" s="502" t="s">
        <v>197</v>
      </c>
      <c r="E11" s="498"/>
      <c r="F11" s="499"/>
      <c r="G11" s="497" t="s">
        <v>198</v>
      </c>
      <c r="H11" s="498"/>
      <c r="I11" s="499"/>
      <c r="J11" s="159">
        <v>81</v>
      </c>
      <c r="K11" s="160">
        <v>0.1011</v>
      </c>
      <c r="L11" s="159">
        <v>88.45</v>
      </c>
      <c r="M11" s="227">
        <f t="shared" si="0"/>
        <v>7164.45</v>
      </c>
      <c r="N11" s="159"/>
      <c r="O11" s="502" t="s">
        <v>199</v>
      </c>
      <c r="P11" s="503"/>
    </row>
    <row r="12" spans="1:17" ht="15.75" customHeight="1">
      <c r="A12" s="490"/>
      <c r="B12" s="505"/>
      <c r="C12" s="158">
        <v>4</v>
      </c>
      <c r="D12" s="497" t="s">
        <v>162</v>
      </c>
      <c r="E12" s="498"/>
      <c r="F12" s="499"/>
      <c r="G12" s="497" t="s">
        <v>200</v>
      </c>
      <c r="H12" s="498"/>
      <c r="I12" s="499"/>
      <c r="J12" s="159">
        <v>105.18</v>
      </c>
      <c r="K12" s="160">
        <v>4.1959999999999997E-2</v>
      </c>
      <c r="L12" s="159">
        <v>54.45</v>
      </c>
      <c r="M12" s="227">
        <f t="shared" ref="M12:M13" si="1">L12*J12</f>
        <v>5727.0510000000004</v>
      </c>
      <c r="N12" s="159"/>
      <c r="O12" s="502" t="s">
        <v>201</v>
      </c>
      <c r="P12" s="503"/>
    </row>
    <row r="13" spans="1:17" ht="15.75" customHeight="1" thickBot="1">
      <c r="A13" s="490"/>
      <c r="B13" s="505"/>
      <c r="C13" s="164">
        <v>5</v>
      </c>
      <c r="D13" s="497" t="s">
        <v>162</v>
      </c>
      <c r="E13" s="498"/>
      <c r="F13" s="499"/>
      <c r="G13" s="511" t="s">
        <v>202</v>
      </c>
      <c r="H13" s="512"/>
      <c r="I13" s="513"/>
      <c r="J13" s="165">
        <v>215.15</v>
      </c>
      <c r="K13" s="166">
        <v>4.1360000000000001E-2</v>
      </c>
      <c r="L13" s="165">
        <v>23</v>
      </c>
      <c r="M13" s="228">
        <f t="shared" si="1"/>
        <v>4948.45</v>
      </c>
      <c r="N13" s="159"/>
      <c r="O13" s="502" t="s">
        <v>203</v>
      </c>
      <c r="P13" s="503"/>
    </row>
    <row r="14" spans="1:17" ht="15.75" customHeight="1" thickTop="1" thickBot="1">
      <c r="A14" s="490"/>
      <c r="B14" s="505"/>
      <c r="C14" s="509"/>
      <c r="D14" s="509"/>
      <c r="E14" s="509"/>
      <c r="F14" s="509"/>
      <c r="G14" s="509"/>
      <c r="H14" s="509"/>
      <c r="I14" s="510"/>
      <c r="J14" s="170" t="s">
        <v>204</v>
      </c>
      <c r="K14" s="171" t="e">
        <f>M14/#REF!</f>
        <v>#REF!</v>
      </c>
      <c r="L14" s="170" t="s">
        <v>205</v>
      </c>
      <c r="M14" s="172">
        <f>SUM(M9:M13)</f>
        <v>55331.682699999998</v>
      </c>
      <c r="N14" s="494"/>
      <c r="O14" s="495"/>
      <c r="P14" s="496"/>
    </row>
    <row r="15" spans="1:17" ht="15.75" customHeight="1" thickTop="1"/>
    <row r="16" spans="1:17" ht="15.75" customHeight="1">
      <c r="A16" s="490" t="s">
        <v>184</v>
      </c>
      <c r="B16" s="490"/>
      <c r="C16" s="154" t="s">
        <v>138</v>
      </c>
      <c r="D16" s="506" t="s">
        <v>139</v>
      </c>
      <c r="E16" s="507"/>
      <c r="F16" s="508"/>
      <c r="G16" s="155" t="s">
        <v>187</v>
      </c>
      <c r="H16" s="156"/>
      <c r="I16" s="154"/>
      <c r="J16" s="157" t="s">
        <v>188</v>
      </c>
      <c r="K16" s="157" t="s">
        <v>23</v>
      </c>
      <c r="L16" s="157" t="s">
        <v>189</v>
      </c>
      <c r="M16" s="157" t="s">
        <v>176</v>
      </c>
      <c r="N16" s="157" t="s">
        <v>190</v>
      </c>
      <c r="O16" s="500" t="s">
        <v>144</v>
      </c>
      <c r="P16" s="501"/>
    </row>
    <row r="17" spans="1:16" ht="15.75" customHeight="1">
      <c r="A17" s="490">
        <v>2</v>
      </c>
      <c r="B17" s="505" t="s">
        <v>206</v>
      </c>
      <c r="C17" s="158">
        <v>1</v>
      </c>
      <c r="D17" s="502"/>
      <c r="E17" s="498"/>
      <c r="F17" s="499"/>
      <c r="G17" s="497"/>
      <c r="H17" s="498"/>
      <c r="I17" s="499"/>
      <c r="J17" s="159"/>
      <c r="K17" s="160"/>
      <c r="L17" s="159"/>
      <c r="M17" s="227"/>
      <c r="N17" s="263"/>
      <c r="O17" s="486"/>
      <c r="P17" s="487"/>
    </row>
    <row r="18" spans="1:16" ht="15.75" customHeight="1">
      <c r="A18" s="490"/>
      <c r="B18" s="505"/>
      <c r="C18" s="158">
        <v>2</v>
      </c>
      <c r="D18" s="502"/>
      <c r="E18" s="498"/>
      <c r="F18" s="499"/>
      <c r="G18" s="502"/>
      <c r="H18" s="498"/>
      <c r="I18" s="499"/>
      <c r="J18" s="159"/>
      <c r="K18" s="160"/>
      <c r="L18" s="159"/>
      <c r="M18" s="227"/>
      <c r="N18" s="263"/>
      <c r="O18" s="486"/>
      <c r="P18" s="487"/>
    </row>
    <row r="19" spans="1:16" ht="15.75" customHeight="1">
      <c r="A19" s="490"/>
      <c r="B19" s="505"/>
      <c r="C19" s="158">
        <v>3</v>
      </c>
      <c r="D19" s="504"/>
      <c r="E19" s="498"/>
      <c r="F19" s="499"/>
      <c r="G19" s="497"/>
      <c r="H19" s="498"/>
      <c r="I19" s="499"/>
      <c r="J19" s="159"/>
      <c r="K19" s="160"/>
      <c r="L19" s="159"/>
      <c r="M19" s="227"/>
      <c r="N19" s="263"/>
      <c r="O19" s="486"/>
      <c r="P19" s="487"/>
    </row>
    <row r="20" spans="1:16" ht="15.75" customHeight="1">
      <c r="A20" s="490"/>
      <c r="B20" s="505"/>
      <c r="C20" s="158">
        <v>4</v>
      </c>
      <c r="D20" s="504"/>
      <c r="E20" s="498"/>
      <c r="F20" s="499"/>
      <c r="G20" s="497"/>
      <c r="H20" s="498"/>
      <c r="I20" s="499"/>
      <c r="J20" s="159"/>
      <c r="K20" s="160"/>
      <c r="L20" s="159"/>
      <c r="M20" s="227"/>
      <c r="N20" s="263"/>
      <c r="O20" s="486"/>
      <c r="P20" s="487"/>
    </row>
    <row r="21" spans="1:16" ht="15.75" customHeight="1" thickBot="1">
      <c r="A21" s="490"/>
      <c r="B21" s="505"/>
      <c r="C21" s="164">
        <v>5</v>
      </c>
      <c r="D21" s="497"/>
      <c r="E21" s="498"/>
      <c r="F21" s="499"/>
      <c r="G21" s="497"/>
      <c r="H21" s="498"/>
      <c r="I21" s="499"/>
      <c r="J21" s="159"/>
      <c r="K21" s="160"/>
      <c r="L21" s="159"/>
      <c r="M21" s="227"/>
      <c r="N21" s="263"/>
      <c r="O21" s="486"/>
      <c r="P21" s="487"/>
    </row>
    <row r="22" spans="1:16" ht="15.75" customHeight="1" thickTop="1" thickBot="1">
      <c r="A22" s="490"/>
      <c r="B22" s="505"/>
      <c r="C22" s="509"/>
      <c r="D22" s="509"/>
      <c r="E22" s="509"/>
      <c r="F22" s="509"/>
      <c r="G22" s="509"/>
      <c r="H22" s="509"/>
      <c r="I22" s="510"/>
      <c r="J22" s="170" t="s">
        <v>204</v>
      </c>
      <c r="K22" s="171" t="e">
        <f>M22/#REF!</f>
        <v>#REF!</v>
      </c>
      <c r="L22" s="170" t="s">
        <v>205</v>
      </c>
      <c r="M22" s="262">
        <f>SUM(M17:M21)</f>
        <v>0</v>
      </c>
      <c r="N22" s="494"/>
      <c r="O22" s="495"/>
      <c r="P22" s="496"/>
    </row>
    <row r="23" spans="1:16" ht="15.75" customHeight="1" thickTop="1"/>
    <row r="24" spans="1:16" ht="15.75" customHeight="1">
      <c r="A24" s="490" t="s">
        <v>184</v>
      </c>
      <c r="B24" s="490"/>
      <c r="C24" s="154" t="s">
        <v>138</v>
      </c>
      <c r="D24" s="506" t="s">
        <v>139</v>
      </c>
      <c r="E24" s="507"/>
      <c r="F24" s="508"/>
      <c r="G24" s="155" t="s">
        <v>187</v>
      </c>
      <c r="H24" s="156"/>
      <c r="I24" s="154"/>
      <c r="J24" s="157" t="s">
        <v>188</v>
      </c>
      <c r="K24" s="157" t="s">
        <v>23</v>
      </c>
      <c r="L24" s="157" t="s">
        <v>189</v>
      </c>
      <c r="M24" s="157" t="s">
        <v>176</v>
      </c>
      <c r="N24" s="157" t="s">
        <v>143</v>
      </c>
      <c r="O24" s="500" t="s">
        <v>144</v>
      </c>
      <c r="P24" s="501"/>
    </row>
    <row r="25" spans="1:16" ht="15.75" customHeight="1">
      <c r="A25" s="490">
        <v>3</v>
      </c>
      <c r="B25" s="505" t="s">
        <v>207</v>
      </c>
      <c r="C25" s="158">
        <v>1</v>
      </c>
      <c r="D25" s="497"/>
      <c r="E25" s="498"/>
      <c r="F25" s="499"/>
      <c r="G25" s="497"/>
      <c r="H25" s="498"/>
      <c r="I25" s="499"/>
      <c r="J25" s="159"/>
      <c r="K25" s="160"/>
      <c r="L25" s="159"/>
      <c r="M25" s="161">
        <f t="shared" ref="M25:M29" si="2">L25*J25</f>
        <v>0</v>
      </c>
      <c r="N25" s="159"/>
      <c r="O25" s="162"/>
      <c r="P25" s="163"/>
    </row>
    <row r="26" spans="1:16" ht="15.75" customHeight="1">
      <c r="A26" s="490"/>
      <c r="B26" s="505"/>
      <c r="C26" s="158">
        <v>2</v>
      </c>
      <c r="D26" s="497"/>
      <c r="E26" s="498"/>
      <c r="F26" s="499"/>
      <c r="G26" s="497"/>
      <c r="H26" s="498"/>
      <c r="I26" s="499"/>
      <c r="J26" s="159"/>
      <c r="K26" s="160"/>
      <c r="L26" s="159"/>
      <c r="M26" s="161">
        <f t="shared" si="2"/>
        <v>0</v>
      </c>
      <c r="N26" s="159"/>
      <c r="O26" s="162"/>
      <c r="P26" s="163"/>
    </row>
    <row r="27" spans="1:16" ht="15.75" customHeight="1">
      <c r="A27" s="490"/>
      <c r="B27" s="505"/>
      <c r="C27" s="158">
        <v>3</v>
      </c>
      <c r="D27" s="497"/>
      <c r="E27" s="498"/>
      <c r="F27" s="499"/>
      <c r="G27" s="497"/>
      <c r="H27" s="498"/>
      <c r="I27" s="499"/>
      <c r="J27" s="159"/>
      <c r="K27" s="160"/>
      <c r="L27" s="159"/>
      <c r="M27" s="161">
        <f t="shared" si="2"/>
        <v>0</v>
      </c>
      <c r="N27" s="159"/>
      <c r="O27" s="162"/>
      <c r="P27" s="163"/>
    </row>
    <row r="28" spans="1:16" ht="15.75" customHeight="1">
      <c r="A28" s="490"/>
      <c r="B28" s="505"/>
      <c r="C28" s="158">
        <v>4</v>
      </c>
      <c r="D28" s="497"/>
      <c r="E28" s="498"/>
      <c r="F28" s="499"/>
      <c r="G28" s="497"/>
      <c r="H28" s="498"/>
      <c r="I28" s="499"/>
      <c r="J28" s="159"/>
      <c r="K28" s="160"/>
      <c r="L28" s="159"/>
      <c r="M28" s="161">
        <f t="shared" si="2"/>
        <v>0</v>
      </c>
      <c r="N28" s="159"/>
      <c r="O28" s="162"/>
      <c r="P28" s="163"/>
    </row>
    <row r="29" spans="1:16" ht="15.75" customHeight="1" thickBot="1">
      <c r="A29" s="490"/>
      <c r="B29" s="505"/>
      <c r="C29" s="164">
        <v>5</v>
      </c>
      <c r="D29" s="511"/>
      <c r="E29" s="512"/>
      <c r="F29" s="513"/>
      <c r="G29" s="511"/>
      <c r="H29" s="512"/>
      <c r="I29" s="513"/>
      <c r="J29" s="165"/>
      <c r="K29" s="166"/>
      <c r="L29" s="165"/>
      <c r="M29" s="167">
        <f t="shared" si="2"/>
        <v>0</v>
      </c>
      <c r="N29" s="159"/>
      <c r="O29" s="168"/>
      <c r="P29" s="169"/>
    </row>
    <row r="30" spans="1:16" ht="15.75" customHeight="1" thickTop="1" thickBot="1">
      <c r="A30" s="490"/>
      <c r="B30" s="505"/>
      <c r="C30" s="509"/>
      <c r="D30" s="509"/>
      <c r="E30" s="509"/>
      <c r="F30" s="509"/>
      <c r="G30" s="509"/>
      <c r="H30" s="509"/>
      <c r="I30" s="510"/>
      <c r="J30" s="170" t="s">
        <v>204</v>
      </c>
      <c r="K30" s="171" t="e">
        <f>M30/#REF!</f>
        <v>#REF!</v>
      </c>
      <c r="L30" s="170" t="s">
        <v>205</v>
      </c>
      <c r="M30" s="172">
        <f>SUM(M25:M29)</f>
        <v>0</v>
      </c>
      <c r="N30" s="494"/>
      <c r="O30" s="495"/>
      <c r="P30" s="496"/>
    </row>
    <row r="31" spans="1:16" ht="15.75" customHeight="1" thickTop="1"/>
  </sheetData>
  <mergeCells count="80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Q39"/>
  <sheetViews>
    <sheetView view="pageBreakPreview" zoomScale="115" zoomScaleNormal="60" zoomScaleSheetLayoutView="115" workbookViewId="0">
      <selection activeCell="G9" sqref="G9:I9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357" t="s">
        <v>133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</row>
    <row r="2" spans="1:17" s="123" customFormat="1" ht="15.7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</row>
    <row r="3" spans="1:17" s="122" customFormat="1" ht="15.75" customHeight="1">
      <c r="A3" s="488" t="s">
        <v>183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</row>
    <row r="4" spans="1:17" s="123" customFormat="1" ht="15.75" customHeight="1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</row>
    <row r="5" spans="1:17" s="122" customFormat="1" ht="15.75" customHeight="1">
      <c r="A5" s="394" t="s">
        <v>184</v>
      </c>
      <c r="B5" s="490">
        <v>1</v>
      </c>
      <c r="C5" s="490"/>
      <c r="D5" s="490">
        <v>2</v>
      </c>
      <c r="E5" s="490"/>
      <c r="F5" s="490">
        <v>3</v>
      </c>
      <c r="G5" s="490"/>
      <c r="H5" s="492">
        <v>4</v>
      </c>
      <c r="I5" s="492"/>
      <c r="J5" s="492">
        <v>5</v>
      </c>
      <c r="K5" s="492"/>
      <c r="L5" s="492">
        <v>6</v>
      </c>
      <c r="M5" s="492"/>
      <c r="N5" s="492">
        <v>7</v>
      </c>
      <c r="O5" s="492"/>
      <c r="P5" s="490">
        <v>8</v>
      </c>
      <c r="Q5" s="490"/>
    </row>
    <row r="6" spans="1:17" s="122" customFormat="1" ht="15.75" customHeight="1">
      <c r="A6" s="394"/>
      <c r="B6" s="394" t="s">
        <v>172</v>
      </c>
      <c r="C6" s="394"/>
      <c r="D6" s="394" t="s">
        <v>185</v>
      </c>
      <c r="E6" s="394"/>
      <c r="F6" s="394" t="s">
        <v>174</v>
      </c>
      <c r="G6" s="394"/>
      <c r="H6" s="514" t="s">
        <v>175</v>
      </c>
      <c r="I6" s="493"/>
      <c r="J6" s="493" t="s">
        <v>179</v>
      </c>
      <c r="K6" s="493"/>
      <c r="L6" s="493" t="s">
        <v>180</v>
      </c>
      <c r="M6" s="493"/>
      <c r="N6" s="493" t="s">
        <v>181</v>
      </c>
      <c r="O6" s="493"/>
      <c r="P6" s="491" t="s">
        <v>186</v>
      </c>
      <c r="Q6" s="394"/>
    </row>
    <row r="7" spans="1:17" s="122" customFormat="1" ht="15.75" customHeight="1">
      <c r="B7" s="173"/>
      <c r="C7" s="152"/>
    </row>
    <row r="8" spans="1:17" s="112" customFormat="1" ht="15.75" customHeight="1">
      <c r="A8" s="515" t="s">
        <v>184</v>
      </c>
      <c r="B8" s="516"/>
      <c r="C8" s="119" t="s">
        <v>138</v>
      </c>
      <c r="D8" s="517" t="s">
        <v>139</v>
      </c>
      <c r="E8" s="518"/>
      <c r="F8" s="519"/>
      <c r="G8" s="117" t="s">
        <v>187</v>
      </c>
      <c r="H8" s="118"/>
      <c r="I8" s="119"/>
      <c r="J8" s="116" t="s">
        <v>188</v>
      </c>
      <c r="K8" s="116" t="s">
        <v>23</v>
      </c>
      <c r="L8" s="116" t="s">
        <v>189</v>
      </c>
      <c r="M8" s="120" t="s">
        <v>176</v>
      </c>
      <c r="N8" s="120" t="s">
        <v>190</v>
      </c>
      <c r="O8" s="520" t="s">
        <v>144</v>
      </c>
      <c r="P8" s="521"/>
    </row>
    <row r="9" spans="1:17" ht="15.75" customHeight="1">
      <c r="A9" s="516">
        <v>4</v>
      </c>
      <c r="B9" s="522" t="s">
        <v>208</v>
      </c>
      <c r="C9" s="114">
        <v>1</v>
      </c>
      <c r="D9" s="524" t="s">
        <v>109</v>
      </c>
      <c r="E9" s="525"/>
      <c r="F9" s="526"/>
      <c r="G9" s="502" t="s">
        <v>209</v>
      </c>
      <c r="H9" s="527"/>
      <c r="I9" s="528"/>
      <c r="J9" s="4">
        <v>156.66999999999999</v>
      </c>
      <c r="K9" s="14">
        <v>7.3899999999999999E-3</v>
      </c>
      <c r="L9" s="4">
        <v>167.45</v>
      </c>
      <c r="M9" s="230">
        <f t="shared" ref="M9:M12" si="0">L9*J9</f>
        <v>26234.391499999998</v>
      </c>
      <c r="N9" s="260"/>
      <c r="O9" s="534" t="s">
        <v>210</v>
      </c>
      <c r="P9" s="535"/>
    </row>
    <row r="10" spans="1:17" ht="15.75" customHeight="1">
      <c r="A10" s="516"/>
      <c r="B10" s="523"/>
      <c r="C10" s="114">
        <v>2</v>
      </c>
      <c r="D10" s="529" t="s">
        <v>211</v>
      </c>
      <c r="E10" s="527"/>
      <c r="F10" s="528"/>
      <c r="G10" s="504" t="s">
        <v>212</v>
      </c>
      <c r="H10" s="527"/>
      <c r="I10" s="528"/>
      <c r="J10" s="4">
        <v>925.75</v>
      </c>
      <c r="K10" s="14">
        <v>8.26E-3</v>
      </c>
      <c r="L10" s="4">
        <v>12.95</v>
      </c>
      <c r="M10" s="230">
        <f t="shared" si="0"/>
        <v>11988.4625</v>
      </c>
      <c r="N10" s="260"/>
      <c r="O10" s="534" t="s">
        <v>210</v>
      </c>
      <c r="P10" s="535"/>
    </row>
    <row r="11" spans="1:17" ht="15.75" customHeight="1">
      <c r="A11" s="516"/>
      <c r="B11" s="523"/>
      <c r="C11" s="114">
        <v>3</v>
      </c>
      <c r="D11" s="529" t="s">
        <v>213</v>
      </c>
      <c r="E11" s="527"/>
      <c r="F11" s="528"/>
      <c r="G11" s="530" t="s">
        <v>214</v>
      </c>
      <c r="H11" s="527"/>
      <c r="I11" s="528"/>
      <c r="J11" s="4">
        <v>77.290000000000006</v>
      </c>
      <c r="K11" s="14">
        <v>3.7000000000000002E-3</v>
      </c>
      <c r="L11" s="4">
        <v>86</v>
      </c>
      <c r="M11" s="230">
        <f t="shared" si="0"/>
        <v>6646.9400000000005</v>
      </c>
      <c r="N11" s="260"/>
      <c r="O11" s="534" t="s">
        <v>210</v>
      </c>
      <c r="P11" s="535"/>
    </row>
    <row r="12" spans="1:17" ht="15.75" customHeight="1">
      <c r="A12" s="516"/>
      <c r="B12" s="523"/>
      <c r="C12" s="114">
        <v>4</v>
      </c>
      <c r="D12" s="529" t="s">
        <v>165</v>
      </c>
      <c r="E12" s="527"/>
      <c r="F12" s="528"/>
      <c r="G12" s="502" t="s">
        <v>215</v>
      </c>
      <c r="H12" s="527"/>
      <c r="I12" s="528"/>
      <c r="J12" s="4">
        <v>85</v>
      </c>
      <c r="K12" s="14">
        <v>6.3E-3</v>
      </c>
      <c r="L12" s="4">
        <v>71.3</v>
      </c>
      <c r="M12" s="230">
        <f t="shared" si="0"/>
        <v>6060.5</v>
      </c>
      <c r="N12" s="260"/>
      <c r="O12" s="534" t="s">
        <v>210</v>
      </c>
      <c r="P12" s="535"/>
    </row>
    <row r="13" spans="1:17" ht="15.75" customHeight="1" thickBot="1">
      <c r="A13" s="516"/>
      <c r="B13" s="523"/>
      <c r="C13" s="115">
        <v>5</v>
      </c>
      <c r="D13" s="524" t="s">
        <v>216</v>
      </c>
      <c r="E13" s="525"/>
      <c r="F13" s="526"/>
      <c r="G13" s="524" t="s">
        <v>217</v>
      </c>
      <c r="H13" s="525"/>
      <c r="I13" s="526"/>
      <c r="J13" s="27">
        <v>69.099999999999994</v>
      </c>
      <c r="K13" s="30">
        <v>1.6899999999999998E-2</v>
      </c>
      <c r="L13" s="27">
        <v>87.43</v>
      </c>
      <c r="M13" s="230">
        <f t="shared" ref="M13" si="1">L13*J13</f>
        <v>6041.4129999999996</v>
      </c>
      <c r="N13" s="260"/>
      <c r="O13" s="534" t="s">
        <v>210</v>
      </c>
      <c r="P13" s="535"/>
    </row>
    <row r="14" spans="1:17" ht="15.75" customHeight="1" thickTop="1" thickBot="1">
      <c r="A14" s="516"/>
      <c r="B14" s="523"/>
      <c r="C14" s="539"/>
      <c r="D14" s="539"/>
      <c r="E14" s="539"/>
      <c r="F14" s="539"/>
      <c r="G14" s="539"/>
      <c r="H14" s="539"/>
      <c r="I14" s="540"/>
      <c r="J14" s="121" t="s">
        <v>204</v>
      </c>
      <c r="K14" s="171" t="e">
        <f>M14/#REF!</f>
        <v>#REF!</v>
      </c>
      <c r="L14" s="121" t="s">
        <v>205</v>
      </c>
      <c r="M14" s="34">
        <v>0</v>
      </c>
      <c r="N14" s="531"/>
      <c r="O14" s="532"/>
      <c r="P14" s="533"/>
    </row>
    <row r="15" spans="1:17" ht="15.75" customHeight="1" thickTop="1"/>
    <row r="16" spans="1:17" ht="15.75" customHeight="1">
      <c r="A16" s="515" t="s">
        <v>184</v>
      </c>
      <c r="B16" s="516"/>
      <c r="C16" s="119" t="s">
        <v>138</v>
      </c>
      <c r="D16" s="517" t="s">
        <v>139</v>
      </c>
      <c r="E16" s="518"/>
      <c r="F16" s="519"/>
      <c r="G16" s="117" t="s">
        <v>187</v>
      </c>
      <c r="H16" s="118"/>
      <c r="I16" s="119"/>
      <c r="J16" s="116" t="s">
        <v>188</v>
      </c>
      <c r="K16" s="116" t="s">
        <v>23</v>
      </c>
      <c r="L16" s="116" t="s">
        <v>189</v>
      </c>
      <c r="M16" s="120" t="s">
        <v>176</v>
      </c>
      <c r="N16" s="120" t="s">
        <v>190</v>
      </c>
      <c r="O16" s="520" t="s">
        <v>144</v>
      </c>
      <c r="P16" s="521"/>
    </row>
    <row r="17" spans="1:16" ht="15.75" customHeight="1">
      <c r="A17" s="516">
        <v>5</v>
      </c>
      <c r="B17" s="522" t="s">
        <v>218</v>
      </c>
      <c r="C17" s="114">
        <v>1</v>
      </c>
      <c r="D17" s="504" t="s">
        <v>168</v>
      </c>
      <c r="E17" s="527"/>
      <c r="F17" s="528"/>
      <c r="G17" s="502" t="s">
        <v>219</v>
      </c>
      <c r="H17" s="527"/>
      <c r="I17" s="528"/>
      <c r="J17" s="4">
        <v>146.16</v>
      </c>
      <c r="K17" s="14">
        <v>1.5599999999999999E-2</v>
      </c>
      <c r="L17" s="4">
        <v>30.1</v>
      </c>
      <c r="M17" s="229">
        <f t="shared" ref="M17:M20" si="2">L17*J17</f>
        <v>4399.4160000000002</v>
      </c>
      <c r="N17" s="4"/>
      <c r="O17" s="534"/>
      <c r="P17" s="535"/>
    </row>
    <row r="18" spans="1:16" ht="15.75" customHeight="1">
      <c r="A18" s="516"/>
      <c r="B18" s="523"/>
      <c r="C18" s="114">
        <v>2</v>
      </c>
      <c r="D18" s="504"/>
      <c r="E18" s="527"/>
      <c r="F18" s="528"/>
      <c r="G18" s="536"/>
      <c r="H18" s="527"/>
      <c r="I18" s="528"/>
      <c r="J18" s="4"/>
      <c r="K18" s="14"/>
      <c r="L18" s="4"/>
      <c r="M18" s="229">
        <f t="shared" si="2"/>
        <v>0</v>
      </c>
      <c r="N18" s="4"/>
      <c r="O18" s="534"/>
      <c r="P18" s="535"/>
    </row>
    <row r="19" spans="1:16" ht="15.75" customHeight="1">
      <c r="A19" s="516"/>
      <c r="B19" s="523"/>
      <c r="C19" s="114">
        <v>3</v>
      </c>
      <c r="D19" s="538"/>
      <c r="E19" s="527"/>
      <c r="F19" s="528"/>
      <c r="G19" s="538"/>
      <c r="H19" s="527"/>
      <c r="I19" s="528"/>
      <c r="J19" s="4"/>
      <c r="K19" s="14"/>
      <c r="L19" s="4"/>
      <c r="M19" s="229">
        <f t="shared" si="2"/>
        <v>0</v>
      </c>
      <c r="N19" s="4"/>
      <c r="O19" s="534"/>
      <c r="P19" s="535"/>
    </row>
    <row r="20" spans="1:16" ht="15.75" customHeight="1">
      <c r="A20" s="516"/>
      <c r="B20" s="523"/>
      <c r="C20" s="114">
        <v>4</v>
      </c>
      <c r="D20" s="538"/>
      <c r="E20" s="527"/>
      <c r="F20" s="528"/>
      <c r="G20" s="538"/>
      <c r="H20" s="527"/>
      <c r="I20" s="528"/>
      <c r="J20" s="4"/>
      <c r="K20" s="14"/>
      <c r="L20" s="4"/>
      <c r="M20" s="229">
        <f t="shared" si="2"/>
        <v>0</v>
      </c>
      <c r="N20" s="4"/>
      <c r="O20" s="76"/>
      <c r="P20" s="74"/>
    </row>
    <row r="21" spans="1:16" ht="15.75" customHeight="1" thickBot="1">
      <c r="A21" s="516"/>
      <c r="B21" s="523"/>
      <c r="C21" s="115">
        <v>5</v>
      </c>
      <c r="D21" s="537"/>
      <c r="E21" s="525"/>
      <c r="F21" s="526"/>
      <c r="G21" s="537"/>
      <c r="H21" s="525"/>
      <c r="I21" s="526"/>
      <c r="J21" s="27"/>
      <c r="K21" s="30"/>
      <c r="L21" s="27"/>
      <c r="M21" s="229">
        <f t="shared" ref="M21" si="3">L21*J21</f>
        <v>0</v>
      </c>
      <c r="N21" s="4"/>
      <c r="O21" s="77"/>
      <c r="P21" s="75"/>
    </row>
    <row r="22" spans="1:16" ht="15.75" customHeight="1" thickTop="1" thickBot="1">
      <c r="A22" s="516"/>
      <c r="B22" s="523"/>
      <c r="C22" s="539"/>
      <c r="D22" s="539"/>
      <c r="E22" s="539"/>
      <c r="F22" s="539"/>
      <c r="G22" s="539"/>
      <c r="H22" s="539"/>
      <c r="I22" s="540"/>
      <c r="J22" s="121" t="s">
        <v>204</v>
      </c>
      <c r="K22" s="171" t="e">
        <f>M22/#REF!</f>
        <v>#REF!</v>
      </c>
      <c r="L22" s="121" t="s">
        <v>205</v>
      </c>
      <c r="M22" s="34">
        <v>0</v>
      </c>
      <c r="N22" s="531"/>
      <c r="O22" s="532"/>
      <c r="P22" s="533"/>
    </row>
    <row r="23" spans="1:16" ht="15.75" customHeight="1" thickTop="1"/>
    <row r="24" spans="1:16" ht="15.75" customHeight="1">
      <c r="A24" s="515" t="s">
        <v>184</v>
      </c>
      <c r="B24" s="516"/>
      <c r="C24" s="119" t="s">
        <v>138</v>
      </c>
      <c r="D24" s="517" t="s">
        <v>139</v>
      </c>
      <c r="E24" s="518"/>
      <c r="F24" s="519"/>
      <c r="G24" s="117" t="s">
        <v>187</v>
      </c>
      <c r="H24" s="118"/>
      <c r="I24" s="119"/>
      <c r="J24" s="116" t="s">
        <v>188</v>
      </c>
      <c r="K24" s="116" t="s">
        <v>23</v>
      </c>
      <c r="L24" s="116" t="s">
        <v>189</v>
      </c>
      <c r="M24" s="120" t="s">
        <v>176</v>
      </c>
      <c r="N24" s="120" t="s">
        <v>143</v>
      </c>
      <c r="O24" s="520" t="s">
        <v>144</v>
      </c>
      <c r="P24" s="521"/>
    </row>
    <row r="25" spans="1:16" ht="15.75" customHeight="1">
      <c r="A25" s="516">
        <v>6</v>
      </c>
      <c r="B25" s="522" t="s">
        <v>220</v>
      </c>
      <c r="C25" s="114">
        <v>1</v>
      </c>
      <c r="D25" s="504" t="s">
        <v>221</v>
      </c>
      <c r="E25" s="527"/>
      <c r="F25" s="528"/>
      <c r="G25" s="502" t="s">
        <v>222</v>
      </c>
      <c r="H25" s="527"/>
      <c r="I25" s="528"/>
      <c r="J25" s="4">
        <v>335.3</v>
      </c>
      <c r="K25" s="14">
        <v>1.66E-3</v>
      </c>
      <c r="L25" s="4">
        <v>8.01</v>
      </c>
      <c r="M25" s="229">
        <f t="shared" ref="M25:M29" si="4">L25*J25</f>
        <v>2685.7530000000002</v>
      </c>
      <c r="N25" s="260">
        <v>0.13850000000000001</v>
      </c>
      <c r="O25" s="502"/>
      <c r="P25" s="503"/>
    </row>
    <row r="26" spans="1:16" ht="15.75" customHeight="1">
      <c r="A26" s="516"/>
      <c r="B26" s="523"/>
      <c r="C26" s="114">
        <v>2</v>
      </c>
      <c r="D26" s="502"/>
      <c r="E26" s="527"/>
      <c r="F26" s="528"/>
      <c r="G26" s="502"/>
      <c r="H26" s="527"/>
      <c r="I26" s="528"/>
      <c r="J26" s="4"/>
      <c r="K26" s="14"/>
      <c r="L26" s="4"/>
      <c r="M26" s="229">
        <f t="shared" si="4"/>
        <v>0</v>
      </c>
      <c r="N26" s="260"/>
      <c r="O26" s="502"/>
      <c r="P26" s="503"/>
    </row>
    <row r="27" spans="1:16" ht="15.75" customHeight="1">
      <c r="A27" s="516"/>
      <c r="B27" s="523"/>
      <c r="C27" s="114">
        <v>3</v>
      </c>
      <c r="D27" s="502"/>
      <c r="E27" s="527"/>
      <c r="F27" s="528"/>
      <c r="G27" s="536"/>
      <c r="H27" s="527"/>
      <c r="I27" s="528"/>
      <c r="J27" s="4"/>
      <c r="K27" s="14"/>
      <c r="L27" s="4"/>
      <c r="M27" s="229">
        <f t="shared" si="4"/>
        <v>0</v>
      </c>
      <c r="N27" s="260"/>
      <c r="O27" s="502"/>
      <c r="P27" s="503"/>
    </row>
    <row r="28" spans="1:16" ht="15.75" customHeight="1">
      <c r="A28" s="516"/>
      <c r="B28" s="523"/>
      <c r="C28" s="114">
        <v>4</v>
      </c>
      <c r="D28" s="538"/>
      <c r="E28" s="527"/>
      <c r="F28" s="528"/>
      <c r="G28" s="538"/>
      <c r="H28" s="527"/>
      <c r="I28" s="528"/>
      <c r="J28" s="4"/>
      <c r="K28" s="14"/>
      <c r="L28" s="4"/>
      <c r="M28" s="229">
        <f t="shared" si="4"/>
        <v>0</v>
      </c>
      <c r="N28" s="260"/>
      <c r="O28" s="534"/>
      <c r="P28" s="541"/>
    </row>
    <row r="29" spans="1:16" ht="15.75" customHeight="1" thickBot="1">
      <c r="A29" s="516"/>
      <c r="B29" s="523"/>
      <c r="C29" s="115">
        <v>5</v>
      </c>
      <c r="D29" s="537"/>
      <c r="E29" s="525"/>
      <c r="F29" s="526"/>
      <c r="G29" s="537"/>
      <c r="H29" s="525"/>
      <c r="I29" s="526"/>
      <c r="J29" s="27"/>
      <c r="K29" s="30"/>
      <c r="L29" s="27"/>
      <c r="M29" s="229">
        <f t="shared" si="4"/>
        <v>0</v>
      </c>
      <c r="N29" s="260"/>
      <c r="O29" s="542"/>
      <c r="P29" s="535"/>
    </row>
    <row r="30" spans="1:16" ht="15.75" customHeight="1" thickTop="1" thickBot="1">
      <c r="A30" s="516"/>
      <c r="B30" s="523"/>
      <c r="C30" s="539"/>
      <c r="D30" s="539"/>
      <c r="E30" s="539"/>
      <c r="F30" s="539"/>
      <c r="G30" s="539"/>
      <c r="H30" s="539"/>
      <c r="I30" s="540"/>
      <c r="J30" s="121" t="s">
        <v>204</v>
      </c>
      <c r="K30" s="171" t="e">
        <f>M30/#REF!</f>
        <v>#REF!</v>
      </c>
      <c r="L30" s="121" t="s">
        <v>205</v>
      </c>
      <c r="M30" s="34">
        <v>0</v>
      </c>
      <c r="N30" s="531"/>
      <c r="O30" s="532"/>
      <c r="P30" s="533"/>
    </row>
    <row r="31" spans="1:16" ht="15.75" customHeight="1" thickTop="1"/>
    <row r="32" spans="1:16" ht="15.75" customHeight="1">
      <c r="A32" s="515" t="s">
        <v>184</v>
      </c>
      <c r="B32" s="516"/>
      <c r="C32" s="119" t="s">
        <v>138</v>
      </c>
      <c r="D32" s="517" t="s">
        <v>139</v>
      </c>
      <c r="E32" s="518"/>
      <c r="F32" s="519"/>
      <c r="G32" s="117" t="s">
        <v>187</v>
      </c>
      <c r="H32" s="118"/>
      <c r="I32" s="119"/>
      <c r="J32" s="116" t="s">
        <v>188</v>
      </c>
      <c r="K32" s="116" t="s">
        <v>23</v>
      </c>
      <c r="L32" s="116" t="s">
        <v>189</v>
      </c>
      <c r="M32" s="120" t="s">
        <v>176</v>
      </c>
      <c r="N32" s="120" t="s">
        <v>143</v>
      </c>
      <c r="O32" s="520" t="s">
        <v>144</v>
      </c>
      <c r="P32" s="521"/>
    </row>
    <row r="33" spans="1:16" ht="15.75" customHeight="1">
      <c r="A33" s="516">
        <v>7</v>
      </c>
      <c r="B33" s="522" t="s">
        <v>207</v>
      </c>
      <c r="C33" s="114">
        <v>1</v>
      </c>
      <c r="D33" s="538"/>
      <c r="E33" s="527"/>
      <c r="F33" s="528"/>
      <c r="G33" s="538"/>
      <c r="H33" s="527"/>
      <c r="I33" s="52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16"/>
      <c r="B34" s="523"/>
      <c r="C34" s="114">
        <v>2</v>
      </c>
      <c r="D34" s="538"/>
      <c r="E34" s="527"/>
      <c r="F34" s="528"/>
      <c r="G34" s="538"/>
      <c r="H34" s="527"/>
      <c r="I34" s="52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16"/>
      <c r="B35" s="523"/>
      <c r="C35" s="114">
        <v>3</v>
      </c>
      <c r="D35" s="538"/>
      <c r="E35" s="527"/>
      <c r="F35" s="528"/>
      <c r="G35" s="538"/>
      <c r="H35" s="527"/>
      <c r="I35" s="52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16"/>
      <c r="B36" s="523"/>
      <c r="C36" s="114">
        <v>4</v>
      </c>
      <c r="D36" s="538"/>
      <c r="E36" s="527"/>
      <c r="F36" s="528"/>
      <c r="G36" s="538"/>
      <c r="H36" s="527"/>
      <c r="I36" s="528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16"/>
      <c r="B37" s="523"/>
      <c r="C37" s="115">
        <v>5</v>
      </c>
      <c r="D37" s="537"/>
      <c r="E37" s="525"/>
      <c r="F37" s="526"/>
      <c r="G37" s="537"/>
      <c r="H37" s="525"/>
      <c r="I37" s="52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16"/>
      <c r="B38" s="523"/>
      <c r="C38" s="539"/>
      <c r="D38" s="539"/>
      <c r="E38" s="539"/>
      <c r="F38" s="539"/>
      <c r="G38" s="539"/>
      <c r="H38" s="539"/>
      <c r="I38" s="540"/>
      <c r="J38" s="121" t="s">
        <v>204</v>
      </c>
      <c r="K38" s="171" t="e">
        <f>M38/#REF!</f>
        <v>#REF!</v>
      </c>
      <c r="L38" s="121" t="s">
        <v>205</v>
      </c>
      <c r="M38" s="34">
        <v>0</v>
      </c>
      <c r="N38" s="531"/>
      <c r="O38" s="532"/>
      <c r="P38" s="533"/>
    </row>
    <row r="39" spans="1:16" ht="15.75" customHeight="1" thickTop="1"/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Q31"/>
  <sheetViews>
    <sheetView view="pageBreakPreview" topLeftCell="A7" zoomScaleNormal="60" zoomScaleSheetLayoutView="100" workbookViewId="0">
      <selection activeCell="K24" sqref="K24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357" t="s">
        <v>133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</row>
    <row r="2" spans="1:17" s="123" customFormat="1" ht="15.7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</row>
    <row r="3" spans="1:17" ht="15.75" customHeight="1">
      <c r="A3" s="488" t="s">
        <v>223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</row>
    <row r="4" spans="1:17" s="123" customFormat="1" ht="15.75" customHeight="1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</row>
    <row r="5" spans="1:17" ht="15.75" customHeight="1">
      <c r="A5" s="394" t="s">
        <v>184</v>
      </c>
      <c r="B5" s="492">
        <v>1</v>
      </c>
      <c r="C5" s="492"/>
      <c r="D5" s="492">
        <v>2</v>
      </c>
      <c r="E5" s="492"/>
      <c r="F5" s="492">
        <v>3</v>
      </c>
      <c r="G5" s="492"/>
      <c r="H5" s="490">
        <v>4</v>
      </c>
      <c r="I5" s="490"/>
      <c r="J5" s="490">
        <v>5</v>
      </c>
      <c r="K5" s="490"/>
      <c r="L5" s="490">
        <v>6</v>
      </c>
      <c r="M5" s="490"/>
      <c r="N5" s="490">
        <v>7</v>
      </c>
      <c r="O5" s="490"/>
      <c r="P5" s="490">
        <v>8</v>
      </c>
      <c r="Q5" s="490"/>
    </row>
    <row r="6" spans="1:17" ht="15.75" customHeight="1">
      <c r="A6" s="394"/>
      <c r="B6" s="493" t="s">
        <v>172</v>
      </c>
      <c r="C6" s="493"/>
      <c r="D6" s="493" t="s">
        <v>185</v>
      </c>
      <c r="E6" s="493"/>
      <c r="F6" s="493" t="s">
        <v>174</v>
      </c>
      <c r="G6" s="493"/>
      <c r="H6" s="491" t="s">
        <v>175</v>
      </c>
      <c r="I6" s="491"/>
      <c r="J6" s="394" t="s">
        <v>179</v>
      </c>
      <c r="K6" s="394"/>
      <c r="L6" s="394" t="s">
        <v>180</v>
      </c>
      <c r="M6" s="394"/>
      <c r="N6" s="394" t="s">
        <v>181</v>
      </c>
      <c r="O6" s="394"/>
      <c r="P6" s="491" t="s">
        <v>186</v>
      </c>
      <c r="Q6" s="394"/>
    </row>
    <row r="8" spans="1:17" s="128" customFormat="1" ht="15.75" customHeight="1">
      <c r="A8" s="490" t="s">
        <v>184</v>
      </c>
      <c r="B8" s="490"/>
      <c r="C8" s="154" t="s">
        <v>138</v>
      </c>
      <c r="D8" s="506" t="s">
        <v>139</v>
      </c>
      <c r="E8" s="507"/>
      <c r="F8" s="508"/>
      <c r="G8" s="155" t="s">
        <v>187</v>
      </c>
      <c r="H8" s="156"/>
      <c r="I8" s="154"/>
      <c r="J8" s="157" t="s">
        <v>188</v>
      </c>
      <c r="K8" s="350" t="s">
        <v>26</v>
      </c>
      <c r="L8" s="157" t="s">
        <v>189</v>
      </c>
      <c r="M8" s="157" t="s">
        <v>176</v>
      </c>
      <c r="N8" s="157" t="s">
        <v>190</v>
      </c>
      <c r="O8" s="500" t="s">
        <v>144</v>
      </c>
      <c r="P8" s="501"/>
    </row>
    <row r="9" spans="1:17" ht="15.75" customHeight="1">
      <c r="A9" s="490">
        <v>1</v>
      </c>
      <c r="B9" s="505" t="s">
        <v>191</v>
      </c>
      <c r="C9" s="158">
        <v>1</v>
      </c>
      <c r="D9" s="497"/>
      <c r="E9" s="498"/>
      <c r="F9" s="499"/>
      <c r="G9" s="497"/>
      <c r="H9" s="498"/>
      <c r="I9" s="499"/>
      <c r="J9" s="159"/>
      <c r="K9" s="160"/>
      <c r="L9" s="159"/>
      <c r="M9" s="227">
        <f>L9*J9</f>
        <v>0</v>
      </c>
      <c r="N9" s="159"/>
      <c r="O9" s="502"/>
      <c r="P9" s="503"/>
    </row>
    <row r="10" spans="1:17" ht="15.75" customHeight="1">
      <c r="A10" s="490"/>
      <c r="B10" s="505"/>
      <c r="C10" s="158">
        <v>2</v>
      </c>
      <c r="D10" s="497"/>
      <c r="E10" s="498"/>
      <c r="F10" s="499"/>
      <c r="G10" s="497"/>
      <c r="H10" s="498"/>
      <c r="I10" s="499"/>
      <c r="J10" s="159"/>
      <c r="K10" s="160"/>
      <c r="L10" s="159"/>
      <c r="M10" s="227">
        <f t="shared" ref="M10:M13" si="0">L10*J10</f>
        <v>0</v>
      </c>
      <c r="N10" s="159"/>
      <c r="O10" s="502"/>
      <c r="P10" s="503"/>
    </row>
    <row r="11" spans="1:17" ht="15.75" customHeight="1">
      <c r="A11" s="490"/>
      <c r="B11" s="505"/>
      <c r="C11" s="158">
        <v>3</v>
      </c>
      <c r="D11" s="502"/>
      <c r="E11" s="498"/>
      <c r="F11" s="499"/>
      <c r="G11" s="497"/>
      <c r="H11" s="498"/>
      <c r="I11" s="499"/>
      <c r="J11" s="159"/>
      <c r="K11" s="160"/>
      <c r="L11" s="159"/>
      <c r="M11" s="227">
        <f t="shared" si="0"/>
        <v>0</v>
      </c>
      <c r="N11" s="159"/>
      <c r="O11" s="502"/>
      <c r="P11" s="503"/>
    </row>
    <row r="12" spans="1:17" ht="15.75" customHeight="1">
      <c r="A12" s="490"/>
      <c r="B12" s="505"/>
      <c r="C12" s="158">
        <v>4</v>
      </c>
      <c r="D12" s="497"/>
      <c r="E12" s="498"/>
      <c r="F12" s="499"/>
      <c r="G12" s="497"/>
      <c r="H12" s="498"/>
      <c r="I12" s="499"/>
      <c r="J12" s="159"/>
      <c r="K12" s="160"/>
      <c r="L12" s="159"/>
      <c r="M12" s="227">
        <f t="shared" si="0"/>
        <v>0</v>
      </c>
      <c r="N12" s="159"/>
      <c r="O12" s="162"/>
      <c r="P12" s="163"/>
    </row>
    <row r="13" spans="1:17" ht="15.75" customHeight="1" thickBot="1">
      <c r="A13" s="490"/>
      <c r="B13" s="505"/>
      <c r="C13" s="164">
        <v>5</v>
      </c>
      <c r="D13" s="511"/>
      <c r="E13" s="512"/>
      <c r="F13" s="513"/>
      <c r="G13" s="511"/>
      <c r="H13" s="512"/>
      <c r="I13" s="513"/>
      <c r="J13" s="165"/>
      <c r="K13" s="166"/>
      <c r="L13" s="165"/>
      <c r="M13" s="228">
        <f t="shared" si="0"/>
        <v>0</v>
      </c>
      <c r="N13" s="159"/>
      <c r="O13" s="168"/>
      <c r="P13" s="169"/>
    </row>
    <row r="14" spans="1:17" ht="15.75" customHeight="1" thickTop="1" thickBot="1">
      <c r="A14" s="490"/>
      <c r="B14" s="505"/>
      <c r="C14" s="509"/>
      <c r="D14" s="509"/>
      <c r="E14" s="509"/>
      <c r="F14" s="509"/>
      <c r="G14" s="509"/>
      <c r="H14" s="509"/>
      <c r="I14" s="510"/>
      <c r="J14" s="170" t="s">
        <v>204</v>
      </c>
      <c r="K14" s="171" t="e">
        <f>M14/#REF!</f>
        <v>#REF!</v>
      </c>
      <c r="L14" s="170" t="s">
        <v>205</v>
      </c>
      <c r="M14" s="172">
        <f>SUM(M9:M13)</f>
        <v>0</v>
      </c>
      <c r="N14" s="494"/>
      <c r="O14" s="495"/>
      <c r="P14" s="496"/>
    </row>
    <row r="15" spans="1:17" ht="15.75" customHeight="1" thickTop="1"/>
    <row r="16" spans="1:17" ht="15.75" customHeight="1">
      <c r="A16" s="490" t="s">
        <v>184</v>
      </c>
      <c r="B16" s="490"/>
      <c r="C16" s="154" t="s">
        <v>138</v>
      </c>
      <c r="D16" s="506" t="s">
        <v>139</v>
      </c>
      <c r="E16" s="507"/>
      <c r="F16" s="508"/>
      <c r="G16" s="155" t="s">
        <v>187</v>
      </c>
      <c r="H16" s="156"/>
      <c r="I16" s="154"/>
      <c r="J16" s="157" t="s">
        <v>188</v>
      </c>
      <c r="K16" s="350" t="s">
        <v>26</v>
      </c>
      <c r="L16" s="157" t="s">
        <v>189</v>
      </c>
      <c r="M16" s="157" t="s">
        <v>176</v>
      </c>
      <c r="N16" s="157" t="s">
        <v>190</v>
      </c>
      <c r="O16" s="500" t="s">
        <v>144</v>
      </c>
      <c r="P16" s="501"/>
    </row>
    <row r="17" spans="1:16" ht="15.75" customHeight="1">
      <c r="A17" s="490">
        <v>2</v>
      </c>
      <c r="B17" s="505" t="s">
        <v>206</v>
      </c>
      <c r="C17" s="158">
        <v>1</v>
      </c>
      <c r="D17" s="502"/>
      <c r="E17" s="498"/>
      <c r="F17" s="499"/>
      <c r="G17" s="497"/>
      <c r="H17" s="498"/>
      <c r="I17" s="499"/>
      <c r="J17" s="159"/>
      <c r="K17" s="160"/>
      <c r="L17" s="159"/>
      <c r="M17" s="227"/>
      <c r="N17" s="263"/>
      <c r="O17" s="486"/>
      <c r="P17" s="487"/>
    </row>
    <row r="18" spans="1:16" ht="15.75" customHeight="1">
      <c r="A18" s="490"/>
      <c r="B18" s="505"/>
      <c r="C18" s="158">
        <v>2</v>
      </c>
      <c r="D18" s="502"/>
      <c r="E18" s="498"/>
      <c r="F18" s="499"/>
      <c r="G18" s="502"/>
      <c r="H18" s="498"/>
      <c r="I18" s="499"/>
      <c r="J18" s="159"/>
      <c r="K18" s="160"/>
      <c r="L18" s="159"/>
      <c r="M18" s="227"/>
      <c r="N18" s="263"/>
      <c r="O18" s="486"/>
      <c r="P18" s="487"/>
    </row>
    <row r="19" spans="1:16" ht="15.75" customHeight="1">
      <c r="A19" s="490"/>
      <c r="B19" s="505"/>
      <c r="C19" s="158">
        <v>3</v>
      </c>
      <c r="D19" s="504"/>
      <c r="E19" s="498"/>
      <c r="F19" s="499"/>
      <c r="G19" s="497"/>
      <c r="H19" s="498"/>
      <c r="I19" s="499"/>
      <c r="J19" s="159"/>
      <c r="K19" s="160"/>
      <c r="L19" s="159"/>
      <c r="M19" s="227"/>
      <c r="N19" s="263"/>
      <c r="O19" s="486"/>
      <c r="P19" s="487"/>
    </row>
    <row r="20" spans="1:16" ht="15.75" customHeight="1">
      <c r="A20" s="490"/>
      <c r="B20" s="505"/>
      <c r="C20" s="158">
        <v>4</v>
      </c>
      <c r="D20" s="504"/>
      <c r="E20" s="498"/>
      <c r="F20" s="499"/>
      <c r="G20" s="497"/>
      <c r="H20" s="498"/>
      <c r="I20" s="499"/>
      <c r="J20" s="159"/>
      <c r="K20" s="160"/>
      <c r="L20" s="159"/>
      <c r="M20" s="227"/>
      <c r="N20" s="263"/>
      <c r="O20" s="486"/>
      <c r="P20" s="487"/>
    </row>
    <row r="21" spans="1:16" ht="15.75" customHeight="1" thickBot="1">
      <c r="A21" s="490"/>
      <c r="B21" s="505"/>
      <c r="C21" s="164">
        <v>5</v>
      </c>
      <c r="D21" s="497"/>
      <c r="E21" s="498"/>
      <c r="F21" s="499"/>
      <c r="G21" s="497"/>
      <c r="H21" s="498"/>
      <c r="I21" s="499"/>
      <c r="J21" s="159"/>
      <c r="K21" s="160"/>
      <c r="L21" s="159"/>
      <c r="M21" s="227"/>
      <c r="N21" s="263"/>
      <c r="O21" s="486"/>
      <c r="P21" s="487"/>
    </row>
    <row r="22" spans="1:16" ht="15.75" customHeight="1" thickTop="1" thickBot="1">
      <c r="A22" s="490"/>
      <c r="B22" s="505"/>
      <c r="C22" s="509"/>
      <c r="D22" s="509"/>
      <c r="E22" s="509"/>
      <c r="F22" s="509"/>
      <c r="G22" s="509"/>
      <c r="H22" s="509"/>
      <c r="I22" s="510"/>
      <c r="J22" s="170" t="s">
        <v>204</v>
      </c>
      <c r="K22" s="171" t="e">
        <f>M22/#REF!</f>
        <v>#REF!</v>
      </c>
      <c r="L22" s="170" t="s">
        <v>205</v>
      </c>
      <c r="M22" s="262">
        <f>SUM(M17:M21)</f>
        <v>0</v>
      </c>
      <c r="N22" s="494"/>
      <c r="O22" s="495"/>
      <c r="P22" s="496"/>
    </row>
    <row r="23" spans="1:16" ht="15.75" customHeight="1" thickTop="1"/>
    <row r="24" spans="1:16" ht="15.75" customHeight="1">
      <c r="A24" s="490" t="s">
        <v>184</v>
      </c>
      <c r="B24" s="490"/>
      <c r="C24" s="154" t="s">
        <v>138</v>
      </c>
      <c r="D24" s="506" t="s">
        <v>139</v>
      </c>
      <c r="E24" s="507"/>
      <c r="F24" s="508"/>
      <c r="G24" s="155" t="s">
        <v>187</v>
      </c>
      <c r="H24" s="156"/>
      <c r="I24" s="154"/>
      <c r="J24" s="157" t="s">
        <v>188</v>
      </c>
      <c r="K24" s="350" t="s">
        <v>26</v>
      </c>
      <c r="L24" s="157" t="s">
        <v>189</v>
      </c>
      <c r="M24" s="157" t="s">
        <v>176</v>
      </c>
      <c r="N24" s="157" t="s">
        <v>143</v>
      </c>
      <c r="O24" s="500" t="s">
        <v>144</v>
      </c>
      <c r="P24" s="501"/>
    </row>
    <row r="25" spans="1:16" ht="15.75" customHeight="1">
      <c r="A25" s="490">
        <v>3</v>
      </c>
      <c r="B25" s="505" t="s">
        <v>207</v>
      </c>
      <c r="C25" s="158">
        <v>1</v>
      </c>
      <c r="D25" s="497"/>
      <c r="E25" s="498"/>
      <c r="F25" s="499"/>
      <c r="G25" s="497"/>
      <c r="H25" s="498"/>
      <c r="I25" s="499"/>
      <c r="J25" s="159"/>
      <c r="K25" s="160"/>
      <c r="L25" s="159"/>
      <c r="M25" s="161">
        <f t="shared" ref="M25:M29" si="1">L25*J25</f>
        <v>0</v>
      </c>
      <c r="N25" s="159"/>
      <c r="O25" s="162"/>
      <c r="P25" s="163"/>
    </row>
    <row r="26" spans="1:16" ht="15.75" customHeight="1">
      <c r="A26" s="490"/>
      <c r="B26" s="505"/>
      <c r="C26" s="158">
        <v>2</v>
      </c>
      <c r="D26" s="497"/>
      <c r="E26" s="498"/>
      <c r="F26" s="499"/>
      <c r="G26" s="497"/>
      <c r="H26" s="498"/>
      <c r="I26" s="499"/>
      <c r="J26" s="159"/>
      <c r="K26" s="160"/>
      <c r="L26" s="159"/>
      <c r="M26" s="161">
        <f t="shared" si="1"/>
        <v>0</v>
      </c>
      <c r="N26" s="159"/>
      <c r="O26" s="162"/>
      <c r="P26" s="163"/>
    </row>
    <row r="27" spans="1:16" ht="15.75" customHeight="1">
      <c r="A27" s="490"/>
      <c r="B27" s="505"/>
      <c r="C27" s="158">
        <v>3</v>
      </c>
      <c r="D27" s="497"/>
      <c r="E27" s="498"/>
      <c r="F27" s="499"/>
      <c r="G27" s="497"/>
      <c r="H27" s="498"/>
      <c r="I27" s="499"/>
      <c r="J27" s="159"/>
      <c r="K27" s="160"/>
      <c r="L27" s="159"/>
      <c r="M27" s="161">
        <f t="shared" si="1"/>
        <v>0</v>
      </c>
      <c r="N27" s="159"/>
      <c r="O27" s="162"/>
      <c r="P27" s="163"/>
    </row>
    <row r="28" spans="1:16" ht="15.75" customHeight="1">
      <c r="A28" s="490"/>
      <c r="B28" s="505"/>
      <c r="C28" s="158">
        <v>4</v>
      </c>
      <c r="D28" s="497"/>
      <c r="E28" s="498"/>
      <c r="F28" s="499"/>
      <c r="G28" s="497"/>
      <c r="H28" s="498"/>
      <c r="I28" s="499"/>
      <c r="J28" s="159"/>
      <c r="K28" s="160"/>
      <c r="L28" s="159"/>
      <c r="M28" s="161">
        <f t="shared" si="1"/>
        <v>0</v>
      </c>
      <c r="N28" s="159"/>
      <c r="O28" s="162"/>
      <c r="P28" s="163"/>
    </row>
    <row r="29" spans="1:16" ht="15.75" customHeight="1" thickBot="1">
      <c r="A29" s="490"/>
      <c r="B29" s="505"/>
      <c r="C29" s="164">
        <v>5</v>
      </c>
      <c r="D29" s="511"/>
      <c r="E29" s="512"/>
      <c r="F29" s="513"/>
      <c r="G29" s="511"/>
      <c r="H29" s="512"/>
      <c r="I29" s="513"/>
      <c r="J29" s="165"/>
      <c r="K29" s="166"/>
      <c r="L29" s="165"/>
      <c r="M29" s="167">
        <f t="shared" si="1"/>
        <v>0</v>
      </c>
      <c r="N29" s="159"/>
      <c r="O29" s="168"/>
      <c r="P29" s="169"/>
    </row>
    <row r="30" spans="1:16" ht="15.75" customHeight="1" thickTop="1" thickBot="1">
      <c r="A30" s="490"/>
      <c r="B30" s="505"/>
      <c r="C30" s="509"/>
      <c r="D30" s="509"/>
      <c r="E30" s="509"/>
      <c r="F30" s="509"/>
      <c r="G30" s="509"/>
      <c r="H30" s="509"/>
      <c r="I30" s="510"/>
      <c r="J30" s="170" t="s">
        <v>204</v>
      </c>
      <c r="K30" s="171" t="e">
        <f>M30/#REF!</f>
        <v>#REF!</v>
      </c>
      <c r="L30" s="170" t="s">
        <v>205</v>
      </c>
      <c r="M30" s="172">
        <f>SUM(M25:M29)</f>
        <v>0</v>
      </c>
      <c r="N30" s="494"/>
      <c r="O30" s="495"/>
      <c r="P30" s="496"/>
    </row>
    <row r="31" spans="1:16" ht="15.75" customHeight="1" thickTop="1"/>
  </sheetData>
  <mergeCells count="7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Q39"/>
  <sheetViews>
    <sheetView view="pageBreakPreview" topLeftCell="A4" zoomScale="115" zoomScaleNormal="60" zoomScaleSheetLayoutView="115" workbookViewId="0">
      <selection activeCell="M13" sqref="M1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357" t="s">
        <v>133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</row>
    <row r="2" spans="1:17" s="123" customFormat="1" ht="15.7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</row>
    <row r="3" spans="1:17" s="122" customFormat="1" ht="15.75" customHeight="1">
      <c r="A3" s="488" t="s">
        <v>223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</row>
    <row r="4" spans="1:17" s="123" customFormat="1" ht="15.75" customHeight="1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</row>
    <row r="5" spans="1:17" s="122" customFormat="1" ht="15.75" customHeight="1">
      <c r="A5" s="394" t="s">
        <v>184</v>
      </c>
      <c r="B5" s="490">
        <v>1</v>
      </c>
      <c r="C5" s="490"/>
      <c r="D5" s="490">
        <v>2</v>
      </c>
      <c r="E5" s="490"/>
      <c r="F5" s="490">
        <v>3</v>
      </c>
      <c r="G5" s="490"/>
      <c r="H5" s="492">
        <v>4</v>
      </c>
      <c r="I5" s="492"/>
      <c r="J5" s="492">
        <v>5</v>
      </c>
      <c r="K5" s="492"/>
      <c r="L5" s="492">
        <v>6</v>
      </c>
      <c r="M5" s="492"/>
      <c r="N5" s="492">
        <v>7</v>
      </c>
      <c r="O5" s="492"/>
      <c r="P5" s="490">
        <v>8</v>
      </c>
      <c r="Q5" s="490"/>
    </row>
    <row r="6" spans="1:17" s="122" customFormat="1" ht="15.75" customHeight="1">
      <c r="A6" s="394"/>
      <c r="B6" s="394" t="s">
        <v>172</v>
      </c>
      <c r="C6" s="394"/>
      <c r="D6" s="394" t="s">
        <v>185</v>
      </c>
      <c r="E6" s="394"/>
      <c r="F6" s="394" t="s">
        <v>174</v>
      </c>
      <c r="G6" s="394"/>
      <c r="H6" s="493" t="s">
        <v>224</v>
      </c>
      <c r="I6" s="493"/>
      <c r="J6" s="493" t="s">
        <v>179</v>
      </c>
      <c r="K6" s="493"/>
      <c r="L6" s="493" t="s">
        <v>180</v>
      </c>
      <c r="M6" s="493"/>
      <c r="N6" s="493" t="s">
        <v>181</v>
      </c>
      <c r="O6" s="493"/>
      <c r="P6" s="491" t="s">
        <v>186</v>
      </c>
      <c r="Q6" s="394"/>
    </row>
    <row r="7" spans="1:17" s="122" customFormat="1" ht="15.75" customHeight="1">
      <c r="B7" s="173"/>
      <c r="C7" s="152"/>
    </row>
    <row r="8" spans="1:17" s="112" customFormat="1" ht="15.75" customHeight="1">
      <c r="A8" s="515" t="s">
        <v>184</v>
      </c>
      <c r="B8" s="516"/>
      <c r="C8" s="119" t="s">
        <v>138</v>
      </c>
      <c r="D8" s="517" t="s">
        <v>139</v>
      </c>
      <c r="E8" s="518"/>
      <c r="F8" s="519"/>
      <c r="G8" s="117" t="s">
        <v>187</v>
      </c>
      <c r="H8" s="118"/>
      <c r="I8" s="119"/>
      <c r="J8" s="116" t="s">
        <v>188</v>
      </c>
      <c r="K8" s="350" t="s">
        <v>26</v>
      </c>
      <c r="L8" s="116" t="s">
        <v>189</v>
      </c>
      <c r="M8" s="120" t="s">
        <v>176</v>
      </c>
      <c r="N8" s="120" t="s">
        <v>190</v>
      </c>
      <c r="O8" s="520" t="s">
        <v>144</v>
      </c>
      <c r="P8" s="521"/>
    </row>
    <row r="9" spans="1:17" ht="15.75" customHeight="1">
      <c r="A9" s="516">
        <v>4</v>
      </c>
      <c r="B9" s="522" t="s">
        <v>208</v>
      </c>
      <c r="C9" s="114">
        <v>1</v>
      </c>
      <c r="D9" s="524" t="s">
        <v>225</v>
      </c>
      <c r="E9" s="525"/>
      <c r="F9" s="526"/>
      <c r="G9" s="502" t="s">
        <v>226</v>
      </c>
      <c r="H9" s="527"/>
      <c r="I9" s="528"/>
      <c r="J9" s="4">
        <v>164</v>
      </c>
      <c r="K9" s="14">
        <v>3.7999999999999999E-2</v>
      </c>
      <c r="L9" s="4">
        <v>212.32</v>
      </c>
      <c r="M9" s="230">
        <f t="shared" ref="M9:M12" si="0">L9*J9</f>
        <v>34820.479999999996</v>
      </c>
      <c r="N9" s="260"/>
      <c r="O9" s="534" t="s">
        <v>227</v>
      </c>
      <c r="P9" s="535"/>
    </row>
    <row r="10" spans="1:17" ht="15.75" customHeight="1">
      <c r="A10" s="516"/>
      <c r="B10" s="523"/>
      <c r="C10" s="114">
        <v>2</v>
      </c>
      <c r="D10" s="529" t="s">
        <v>165</v>
      </c>
      <c r="E10" s="527"/>
      <c r="F10" s="528"/>
      <c r="G10" s="530" t="s">
        <v>215</v>
      </c>
      <c r="H10" s="527"/>
      <c r="I10" s="528"/>
      <c r="J10" s="4">
        <v>85</v>
      </c>
      <c r="K10" s="14">
        <v>2.1999999999999999E-2</v>
      </c>
      <c r="L10" s="4">
        <v>246.14</v>
      </c>
      <c r="M10" s="230">
        <f t="shared" si="0"/>
        <v>20921.899999999998</v>
      </c>
      <c r="N10" s="260"/>
      <c r="O10" s="534" t="s">
        <v>227</v>
      </c>
      <c r="P10" s="535"/>
    </row>
    <row r="11" spans="1:17" ht="15.75" customHeight="1">
      <c r="A11" s="516"/>
      <c r="B11" s="523"/>
      <c r="C11" s="114">
        <v>3</v>
      </c>
      <c r="D11" s="529" t="s">
        <v>228</v>
      </c>
      <c r="E11" s="527"/>
      <c r="F11" s="528"/>
      <c r="G11" s="530" t="s">
        <v>229</v>
      </c>
      <c r="H11" s="527"/>
      <c r="I11" s="528"/>
      <c r="J11" s="4">
        <v>589.98</v>
      </c>
      <c r="K11" s="14">
        <v>8.9999999999999993E-3</v>
      </c>
      <c r="L11" s="4">
        <v>26.6</v>
      </c>
      <c r="M11" s="230">
        <f t="shared" si="0"/>
        <v>15693.468000000001</v>
      </c>
      <c r="N11" s="260"/>
      <c r="O11" s="534" t="s">
        <v>227</v>
      </c>
      <c r="P11" s="535"/>
    </row>
    <row r="12" spans="1:17" ht="15.75" customHeight="1">
      <c r="A12" s="516"/>
      <c r="B12" s="523"/>
      <c r="C12" s="114">
        <v>4</v>
      </c>
      <c r="D12" s="529" t="s">
        <v>160</v>
      </c>
      <c r="E12" s="527"/>
      <c r="F12" s="528"/>
      <c r="G12" s="502" t="s">
        <v>230</v>
      </c>
      <c r="H12" s="527"/>
      <c r="I12" s="528"/>
      <c r="J12" s="4">
        <v>38.06</v>
      </c>
      <c r="K12" s="14">
        <v>4.7E-2</v>
      </c>
      <c r="L12" s="4">
        <v>220.31</v>
      </c>
      <c r="M12" s="230">
        <f t="shared" si="0"/>
        <v>8384.9986000000008</v>
      </c>
      <c r="N12" s="260"/>
      <c r="O12" s="534" t="s">
        <v>227</v>
      </c>
      <c r="P12" s="535"/>
    </row>
    <row r="13" spans="1:17" ht="15.75" customHeight="1" thickBot="1">
      <c r="A13" s="516"/>
      <c r="B13" s="523"/>
      <c r="C13" s="115">
        <v>5</v>
      </c>
      <c r="D13" s="529" t="s">
        <v>160</v>
      </c>
      <c r="E13" s="527"/>
      <c r="F13" s="528"/>
      <c r="G13" s="524" t="s">
        <v>231</v>
      </c>
      <c r="H13" s="525"/>
      <c r="I13" s="526"/>
      <c r="J13" s="27">
        <v>116.97</v>
      </c>
      <c r="K13" s="30">
        <v>1.7000000000000001E-2</v>
      </c>
      <c r="L13" s="27">
        <v>57.1</v>
      </c>
      <c r="M13" s="230">
        <f t="shared" ref="M13" si="1">L13*J13</f>
        <v>6678.9870000000001</v>
      </c>
      <c r="N13" s="260"/>
      <c r="O13" s="534" t="s">
        <v>227</v>
      </c>
      <c r="P13" s="535"/>
    </row>
    <row r="14" spans="1:17" ht="15.75" customHeight="1" thickTop="1" thickBot="1">
      <c r="A14" s="516"/>
      <c r="B14" s="523"/>
      <c r="C14" s="539"/>
      <c r="D14" s="539"/>
      <c r="E14" s="539"/>
      <c r="F14" s="539"/>
      <c r="G14" s="539"/>
      <c r="H14" s="539"/>
      <c r="I14" s="540"/>
      <c r="J14" s="121" t="s">
        <v>204</v>
      </c>
      <c r="K14" s="171" t="e">
        <f>M14/#REF!</f>
        <v>#REF!</v>
      </c>
      <c r="L14" s="121" t="s">
        <v>205</v>
      </c>
      <c r="M14" s="34">
        <v>0</v>
      </c>
      <c r="N14" s="531"/>
      <c r="O14" s="532"/>
      <c r="P14" s="533"/>
    </row>
    <row r="15" spans="1:17" ht="15.75" customHeight="1" thickTop="1"/>
    <row r="16" spans="1:17" ht="15.75" customHeight="1">
      <c r="A16" s="515" t="s">
        <v>184</v>
      </c>
      <c r="B16" s="516"/>
      <c r="C16" s="119" t="s">
        <v>138</v>
      </c>
      <c r="D16" s="517" t="s">
        <v>139</v>
      </c>
      <c r="E16" s="518"/>
      <c r="F16" s="519"/>
      <c r="G16" s="117" t="s">
        <v>187</v>
      </c>
      <c r="H16" s="118"/>
      <c r="I16" s="119"/>
      <c r="J16" s="116" t="s">
        <v>188</v>
      </c>
      <c r="K16" s="350" t="s">
        <v>26</v>
      </c>
      <c r="L16" s="116" t="s">
        <v>189</v>
      </c>
      <c r="M16" s="120" t="s">
        <v>176</v>
      </c>
      <c r="N16" s="120" t="s">
        <v>190</v>
      </c>
      <c r="O16" s="520" t="s">
        <v>144</v>
      </c>
      <c r="P16" s="521"/>
    </row>
    <row r="17" spans="1:16" ht="15.75" customHeight="1">
      <c r="A17" s="516">
        <v>5</v>
      </c>
      <c r="B17" s="522" t="s">
        <v>218</v>
      </c>
      <c r="C17" s="114">
        <v>1</v>
      </c>
      <c r="D17" s="504" t="s">
        <v>168</v>
      </c>
      <c r="E17" s="527"/>
      <c r="F17" s="528"/>
      <c r="G17" s="536" t="s">
        <v>232</v>
      </c>
      <c r="H17" s="527"/>
      <c r="I17" s="528"/>
      <c r="J17" s="4">
        <v>81.19</v>
      </c>
      <c r="K17" s="14">
        <v>0.24199999999999999</v>
      </c>
      <c r="L17" s="4">
        <v>262.49599999999998</v>
      </c>
      <c r="M17" s="229">
        <f t="shared" ref="M17:M20" si="2">L17*J17</f>
        <v>21312.050239999997</v>
      </c>
      <c r="N17" s="4"/>
      <c r="O17" s="534"/>
      <c r="P17" s="535"/>
    </row>
    <row r="18" spans="1:16" ht="15.75" customHeight="1">
      <c r="A18" s="516"/>
      <c r="B18" s="523"/>
      <c r="C18" s="114">
        <v>2</v>
      </c>
      <c r="D18" s="504"/>
      <c r="E18" s="527"/>
      <c r="F18" s="528"/>
      <c r="G18" s="536"/>
      <c r="H18" s="527"/>
      <c r="I18" s="528"/>
      <c r="J18" s="4"/>
      <c r="K18" s="14"/>
      <c r="L18" s="4"/>
      <c r="M18" s="229">
        <f t="shared" si="2"/>
        <v>0</v>
      </c>
      <c r="N18" s="4"/>
      <c r="O18" s="534"/>
      <c r="P18" s="535"/>
    </row>
    <row r="19" spans="1:16" ht="15.75" customHeight="1">
      <c r="A19" s="516"/>
      <c r="B19" s="523"/>
      <c r="C19" s="114">
        <v>3</v>
      </c>
      <c r="D19" s="538"/>
      <c r="E19" s="527"/>
      <c r="F19" s="528"/>
      <c r="G19" s="538"/>
      <c r="H19" s="527"/>
      <c r="I19" s="528"/>
      <c r="J19" s="4"/>
      <c r="K19" s="14"/>
      <c r="L19" s="4"/>
      <c r="M19" s="229">
        <f t="shared" si="2"/>
        <v>0</v>
      </c>
      <c r="N19" s="4"/>
      <c r="O19" s="534"/>
      <c r="P19" s="535"/>
    </row>
    <row r="20" spans="1:16" ht="15.75" customHeight="1">
      <c r="A20" s="516"/>
      <c r="B20" s="523"/>
      <c r="C20" s="114">
        <v>4</v>
      </c>
      <c r="D20" s="538"/>
      <c r="E20" s="527"/>
      <c r="F20" s="528"/>
      <c r="G20" s="538"/>
      <c r="H20" s="527"/>
      <c r="I20" s="528"/>
      <c r="J20" s="4"/>
      <c r="K20" s="14"/>
      <c r="L20" s="4"/>
      <c r="M20" s="229">
        <f t="shared" si="2"/>
        <v>0</v>
      </c>
      <c r="N20" s="4"/>
      <c r="O20" s="76"/>
      <c r="P20" s="74"/>
    </row>
    <row r="21" spans="1:16" ht="15.75" customHeight="1" thickBot="1">
      <c r="A21" s="516"/>
      <c r="B21" s="523"/>
      <c r="C21" s="115">
        <v>5</v>
      </c>
      <c r="D21" s="537"/>
      <c r="E21" s="525"/>
      <c r="F21" s="526"/>
      <c r="G21" s="537"/>
      <c r="H21" s="525"/>
      <c r="I21" s="526"/>
      <c r="J21" s="27"/>
      <c r="K21" s="30"/>
      <c r="L21" s="27"/>
      <c r="M21" s="229">
        <f t="shared" ref="M21" si="3">L21*J21</f>
        <v>0</v>
      </c>
      <c r="N21" s="4"/>
      <c r="O21" s="77"/>
      <c r="P21" s="75"/>
    </row>
    <row r="22" spans="1:16" ht="15.75" customHeight="1" thickTop="1" thickBot="1">
      <c r="A22" s="516"/>
      <c r="B22" s="523"/>
      <c r="C22" s="539"/>
      <c r="D22" s="539"/>
      <c r="E22" s="539"/>
      <c r="F22" s="539"/>
      <c r="G22" s="539"/>
      <c r="H22" s="539"/>
      <c r="I22" s="540"/>
      <c r="J22" s="121" t="s">
        <v>204</v>
      </c>
      <c r="K22" s="171" t="e">
        <f>M22/#REF!</f>
        <v>#REF!</v>
      </c>
      <c r="L22" s="121" t="s">
        <v>205</v>
      </c>
      <c r="M22" s="34">
        <v>0</v>
      </c>
      <c r="N22" s="531"/>
      <c r="O22" s="532"/>
      <c r="P22" s="533"/>
    </row>
    <row r="23" spans="1:16" ht="15.75" customHeight="1" thickTop="1"/>
    <row r="24" spans="1:16" ht="15.75" customHeight="1">
      <c r="A24" s="515" t="s">
        <v>184</v>
      </c>
      <c r="B24" s="516"/>
      <c r="C24" s="119" t="s">
        <v>138</v>
      </c>
      <c r="D24" s="517" t="s">
        <v>139</v>
      </c>
      <c r="E24" s="518"/>
      <c r="F24" s="519"/>
      <c r="G24" s="117" t="s">
        <v>187</v>
      </c>
      <c r="H24" s="118"/>
      <c r="I24" s="119"/>
      <c r="J24" s="116" t="s">
        <v>188</v>
      </c>
      <c r="K24" s="350" t="s">
        <v>26</v>
      </c>
      <c r="L24" s="116" t="s">
        <v>189</v>
      </c>
      <c r="M24" s="120" t="s">
        <v>176</v>
      </c>
      <c r="N24" s="120" t="s">
        <v>143</v>
      </c>
      <c r="O24" s="520" t="s">
        <v>144</v>
      </c>
      <c r="P24" s="521"/>
    </row>
    <row r="25" spans="1:16" ht="15.75" customHeight="1">
      <c r="A25" s="516">
        <v>6</v>
      </c>
      <c r="B25" s="522" t="s">
        <v>220</v>
      </c>
      <c r="C25" s="114">
        <v>1</v>
      </c>
      <c r="D25" s="497" t="s">
        <v>221</v>
      </c>
      <c r="E25" s="498"/>
      <c r="F25" s="499"/>
      <c r="G25" s="497" t="s">
        <v>222</v>
      </c>
      <c r="H25" s="498"/>
      <c r="I25" s="499"/>
      <c r="J25" s="159">
        <v>335.3</v>
      </c>
      <c r="K25" s="160">
        <v>6.0000000000000001E-3</v>
      </c>
      <c r="L25" s="159">
        <v>30.596</v>
      </c>
      <c r="M25" s="229">
        <f t="shared" ref="M25:M29" si="4">L25*J25</f>
        <v>10258.8388</v>
      </c>
      <c r="N25" s="260"/>
      <c r="O25" s="502"/>
      <c r="P25" s="503"/>
    </row>
    <row r="26" spans="1:16" ht="15.75" customHeight="1">
      <c r="A26" s="516"/>
      <c r="B26" s="523"/>
      <c r="C26" s="114">
        <v>2</v>
      </c>
      <c r="D26" s="502" t="s">
        <v>155</v>
      </c>
      <c r="E26" s="527"/>
      <c r="F26" s="528"/>
      <c r="G26" s="502" t="s">
        <v>233</v>
      </c>
      <c r="H26" s="527"/>
      <c r="I26" s="528"/>
      <c r="J26" s="4">
        <v>421.32</v>
      </c>
      <c r="K26" s="14">
        <v>4.0000000000000001E-3</v>
      </c>
      <c r="L26" s="4">
        <v>22.385000000000002</v>
      </c>
      <c r="M26" s="229">
        <f t="shared" si="4"/>
        <v>9431.2482</v>
      </c>
      <c r="N26" s="260"/>
      <c r="O26" s="502"/>
      <c r="P26" s="503"/>
    </row>
    <row r="27" spans="1:16" ht="15.75" customHeight="1">
      <c r="A27" s="516"/>
      <c r="B27" s="523"/>
      <c r="C27" s="114">
        <v>3</v>
      </c>
      <c r="D27" s="502"/>
      <c r="E27" s="527"/>
      <c r="F27" s="528"/>
      <c r="G27" s="536"/>
      <c r="H27" s="527"/>
      <c r="I27" s="528"/>
      <c r="J27" s="4"/>
      <c r="K27" s="14"/>
      <c r="L27" s="4"/>
      <c r="M27" s="229">
        <f t="shared" si="4"/>
        <v>0</v>
      </c>
      <c r="N27" s="260"/>
      <c r="O27" s="502"/>
      <c r="P27" s="503"/>
    </row>
    <row r="28" spans="1:16" ht="15.75" customHeight="1">
      <c r="A28" s="516"/>
      <c r="B28" s="523"/>
      <c r="C28" s="114">
        <v>4</v>
      </c>
      <c r="D28" s="538"/>
      <c r="E28" s="527"/>
      <c r="F28" s="528"/>
      <c r="G28" s="538"/>
      <c r="H28" s="527"/>
      <c r="I28" s="528"/>
      <c r="J28" s="4"/>
      <c r="K28" s="14"/>
      <c r="L28" s="4"/>
      <c r="M28" s="229">
        <f t="shared" si="4"/>
        <v>0</v>
      </c>
      <c r="N28" s="260"/>
      <c r="O28" s="534"/>
      <c r="P28" s="541"/>
    </row>
    <row r="29" spans="1:16" ht="15.75" customHeight="1" thickBot="1">
      <c r="A29" s="516"/>
      <c r="B29" s="523"/>
      <c r="C29" s="115">
        <v>5</v>
      </c>
      <c r="D29" s="537"/>
      <c r="E29" s="525"/>
      <c r="F29" s="526"/>
      <c r="G29" s="537"/>
      <c r="H29" s="525"/>
      <c r="I29" s="526"/>
      <c r="J29" s="27"/>
      <c r="K29" s="30"/>
      <c r="L29" s="27"/>
      <c r="M29" s="229">
        <f t="shared" si="4"/>
        <v>0</v>
      </c>
      <c r="N29" s="260"/>
      <c r="O29" s="542"/>
      <c r="P29" s="535"/>
    </row>
    <row r="30" spans="1:16" ht="15.75" customHeight="1" thickTop="1" thickBot="1">
      <c r="A30" s="516"/>
      <c r="B30" s="523"/>
      <c r="C30" s="539"/>
      <c r="D30" s="539"/>
      <c r="E30" s="539"/>
      <c r="F30" s="539"/>
      <c r="G30" s="539"/>
      <c r="H30" s="539"/>
      <c r="I30" s="540"/>
      <c r="J30" s="121" t="s">
        <v>204</v>
      </c>
      <c r="K30" s="171" t="e">
        <f>M30/#REF!</f>
        <v>#REF!</v>
      </c>
      <c r="L30" s="121" t="s">
        <v>205</v>
      </c>
      <c r="M30" s="34">
        <v>0</v>
      </c>
      <c r="N30" s="531"/>
      <c r="O30" s="532"/>
      <c r="P30" s="533"/>
    </row>
    <row r="31" spans="1:16" ht="15.75" customHeight="1" thickTop="1"/>
    <row r="32" spans="1:16" ht="15.75" customHeight="1">
      <c r="A32" s="515" t="s">
        <v>184</v>
      </c>
      <c r="B32" s="516"/>
      <c r="C32" s="119" t="s">
        <v>138</v>
      </c>
      <c r="D32" s="517" t="s">
        <v>139</v>
      </c>
      <c r="E32" s="518"/>
      <c r="F32" s="519"/>
      <c r="G32" s="117" t="s">
        <v>187</v>
      </c>
      <c r="H32" s="118"/>
      <c r="I32" s="119"/>
      <c r="J32" s="116" t="s">
        <v>188</v>
      </c>
      <c r="K32" s="116" t="s">
        <v>23</v>
      </c>
      <c r="L32" s="116" t="s">
        <v>189</v>
      </c>
      <c r="M32" s="120" t="s">
        <v>176</v>
      </c>
      <c r="N32" s="120" t="s">
        <v>143</v>
      </c>
      <c r="O32" s="520" t="s">
        <v>144</v>
      </c>
      <c r="P32" s="521"/>
    </row>
    <row r="33" spans="1:16" ht="15.75" customHeight="1">
      <c r="A33" s="516">
        <v>7</v>
      </c>
      <c r="B33" s="522" t="s">
        <v>207</v>
      </c>
      <c r="C33" s="114">
        <v>1</v>
      </c>
      <c r="D33" s="538"/>
      <c r="E33" s="527"/>
      <c r="F33" s="528"/>
      <c r="G33" s="538"/>
      <c r="H33" s="527"/>
      <c r="I33" s="52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16"/>
      <c r="B34" s="523"/>
      <c r="C34" s="114">
        <v>2</v>
      </c>
      <c r="D34" s="538"/>
      <c r="E34" s="527"/>
      <c r="F34" s="528"/>
      <c r="G34" s="538"/>
      <c r="H34" s="527"/>
      <c r="I34" s="52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16"/>
      <c r="B35" s="523"/>
      <c r="C35" s="114">
        <v>3</v>
      </c>
      <c r="D35" s="538"/>
      <c r="E35" s="527"/>
      <c r="F35" s="528"/>
      <c r="G35" s="538"/>
      <c r="H35" s="527"/>
      <c r="I35" s="52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16"/>
      <c r="B36" s="523"/>
      <c r="C36" s="114">
        <v>4</v>
      </c>
      <c r="D36" s="538"/>
      <c r="E36" s="527"/>
      <c r="F36" s="528"/>
      <c r="G36" s="538"/>
      <c r="H36" s="527"/>
      <c r="I36" s="528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16"/>
      <c r="B37" s="523"/>
      <c r="C37" s="115">
        <v>5</v>
      </c>
      <c r="D37" s="537"/>
      <c r="E37" s="525"/>
      <c r="F37" s="526"/>
      <c r="G37" s="537"/>
      <c r="H37" s="525"/>
      <c r="I37" s="52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16"/>
      <c r="B38" s="523"/>
      <c r="C38" s="539"/>
      <c r="D38" s="539"/>
      <c r="E38" s="539"/>
      <c r="F38" s="539"/>
      <c r="G38" s="539"/>
      <c r="H38" s="539"/>
      <c r="I38" s="540"/>
      <c r="J38" s="121" t="s">
        <v>204</v>
      </c>
      <c r="K38" s="171" t="e">
        <f>M38/#REF!</f>
        <v>#REF!</v>
      </c>
      <c r="L38" s="121" t="s">
        <v>205</v>
      </c>
      <c r="M38" s="34">
        <v>0</v>
      </c>
      <c r="N38" s="531"/>
      <c r="O38" s="532"/>
      <c r="P38" s="533"/>
    </row>
    <row r="39" spans="1:16" ht="15.75" customHeight="1" thickTop="1"/>
  </sheetData>
  <mergeCells count="10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D19:F19"/>
    <mergeCell ref="G19:I19"/>
    <mergeCell ref="O19:P19"/>
    <mergeCell ref="D20:F20"/>
    <mergeCell ref="G20:I20"/>
    <mergeCell ref="G17:I17"/>
    <mergeCell ref="O17:P17"/>
    <mergeCell ref="D18:F18"/>
    <mergeCell ref="G18:I18"/>
    <mergeCell ref="O18:P18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H6" sqref="H6:I6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357" t="s">
        <v>133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</row>
    <row r="2" spans="1:17" s="123" customFormat="1" ht="15.75" customHeight="1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</row>
    <row r="3" spans="1:17" ht="15.75" customHeight="1">
      <c r="A3" s="488" t="s">
        <v>234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</row>
    <row r="4" spans="1:17" s="123" customFormat="1" ht="15.75" customHeight="1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  <c r="N4" s="544"/>
      <c r="O4" s="544"/>
      <c r="P4" s="544"/>
      <c r="Q4" s="544"/>
    </row>
    <row r="5" spans="1:17" ht="15.75" customHeight="1">
      <c r="A5" s="394" t="s">
        <v>184</v>
      </c>
      <c r="B5" s="490">
        <v>1</v>
      </c>
      <c r="C5" s="490"/>
      <c r="D5" s="490">
        <v>2</v>
      </c>
      <c r="E5" s="490"/>
      <c r="F5" s="490">
        <v>3</v>
      </c>
      <c r="G5" s="490"/>
      <c r="H5" s="490">
        <v>4</v>
      </c>
      <c r="I5" s="490"/>
      <c r="J5" s="490">
        <v>5</v>
      </c>
      <c r="K5" s="490"/>
      <c r="L5" s="490">
        <v>6</v>
      </c>
      <c r="M5" s="490"/>
      <c r="N5" s="490">
        <v>7</v>
      </c>
      <c r="O5" s="490"/>
      <c r="P5" s="492">
        <v>8</v>
      </c>
      <c r="Q5" s="492"/>
    </row>
    <row r="6" spans="1:17" ht="15.75" customHeight="1">
      <c r="A6" s="394"/>
      <c r="B6" s="394" t="s">
        <v>172</v>
      </c>
      <c r="C6" s="394"/>
      <c r="D6" s="394" t="s">
        <v>185</v>
      </c>
      <c r="E6" s="394"/>
      <c r="F6" s="394" t="s">
        <v>174</v>
      </c>
      <c r="G6" s="394"/>
      <c r="H6" s="491" t="s">
        <v>175</v>
      </c>
      <c r="I6" s="491"/>
      <c r="J6" s="394" t="s">
        <v>179</v>
      </c>
      <c r="K6" s="394"/>
      <c r="L6" s="394" t="s">
        <v>180</v>
      </c>
      <c r="M6" s="394"/>
      <c r="N6" s="394" t="s">
        <v>181</v>
      </c>
      <c r="O6" s="394"/>
      <c r="P6" s="493" t="s">
        <v>186</v>
      </c>
      <c r="Q6" s="493"/>
    </row>
    <row r="8" spans="1:17" s="128" customFormat="1" ht="15.75" customHeight="1">
      <c r="A8" s="153" t="s">
        <v>184</v>
      </c>
      <c r="B8" s="177" t="s">
        <v>235</v>
      </c>
      <c r="C8" s="545" t="s">
        <v>139</v>
      </c>
      <c r="D8" s="545"/>
      <c r="E8" s="545"/>
      <c r="F8" s="545" t="s">
        <v>187</v>
      </c>
      <c r="G8" s="545"/>
      <c r="H8" s="545"/>
      <c r="I8" s="177" t="s">
        <v>188</v>
      </c>
      <c r="J8" s="178" t="s">
        <v>236</v>
      </c>
      <c r="K8" s="177" t="s">
        <v>237</v>
      </c>
      <c r="L8" s="177" t="s">
        <v>10</v>
      </c>
      <c r="M8" s="548" t="s">
        <v>238</v>
      </c>
      <c r="N8" s="509"/>
      <c r="O8" s="509"/>
      <c r="P8" s="509"/>
      <c r="Q8" s="509"/>
    </row>
    <row r="9" spans="1:17" ht="15.75" customHeight="1">
      <c r="A9" s="545" t="s">
        <v>239</v>
      </c>
      <c r="B9" s="151">
        <v>1</v>
      </c>
      <c r="C9" s="546"/>
      <c r="D9" s="547"/>
      <c r="E9" s="547"/>
      <c r="F9" s="546"/>
      <c r="G9" s="547"/>
      <c r="H9" s="547"/>
      <c r="I9" s="130"/>
      <c r="J9" s="141"/>
      <c r="K9" s="141"/>
      <c r="L9" s="176">
        <f t="shared" ref="L9:L13" si="0">K9-J9</f>
        <v>0</v>
      </c>
      <c r="M9" s="546"/>
      <c r="N9" s="546"/>
      <c r="O9" s="546"/>
      <c r="P9" s="546"/>
      <c r="Q9" s="546"/>
    </row>
    <row r="10" spans="1:17" ht="15.75" customHeight="1">
      <c r="A10" s="551"/>
      <c r="B10" s="151">
        <v>2</v>
      </c>
      <c r="C10" s="546"/>
      <c r="D10" s="547"/>
      <c r="E10" s="547"/>
      <c r="F10" s="546"/>
      <c r="G10" s="547"/>
      <c r="H10" s="547"/>
      <c r="I10" s="130"/>
      <c r="J10" s="141"/>
      <c r="K10" s="141"/>
      <c r="L10" s="176">
        <f t="shared" si="0"/>
        <v>0</v>
      </c>
      <c r="M10" s="546"/>
      <c r="N10" s="546"/>
      <c r="O10" s="546"/>
      <c r="P10" s="546"/>
      <c r="Q10" s="546"/>
    </row>
    <row r="11" spans="1:17" ht="15.75" customHeight="1">
      <c r="A11" s="551"/>
      <c r="B11" s="151">
        <v>3</v>
      </c>
      <c r="C11" s="546"/>
      <c r="D11" s="547"/>
      <c r="E11" s="547"/>
      <c r="F11" s="546"/>
      <c r="G11" s="547"/>
      <c r="H11" s="547"/>
      <c r="I11" s="130"/>
      <c r="J11" s="141"/>
      <c r="K11" s="141"/>
      <c r="L11" s="176">
        <f t="shared" si="0"/>
        <v>0</v>
      </c>
      <c r="M11" s="546"/>
      <c r="N11" s="546"/>
      <c r="O11" s="546"/>
      <c r="P11" s="546"/>
      <c r="Q11" s="546"/>
    </row>
    <row r="12" spans="1:17" ht="15.75" customHeight="1">
      <c r="A12" s="551"/>
      <c r="B12" s="151">
        <v>4</v>
      </c>
      <c r="C12" s="546"/>
      <c r="D12" s="547"/>
      <c r="E12" s="547"/>
      <c r="F12" s="546"/>
      <c r="G12" s="547"/>
      <c r="H12" s="547"/>
      <c r="I12" s="130"/>
      <c r="J12" s="141"/>
      <c r="K12" s="141"/>
      <c r="L12" s="176">
        <f t="shared" si="0"/>
        <v>0</v>
      </c>
      <c r="M12" s="546"/>
      <c r="N12" s="546"/>
      <c r="O12" s="546"/>
      <c r="P12" s="546"/>
      <c r="Q12" s="546"/>
    </row>
    <row r="13" spans="1:17" ht="15.75" customHeight="1">
      <c r="A13" s="551"/>
      <c r="B13" s="151">
        <v>5</v>
      </c>
      <c r="C13" s="546"/>
      <c r="D13" s="547"/>
      <c r="E13" s="547"/>
      <c r="F13" s="546"/>
      <c r="G13" s="547"/>
      <c r="H13" s="547"/>
      <c r="I13" s="130"/>
      <c r="J13" s="141"/>
      <c r="K13" s="141"/>
      <c r="L13" s="176">
        <f t="shared" si="0"/>
        <v>0</v>
      </c>
      <c r="M13" s="546"/>
      <c r="N13" s="546"/>
      <c r="O13" s="546"/>
      <c r="P13" s="546"/>
      <c r="Q13" s="546"/>
    </row>
    <row r="14" spans="1:17" ht="15.75" customHeight="1">
      <c r="A14" s="549"/>
      <c r="B14" s="549"/>
      <c r="C14" s="549"/>
      <c r="D14" s="549"/>
      <c r="E14" s="549"/>
      <c r="F14" s="549"/>
      <c r="G14" s="549"/>
      <c r="H14" s="549"/>
      <c r="I14" s="549"/>
      <c r="J14" s="549"/>
      <c r="K14" s="549"/>
      <c r="L14" s="549"/>
      <c r="M14" s="549"/>
      <c r="N14" s="549"/>
      <c r="O14" s="550"/>
    </row>
    <row r="15" spans="1:17" s="128" customFormat="1" ht="15.75" customHeight="1">
      <c r="A15" s="153" t="s">
        <v>184</v>
      </c>
      <c r="B15" s="153" t="s">
        <v>235</v>
      </c>
      <c r="C15" s="543" t="s">
        <v>139</v>
      </c>
      <c r="D15" s="543"/>
      <c r="E15" s="543"/>
      <c r="F15" s="543" t="s">
        <v>187</v>
      </c>
      <c r="G15" s="543"/>
      <c r="H15" s="543"/>
      <c r="I15" s="153" t="s">
        <v>188</v>
      </c>
      <c r="J15" s="175" t="s">
        <v>236</v>
      </c>
      <c r="K15" s="153" t="s">
        <v>237</v>
      </c>
      <c r="L15" s="153" t="s">
        <v>10</v>
      </c>
      <c r="M15" s="543" t="s">
        <v>238</v>
      </c>
      <c r="N15" s="543"/>
      <c r="O15" s="543"/>
      <c r="P15" s="543"/>
      <c r="Q15" s="543"/>
    </row>
    <row r="16" spans="1:17" ht="15.75" customHeight="1">
      <c r="A16" s="543" t="s">
        <v>240</v>
      </c>
      <c r="B16" s="151">
        <v>1</v>
      </c>
      <c r="C16" s="546"/>
      <c r="D16" s="547"/>
      <c r="E16" s="547"/>
      <c r="F16" s="546"/>
      <c r="G16" s="547"/>
      <c r="H16" s="547"/>
      <c r="I16" s="130"/>
      <c r="J16" s="141"/>
      <c r="K16" s="141"/>
      <c r="L16" s="176">
        <f t="shared" ref="L16:L19" si="1">K16-J16</f>
        <v>0</v>
      </c>
      <c r="M16" s="546"/>
      <c r="N16" s="546"/>
      <c r="O16" s="546"/>
      <c r="P16" s="546"/>
      <c r="Q16" s="546"/>
    </row>
    <row r="17" spans="1:17" ht="15.75" customHeight="1">
      <c r="A17" s="543"/>
      <c r="B17" s="151">
        <v>2</v>
      </c>
      <c r="C17" s="546"/>
      <c r="D17" s="547"/>
      <c r="E17" s="547"/>
      <c r="F17" s="546"/>
      <c r="G17" s="547"/>
      <c r="H17" s="547"/>
      <c r="I17" s="130"/>
      <c r="J17" s="141"/>
      <c r="K17" s="141"/>
      <c r="L17" s="176">
        <f t="shared" si="1"/>
        <v>0</v>
      </c>
      <c r="M17" s="546"/>
      <c r="N17" s="546"/>
      <c r="O17" s="546"/>
      <c r="P17" s="546"/>
      <c r="Q17" s="546"/>
    </row>
    <row r="18" spans="1:17" ht="15.75" customHeight="1">
      <c r="A18" s="543"/>
      <c r="B18" s="151">
        <v>3</v>
      </c>
      <c r="C18" s="546"/>
      <c r="D18" s="547"/>
      <c r="E18" s="547"/>
      <c r="F18" s="546"/>
      <c r="G18" s="547"/>
      <c r="H18" s="547"/>
      <c r="I18" s="130"/>
      <c r="J18" s="141"/>
      <c r="K18" s="141"/>
      <c r="L18" s="176">
        <f t="shared" si="1"/>
        <v>0</v>
      </c>
      <c r="M18" s="546"/>
      <c r="N18" s="546"/>
      <c r="O18" s="546"/>
      <c r="P18" s="546"/>
      <c r="Q18" s="546"/>
    </row>
    <row r="19" spans="1:17" ht="15.75" customHeight="1">
      <c r="A19" s="543"/>
      <c r="B19" s="151">
        <v>4</v>
      </c>
      <c r="C19" s="546"/>
      <c r="D19" s="547"/>
      <c r="E19" s="547"/>
      <c r="F19" s="546"/>
      <c r="G19" s="547"/>
      <c r="H19" s="547"/>
      <c r="I19" s="130"/>
      <c r="J19" s="141"/>
      <c r="K19" s="141"/>
      <c r="L19" s="176">
        <f t="shared" si="1"/>
        <v>0</v>
      </c>
      <c r="M19" s="546"/>
      <c r="N19" s="546"/>
      <c r="O19" s="546"/>
      <c r="P19" s="546"/>
      <c r="Q19" s="546"/>
    </row>
    <row r="20" spans="1:17" ht="15.75" customHeight="1">
      <c r="A20" s="543"/>
      <c r="B20" s="151">
        <v>5</v>
      </c>
      <c r="C20" s="546"/>
      <c r="D20" s="547"/>
      <c r="E20" s="547"/>
      <c r="F20" s="546"/>
      <c r="G20" s="547"/>
      <c r="H20" s="547"/>
      <c r="I20" s="130"/>
      <c r="J20" s="141"/>
      <c r="K20" s="141"/>
      <c r="L20" s="176">
        <f>K20-J20</f>
        <v>0</v>
      </c>
      <c r="M20" s="546"/>
      <c r="N20" s="546"/>
      <c r="O20" s="546"/>
      <c r="P20" s="546"/>
      <c r="Q20" s="54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B2:AI297"/>
  <sheetViews>
    <sheetView zoomScale="70" zoomScaleNormal="70" workbookViewId="0">
      <pane xSplit="4" ySplit="6" topLeftCell="E7" activePane="bottomRight" state="frozen"/>
      <selection pane="bottomRight" activeCell="G7" sqref="G7:G15"/>
      <selection pane="bottomLeft" activeCell="W7" sqref="W7"/>
      <selection pane="topRight" activeCell="W7" sqref="W7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13.4257812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6.5703125" style="196" bestFit="1" customWidth="1"/>
    <col min="20" max="20" width="12.42578125" style="196" bestFit="1" customWidth="1"/>
    <col min="21" max="21" width="15.28515625" style="196" bestFit="1" customWidth="1"/>
    <col min="22" max="22" width="28.85546875" style="196" bestFit="1" customWidth="1"/>
    <col min="23" max="23" width="26.7109375" style="196" bestFit="1" customWidth="1"/>
    <col min="24" max="24" width="7.42578125" style="196" bestFit="1" customWidth="1"/>
    <col min="25" max="25" width="27.28515625" style="196" bestFit="1" customWidth="1"/>
    <col min="26" max="26" width="11.42578125" style="196" bestFit="1" customWidth="1"/>
    <col min="27" max="28" width="21.5703125" style="196" customWidth="1"/>
    <col min="29" max="34" width="14.42578125" style="196" customWidth="1"/>
    <col min="35" max="35" width="11.42578125" style="196" bestFit="1" customWidth="1"/>
    <col min="36" max="16384" width="8.85546875" style="196"/>
  </cols>
  <sheetData>
    <row r="2" spans="2:35" ht="41.1" customHeight="1">
      <c r="B2" s="566" t="s">
        <v>241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AA2" s="197"/>
      <c r="AB2" s="197"/>
    </row>
    <row r="3" spans="2:35" ht="17.100000000000001" customHeight="1">
      <c r="B3" s="568" t="s">
        <v>242</v>
      </c>
      <c r="C3" s="569"/>
      <c r="D3" s="562" t="s">
        <v>243</v>
      </c>
      <c r="E3" s="562"/>
      <c r="F3" s="562"/>
      <c r="G3" s="562" t="s">
        <v>244</v>
      </c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 t="s">
        <v>245</v>
      </c>
      <c r="U3" s="574" t="s">
        <v>246</v>
      </c>
      <c r="V3" s="559" t="s">
        <v>247</v>
      </c>
      <c r="W3" s="559" t="s">
        <v>248</v>
      </c>
      <c r="X3" s="579" t="s">
        <v>249</v>
      </c>
      <c r="Y3" s="564" t="s">
        <v>250</v>
      </c>
      <c r="AA3" s="562" t="s">
        <v>251</v>
      </c>
      <c r="AB3" s="562"/>
      <c r="AC3" s="562"/>
      <c r="AD3" s="562"/>
      <c r="AE3" s="562"/>
      <c r="AF3" s="562"/>
      <c r="AG3" s="562"/>
      <c r="AH3" s="562"/>
      <c r="AI3" s="562"/>
    </row>
    <row r="4" spans="2:35" ht="17.100000000000001" customHeight="1">
      <c r="B4" s="570"/>
      <c r="C4" s="571"/>
      <c r="D4" s="563" t="s">
        <v>252</v>
      </c>
      <c r="E4" s="562" t="s">
        <v>253</v>
      </c>
      <c r="F4" s="562"/>
      <c r="G4" s="562" t="s">
        <v>254</v>
      </c>
      <c r="H4" s="562"/>
      <c r="I4" s="562"/>
      <c r="J4" s="562"/>
      <c r="K4" s="562"/>
      <c r="L4" s="562"/>
      <c r="M4" s="562"/>
      <c r="N4" s="562"/>
      <c r="O4" s="562" t="s">
        <v>255</v>
      </c>
      <c r="P4" s="562"/>
      <c r="Q4" s="562"/>
      <c r="R4" s="562"/>
      <c r="S4" s="562"/>
      <c r="T4" s="562"/>
      <c r="U4" s="575"/>
      <c r="V4" s="577"/>
      <c r="W4" s="560"/>
      <c r="X4" s="577"/>
      <c r="Y4" s="564"/>
      <c r="AA4" s="562"/>
      <c r="AB4" s="562"/>
      <c r="AC4" s="562"/>
      <c r="AD4" s="562"/>
      <c r="AE4" s="562"/>
      <c r="AF4" s="562"/>
      <c r="AG4" s="562"/>
      <c r="AH4" s="562"/>
      <c r="AI4" s="562"/>
    </row>
    <row r="5" spans="2:35" ht="17.100000000000001" customHeight="1">
      <c r="B5" s="570"/>
      <c r="C5" s="571"/>
      <c r="D5" s="563"/>
      <c r="E5" s="563" t="s">
        <v>256</v>
      </c>
      <c r="F5" s="564" t="s">
        <v>257</v>
      </c>
      <c r="G5" s="565" t="s">
        <v>258</v>
      </c>
      <c r="H5" s="565"/>
      <c r="I5" s="565"/>
      <c r="J5" s="565"/>
      <c r="K5" s="565"/>
      <c r="L5" s="565"/>
      <c r="M5" s="565"/>
      <c r="N5" s="565"/>
      <c r="O5" s="565" t="s">
        <v>259</v>
      </c>
      <c r="P5" s="565"/>
      <c r="Q5" s="565" t="s">
        <v>260</v>
      </c>
      <c r="R5" s="565"/>
      <c r="S5" s="565"/>
      <c r="T5" s="562"/>
      <c r="U5" s="575"/>
      <c r="V5" s="577"/>
      <c r="W5" s="560"/>
      <c r="X5" s="577"/>
      <c r="Y5" s="564"/>
      <c r="AA5" s="562"/>
      <c r="AB5" s="562"/>
      <c r="AC5" s="562"/>
      <c r="AD5" s="562"/>
      <c r="AE5" s="562"/>
      <c r="AF5" s="562"/>
      <c r="AG5" s="562"/>
      <c r="AH5" s="562"/>
      <c r="AI5" s="562"/>
    </row>
    <row r="6" spans="2:35" ht="38.450000000000003" customHeight="1">
      <c r="B6" s="572"/>
      <c r="C6" s="573"/>
      <c r="D6" s="563"/>
      <c r="E6" s="563"/>
      <c r="F6" s="564"/>
      <c r="G6" s="271" t="s">
        <v>261</v>
      </c>
      <c r="H6" s="271" t="s">
        <v>262</v>
      </c>
      <c r="I6" s="271" t="s">
        <v>263</v>
      </c>
      <c r="J6" s="271" t="s">
        <v>264</v>
      </c>
      <c r="K6" s="271" t="s">
        <v>265</v>
      </c>
      <c r="L6" s="271" t="s">
        <v>266</v>
      </c>
      <c r="M6" s="271" t="s">
        <v>267</v>
      </c>
      <c r="N6" s="271" t="s">
        <v>268</v>
      </c>
      <c r="O6" s="269" t="s">
        <v>269</v>
      </c>
      <c r="P6" s="269" t="s">
        <v>270</v>
      </c>
      <c r="Q6" s="269" t="s">
        <v>269</v>
      </c>
      <c r="R6" s="269" t="s">
        <v>270</v>
      </c>
      <c r="S6" s="271" t="s">
        <v>271</v>
      </c>
      <c r="T6" s="562"/>
      <c r="U6" s="576"/>
      <c r="V6" s="578"/>
      <c r="W6" s="561"/>
      <c r="X6" s="578"/>
      <c r="Y6" s="564"/>
      <c r="AA6" s="210" t="s">
        <v>272</v>
      </c>
      <c r="AB6" s="210" t="s">
        <v>191</v>
      </c>
      <c r="AC6" s="270" t="s">
        <v>273</v>
      </c>
      <c r="AD6" s="270" t="s">
        <v>207</v>
      </c>
      <c r="AE6" s="270" t="s">
        <v>208</v>
      </c>
      <c r="AF6" s="270" t="s">
        <v>274</v>
      </c>
      <c r="AG6" s="270" t="s">
        <v>275</v>
      </c>
      <c r="AH6" s="270" t="s">
        <v>276</v>
      </c>
      <c r="AI6" s="270" t="s">
        <v>277</v>
      </c>
    </row>
    <row r="7" spans="2:35" s="272" customFormat="1" ht="27" customHeight="1">
      <c r="B7" s="553" t="s">
        <v>278</v>
      </c>
      <c r="C7" s="554"/>
      <c r="D7" s="268">
        <v>1</v>
      </c>
      <c r="E7" s="287" t="s">
        <v>279</v>
      </c>
      <c r="F7" s="273">
        <v>26234.391499999998</v>
      </c>
      <c r="G7" s="273">
        <v>22651.920000000002</v>
      </c>
      <c r="H7" s="273">
        <v>22816.305</v>
      </c>
      <c r="I7" s="274">
        <f>H7/G7</f>
        <v>1.0072570007310637</v>
      </c>
      <c r="J7" s="273"/>
      <c r="K7" s="274">
        <f>J7/G7</f>
        <v>0</v>
      </c>
      <c r="L7" s="273">
        <v>156.67000000000004</v>
      </c>
      <c r="M7" s="275">
        <f>(H7+J7)/G7</f>
        <v>1.0072570007310637</v>
      </c>
      <c r="N7" s="276">
        <v>25754.197949999994</v>
      </c>
      <c r="O7" s="273">
        <v>167.45</v>
      </c>
      <c r="P7" s="274">
        <f>O7/G7</f>
        <v>7.3923093494944348E-3</v>
      </c>
      <c r="Q7" s="277">
        <f>((H7+J7)-G7)-O7</f>
        <v>-3.0650000000015893</v>
      </c>
      <c r="R7" s="274">
        <f>Q7/G7</f>
        <v>-1.3530861843064911E-4</v>
      </c>
      <c r="S7" s="273">
        <v>-480.19355000000184</v>
      </c>
      <c r="T7" s="278" t="s">
        <v>280</v>
      </c>
      <c r="U7" s="278" t="s">
        <v>224</v>
      </c>
      <c r="V7" s="279"/>
      <c r="W7" s="279" t="s">
        <v>210</v>
      </c>
      <c r="X7" s="279">
        <v>1</v>
      </c>
      <c r="Y7" s="288" t="s">
        <v>281</v>
      </c>
      <c r="Z7" s="280" t="s">
        <v>282</v>
      </c>
      <c r="AA7" s="281">
        <f>SUM(X7:X26)</f>
        <v>20</v>
      </c>
      <c r="AB7" s="282">
        <f>SUMIF($U$7:$U$26,TRIM(AB6),$X$7:$X$26)</f>
        <v>0</v>
      </c>
      <c r="AC7" s="282">
        <f>SUMIF($U$7:$U$26,TRIM(AC6),$X$7:$X$26)</f>
        <v>0</v>
      </c>
      <c r="AD7" s="282">
        <f t="shared" ref="AD7:AI7" ca="1" si="0">SUMIF($U$7:$U$9710,TRIM(AD6),$X$7:$X$26)</f>
        <v>1</v>
      </c>
      <c r="AE7" s="282">
        <f t="shared" ca="1" si="0"/>
        <v>12</v>
      </c>
      <c r="AF7" s="282">
        <f t="shared" ca="1" si="0"/>
        <v>1</v>
      </c>
      <c r="AG7" s="282">
        <f t="shared" ca="1" si="0"/>
        <v>1</v>
      </c>
      <c r="AH7" s="282">
        <f t="shared" ca="1" si="0"/>
        <v>5</v>
      </c>
      <c r="AI7" s="282">
        <f t="shared" ca="1" si="0"/>
        <v>0</v>
      </c>
    </row>
    <row r="8" spans="2:35" s="272" customFormat="1" ht="27" customHeight="1">
      <c r="B8" s="555"/>
      <c r="C8" s="556"/>
      <c r="D8" s="268">
        <v>2</v>
      </c>
      <c r="E8" s="287" t="s">
        <v>283</v>
      </c>
      <c r="F8" s="273">
        <v>23191.773000000001</v>
      </c>
      <c r="G8" s="273">
        <v>734.89600000000007</v>
      </c>
      <c r="H8" s="273">
        <v>845.26</v>
      </c>
      <c r="I8" s="274">
        <f t="shared" ref="I8:I26" si="1">H8/G8</f>
        <v>1.1501763514837473</v>
      </c>
      <c r="J8" s="273"/>
      <c r="K8" s="274">
        <f t="shared" ref="K8:K26" si="2">J8/G8</f>
        <v>0</v>
      </c>
      <c r="L8" s="273">
        <v>250.09999999999994</v>
      </c>
      <c r="M8" s="275">
        <f t="shared" ref="M8:M26" si="3">(H8+J8)/G8</f>
        <v>1.1501763514837473</v>
      </c>
      <c r="N8" s="276">
        <v>27602.036400000005</v>
      </c>
      <c r="O8" s="273">
        <v>92.73</v>
      </c>
      <c r="P8" s="274">
        <f t="shared" ref="P8:P26" si="4">O8/G8</f>
        <v>0.12618111950534497</v>
      </c>
      <c r="Q8" s="277">
        <f t="shared" ref="Q8:Q26" si="5">((H8+J8)-G8)-O8</f>
        <v>17.633999999999915</v>
      </c>
      <c r="R8" s="274">
        <f t="shared" ref="R8:R26" si="6">Q8/G8</f>
        <v>2.3995231978402268E-2</v>
      </c>
      <c r="S8" s="273">
        <v>4410.2634000000107</v>
      </c>
      <c r="T8" s="283" t="s">
        <v>284</v>
      </c>
      <c r="U8" s="278" t="s">
        <v>285</v>
      </c>
      <c r="V8" s="278" t="s">
        <v>286</v>
      </c>
      <c r="W8" s="279" t="s">
        <v>287</v>
      </c>
      <c r="X8" s="279">
        <v>1</v>
      </c>
      <c r="Y8" s="288" t="s">
        <v>120</v>
      </c>
      <c r="AA8" s="281"/>
      <c r="AB8" s="284">
        <f>SUMIF($U$7:$U$26,TRIM(AB6),$F$7:$F$26)</f>
        <v>0</v>
      </c>
      <c r="AC8" s="284">
        <f>SUMIF($U$7:$U$26,TRIM(AC6),$F$7:$F$26)</f>
        <v>0</v>
      </c>
      <c r="AD8" s="284">
        <f t="shared" ref="AD8:AI8" ca="1" si="7">SUMIF($U$7:$U$176,TRIM(AD6),$F$7:$F$26)</f>
        <v>6060.5</v>
      </c>
      <c r="AE8" s="284">
        <f t="shared" ca="1" si="7"/>
        <v>87669.9035</v>
      </c>
      <c r="AF8" s="284">
        <f t="shared" ca="1" si="7"/>
        <v>4399.4160000000011</v>
      </c>
      <c r="AG8" s="284">
        <f t="shared" ca="1" si="7"/>
        <v>2685.7529999999997</v>
      </c>
      <c r="AH8" s="284">
        <f t="shared" ca="1" si="7"/>
        <v>53007.488700000002</v>
      </c>
      <c r="AI8" s="284">
        <f t="shared" ca="1" si="7"/>
        <v>0</v>
      </c>
    </row>
    <row r="9" spans="2:35" s="272" customFormat="1" ht="27" customHeight="1">
      <c r="B9" s="555"/>
      <c r="C9" s="556"/>
      <c r="D9" s="268">
        <v>3</v>
      </c>
      <c r="E9" s="287" t="s">
        <v>288</v>
      </c>
      <c r="F9" s="273">
        <v>14299.958700000001</v>
      </c>
      <c r="G9" s="273">
        <v>926.60800000000006</v>
      </c>
      <c r="H9" s="273">
        <v>1049.972</v>
      </c>
      <c r="I9" s="274">
        <f t="shared" si="1"/>
        <v>1.1331350473986841</v>
      </c>
      <c r="J9" s="273"/>
      <c r="K9" s="274">
        <f t="shared" si="2"/>
        <v>0</v>
      </c>
      <c r="L9" s="273">
        <v>139.01</v>
      </c>
      <c r="M9" s="275">
        <f t="shared" si="3"/>
        <v>1.1331350473986841</v>
      </c>
      <c r="N9" s="276">
        <v>17148.829639999996</v>
      </c>
      <c r="O9" s="273">
        <v>102.86999999999999</v>
      </c>
      <c r="P9" s="274">
        <f t="shared" si="4"/>
        <v>0.11101781983319806</v>
      </c>
      <c r="Q9" s="277">
        <f t="shared" si="5"/>
        <v>20.493999999999929</v>
      </c>
      <c r="R9" s="274">
        <f t="shared" si="6"/>
        <v>2.2117227565486081E-2</v>
      </c>
      <c r="S9" s="273">
        <v>2848.8709399999971</v>
      </c>
      <c r="T9" s="283" t="s">
        <v>284</v>
      </c>
      <c r="U9" s="278" t="s">
        <v>285</v>
      </c>
      <c r="V9" s="278" t="s">
        <v>286</v>
      </c>
      <c r="W9" s="279" t="s">
        <v>287</v>
      </c>
      <c r="X9" s="279">
        <v>1</v>
      </c>
      <c r="Y9" s="288" t="s">
        <v>120</v>
      </c>
    </row>
    <row r="10" spans="2:35" s="272" customFormat="1" ht="27" customHeight="1">
      <c r="B10" s="555"/>
      <c r="C10" s="556"/>
      <c r="D10" s="268">
        <v>4</v>
      </c>
      <c r="E10" s="287" t="s">
        <v>289</v>
      </c>
      <c r="F10" s="273">
        <v>11988.4625</v>
      </c>
      <c r="G10" s="273">
        <v>1567.4450000000004</v>
      </c>
      <c r="H10" s="273">
        <v>1580.2460000000001</v>
      </c>
      <c r="I10" s="274">
        <f>H10/G10</f>
        <v>1.0081667937311993</v>
      </c>
      <c r="J10" s="273"/>
      <c r="K10" s="274">
        <f t="shared" si="2"/>
        <v>0</v>
      </c>
      <c r="L10" s="273">
        <v>925.75</v>
      </c>
      <c r="M10" s="275">
        <f t="shared" si="3"/>
        <v>1.0081667937311993</v>
      </c>
      <c r="N10" s="276">
        <v>11850.525750000008</v>
      </c>
      <c r="O10" s="273">
        <v>12.95</v>
      </c>
      <c r="P10" s="274">
        <f t="shared" si="4"/>
        <v>8.2618528879801183E-3</v>
      </c>
      <c r="Q10" s="277">
        <f t="shared" si="5"/>
        <v>-0.14900000000029578</v>
      </c>
      <c r="R10" s="274">
        <f t="shared" si="6"/>
        <v>-9.5059156780809376E-5</v>
      </c>
      <c r="S10" s="273">
        <v>-137.93674999999178</v>
      </c>
      <c r="T10" s="278" t="s">
        <v>280</v>
      </c>
      <c r="U10" s="278" t="s">
        <v>224</v>
      </c>
      <c r="V10" s="279"/>
      <c r="W10" s="279" t="s">
        <v>210</v>
      </c>
      <c r="X10" s="279">
        <v>1</v>
      </c>
      <c r="Y10" s="288" t="s">
        <v>290</v>
      </c>
    </row>
    <row r="11" spans="2:35" s="272" customFormat="1" ht="27" customHeight="1">
      <c r="B11" s="555"/>
      <c r="C11" s="556"/>
      <c r="D11" s="268">
        <v>5</v>
      </c>
      <c r="E11" s="287" t="s">
        <v>291</v>
      </c>
      <c r="F11" s="273">
        <v>7164.45</v>
      </c>
      <c r="G11" s="273">
        <v>874.42499999999995</v>
      </c>
      <c r="H11" s="273">
        <v>965.95</v>
      </c>
      <c r="I11" s="274">
        <f t="shared" si="1"/>
        <v>1.1046687823426824</v>
      </c>
      <c r="J11" s="273"/>
      <c r="K11" s="274">
        <f t="shared" si="2"/>
        <v>0</v>
      </c>
      <c r="L11" s="273">
        <v>81</v>
      </c>
      <c r="M11" s="275">
        <f t="shared" si="3"/>
        <v>1.1046687823426824</v>
      </c>
      <c r="N11" s="276">
        <v>7413.5250000000015</v>
      </c>
      <c r="O11" s="273">
        <v>88.45</v>
      </c>
      <c r="P11" s="274">
        <f t="shared" si="4"/>
        <v>0.10115218572204593</v>
      </c>
      <c r="Q11" s="277">
        <f t="shared" si="5"/>
        <v>3.0750000000000881</v>
      </c>
      <c r="R11" s="274">
        <f t="shared" si="6"/>
        <v>3.516596620636519E-3</v>
      </c>
      <c r="S11" s="273">
        <v>249.07500000000155</v>
      </c>
      <c r="T11" s="278" t="s">
        <v>284</v>
      </c>
      <c r="U11" s="278" t="s">
        <v>285</v>
      </c>
      <c r="V11" s="278" t="s">
        <v>286</v>
      </c>
      <c r="W11" s="279" t="s">
        <v>287</v>
      </c>
      <c r="X11" s="279">
        <v>1</v>
      </c>
      <c r="Y11" s="288" t="s">
        <v>292</v>
      </c>
    </row>
    <row r="12" spans="2:35" s="272" customFormat="1" ht="27" customHeight="1">
      <c r="B12" s="555"/>
      <c r="C12" s="556"/>
      <c r="D12" s="268">
        <v>6</v>
      </c>
      <c r="E12" s="287" t="s">
        <v>293</v>
      </c>
      <c r="F12" s="273">
        <v>6646.9400000000005</v>
      </c>
      <c r="G12" s="273">
        <v>23033.639999999989</v>
      </c>
      <c r="H12" s="273">
        <v>23123.35999999999</v>
      </c>
      <c r="I12" s="274">
        <f t="shared" si="1"/>
        <v>1.0038951724521179</v>
      </c>
      <c r="J12" s="273"/>
      <c r="K12" s="274">
        <f t="shared" si="2"/>
        <v>0</v>
      </c>
      <c r="L12" s="273">
        <v>77.289999999999978</v>
      </c>
      <c r="M12" s="275">
        <f t="shared" si="3"/>
        <v>1.0038951724521179</v>
      </c>
      <c r="N12" s="276">
        <v>6934.4588000000031</v>
      </c>
      <c r="O12" s="273">
        <v>86</v>
      </c>
      <c r="P12" s="274">
        <f t="shared" si="4"/>
        <v>3.7336695372507359E-3</v>
      </c>
      <c r="Q12" s="277">
        <f t="shared" si="5"/>
        <v>3.7200000000011642</v>
      </c>
      <c r="R12" s="274">
        <f t="shared" si="6"/>
        <v>1.615029148671754E-4</v>
      </c>
      <c r="S12" s="273">
        <v>287.51880000000216</v>
      </c>
      <c r="T12" s="278" t="s">
        <v>280</v>
      </c>
      <c r="U12" s="278" t="s">
        <v>224</v>
      </c>
      <c r="V12" s="279"/>
      <c r="W12" s="279" t="s">
        <v>294</v>
      </c>
      <c r="X12" s="279">
        <v>1</v>
      </c>
      <c r="Y12" s="288" t="s">
        <v>112</v>
      </c>
    </row>
    <row r="13" spans="2:35" s="272" customFormat="1" ht="27" customHeight="1">
      <c r="B13" s="555"/>
      <c r="C13" s="556"/>
      <c r="D13" s="268">
        <v>7</v>
      </c>
      <c r="E13" s="287" t="s">
        <v>295</v>
      </c>
      <c r="F13" s="273">
        <v>6535.7950000000001</v>
      </c>
      <c r="G13" s="273">
        <v>3707.7749999999992</v>
      </c>
      <c r="H13" s="273">
        <v>3749.5649999999991</v>
      </c>
      <c r="I13" s="274">
        <f t="shared" si="1"/>
        <v>1.0112709104516859</v>
      </c>
      <c r="J13" s="273">
        <v>15.05</v>
      </c>
      <c r="K13" s="274">
        <f t="shared" si="2"/>
        <v>4.0590381023659751E-3</v>
      </c>
      <c r="L13" s="273">
        <v>162.38000000000008</v>
      </c>
      <c r="M13" s="275">
        <f t="shared" si="3"/>
        <v>1.0153299485540519</v>
      </c>
      <c r="N13" s="276">
        <v>9229.6792000000005</v>
      </c>
      <c r="O13" s="273">
        <v>40.25</v>
      </c>
      <c r="P13" s="274">
        <f t="shared" si="4"/>
        <v>1.0855567017955516E-2</v>
      </c>
      <c r="Q13" s="277">
        <f t="shared" si="5"/>
        <v>16.590000000000146</v>
      </c>
      <c r="R13" s="274">
        <f t="shared" si="6"/>
        <v>4.4743815360964861E-3</v>
      </c>
      <c r="S13" s="273">
        <v>2693.8842000000004</v>
      </c>
      <c r="T13" s="278" t="s">
        <v>280</v>
      </c>
      <c r="U13" s="278" t="s">
        <v>224</v>
      </c>
      <c r="V13" s="279"/>
      <c r="W13" s="279" t="s">
        <v>294</v>
      </c>
      <c r="X13" s="279">
        <v>1</v>
      </c>
      <c r="Y13" s="289" t="s">
        <v>117</v>
      </c>
      <c r="AB13" s="272">
        <v>1</v>
      </c>
      <c r="AC13" s="290" t="s">
        <v>191</v>
      </c>
    </row>
    <row r="14" spans="2:35" s="272" customFormat="1" ht="27" customHeight="1">
      <c r="B14" s="555"/>
      <c r="C14" s="556"/>
      <c r="D14" s="268">
        <v>8</v>
      </c>
      <c r="E14" s="287" t="s">
        <v>296</v>
      </c>
      <c r="F14" s="273">
        <v>6060.5</v>
      </c>
      <c r="G14" s="273">
        <v>11308.5</v>
      </c>
      <c r="H14" s="273">
        <v>11516.24</v>
      </c>
      <c r="I14" s="274">
        <f t="shared" si="1"/>
        <v>1.01837025246496</v>
      </c>
      <c r="J14" s="273">
        <v>109.70000000000002</v>
      </c>
      <c r="K14" s="274">
        <f>J14/G14</f>
        <v>9.7006676393863039E-3</v>
      </c>
      <c r="L14" s="273">
        <v>85</v>
      </c>
      <c r="M14" s="275">
        <f>(H14+J14)/G14</f>
        <v>1.0280709201043463</v>
      </c>
      <c r="N14" s="276">
        <v>26982.399999999994</v>
      </c>
      <c r="O14" s="273">
        <v>71.300000000000011</v>
      </c>
      <c r="P14" s="274">
        <f t="shared" si="4"/>
        <v>6.3049918203121552E-3</v>
      </c>
      <c r="Q14" s="277">
        <f t="shared" si="5"/>
        <v>246.1400000000005</v>
      </c>
      <c r="R14" s="274">
        <f t="shared" si="6"/>
        <v>2.1765928284034178E-2</v>
      </c>
      <c r="S14" s="273">
        <v>20921.899999999994</v>
      </c>
      <c r="T14" s="278" t="s">
        <v>297</v>
      </c>
      <c r="U14" s="278" t="s">
        <v>298</v>
      </c>
      <c r="V14" s="279"/>
      <c r="W14" s="279" t="s">
        <v>294</v>
      </c>
      <c r="X14" s="279">
        <v>1</v>
      </c>
      <c r="Y14" s="288" t="s">
        <v>130</v>
      </c>
      <c r="AB14" s="272">
        <v>2</v>
      </c>
      <c r="AC14" s="290" t="s">
        <v>299</v>
      </c>
    </row>
    <row r="15" spans="2:35" s="272" customFormat="1" ht="27" customHeight="1">
      <c r="B15" s="555"/>
      <c r="C15" s="556"/>
      <c r="D15" s="268">
        <v>9</v>
      </c>
      <c r="E15" s="287" t="s">
        <v>300</v>
      </c>
      <c r="F15" s="273">
        <v>6041.4130000000005</v>
      </c>
      <c r="G15" s="273">
        <v>5164.3450000000003</v>
      </c>
      <c r="H15" s="273">
        <v>5279.7250000000004</v>
      </c>
      <c r="I15" s="274">
        <f t="shared" si="1"/>
        <v>1.0223416522327613</v>
      </c>
      <c r="J15" s="273">
        <v>8.3000000000000007</v>
      </c>
      <c r="K15" s="274">
        <f t="shared" si="2"/>
        <v>1.6071738042288035E-3</v>
      </c>
      <c r="L15" s="273">
        <v>69.099999999999994</v>
      </c>
      <c r="M15" s="275">
        <f t="shared" si="3"/>
        <v>1.0239488260369902</v>
      </c>
      <c r="N15" s="276">
        <v>8547.6699999999964</v>
      </c>
      <c r="O15" s="273">
        <v>87.43</v>
      </c>
      <c r="P15" s="274">
        <f t="shared" si="4"/>
        <v>1.6929542855870398E-2</v>
      </c>
      <c r="Q15" s="277">
        <f t="shared" si="5"/>
        <v>36.250000000000284</v>
      </c>
      <c r="R15" s="274">
        <f t="shared" si="6"/>
        <v>7.0192831811198286E-3</v>
      </c>
      <c r="S15" s="273">
        <v>2504.8749999999982</v>
      </c>
      <c r="T15" s="278" t="s">
        <v>280</v>
      </c>
      <c r="U15" s="278" t="s">
        <v>224</v>
      </c>
      <c r="V15" s="279"/>
      <c r="W15" s="279" t="s">
        <v>294</v>
      </c>
      <c r="X15" s="279">
        <v>1</v>
      </c>
      <c r="Y15" s="288" t="s">
        <v>124</v>
      </c>
      <c r="AB15" s="272">
        <v>3</v>
      </c>
      <c r="AC15" s="290" t="s">
        <v>298</v>
      </c>
    </row>
    <row r="16" spans="2:35" s="272" customFormat="1" ht="27" customHeight="1">
      <c r="B16" s="555"/>
      <c r="C16" s="556"/>
      <c r="D16" s="268">
        <v>10</v>
      </c>
      <c r="E16" s="287" t="s">
        <v>301</v>
      </c>
      <c r="F16" s="273">
        <v>5727.0509999999986</v>
      </c>
      <c r="G16" s="273">
        <v>1297.3799999999999</v>
      </c>
      <c r="H16" s="273">
        <v>1389.49</v>
      </c>
      <c r="I16" s="274">
        <f t="shared" si="1"/>
        <v>1.0709969322789006</v>
      </c>
      <c r="J16" s="273"/>
      <c r="K16" s="274">
        <f t="shared" si="2"/>
        <v>0</v>
      </c>
      <c r="L16" s="273">
        <v>105.17999999999999</v>
      </c>
      <c r="M16" s="275">
        <f t="shared" si="3"/>
        <v>1.0709969322789006</v>
      </c>
      <c r="N16" s="276">
        <v>9688.1297999999988</v>
      </c>
      <c r="O16" s="273">
        <v>54.45000000000001</v>
      </c>
      <c r="P16" s="274">
        <f t="shared" si="4"/>
        <v>4.196919946353421E-2</v>
      </c>
      <c r="Q16" s="277">
        <f t="shared" si="5"/>
        <v>37.660000000000117</v>
      </c>
      <c r="R16" s="274">
        <f t="shared" si="6"/>
        <v>2.9027732815366449E-2</v>
      </c>
      <c r="S16" s="273">
        <v>3961.0787999999984</v>
      </c>
      <c r="T16" s="278" t="s">
        <v>284</v>
      </c>
      <c r="U16" s="278" t="s">
        <v>285</v>
      </c>
      <c r="V16" s="278" t="s">
        <v>286</v>
      </c>
      <c r="W16" s="279" t="s">
        <v>287</v>
      </c>
      <c r="X16" s="279">
        <v>1</v>
      </c>
      <c r="Y16" s="288" t="s">
        <v>119</v>
      </c>
      <c r="AB16" s="272">
        <v>4</v>
      </c>
      <c r="AC16" s="290" t="s">
        <v>302</v>
      </c>
    </row>
    <row r="17" spans="2:29" s="272" customFormat="1" ht="27" customHeight="1">
      <c r="B17" s="555"/>
      <c r="C17" s="556"/>
      <c r="D17" s="268">
        <v>11</v>
      </c>
      <c r="E17" s="287" t="s">
        <v>303</v>
      </c>
      <c r="F17" s="273">
        <v>5285.5529999999999</v>
      </c>
      <c r="G17" s="273">
        <v>14350.48</v>
      </c>
      <c r="H17" s="273">
        <v>14390.039999999999</v>
      </c>
      <c r="I17" s="274">
        <f t="shared" si="1"/>
        <v>1.0027567022148387</v>
      </c>
      <c r="J17" s="273"/>
      <c r="K17" s="274">
        <f t="shared" si="2"/>
        <v>0</v>
      </c>
      <c r="L17" s="273">
        <v>132.46999999999991</v>
      </c>
      <c r="M17" s="275">
        <f t="shared" si="3"/>
        <v>1.0027567022148387</v>
      </c>
      <c r="N17" s="276">
        <v>5240.5132000000076</v>
      </c>
      <c r="O17" s="273">
        <v>39.9</v>
      </c>
      <c r="P17" s="274">
        <f t="shared" si="4"/>
        <v>2.7803948021250858E-3</v>
      </c>
      <c r="Q17" s="277">
        <f t="shared" si="5"/>
        <v>-0.3400000000005079</v>
      </c>
      <c r="R17" s="274">
        <f t="shared" si="6"/>
        <v>-2.3692587286314319E-5</v>
      </c>
      <c r="S17" s="273">
        <v>-45.039799999991978</v>
      </c>
      <c r="T17" s="278" t="s">
        <v>280</v>
      </c>
      <c r="U17" s="278" t="s">
        <v>224</v>
      </c>
      <c r="V17" s="279"/>
      <c r="W17" s="279" t="s">
        <v>294</v>
      </c>
      <c r="X17" s="279">
        <v>1</v>
      </c>
      <c r="Y17" s="288" t="s">
        <v>110</v>
      </c>
      <c r="AB17" s="272">
        <v>5</v>
      </c>
      <c r="AC17" s="290" t="s">
        <v>218</v>
      </c>
    </row>
    <row r="18" spans="2:29" s="272" customFormat="1" ht="27" customHeight="1">
      <c r="B18" s="555"/>
      <c r="C18" s="556"/>
      <c r="D18" s="268">
        <v>12</v>
      </c>
      <c r="E18" s="287" t="s">
        <v>304</v>
      </c>
      <c r="F18" s="273">
        <v>4948.45</v>
      </c>
      <c r="G18" s="273">
        <v>556.02</v>
      </c>
      <c r="H18" s="273">
        <v>591.96</v>
      </c>
      <c r="I18" s="274">
        <f t="shared" si="1"/>
        <v>1.0646379626632136</v>
      </c>
      <c r="J18" s="273">
        <v>2.4500000000000002</v>
      </c>
      <c r="K18" s="274">
        <f t="shared" si="2"/>
        <v>4.406316319556851E-3</v>
      </c>
      <c r="L18" s="273">
        <v>215.15000000000006</v>
      </c>
      <c r="M18" s="275">
        <f t="shared" si="3"/>
        <v>1.0690442789827705</v>
      </c>
      <c r="N18" s="276">
        <v>8259.6084999999985</v>
      </c>
      <c r="O18" s="273">
        <v>23</v>
      </c>
      <c r="P18" s="274">
        <f t="shared" si="4"/>
        <v>4.1365418510125533E-2</v>
      </c>
      <c r="Q18" s="277">
        <f t="shared" si="5"/>
        <v>15.3900000000001</v>
      </c>
      <c r="R18" s="274">
        <f t="shared" si="6"/>
        <v>2.7678860472645051E-2</v>
      </c>
      <c r="S18" s="273">
        <v>3311.1584999999986</v>
      </c>
      <c r="T18" s="278" t="s">
        <v>280</v>
      </c>
      <c r="U18" s="278" t="s">
        <v>224</v>
      </c>
      <c r="V18" s="278"/>
      <c r="W18" s="278" t="s">
        <v>294</v>
      </c>
      <c r="X18" s="279">
        <v>1</v>
      </c>
      <c r="Y18" s="288" t="s">
        <v>119</v>
      </c>
      <c r="AB18" s="272">
        <v>6</v>
      </c>
      <c r="AC18" s="290" t="s">
        <v>220</v>
      </c>
    </row>
    <row r="19" spans="2:29" s="272" customFormat="1" ht="27" customHeight="1">
      <c r="B19" s="555"/>
      <c r="C19" s="556"/>
      <c r="D19" s="268">
        <v>13</v>
      </c>
      <c r="E19" s="287" t="s">
        <v>305</v>
      </c>
      <c r="F19" s="273">
        <v>4809.2039999999997</v>
      </c>
      <c r="G19" s="273">
        <v>7680.5320000000002</v>
      </c>
      <c r="H19" s="273">
        <v>7717.9100000000008</v>
      </c>
      <c r="I19" s="274">
        <f t="shared" si="1"/>
        <v>1.0048665899705906</v>
      </c>
      <c r="J19" s="273">
        <v>11.01</v>
      </c>
      <c r="K19" s="274">
        <f t="shared" si="2"/>
        <v>1.4334944506448251E-3</v>
      </c>
      <c r="L19" s="273">
        <v>140.61999999999992</v>
      </c>
      <c r="M19" s="275">
        <f t="shared" si="3"/>
        <v>1.0063000844212355</v>
      </c>
      <c r="N19" s="276">
        <v>6804.3205600000056</v>
      </c>
      <c r="O19" s="273">
        <v>34.199999999999996</v>
      </c>
      <c r="P19" s="274">
        <f t="shared" si="4"/>
        <v>4.4528165496869219E-3</v>
      </c>
      <c r="Q19" s="277">
        <f t="shared" si="5"/>
        <v>14.188000000000834</v>
      </c>
      <c r="R19" s="274">
        <f t="shared" si="6"/>
        <v>1.8472678715485897E-3</v>
      </c>
      <c r="S19" s="273">
        <v>1995.1165600000049</v>
      </c>
      <c r="T19" s="278" t="s">
        <v>280</v>
      </c>
      <c r="U19" s="278" t="s">
        <v>224</v>
      </c>
      <c r="V19" s="278"/>
      <c r="W19" s="278" t="s">
        <v>294</v>
      </c>
      <c r="X19" s="279">
        <v>1</v>
      </c>
      <c r="Y19" s="288" t="s">
        <v>113</v>
      </c>
      <c r="AB19" s="272">
        <v>7</v>
      </c>
      <c r="AC19" s="290" t="s">
        <v>285</v>
      </c>
    </row>
    <row r="20" spans="2:29" s="272" customFormat="1" ht="27" customHeight="1">
      <c r="B20" s="555"/>
      <c r="C20" s="556"/>
      <c r="D20" s="268">
        <v>14</v>
      </c>
      <c r="E20" s="287" t="s">
        <v>306</v>
      </c>
      <c r="F20" s="273">
        <v>4638.3085000000001</v>
      </c>
      <c r="G20" s="273">
        <v>1677.9199999999998</v>
      </c>
      <c r="H20" s="273">
        <v>1679.5949999999998</v>
      </c>
      <c r="I20" s="274">
        <f t="shared" si="1"/>
        <v>1.0009982597501668</v>
      </c>
      <c r="J20" s="273">
        <v>2.2999999999999998</v>
      </c>
      <c r="K20" s="274">
        <f t="shared" si="2"/>
        <v>1.370744731572423E-3</v>
      </c>
      <c r="L20" s="273">
        <v>697.49000000000024</v>
      </c>
      <c r="M20" s="275">
        <f t="shared" si="3"/>
        <v>1.0023690044817393</v>
      </c>
      <c r="N20" s="276">
        <v>2793.4474500000019</v>
      </c>
      <c r="O20" s="273">
        <v>6.65</v>
      </c>
      <c r="P20" s="274">
        <f t="shared" si="4"/>
        <v>3.9632402021550495E-3</v>
      </c>
      <c r="Q20" s="277">
        <f t="shared" si="5"/>
        <v>-2.6750000000000913</v>
      </c>
      <c r="R20" s="274">
        <f t="shared" si="6"/>
        <v>-1.5942357204158074E-3</v>
      </c>
      <c r="S20" s="273">
        <v>-1865.7857499999993</v>
      </c>
      <c r="T20" s="278" t="s">
        <v>280</v>
      </c>
      <c r="U20" s="278" t="s">
        <v>224</v>
      </c>
      <c r="V20" s="279"/>
      <c r="W20" s="279" t="s">
        <v>294</v>
      </c>
      <c r="X20" s="279">
        <v>1</v>
      </c>
      <c r="Y20" s="288" t="s">
        <v>281</v>
      </c>
      <c r="AB20" s="272">
        <v>8</v>
      </c>
      <c r="AC20" s="291" t="s">
        <v>307</v>
      </c>
    </row>
    <row r="21" spans="2:29" s="272" customFormat="1" ht="27" customHeight="1">
      <c r="B21" s="555"/>
      <c r="C21" s="556"/>
      <c r="D21" s="268">
        <v>15</v>
      </c>
      <c r="E21" s="287" t="s">
        <v>308</v>
      </c>
      <c r="F21" s="273">
        <v>4582.0480000000007</v>
      </c>
      <c r="G21" s="273">
        <v>10724.58</v>
      </c>
      <c r="H21" s="273">
        <v>10751.96</v>
      </c>
      <c r="I21" s="274">
        <f t="shared" si="1"/>
        <v>1.0025530137310739</v>
      </c>
      <c r="J21" s="273"/>
      <c r="K21" s="274">
        <f t="shared" si="2"/>
        <v>0</v>
      </c>
      <c r="L21" s="273">
        <v>153.76000000000008</v>
      </c>
      <c r="M21" s="275">
        <f t="shared" si="3"/>
        <v>1.0025530137310739</v>
      </c>
      <c r="N21" s="276">
        <v>4209.9488000000001</v>
      </c>
      <c r="O21" s="273">
        <v>29.8</v>
      </c>
      <c r="P21" s="274">
        <f t="shared" si="4"/>
        <v>2.7786635933528402E-3</v>
      </c>
      <c r="Q21" s="277">
        <f t="shared" si="5"/>
        <v>-2.4200000000008011</v>
      </c>
      <c r="R21" s="274">
        <f t="shared" si="6"/>
        <v>-2.2564986227906371E-4</v>
      </c>
      <c r="S21" s="273">
        <v>-372.09920000000085</v>
      </c>
      <c r="T21" s="278" t="s">
        <v>280</v>
      </c>
      <c r="U21" s="278" t="s">
        <v>224</v>
      </c>
      <c r="V21" s="278"/>
      <c r="W21" s="278" t="s">
        <v>294</v>
      </c>
      <c r="X21" s="279">
        <v>1</v>
      </c>
      <c r="Y21" s="288" t="s">
        <v>123</v>
      </c>
      <c r="AC21" s="290"/>
    </row>
    <row r="22" spans="2:29" s="272" customFormat="1" ht="27" customHeight="1">
      <c r="B22" s="555"/>
      <c r="C22" s="556"/>
      <c r="D22" s="268">
        <v>16</v>
      </c>
      <c r="E22" s="287" t="s">
        <v>219</v>
      </c>
      <c r="F22" s="273">
        <v>4399.4160000000011</v>
      </c>
      <c r="G22" s="273">
        <v>1927.056</v>
      </c>
      <c r="H22" s="273">
        <v>1878.8699999999994</v>
      </c>
      <c r="I22" s="274">
        <f t="shared" si="1"/>
        <v>0.97499501830771884</v>
      </c>
      <c r="J22" s="273"/>
      <c r="K22" s="274">
        <f t="shared" si="2"/>
        <v>0</v>
      </c>
      <c r="L22" s="273">
        <v>146.15999999999997</v>
      </c>
      <c r="M22" s="275">
        <f t="shared" si="3"/>
        <v>0.97499501830771884</v>
      </c>
      <c r="N22" s="276">
        <v>856.78992000000039</v>
      </c>
      <c r="O22" s="273">
        <v>30.099999999999998</v>
      </c>
      <c r="P22" s="274">
        <f t="shared" si="4"/>
        <v>1.5619681005637613E-2</v>
      </c>
      <c r="Q22" s="277">
        <f t="shared" si="5"/>
        <v>-78.286000000000598</v>
      </c>
      <c r="R22" s="274">
        <f t="shared" si="6"/>
        <v>-4.0624662697918791E-2</v>
      </c>
      <c r="S22" s="273">
        <v>-11442.281759999998</v>
      </c>
      <c r="T22" s="278" t="s">
        <v>309</v>
      </c>
      <c r="U22" s="278" t="s">
        <v>218</v>
      </c>
      <c r="V22" s="279" t="s">
        <v>310</v>
      </c>
      <c r="W22" s="279"/>
      <c r="X22" s="279">
        <v>1</v>
      </c>
      <c r="Y22" s="288" t="s">
        <v>168</v>
      </c>
      <c r="AC22" s="290"/>
    </row>
    <row r="23" spans="2:29" s="272" customFormat="1" ht="27" customHeight="1">
      <c r="B23" s="555"/>
      <c r="C23" s="556"/>
      <c r="D23" s="268">
        <v>17</v>
      </c>
      <c r="E23" s="287" t="s">
        <v>311</v>
      </c>
      <c r="F23" s="273">
        <v>3439.998</v>
      </c>
      <c r="G23" s="273">
        <v>12112.075000000001</v>
      </c>
      <c r="H23" s="273">
        <v>12165.820000000002</v>
      </c>
      <c r="I23" s="274">
        <f t="shared" si="1"/>
        <v>1.0044373073977828</v>
      </c>
      <c r="J23" s="273">
        <v>33.700000000000003</v>
      </c>
      <c r="K23" s="274">
        <f t="shared" si="2"/>
        <v>2.7823473682255105E-3</v>
      </c>
      <c r="L23" s="273">
        <v>80.280000000000015</v>
      </c>
      <c r="M23" s="275">
        <f t="shared" si="3"/>
        <v>1.0072196547660084</v>
      </c>
      <c r="N23" s="276">
        <v>7020.0846000000001</v>
      </c>
      <c r="O23" s="273">
        <v>42.85</v>
      </c>
      <c r="P23" s="274">
        <f t="shared" si="4"/>
        <v>3.5377918317051373E-3</v>
      </c>
      <c r="Q23" s="277">
        <f t="shared" si="5"/>
        <v>44.595000000001527</v>
      </c>
      <c r="R23" s="274">
        <f t="shared" si="6"/>
        <v>3.6818629343032903E-3</v>
      </c>
      <c r="S23" s="273">
        <v>3580.0865999999996</v>
      </c>
      <c r="T23" s="278" t="s">
        <v>280</v>
      </c>
      <c r="U23" s="278" t="s">
        <v>224</v>
      </c>
      <c r="V23" s="279"/>
      <c r="W23" s="279" t="s">
        <v>210</v>
      </c>
      <c r="X23" s="279">
        <v>1</v>
      </c>
      <c r="Y23" s="288" t="s">
        <v>290</v>
      </c>
      <c r="AB23" s="285">
        <v>1</v>
      </c>
      <c r="AC23" s="290" t="s">
        <v>297</v>
      </c>
    </row>
    <row r="24" spans="2:29" s="272" customFormat="1" ht="27" customHeight="1">
      <c r="B24" s="555"/>
      <c r="C24" s="556"/>
      <c r="D24" s="268">
        <v>18</v>
      </c>
      <c r="E24" s="287" t="s">
        <v>312</v>
      </c>
      <c r="F24" s="273">
        <v>2685.7529999999997</v>
      </c>
      <c r="G24" s="273">
        <v>4818.3600000000006</v>
      </c>
      <c r="H24" s="273">
        <v>4856.9670000000006</v>
      </c>
      <c r="I24" s="274">
        <f t="shared" si="1"/>
        <v>1.0080124772744252</v>
      </c>
      <c r="J24" s="273">
        <v>0</v>
      </c>
      <c r="K24" s="274">
        <f t="shared" si="2"/>
        <v>0</v>
      </c>
      <c r="L24" s="273">
        <v>335.29999999999995</v>
      </c>
      <c r="M24" s="275">
        <f t="shared" si="3"/>
        <v>1.0080124772744252</v>
      </c>
      <c r="N24" s="276">
        <v>12944.927100000001</v>
      </c>
      <c r="O24" s="273">
        <v>8.01</v>
      </c>
      <c r="P24" s="274">
        <f t="shared" si="4"/>
        <v>1.6623913530744898E-3</v>
      </c>
      <c r="Q24" s="277">
        <f t="shared" si="5"/>
        <v>30.596999999999973</v>
      </c>
      <c r="R24" s="274">
        <f t="shared" si="6"/>
        <v>6.3500859213508265E-3</v>
      </c>
      <c r="S24" s="273">
        <v>10259.1741</v>
      </c>
      <c r="T24" s="278" t="s">
        <v>313</v>
      </c>
      <c r="U24" s="278" t="s">
        <v>220</v>
      </c>
      <c r="V24" s="278" t="s">
        <v>314</v>
      </c>
      <c r="W24" s="279" t="s">
        <v>315</v>
      </c>
      <c r="X24" s="279">
        <v>1</v>
      </c>
      <c r="Y24" s="288" t="s">
        <v>316</v>
      </c>
      <c r="AB24" s="272">
        <v>2</v>
      </c>
      <c r="AC24" s="290" t="s">
        <v>280</v>
      </c>
    </row>
    <row r="25" spans="2:29" s="272" customFormat="1" ht="27" customHeight="1">
      <c r="B25" s="555"/>
      <c r="C25" s="556"/>
      <c r="D25" s="268">
        <v>19</v>
      </c>
      <c r="E25" s="287" t="s">
        <v>317</v>
      </c>
      <c r="F25" s="273">
        <v>2624.2560000000003</v>
      </c>
      <c r="G25" s="273">
        <v>48.188400000000009</v>
      </c>
      <c r="H25" s="273">
        <v>52.477200000000003</v>
      </c>
      <c r="I25" s="274">
        <f t="shared" si="1"/>
        <v>1.0890006723609831</v>
      </c>
      <c r="J25" s="273"/>
      <c r="K25" s="274">
        <f t="shared" si="2"/>
        <v>0</v>
      </c>
      <c r="L25" s="273">
        <v>1029.1200000000003</v>
      </c>
      <c r="M25" s="275">
        <f t="shared" si="3"/>
        <v>1.0890006723609831</v>
      </c>
      <c r="N25" s="276">
        <v>4413.6898559999991</v>
      </c>
      <c r="O25" s="273">
        <v>2.5500000000000003</v>
      </c>
      <c r="P25" s="274">
        <f t="shared" si="4"/>
        <v>5.2917299599073632E-2</v>
      </c>
      <c r="Q25" s="277">
        <f t="shared" si="5"/>
        <v>1.7387999999999946</v>
      </c>
      <c r="R25" s="274">
        <f t="shared" si="6"/>
        <v>3.6083372761909385E-2</v>
      </c>
      <c r="S25" s="273">
        <v>1789.4338559999983</v>
      </c>
      <c r="T25" s="278" t="s">
        <v>284</v>
      </c>
      <c r="U25" s="278" t="s">
        <v>285</v>
      </c>
      <c r="V25" s="278" t="s">
        <v>286</v>
      </c>
      <c r="W25" s="279" t="s">
        <v>287</v>
      </c>
      <c r="X25" s="279">
        <v>1</v>
      </c>
      <c r="Y25" s="288" t="s">
        <v>119</v>
      </c>
      <c r="AB25" s="286">
        <v>3</v>
      </c>
      <c r="AC25" s="290" t="s">
        <v>313</v>
      </c>
    </row>
    <row r="26" spans="2:29" s="272" customFormat="1" ht="27" customHeight="1">
      <c r="B26" s="557"/>
      <c r="C26" s="558"/>
      <c r="D26" s="268">
        <v>20</v>
      </c>
      <c r="E26" s="287" t="s">
        <v>318</v>
      </c>
      <c r="F26" s="273">
        <v>2519.3399999999997</v>
      </c>
      <c r="G26" s="273">
        <v>1256.4999999999998</v>
      </c>
      <c r="H26" s="273">
        <v>1247.72225</v>
      </c>
      <c r="I26" s="274">
        <f t="shared" si="1"/>
        <v>0.99301412654198185</v>
      </c>
      <c r="J26" s="273"/>
      <c r="K26" s="274">
        <f t="shared" si="2"/>
        <v>0</v>
      </c>
      <c r="L26" s="273">
        <v>211</v>
      </c>
      <c r="M26" s="275">
        <f t="shared" si="3"/>
        <v>0.99301412654198185</v>
      </c>
      <c r="N26" s="276">
        <v>812.35000000000025</v>
      </c>
      <c r="O26" s="273">
        <v>11.94</v>
      </c>
      <c r="P26" s="274">
        <f t="shared" si="4"/>
        <v>9.5025865499403124E-3</v>
      </c>
      <c r="Q26" s="277">
        <f t="shared" si="5"/>
        <v>-20.717749999999739</v>
      </c>
      <c r="R26" s="274">
        <f t="shared" si="6"/>
        <v>-1.6488460007958412E-2</v>
      </c>
      <c r="S26" s="273">
        <v>-4371.445249999997</v>
      </c>
      <c r="T26" s="278" t="s">
        <v>280</v>
      </c>
      <c r="U26" s="278" t="s">
        <v>224</v>
      </c>
      <c r="V26" s="279"/>
      <c r="W26" s="279" t="s">
        <v>210</v>
      </c>
      <c r="X26" s="279">
        <v>1</v>
      </c>
      <c r="Y26" s="288" t="s">
        <v>130</v>
      </c>
      <c r="AB26" s="286">
        <v>4</v>
      </c>
      <c r="AC26" s="290" t="s">
        <v>284</v>
      </c>
    </row>
    <row r="27" spans="2:29" ht="29.45" customHeight="1">
      <c r="C27" s="552"/>
      <c r="AB27" s="272">
        <v>5</v>
      </c>
      <c r="AC27" s="290" t="s">
        <v>309</v>
      </c>
    </row>
    <row r="28" spans="2:29">
      <c r="C28" s="552"/>
    </row>
    <row r="29" spans="2:29">
      <c r="C29" s="552"/>
    </row>
    <row r="30" spans="2:29">
      <c r="C30" s="552"/>
    </row>
    <row r="31" spans="2:29">
      <c r="C31" s="552"/>
    </row>
    <row r="32" spans="2:29">
      <c r="C32" s="552"/>
    </row>
    <row r="33" spans="3:3">
      <c r="C33" s="552"/>
    </row>
    <row r="34" spans="3:3">
      <c r="C34" s="552"/>
    </row>
    <row r="35" spans="3:3">
      <c r="C35" s="552"/>
    </row>
    <row r="36" spans="3:3">
      <c r="C36" s="552"/>
    </row>
    <row r="67" ht="14.1" customHeight="1"/>
    <row r="77" ht="14.1" customHeight="1"/>
    <row r="87" ht="14.1" customHeight="1"/>
    <row r="112" spans="26:26">
      <c r="Z112" s="198" t="s">
        <v>319</v>
      </c>
    </row>
    <row r="113" spans="26:26">
      <c r="Z113" s="272" t="s">
        <v>320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7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B2:AI297"/>
  <sheetViews>
    <sheetView zoomScale="70" zoomScaleNormal="70" workbookViewId="0">
      <pane xSplit="4" ySplit="6" topLeftCell="E7" activePane="bottomRight" state="frozen"/>
      <selection pane="bottomRight" activeCell="A13" sqref="A13:XFD14"/>
      <selection pane="bottomLeft" activeCell="W7" sqref="W7"/>
      <selection pane="topRight" activeCell="W7" sqref="W7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13.4257812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5.140625" style="196" bestFit="1" customWidth="1"/>
    <col min="20" max="20" width="9.140625" style="196" bestFit="1" customWidth="1"/>
    <col min="21" max="21" width="12.42578125" style="196" bestFit="1" customWidth="1"/>
    <col min="22" max="22" width="29.7109375" style="196" bestFit="1" customWidth="1"/>
    <col min="23" max="23" width="41.140625" style="196" bestFit="1" customWidth="1"/>
    <col min="24" max="24" width="7.42578125" style="196" bestFit="1" customWidth="1"/>
    <col min="25" max="25" width="27.28515625" style="196" bestFit="1" customWidth="1"/>
    <col min="26" max="26" width="11.42578125" style="196" bestFit="1" customWidth="1"/>
    <col min="27" max="28" width="21.5703125" style="196" customWidth="1"/>
    <col min="29" max="34" width="14.42578125" style="196" customWidth="1"/>
    <col min="35" max="35" width="11.42578125" style="196" bestFit="1" customWidth="1"/>
    <col min="36" max="16384" width="8.85546875" style="196"/>
  </cols>
  <sheetData>
    <row r="2" spans="2:35" ht="41.1" customHeight="1">
      <c r="B2" s="566" t="s">
        <v>321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AA2" s="197"/>
      <c r="AB2" s="197"/>
    </row>
    <row r="3" spans="2:35" ht="17.100000000000001" customHeight="1">
      <c r="B3" s="568" t="s">
        <v>242</v>
      </c>
      <c r="C3" s="569"/>
      <c r="D3" s="562" t="s">
        <v>243</v>
      </c>
      <c r="E3" s="562"/>
      <c r="F3" s="562"/>
      <c r="G3" s="562" t="s">
        <v>244</v>
      </c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 t="s">
        <v>245</v>
      </c>
      <c r="U3" s="574" t="s">
        <v>246</v>
      </c>
      <c r="V3" s="559" t="s">
        <v>247</v>
      </c>
      <c r="W3" s="559" t="s">
        <v>248</v>
      </c>
      <c r="X3" s="579" t="s">
        <v>249</v>
      </c>
      <c r="Y3" s="564" t="s">
        <v>250</v>
      </c>
      <c r="AA3" s="562" t="s">
        <v>251</v>
      </c>
      <c r="AB3" s="562"/>
      <c r="AC3" s="562"/>
      <c r="AD3" s="562"/>
      <c r="AE3" s="562"/>
      <c r="AF3" s="562"/>
      <c r="AG3" s="562"/>
      <c r="AH3" s="562"/>
      <c r="AI3" s="562"/>
    </row>
    <row r="4" spans="2:35" ht="17.100000000000001" customHeight="1">
      <c r="B4" s="570"/>
      <c r="C4" s="571"/>
      <c r="D4" s="563" t="s">
        <v>252</v>
      </c>
      <c r="E4" s="562" t="s">
        <v>253</v>
      </c>
      <c r="F4" s="562"/>
      <c r="G4" s="562" t="s">
        <v>254</v>
      </c>
      <c r="H4" s="562"/>
      <c r="I4" s="562"/>
      <c r="J4" s="562"/>
      <c r="K4" s="562"/>
      <c r="L4" s="562"/>
      <c r="M4" s="562"/>
      <c r="N4" s="562"/>
      <c r="O4" s="562" t="s">
        <v>255</v>
      </c>
      <c r="P4" s="562"/>
      <c r="Q4" s="562"/>
      <c r="R4" s="562"/>
      <c r="S4" s="562"/>
      <c r="T4" s="562"/>
      <c r="U4" s="575"/>
      <c r="V4" s="577"/>
      <c r="W4" s="560"/>
      <c r="X4" s="577"/>
      <c r="Y4" s="564"/>
      <c r="AA4" s="562"/>
      <c r="AB4" s="562"/>
      <c r="AC4" s="562"/>
      <c r="AD4" s="562"/>
      <c r="AE4" s="562"/>
      <c r="AF4" s="562"/>
      <c r="AG4" s="562"/>
      <c r="AH4" s="562"/>
      <c r="AI4" s="562"/>
    </row>
    <row r="5" spans="2:35" ht="17.100000000000001" customHeight="1">
      <c r="B5" s="570"/>
      <c r="C5" s="571"/>
      <c r="D5" s="563"/>
      <c r="E5" s="563" t="s">
        <v>256</v>
      </c>
      <c r="F5" s="564" t="s">
        <v>257</v>
      </c>
      <c r="G5" s="565" t="s">
        <v>258</v>
      </c>
      <c r="H5" s="565"/>
      <c r="I5" s="565"/>
      <c r="J5" s="565"/>
      <c r="K5" s="565"/>
      <c r="L5" s="565"/>
      <c r="M5" s="565"/>
      <c r="N5" s="565"/>
      <c r="O5" s="565" t="s">
        <v>259</v>
      </c>
      <c r="P5" s="565"/>
      <c r="Q5" s="565" t="s">
        <v>260</v>
      </c>
      <c r="R5" s="565"/>
      <c r="S5" s="565"/>
      <c r="T5" s="562"/>
      <c r="U5" s="575"/>
      <c r="V5" s="577"/>
      <c r="W5" s="560"/>
      <c r="X5" s="577"/>
      <c r="Y5" s="564"/>
      <c r="AA5" s="562"/>
      <c r="AB5" s="562"/>
      <c r="AC5" s="562"/>
      <c r="AD5" s="562"/>
      <c r="AE5" s="562"/>
      <c r="AF5" s="562"/>
      <c r="AG5" s="562"/>
      <c r="AH5" s="562"/>
      <c r="AI5" s="562"/>
    </row>
    <row r="6" spans="2:35" ht="38.450000000000003" customHeight="1">
      <c r="B6" s="572"/>
      <c r="C6" s="573"/>
      <c r="D6" s="563"/>
      <c r="E6" s="563"/>
      <c r="F6" s="564"/>
      <c r="G6" s="271" t="s">
        <v>261</v>
      </c>
      <c r="H6" s="271" t="s">
        <v>262</v>
      </c>
      <c r="I6" s="271" t="s">
        <v>263</v>
      </c>
      <c r="J6" s="271" t="s">
        <v>264</v>
      </c>
      <c r="K6" s="271" t="s">
        <v>265</v>
      </c>
      <c r="L6" s="271" t="s">
        <v>266</v>
      </c>
      <c r="M6" s="271" t="s">
        <v>267</v>
      </c>
      <c r="N6" s="271" t="s">
        <v>268</v>
      </c>
      <c r="O6" s="269" t="s">
        <v>269</v>
      </c>
      <c r="P6" s="269" t="s">
        <v>270</v>
      </c>
      <c r="Q6" s="269" t="s">
        <v>269</v>
      </c>
      <c r="R6" s="269" t="s">
        <v>270</v>
      </c>
      <c r="S6" s="271" t="s">
        <v>271</v>
      </c>
      <c r="T6" s="562"/>
      <c r="U6" s="576"/>
      <c r="V6" s="578"/>
      <c r="W6" s="561"/>
      <c r="X6" s="578"/>
      <c r="Y6" s="564"/>
      <c r="AA6" s="210" t="s">
        <v>272</v>
      </c>
      <c r="AB6" s="210" t="s">
        <v>191</v>
      </c>
      <c r="AC6" s="270" t="s">
        <v>273</v>
      </c>
      <c r="AD6" s="270" t="s">
        <v>207</v>
      </c>
      <c r="AE6" s="270" t="s">
        <v>208</v>
      </c>
      <c r="AF6" s="270" t="s">
        <v>274</v>
      </c>
      <c r="AG6" s="270" t="s">
        <v>275</v>
      </c>
      <c r="AH6" s="270" t="s">
        <v>276</v>
      </c>
      <c r="AI6" s="270" t="s">
        <v>277</v>
      </c>
    </row>
    <row r="7" spans="2:35" s="272" customFormat="1" ht="27" customHeight="1">
      <c r="B7" s="553" t="s">
        <v>278</v>
      </c>
      <c r="C7" s="554"/>
      <c r="D7" s="268">
        <v>1</v>
      </c>
      <c r="E7" s="287" t="s">
        <v>322</v>
      </c>
      <c r="F7" s="273">
        <v>1730.2000000000003</v>
      </c>
      <c r="G7" s="273">
        <v>5525.4760000000015</v>
      </c>
      <c r="H7" s="273">
        <v>5687.4040000000014</v>
      </c>
      <c r="I7" s="274">
        <f>H7/G7</f>
        <v>1.0293057104944443</v>
      </c>
      <c r="J7" s="273">
        <v>60.95</v>
      </c>
      <c r="K7" s="274">
        <f>J7/G7</f>
        <v>1.1030723868857631E-2</v>
      </c>
      <c r="L7" s="273">
        <v>164</v>
      </c>
      <c r="M7" s="275">
        <f>(H7+J7)/G7</f>
        <v>1.0403364343633019</v>
      </c>
      <c r="N7" s="276">
        <v>36551.991999999998</v>
      </c>
      <c r="O7" s="273">
        <v>10.55</v>
      </c>
      <c r="P7" s="274">
        <f>O7/G7</f>
        <v>1.9093377656513209E-3</v>
      </c>
      <c r="Q7" s="277">
        <f>((H7+J7)-G7)-O7</f>
        <v>212.32799999999969</v>
      </c>
      <c r="R7" s="274">
        <f>Q7/G7</f>
        <v>3.8427096597650527E-2</v>
      </c>
      <c r="S7" s="273">
        <v>34821.792000000001</v>
      </c>
      <c r="T7" s="278" t="s">
        <v>280</v>
      </c>
      <c r="U7" s="278" t="s">
        <v>224</v>
      </c>
      <c r="V7" s="278" t="s">
        <v>323</v>
      </c>
      <c r="W7" s="278" t="s">
        <v>324</v>
      </c>
      <c r="X7" s="279">
        <v>1</v>
      </c>
      <c r="Y7" s="288" t="s">
        <v>325</v>
      </c>
      <c r="Z7" s="280" t="s">
        <v>282</v>
      </c>
      <c r="AA7" s="281">
        <f>SUM(X7:X26)</f>
        <v>20</v>
      </c>
      <c r="AB7" s="282">
        <f>SUMIF($U$7:$U$26,TRIM(AB6),$X$7:$X$26)</f>
        <v>0</v>
      </c>
      <c r="AC7" s="282">
        <f>SUMIF($U$7:$U$26,TRIM(AC6),$X$7:$X$26)</f>
        <v>0</v>
      </c>
      <c r="AD7" s="282">
        <f t="shared" ref="AD7:AI7" ca="1" si="0">SUMIF($U$7:$U$9710,TRIM(AD6),$X$7:$X$26)</f>
        <v>0</v>
      </c>
      <c r="AE7" s="282">
        <f t="shared" ca="1" si="0"/>
        <v>17</v>
      </c>
      <c r="AF7" s="282">
        <f t="shared" ca="1" si="0"/>
        <v>0</v>
      </c>
      <c r="AG7" s="282">
        <f t="shared" ca="1" si="0"/>
        <v>2</v>
      </c>
      <c r="AH7" s="282">
        <f t="shared" ca="1" si="0"/>
        <v>1</v>
      </c>
      <c r="AI7" s="282">
        <f t="shared" ca="1" si="0"/>
        <v>0</v>
      </c>
    </row>
    <row r="8" spans="2:35" s="272" customFormat="1" ht="27" customHeight="1">
      <c r="B8" s="555"/>
      <c r="C8" s="556"/>
      <c r="D8" s="268">
        <v>2</v>
      </c>
      <c r="E8" s="287" t="s">
        <v>326</v>
      </c>
      <c r="F8" s="273">
        <v>0</v>
      </c>
      <c r="G8" s="273">
        <v>1083.9690000000003</v>
      </c>
      <c r="H8" s="273">
        <v>1346.4659999999994</v>
      </c>
      <c r="I8" s="274">
        <f t="shared" ref="I8:I26" si="1">H8/G8</f>
        <v>1.2421628293798062</v>
      </c>
      <c r="J8" s="273"/>
      <c r="K8" s="274">
        <f t="shared" ref="K8:K26" si="2">J8/G8</f>
        <v>0</v>
      </c>
      <c r="L8" s="273">
        <v>81.19000000000004</v>
      </c>
      <c r="M8" s="275">
        <f t="shared" ref="M8:M26" si="3">(H8+J8)/G8</f>
        <v>1.2421628293798062</v>
      </c>
      <c r="N8" s="276">
        <v>22748.382529999995</v>
      </c>
      <c r="O8" s="273">
        <v>0</v>
      </c>
      <c r="P8" s="274">
        <f t="shared" ref="P8:P26" si="4">O8/G8</f>
        <v>0</v>
      </c>
      <c r="Q8" s="277">
        <f t="shared" ref="Q8:Q26" si="5">((H8+J8)-G8)-O8</f>
        <v>262.49699999999916</v>
      </c>
      <c r="R8" s="274">
        <f t="shared" ref="R8:R26" si="6">Q8/G8</f>
        <v>0.24216282937980615</v>
      </c>
      <c r="S8" s="273">
        <v>21312.13142999999</v>
      </c>
      <c r="T8" s="283" t="s">
        <v>309</v>
      </c>
      <c r="U8" s="278" t="s">
        <v>285</v>
      </c>
      <c r="V8" s="278" t="s">
        <v>327</v>
      </c>
      <c r="W8" s="279"/>
      <c r="X8" s="279">
        <v>1</v>
      </c>
      <c r="Y8" s="288" t="s">
        <v>132</v>
      </c>
      <c r="AA8" s="281"/>
      <c r="AB8" s="284">
        <f>SUMIF($U$7:$U$26,TRIM(AB6),$F$7:$F$26)</f>
        <v>0</v>
      </c>
      <c r="AC8" s="284">
        <f>SUMIF($U$7:$U$26,TRIM(AC6),$F$7:$F$26)</f>
        <v>0</v>
      </c>
      <c r="AD8" s="284">
        <f t="shared" ref="AD8:AI8" ca="1" si="7">SUMIF($U$7:$U$176,TRIM(AD6),$F$7:$F$26)</f>
        <v>0</v>
      </c>
      <c r="AE8" s="284">
        <f t="shared" ca="1" si="7"/>
        <v>66451.735700000005</v>
      </c>
      <c r="AF8" s="284">
        <f t="shared" ca="1" si="7"/>
        <v>0</v>
      </c>
      <c r="AG8" s="284">
        <f t="shared" ca="1" si="7"/>
        <v>3991.8449999999998</v>
      </c>
      <c r="AH8" s="284">
        <f t="shared" ca="1" si="7"/>
        <v>0</v>
      </c>
      <c r="AI8" s="284">
        <f t="shared" ca="1" si="7"/>
        <v>0</v>
      </c>
    </row>
    <row r="9" spans="2:35" s="272" customFormat="1" ht="27" customHeight="1">
      <c r="B9" s="555"/>
      <c r="C9" s="556"/>
      <c r="D9" s="268">
        <v>3</v>
      </c>
      <c r="E9" s="287" t="s">
        <v>296</v>
      </c>
      <c r="F9" s="273">
        <v>6060.5</v>
      </c>
      <c r="G9" s="273">
        <v>11308.5</v>
      </c>
      <c r="H9" s="273">
        <v>11516.24</v>
      </c>
      <c r="I9" s="274">
        <f t="shared" si="1"/>
        <v>1.01837025246496</v>
      </c>
      <c r="J9" s="273">
        <v>109.70000000000002</v>
      </c>
      <c r="K9" s="274">
        <f t="shared" si="2"/>
        <v>9.7006676393863039E-3</v>
      </c>
      <c r="L9" s="273">
        <v>85</v>
      </c>
      <c r="M9" s="275">
        <f t="shared" si="3"/>
        <v>1.0280709201043463</v>
      </c>
      <c r="N9" s="276">
        <v>26982.399999999994</v>
      </c>
      <c r="O9" s="273">
        <v>71.300000000000011</v>
      </c>
      <c r="P9" s="274">
        <f t="shared" si="4"/>
        <v>6.3049918203121552E-3</v>
      </c>
      <c r="Q9" s="277">
        <f t="shared" si="5"/>
        <v>246.1400000000005</v>
      </c>
      <c r="R9" s="274">
        <f t="shared" si="6"/>
        <v>2.1765928284034178E-2</v>
      </c>
      <c r="S9" s="273">
        <v>20921.899999999994</v>
      </c>
      <c r="T9" s="268" t="s">
        <v>280</v>
      </c>
      <c r="U9" s="278" t="s">
        <v>224</v>
      </c>
      <c r="V9" s="279"/>
      <c r="W9" s="279" t="s">
        <v>210</v>
      </c>
      <c r="X9" s="279">
        <v>1</v>
      </c>
      <c r="Y9" s="288" t="s">
        <v>130</v>
      </c>
    </row>
    <row r="10" spans="2:35" s="272" customFormat="1" ht="27" customHeight="1">
      <c r="B10" s="555"/>
      <c r="C10" s="556"/>
      <c r="D10" s="268">
        <v>4</v>
      </c>
      <c r="E10" s="287" t="s">
        <v>328</v>
      </c>
      <c r="F10" s="273">
        <v>0</v>
      </c>
      <c r="G10" s="273">
        <v>3098.212</v>
      </c>
      <c r="H10" s="273">
        <v>3098.212</v>
      </c>
      <c r="I10" s="274">
        <f>H10/G10</f>
        <v>1</v>
      </c>
      <c r="J10" s="273">
        <v>26.640400000000007</v>
      </c>
      <c r="K10" s="274">
        <f t="shared" si="2"/>
        <v>8.5986368912133859E-3</v>
      </c>
      <c r="L10" s="273">
        <v>589.97999999999979</v>
      </c>
      <c r="M10" s="275">
        <f t="shared" si="3"/>
        <v>1.0085986368912134</v>
      </c>
      <c r="N10" s="276">
        <v>15717.303191999996</v>
      </c>
      <c r="O10" s="273">
        <v>0</v>
      </c>
      <c r="P10" s="274">
        <f t="shared" si="4"/>
        <v>0</v>
      </c>
      <c r="Q10" s="277">
        <f t="shared" si="5"/>
        <v>26.640400000000227</v>
      </c>
      <c r="R10" s="274">
        <f t="shared" si="6"/>
        <v>8.598636891213457E-3</v>
      </c>
      <c r="S10" s="273">
        <v>15717.303191999996</v>
      </c>
      <c r="T10" s="268" t="s">
        <v>280</v>
      </c>
      <c r="U10" s="278" t="s">
        <v>224</v>
      </c>
      <c r="V10" s="279"/>
      <c r="W10" s="279" t="s">
        <v>210</v>
      </c>
      <c r="X10" s="279">
        <v>1</v>
      </c>
      <c r="Y10" s="288" t="s">
        <v>123</v>
      </c>
    </row>
    <row r="11" spans="2:35" s="272" customFormat="1" ht="27" customHeight="1">
      <c r="B11" s="555"/>
      <c r="C11" s="556"/>
      <c r="D11" s="268">
        <v>5</v>
      </c>
      <c r="E11" s="287" t="s">
        <v>312</v>
      </c>
      <c r="F11" s="273">
        <v>2685.7529999999997</v>
      </c>
      <c r="G11" s="273">
        <v>4818.3600000000006</v>
      </c>
      <c r="H11" s="273">
        <v>4856.9670000000006</v>
      </c>
      <c r="I11" s="274">
        <f t="shared" si="1"/>
        <v>1.0080124772744252</v>
      </c>
      <c r="J11" s="273">
        <v>0</v>
      </c>
      <c r="K11" s="274">
        <f t="shared" si="2"/>
        <v>0</v>
      </c>
      <c r="L11" s="273">
        <v>335.29999999999995</v>
      </c>
      <c r="M11" s="275">
        <f t="shared" si="3"/>
        <v>1.0080124772744252</v>
      </c>
      <c r="N11" s="276">
        <v>12944.927100000001</v>
      </c>
      <c r="O11" s="273">
        <v>8.01</v>
      </c>
      <c r="P11" s="274">
        <f t="shared" si="4"/>
        <v>1.6623913530744898E-3</v>
      </c>
      <c r="Q11" s="277">
        <f t="shared" si="5"/>
        <v>30.596999999999973</v>
      </c>
      <c r="R11" s="274">
        <f t="shared" si="6"/>
        <v>6.3500859213508265E-3</v>
      </c>
      <c r="S11" s="273">
        <v>10259.1741</v>
      </c>
      <c r="T11" s="278" t="s">
        <v>313</v>
      </c>
      <c r="U11" s="278" t="s">
        <v>220</v>
      </c>
      <c r="V11" s="278" t="s">
        <v>314</v>
      </c>
      <c r="W11" s="279" t="s">
        <v>210</v>
      </c>
      <c r="X11" s="279">
        <v>1</v>
      </c>
      <c r="Y11" s="288" t="s">
        <v>316</v>
      </c>
    </row>
    <row r="12" spans="2:35" s="272" customFormat="1" ht="27" customHeight="1">
      <c r="B12" s="555"/>
      <c r="C12" s="556"/>
      <c r="D12" s="268">
        <v>6</v>
      </c>
      <c r="E12" s="287" t="s">
        <v>329</v>
      </c>
      <c r="F12" s="273">
        <v>1306.0920000000001</v>
      </c>
      <c r="G12" s="273">
        <v>4987.3249999999998</v>
      </c>
      <c r="H12" s="273">
        <v>4998.4599999999991</v>
      </c>
      <c r="I12" s="274">
        <f t="shared" si="1"/>
        <v>1.0022326597925741</v>
      </c>
      <c r="J12" s="273">
        <v>14.35</v>
      </c>
      <c r="K12" s="274">
        <f t="shared" si="2"/>
        <v>2.8772939401382506E-3</v>
      </c>
      <c r="L12" s="273">
        <v>421.31999999999982</v>
      </c>
      <c r="M12" s="275">
        <f t="shared" si="3"/>
        <v>1.0051099537327124</v>
      </c>
      <c r="N12" s="276">
        <v>10737.340200000006</v>
      </c>
      <c r="O12" s="273">
        <v>3.1</v>
      </c>
      <c r="P12" s="274">
        <f t="shared" si="4"/>
        <v>6.215756943852667E-4</v>
      </c>
      <c r="Q12" s="277">
        <f t="shared" si="5"/>
        <v>22.384999999999671</v>
      </c>
      <c r="R12" s="274">
        <f t="shared" si="6"/>
        <v>4.4883780383270936E-3</v>
      </c>
      <c r="S12" s="273">
        <v>9431.2482000000055</v>
      </c>
      <c r="T12" s="278" t="s">
        <v>313</v>
      </c>
      <c r="U12" s="278" t="s">
        <v>220</v>
      </c>
      <c r="V12" s="278" t="s">
        <v>330</v>
      </c>
      <c r="W12" s="279" t="s">
        <v>210</v>
      </c>
      <c r="X12" s="279">
        <v>1</v>
      </c>
      <c r="Y12" s="288" t="s">
        <v>290</v>
      </c>
    </row>
    <row r="13" spans="2:35" s="272" customFormat="1" ht="27" customHeight="1">
      <c r="B13" s="555"/>
      <c r="C13" s="556"/>
      <c r="D13" s="268">
        <v>7</v>
      </c>
      <c r="E13" s="287" t="s">
        <v>331</v>
      </c>
      <c r="F13" s="273">
        <v>1796.432</v>
      </c>
      <c r="G13" s="273">
        <v>4671.18</v>
      </c>
      <c r="H13" s="273">
        <v>4671.18</v>
      </c>
      <c r="I13" s="274">
        <f t="shared" si="1"/>
        <v>1</v>
      </c>
      <c r="J13" s="273">
        <v>267.75</v>
      </c>
      <c r="K13" s="274">
        <f t="shared" si="2"/>
        <v>5.7319563793302761E-2</v>
      </c>
      <c r="L13" s="273">
        <v>38.06</v>
      </c>
      <c r="M13" s="275">
        <f t="shared" si="3"/>
        <v>1.0573195637933028</v>
      </c>
      <c r="N13" s="276">
        <v>10190.564999999995</v>
      </c>
      <c r="O13" s="273">
        <v>47.2</v>
      </c>
      <c r="P13" s="274">
        <f t="shared" si="4"/>
        <v>1.010451320651313E-2</v>
      </c>
      <c r="Q13" s="277">
        <f t="shared" si="5"/>
        <v>220.55</v>
      </c>
      <c r="R13" s="274">
        <f t="shared" si="6"/>
        <v>4.7215050586789632E-2</v>
      </c>
      <c r="S13" s="273">
        <v>8394.1329999999962</v>
      </c>
      <c r="T13" s="268" t="s">
        <v>280</v>
      </c>
      <c r="U13" s="278" t="s">
        <v>224</v>
      </c>
      <c r="V13" s="279"/>
      <c r="W13" s="279" t="s">
        <v>210</v>
      </c>
      <c r="X13" s="279">
        <v>1</v>
      </c>
      <c r="Y13" s="289" t="s">
        <v>126</v>
      </c>
      <c r="AB13" s="272">
        <v>1</v>
      </c>
      <c r="AC13" s="290" t="s">
        <v>191</v>
      </c>
    </row>
    <row r="14" spans="2:35" s="272" customFormat="1" ht="27" customHeight="1">
      <c r="B14" s="555"/>
      <c r="C14" s="556"/>
      <c r="D14" s="268">
        <v>8</v>
      </c>
      <c r="E14" s="287" t="s">
        <v>332</v>
      </c>
      <c r="F14" s="273">
        <v>1380.2460000000001</v>
      </c>
      <c r="G14" s="273">
        <v>3295.777</v>
      </c>
      <c r="H14" s="273">
        <v>3295.777</v>
      </c>
      <c r="I14" s="274">
        <f t="shared" si="1"/>
        <v>1</v>
      </c>
      <c r="J14" s="273">
        <v>68.88</v>
      </c>
      <c r="K14" s="274">
        <f>J14/G14</f>
        <v>2.0899472264051845E-2</v>
      </c>
      <c r="L14" s="273">
        <v>116.97</v>
      </c>
      <c r="M14" s="275">
        <f>(H14+J14)/G14</f>
        <v>1.0208994722640519</v>
      </c>
      <c r="N14" s="276">
        <v>8056.8935999999994</v>
      </c>
      <c r="O14" s="273">
        <v>11.8</v>
      </c>
      <c r="P14" s="274">
        <f t="shared" si="4"/>
        <v>3.5803393251424478E-3</v>
      </c>
      <c r="Q14" s="277">
        <f t="shared" si="5"/>
        <v>57.080000000000112</v>
      </c>
      <c r="R14" s="274">
        <f t="shared" si="6"/>
        <v>1.731913293890943E-2</v>
      </c>
      <c r="S14" s="273">
        <v>6676.6475999999993</v>
      </c>
      <c r="T14" s="268" t="s">
        <v>280</v>
      </c>
      <c r="U14" s="278" t="s">
        <v>224</v>
      </c>
      <c r="V14" s="279"/>
      <c r="W14" s="279" t="s">
        <v>210</v>
      </c>
      <c r="X14" s="279">
        <v>1</v>
      </c>
      <c r="Y14" s="288" t="s">
        <v>126</v>
      </c>
      <c r="AB14" s="272">
        <v>2</v>
      </c>
      <c r="AC14" s="290" t="s">
        <v>299</v>
      </c>
    </row>
    <row r="15" spans="2:35" s="272" customFormat="1" ht="27" customHeight="1">
      <c r="B15" s="555"/>
      <c r="C15" s="556"/>
      <c r="D15" s="268">
        <v>9</v>
      </c>
      <c r="E15" s="287" t="s">
        <v>333</v>
      </c>
      <c r="F15" s="273">
        <v>1084.4959999999999</v>
      </c>
      <c r="G15" s="273">
        <v>259.51</v>
      </c>
      <c r="H15" s="273">
        <v>259.51</v>
      </c>
      <c r="I15" s="274">
        <f t="shared" si="1"/>
        <v>1</v>
      </c>
      <c r="J15" s="273">
        <v>8</v>
      </c>
      <c r="K15" s="274">
        <f t="shared" si="2"/>
        <v>3.0827328426650227E-2</v>
      </c>
      <c r="L15" s="273">
        <v>943.04</v>
      </c>
      <c r="M15" s="275">
        <f t="shared" si="3"/>
        <v>1.0308273284266503</v>
      </c>
      <c r="N15" s="276">
        <v>7544.32</v>
      </c>
      <c r="O15" s="273">
        <v>1.1499999999999999</v>
      </c>
      <c r="P15" s="274">
        <f t="shared" si="4"/>
        <v>4.4314284613309694E-3</v>
      </c>
      <c r="Q15" s="277">
        <f t="shared" si="5"/>
        <v>6.85</v>
      </c>
      <c r="R15" s="274">
        <f t="shared" si="6"/>
        <v>2.6395899965319256E-2</v>
      </c>
      <c r="S15" s="273">
        <v>6459.8239999999996</v>
      </c>
      <c r="T15" s="268" t="s">
        <v>280</v>
      </c>
      <c r="U15" s="278" t="s">
        <v>224</v>
      </c>
      <c r="V15" s="279"/>
      <c r="W15" s="279" t="s">
        <v>210</v>
      </c>
      <c r="X15" s="279">
        <v>1</v>
      </c>
      <c r="Y15" s="288" t="s">
        <v>126</v>
      </c>
      <c r="AB15" s="272">
        <v>3</v>
      </c>
      <c r="AC15" s="290" t="s">
        <v>298</v>
      </c>
    </row>
    <row r="16" spans="2:35" s="272" customFormat="1" ht="27" customHeight="1">
      <c r="B16" s="555"/>
      <c r="C16" s="556"/>
      <c r="D16" s="268">
        <v>10</v>
      </c>
      <c r="E16" s="287" t="s">
        <v>334</v>
      </c>
      <c r="F16" s="273">
        <v>175.85749999999999</v>
      </c>
      <c r="G16" s="273">
        <v>17065.058999999997</v>
      </c>
      <c r="H16" s="273">
        <v>17075.632999999998</v>
      </c>
      <c r="I16" s="274">
        <f t="shared" si="1"/>
        <v>1.0006196286810376</v>
      </c>
      <c r="J16" s="273">
        <v>106.3</v>
      </c>
      <c r="K16" s="274">
        <f t="shared" si="2"/>
        <v>6.2291024015797437E-3</v>
      </c>
      <c r="L16" s="273">
        <v>54.109999999999971</v>
      </c>
      <c r="M16" s="275">
        <f t="shared" si="3"/>
        <v>1.0068487310826173</v>
      </c>
      <c r="N16" s="276">
        <v>6324.0521400000016</v>
      </c>
      <c r="O16" s="273">
        <v>3.25</v>
      </c>
      <c r="P16" s="274">
        <f t="shared" si="4"/>
        <v>1.9044762751772499E-4</v>
      </c>
      <c r="Q16" s="277">
        <f t="shared" si="5"/>
        <v>113.6239999999998</v>
      </c>
      <c r="R16" s="274">
        <f t="shared" si="6"/>
        <v>6.6582834550996759E-3</v>
      </c>
      <c r="S16" s="273">
        <v>6148.1946400000015</v>
      </c>
      <c r="T16" s="268" t="s">
        <v>280</v>
      </c>
      <c r="U16" s="278" t="s">
        <v>224</v>
      </c>
      <c r="V16" s="279"/>
      <c r="W16" s="279" t="s">
        <v>210</v>
      </c>
      <c r="X16" s="279">
        <v>1</v>
      </c>
      <c r="Y16" s="288" t="s">
        <v>118</v>
      </c>
      <c r="AB16" s="272">
        <v>4</v>
      </c>
      <c r="AC16" s="290" t="s">
        <v>302</v>
      </c>
    </row>
    <row r="17" spans="2:29" s="272" customFormat="1" ht="27" customHeight="1">
      <c r="B17" s="555"/>
      <c r="C17" s="556"/>
      <c r="D17" s="268">
        <v>11</v>
      </c>
      <c r="E17" s="287" t="s">
        <v>335</v>
      </c>
      <c r="F17" s="273">
        <v>1340.6399999999999</v>
      </c>
      <c r="G17" s="273">
        <v>2512.9999999999995</v>
      </c>
      <c r="H17" s="273">
        <v>2562.9369999999999</v>
      </c>
      <c r="I17" s="274">
        <f t="shared" si="1"/>
        <v>1.0198714683645047</v>
      </c>
      <c r="J17" s="273"/>
      <c r="K17" s="274">
        <f t="shared" si="2"/>
        <v>0</v>
      </c>
      <c r="L17" s="273">
        <v>147</v>
      </c>
      <c r="M17" s="275">
        <f t="shared" si="3"/>
        <v>1.0198714683645047</v>
      </c>
      <c r="N17" s="276">
        <v>7340.7390000000014</v>
      </c>
      <c r="O17" s="273">
        <v>9.1199999999999992</v>
      </c>
      <c r="P17" s="274">
        <f t="shared" si="4"/>
        <v>3.6291285316354957E-3</v>
      </c>
      <c r="Q17" s="277">
        <f t="shared" si="5"/>
        <v>40.817000000000355</v>
      </c>
      <c r="R17" s="274">
        <f t="shared" si="6"/>
        <v>1.6242339832869226E-2</v>
      </c>
      <c r="S17" s="273">
        <v>6000.099000000002</v>
      </c>
      <c r="T17" s="268" t="s">
        <v>280</v>
      </c>
      <c r="U17" s="278" t="s">
        <v>224</v>
      </c>
      <c r="V17" s="279"/>
      <c r="W17" s="279" t="s">
        <v>210</v>
      </c>
      <c r="X17" s="279">
        <v>1</v>
      </c>
      <c r="Y17" s="288" t="s">
        <v>130</v>
      </c>
      <c r="AB17" s="272">
        <v>5</v>
      </c>
      <c r="AC17" s="290" t="s">
        <v>218</v>
      </c>
    </row>
    <row r="18" spans="2:29" s="272" customFormat="1" ht="27" customHeight="1">
      <c r="B18" s="555"/>
      <c r="C18" s="556"/>
      <c r="D18" s="268">
        <v>12</v>
      </c>
      <c r="E18" s="287" t="s">
        <v>336</v>
      </c>
      <c r="F18" s="273">
        <v>0</v>
      </c>
      <c r="G18" s="273">
        <v>127.80799999999999</v>
      </c>
      <c r="H18" s="273">
        <v>143.26</v>
      </c>
      <c r="I18" s="274">
        <f t="shared" si="1"/>
        <v>1.1209001001502252</v>
      </c>
      <c r="J18" s="273"/>
      <c r="K18" s="274">
        <f t="shared" si="2"/>
        <v>0</v>
      </c>
      <c r="L18" s="273">
        <v>351.59999999999997</v>
      </c>
      <c r="M18" s="275">
        <f t="shared" si="3"/>
        <v>1.1209001001502252</v>
      </c>
      <c r="N18" s="276">
        <v>5791.5551999999998</v>
      </c>
      <c r="O18" s="273">
        <v>0</v>
      </c>
      <c r="P18" s="274">
        <f t="shared" si="4"/>
        <v>0</v>
      </c>
      <c r="Q18" s="277">
        <f t="shared" si="5"/>
        <v>15.451999999999998</v>
      </c>
      <c r="R18" s="274">
        <f t="shared" si="6"/>
        <v>0.12090010015022533</v>
      </c>
      <c r="S18" s="273">
        <v>5432.9232000000002</v>
      </c>
      <c r="T18" s="268" t="s">
        <v>280</v>
      </c>
      <c r="U18" s="278" t="s">
        <v>224</v>
      </c>
      <c r="V18" s="278"/>
      <c r="W18" s="279" t="s">
        <v>210</v>
      </c>
      <c r="X18" s="279">
        <v>1</v>
      </c>
      <c r="Y18" s="288" t="s">
        <v>120</v>
      </c>
      <c r="AB18" s="272">
        <v>6</v>
      </c>
      <c r="AC18" s="290" t="s">
        <v>220</v>
      </c>
    </row>
    <row r="19" spans="2:29" s="272" customFormat="1" ht="27" customHeight="1">
      <c r="B19" s="555"/>
      <c r="C19" s="556"/>
      <c r="D19" s="268">
        <v>13</v>
      </c>
      <c r="E19" s="287" t="s">
        <v>283</v>
      </c>
      <c r="F19" s="273">
        <v>23191.773000000001</v>
      </c>
      <c r="G19" s="273">
        <v>734.89600000000007</v>
      </c>
      <c r="H19" s="273">
        <v>845.26</v>
      </c>
      <c r="I19" s="274">
        <f t="shared" si="1"/>
        <v>1.1501763514837473</v>
      </c>
      <c r="J19" s="273"/>
      <c r="K19" s="274">
        <f t="shared" si="2"/>
        <v>0</v>
      </c>
      <c r="L19" s="273">
        <v>250.09999999999994</v>
      </c>
      <c r="M19" s="275">
        <f t="shared" si="3"/>
        <v>1.1501763514837473</v>
      </c>
      <c r="N19" s="276">
        <v>27602.036400000005</v>
      </c>
      <c r="O19" s="273">
        <v>92.73</v>
      </c>
      <c r="P19" s="274">
        <f t="shared" si="4"/>
        <v>0.12618111950534497</v>
      </c>
      <c r="Q19" s="277">
        <f t="shared" si="5"/>
        <v>17.633999999999915</v>
      </c>
      <c r="R19" s="274">
        <f t="shared" si="6"/>
        <v>2.3995231978402268E-2</v>
      </c>
      <c r="S19" s="273">
        <v>4410.2634000000107</v>
      </c>
      <c r="T19" s="268" t="s">
        <v>280</v>
      </c>
      <c r="U19" s="278" t="s">
        <v>224</v>
      </c>
      <c r="V19" s="278"/>
      <c r="W19" s="279" t="s">
        <v>210</v>
      </c>
      <c r="X19" s="279">
        <v>1</v>
      </c>
      <c r="Y19" s="288" t="s">
        <v>120</v>
      </c>
      <c r="AB19" s="272">
        <v>7</v>
      </c>
      <c r="AC19" s="290" t="s">
        <v>285</v>
      </c>
    </row>
    <row r="20" spans="2:29" s="272" customFormat="1" ht="27" customHeight="1">
      <c r="B20" s="555"/>
      <c r="C20" s="556"/>
      <c r="D20" s="268">
        <v>14</v>
      </c>
      <c r="E20" s="287" t="s">
        <v>337</v>
      </c>
      <c r="F20" s="273">
        <v>529.63299999999992</v>
      </c>
      <c r="G20" s="273">
        <v>38389.400000000009</v>
      </c>
      <c r="H20" s="273">
        <v>38412.426000000007</v>
      </c>
      <c r="I20" s="274">
        <f t="shared" si="1"/>
        <v>1.0005998009867307</v>
      </c>
      <c r="J20" s="273">
        <v>135.44999999999999</v>
      </c>
      <c r="K20" s="274">
        <f t="shared" si="2"/>
        <v>3.5283177127019426E-3</v>
      </c>
      <c r="L20" s="273">
        <v>31.100000000000016</v>
      </c>
      <c r="M20" s="275">
        <f t="shared" si="3"/>
        <v>1.0041281186994326</v>
      </c>
      <c r="N20" s="276">
        <v>4928.6036000000131</v>
      </c>
      <c r="O20" s="273">
        <v>17.03</v>
      </c>
      <c r="P20" s="274">
        <f t="shared" si="4"/>
        <v>4.4361203873986041E-4</v>
      </c>
      <c r="Q20" s="277">
        <f t="shared" si="5"/>
        <v>141.44599999999511</v>
      </c>
      <c r="R20" s="274">
        <f t="shared" si="6"/>
        <v>3.684506660692667E-3</v>
      </c>
      <c r="S20" s="273">
        <v>4398.9706000000142</v>
      </c>
      <c r="T20" s="268" t="s">
        <v>280</v>
      </c>
      <c r="U20" s="278" t="s">
        <v>224</v>
      </c>
      <c r="V20" s="279"/>
      <c r="W20" s="279" t="s">
        <v>210</v>
      </c>
      <c r="X20" s="279">
        <v>1</v>
      </c>
      <c r="Y20" s="288" t="s">
        <v>112</v>
      </c>
      <c r="AB20" s="272">
        <v>8</v>
      </c>
      <c r="AC20" s="291" t="s">
        <v>307</v>
      </c>
    </row>
    <row r="21" spans="2:29" s="272" customFormat="1" ht="27" customHeight="1">
      <c r="B21" s="555"/>
      <c r="C21" s="556"/>
      <c r="D21" s="268">
        <v>15</v>
      </c>
      <c r="E21" s="287" t="s">
        <v>301</v>
      </c>
      <c r="F21" s="273">
        <v>5727.0509999999986</v>
      </c>
      <c r="G21" s="273">
        <v>1297.3799999999999</v>
      </c>
      <c r="H21" s="273">
        <v>1389.49</v>
      </c>
      <c r="I21" s="274">
        <f t="shared" si="1"/>
        <v>1.0709969322789006</v>
      </c>
      <c r="J21" s="273"/>
      <c r="K21" s="274">
        <f t="shared" si="2"/>
        <v>0</v>
      </c>
      <c r="L21" s="273">
        <v>105.17999999999999</v>
      </c>
      <c r="M21" s="275">
        <f t="shared" si="3"/>
        <v>1.0709969322789006</v>
      </c>
      <c r="N21" s="276">
        <v>9688.1297999999988</v>
      </c>
      <c r="O21" s="273">
        <v>54.45000000000001</v>
      </c>
      <c r="P21" s="274">
        <f t="shared" si="4"/>
        <v>4.196919946353421E-2</v>
      </c>
      <c r="Q21" s="277">
        <f t="shared" si="5"/>
        <v>37.660000000000117</v>
      </c>
      <c r="R21" s="274">
        <f t="shared" si="6"/>
        <v>2.9027732815366449E-2</v>
      </c>
      <c r="S21" s="273">
        <v>3961.0787999999984</v>
      </c>
      <c r="T21" s="268" t="s">
        <v>280</v>
      </c>
      <c r="U21" s="278" t="s">
        <v>224</v>
      </c>
      <c r="V21" s="278"/>
      <c r="W21" s="279" t="s">
        <v>210</v>
      </c>
      <c r="X21" s="279">
        <v>1</v>
      </c>
      <c r="Y21" s="288" t="s">
        <v>119</v>
      </c>
      <c r="AC21" s="290"/>
    </row>
    <row r="22" spans="2:29" s="272" customFormat="1" ht="27" customHeight="1">
      <c r="B22" s="555"/>
      <c r="C22" s="556"/>
      <c r="D22" s="268">
        <v>16</v>
      </c>
      <c r="E22" s="287" t="s">
        <v>311</v>
      </c>
      <c r="F22" s="273">
        <v>3439.998</v>
      </c>
      <c r="G22" s="273">
        <v>12112.075000000001</v>
      </c>
      <c r="H22" s="273">
        <v>12165.820000000002</v>
      </c>
      <c r="I22" s="274">
        <f t="shared" si="1"/>
        <v>1.0044373073977828</v>
      </c>
      <c r="J22" s="273">
        <v>33.700000000000003</v>
      </c>
      <c r="K22" s="274">
        <f t="shared" si="2"/>
        <v>2.7823473682255105E-3</v>
      </c>
      <c r="L22" s="273">
        <v>80.280000000000015</v>
      </c>
      <c r="M22" s="275">
        <f t="shared" si="3"/>
        <v>1.0072196547660084</v>
      </c>
      <c r="N22" s="276">
        <v>7020.0846000000001</v>
      </c>
      <c r="O22" s="273">
        <v>42.85</v>
      </c>
      <c r="P22" s="274">
        <f t="shared" si="4"/>
        <v>3.5377918317051373E-3</v>
      </c>
      <c r="Q22" s="277">
        <f t="shared" si="5"/>
        <v>44.595000000001527</v>
      </c>
      <c r="R22" s="274">
        <f t="shared" si="6"/>
        <v>3.6818629343032903E-3</v>
      </c>
      <c r="S22" s="273">
        <v>3580.0865999999996</v>
      </c>
      <c r="T22" s="268" t="s">
        <v>280</v>
      </c>
      <c r="U22" s="278" t="s">
        <v>224</v>
      </c>
      <c r="V22" s="279"/>
      <c r="W22" s="279" t="s">
        <v>210</v>
      </c>
      <c r="X22" s="279">
        <v>1</v>
      </c>
      <c r="Y22" s="288" t="s">
        <v>290</v>
      </c>
      <c r="AC22" s="290"/>
    </row>
    <row r="23" spans="2:29" s="272" customFormat="1" ht="27" customHeight="1">
      <c r="B23" s="555"/>
      <c r="C23" s="556"/>
      <c r="D23" s="268">
        <v>17</v>
      </c>
      <c r="E23" s="287" t="s">
        <v>338</v>
      </c>
      <c r="F23" s="273">
        <v>746.50049999999999</v>
      </c>
      <c r="G23" s="273">
        <v>207.608</v>
      </c>
      <c r="H23" s="273">
        <v>210.33600000000001</v>
      </c>
      <c r="I23" s="274">
        <f t="shared" si="1"/>
        <v>1.0131401487418596</v>
      </c>
      <c r="J23" s="273">
        <v>13.56</v>
      </c>
      <c r="K23" s="274">
        <f t="shared" si="2"/>
        <v>6.5315402103965164E-2</v>
      </c>
      <c r="L23" s="273">
        <v>261.93</v>
      </c>
      <c r="M23" s="275">
        <f t="shared" si="3"/>
        <v>1.0784555508458249</v>
      </c>
      <c r="N23" s="276">
        <v>4266.3158400000029</v>
      </c>
      <c r="O23" s="273">
        <v>2.85</v>
      </c>
      <c r="P23" s="274">
        <f t="shared" si="4"/>
        <v>1.3727794689992679E-2</v>
      </c>
      <c r="Q23" s="277">
        <f t="shared" si="5"/>
        <v>13.438000000000011</v>
      </c>
      <c r="R23" s="274">
        <f t="shared" si="6"/>
        <v>6.4727756155832192E-2</v>
      </c>
      <c r="S23" s="273">
        <v>3519.8153400000033</v>
      </c>
      <c r="T23" s="268" t="s">
        <v>280</v>
      </c>
      <c r="U23" s="278" t="s">
        <v>224</v>
      </c>
      <c r="V23" s="279"/>
      <c r="W23" s="279" t="s">
        <v>210</v>
      </c>
      <c r="X23" s="279">
        <v>1</v>
      </c>
      <c r="Y23" s="288" t="s">
        <v>126</v>
      </c>
      <c r="AB23" s="285">
        <v>1</v>
      </c>
      <c r="AC23" s="290" t="s">
        <v>297</v>
      </c>
    </row>
    <row r="24" spans="2:29" s="272" customFormat="1" ht="27" customHeight="1">
      <c r="B24" s="555"/>
      <c r="C24" s="556"/>
      <c r="D24" s="268">
        <v>18</v>
      </c>
      <c r="E24" s="287" t="s">
        <v>304</v>
      </c>
      <c r="F24" s="273">
        <v>4948.45</v>
      </c>
      <c r="G24" s="273">
        <v>556.02</v>
      </c>
      <c r="H24" s="273">
        <v>591.96</v>
      </c>
      <c r="I24" s="274">
        <f t="shared" si="1"/>
        <v>1.0646379626632136</v>
      </c>
      <c r="J24" s="273">
        <v>2.4500000000000002</v>
      </c>
      <c r="K24" s="274">
        <f t="shared" si="2"/>
        <v>4.406316319556851E-3</v>
      </c>
      <c r="L24" s="273">
        <v>215.15000000000006</v>
      </c>
      <c r="M24" s="275">
        <f t="shared" si="3"/>
        <v>1.0690442789827705</v>
      </c>
      <c r="N24" s="276">
        <v>8259.6084999999985</v>
      </c>
      <c r="O24" s="273">
        <v>23</v>
      </c>
      <c r="P24" s="274">
        <f t="shared" si="4"/>
        <v>4.1365418510125533E-2</v>
      </c>
      <c r="Q24" s="277">
        <f t="shared" si="5"/>
        <v>15.3900000000001</v>
      </c>
      <c r="R24" s="274">
        <f t="shared" si="6"/>
        <v>2.7678860472645051E-2</v>
      </c>
      <c r="S24" s="273">
        <v>3311.1584999999986</v>
      </c>
      <c r="T24" s="268" t="s">
        <v>280</v>
      </c>
      <c r="U24" s="278" t="s">
        <v>224</v>
      </c>
      <c r="V24" s="279"/>
      <c r="W24" s="279" t="s">
        <v>210</v>
      </c>
      <c r="X24" s="279">
        <v>1</v>
      </c>
      <c r="Y24" s="288" t="s">
        <v>119</v>
      </c>
      <c r="AB24" s="272">
        <v>2</v>
      </c>
      <c r="AC24" s="290" t="s">
        <v>280</v>
      </c>
    </row>
    <row r="25" spans="2:29" s="272" customFormat="1" ht="27" customHeight="1">
      <c r="B25" s="555"/>
      <c r="C25" s="556"/>
      <c r="D25" s="268">
        <v>19</v>
      </c>
      <c r="E25" s="287" t="s">
        <v>339</v>
      </c>
      <c r="F25" s="273">
        <v>0</v>
      </c>
      <c r="G25" s="273">
        <v>14.035</v>
      </c>
      <c r="H25" s="273">
        <v>17</v>
      </c>
      <c r="I25" s="274">
        <f t="shared" si="1"/>
        <v>1.2112575703598147</v>
      </c>
      <c r="J25" s="273"/>
      <c r="K25" s="274">
        <f t="shared" si="2"/>
        <v>0</v>
      </c>
      <c r="L25" s="273">
        <v>1030</v>
      </c>
      <c r="M25" s="275">
        <f t="shared" si="3"/>
        <v>1.2112575703598147</v>
      </c>
      <c r="N25" s="276">
        <v>3053.95</v>
      </c>
      <c r="O25" s="273">
        <v>0</v>
      </c>
      <c r="P25" s="274">
        <f t="shared" si="4"/>
        <v>0</v>
      </c>
      <c r="Q25" s="277">
        <f t="shared" si="5"/>
        <v>2.9649999999999999</v>
      </c>
      <c r="R25" s="274">
        <f t="shared" si="6"/>
        <v>0.21125757035981474</v>
      </c>
      <c r="S25" s="273">
        <v>3053.95</v>
      </c>
      <c r="T25" s="268" t="s">
        <v>280</v>
      </c>
      <c r="U25" s="278" t="s">
        <v>224</v>
      </c>
      <c r="V25" s="279"/>
      <c r="W25" s="279" t="s">
        <v>210</v>
      </c>
      <c r="X25" s="279">
        <v>1</v>
      </c>
      <c r="Y25" s="288" t="s">
        <v>122</v>
      </c>
      <c r="AB25" s="286">
        <v>3</v>
      </c>
      <c r="AC25" s="290" t="s">
        <v>313</v>
      </c>
    </row>
    <row r="26" spans="2:29" s="272" customFormat="1" ht="27" customHeight="1">
      <c r="B26" s="557"/>
      <c r="C26" s="558"/>
      <c r="D26" s="268">
        <v>20</v>
      </c>
      <c r="E26" s="287" t="s">
        <v>288</v>
      </c>
      <c r="F26" s="273">
        <v>14299.958700000001</v>
      </c>
      <c r="G26" s="273">
        <v>926.60800000000006</v>
      </c>
      <c r="H26" s="273">
        <v>1049.972</v>
      </c>
      <c r="I26" s="274">
        <f t="shared" si="1"/>
        <v>1.1331350473986841</v>
      </c>
      <c r="J26" s="273"/>
      <c r="K26" s="274">
        <f t="shared" si="2"/>
        <v>0</v>
      </c>
      <c r="L26" s="273">
        <v>139.01</v>
      </c>
      <c r="M26" s="275">
        <f t="shared" si="3"/>
        <v>1.1331350473986841</v>
      </c>
      <c r="N26" s="276">
        <v>17148.829639999996</v>
      </c>
      <c r="O26" s="273">
        <v>102.86999999999999</v>
      </c>
      <c r="P26" s="274">
        <f t="shared" si="4"/>
        <v>0.11101781983319806</v>
      </c>
      <c r="Q26" s="277">
        <f t="shared" si="5"/>
        <v>20.493999999999929</v>
      </c>
      <c r="R26" s="274">
        <f t="shared" si="6"/>
        <v>2.2117227565486081E-2</v>
      </c>
      <c r="S26" s="273">
        <v>2848.8709399999971</v>
      </c>
      <c r="T26" s="268" t="s">
        <v>280</v>
      </c>
      <c r="U26" s="278" t="s">
        <v>224</v>
      </c>
      <c r="V26" s="279"/>
      <c r="W26" s="279" t="s">
        <v>210</v>
      </c>
      <c r="X26" s="279">
        <v>1</v>
      </c>
      <c r="Y26" s="288" t="s">
        <v>120</v>
      </c>
      <c r="AB26" s="286">
        <v>4</v>
      </c>
      <c r="AC26" s="290" t="s">
        <v>284</v>
      </c>
    </row>
    <row r="27" spans="2:29" ht="29.45" customHeight="1">
      <c r="C27" s="552"/>
      <c r="AB27" s="272">
        <v>5</v>
      </c>
      <c r="AC27" s="290" t="s">
        <v>309</v>
      </c>
    </row>
    <row r="28" spans="2:29">
      <c r="C28" s="552"/>
    </row>
    <row r="29" spans="2:29">
      <c r="C29" s="552"/>
    </row>
    <row r="30" spans="2:29">
      <c r="C30" s="552"/>
    </row>
    <row r="31" spans="2:29">
      <c r="C31" s="552"/>
    </row>
    <row r="32" spans="2:29">
      <c r="C32" s="552"/>
    </row>
    <row r="33" spans="3:3">
      <c r="C33" s="552"/>
    </row>
    <row r="34" spans="3:3">
      <c r="C34" s="552"/>
    </row>
    <row r="35" spans="3:3">
      <c r="C35" s="552"/>
    </row>
    <row r="36" spans="3:3">
      <c r="C36" s="552"/>
    </row>
    <row r="67" ht="14.1" customHeight="1"/>
    <row r="77" ht="14.1" customHeight="1"/>
    <row r="87" ht="14.1" customHeight="1"/>
    <row r="112" spans="26:26">
      <c r="Z112" s="198" t="s">
        <v>319</v>
      </c>
    </row>
    <row r="113" spans="26:26">
      <c r="Z113" s="272" t="s">
        <v>320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7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opLeftCell="A10" zoomScale="70" zoomScaleNormal="70" workbookViewId="0">
      <selection activeCell="U11" sqref="U11"/>
    </sheetView>
  </sheetViews>
  <sheetFormatPr defaultColWidth="8.28515625" defaultRowHeight="15"/>
  <cols>
    <col min="1" max="1" width="18.42578125" style="293" customWidth="1"/>
    <col min="2" max="2" width="20.7109375" style="293" bestFit="1" customWidth="1"/>
    <col min="3" max="4" width="14.28515625" style="293" customWidth="1"/>
    <col min="5" max="5" width="17.140625" style="293" bestFit="1" customWidth="1"/>
    <col min="6" max="6" width="14.28515625" style="293" customWidth="1"/>
    <col min="7" max="10" width="18.42578125" style="293" customWidth="1"/>
    <col min="11" max="11" width="17.140625" style="293" bestFit="1" customWidth="1"/>
    <col min="12" max="12" width="16" style="293" customWidth="1"/>
    <col min="13" max="13" width="17" style="293" bestFit="1" customWidth="1"/>
    <col min="14" max="15" width="12.7109375" style="293" bestFit="1" customWidth="1"/>
    <col min="16" max="16384" width="8.28515625" style="293"/>
  </cols>
  <sheetData>
    <row r="1" spans="1:18" ht="25.5" customHeight="1">
      <c r="A1" s="590" t="s">
        <v>340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</row>
    <row r="2" spans="1:18" ht="16.5" customHeight="1">
      <c r="A2" s="591" t="s">
        <v>341</v>
      </c>
      <c r="B2" s="591" t="s">
        <v>80</v>
      </c>
      <c r="C2" s="591" t="s">
        <v>342</v>
      </c>
      <c r="D2" s="591" t="s">
        <v>343</v>
      </c>
      <c r="E2" s="591" t="s">
        <v>344</v>
      </c>
      <c r="F2" s="591" t="s">
        <v>345</v>
      </c>
      <c r="G2" s="591" t="s">
        <v>346</v>
      </c>
      <c r="H2" s="591"/>
      <c r="I2" s="591" t="s">
        <v>347</v>
      </c>
      <c r="J2" s="591"/>
      <c r="K2" s="591" t="s">
        <v>348</v>
      </c>
      <c r="L2" s="591"/>
      <c r="M2" s="592" t="s">
        <v>53</v>
      </c>
      <c r="N2" s="593"/>
      <c r="O2" s="594"/>
    </row>
    <row r="3" spans="1:18" ht="37.5" customHeight="1">
      <c r="A3" s="591"/>
      <c r="B3" s="591"/>
      <c r="C3" s="591"/>
      <c r="D3" s="591"/>
      <c r="E3" s="591"/>
      <c r="F3" s="591"/>
      <c r="G3" s="294" t="s">
        <v>349</v>
      </c>
      <c r="H3" s="294" t="s">
        <v>350</v>
      </c>
      <c r="I3" s="294" t="s">
        <v>349</v>
      </c>
      <c r="J3" s="294" t="s">
        <v>350</v>
      </c>
      <c r="K3" s="294" t="s">
        <v>351</v>
      </c>
      <c r="L3" s="294" t="s">
        <v>352</v>
      </c>
      <c r="M3" s="294" t="s">
        <v>80</v>
      </c>
      <c r="N3" s="295" t="s">
        <v>353</v>
      </c>
      <c r="O3" s="295" t="s">
        <v>354</v>
      </c>
    </row>
    <row r="4" spans="1:18" ht="19.5" thickBot="1">
      <c r="A4" s="296">
        <v>45931</v>
      </c>
      <c r="B4" s="297">
        <v>2824752.9699999997</v>
      </c>
      <c r="C4" s="297">
        <v>4185</v>
      </c>
      <c r="D4" s="298">
        <f t="shared" ref="D4:D34" si="0">C4/B4</f>
        <v>1.481545481833762E-3</v>
      </c>
      <c r="E4" s="299">
        <v>12125</v>
      </c>
      <c r="F4" s="300">
        <f t="shared" ref="F4:F34" si="1">E4/B4</f>
        <v>4.2924107448588681E-3</v>
      </c>
      <c r="G4" s="297">
        <v>3918</v>
      </c>
      <c r="H4" s="300">
        <f t="shared" ref="H4:H34" si="2">G4/C4</f>
        <v>0.93620071684587813</v>
      </c>
      <c r="I4" s="301">
        <v>13876</v>
      </c>
      <c r="J4" s="300">
        <f>I4/E4</f>
        <v>1.1444123711340206</v>
      </c>
      <c r="K4" s="302">
        <v>0</v>
      </c>
      <c r="L4" s="303">
        <f>K4/C4</f>
        <v>0</v>
      </c>
      <c r="M4" s="303"/>
      <c r="N4" s="304"/>
      <c r="O4" s="304"/>
    </row>
    <row r="5" spans="1:18" ht="18.75">
      <c r="A5" s="305">
        <f>A4+1</f>
        <v>45932</v>
      </c>
      <c r="B5" s="306">
        <v>2491478.86</v>
      </c>
      <c r="C5" s="306">
        <v>19707</v>
      </c>
      <c r="D5" s="307">
        <f t="shared" si="0"/>
        <v>7.9097600691663099E-3</v>
      </c>
      <c r="E5" s="308">
        <v>17385</v>
      </c>
      <c r="F5" s="309">
        <f t="shared" si="1"/>
        <v>6.9777834679279598E-3</v>
      </c>
      <c r="G5" s="306">
        <v>17965</v>
      </c>
      <c r="H5" s="309">
        <f t="shared" si="2"/>
        <v>0.91160501344699851</v>
      </c>
      <c r="I5" s="310">
        <v>15202</v>
      </c>
      <c r="J5" s="309">
        <f t="shared" ref="J5:J34" si="3">I5/E5</f>
        <v>0.87443198159332758</v>
      </c>
      <c r="K5" s="311">
        <v>0</v>
      </c>
      <c r="L5" s="312">
        <f t="shared" ref="L5:L34" si="4">K5/C5</f>
        <v>0</v>
      </c>
      <c r="M5" s="581">
        <f>SUM(B5:B11)</f>
        <v>15973939.790000001</v>
      </c>
      <c r="N5" s="584">
        <f>SUM(C5:C11)</f>
        <v>110965.6</v>
      </c>
      <c r="O5" s="587">
        <f>SUM(E5:E11)</f>
        <v>97785</v>
      </c>
    </row>
    <row r="6" spans="1:18" ht="18.75">
      <c r="A6" s="313">
        <f t="shared" ref="A6:A34" si="5">A5+1</f>
        <v>45933</v>
      </c>
      <c r="B6" s="314">
        <v>1927390.0100000002</v>
      </c>
      <c r="C6" s="314">
        <v>16585</v>
      </c>
      <c r="D6" s="315">
        <f t="shared" si="0"/>
        <v>8.6049008835528823E-3</v>
      </c>
      <c r="E6" s="316">
        <v>11617</v>
      </c>
      <c r="F6" s="317">
        <f t="shared" si="1"/>
        <v>6.0273218911205207E-3</v>
      </c>
      <c r="G6" s="314">
        <v>12287</v>
      </c>
      <c r="H6" s="317">
        <f t="shared" si="2"/>
        <v>0.7408501658124812</v>
      </c>
      <c r="I6" s="318">
        <v>9260</v>
      </c>
      <c r="J6" s="317">
        <f t="shared" si="3"/>
        <v>0.79710768701041579</v>
      </c>
      <c r="K6" s="319">
        <v>0</v>
      </c>
      <c r="L6" s="320">
        <f t="shared" si="4"/>
        <v>0</v>
      </c>
      <c r="M6" s="582"/>
      <c r="N6" s="585"/>
      <c r="O6" s="588"/>
    </row>
    <row r="7" spans="1:18" ht="18.75">
      <c r="A7" s="313">
        <f t="shared" si="5"/>
        <v>45934</v>
      </c>
      <c r="B7" s="314">
        <v>1927172.27</v>
      </c>
      <c r="C7" s="314">
        <v>9482</v>
      </c>
      <c r="D7" s="315">
        <f t="shared" si="0"/>
        <v>4.9201621191861588E-3</v>
      </c>
      <c r="E7" s="316">
        <v>14859</v>
      </c>
      <c r="F7" s="317">
        <f t="shared" si="1"/>
        <v>7.7102603806145469E-3</v>
      </c>
      <c r="G7" s="314">
        <v>8631</v>
      </c>
      <c r="H7" s="317">
        <f t="shared" si="2"/>
        <v>0.91025100189833363</v>
      </c>
      <c r="I7" s="318">
        <v>11312</v>
      </c>
      <c r="J7" s="317">
        <f t="shared" si="3"/>
        <v>0.76128945420284</v>
      </c>
      <c r="K7" s="319">
        <v>0</v>
      </c>
      <c r="L7" s="320">
        <f t="shared" si="4"/>
        <v>0</v>
      </c>
      <c r="M7" s="582"/>
      <c r="N7" s="585"/>
      <c r="O7" s="588"/>
    </row>
    <row r="8" spans="1:18" ht="18.75">
      <c r="A8" s="313">
        <f t="shared" si="5"/>
        <v>45935</v>
      </c>
      <c r="B8" s="314">
        <v>2140557.92</v>
      </c>
      <c r="C8" s="314">
        <v>17760</v>
      </c>
      <c r="D8" s="315">
        <f t="shared" si="0"/>
        <v>8.2969023328273231E-3</v>
      </c>
      <c r="E8" s="316">
        <v>9154</v>
      </c>
      <c r="F8" s="317">
        <f t="shared" si="1"/>
        <v>4.2764551776295779E-3</v>
      </c>
      <c r="G8" s="314">
        <v>16508</v>
      </c>
      <c r="H8" s="317">
        <f t="shared" si="2"/>
        <v>0.9295045045045045</v>
      </c>
      <c r="I8" s="318">
        <v>6957</v>
      </c>
      <c r="J8" s="317">
        <f t="shared" si="3"/>
        <v>0.75999563032554074</v>
      </c>
      <c r="K8" s="319">
        <v>0</v>
      </c>
      <c r="L8" s="320">
        <f t="shared" si="4"/>
        <v>0</v>
      </c>
      <c r="M8" s="582"/>
      <c r="N8" s="585"/>
      <c r="O8" s="588"/>
      <c r="P8" s="321"/>
      <c r="Q8" s="321"/>
    </row>
    <row r="9" spans="1:18" ht="18.75">
      <c r="A9" s="313">
        <f t="shared" si="5"/>
        <v>45936</v>
      </c>
      <c r="B9" s="314">
        <v>2670515.5</v>
      </c>
      <c r="C9" s="314">
        <v>22780.6</v>
      </c>
      <c r="D9" s="315">
        <f t="shared" si="0"/>
        <v>8.5304129483614669E-3</v>
      </c>
      <c r="E9" s="316">
        <v>21127</v>
      </c>
      <c r="F9" s="317">
        <f t="shared" si="1"/>
        <v>7.9112066565425292E-3</v>
      </c>
      <c r="G9" s="314">
        <v>15661.6</v>
      </c>
      <c r="H9" s="317">
        <f t="shared" si="2"/>
        <v>0.68749725643749515</v>
      </c>
      <c r="I9" s="318">
        <v>19224</v>
      </c>
      <c r="J9" s="317">
        <f t="shared" si="3"/>
        <v>0.90992568750887493</v>
      </c>
      <c r="K9" s="319">
        <v>0</v>
      </c>
      <c r="L9" s="320">
        <f t="shared" si="4"/>
        <v>0</v>
      </c>
      <c r="M9" s="582"/>
      <c r="N9" s="585"/>
      <c r="O9" s="588"/>
    </row>
    <row r="10" spans="1:18" ht="18.75">
      <c r="A10" s="322">
        <f t="shared" si="5"/>
        <v>45937</v>
      </c>
      <c r="B10" s="314">
        <v>2439394</v>
      </c>
      <c r="C10" s="314">
        <v>11847</v>
      </c>
      <c r="D10" s="315">
        <f t="shared" si="0"/>
        <v>4.8565340408314528E-3</v>
      </c>
      <c r="E10" s="316">
        <v>11350</v>
      </c>
      <c r="F10" s="317">
        <f t="shared" si="1"/>
        <v>4.6527949154585111E-3</v>
      </c>
      <c r="G10" s="314">
        <v>11606</v>
      </c>
      <c r="H10" s="317">
        <f t="shared" si="2"/>
        <v>0.97965729720604378</v>
      </c>
      <c r="I10" s="318">
        <v>10074</v>
      </c>
      <c r="J10" s="317">
        <f t="shared" si="3"/>
        <v>0.88757709251101324</v>
      </c>
      <c r="K10" s="319">
        <v>0</v>
      </c>
      <c r="L10" s="320">
        <f t="shared" si="4"/>
        <v>0</v>
      </c>
      <c r="M10" s="582"/>
      <c r="N10" s="585"/>
      <c r="O10" s="588"/>
    </row>
    <row r="11" spans="1:18" ht="19.5" thickBot="1">
      <c r="A11" s="323">
        <f t="shared" si="5"/>
        <v>45938</v>
      </c>
      <c r="B11" s="324">
        <v>2377431.23</v>
      </c>
      <c r="C11" s="324">
        <v>12804</v>
      </c>
      <c r="D11" s="325">
        <f t="shared" si="0"/>
        <v>5.3856447406051781E-3</v>
      </c>
      <c r="E11" s="324">
        <v>12293</v>
      </c>
      <c r="F11" s="326">
        <f t="shared" si="1"/>
        <v>5.1707068725600951E-3</v>
      </c>
      <c r="G11" s="324">
        <v>12264</v>
      </c>
      <c r="H11" s="326">
        <f t="shared" si="2"/>
        <v>0.95782567947516406</v>
      </c>
      <c r="I11" s="324">
        <v>10810</v>
      </c>
      <c r="J11" s="326">
        <f t="shared" si="3"/>
        <v>0.87936223867241514</v>
      </c>
      <c r="K11" s="324">
        <v>0</v>
      </c>
      <c r="L11" s="327">
        <f t="shared" si="4"/>
        <v>0</v>
      </c>
      <c r="M11" s="583"/>
      <c r="N11" s="586"/>
      <c r="O11" s="589"/>
    </row>
    <row r="12" spans="1:18" ht="18.75">
      <c r="A12" s="305">
        <f t="shared" si="5"/>
        <v>45939</v>
      </c>
      <c r="B12" s="306">
        <v>1944054.05</v>
      </c>
      <c r="C12" s="328">
        <v>4635</v>
      </c>
      <c r="D12" s="307">
        <f t="shared" si="0"/>
        <v>2.3841929703549139E-3</v>
      </c>
      <c r="E12" s="308">
        <v>7609</v>
      </c>
      <c r="F12" s="309">
        <f t="shared" si="1"/>
        <v>3.9139858277088537E-3</v>
      </c>
      <c r="G12" s="306">
        <v>4635</v>
      </c>
      <c r="H12" s="309">
        <f t="shared" si="2"/>
        <v>1</v>
      </c>
      <c r="I12" s="310">
        <v>7418</v>
      </c>
      <c r="J12" s="309">
        <f t="shared" si="3"/>
        <v>0.97489814693126564</v>
      </c>
      <c r="K12" s="311">
        <v>0</v>
      </c>
      <c r="L12" s="312">
        <f t="shared" si="4"/>
        <v>0</v>
      </c>
      <c r="M12" s="581">
        <f t="shared" ref="M12:N12" si="6">SUM(B12:B18)</f>
        <v>17946820.170000002</v>
      </c>
      <c r="N12" s="584">
        <f t="shared" si="6"/>
        <v>31708</v>
      </c>
      <c r="O12" s="587">
        <f t="shared" ref="O12" si="7">SUM(E12:E18)</f>
        <v>76505</v>
      </c>
    </row>
    <row r="13" spans="1:18" ht="18.75">
      <c r="A13" s="313">
        <f t="shared" si="5"/>
        <v>45940</v>
      </c>
      <c r="B13" s="314">
        <v>1880152.1</v>
      </c>
      <c r="C13" s="314">
        <v>6381</v>
      </c>
      <c r="D13" s="315">
        <f t="shared" si="0"/>
        <v>3.3938743572926892E-3</v>
      </c>
      <c r="E13" s="316">
        <v>18998</v>
      </c>
      <c r="F13" s="317">
        <f t="shared" si="1"/>
        <v>1.0104501651754664E-2</v>
      </c>
      <c r="G13" s="314">
        <v>4324</v>
      </c>
      <c r="H13" s="317">
        <f t="shared" si="2"/>
        <v>0.67763673405422342</v>
      </c>
      <c r="I13" s="318">
        <v>7586</v>
      </c>
      <c r="J13" s="317">
        <f t="shared" si="3"/>
        <v>0.39930519002000209</v>
      </c>
      <c r="K13" s="319">
        <v>0</v>
      </c>
      <c r="L13" s="320">
        <f t="shared" si="4"/>
        <v>0</v>
      </c>
      <c r="M13" s="582"/>
      <c r="N13" s="585"/>
      <c r="O13" s="588"/>
    </row>
    <row r="14" spans="1:18" ht="18.75">
      <c r="A14" s="313">
        <f t="shared" si="5"/>
        <v>45941</v>
      </c>
      <c r="B14" s="314">
        <v>1925306.23</v>
      </c>
      <c r="C14" s="314">
        <v>10421</v>
      </c>
      <c r="D14" s="315">
        <f t="shared" si="0"/>
        <v>5.4126454470570119E-3</v>
      </c>
      <c r="E14" s="316">
        <v>2695</v>
      </c>
      <c r="F14" s="317">
        <f t="shared" si="1"/>
        <v>1.3997773226963484E-3</v>
      </c>
      <c r="G14" s="314">
        <v>242</v>
      </c>
      <c r="H14" s="317">
        <f t="shared" si="2"/>
        <v>2.3222339506765187E-2</v>
      </c>
      <c r="I14" s="318">
        <v>2689</v>
      </c>
      <c r="J14" s="317">
        <f t="shared" si="3"/>
        <v>0.99777365491651204</v>
      </c>
      <c r="K14" s="319">
        <v>0</v>
      </c>
      <c r="L14" s="320">
        <f t="shared" si="4"/>
        <v>0</v>
      </c>
      <c r="M14" s="582"/>
      <c r="N14" s="585"/>
      <c r="O14" s="588"/>
    </row>
    <row r="15" spans="1:18" ht="18.75">
      <c r="A15" s="313">
        <f t="shared" si="5"/>
        <v>45942</v>
      </c>
      <c r="B15" s="314">
        <v>2526042.6900000004</v>
      </c>
      <c r="C15" s="314">
        <v>2456</v>
      </c>
      <c r="D15" s="315">
        <f t="shared" si="0"/>
        <v>9.7227177106812854E-4</v>
      </c>
      <c r="E15" s="316">
        <v>5816</v>
      </c>
      <c r="F15" s="317">
        <f t="shared" si="1"/>
        <v>2.3024155621059589E-3</v>
      </c>
      <c r="G15" s="314">
        <v>2456</v>
      </c>
      <c r="H15" s="317">
        <f t="shared" si="2"/>
        <v>1</v>
      </c>
      <c r="I15" s="318">
        <v>5816</v>
      </c>
      <c r="J15" s="317">
        <f t="shared" si="3"/>
        <v>1</v>
      </c>
      <c r="K15" s="319">
        <v>0</v>
      </c>
      <c r="L15" s="320">
        <f t="shared" si="4"/>
        <v>0</v>
      </c>
      <c r="M15" s="582"/>
      <c r="N15" s="585"/>
      <c r="O15" s="588"/>
      <c r="P15" s="329"/>
      <c r="Q15" s="329"/>
      <c r="R15" s="329"/>
    </row>
    <row r="16" spans="1:18" ht="18.75">
      <c r="A16" s="313">
        <f t="shared" si="5"/>
        <v>45943</v>
      </c>
      <c r="B16" s="314">
        <v>2568380.8199999998</v>
      </c>
      <c r="C16" s="314">
        <v>537</v>
      </c>
      <c r="D16" s="315">
        <f t="shared" si="0"/>
        <v>2.0908114397147695E-4</v>
      </c>
      <c r="E16" s="316">
        <v>12109</v>
      </c>
      <c r="F16" s="317">
        <f t="shared" si="1"/>
        <v>4.714643523930381E-3</v>
      </c>
      <c r="G16" s="314">
        <v>537</v>
      </c>
      <c r="H16" s="317">
        <f t="shared" si="2"/>
        <v>1</v>
      </c>
      <c r="I16" s="318">
        <v>12109</v>
      </c>
      <c r="J16" s="317">
        <f t="shared" si="3"/>
        <v>1</v>
      </c>
      <c r="K16" s="319">
        <v>0</v>
      </c>
      <c r="L16" s="320">
        <f t="shared" si="4"/>
        <v>0</v>
      </c>
      <c r="M16" s="582"/>
      <c r="N16" s="585"/>
      <c r="O16" s="588"/>
    </row>
    <row r="17" spans="1:17" ht="18.75">
      <c r="A17" s="322">
        <f t="shared" si="5"/>
        <v>45944</v>
      </c>
      <c r="B17" s="314">
        <v>3635258.7600000002</v>
      </c>
      <c r="C17" s="314">
        <v>6381</v>
      </c>
      <c r="D17" s="315">
        <f t="shared" si="0"/>
        <v>1.7553083346397052E-3</v>
      </c>
      <c r="E17" s="330">
        <v>18998</v>
      </c>
      <c r="F17" s="317">
        <f t="shared" si="1"/>
        <v>5.2260378845768877E-3</v>
      </c>
      <c r="G17" s="314">
        <v>6381</v>
      </c>
      <c r="H17" s="317">
        <f t="shared" si="2"/>
        <v>1</v>
      </c>
      <c r="I17" s="318">
        <v>18998</v>
      </c>
      <c r="J17" s="317">
        <f t="shared" si="3"/>
        <v>1</v>
      </c>
      <c r="K17" s="319">
        <v>0</v>
      </c>
      <c r="L17" s="320">
        <f t="shared" si="4"/>
        <v>0</v>
      </c>
      <c r="M17" s="582"/>
      <c r="N17" s="585"/>
      <c r="O17" s="588"/>
      <c r="P17" s="331"/>
      <c r="Q17" s="331"/>
    </row>
    <row r="18" spans="1:17" ht="19.5" thickBot="1">
      <c r="A18" s="323">
        <f t="shared" si="5"/>
        <v>45945</v>
      </c>
      <c r="B18" s="324">
        <v>3467625.52</v>
      </c>
      <c r="C18" s="324">
        <v>897</v>
      </c>
      <c r="D18" s="325">
        <f t="shared" si="0"/>
        <v>2.58678451530141E-4</v>
      </c>
      <c r="E18" s="332">
        <v>10280</v>
      </c>
      <c r="F18" s="326">
        <f t="shared" si="1"/>
        <v>2.9645646396096429E-3</v>
      </c>
      <c r="G18" s="324">
        <v>897</v>
      </c>
      <c r="H18" s="326">
        <f t="shared" si="2"/>
        <v>1</v>
      </c>
      <c r="I18" s="333">
        <v>10280</v>
      </c>
      <c r="J18" s="326">
        <f t="shared" si="3"/>
        <v>1</v>
      </c>
      <c r="K18" s="334">
        <v>0</v>
      </c>
      <c r="L18" s="327">
        <f t="shared" si="4"/>
        <v>0</v>
      </c>
      <c r="M18" s="583"/>
      <c r="N18" s="586"/>
      <c r="O18" s="589"/>
    </row>
    <row r="19" spans="1:17" ht="18.75">
      <c r="A19" s="335">
        <f t="shared" si="5"/>
        <v>45946</v>
      </c>
      <c r="B19" s="306">
        <v>3151397.39</v>
      </c>
      <c r="C19" s="306">
        <v>2799</v>
      </c>
      <c r="D19" s="307">
        <f t="shared" si="0"/>
        <v>8.8817741897031903E-4</v>
      </c>
      <c r="E19" s="308">
        <v>5997</v>
      </c>
      <c r="F19" s="309">
        <f t="shared" si="1"/>
        <v>1.9029653381797081E-3</v>
      </c>
      <c r="G19" s="306">
        <v>2799</v>
      </c>
      <c r="H19" s="309">
        <f t="shared" si="2"/>
        <v>1</v>
      </c>
      <c r="I19" s="310">
        <v>5997</v>
      </c>
      <c r="J19" s="309">
        <f t="shared" si="3"/>
        <v>1</v>
      </c>
      <c r="K19" s="311">
        <v>0</v>
      </c>
      <c r="L19" s="312">
        <f t="shared" si="4"/>
        <v>0</v>
      </c>
      <c r="M19" s="581">
        <f t="shared" ref="M19:N19" si="8">SUM(B19:B25)</f>
        <v>18619877.91</v>
      </c>
      <c r="N19" s="584">
        <f t="shared" si="8"/>
        <v>34062</v>
      </c>
      <c r="O19" s="587">
        <f t="shared" ref="O19" si="9">SUM(E19:E25)</f>
        <v>29072</v>
      </c>
    </row>
    <row r="20" spans="1:17" ht="18.75">
      <c r="A20" s="322">
        <f t="shared" si="5"/>
        <v>45947</v>
      </c>
      <c r="B20" s="314">
        <v>2276871.2199999997</v>
      </c>
      <c r="C20" s="314">
        <v>17771</v>
      </c>
      <c r="D20" s="315">
        <f t="shared" si="0"/>
        <v>7.8050088401574163E-3</v>
      </c>
      <c r="E20" s="316">
        <v>6799</v>
      </c>
      <c r="F20" s="317">
        <f t="shared" si="1"/>
        <v>2.9861153060733933E-3</v>
      </c>
      <c r="G20" s="314">
        <v>17771</v>
      </c>
      <c r="H20" s="317">
        <f t="shared" si="2"/>
        <v>1</v>
      </c>
      <c r="I20" s="318">
        <v>6799</v>
      </c>
      <c r="J20" s="317">
        <f t="shared" si="3"/>
        <v>1</v>
      </c>
      <c r="K20" s="319">
        <v>0</v>
      </c>
      <c r="L20" s="320">
        <f t="shared" si="4"/>
        <v>0</v>
      </c>
      <c r="M20" s="582"/>
      <c r="N20" s="585"/>
      <c r="O20" s="588"/>
    </row>
    <row r="21" spans="1:17" ht="18.75">
      <c r="A21" s="322">
        <f t="shared" si="5"/>
        <v>45948</v>
      </c>
      <c r="B21" s="314">
        <v>2205834.5500000003</v>
      </c>
      <c r="C21" s="314">
        <v>7933</v>
      </c>
      <c r="D21" s="315">
        <f t="shared" si="0"/>
        <v>3.5963712690963152E-3</v>
      </c>
      <c r="E21" s="316">
        <v>1152</v>
      </c>
      <c r="F21" s="317">
        <f t="shared" si="1"/>
        <v>5.2225131753421848E-4</v>
      </c>
      <c r="G21" s="314">
        <v>7933</v>
      </c>
      <c r="H21" s="317">
        <f t="shared" si="2"/>
        <v>1</v>
      </c>
      <c r="I21" s="318">
        <v>1152</v>
      </c>
      <c r="J21" s="317">
        <f t="shared" si="3"/>
        <v>1</v>
      </c>
      <c r="K21" s="319">
        <v>0</v>
      </c>
      <c r="L21" s="320">
        <f t="shared" si="4"/>
        <v>0</v>
      </c>
      <c r="M21" s="582"/>
      <c r="N21" s="585"/>
      <c r="O21" s="588"/>
    </row>
    <row r="22" spans="1:17" ht="18.75">
      <c r="A22" s="322">
        <f t="shared" si="5"/>
        <v>45949</v>
      </c>
      <c r="B22" s="314">
        <v>2688271.5</v>
      </c>
      <c r="C22" s="314">
        <v>5257</v>
      </c>
      <c r="D22" s="315">
        <f t="shared" si="0"/>
        <v>1.9555316492400414E-3</v>
      </c>
      <c r="E22" s="316">
        <v>3362</v>
      </c>
      <c r="F22" s="317">
        <f t="shared" si="1"/>
        <v>1.2506177296452386E-3</v>
      </c>
      <c r="G22" s="314">
        <v>5257</v>
      </c>
      <c r="H22" s="317">
        <f t="shared" si="2"/>
        <v>1</v>
      </c>
      <c r="I22" s="318">
        <v>5067</v>
      </c>
      <c r="J22" s="317">
        <f t="shared" si="3"/>
        <v>1.5071386079714455</v>
      </c>
      <c r="K22" s="319">
        <v>0</v>
      </c>
      <c r="L22" s="320">
        <f t="shared" si="4"/>
        <v>0</v>
      </c>
      <c r="M22" s="582"/>
      <c r="N22" s="585"/>
      <c r="O22" s="588"/>
    </row>
    <row r="23" spans="1:17" ht="18.75">
      <c r="A23" s="322">
        <f t="shared" si="5"/>
        <v>45950</v>
      </c>
      <c r="B23" s="314">
        <v>2686710.53</v>
      </c>
      <c r="C23" s="314">
        <v>0</v>
      </c>
      <c r="D23" s="315">
        <f t="shared" si="0"/>
        <v>0</v>
      </c>
      <c r="E23" s="316">
        <v>9499</v>
      </c>
      <c r="F23" s="317">
        <f t="shared" si="1"/>
        <v>3.535550217983476E-3</v>
      </c>
      <c r="G23" s="314">
        <v>0</v>
      </c>
      <c r="H23" s="317" t="e">
        <f t="shared" si="2"/>
        <v>#DIV/0!</v>
      </c>
      <c r="I23" s="318">
        <v>9499</v>
      </c>
      <c r="J23" s="317">
        <f t="shared" si="3"/>
        <v>1</v>
      </c>
      <c r="K23" s="319">
        <v>0</v>
      </c>
      <c r="L23" s="320" t="e">
        <f t="shared" si="4"/>
        <v>#DIV/0!</v>
      </c>
      <c r="M23" s="582"/>
      <c r="N23" s="585"/>
      <c r="O23" s="588"/>
    </row>
    <row r="24" spans="1:17" ht="18.75">
      <c r="A24" s="322">
        <f t="shared" si="5"/>
        <v>45951</v>
      </c>
      <c r="B24" s="314">
        <v>2781157.6999999997</v>
      </c>
      <c r="C24" s="314">
        <v>0</v>
      </c>
      <c r="D24" s="315">
        <f t="shared" si="0"/>
        <v>0</v>
      </c>
      <c r="E24" s="316">
        <v>1442</v>
      </c>
      <c r="F24" s="317">
        <f t="shared" si="1"/>
        <v>5.1848911696017821E-4</v>
      </c>
      <c r="G24" s="314">
        <v>0</v>
      </c>
      <c r="H24" s="317" t="e">
        <f t="shared" si="2"/>
        <v>#DIV/0!</v>
      </c>
      <c r="I24" s="318">
        <v>1442</v>
      </c>
      <c r="J24" s="317">
        <f t="shared" si="3"/>
        <v>1</v>
      </c>
      <c r="K24" s="319">
        <v>0</v>
      </c>
      <c r="L24" s="320" t="e">
        <f t="shared" si="4"/>
        <v>#DIV/0!</v>
      </c>
      <c r="M24" s="582"/>
      <c r="N24" s="585"/>
      <c r="O24" s="588"/>
    </row>
    <row r="25" spans="1:17" ht="19.5" thickBot="1">
      <c r="A25" s="323">
        <f t="shared" si="5"/>
        <v>45952</v>
      </c>
      <c r="B25" s="324">
        <v>2829635.02</v>
      </c>
      <c r="C25" s="324">
        <v>302</v>
      </c>
      <c r="D25" s="325">
        <f t="shared" si="0"/>
        <v>1.0672754537791944E-4</v>
      </c>
      <c r="E25" s="332">
        <v>821</v>
      </c>
      <c r="F25" s="326">
        <f t="shared" si="1"/>
        <v>2.9014342634195981E-4</v>
      </c>
      <c r="G25" s="324">
        <v>302</v>
      </c>
      <c r="H25" s="326">
        <f t="shared" si="2"/>
        <v>1</v>
      </c>
      <c r="I25" s="333">
        <v>821</v>
      </c>
      <c r="J25" s="326">
        <f t="shared" si="3"/>
        <v>1</v>
      </c>
      <c r="K25" s="334">
        <v>0</v>
      </c>
      <c r="L25" s="327">
        <f t="shared" si="4"/>
        <v>0</v>
      </c>
      <c r="M25" s="583"/>
      <c r="N25" s="586"/>
      <c r="O25" s="589"/>
    </row>
    <row r="26" spans="1:17" ht="18.75">
      <c r="A26" s="335">
        <f t="shared" si="5"/>
        <v>45953</v>
      </c>
      <c r="B26" s="306">
        <v>2079044.88</v>
      </c>
      <c r="C26" s="306">
        <v>8841</v>
      </c>
      <c r="D26" s="307">
        <f t="shared" si="0"/>
        <v>4.2524334539618021E-3</v>
      </c>
      <c r="E26" s="308">
        <v>3038</v>
      </c>
      <c r="F26" s="309">
        <f t="shared" si="1"/>
        <v>1.4612479168799859E-3</v>
      </c>
      <c r="G26" s="306">
        <v>8841</v>
      </c>
      <c r="H26" s="309">
        <f t="shared" si="2"/>
        <v>1</v>
      </c>
      <c r="I26" s="310">
        <v>3038</v>
      </c>
      <c r="J26" s="309">
        <f t="shared" si="3"/>
        <v>1</v>
      </c>
      <c r="K26" s="311">
        <v>0</v>
      </c>
      <c r="L26" s="312">
        <f t="shared" si="4"/>
        <v>0</v>
      </c>
      <c r="M26" s="581">
        <f t="shared" ref="M26:N26" si="10">SUM(B26:B32)</f>
        <v>18736521.75</v>
      </c>
      <c r="N26" s="584">
        <f t="shared" si="10"/>
        <v>21852</v>
      </c>
      <c r="O26" s="587">
        <f t="shared" ref="O26" si="11">SUM(E26:E32)</f>
        <v>34732</v>
      </c>
    </row>
    <row r="27" spans="1:17" ht="18.75">
      <c r="A27" s="322">
        <f t="shared" si="5"/>
        <v>45954</v>
      </c>
      <c r="B27" s="314">
        <v>1994621.3099999998</v>
      </c>
      <c r="C27" s="314">
        <v>191</v>
      </c>
      <c r="D27" s="315">
        <f t="shared" si="0"/>
        <v>9.5757525021127957E-5</v>
      </c>
      <c r="E27" s="316">
        <v>2059</v>
      </c>
      <c r="F27" s="317">
        <f t="shared" si="1"/>
        <v>1.0322761466937302E-3</v>
      </c>
      <c r="G27" s="314">
        <v>191</v>
      </c>
      <c r="H27" s="317">
        <f t="shared" si="2"/>
        <v>1</v>
      </c>
      <c r="I27" s="318">
        <v>2059</v>
      </c>
      <c r="J27" s="317">
        <f t="shared" si="3"/>
        <v>1</v>
      </c>
      <c r="K27" s="319">
        <v>0</v>
      </c>
      <c r="L27" s="320">
        <f t="shared" si="4"/>
        <v>0</v>
      </c>
      <c r="M27" s="582"/>
      <c r="N27" s="585"/>
      <c r="O27" s="588"/>
    </row>
    <row r="28" spans="1:17" ht="18.75">
      <c r="A28" s="322">
        <f t="shared" si="5"/>
        <v>45955</v>
      </c>
      <c r="B28" s="314">
        <v>2156910.08</v>
      </c>
      <c r="C28" s="314">
        <v>659</v>
      </c>
      <c r="D28" s="315">
        <f t="shared" si="0"/>
        <v>3.0552965842692894E-4</v>
      </c>
      <c r="E28" s="316">
        <v>5588</v>
      </c>
      <c r="F28" s="317">
        <f t="shared" si="1"/>
        <v>2.5907431430799376E-3</v>
      </c>
      <c r="G28" s="314">
        <v>659</v>
      </c>
      <c r="H28" s="317">
        <f t="shared" si="2"/>
        <v>1</v>
      </c>
      <c r="I28" s="318">
        <v>5588</v>
      </c>
      <c r="J28" s="317">
        <f t="shared" si="3"/>
        <v>1</v>
      </c>
      <c r="K28" s="319">
        <v>0</v>
      </c>
      <c r="L28" s="320">
        <f t="shared" si="4"/>
        <v>0</v>
      </c>
      <c r="M28" s="582"/>
      <c r="N28" s="585"/>
      <c r="O28" s="588"/>
    </row>
    <row r="29" spans="1:17" ht="18.75">
      <c r="A29" s="322">
        <f t="shared" si="5"/>
        <v>45956</v>
      </c>
      <c r="B29" s="314">
        <v>3026700.89</v>
      </c>
      <c r="C29" s="314">
        <v>0</v>
      </c>
      <c r="D29" s="315">
        <f t="shared" si="0"/>
        <v>0</v>
      </c>
      <c r="E29" s="316">
        <v>1908</v>
      </c>
      <c r="F29" s="317">
        <f t="shared" si="1"/>
        <v>6.3038934778916983E-4</v>
      </c>
      <c r="G29" s="314">
        <v>0</v>
      </c>
      <c r="H29" s="317" t="e">
        <f t="shared" si="2"/>
        <v>#DIV/0!</v>
      </c>
      <c r="I29" s="318">
        <v>1908</v>
      </c>
      <c r="J29" s="317">
        <f t="shared" si="3"/>
        <v>1</v>
      </c>
      <c r="K29" s="319">
        <v>0</v>
      </c>
      <c r="L29" s="320" t="e">
        <f t="shared" si="4"/>
        <v>#DIV/0!</v>
      </c>
      <c r="M29" s="582"/>
      <c r="N29" s="585"/>
      <c r="O29" s="588"/>
    </row>
    <row r="30" spans="1:17" ht="18.75">
      <c r="A30" s="322">
        <f t="shared" si="5"/>
        <v>45957</v>
      </c>
      <c r="B30" s="314">
        <v>2939758.15</v>
      </c>
      <c r="C30" s="314">
        <v>603</v>
      </c>
      <c r="D30" s="315">
        <f t="shared" si="0"/>
        <v>2.0511891428891865E-4</v>
      </c>
      <c r="E30" s="316">
        <v>4204</v>
      </c>
      <c r="F30" s="317">
        <f t="shared" si="1"/>
        <v>1.4300496113940531E-3</v>
      </c>
      <c r="G30" s="314">
        <v>603</v>
      </c>
      <c r="H30" s="317">
        <f t="shared" si="2"/>
        <v>1</v>
      </c>
      <c r="I30" s="318">
        <v>4204</v>
      </c>
      <c r="J30" s="317">
        <f t="shared" si="3"/>
        <v>1</v>
      </c>
      <c r="K30" s="319">
        <v>0</v>
      </c>
      <c r="L30" s="320">
        <f t="shared" si="4"/>
        <v>0</v>
      </c>
      <c r="M30" s="582"/>
      <c r="N30" s="585"/>
      <c r="O30" s="588"/>
    </row>
    <row r="31" spans="1:17" ht="18.75">
      <c r="A31" s="322">
        <f t="shared" si="5"/>
        <v>45958</v>
      </c>
      <c r="B31" s="314">
        <v>3521787.2199999997</v>
      </c>
      <c r="C31" s="314">
        <v>3734</v>
      </c>
      <c r="D31" s="315">
        <f t="shared" si="0"/>
        <v>1.0602571270617537E-3</v>
      </c>
      <c r="E31" s="316">
        <v>10269</v>
      </c>
      <c r="F31" s="317">
        <f t="shared" si="1"/>
        <v>2.9158490727898096E-3</v>
      </c>
      <c r="G31" s="314">
        <v>3734</v>
      </c>
      <c r="H31" s="317">
        <f t="shared" si="2"/>
        <v>1</v>
      </c>
      <c r="I31" s="318">
        <v>10269</v>
      </c>
      <c r="J31" s="317">
        <f t="shared" si="3"/>
        <v>1</v>
      </c>
      <c r="K31" s="319">
        <v>0</v>
      </c>
      <c r="L31" s="320">
        <f t="shared" si="4"/>
        <v>0</v>
      </c>
      <c r="M31" s="582"/>
      <c r="N31" s="585"/>
      <c r="O31" s="588"/>
    </row>
    <row r="32" spans="1:17" ht="19.5" thickBot="1">
      <c r="A32" s="323">
        <f t="shared" si="5"/>
        <v>45959</v>
      </c>
      <c r="B32" s="324">
        <v>3017699.2199999997</v>
      </c>
      <c r="C32" s="324">
        <v>7824</v>
      </c>
      <c r="D32" s="325">
        <f t="shared" si="0"/>
        <v>2.5927037221423282E-3</v>
      </c>
      <c r="E32" s="332">
        <v>7666</v>
      </c>
      <c r="F32" s="326">
        <f t="shared" si="1"/>
        <v>2.5403459527023374E-3</v>
      </c>
      <c r="G32" s="324">
        <v>7824</v>
      </c>
      <c r="H32" s="326">
        <f t="shared" si="2"/>
        <v>1</v>
      </c>
      <c r="I32" s="333">
        <v>7666</v>
      </c>
      <c r="J32" s="326">
        <f t="shared" si="3"/>
        <v>1</v>
      </c>
      <c r="K32" s="334">
        <v>0</v>
      </c>
      <c r="L32" s="327">
        <f t="shared" si="4"/>
        <v>0</v>
      </c>
      <c r="M32" s="583"/>
      <c r="N32" s="586"/>
      <c r="O32" s="589"/>
    </row>
    <row r="33" spans="1:13" ht="18.75">
      <c r="A33" s="336">
        <f t="shared" si="5"/>
        <v>45960</v>
      </c>
      <c r="B33" s="337">
        <v>2878535.7600000002</v>
      </c>
      <c r="C33" s="337">
        <v>2389</v>
      </c>
      <c r="D33" s="338">
        <f t="shared" si="0"/>
        <v>8.2993584210327813E-4</v>
      </c>
      <c r="E33" s="339">
        <v>14524</v>
      </c>
      <c r="F33" s="340">
        <f t="shared" si="1"/>
        <v>5.0456208332808755E-3</v>
      </c>
      <c r="G33" s="337">
        <v>2389</v>
      </c>
      <c r="H33" s="340">
        <f t="shared" si="2"/>
        <v>1</v>
      </c>
      <c r="I33" s="341">
        <v>14524</v>
      </c>
      <c r="J33" s="340">
        <f t="shared" si="3"/>
        <v>1</v>
      </c>
      <c r="K33" s="342">
        <v>0</v>
      </c>
      <c r="L33" s="343">
        <f t="shared" si="4"/>
        <v>0</v>
      </c>
      <c r="M33" s="344"/>
    </row>
    <row r="34" spans="1:13" ht="18.75">
      <c r="A34" s="336">
        <f t="shared" si="5"/>
        <v>45961</v>
      </c>
      <c r="B34" s="337">
        <v>2133805.16</v>
      </c>
      <c r="C34" s="337">
        <v>13774</v>
      </c>
      <c r="D34" s="338">
        <f t="shared" si="0"/>
        <v>6.4551348258994742E-3</v>
      </c>
      <c r="E34" s="339">
        <v>13855</v>
      </c>
      <c r="F34" s="340">
        <f t="shared" si="1"/>
        <v>6.4930951802553514E-3</v>
      </c>
      <c r="G34" s="337">
        <v>13774</v>
      </c>
      <c r="H34" s="340">
        <f t="shared" si="2"/>
        <v>1</v>
      </c>
      <c r="I34" s="341">
        <v>13855</v>
      </c>
      <c r="J34" s="340">
        <f t="shared" si="3"/>
        <v>1</v>
      </c>
      <c r="K34" s="342">
        <v>0</v>
      </c>
      <c r="L34" s="343">
        <f t="shared" si="4"/>
        <v>0</v>
      </c>
      <c r="M34" s="344"/>
    </row>
    <row r="35" spans="1:13" ht="18.75">
      <c r="A35" s="345" t="s">
        <v>355</v>
      </c>
      <c r="B35" s="314">
        <f>AVERAGE(B4:B34)</f>
        <v>2552072.6938709682</v>
      </c>
      <c r="C35" s="314">
        <f>AVERAGE(C4:C34)</f>
        <v>7062.4387096774199</v>
      </c>
      <c r="D35" s="315">
        <f>C35/B35</f>
        <v>2.7673344598053576E-3</v>
      </c>
      <c r="E35" s="314">
        <f>AVERAGE(E4:E34)</f>
        <v>8987.032258064517</v>
      </c>
      <c r="F35" s="346">
        <f>E35/B35</f>
        <v>3.5214640553334091E-3</v>
      </c>
      <c r="G35" s="314">
        <f>AVERAGE(G4:G34)</f>
        <v>6141.6</v>
      </c>
      <c r="H35" s="317">
        <f>G35/C35</f>
        <v>0.86961462640155374</v>
      </c>
      <c r="I35" s="314">
        <f>AVERAGE(I4:I34)</f>
        <v>8241.9032258064508</v>
      </c>
      <c r="J35" s="317">
        <f>I35/E35</f>
        <v>0.91708842130955692</v>
      </c>
      <c r="K35" s="314">
        <f>AVERAGE(K4:K34)</f>
        <v>0</v>
      </c>
      <c r="L35" s="320">
        <f>K35/C35</f>
        <v>0</v>
      </c>
      <c r="M35" s="344"/>
    </row>
    <row r="36" spans="1:13" ht="18.75">
      <c r="A36" s="345" t="s">
        <v>356</v>
      </c>
      <c r="B36" s="314">
        <f>SUM(B4:B34)</f>
        <v>79114253.51000002</v>
      </c>
      <c r="C36" s="314">
        <f>SUM(C4:C34)</f>
        <v>218935.6</v>
      </c>
      <c r="D36" s="315">
        <f>C36/B36</f>
        <v>2.7673344598053572E-3</v>
      </c>
      <c r="E36" s="314">
        <f>SUM(E4:E34)</f>
        <v>278598</v>
      </c>
      <c r="F36" s="346">
        <f>E36/B36</f>
        <v>3.5214640553334082E-3</v>
      </c>
      <c r="G36" s="314">
        <f>SUM(G4:G34)</f>
        <v>190389.6</v>
      </c>
      <c r="H36" s="317">
        <f>G36/C36</f>
        <v>0.86961462640155374</v>
      </c>
      <c r="I36" s="314">
        <f>SUM(I4:I34)</f>
        <v>255499</v>
      </c>
      <c r="J36" s="317">
        <f>I36/E36</f>
        <v>0.91708842130955714</v>
      </c>
      <c r="K36" s="314">
        <f>SUM(K4:K34)</f>
        <v>0</v>
      </c>
      <c r="L36" s="320">
        <f>K36/C36</f>
        <v>0</v>
      </c>
      <c r="M36" s="344"/>
    </row>
    <row r="37" spans="1:13" ht="27">
      <c r="A37" s="580"/>
      <c r="B37" s="580"/>
      <c r="C37" s="580"/>
      <c r="D37" s="580"/>
      <c r="E37" s="580"/>
      <c r="F37" s="347"/>
      <c r="G37" s="347"/>
      <c r="H37" s="347"/>
      <c r="I37" s="347"/>
      <c r="J37" s="347"/>
      <c r="K37" s="347"/>
      <c r="L37" s="347"/>
      <c r="M37" s="347"/>
    </row>
    <row r="38" spans="1:13" ht="27">
      <c r="A38" s="580"/>
      <c r="B38" s="580"/>
      <c r="C38" s="580"/>
      <c r="D38" s="580"/>
      <c r="E38" s="580"/>
      <c r="F38" s="347"/>
      <c r="G38" s="347"/>
      <c r="H38" s="347"/>
      <c r="I38" s="347"/>
      <c r="J38" s="347"/>
      <c r="K38" s="347"/>
      <c r="L38" s="347"/>
      <c r="M38" s="347"/>
    </row>
    <row r="39" spans="1:13" ht="18.75">
      <c r="A39" s="347"/>
      <c r="B39" s="347"/>
      <c r="C39" s="347"/>
      <c r="D39" s="347"/>
      <c r="E39" s="347"/>
      <c r="F39" s="347"/>
      <c r="G39" s="347"/>
      <c r="H39" s="347"/>
      <c r="I39" s="347"/>
      <c r="J39" s="347"/>
      <c r="K39" s="347"/>
      <c r="L39" s="347"/>
      <c r="M39" s="347"/>
    </row>
    <row r="40" spans="1:13" ht="18.75">
      <c r="A40" s="347"/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</row>
    <row r="41" spans="1:13" ht="18.75">
      <c r="A41" s="347"/>
      <c r="B41" s="347"/>
      <c r="C41" s="347"/>
      <c r="D41" s="347"/>
      <c r="E41" s="347"/>
      <c r="F41" s="347"/>
      <c r="G41" s="347"/>
      <c r="H41" s="347"/>
      <c r="I41" s="347"/>
      <c r="J41" s="347"/>
      <c r="K41" s="347"/>
      <c r="L41" s="347"/>
      <c r="M41" s="347"/>
    </row>
    <row r="42" spans="1:13" ht="18.75">
      <c r="A42" s="347"/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</row>
    <row r="43" spans="1:13" ht="18.75">
      <c r="A43" s="347"/>
      <c r="B43" s="347"/>
      <c r="C43" s="347"/>
      <c r="D43" s="347"/>
      <c r="E43" s="348"/>
      <c r="F43" s="347"/>
      <c r="G43" s="347"/>
      <c r="H43" s="347"/>
      <c r="I43" s="347"/>
      <c r="J43" s="347"/>
      <c r="K43" s="347"/>
      <c r="L43" s="347"/>
      <c r="M43" s="347"/>
    </row>
    <row r="44" spans="1:13" ht="18.75">
      <c r="A44" s="347"/>
      <c r="B44" s="347"/>
      <c r="C44" s="347"/>
      <c r="D44" s="347"/>
      <c r="E44" s="349"/>
      <c r="F44" s="347"/>
      <c r="G44" s="347"/>
      <c r="H44" s="347"/>
      <c r="I44" s="347"/>
      <c r="J44" s="347"/>
      <c r="K44" s="347"/>
      <c r="L44" s="347"/>
      <c r="M44" s="347"/>
    </row>
    <row r="45" spans="1:13" ht="18.75">
      <c r="A45" s="347"/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</row>
    <row r="46" spans="1:13" ht="18.75">
      <c r="A46" s="347"/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</row>
    <row r="47" spans="1:13" ht="18.75">
      <c r="A47" s="347"/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</row>
    <row r="48" spans="1:13" ht="18.75">
      <c r="A48" s="347"/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</row>
    <row r="49" spans="1:13" ht="18.75">
      <c r="A49" s="347"/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</row>
    <row r="50" spans="1:13" ht="18.75">
      <c r="A50" s="347"/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</row>
    <row r="51" spans="1:13" ht="18.75">
      <c r="A51" s="347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</row>
    <row r="52" spans="1:13" ht="18.75">
      <c r="A52" s="347"/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</row>
    <row r="53" spans="1:13" ht="18.75">
      <c r="A53" s="347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</row>
    <row r="54" spans="1:13" ht="18.75">
      <c r="A54" s="347"/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</row>
    <row r="55" spans="1:13" ht="18.75">
      <c r="A55" s="347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</row>
    <row r="56" spans="1:13" ht="18.75">
      <c r="A56" s="347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</row>
    <row r="57" spans="1:13" ht="18.75">
      <c r="A57" s="347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7"/>
      <c r="M57" s="347"/>
    </row>
    <row r="58" spans="1:13" ht="18.75">
      <c r="A58" s="347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</row>
    <row r="59" spans="1:13" ht="18.75">
      <c r="A59" s="347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</row>
    <row r="60" spans="1:13" ht="18.75">
      <c r="A60" s="347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</row>
    <row r="61" spans="1:13" ht="18.75">
      <c r="A61" s="347"/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</row>
    <row r="62" spans="1:13" ht="18.75">
      <c r="A62" s="347"/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</row>
    <row r="63" spans="1:13" ht="18.75">
      <c r="A63" s="347"/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</row>
    <row r="64" spans="1:13" ht="18.75">
      <c r="A64" s="347"/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</row>
    <row r="65" spans="1:13" ht="18.75">
      <c r="A65" s="347"/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ht="18.75">
      <c r="A66" s="347"/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</row>
    <row r="67" spans="1:13" ht="18.75">
      <c r="A67" s="347"/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A37:E37"/>
    <mergeCell ref="A38:E38"/>
    <mergeCell ref="M19:M25"/>
    <mergeCell ref="N19:N25"/>
    <mergeCell ref="O19:O25"/>
    <mergeCell ref="M26:M32"/>
    <mergeCell ref="N26:N32"/>
    <mergeCell ref="O26:O32"/>
  </mergeCells>
  <phoneticPr fontId="17" type="noConversion"/>
  <conditionalFormatting sqref="D4:D36">
    <cfRule type="cellIs" dxfId="4" priority="2" operator="greaterThan">
      <formula>0.0025</formula>
    </cfRule>
  </conditionalFormatting>
  <conditionalFormatting sqref="H4:H36 J4:J36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">
    <cfRule type="cellIs" dxfId="1" priority="10" operator="greaterThan">
      <formula>0.15</formula>
    </cfRule>
  </conditionalFormatting>
  <conditionalFormatting sqref="L33:M36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357</v>
      </c>
      <c r="D2" s="5" t="s">
        <v>358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359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35</v>
      </c>
      <c r="P5" s="49" t="s">
        <v>13</v>
      </c>
      <c r="Q5" s="49" t="s">
        <v>36</v>
      </c>
      <c r="R5" s="67"/>
      <c r="S5" s="7"/>
      <c r="T5" s="49" t="s">
        <v>8</v>
      </c>
      <c r="U5" s="49" t="s">
        <v>35</v>
      </c>
      <c r="V5" s="49" t="s">
        <v>13</v>
      </c>
      <c r="W5" s="49" t="s">
        <v>36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360</v>
      </c>
      <c r="H6" s="11">
        <v>110</v>
      </c>
      <c r="I6" s="11">
        <v>100</v>
      </c>
      <c r="J6" s="11">
        <v>90</v>
      </c>
      <c r="K6" s="12"/>
      <c r="L6" s="62" t="s">
        <v>361</v>
      </c>
      <c r="M6" s="49" t="s">
        <v>362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362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363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364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364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365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366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367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368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368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369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370</v>
      </c>
      <c r="N10" s="9" t="s">
        <v>371</v>
      </c>
      <c r="O10" s="13" t="str">
        <f t="shared" si="2"/>
        <v/>
      </c>
      <c r="P10" s="4" t="s">
        <v>372</v>
      </c>
      <c r="Q10" s="13" t="str">
        <f t="shared" si="3"/>
        <v/>
      </c>
      <c r="S10" s="49" t="s">
        <v>370</v>
      </c>
      <c r="T10" s="9" t="s">
        <v>371</v>
      </c>
      <c r="U10" s="13" t="str">
        <f t="shared" si="4"/>
        <v/>
      </c>
      <c r="V10" s="4" t="s">
        <v>372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373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374</v>
      </c>
      <c r="N11" s="9" t="s">
        <v>371</v>
      </c>
      <c r="O11" s="13" t="str">
        <f t="shared" si="2"/>
        <v/>
      </c>
      <c r="P11" s="4" t="s">
        <v>372</v>
      </c>
      <c r="Q11" s="13" t="str">
        <f t="shared" si="3"/>
        <v/>
      </c>
      <c r="S11" s="49" t="s">
        <v>374</v>
      </c>
      <c r="T11" s="9" t="s">
        <v>371</v>
      </c>
      <c r="U11" s="13" t="str">
        <f t="shared" si="4"/>
        <v/>
      </c>
      <c r="V11" s="4" t="s">
        <v>372</v>
      </c>
      <c r="W11" s="13" t="str">
        <f t="shared" si="5"/>
        <v/>
      </c>
    </row>
    <row r="12" spans="1:23" ht="15.75" customHeight="1">
      <c r="M12" s="49" t="s">
        <v>375</v>
      </c>
      <c r="N12" s="9" t="s">
        <v>371</v>
      </c>
      <c r="O12" s="13" t="str">
        <f t="shared" si="2"/>
        <v/>
      </c>
      <c r="P12" s="4" t="s">
        <v>372</v>
      </c>
      <c r="Q12" s="13" t="str">
        <f t="shared" si="3"/>
        <v/>
      </c>
      <c r="S12" s="49" t="s">
        <v>375</v>
      </c>
      <c r="T12" s="9" t="s">
        <v>371</v>
      </c>
      <c r="U12" s="13" t="str">
        <f t="shared" si="4"/>
        <v/>
      </c>
      <c r="V12" s="4" t="s">
        <v>372</v>
      </c>
      <c r="W12" s="13" t="str">
        <f t="shared" si="5"/>
        <v/>
      </c>
    </row>
    <row r="13" spans="1:23" ht="15.75" customHeight="1">
      <c r="A13" s="60" t="s">
        <v>376</v>
      </c>
      <c r="B13" s="67"/>
      <c r="C13" s="67"/>
      <c r="D13" s="67"/>
      <c r="E13" s="67"/>
      <c r="F13" s="67"/>
      <c r="M13" s="49" t="s">
        <v>377</v>
      </c>
      <c r="N13" s="9" t="s">
        <v>371</v>
      </c>
      <c r="O13" s="13" t="str">
        <f t="shared" si="2"/>
        <v/>
      </c>
      <c r="P13" s="4" t="s">
        <v>372</v>
      </c>
      <c r="Q13" s="13" t="str">
        <f t="shared" si="3"/>
        <v/>
      </c>
      <c r="S13" s="49" t="s">
        <v>377</v>
      </c>
      <c r="T13" s="9" t="s">
        <v>371</v>
      </c>
      <c r="U13" s="13" t="str">
        <f t="shared" si="4"/>
        <v/>
      </c>
      <c r="V13" s="4" t="s">
        <v>372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362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370</v>
      </c>
      <c r="H15" s="4"/>
      <c r="I15" s="4"/>
      <c r="J15" s="16">
        <f t="shared" ref="J15:J18" si="12">H15-I15</f>
        <v>0</v>
      </c>
      <c r="K15" s="17"/>
      <c r="M15" s="60" t="s">
        <v>378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364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374</v>
      </c>
      <c r="H16" s="4"/>
      <c r="I16" s="4"/>
      <c r="J16" s="16">
        <f t="shared" si="12"/>
        <v>0</v>
      </c>
      <c r="K16" s="17"/>
      <c r="M16" s="18"/>
      <c r="N16" s="46" t="s">
        <v>171</v>
      </c>
      <c r="O16" s="19"/>
      <c r="P16" s="58" t="s">
        <v>239</v>
      </c>
      <c r="Q16" s="19"/>
      <c r="R16" s="51" t="s">
        <v>379</v>
      </c>
      <c r="S16" s="19"/>
    </row>
    <row r="17" spans="1:27" ht="15.75" customHeight="1">
      <c r="A17" s="49" t="s">
        <v>366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375</v>
      </c>
      <c r="H17" s="4"/>
      <c r="I17" s="4"/>
      <c r="J17" s="16">
        <f t="shared" si="12"/>
        <v>0</v>
      </c>
      <c r="K17" s="17"/>
      <c r="M17" s="20"/>
      <c r="N17" s="21" t="s">
        <v>176</v>
      </c>
      <c r="O17" s="50" t="s">
        <v>35</v>
      </c>
      <c r="P17" s="8" t="s">
        <v>176</v>
      </c>
      <c r="Q17" s="50" t="s">
        <v>35</v>
      </c>
      <c r="R17" s="8" t="s">
        <v>176</v>
      </c>
      <c r="S17" s="50" t="s">
        <v>35</v>
      </c>
    </row>
    <row r="18" spans="1:27" ht="15.75" customHeight="1">
      <c r="A18" s="49" t="s">
        <v>368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377</v>
      </c>
      <c r="H18" s="4"/>
      <c r="I18" s="4"/>
      <c r="J18" s="16">
        <f t="shared" si="12"/>
        <v>0</v>
      </c>
      <c r="K18" s="17"/>
      <c r="M18" s="49" t="s">
        <v>365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367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380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138</v>
      </c>
      <c r="C21" s="598" t="s">
        <v>139</v>
      </c>
      <c r="D21" s="596"/>
      <c r="E21" s="597"/>
      <c r="F21" s="49" t="s">
        <v>140</v>
      </c>
      <c r="G21" s="49" t="s">
        <v>381</v>
      </c>
      <c r="H21" s="49" t="s">
        <v>382</v>
      </c>
      <c r="I21" s="8" t="s">
        <v>143</v>
      </c>
      <c r="J21" s="609" t="s">
        <v>144</v>
      </c>
      <c r="K21" s="597"/>
      <c r="M21" s="60" t="s">
        <v>383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362</v>
      </c>
      <c r="B22" s="6">
        <v>1</v>
      </c>
      <c r="C22" s="538" t="s">
        <v>384</v>
      </c>
      <c r="D22" s="596"/>
      <c r="E22" s="597"/>
      <c r="F22" s="4">
        <v>3</v>
      </c>
      <c r="G22" s="4">
        <v>3000</v>
      </c>
      <c r="H22" s="4">
        <v>1000</v>
      </c>
      <c r="I22" s="4">
        <v>10</v>
      </c>
      <c r="J22" s="599" t="s">
        <v>385</v>
      </c>
      <c r="K22" s="597"/>
      <c r="M22" s="52" t="s">
        <v>365</v>
      </c>
      <c r="N22" s="57" t="s">
        <v>138</v>
      </c>
      <c r="O22" s="604" t="s">
        <v>139</v>
      </c>
      <c r="P22" s="596"/>
      <c r="Q22" s="597"/>
      <c r="R22" s="610" t="s">
        <v>187</v>
      </c>
      <c r="S22" s="596"/>
      <c r="T22" s="597"/>
      <c r="U22" s="57" t="s">
        <v>188</v>
      </c>
      <c r="V22" s="57" t="s">
        <v>23</v>
      </c>
      <c r="W22" s="57" t="s">
        <v>189</v>
      </c>
      <c r="X22" s="8" t="s">
        <v>176</v>
      </c>
      <c r="Y22" s="8" t="s">
        <v>143</v>
      </c>
      <c r="Z22" s="609" t="s">
        <v>144</v>
      </c>
      <c r="AA22" s="597"/>
    </row>
    <row r="23" spans="1:27" ht="15.75" customHeight="1">
      <c r="A23" s="23"/>
      <c r="B23" s="6">
        <v>2</v>
      </c>
      <c r="C23" s="595"/>
      <c r="D23" s="596"/>
      <c r="E23" s="597"/>
      <c r="F23" s="4"/>
      <c r="G23" s="4"/>
      <c r="H23" s="4"/>
      <c r="I23" s="4"/>
      <c r="J23" s="595"/>
      <c r="K23" s="597"/>
      <c r="M23" s="56" t="s">
        <v>239</v>
      </c>
      <c r="N23" s="24">
        <v>1</v>
      </c>
      <c r="O23" s="599" t="s">
        <v>386</v>
      </c>
      <c r="P23" s="596"/>
      <c r="Q23" s="597"/>
      <c r="R23" s="599" t="s">
        <v>387</v>
      </c>
      <c r="S23" s="596"/>
      <c r="T23" s="59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99" t="s">
        <v>388</v>
      </c>
      <c r="AA23" s="597"/>
    </row>
    <row r="24" spans="1:27" ht="15.75" customHeight="1">
      <c r="A24" s="23"/>
      <c r="B24" s="6">
        <v>3</v>
      </c>
      <c r="C24" s="595"/>
      <c r="D24" s="596"/>
      <c r="E24" s="597"/>
      <c r="F24" s="4"/>
      <c r="G24" s="4"/>
      <c r="H24" s="4"/>
      <c r="I24" s="4"/>
      <c r="J24" s="595"/>
      <c r="K24" s="597"/>
      <c r="M24" s="25"/>
      <c r="N24" s="24">
        <v>2</v>
      </c>
      <c r="O24" s="538"/>
      <c r="P24" s="596"/>
      <c r="Q24" s="597"/>
      <c r="R24" s="538"/>
      <c r="S24" s="596"/>
      <c r="T24" s="597"/>
      <c r="U24" s="4"/>
      <c r="V24" s="14"/>
      <c r="W24" s="4"/>
      <c r="X24" s="16">
        <f t="shared" si="16"/>
        <v>0</v>
      </c>
      <c r="Y24" s="4"/>
      <c r="Z24" s="538"/>
      <c r="AA24" s="597"/>
    </row>
    <row r="25" spans="1:27" ht="15.75" customHeight="1">
      <c r="A25" s="23"/>
      <c r="B25" s="6">
        <v>4</v>
      </c>
      <c r="C25" s="595"/>
      <c r="D25" s="596"/>
      <c r="E25" s="597"/>
      <c r="F25" s="4"/>
      <c r="G25" s="4"/>
      <c r="H25" s="4"/>
      <c r="I25" s="4"/>
      <c r="J25" s="595"/>
      <c r="K25" s="597"/>
      <c r="M25" s="25"/>
      <c r="N25" s="24">
        <v>3</v>
      </c>
      <c r="O25" s="538"/>
      <c r="P25" s="596"/>
      <c r="Q25" s="597"/>
      <c r="R25" s="538"/>
      <c r="S25" s="596"/>
      <c r="T25" s="597"/>
      <c r="U25" s="4"/>
      <c r="V25" s="14"/>
      <c r="W25" s="4"/>
      <c r="X25" s="16">
        <f t="shared" si="16"/>
        <v>0</v>
      </c>
      <c r="Y25" s="4"/>
      <c r="Z25" s="538"/>
      <c r="AA25" s="597"/>
    </row>
    <row r="26" spans="1:27" ht="15.75" customHeight="1">
      <c r="A26" s="23"/>
      <c r="B26" s="26">
        <v>5</v>
      </c>
      <c r="C26" s="607"/>
      <c r="D26" s="603"/>
      <c r="E26" s="600"/>
      <c r="F26" s="27"/>
      <c r="G26" s="27"/>
      <c r="H26" s="27"/>
      <c r="I26" s="27"/>
      <c r="J26" s="607"/>
      <c r="K26" s="600"/>
      <c r="M26" s="25"/>
      <c r="N26" s="24">
        <v>4</v>
      </c>
      <c r="O26" s="538"/>
      <c r="P26" s="596"/>
      <c r="Q26" s="597"/>
      <c r="R26" s="538"/>
      <c r="S26" s="596"/>
      <c r="T26" s="597"/>
      <c r="U26" s="4"/>
      <c r="V26" s="14"/>
      <c r="W26" s="4"/>
      <c r="X26" s="16">
        <f t="shared" si="16"/>
        <v>0</v>
      </c>
      <c r="Y26" s="4"/>
      <c r="Z26" s="538"/>
      <c r="AA26" s="597"/>
    </row>
    <row r="27" spans="1:27" ht="15.75" customHeight="1">
      <c r="A27" s="23"/>
      <c r="B27" s="69" t="s">
        <v>389</v>
      </c>
      <c r="C27" s="601" t="s">
        <v>390</v>
      </c>
      <c r="D27" s="608"/>
      <c r="E27" s="602"/>
      <c r="F27" s="28">
        <v>4</v>
      </c>
      <c r="G27" s="28">
        <v>2800</v>
      </c>
      <c r="H27" s="28">
        <v>700</v>
      </c>
      <c r="I27" s="28" t="s">
        <v>391</v>
      </c>
      <c r="J27" s="601" t="s">
        <v>392</v>
      </c>
      <c r="K27" s="602"/>
      <c r="M27" s="25"/>
      <c r="N27" s="29">
        <v>5</v>
      </c>
      <c r="O27" s="537"/>
      <c r="P27" s="603"/>
      <c r="Q27" s="600"/>
      <c r="R27" s="537"/>
      <c r="S27" s="603"/>
      <c r="T27" s="600"/>
      <c r="U27" s="27"/>
      <c r="V27" s="30"/>
      <c r="W27" s="27"/>
      <c r="X27" s="31">
        <f t="shared" si="16"/>
        <v>0</v>
      </c>
      <c r="Y27" s="4"/>
      <c r="Z27" s="537"/>
      <c r="AA27" s="600"/>
    </row>
    <row r="28" spans="1:27" ht="15.75" customHeight="1">
      <c r="A28" s="23"/>
      <c r="B28" s="70" t="s">
        <v>393</v>
      </c>
      <c r="C28" s="595"/>
      <c r="D28" s="596"/>
      <c r="E28" s="597"/>
      <c r="F28" s="4"/>
      <c r="G28" s="4"/>
      <c r="H28" s="4"/>
      <c r="I28" s="4"/>
      <c r="J28" s="595"/>
      <c r="K28" s="597"/>
      <c r="M28" s="32"/>
      <c r="N28" s="55"/>
      <c r="O28" s="605"/>
      <c r="P28" s="596"/>
      <c r="Q28" s="596"/>
      <c r="R28" s="605"/>
      <c r="S28" s="596"/>
      <c r="T28" s="596"/>
      <c r="U28" s="59" t="s">
        <v>204</v>
      </c>
      <c r="V28" s="33">
        <f>X28/N18</f>
        <v>8.3333333333333329E-2</v>
      </c>
      <c r="W28" s="59" t="s">
        <v>205</v>
      </c>
      <c r="X28" s="34">
        <f>SUM(X23:X27)</f>
        <v>100</v>
      </c>
      <c r="Y28" s="45"/>
      <c r="Z28" s="605"/>
      <c r="AA28" s="597"/>
    </row>
    <row r="29" spans="1:27" ht="15.75" customHeight="1">
      <c r="A29" s="23"/>
      <c r="B29" s="70" t="s">
        <v>394</v>
      </c>
      <c r="C29" s="595"/>
      <c r="D29" s="596"/>
      <c r="E29" s="597"/>
      <c r="F29" s="4"/>
      <c r="G29" s="4"/>
      <c r="H29" s="4"/>
      <c r="I29" s="4"/>
      <c r="J29" s="595"/>
      <c r="K29" s="597"/>
      <c r="M29" s="56" t="s">
        <v>379</v>
      </c>
      <c r="N29" s="24">
        <v>1</v>
      </c>
      <c r="O29" s="618" t="s">
        <v>395</v>
      </c>
      <c r="P29" s="614"/>
      <c r="Q29" s="615"/>
      <c r="R29" s="613" t="s">
        <v>396</v>
      </c>
      <c r="S29" s="614"/>
      <c r="T29" s="61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13" t="s">
        <v>397</v>
      </c>
      <c r="AA29" s="615"/>
    </row>
    <row r="30" spans="1:27" ht="15.75" customHeight="1">
      <c r="A30" s="23"/>
      <c r="B30" s="70" t="s">
        <v>398</v>
      </c>
      <c r="C30" s="595"/>
      <c r="D30" s="596"/>
      <c r="E30" s="597"/>
      <c r="F30" s="4"/>
      <c r="G30" s="4"/>
      <c r="H30" s="4"/>
      <c r="I30" s="4"/>
      <c r="J30" s="595"/>
      <c r="K30" s="597"/>
      <c r="M30" s="25"/>
      <c r="N30" s="24">
        <v>2</v>
      </c>
      <c r="O30" s="538"/>
      <c r="P30" s="596"/>
      <c r="Q30" s="597"/>
      <c r="R30" s="538"/>
      <c r="S30" s="596"/>
      <c r="T30" s="597"/>
      <c r="U30" s="4"/>
      <c r="V30" s="14"/>
      <c r="W30" s="4"/>
      <c r="X30" s="16">
        <f t="shared" si="17"/>
        <v>0</v>
      </c>
      <c r="Y30" s="4"/>
      <c r="Z30" s="538"/>
      <c r="AA30" s="597"/>
    </row>
    <row r="31" spans="1:27" ht="15.75" customHeight="1">
      <c r="A31" s="20"/>
      <c r="B31" s="70" t="s">
        <v>399</v>
      </c>
      <c r="C31" s="595"/>
      <c r="D31" s="596"/>
      <c r="E31" s="597"/>
      <c r="F31" s="4"/>
      <c r="G31" s="4"/>
      <c r="H31" s="4"/>
      <c r="I31" s="4"/>
      <c r="J31" s="595"/>
      <c r="K31" s="597"/>
      <c r="M31" s="25"/>
      <c r="N31" s="24">
        <v>3</v>
      </c>
      <c r="O31" s="538"/>
      <c r="P31" s="596"/>
      <c r="Q31" s="597"/>
      <c r="R31" s="538"/>
      <c r="S31" s="596"/>
      <c r="T31" s="597"/>
      <c r="U31" s="4"/>
      <c r="V31" s="14"/>
      <c r="W31" s="4"/>
      <c r="X31" s="16">
        <f t="shared" si="17"/>
        <v>0</v>
      </c>
      <c r="Y31" s="4"/>
      <c r="Z31" s="538"/>
      <c r="AA31" s="597"/>
    </row>
    <row r="32" spans="1:27" ht="15.75" customHeight="1">
      <c r="A32" s="67"/>
      <c r="M32" s="25"/>
      <c r="N32" s="24">
        <v>4</v>
      </c>
      <c r="O32" s="538"/>
      <c r="P32" s="596"/>
      <c r="Q32" s="597"/>
      <c r="R32" s="538"/>
      <c r="S32" s="596"/>
      <c r="T32" s="597"/>
      <c r="U32" s="4"/>
      <c r="V32" s="14"/>
      <c r="W32" s="4"/>
      <c r="X32" s="16">
        <f t="shared" si="17"/>
        <v>0</v>
      </c>
      <c r="Y32" s="4"/>
      <c r="Z32" s="538"/>
      <c r="AA32" s="597"/>
    </row>
    <row r="33" spans="1:27" ht="15.75" customHeight="1">
      <c r="A33" s="18"/>
      <c r="B33" s="49" t="s">
        <v>138</v>
      </c>
      <c r="C33" s="598" t="s">
        <v>139</v>
      </c>
      <c r="D33" s="596"/>
      <c r="E33" s="597"/>
      <c r="F33" s="49" t="s">
        <v>140</v>
      </c>
      <c r="G33" s="49" t="s">
        <v>381</v>
      </c>
      <c r="H33" s="49" t="s">
        <v>382</v>
      </c>
      <c r="I33" s="8" t="s">
        <v>143</v>
      </c>
      <c r="J33" s="609" t="s">
        <v>144</v>
      </c>
      <c r="K33" s="597"/>
      <c r="M33" s="25"/>
      <c r="N33" s="29">
        <v>5</v>
      </c>
      <c r="O33" s="538"/>
      <c r="P33" s="596"/>
      <c r="Q33" s="597"/>
      <c r="R33" s="538"/>
      <c r="S33" s="596"/>
      <c r="T33" s="597"/>
      <c r="U33" s="27"/>
      <c r="V33" s="30"/>
      <c r="W33" s="27"/>
      <c r="X33" s="31">
        <f t="shared" si="17"/>
        <v>0</v>
      </c>
      <c r="Y33" s="4"/>
      <c r="Z33" s="538"/>
      <c r="AA33" s="597"/>
    </row>
    <row r="34" spans="1:27" ht="15.75" customHeight="1">
      <c r="A34" s="52" t="s">
        <v>364</v>
      </c>
      <c r="B34" s="6">
        <v>1</v>
      </c>
      <c r="C34" s="599" t="s">
        <v>400</v>
      </c>
      <c r="D34" s="596"/>
      <c r="E34" s="597"/>
      <c r="F34" s="4">
        <v>3</v>
      </c>
      <c r="G34" s="4">
        <v>2500</v>
      </c>
      <c r="H34" s="4">
        <v>833.33</v>
      </c>
      <c r="I34" s="4">
        <v>20</v>
      </c>
      <c r="J34" s="599" t="s">
        <v>401</v>
      </c>
      <c r="K34" s="597"/>
      <c r="M34" s="68"/>
      <c r="N34" s="45"/>
      <c r="O34" s="605"/>
      <c r="P34" s="596"/>
      <c r="Q34" s="596"/>
      <c r="R34" s="605"/>
      <c r="S34" s="596"/>
      <c r="T34" s="596"/>
      <c r="U34" s="59" t="s">
        <v>204</v>
      </c>
      <c r="V34" s="33">
        <f>X34/N18</f>
        <v>0.23125000000000001</v>
      </c>
      <c r="W34" s="59" t="s">
        <v>205</v>
      </c>
      <c r="X34" s="34">
        <f>SUM(X29:X33)</f>
        <v>277.5</v>
      </c>
      <c r="Y34" s="45"/>
      <c r="Z34" s="605"/>
      <c r="AA34" s="597"/>
    </row>
    <row r="35" spans="1:27" ht="15.75" customHeight="1">
      <c r="A35" s="23"/>
      <c r="B35" s="6">
        <v>2</v>
      </c>
      <c r="C35" s="538"/>
      <c r="D35" s="596"/>
      <c r="E35" s="597"/>
      <c r="F35" s="4"/>
      <c r="G35" s="4"/>
      <c r="H35" s="4"/>
      <c r="I35" s="4"/>
      <c r="J35" s="538"/>
      <c r="K35" s="597"/>
      <c r="M35" s="1"/>
      <c r="N35" s="1"/>
      <c r="O35" s="616"/>
      <c r="P35" s="617"/>
      <c r="Q35" s="617"/>
      <c r="R35" s="616"/>
      <c r="S35" s="617"/>
      <c r="T35" s="617"/>
      <c r="U35" s="1"/>
      <c r="V35" s="38"/>
      <c r="W35" s="1"/>
      <c r="X35" s="1"/>
      <c r="Y35" s="616"/>
      <c r="Z35" s="617"/>
      <c r="AA35" s="617"/>
    </row>
    <row r="36" spans="1:27" ht="15.75" customHeight="1">
      <c r="A36" s="23"/>
      <c r="B36" s="6">
        <v>3</v>
      </c>
      <c r="C36" s="538"/>
      <c r="D36" s="596"/>
      <c r="E36" s="597"/>
      <c r="F36" s="4"/>
      <c r="G36" s="4"/>
      <c r="H36" s="4"/>
      <c r="I36" s="4"/>
      <c r="J36" s="538"/>
      <c r="K36" s="597"/>
      <c r="M36" s="52" t="s">
        <v>367</v>
      </c>
      <c r="N36" s="57" t="s">
        <v>138</v>
      </c>
      <c r="O36" s="604" t="s">
        <v>139</v>
      </c>
      <c r="P36" s="605"/>
      <c r="Q36" s="606"/>
      <c r="R36" s="610" t="s">
        <v>187</v>
      </c>
      <c r="S36" s="611"/>
      <c r="T36" s="612"/>
      <c r="U36" s="57" t="s">
        <v>188</v>
      </c>
      <c r="V36" s="57" t="s">
        <v>23</v>
      </c>
      <c r="W36" s="57" t="s">
        <v>189</v>
      </c>
      <c r="X36" s="8" t="s">
        <v>176</v>
      </c>
      <c r="Y36" s="8" t="s">
        <v>143</v>
      </c>
      <c r="Z36" s="609" t="s">
        <v>144</v>
      </c>
      <c r="AA36" s="619"/>
    </row>
    <row r="37" spans="1:27" ht="15.75" customHeight="1">
      <c r="A37" s="23"/>
      <c r="B37" s="6">
        <v>4</v>
      </c>
      <c r="C37" s="538"/>
      <c r="D37" s="596"/>
      <c r="E37" s="597"/>
      <c r="F37" s="4"/>
      <c r="G37" s="4"/>
      <c r="H37" s="4"/>
      <c r="I37" s="4"/>
      <c r="J37" s="538"/>
      <c r="K37" s="597"/>
      <c r="M37" s="56" t="s">
        <v>239</v>
      </c>
      <c r="N37" s="24">
        <v>1</v>
      </c>
      <c r="O37" s="599" t="s">
        <v>402</v>
      </c>
      <c r="P37" s="596"/>
      <c r="Q37" s="597"/>
      <c r="R37" s="599" t="s">
        <v>403</v>
      </c>
      <c r="S37" s="596"/>
      <c r="T37" s="59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99" t="s">
        <v>404</v>
      </c>
      <c r="AA37" s="597"/>
    </row>
    <row r="38" spans="1:27" ht="15.75" customHeight="1">
      <c r="A38" s="23"/>
      <c r="B38" s="26">
        <v>5</v>
      </c>
      <c r="C38" s="537"/>
      <c r="D38" s="603"/>
      <c r="E38" s="600"/>
      <c r="F38" s="27"/>
      <c r="G38" s="27"/>
      <c r="H38" s="27"/>
      <c r="I38" s="27"/>
      <c r="J38" s="537"/>
      <c r="K38" s="600"/>
      <c r="M38" s="25"/>
      <c r="N38" s="24">
        <v>2</v>
      </c>
      <c r="O38" s="538"/>
      <c r="P38" s="596"/>
      <c r="Q38" s="597"/>
      <c r="R38" s="538"/>
      <c r="S38" s="596"/>
      <c r="T38" s="597"/>
      <c r="U38" s="4"/>
      <c r="V38" s="14"/>
      <c r="W38" s="4"/>
      <c r="X38" s="16">
        <f t="shared" si="18"/>
        <v>0</v>
      </c>
      <c r="Y38" s="4"/>
      <c r="Z38" s="538"/>
      <c r="AA38" s="597"/>
    </row>
    <row r="39" spans="1:27" ht="14.25">
      <c r="A39" s="23"/>
      <c r="B39" s="69" t="s">
        <v>389</v>
      </c>
      <c r="C39" s="601" t="s">
        <v>405</v>
      </c>
      <c r="D39" s="608"/>
      <c r="E39" s="602"/>
      <c r="F39" s="28">
        <v>7</v>
      </c>
      <c r="G39" s="28">
        <v>2200</v>
      </c>
      <c r="H39" s="28">
        <v>314.29000000000002</v>
      </c>
      <c r="I39" s="28">
        <v>-15</v>
      </c>
      <c r="J39" s="601" t="s">
        <v>406</v>
      </c>
      <c r="K39" s="602"/>
      <c r="M39" s="25"/>
      <c r="N39" s="24">
        <v>3</v>
      </c>
      <c r="O39" s="538"/>
      <c r="P39" s="596"/>
      <c r="Q39" s="597"/>
      <c r="R39" s="538"/>
      <c r="S39" s="596"/>
      <c r="T39" s="597"/>
      <c r="U39" s="4"/>
      <c r="V39" s="14"/>
      <c r="W39" s="4"/>
      <c r="X39" s="16">
        <f t="shared" si="18"/>
        <v>0</v>
      </c>
      <c r="Y39" s="4"/>
      <c r="Z39" s="538"/>
      <c r="AA39" s="597"/>
    </row>
    <row r="40" spans="1:27" ht="14.25">
      <c r="A40" s="23"/>
      <c r="B40" s="70" t="s">
        <v>393</v>
      </c>
      <c r="C40" s="538"/>
      <c r="D40" s="596"/>
      <c r="E40" s="597"/>
      <c r="F40" s="4"/>
      <c r="G40" s="4"/>
      <c r="H40" s="4"/>
      <c r="I40" s="4"/>
      <c r="J40" s="538"/>
      <c r="K40" s="597"/>
      <c r="M40" s="25"/>
      <c r="N40" s="24">
        <v>4</v>
      </c>
      <c r="O40" s="538"/>
      <c r="P40" s="596"/>
      <c r="Q40" s="597"/>
      <c r="R40" s="538"/>
      <c r="S40" s="596"/>
      <c r="T40" s="597"/>
      <c r="U40" s="4"/>
      <c r="V40" s="14"/>
      <c r="W40" s="4"/>
      <c r="X40" s="16">
        <f t="shared" si="18"/>
        <v>0</v>
      </c>
      <c r="Y40" s="4"/>
      <c r="Z40" s="538"/>
      <c r="AA40" s="597"/>
    </row>
    <row r="41" spans="1:27" ht="14.25">
      <c r="A41" s="23"/>
      <c r="B41" s="70" t="s">
        <v>394</v>
      </c>
      <c r="C41" s="538"/>
      <c r="D41" s="596"/>
      <c r="E41" s="597"/>
      <c r="F41" s="4"/>
      <c r="G41" s="4"/>
      <c r="H41" s="4"/>
      <c r="I41" s="4"/>
      <c r="J41" s="538"/>
      <c r="K41" s="597"/>
      <c r="M41" s="25"/>
      <c r="N41" s="29">
        <v>5</v>
      </c>
      <c r="O41" s="537"/>
      <c r="P41" s="603"/>
      <c r="Q41" s="600"/>
      <c r="R41" s="537"/>
      <c r="S41" s="603"/>
      <c r="T41" s="600"/>
      <c r="U41" s="27"/>
      <c r="V41" s="30"/>
      <c r="W41" s="27"/>
      <c r="X41" s="31">
        <f t="shared" si="18"/>
        <v>0</v>
      </c>
      <c r="Y41" s="4"/>
      <c r="Z41" s="538"/>
      <c r="AA41" s="597"/>
    </row>
    <row r="42" spans="1:27" ht="14.25">
      <c r="A42" s="23"/>
      <c r="B42" s="70" t="s">
        <v>398</v>
      </c>
      <c r="C42" s="538"/>
      <c r="D42" s="596"/>
      <c r="E42" s="597"/>
      <c r="F42" s="4"/>
      <c r="G42" s="4"/>
      <c r="H42" s="4"/>
      <c r="I42" s="4"/>
      <c r="J42" s="538"/>
      <c r="K42" s="597"/>
      <c r="M42" s="32"/>
      <c r="N42" s="54"/>
      <c r="O42" s="605"/>
      <c r="P42" s="596"/>
      <c r="Q42" s="596"/>
      <c r="R42" s="605"/>
      <c r="S42" s="596"/>
      <c r="T42" s="596"/>
      <c r="U42" s="59" t="s">
        <v>204</v>
      </c>
      <c r="V42" s="33">
        <f>X42/N19</f>
        <v>5.5555555555555552E-2</v>
      </c>
      <c r="W42" s="59" t="s">
        <v>205</v>
      </c>
      <c r="X42" s="34">
        <f>SUM(X37:X41)</f>
        <v>250</v>
      </c>
      <c r="Y42" s="45"/>
      <c r="Z42" s="605"/>
      <c r="AA42" s="597"/>
    </row>
    <row r="43" spans="1:27" ht="14.25">
      <c r="A43" s="20"/>
      <c r="B43" s="70" t="s">
        <v>399</v>
      </c>
      <c r="C43" s="538"/>
      <c r="D43" s="596"/>
      <c r="E43" s="597"/>
      <c r="F43" s="4"/>
      <c r="G43" s="4"/>
      <c r="H43" s="4"/>
      <c r="I43" s="4"/>
      <c r="J43" s="538"/>
      <c r="K43" s="597"/>
      <c r="M43" s="56" t="s">
        <v>379</v>
      </c>
      <c r="N43" s="24">
        <v>1</v>
      </c>
      <c r="O43" s="599" t="s">
        <v>402</v>
      </c>
      <c r="P43" s="596"/>
      <c r="Q43" s="597"/>
      <c r="R43" s="613" t="s">
        <v>407</v>
      </c>
      <c r="S43" s="614"/>
      <c r="T43" s="61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99" t="s">
        <v>408</v>
      </c>
      <c r="AA43" s="597"/>
    </row>
    <row r="44" spans="1:27" ht="14.25">
      <c r="A44" s="67"/>
      <c r="M44" s="25"/>
      <c r="N44" s="24">
        <v>2</v>
      </c>
      <c r="O44" s="538"/>
      <c r="P44" s="596"/>
      <c r="Q44" s="597"/>
      <c r="R44" s="538"/>
      <c r="S44" s="596"/>
      <c r="T44" s="597"/>
      <c r="U44" s="4"/>
      <c r="V44" s="14"/>
      <c r="W44" s="4"/>
      <c r="X44" s="37">
        <f t="shared" si="19"/>
        <v>0</v>
      </c>
      <c r="Y44" s="4"/>
      <c r="Z44" s="538"/>
      <c r="AA44" s="597"/>
    </row>
    <row r="45" spans="1:27" ht="14.25">
      <c r="A45" s="18"/>
      <c r="B45" s="49" t="s">
        <v>138</v>
      </c>
      <c r="C45" s="598" t="s">
        <v>139</v>
      </c>
      <c r="D45" s="596"/>
      <c r="E45" s="597"/>
      <c r="F45" s="49" t="s">
        <v>140</v>
      </c>
      <c r="G45" s="49" t="s">
        <v>381</v>
      </c>
      <c r="H45" s="49" t="s">
        <v>382</v>
      </c>
      <c r="I45" s="8" t="s">
        <v>143</v>
      </c>
      <c r="J45" s="609" t="s">
        <v>144</v>
      </c>
      <c r="K45" s="597"/>
      <c r="M45" s="25"/>
      <c r="N45" s="24">
        <v>3</v>
      </c>
      <c r="O45" s="538"/>
      <c r="P45" s="596"/>
      <c r="Q45" s="597"/>
      <c r="R45" s="538"/>
      <c r="S45" s="596"/>
      <c r="T45" s="597"/>
      <c r="U45" s="4"/>
      <c r="V45" s="14"/>
      <c r="W45" s="4"/>
      <c r="X45" s="37">
        <f t="shared" si="19"/>
        <v>0</v>
      </c>
      <c r="Y45" s="4"/>
      <c r="Z45" s="538"/>
      <c r="AA45" s="597"/>
    </row>
    <row r="46" spans="1:27" ht="14.25">
      <c r="A46" s="52" t="s">
        <v>366</v>
      </c>
      <c r="B46" s="6">
        <v>1</v>
      </c>
      <c r="C46" s="599" t="s">
        <v>386</v>
      </c>
      <c r="D46" s="596"/>
      <c r="E46" s="597"/>
      <c r="F46" s="4">
        <v>15</v>
      </c>
      <c r="G46" s="4">
        <v>1200</v>
      </c>
      <c r="H46" s="4">
        <v>80</v>
      </c>
      <c r="I46" s="4">
        <v>5</v>
      </c>
      <c r="J46" s="599" t="s">
        <v>409</v>
      </c>
      <c r="K46" s="597"/>
      <c r="M46" s="25"/>
      <c r="N46" s="24">
        <v>4</v>
      </c>
      <c r="O46" s="538"/>
      <c r="P46" s="596"/>
      <c r="Q46" s="597"/>
      <c r="R46" s="538"/>
      <c r="S46" s="596"/>
      <c r="T46" s="597"/>
      <c r="U46" s="4"/>
      <c r="V46" s="14"/>
      <c r="W46" s="4"/>
      <c r="X46" s="37">
        <f t="shared" si="19"/>
        <v>0</v>
      </c>
      <c r="Y46" s="4"/>
      <c r="Z46" s="538"/>
      <c r="AA46" s="597"/>
    </row>
    <row r="47" spans="1:27" ht="14.25">
      <c r="A47" s="23"/>
      <c r="B47" s="6">
        <v>2</v>
      </c>
      <c r="C47" s="538"/>
      <c r="D47" s="596"/>
      <c r="E47" s="597"/>
      <c r="F47" s="4"/>
      <c r="G47" s="4"/>
      <c r="H47" s="4"/>
      <c r="I47" s="4"/>
      <c r="J47" s="538"/>
      <c r="K47" s="597"/>
      <c r="M47" s="25"/>
      <c r="N47" s="29">
        <v>5</v>
      </c>
      <c r="O47" s="538"/>
      <c r="P47" s="596"/>
      <c r="Q47" s="597"/>
      <c r="R47" s="538"/>
      <c r="S47" s="596"/>
      <c r="T47" s="597"/>
      <c r="U47" s="27"/>
      <c r="V47" s="30"/>
      <c r="W47" s="27"/>
      <c r="X47" s="40">
        <f t="shared" si="19"/>
        <v>0</v>
      </c>
      <c r="Y47" s="4"/>
      <c r="Z47" s="538"/>
      <c r="AA47" s="597"/>
    </row>
    <row r="48" spans="1:27" ht="14.25">
      <c r="A48" s="23"/>
      <c r="B48" s="6">
        <v>3</v>
      </c>
      <c r="C48" s="538"/>
      <c r="D48" s="596"/>
      <c r="E48" s="597"/>
      <c r="F48" s="4"/>
      <c r="G48" s="4"/>
      <c r="H48" s="4"/>
      <c r="I48" s="4"/>
      <c r="J48" s="538"/>
      <c r="K48" s="597"/>
      <c r="M48" s="68"/>
      <c r="N48" s="45"/>
      <c r="O48" s="605"/>
      <c r="P48" s="596"/>
      <c r="Q48" s="596"/>
      <c r="R48" s="605"/>
      <c r="S48" s="596"/>
      <c r="T48" s="596"/>
      <c r="U48" s="59" t="s">
        <v>204</v>
      </c>
      <c r="V48" s="33">
        <f>X48/N19</f>
        <v>0.13333333333333333</v>
      </c>
      <c r="W48" s="59" t="s">
        <v>205</v>
      </c>
      <c r="X48" s="34">
        <f>SUM(X43:X47)</f>
        <v>600</v>
      </c>
      <c r="Y48" s="45"/>
      <c r="Z48" s="605"/>
      <c r="AA48" s="597"/>
    </row>
    <row r="49" spans="1:27" ht="14.25">
      <c r="A49" s="23"/>
      <c r="B49" s="6">
        <v>4</v>
      </c>
      <c r="C49" s="538"/>
      <c r="D49" s="596"/>
      <c r="E49" s="597"/>
      <c r="F49" s="4"/>
      <c r="G49" s="4"/>
      <c r="H49" s="4"/>
      <c r="I49" s="4"/>
      <c r="J49" s="538"/>
      <c r="K49" s="59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37"/>
      <c r="D50" s="603"/>
      <c r="E50" s="600"/>
      <c r="F50" s="27"/>
      <c r="G50" s="27"/>
      <c r="H50" s="27"/>
      <c r="I50" s="27"/>
      <c r="J50" s="537"/>
      <c r="K50" s="600"/>
      <c r="M50" s="64" t="s">
        <v>410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389</v>
      </c>
      <c r="C51" s="601" t="s">
        <v>402</v>
      </c>
      <c r="D51" s="608"/>
      <c r="E51" s="602"/>
      <c r="F51" s="28">
        <v>18</v>
      </c>
      <c r="G51" s="28">
        <v>800</v>
      </c>
      <c r="H51" s="28">
        <v>44.44</v>
      </c>
      <c r="I51" s="28">
        <v>-15</v>
      </c>
      <c r="J51" s="601" t="s">
        <v>411</v>
      </c>
      <c r="K51" s="602"/>
      <c r="M51" s="8"/>
      <c r="N51" s="8" t="s">
        <v>235</v>
      </c>
      <c r="O51" s="604" t="s">
        <v>139</v>
      </c>
      <c r="P51" s="605"/>
      <c r="Q51" s="606"/>
      <c r="R51" s="610" t="s">
        <v>187</v>
      </c>
      <c r="S51" s="611"/>
      <c r="T51" s="612"/>
      <c r="U51" s="57" t="s">
        <v>188</v>
      </c>
      <c r="V51" s="39" t="s">
        <v>236</v>
      </c>
      <c r="W51" s="57" t="s">
        <v>237</v>
      </c>
      <c r="X51" s="8" t="s">
        <v>10</v>
      </c>
      <c r="Y51" s="604" t="s">
        <v>238</v>
      </c>
      <c r="Z51" s="605"/>
      <c r="AA51" s="606"/>
    </row>
    <row r="52" spans="1:27" ht="14.25">
      <c r="A52" s="23"/>
      <c r="B52" s="70" t="s">
        <v>393</v>
      </c>
      <c r="C52" s="538"/>
      <c r="D52" s="596"/>
      <c r="E52" s="597"/>
      <c r="F52" s="4"/>
      <c r="G52" s="4"/>
      <c r="H52" s="4"/>
      <c r="I52" s="4"/>
      <c r="J52" s="538"/>
      <c r="K52" s="597"/>
      <c r="M52" s="56" t="s">
        <v>239</v>
      </c>
      <c r="N52" s="24">
        <v>1</v>
      </c>
      <c r="O52" s="599" t="s">
        <v>402</v>
      </c>
      <c r="P52" s="596"/>
      <c r="Q52" s="597"/>
      <c r="R52" s="613" t="s">
        <v>407</v>
      </c>
      <c r="S52" s="614"/>
      <c r="T52" s="61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99" t="s">
        <v>412</v>
      </c>
      <c r="Z52" s="596"/>
      <c r="AA52" s="597"/>
    </row>
    <row r="53" spans="1:27" ht="14.25">
      <c r="A53" s="23"/>
      <c r="B53" s="70" t="s">
        <v>394</v>
      </c>
      <c r="C53" s="538"/>
      <c r="D53" s="596"/>
      <c r="E53" s="597"/>
      <c r="F53" s="4"/>
      <c r="G53" s="4"/>
      <c r="H53" s="4"/>
      <c r="I53" s="4"/>
      <c r="J53" s="538"/>
      <c r="K53" s="597"/>
      <c r="M53" s="25"/>
      <c r="N53" s="29">
        <v>2</v>
      </c>
      <c r="O53" s="537"/>
      <c r="P53" s="603"/>
      <c r="Q53" s="600"/>
      <c r="R53" s="537"/>
      <c r="S53" s="603"/>
      <c r="T53" s="600"/>
      <c r="U53" s="27"/>
      <c r="V53" s="30"/>
      <c r="W53" s="30"/>
      <c r="X53" s="41">
        <f t="shared" si="20"/>
        <v>0</v>
      </c>
      <c r="Y53" s="537"/>
      <c r="Z53" s="603"/>
      <c r="AA53" s="600"/>
    </row>
    <row r="54" spans="1:27" ht="14.25">
      <c r="A54" s="23"/>
      <c r="B54" s="70" t="s">
        <v>398</v>
      </c>
      <c r="C54" s="538"/>
      <c r="D54" s="596"/>
      <c r="E54" s="597"/>
      <c r="F54" s="4"/>
      <c r="G54" s="4"/>
      <c r="H54" s="4"/>
      <c r="I54" s="4"/>
      <c r="J54" s="538"/>
      <c r="K54" s="597"/>
      <c r="M54" s="56" t="s">
        <v>379</v>
      </c>
      <c r="N54" s="42">
        <v>1</v>
      </c>
      <c r="O54" s="601" t="s">
        <v>413</v>
      </c>
      <c r="P54" s="608"/>
      <c r="Q54" s="602"/>
      <c r="R54" s="601" t="s">
        <v>414</v>
      </c>
      <c r="S54" s="608"/>
      <c r="T54" s="602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01" t="s">
        <v>415</v>
      </c>
      <c r="Z54" s="608"/>
      <c r="AA54" s="602"/>
    </row>
    <row r="55" spans="1:27" ht="14.25">
      <c r="A55" s="20"/>
      <c r="B55" s="70" t="s">
        <v>399</v>
      </c>
      <c r="C55" s="538"/>
      <c r="D55" s="596"/>
      <c r="E55" s="597"/>
      <c r="F55" s="4"/>
      <c r="G55" s="4"/>
      <c r="H55" s="4"/>
      <c r="I55" s="4"/>
      <c r="J55" s="538"/>
      <c r="K55" s="597"/>
      <c r="M55" s="22"/>
      <c r="N55" s="24">
        <v>2</v>
      </c>
      <c r="O55" s="538"/>
      <c r="P55" s="596"/>
      <c r="Q55" s="597"/>
      <c r="R55" s="538"/>
      <c r="S55" s="596"/>
      <c r="T55" s="597"/>
      <c r="U55" s="4"/>
      <c r="V55" s="14"/>
      <c r="W55" s="14"/>
      <c r="X55" s="13">
        <f t="shared" si="20"/>
        <v>0</v>
      </c>
      <c r="Y55" s="538"/>
      <c r="Z55" s="596"/>
      <c r="AA55" s="597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4"/>
  <printOptions horizontalCentered="1" gridLines="1"/>
  <pageMargins left="0.7" right="0.7" top="0.75" bottom="0.75" header="0" footer="0"/>
  <pageSetup paperSize="9" scale="39" fitToHeight="0" pageOrder="overThenDown" orientation="landscape" cellComments="atEnd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02"/>
    <col min="3" max="3" width="14" style="202" bestFit="1" customWidth="1"/>
    <col min="4" max="4" width="0.28515625" style="202" customWidth="1"/>
    <col min="5" max="5" width="8.7109375" style="202"/>
    <col min="6" max="6" width="16.28515625" style="202" bestFit="1" customWidth="1"/>
    <col min="7" max="16384" width="8.7109375" style="202"/>
  </cols>
  <sheetData>
    <row r="2" spans="2:7" ht="15.75">
      <c r="B2" s="620" t="s">
        <v>416</v>
      </c>
      <c r="C2" s="620"/>
      <c r="D2" s="620"/>
      <c r="E2" s="620"/>
      <c r="F2" s="620"/>
    </row>
    <row r="3" spans="2:7" ht="15">
      <c r="B3" s="203" t="s">
        <v>417</v>
      </c>
      <c r="C3" s="203" t="s">
        <v>418</v>
      </c>
      <c r="D3" s="204"/>
      <c r="E3" s="203" t="s">
        <v>419</v>
      </c>
      <c r="F3" s="203" t="s">
        <v>420</v>
      </c>
      <c r="G3" s="204"/>
    </row>
    <row r="4" spans="2:7" ht="15">
      <c r="B4" s="205" t="s">
        <v>421</v>
      </c>
      <c r="C4" s="205" t="s">
        <v>422</v>
      </c>
      <c r="D4" s="204"/>
      <c r="E4" s="205" t="s">
        <v>423</v>
      </c>
      <c r="F4" s="205" t="s">
        <v>424</v>
      </c>
      <c r="G4" s="204"/>
    </row>
    <row r="5" spans="2:7" ht="15">
      <c r="B5" s="205" t="s">
        <v>425</v>
      </c>
      <c r="C5" s="205" t="s">
        <v>426</v>
      </c>
      <c r="D5" s="204"/>
      <c r="E5" s="205" t="s">
        <v>427</v>
      </c>
      <c r="F5" s="205" t="s">
        <v>428</v>
      </c>
      <c r="G5" s="204"/>
    </row>
    <row r="6" spans="2:7" ht="15">
      <c r="B6" s="205" t="s">
        <v>429</v>
      </c>
      <c r="C6" s="205" t="s">
        <v>430</v>
      </c>
      <c r="D6" s="204"/>
      <c r="E6" s="206" t="s">
        <v>431</v>
      </c>
      <c r="F6" s="206" t="s">
        <v>432</v>
      </c>
      <c r="G6" s="204"/>
    </row>
    <row r="7" spans="2:7" ht="15">
      <c r="B7" s="206" t="s">
        <v>433</v>
      </c>
      <c r="C7" s="206" t="s">
        <v>434</v>
      </c>
      <c r="D7" s="204"/>
      <c r="E7" s="205" t="s">
        <v>435</v>
      </c>
      <c r="F7" s="205" t="s">
        <v>436</v>
      </c>
      <c r="G7" s="204"/>
    </row>
    <row r="8" spans="2:7" ht="15">
      <c r="B8" s="205" t="s">
        <v>437</v>
      </c>
      <c r="C8" s="205" t="s">
        <v>438</v>
      </c>
      <c r="D8" s="204"/>
      <c r="E8" s="205" t="s">
        <v>439</v>
      </c>
      <c r="F8" s="205" t="s">
        <v>440</v>
      </c>
      <c r="G8" s="204"/>
    </row>
    <row r="9" spans="2:7" ht="15">
      <c r="B9" s="205" t="s">
        <v>441</v>
      </c>
      <c r="C9" s="205" t="s">
        <v>442</v>
      </c>
      <c r="D9" s="204"/>
      <c r="E9" s="206" t="s">
        <v>443</v>
      </c>
      <c r="F9" s="206" t="s">
        <v>108</v>
      </c>
      <c r="G9" s="204"/>
    </row>
    <row r="10" spans="2:7" ht="15">
      <c r="B10" s="205" t="s">
        <v>444</v>
      </c>
      <c r="C10" s="205" t="s">
        <v>445</v>
      </c>
      <c r="D10" s="204"/>
      <c r="E10" s="205" t="s">
        <v>446</v>
      </c>
      <c r="F10" s="205" t="s">
        <v>447</v>
      </c>
      <c r="G10" s="204"/>
    </row>
    <row r="11" spans="2:7" ht="15">
      <c r="B11" s="205" t="s">
        <v>448</v>
      </c>
      <c r="C11" s="205" t="s">
        <v>449</v>
      </c>
      <c r="D11" s="204"/>
      <c r="E11" s="205" t="s">
        <v>450</v>
      </c>
      <c r="F11" s="205" t="s">
        <v>440</v>
      </c>
      <c r="G11" s="204"/>
    </row>
    <row r="12" spans="2:7" ht="15">
      <c r="B12" s="205" t="s">
        <v>451</v>
      </c>
      <c r="C12" s="205" t="s">
        <v>452</v>
      </c>
      <c r="D12" s="204"/>
      <c r="E12" s="205" t="s">
        <v>453</v>
      </c>
      <c r="F12" s="205" t="s">
        <v>454</v>
      </c>
      <c r="G12" s="204"/>
    </row>
    <row r="13" spans="2:7" ht="15">
      <c r="B13" s="206" t="s">
        <v>455</v>
      </c>
      <c r="C13" s="206" t="s">
        <v>456</v>
      </c>
      <c r="D13" s="204"/>
      <c r="E13" s="205" t="s">
        <v>457</v>
      </c>
      <c r="F13" s="205" t="s">
        <v>458</v>
      </c>
      <c r="G13" s="204"/>
    </row>
    <row r="14" spans="2:7" ht="15">
      <c r="B14" s="205" t="s">
        <v>459</v>
      </c>
      <c r="C14" s="205" t="s">
        <v>460</v>
      </c>
      <c r="D14" s="204"/>
      <c r="E14" s="206" t="s">
        <v>461</v>
      </c>
      <c r="F14" s="206" t="s">
        <v>462</v>
      </c>
      <c r="G14" s="204"/>
    </row>
    <row r="15" spans="2:7" ht="15">
      <c r="B15" s="206" t="s">
        <v>463</v>
      </c>
      <c r="C15" s="206" t="s">
        <v>464</v>
      </c>
      <c r="D15" s="204"/>
      <c r="E15" s="205" t="s">
        <v>465</v>
      </c>
      <c r="F15" s="205" t="s">
        <v>462</v>
      </c>
      <c r="G15" s="204"/>
    </row>
    <row r="16" spans="2:7" ht="15">
      <c r="B16" s="205" t="s">
        <v>466</v>
      </c>
      <c r="C16" s="205" t="s">
        <v>467</v>
      </c>
      <c r="D16" s="204"/>
      <c r="E16" s="206" t="s">
        <v>468</v>
      </c>
      <c r="F16" s="206" t="s">
        <v>469</v>
      </c>
      <c r="G16" s="204"/>
    </row>
    <row r="17" spans="2:7" ht="15">
      <c r="B17" s="205" t="s">
        <v>470</v>
      </c>
      <c r="C17" s="205" t="s">
        <v>471</v>
      </c>
      <c r="D17" s="204"/>
      <c r="E17" s="205" t="s">
        <v>472</v>
      </c>
      <c r="F17" s="205" t="s">
        <v>473</v>
      </c>
      <c r="G17" s="204"/>
    </row>
    <row r="18" spans="2:7" ht="15">
      <c r="B18" s="205" t="s">
        <v>474</v>
      </c>
      <c r="C18" s="205" t="s">
        <v>475</v>
      </c>
      <c r="D18" s="204"/>
      <c r="E18" s="205" t="s">
        <v>476</v>
      </c>
      <c r="F18" s="205" t="s">
        <v>477</v>
      </c>
      <c r="G18" s="204"/>
    </row>
    <row r="19" spans="2:7" ht="15">
      <c r="B19" s="205" t="s">
        <v>478</v>
      </c>
      <c r="C19" s="205" t="s">
        <v>479</v>
      </c>
      <c r="D19" s="204"/>
      <c r="E19" s="205" t="s">
        <v>480</v>
      </c>
      <c r="F19" s="205" t="s">
        <v>481</v>
      </c>
      <c r="G19" s="204"/>
    </row>
    <row r="20" spans="2:7" ht="15">
      <c r="B20" s="205" t="s">
        <v>482</v>
      </c>
      <c r="C20" s="205" t="s">
        <v>483</v>
      </c>
      <c r="D20" s="204"/>
      <c r="G20" s="204"/>
    </row>
    <row r="21" spans="2:7" ht="15">
      <c r="D21" s="204"/>
      <c r="G21" s="204"/>
    </row>
    <row r="22" spans="2:7" ht="15">
      <c r="D22" s="204"/>
      <c r="G22" s="204"/>
    </row>
    <row r="23" spans="2:7" ht="15">
      <c r="D23" s="204"/>
      <c r="G23" s="204"/>
    </row>
  </sheetData>
  <mergeCells count="1">
    <mergeCell ref="B2:F2"/>
  </mergeCells>
  <phoneticPr fontId="17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>
      <selection activeCell="G15" sqref="G15"/>
    </sheetView>
  </sheetViews>
  <sheetFormatPr defaultColWidth="9.140625" defaultRowHeight="15"/>
  <cols>
    <col min="1" max="1" width="27.140625" style="233" customWidth="1"/>
    <col min="2" max="6" width="9.140625" style="233"/>
    <col min="7" max="7" width="26" style="233" bestFit="1" customWidth="1"/>
    <col min="8" max="16384" width="9.140625" style="233"/>
  </cols>
  <sheetData>
    <row r="1" spans="1:4" ht="15.75">
      <c r="A1" s="231" t="s">
        <v>484</v>
      </c>
      <c r="B1" s="231" t="s">
        <v>485</v>
      </c>
      <c r="C1" s="231" t="s">
        <v>486</v>
      </c>
      <c r="D1" s="232"/>
    </row>
    <row r="2" spans="1:4" ht="15.75">
      <c r="A2" s="259" t="s">
        <v>487</v>
      </c>
      <c r="B2" s="259">
        <v>13</v>
      </c>
      <c r="C2" s="259">
        <v>2000</v>
      </c>
      <c r="D2" s="234" t="s">
        <v>488</v>
      </c>
    </row>
    <row r="3" spans="1:4" ht="15.75">
      <c r="A3" s="259" t="s">
        <v>489</v>
      </c>
      <c r="B3" s="259">
        <v>15</v>
      </c>
      <c r="C3" s="259">
        <v>1565</v>
      </c>
      <c r="D3" s="234" t="s">
        <v>490</v>
      </c>
    </row>
    <row r="4" spans="1:4" ht="15.75">
      <c r="A4" s="259" t="s">
        <v>491</v>
      </c>
      <c r="B4" s="259">
        <v>16</v>
      </c>
      <c r="C4" s="259">
        <v>1915</v>
      </c>
      <c r="D4" s="232"/>
    </row>
    <row r="5" spans="1:4" ht="15.75">
      <c r="A5" s="259" t="s">
        <v>492</v>
      </c>
      <c r="B5" s="259">
        <v>12</v>
      </c>
      <c r="C5" s="259">
        <v>2000</v>
      </c>
      <c r="D5" s="232"/>
    </row>
    <row r="6" spans="1:4" ht="15.75">
      <c r="A6" s="259" t="s">
        <v>493</v>
      </c>
      <c r="B6" s="259">
        <v>18</v>
      </c>
      <c r="C6" s="259">
        <v>1565</v>
      </c>
      <c r="D6" s="232"/>
    </row>
    <row r="7" spans="1:4" ht="15.75">
      <c r="A7" s="259" t="s">
        <v>494</v>
      </c>
      <c r="B7" s="259">
        <v>13</v>
      </c>
      <c r="C7" s="259">
        <v>2000</v>
      </c>
      <c r="D7" s="232"/>
    </row>
    <row r="8" spans="1:4" ht="15.75">
      <c r="A8" s="259" t="s">
        <v>495</v>
      </c>
      <c r="B8" s="259">
        <v>14</v>
      </c>
      <c r="C8" s="259">
        <v>1895</v>
      </c>
      <c r="D8" s="232"/>
    </row>
    <row r="9" spans="1:4" ht="15.75">
      <c r="A9" s="259" t="s">
        <v>119</v>
      </c>
      <c r="B9" s="259">
        <v>15</v>
      </c>
      <c r="C9" s="259">
        <v>1565</v>
      </c>
      <c r="D9" s="232"/>
    </row>
    <row r="10" spans="1:4" ht="15.75">
      <c r="A10" s="259" t="s">
        <v>121</v>
      </c>
      <c r="B10" s="259">
        <v>19</v>
      </c>
      <c r="C10" s="259">
        <v>1600</v>
      </c>
      <c r="D10" s="232"/>
    </row>
    <row r="11" spans="1:4" ht="15.75">
      <c r="A11" s="259" t="s">
        <v>115</v>
      </c>
      <c r="B11" s="259">
        <v>16</v>
      </c>
      <c r="C11" s="259">
        <v>1429</v>
      </c>
      <c r="D11" s="232"/>
    </row>
    <row r="12" spans="1:4" ht="15.75">
      <c r="A12" s="259" t="s">
        <v>120</v>
      </c>
      <c r="B12" s="259">
        <v>18</v>
      </c>
      <c r="C12" s="259">
        <v>1636</v>
      </c>
      <c r="D12" s="232"/>
    </row>
    <row r="13" spans="1:4" ht="15.75">
      <c r="A13" s="259" t="s">
        <v>496</v>
      </c>
      <c r="B13" s="259">
        <v>16</v>
      </c>
      <c r="C13" s="259">
        <v>1440</v>
      </c>
      <c r="D13" s="232"/>
    </row>
    <row r="14" spans="1:4" ht="15.75">
      <c r="A14" s="259" t="s">
        <v>116</v>
      </c>
      <c r="B14" s="259">
        <v>18</v>
      </c>
      <c r="C14" s="259">
        <v>1500</v>
      </c>
      <c r="D14" s="232"/>
    </row>
    <row r="15" spans="1:4" ht="15.75">
      <c r="A15" s="259" t="s">
        <v>497</v>
      </c>
      <c r="B15" s="259">
        <v>13</v>
      </c>
      <c r="C15" s="259">
        <v>1385</v>
      </c>
      <c r="D15" s="232"/>
    </row>
    <row r="16" spans="1:4" ht="15.75">
      <c r="A16" s="259" t="s">
        <v>498</v>
      </c>
      <c r="B16" s="259">
        <v>17</v>
      </c>
      <c r="C16" s="259">
        <v>1565</v>
      </c>
      <c r="D16" s="232"/>
    </row>
    <row r="17" spans="1:5" ht="15.75">
      <c r="A17" s="259" t="s">
        <v>499</v>
      </c>
      <c r="B17" s="259">
        <v>14</v>
      </c>
      <c r="C17" s="259">
        <v>1385</v>
      </c>
      <c r="D17" s="232"/>
    </row>
    <row r="18" spans="1:5" ht="15.75">
      <c r="A18" s="259" t="s">
        <v>500</v>
      </c>
      <c r="B18" s="259">
        <v>18</v>
      </c>
      <c r="C18" s="259">
        <v>1385</v>
      </c>
      <c r="D18" s="232"/>
    </row>
    <row r="19" spans="1:5" ht="15.75">
      <c r="A19" s="259" t="s">
        <v>501</v>
      </c>
      <c r="B19" s="259">
        <v>16</v>
      </c>
      <c r="C19" s="259">
        <v>1385</v>
      </c>
      <c r="D19" s="232"/>
    </row>
    <row r="20" spans="1:5" ht="15.75">
      <c r="A20" s="259" t="s">
        <v>502</v>
      </c>
      <c r="B20" s="259">
        <v>17</v>
      </c>
      <c r="C20" s="259">
        <v>1636</v>
      </c>
      <c r="D20" s="232"/>
    </row>
    <row r="21" spans="1:5" ht="15.75">
      <c r="A21" s="259" t="s">
        <v>503</v>
      </c>
      <c r="B21" s="259">
        <v>15</v>
      </c>
      <c r="C21" s="259">
        <v>2000</v>
      </c>
      <c r="D21" s="232"/>
    </row>
    <row r="22" spans="1:5" ht="15.75">
      <c r="A22" s="259" t="s">
        <v>504</v>
      </c>
      <c r="B22" s="259">
        <v>17</v>
      </c>
      <c r="C22" s="259">
        <v>1385</v>
      </c>
    </row>
    <row r="23" spans="1:5" ht="15.75">
      <c r="A23" s="259" t="s">
        <v>505</v>
      </c>
      <c r="B23" s="259">
        <v>15</v>
      </c>
      <c r="C23" s="259">
        <v>1440</v>
      </c>
      <c r="E23" s="623" t="s">
        <v>506</v>
      </c>
    </row>
    <row r="24" spans="1:5" ht="15.75">
      <c r="A24" s="259" t="s">
        <v>507</v>
      </c>
      <c r="B24" s="259">
        <v>16</v>
      </c>
      <c r="C24" s="259">
        <v>1385</v>
      </c>
    </row>
    <row r="25" spans="1:5" ht="15.75">
      <c r="A25" s="259" t="s">
        <v>130</v>
      </c>
      <c r="B25" s="259">
        <v>13</v>
      </c>
      <c r="C25" s="259">
        <v>1565</v>
      </c>
    </row>
    <row r="26" spans="1:5" ht="15.75">
      <c r="A26" s="259" t="s">
        <v>508</v>
      </c>
      <c r="B26" s="259">
        <v>12</v>
      </c>
      <c r="C26" s="259">
        <v>1565</v>
      </c>
    </row>
    <row r="27" spans="1:5" ht="15.75">
      <c r="A27" s="259" t="s">
        <v>509</v>
      </c>
      <c r="B27" s="259">
        <v>12</v>
      </c>
      <c r="C27" s="259">
        <v>1565</v>
      </c>
    </row>
  </sheetData>
  <phoneticPr fontId="17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9CDF2B-6EAD-4ABD-8357-81B5C0683B0A}"/>
</file>

<file path=customXml/itemProps2.xml><?xml version="1.0" encoding="utf-8"?>
<ds:datastoreItem xmlns:ds="http://schemas.openxmlformats.org/officeDocument/2006/customXml" ds:itemID="{580F5A4F-D850-41E6-BBC4-C0AE4CCEAD56}"/>
</file>

<file path=customXml/itemProps3.xml><?xml version="1.0" encoding="utf-8"?>
<ds:datastoreItem xmlns:ds="http://schemas.openxmlformats.org/officeDocument/2006/customXml" ds:itemID="{B9368086-AC3F-4E33-8F17-E7508BB4F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2025-11-14T06:48:44Z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