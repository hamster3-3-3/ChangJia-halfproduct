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0月半成品及日報繳交處\"/>
    </mc:Choice>
  </mc:AlternateContent>
  <xr:revisionPtr revIDLastSave="0" documentId="13_ncr:1_{2EA6C0EF-1298-48FB-A5C7-8A84EEE4807F}" xr6:coauthVersionLast="47" xr6:coauthVersionMax="47" xr10:uidLastSave="{00000000-0000-0000-0000-000000000000}"/>
  <bookViews>
    <workbookView xWindow="-120" yWindow="-120" windowWidth="29040" windowHeight="15720" tabRatio="865" firstSheet="6" activeTab="11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51" l="1"/>
  <c r="M17" i="51"/>
  <c r="M19" i="51"/>
  <c r="M20" i="51"/>
  <c r="M19" i="20"/>
  <c r="M20" i="20"/>
  <c r="M18" i="20"/>
  <c r="M17" i="19"/>
  <c r="G15" i="40"/>
  <c r="I15" i="40"/>
  <c r="I9" i="40"/>
  <c r="G14" i="40"/>
  <c r="I14" i="40"/>
  <c r="K14" i="40"/>
  <c r="M9" i="40"/>
  <c r="M10" i="40"/>
  <c r="M9" i="51" l="1"/>
  <c r="M10" i="51"/>
  <c r="M11" i="51"/>
  <c r="M12" i="51"/>
  <c r="M9" i="20"/>
  <c r="M10" i="20"/>
  <c r="M11" i="20"/>
  <c r="M12" i="20"/>
  <c r="M17" i="20"/>
  <c r="M25" i="51"/>
  <c r="M25" i="20"/>
  <c r="Q7" i="52"/>
  <c r="K32" i="48"/>
  <c r="F7" i="6" l="1"/>
  <c r="G7" i="6" s="1"/>
  <c r="F8" i="7"/>
  <c r="F9" i="7"/>
  <c r="F10" i="7"/>
  <c r="F11" i="7"/>
  <c r="F12" i="7"/>
  <c r="F13" i="7"/>
  <c r="F14" i="7"/>
  <c r="F15" i="7"/>
  <c r="F16" i="7"/>
  <c r="F17" i="7"/>
  <c r="F18" i="7"/>
  <c r="F19" i="7"/>
  <c r="F7" i="7"/>
  <c r="J25" i="5"/>
  <c r="J18" i="5"/>
  <c r="J5" i="5"/>
  <c r="M5" i="5"/>
  <c r="F132" i="48"/>
  <c r="G132" i="48" s="1"/>
  <c r="E132" i="48"/>
  <c r="F131" i="48"/>
  <c r="G131" i="48" s="1"/>
  <c r="E131" i="48"/>
  <c r="F130" i="48"/>
  <c r="G130" i="48" s="1"/>
  <c r="E130" i="48"/>
  <c r="F129" i="48"/>
  <c r="G129" i="48" s="1"/>
  <c r="E129" i="48"/>
  <c r="F128" i="48"/>
  <c r="G128" i="48" s="1"/>
  <c r="E128" i="48"/>
  <c r="F127" i="48"/>
  <c r="G127" i="48" s="1"/>
  <c r="E127" i="48"/>
  <c r="F126" i="48"/>
  <c r="G126" i="48" s="1"/>
  <c r="E126" i="48"/>
  <c r="F125" i="48"/>
  <c r="G125" i="48" s="1"/>
  <c r="E125" i="48"/>
  <c r="F124" i="48"/>
  <c r="G124" i="48" s="1"/>
  <c r="E124" i="48"/>
  <c r="F123" i="48"/>
  <c r="G123" i="48" s="1"/>
  <c r="E123" i="48"/>
  <c r="F122" i="48"/>
  <c r="G122" i="48" s="1"/>
  <c r="E122" i="48"/>
  <c r="F121" i="48"/>
  <c r="G121" i="48" s="1"/>
  <c r="E121" i="48"/>
  <c r="F120" i="48"/>
  <c r="G120" i="48" s="1"/>
  <c r="E120" i="48"/>
  <c r="F119" i="48"/>
  <c r="G119" i="48" s="1"/>
  <c r="E119" i="48"/>
  <c r="G109" i="48"/>
  <c r="F109" i="48"/>
  <c r="E109" i="48"/>
  <c r="F108" i="48"/>
  <c r="G108" i="48" s="1"/>
  <c r="E108" i="48"/>
  <c r="F107" i="48"/>
  <c r="G107" i="48" s="1"/>
  <c r="E107" i="48"/>
  <c r="F106" i="48"/>
  <c r="G106" i="48" s="1"/>
  <c r="E106" i="48"/>
  <c r="G105" i="48"/>
  <c r="F105" i="48"/>
  <c r="E105" i="48"/>
  <c r="F104" i="48"/>
  <c r="G104" i="48" s="1"/>
  <c r="E104" i="48"/>
  <c r="F103" i="48"/>
  <c r="G103" i="48" s="1"/>
  <c r="E103" i="48"/>
  <c r="F102" i="48"/>
  <c r="G102" i="48" s="1"/>
  <c r="E102" i="48"/>
  <c r="G101" i="48"/>
  <c r="F101" i="48"/>
  <c r="E101" i="48"/>
  <c r="F100" i="48"/>
  <c r="G100" i="48" s="1"/>
  <c r="E100" i="48"/>
  <c r="F99" i="48"/>
  <c r="G99" i="48" s="1"/>
  <c r="E99" i="48"/>
  <c r="F98" i="48"/>
  <c r="G98" i="48" s="1"/>
  <c r="E98" i="48"/>
  <c r="G97" i="48"/>
  <c r="F97" i="48"/>
  <c r="E97" i="48"/>
  <c r="F96" i="48"/>
  <c r="G96" i="48" s="1"/>
  <c r="E96" i="48"/>
  <c r="F86" i="48"/>
  <c r="G86" i="48" s="1"/>
  <c r="E86" i="48"/>
  <c r="F85" i="48"/>
  <c r="G85" i="48" s="1"/>
  <c r="E85" i="48"/>
  <c r="F84" i="48"/>
  <c r="G84" i="48" s="1"/>
  <c r="E84" i="48"/>
  <c r="F83" i="48"/>
  <c r="G83" i="48" s="1"/>
  <c r="E83" i="48"/>
  <c r="F82" i="48"/>
  <c r="G82" i="48" s="1"/>
  <c r="E82" i="48"/>
  <c r="F81" i="48"/>
  <c r="G81" i="48" s="1"/>
  <c r="E81" i="48"/>
  <c r="F80" i="48"/>
  <c r="G80" i="48" s="1"/>
  <c r="E80" i="48"/>
  <c r="F79" i="48"/>
  <c r="G79" i="48" s="1"/>
  <c r="E79" i="48"/>
  <c r="F78" i="48"/>
  <c r="G78" i="48" s="1"/>
  <c r="E78" i="48"/>
  <c r="F77" i="48"/>
  <c r="G77" i="48" s="1"/>
  <c r="E77" i="48"/>
  <c r="F76" i="48"/>
  <c r="G76" i="48" s="1"/>
  <c r="E76" i="48"/>
  <c r="F75" i="48"/>
  <c r="G75" i="48" s="1"/>
  <c r="E75" i="48"/>
  <c r="F74" i="48"/>
  <c r="G74" i="48" s="1"/>
  <c r="E74" i="48"/>
  <c r="F73" i="48"/>
  <c r="G73" i="48" s="1"/>
  <c r="E73" i="48"/>
  <c r="F66" i="48"/>
  <c r="G66" i="48" s="1"/>
  <c r="E66" i="48"/>
  <c r="F65" i="48"/>
  <c r="G65" i="48" s="1"/>
  <c r="E65" i="48"/>
  <c r="F64" i="48"/>
  <c r="G64" i="48" s="1"/>
  <c r="E64" i="48"/>
  <c r="F63" i="48"/>
  <c r="G63" i="48" s="1"/>
  <c r="E63" i="48"/>
  <c r="F62" i="48"/>
  <c r="G62" i="48" s="1"/>
  <c r="E62" i="48"/>
  <c r="F61" i="48"/>
  <c r="G61" i="48" s="1"/>
  <c r="E61" i="48"/>
  <c r="F60" i="48"/>
  <c r="G60" i="48" s="1"/>
  <c r="E60" i="48"/>
  <c r="F59" i="48"/>
  <c r="G59" i="48" s="1"/>
  <c r="E59" i="48"/>
  <c r="F58" i="48"/>
  <c r="G58" i="48" s="1"/>
  <c r="E58" i="48"/>
  <c r="F57" i="48"/>
  <c r="G57" i="48" s="1"/>
  <c r="E57" i="48"/>
  <c r="F56" i="48"/>
  <c r="G56" i="48" s="1"/>
  <c r="E56" i="48"/>
  <c r="F55" i="48"/>
  <c r="G55" i="48" s="1"/>
  <c r="E55" i="48"/>
  <c r="F54" i="48"/>
  <c r="G54" i="48" s="1"/>
  <c r="E54" i="48"/>
  <c r="F53" i="48"/>
  <c r="G53" i="48" s="1"/>
  <c r="E53" i="48"/>
  <c r="F43" i="48"/>
  <c r="G43" i="48" s="1"/>
  <c r="E43" i="48"/>
  <c r="F42" i="48"/>
  <c r="G42" i="48" s="1"/>
  <c r="E42" i="48"/>
  <c r="F41" i="48"/>
  <c r="G41" i="48" s="1"/>
  <c r="E41" i="48"/>
  <c r="F40" i="48"/>
  <c r="G40" i="48" s="1"/>
  <c r="E40" i="48"/>
  <c r="F39" i="48"/>
  <c r="G39" i="48" s="1"/>
  <c r="E39" i="48"/>
  <c r="F38" i="48"/>
  <c r="G38" i="48" s="1"/>
  <c r="E38" i="48"/>
  <c r="F37" i="48"/>
  <c r="G37" i="48" s="1"/>
  <c r="E37" i="48"/>
  <c r="F36" i="48"/>
  <c r="G36" i="48" s="1"/>
  <c r="E36" i="48"/>
  <c r="F35" i="48"/>
  <c r="G35" i="48" s="1"/>
  <c r="E35" i="48"/>
  <c r="F34" i="48"/>
  <c r="G34" i="48" s="1"/>
  <c r="E34" i="48"/>
  <c r="F33" i="48"/>
  <c r="G33" i="48" s="1"/>
  <c r="E33" i="48"/>
  <c r="F32" i="48"/>
  <c r="G32" i="48" s="1"/>
  <c r="E32" i="48"/>
  <c r="F31" i="48"/>
  <c r="G31" i="48" s="1"/>
  <c r="E31" i="48"/>
  <c r="F30" i="48"/>
  <c r="G30" i="48" s="1"/>
  <c r="E30" i="48"/>
  <c r="E8" i="48"/>
  <c r="F8" i="48"/>
  <c r="E9" i="48"/>
  <c r="F9" i="48"/>
  <c r="E10" i="48"/>
  <c r="F10" i="48"/>
  <c r="E11" i="48"/>
  <c r="F11" i="48"/>
  <c r="E12" i="48"/>
  <c r="F12" i="48"/>
  <c r="E13" i="48"/>
  <c r="F13" i="48"/>
  <c r="E14" i="48"/>
  <c r="F14" i="48"/>
  <c r="E15" i="48"/>
  <c r="F15" i="48"/>
  <c r="E16" i="48"/>
  <c r="F16" i="48"/>
  <c r="E17" i="48"/>
  <c r="F17" i="48"/>
  <c r="E18" i="48"/>
  <c r="F18" i="48"/>
  <c r="E19" i="48"/>
  <c r="F19" i="48"/>
  <c r="E20" i="48"/>
  <c r="F20" i="48"/>
  <c r="F7" i="48"/>
  <c r="E7" i="48"/>
  <c r="Q5" i="3"/>
  <c r="P18" i="3"/>
  <c r="P25" i="3"/>
  <c r="P11" i="3"/>
  <c r="K8" i="49" l="1"/>
  <c r="K9" i="49"/>
  <c r="K7" i="49"/>
  <c r="I30" i="48"/>
  <c r="K8" i="48"/>
  <c r="K9" i="48"/>
  <c r="K10" i="48"/>
  <c r="K11" i="48"/>
  <c r="K12" i="48"/>
  <c r="K13" i="48"/>
  <c r="K14" i="48"/>
  <c r="K15" i="48"/>
  <c r="K16" i="48"/>
  <c r="K17" i="48"/>
  <c r="K18" i="48"/>
  <c r="K19" i="48"/>
  <c r="K20" i="48"/>
  <c r="K7" i="48"/>
  <c r="I19" i="48"/>
  <c r="I20" i="48"/>
  <c r="R81" i="48" l="1"/>
  <c r="R82" i="48"/>
  <c r="R83" i="48"/>
  <c r="R84" i="48"/>
  <c r="R85" i="48"/>
  <c r="R86" i="48"/>
  <c r="R87" i="48"/>
  <c r="R88" i="48"/>
  <c r="R89" i="48"/>
  <c r="AG8" i="48"/>
  <c r="AG9" i="48"/>
  <c r="AG10" i="48"/>
  <c r="AG11" i="48"/>
  <c r="AG12" i="48"/>
  <c r="AG13" i="48"/>
  <c r="AG14" i="48"/>
  <c r="AG15" i="48"/>
  <c r="AG16" i="48"/>
  <c r="AG17" i="48"/>
  <c r="AG18" i="48"/>
  <c r="AG19" i="48"/>
  <c r="AG20" i="48"/>
  <c r="AB18" i="48"/>
  <c r="AB19" i="48"/>
  <c r="G27" i="6"/>
  <c r="G20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G27" i="7"/>
  <c r="G20" i="7"/>
  <c r="G13" i="7"/>
  <c r="H7" i="7"/>
  <c r="T5" i="5"/>
  <c r="V25" i="5"/>
  <c r="V18" i="5"/>
  <c r="V11" i="5"/>
  <c r="V5" i="5"/>
  <c r="W5" i="5"/>
  <c r="S25" i="5"/>
  <c r="S18" i="5"/>
  <c r="S11" i="5"/>
  <c r="S5" i="5"/>
  <c r="Q5" i="5"/>
  <c r="P25" i="5"/>
  <c r="P18" i="5"/>
  <c r="P11" i="5"/>
  <c r="P5" i="5"/>
  <c r="N5" i="5"/>
  <c r="M25" i="5"/>
  <c r="M18" i="5"/>
  <c r="M11" i="5"/>
  <c r="H5" i="5"/>
  <c r="G5" i="5"/>
  <c r="G25" i="5"/>
  <c r="G18" i="5"/>
  <c r="G11" i="5"/>
  <c r="N5" i="3"/>
  <c r="M25" i="3"/>
  <c r="M18" i="3"/>
  <c r="M11" i="3"/>
  <c r="M5" i="3"/>
  <c r="J5" i="3"/>
  <c r="K5" i="3"/>
  <c r="H5" i="3"/>
  <c r="J25" i="3"/>
  <c r="J18" i="3"/>
  <c r="J11" i="3"/>
  <c r="G25" i="3"/>
  <c r="G18" i="3"/>
  <c r="G11" i="3"/>
  <c r="G5" i="3"/>
  <c r="G13" i="6" l="1"/>
  <c r="H7" i="6"/>
  <c r="G7" i="7"/>
  <c r="G20" i="48" l="1"/>
  <c r="G19" i="48"/>
  <c r="G18" i="48"/>
  <c r="G17" i="48"/>
  <c r="G15" i="48"/>
  <c r="G14" i="48"/>
  <c r="G13" i="48"/>
  <c r="G12" i="48"/>
  <c r="G11" i="48"/>
  <c r="G9" i="48"/>
  <c r="G8" i="48"/>
  <c r="G7" i="48"/>
  <c r="G10" i="48" l="1"/>
  <c r="G16" i="48"/>
  <c r="K36" i="56"/>
  <c r="I36" i="56"/>
  <c r="G36" i="56"/>
  <c r="E36" i="56"/>
  <c r="C36" i="56"/>
  <c r="B36" i="56"/>
  <c r="K35" i="56"/>
  <c r="I35" i="56"/>
  <c r="G35" i="56"/>
  <c r="E35" i="56"/>
  <c r="C35" i="56"/>
  <c r="B35" i="56"/>
  <c r="L34" i="56"/>
  <c r="J34" i="56"/>
  <c r="H34" i="56"/>
  <c r="F3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4" i="56"/>
  <c r="B9" i="57"/>
  <c r="D9" i="57" s="1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D8" i="57"/>
  <c r="D7" i="57"/>
  <c r="D6" i="57"/>
  <c r="C18" i="57" l="1"/>
  <c r="I18" i="57"/>
  <c r="H35" i="56" l="1"/>
  <c r="L33" i="56"/>
  <c r="J33" i="56"/>
  <c r="H33" i="56"/>
  <c r="F33" i="56"/>
  <c r="L32" i="56"/>
  <c r="J32" i="56"/>
  <c r="H32" i="56"/>
  <c r="F32" i="56"/>
  <c r="L31" i="56"/>
  <c r="J31" i="56"/>
  <c r="H31" i="56"/>
  <c r="F31" i="56"/>
  <c r="L30" i="56"/>
  <c r="J30" i="56"/>
  <c r="H30" i="56"/>
  <c r="F30" i="56"/>
  <c r="L29" i="56"/>
  <c r="J29" i="56"/>
  <c r="H29" i="56"/>
  <c r="F29" i="56"/>
  <c r="L28" i="56"/>
  <c r="J28" i="56"/>
  <c r="H28" i="56"/>
  <c r="F28" i="56"/>
  <c r="L27" i="56"/>
  <c r="J27" i="56"/>
  <c r="H27" i="56"/>
  <c r="F27" i="56"/>
  <c r="L26" i="56"/>
  <c r="J26" i="56"/>
  <c r="H26" i="56"/>
  <c r="F26" i="56"/>
  <c r="L25" i="56"/>
  <c r="J25" i="56"/>
  <c r="H25" i="56"/>
  <c r="F25" i="56"/>
  <c r="L24" i="56"/>
  <c r="J24" i="56"/>
  <c r="H24" i="56"/>
  <c r="F24" i="56"/>
  <c r="L23" i="56"/>
  <c r="J23" i="56"/>
  <c r="H23" i="56"/>
  <c r="F23" i="56"/>
  <c r="L22" i="56"/>
  <c r="J22" i="56"/>
  <c r="H22" i="56"/>
  <c r="F22" i="56"/>
  <c r="L21" i="56"/>
  <c r="J21" i="56"/>
  <c r="H21" i="56"/>
  <c r="F21" i="56"/>
  <c r="L20" i="56"/>
  <c r="J20" i="56"/>
  <c r="H20" i="56"/>
  <c r="F20" i="56"/>
  <c r="L19" i="56"/>
  <c r="J19" i="56"/>
  <c r="H19" i="56"/>
  <c r="F19" i="56"/>
  <c r="L18" i="56"/>
  <c r="J18" i="56"/>
  <c r="H18" i="56"/>
  <c r="F18" i="56"/>
  <c r="L17" i="56"/>
  <c r="J17" i="56"/>
  <c r="H17" i="56"/>
  <c r="F17" i="56"/>
  <c r="L16" i="56"/>
  <c r="J16" i="56"/>
  <c r="H16" i="56"/>
  <c r="F16" i="56"/>
  <c r="L15" i="56"/>
  <c r="J15" i="56"/>
  <c r="H15" i="56"/>
  <c r="F15" i="56"/>
  <c r="L14" i="56"/>
  <c r="J14" i="56"/>
  <c r="H14" i="56"/>
  <c r="F14" i="56"/>
  <c r="L13" i="56"/>
  <c r="J13" i="56"/>
  <c r="H13" i="56"/>
  <c r="F13" i="56"/>
  <c r="L12" i="56"/>
  <c r="J12" i="56"/>
  <c r="H12" i="56"/>
  <c r="F12" i="56"/>
  <c r="L11" i="56"/>
  <c r="J11" i="56"/>
  <c r="H11" i="56"/>
  <c r="F11" i="56"/>
  <c r="L10" i="56"/>
  <c r="J10" i="56"/>
  <c r="H10" i="56"/>
  <c r="F10" i="56"/>
  <c r="L9" i="56"/>
  <c r="J9" i="56"/>
  <c r="H9" i="56"/>
  <c r="F9" i="56"/>
  <c r="L8" i="56"/>
  <c r="J8" i="56"/>
  <c r="H8" i="56"/>
  <c r="F8" i="56"/>
  <c r="L7" i="56"/>
  <c r="J7" i="56"/>
  <c r="H7" i="56"/>
  <c r="F7" i="56"/>
  <c r="L6" i="56"/>
  <c r="J6" i="56"/>
  <c r="H6" i="56"/>
  <c r="F6" i="56"/>
  <c r="L5" i="56"/>
  <c r="J5" i="56"/>
  <c r="H5" i="56"/>
  <c r="F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35" i="56" l="1"/>
  <c r="J35" i="56"/>
  <c r="L35" i="56"/>
  <c r="D36" i="56"/>
  <c r="F36" i="56"/>
  <c r="H36" i="56"/>
  <c r="J36" i="56"/>
  <c r="L36" i="56"/>
  <c r="F35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8" i="52"/>
  <c r="R8" i="52" s="1"/>
  <c r="Q9" i="52"/>
  <c r="R9" i="52" s="1"/>
  <c r="Q10" i="52"/>
  <c r="R10" i="52" s="1"/>
  <c r="Q11" i="52"/>
  <c r="R11" i="52" s="1"/>
  <c r="Q12" i="52"/>
  <c r="R12" i="52" s="1"/>
  <c r="Q13" i="52"/>
  <c r="R13" i="52" s="1"/>
  <c r="Q14" i="52"/>
  <c r="R14" i="52" s="1"/>
  <c r="Q15" i="52"/>
  <c r="R15" i="52" s="1"/>
  <c r="Q16" i="52"/>
  <c r="R16" i="52" s="1"/>
  <c r="Q17" i="52"/>
  <c r="R17" i="52" s="1"/>
  <c r="Q18" i="52"/>
  <c r="R18" i="52" s="1"/>
  <c r="Q19" i="52"/>
  <c r="R19" i="52" s="1"/>
  <c r="Q20" i="52"/>
  <c r="R20" i="52" s="1"/>
  <c r="Q21" i="52"/>
  <c r="R21" i="52" s="1"/>
  <c r="Q22" i="52"/>
  <c r="R22" i="52" s="1"/>
  <c r="Q23" i="52"/>
  <c r="R23" i="52" s="1"/>
  <c r="Q24" i="52"/>
  <c r="R24" i="52" s="1"/>
  <c r="Q25" i="52"/>
  <c r="R25" i="52" s="1"/>
  <c r="Q26" i="52"/>
  <c r="R26" i="52" s="1"/>
  <c r="R7" i="52"/>
  <c r="AB8" i="52"/>
  <c r="AC8" i="52"/>
  <c r="AC7" i="52"/>
  <c r="AB7" i="52"/>
  <c r="AA7" i="52"/>
  <c r="AD7" i="52"/>
  <c r="P8" i="52"/>
  <c r="P9" i="52"/>
  <c r="P10" i="52"/>
  <c r="P11" i="52"/>
  <c r="P12" i="52"/>
  <c r="P13" i="52"/>
  <c r="P14" i="52"/>
  <c r="P15" i="52"/>
  <c r="P16" i="52"/>
  <c r="P17" i="52"/>
  <c r="P18" i="52"/>
  <c r="P19" i="52"/>
  <c r="P20" i="52"/>
  <c r="P21" i="52"/>
  <c r="P22" i="52"/>
  <c r="P23" i="52"/>
  <c r="P24" i="52"/>
  <c r="P25" i="52"/>
  <c r="P26" i="52"/>
  <c r="P7" i="52"/>
  <c r="M9" i="50"/>
  <c r="M26" i="52"/>
  <c r="K26" i="52"/>
  <c r="I26" i="52"/>
  <c r="M25" i="52"/>
  <c r="K25" i="52"/>
  <c r="I25" i="52"/>
  <c r="M24" i="52"/>
  <c r="K24" i="52"/>
  <c r="I24" i="52"/>
  <c r="M23" i="52"/>
  <c r="K23" i="52"/>
  <c r="I23" i="52"/>
  <c r="M22" i="52"/>
  <c r="K22" i="52"/>
  <c r="I22" i="52"/>
  <c r="M21" i="52"/>
  <c r="K21" i="52"/>
  <c r="I21" i="52"/>
  <c r="M20" i="52"/>
  <c r="K20" i="52"/>
  <c r="I20" i="52"/>
  <c r="M19" i="52"/>
  <c r="K19" i="52"/>
  <c r="I19" i="52"/>
  <c r="M18" i="52"/>
  <c r="K18" i="52"/>
  <c r="I18" i="52"/>
  <c r="M17" i="52"/>
  <c r="K17" i="52"/>
  <c r="I17" i="52"/>
  <c r="M16" i="52"/>
  <c r="K16" i="52"/>
  <c r="I16" i="52"/>
  <c r="M15" i="52"/>
  <c r="K15" i="52"/>
  <c r="I15" i="52"/>
  <c r="M14" i="52"/>
  <c r="K14" i="52"/>
  <c r="I14" i="52"/>
  <c r="M13" i="52"/>
  <c r="K13" i="52"/>
  <c r="I13" i="52"/>
  <c r="M12" i="52"/>
  <c r="K12" i="52"/>
  <c r="I12" i="52"/>
  <c r="M11" i="52"/>
  <c r="K11" i="52"/>
  <c r="I11" i="52"/>
  <c r="M10" i="52"/>
  <c r="K10" i="52"/>
  <c r="I10" i="52"/>
  <c r="M9" i="52"/>
  <c r="K9" i="52"/>
  <c r="I9" i="52"/>
  <c r="AI8" i="52"/>
  <c r="AH8" i="52"/>
  <c r="AG8" i="52"/>
  <c r="AF8" i="52"/>
  <c r="AE8" i="52"/>
  <c r="AD8" i="52"/>
  <c r="M8" i="52"/>
  <c r="K8" i="52"/>
  <c r="I8" i="52"/>
  <c r="AI7" i="52"/>
  <c r="AH7" i="52"/>
  <c r="AG7" i="52"/>
  <c r="AF7" i="52"/>
  <c r="AE7" i="52"/>
  <c r="M7" i="52"/>
  <c r="K7" i="52"/>
  <c r="I7" i="52"/>
  <c r="K38" i="51"/>
  <c r="K30" i="51"/>
  <c r="K22" i="51"/>
  <c r="M21" i="51"/>
  <c r="K14" i="51"/>
  <c r="M13" i="51"/>
  <c r="M29" i="50"/>
  <c r="M28" i="50"/>
  <c r="M27" i="50"/>
  <c r="M26" i="50"/>
  <c r="M25" i="50"/>
  <c r="M30" i="50" s="1"/>
  <c r="K30" i="50" s="1"/>
  <c r="M22" i="50"/>
  <c r="K22" i="50" s="1"/>
  <c r="M13" i="50"/>
  <c r="M12" i="50"/>
  <c r="M11" i="50"/>
  <c r="M10" i="50"/>
  <c r="M14" i="50" l="1"/>
  <c r="K14" i="50" s="1"/>
  <c r="AB113" i="49"/>
  <c r="AC113" i="49" s="1"/>
  <c r="W113" i="49"/>
  <c r="X113" i="49" s="1"/>
  <c r="R113" i="49"/>
  <c r="S113" i="49" s="1"/>
  <c r="AB112" i="49"/>
  <c r="AC112" i="49" s="1"/>
  <c r="X112" i="49"/>
  <c r="W112" i="49"/>
  <c r="R112" i="49"/>
  <c r="S112" i="49" s="1"/>
  <c r="AB111" i="49"/>
  <c r="AC111" i="49" s="1"/>
  <c r="W111" i="49"/>
  <c r="X111" i="49" s="1"/>
  <c r="R111" i="49"/>
  <c r="S111" i="49" s="1"/>
  <c r="AB110" i="49"/>
  <c r="AC110" i="49" s="1"/>
  <c r="W110" i="49"/>
  <c r="X110" i="49" s="1"/>
  <c r="R110" i="49"/>
  <c r="S110" i="49" s="1"/>
  <c r="AV109" i="49"/>
  <c r="AW109" i="49" s="1"/>
  <c r="AQ109" i="49"/>
  <c r="AR109" i="49" s="1"/>
  <c r="AM109" i="49"/>
  <c r="AL109" i="49"/>
  <c r="AG109" i="49"/>
  <c r="AH109" i="49" s="1"/>
  <c r="AB109" i="49"/>
  <c r="AC109" i="49" s="1"/>
  <c r="W109" i="49"/>
  <c r="X109" i="49" s="1"/>
  <c r="R109" i="49"/>
  <c r="K109" i="49"/>
  <c r="M109" i="49" s="1"/>
  <c r="J109" i="49"/>
  <c r="I109" i="49"/>
  <c r="F109" i="49"/>
  <c r="E109" i="49"/>
  <c r="AV108" i="49"/>
  <c r="AW108" i="49" s="1"/>
  <c r="AR108" i="49"/>
  <c r="AQ108" i="49"/>
  <c r="AL108" i="49"/>
  <c r="AM108" i="49" s="1"/>
  <c r="AG108" i="49"/>
  <c r="K108" i="49" s="1"/>
  <c r="M108" i="49" s="1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X107" i="49" s="1"/>
  <c r="AQ107" i="49"/>
  <c r="AS107" i="49" s="1"/>
  <c r="AL107" i="49"/>
  <c r="AN107" i="49" s="1"/>
  <c r="AG107" i="49"/>
  <c r="AH107" i="49" s="1"/>
  <c r="AB107" i="49"/>
  <c r="AD107" i="49" s="1"/>
  <c r="W107" i="49"/>
  <c r="X107" i="49" s="1"/>
  <c r="R107" i="49"/>
  <c r="T107" i="49" s="1"/>
  <c r="J107" i="49"/>
  <c r="I107" i="49"/>
  <c r="F107" i="49"/>
  <c r="E107" i="49"/>
  <c r="AM107" i="49" l="1"/>
  <c r="G107" i="49"/>
  <c r="K107" i="49"/>
  <c r="L107" i="49" s="1"/>
  <c r="G108" i="49"/>
  <c r="S107" i="49"/>
  <c r="G109" i="49"/>
  <c r="H107" i="49"/>
  <c r="Y107" i="49"/>
  <c r="AR107" i="49"/>
  <c r="AC107" i="49"/>
  <c r="AW107" i="49"/>
  <c r="AI107" i="49"/>
  <c r="AH108" i="49"/>
  <c r="M107" i="49" l="1"/>
  <c r="AB136" i="48"/>
  <c r="AC136" i="48" s="1"/>
  <c r="W136" i="48"/>
  <c r="X136" i="48" s="1"/>
  <c r="AB135" i="48"/>
  <c r="AC135" i="48" s="1"/>
  <c r="W135" i="48"/>
  <c r="X135" i="48" s="1"/>
  <c r="R135" i="48"/>
  <c r="J135" i="48"/>
  <c r="I135" i="48"/>
  <c r="AB134" i="48"/>
  <c r="AC134" i="48" s="1"/>
  <c r="W134" i="48"/>
  <c r="X134" i="48" s="1"/>
  <c r="R134" i="48"/>
  <c r="J134" i="48"/>
  <c r="I134" i="48"/>
  <c r="AV133" i="48"/>
  <c r="AW133" i="48" s="1"/>
  <c r="AB133" i="48"/>
  <c r="AC133" i="48" s="1"/>
  <c r="W133" i="48"/>
  <c r="X133" i="48" s="1"/>
  <c r="R133" i="48"/>
  <c r="J133" i="48"/>
  <c r="I133" i="48"/>
  <c r="AV132" i="48"/>
  <c r="AW132" i="48" s="1"/>
  <c r="AQ132" i="48"/>
  <c r="AR132" i="48" s="1"/>
  <c r="AL132" i="48"/>
  <c r="AM132" i="48" s="1"/>
  <c r="AH132" i="48"/>
  <c r="AG132" i="48"/>
  <c r="AB132" i="48"/>
  <c r="AC132" i="48" s="1"/>
  <c r="W132" i="48"/>
  <c r="X132" i="48" s="1"/>
  <c r="AV131" i="48"/>
  <c r="AW131" i="48" s="1"/>
  <c r="AQ131" i="48"/>
  <c r="AR131" i="48" s="1"/>
  <c r="AL131" i="48"/>
  <c r="AM131" i="48" s="1"/>
  <c r="AH131" i="48"/>
  <c r="AG131" i="48"/>
  <c r="AB131" i="48"/>
  <c r="AC131" i="48" s="1"/>
  <c r="W131" i="48"/>
  <c r="X131" i="48" s="1"/>
  <c r="R131" i="48"/>
  <c r="J131" i="48"/>
  <c r="I131" i="48"/>
  <c r="AV130" i="48"/>
  <c r="AW130" i="48" s="1"/>
  <c r="AQ130" i="48"/>
  <c r="AR130" i="48" s="1"/>
  <c r="AL130" i="48"/>
  <c r="AM130" i="48" s="1"/>
  <c r="AG130" i="48"/>
  <c r="AB130" i="48"/>
  <c r="AC130" i="48" s="1"/>
  <c r="W130" i="48"/>
  <c r="X130" i="48" s="1"/>
  <c r="R130" i="48"/>
  <c r="J130" i="48"/>
  <c r="I130" i="48"/>
  <c r="AV129" i="48"/>
  <c r="AW129" i="48" s="1"/>
  <c r="AQ129" i="48"/>
  <c r="AR129" i="48" s="1"/>
  <c r="AL129" i="48"/>
  <c r="AM129" i="48" s="1"/>
  <c r="AG129" i="48"/>
  <c r="AB129" i="48"/>
  <c r="AC129" i="48" s="1"/>
  <c r="W129" i="48"/>
  <c r="X129" i="48" s="1"/>
  <c r="R129" i="48"/>
  <c r="J129" i="48"/>
  <c r="I129" i="48"/>
  <c r="AV128" i="48"/>
  <c r="AW128" i="48" s="1"/>
  <c r="AQ128" i="48"/>
  <c r="AR128" i="48" s="1"/>
  <c r="AL128" i="48"/>
  <c r="AM128" i="48" s="1"/>
  <c r="AG128" i="48"/>
  <c r="AB128" i="48"/>
  <c r="AC128" i="48" s="1"/>
  <c r="W128" i="48"/>
  <c r="X128" i="48" s="1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J127" i="48"/>
  <c r="I127" i="48"/>
  <c r="AV126" i="48"/>
  <c r="AW126" i="48" s="1"/>
  <c r="AQ126" i="48"/>
  <c r="AR126" i="48" s="1"/>
  <c r="AL126" i="48"/>
  <c r="AM126" i="48" s="1"/>
  <c r="AG126" i="48"/>
  <c r="AB126" i="48"/>
  <c r="AC126" i="48" s="1"/>
  <c r="W126" i="48"/>
  <c r="X126" i="48" s="1"/>
  <c r="R126" i="48"/>
  <c r="J126" i="48"/>
  <c r="I126" i="48"/>
  <c r="AV125" i="48"/>
  <c r="AW125" i="48" s="1"/>
  <c r="AQ125" i="48"/>
  <c r="AR125" i="48" s="1"/>
  <c r="AL125" i="48"/>
  <c r="AM125" i="48" s="1"/>
  <c r="AG125" i="48"/>
  <c r="AB125" i="48"/>
  <c r="AC125" i="48" s="1"/>
  <c r="W125" i="48"/>
  <c r="X125" i="48" s="1"/>
  <c r="AV124" i="48"/>
  <c r="AW124" i="48" s="1"/>
  <c r="AQ124" i="48"/>
  <c r="AR124" i="48" s="1"/>
  <c r="AL124" i="48"/>
  <c r="AM124" i="48" s="1"/>
  <c r="AG124" i="48"/>
  <c r="AB124" i="48"/>
  <c r="AC124" i="48" s="1"/>
  <c r="W124" i="48"/>
  <c r="X124" i="48" s="1"/>
  <c r="R124" i="48"/>
  <c r="J124" i="48"/>
  <c r="I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J123" i="48"/>
  <c r="I123" i="48"/>
  <c r="AV122" i="48"/>
  <c r="AW122" i="48" s="1"/>
  <c r="AQ122" i="48"/>
  <c r="AR122" i="48" s="1"/>
  <c r="AL122" i="48"/>
  <c r="AM122" i="48" s="1"/>
  <c r="AG122" i="48"/>
  <c r="AB122" i="48"/>
  <c r="AC122" i="48" s="1"/>
  <c r="W122" i="48"/>
  <c r="X122" i="48" s="1"/>
  <c r="R122" i="48"/>
  <c r="J122" i="48"/>
  <c r="I122" i="48"/>
  <c r="AV121" i="48"/>
  <c r="AW121" i="48" s="1"/>
  <c r="AR121" i="48"/>
  <c r="AQ121" i="48"/>
  <c r="AL121" i="48"/>
  <c r="AM121" i="48" s="1"/>
  <c r="AG121" i="48"/>
  <c r="AB121" i="48"/>
  <c r="AC121" i="48" s="1"/>
  <c r="W121" i="48"/>
  <c r="X121" i="48" s="1"/>
  <c r="R121" i="48"/>
  <c r="J121" i="48"/>
  <c r="I121" i="48"/>
  <c r="AV120" i="48"/>
  <c r="AW120" i="48" s="1"/>
  <c r="AQ120" i="48"/>
  <c r="AR120" i="48" s="1"/>
  <c r="AL120" i="48"/>
  <c r="AM120" i="48" s="1"/>
  <c r="AG120" i="48"/>
  <c r="AB120" i="48"/>
  <c r="AC120" i="48" s="1"/>
  <c r="W120" i="48"/>
  <c r="X120" i="48" s="1"/>
  <c r="R120" i="48"/>
  <c r="J120" i="48"/>
  <c r="I120" i="48"/>
  <c r="AV119" i="48"/>
  <c r="AX119" i="48" s="1"/>
  <c r="AQ119" i="48"/>
  <c r="AS119" i="48" s="1"/>
  <c r="AL119" i="48"/>
  <c r="AN119" i="48" s="1"/>
  <c r="AG119" i="48"/>
  <c r="AI119" i="48" s="1"/>
  <c r="AB119" i="48"/>
  <c r="AD119" i="48" s="1"/>
  <c r="W119" i="48"/>
  <c r="Y119" i="48" s="1"/>
  <c r="R119" i="48"/>
  <c r="J119" i="48"/>
  <c r="I119" i="48"/>
  <c r="C9" i="40"/>
  <c r="S119" i="48" l="1"/>
  <c r="K119" i="48"/>
  <c r="S122" i="48"/>
  <c r="S123" i="48"/>
  <c r="K123" i="48"/>
  <c r="S126" i="48"/>
  <c r="K129" i="48"/>
  <c r="S129" i="48"/>
  <c r="S124" i="48"/>
  <c r="K124" i="48"/>
  <c r="S127" i="48"/>
  <c r="K127" i="48"/>
  <c r="S130" i="48"/>
  <c r="K130" i="48"/>
  <c r="S131" i="48"/>
  <c r="K131" i="48"/>
  <c r="S133" i="48"/>
  <c r="K133" i="48"/>
  <c r="S135" i="48"/>
  <c r="K135" i="48"/>
  <c r="M135" i="48" s="1"/>
  <c r="S121" i="48"/>
  <c r="K121" i="48"/>
  <c r="S134" i="48"/>
  <c r="K134" i="48"/>
  <c r="S120" i="48"/>
  <c r="K120" i="48"/>
  <c r="K126" i="48"/>
  <c r="K122" i="48"/>
  <c r="T119" i="48"/>
  <c r="AM119" i="48"/>
  <c r="X119" i="48"/>
  <c r="AR119" i="48"/>
  <c r="AH122" i="48"/>
  <c r="AH126" i="48"/>
  <c r="AH130" i="48"/>
  <c r="AC119" i="48"/>
  <c r="AW119" i="48"/>
  <c r="AH121" i="48"/>
  <c r="AH125" i="48"/>
  <c r="AH129" i="48"/>
  <c r="AH119" i="48"/>
  <c r="AH120" i="48"/>
  <c r="AH124" i="48"/>
  <c r="AH128" i="48"/>
  <c r="M129" i="48" l="1"/>
  <c r="M134" i="48"/>
  <c r="M131" i="48"/>
  <c r="M123" i="48"/>
  <c r="M120" i="48"/>
  <c r="M133" i="48"/>
  <c r="M130" i="48"/>
  <c r="H119" i="48"/>
  <c r="M127" i="48"/>
  <c r="M122" i="48"/>
  <c r="M119" i="48"/>
  <c r="M126" i="48"/>
  <c r="M121" i="48"/>
  <c r="M124" i="48"/>
  <c r="L119" i="48"/>
  <c r="AL107" i="48"/>
  <c r="AL112" i="48"/>
  <c r="AV88" i="49" l="1"/>
  <c r="AV89" i="49"/>
  <c r="AV87" i="49"/>
  <c r="AQ89" i="49"/>
  <c r="AQ88" i="49"/>
  <c r="AQ87" i="49"/>
  <c r="AR87" i="49" s="1"/>
  <c r="AL89" i="49"/>
  <c r="AG89" i="49"/>
  <c r="AG112" i="48"/>
  <c r="AG107" i="48"/>
  <c r="AR88" i="49" l="1"/>
  <c r="AR89" i="49"/>
  <c r="AW88" i="49"/>
  <c r="AW87" i="49"/>
  <c r="AW89" i="49"/>
  <c r="AB98" i="48" l="1"/>
  <c r="AB107" i="48"/>
  <c r="AB112" i="48"/>
  <c r="AB89" i="49"/>
  <c r="W89" i="49"/>
  <c r="R89" i="49"/>
  <c r="W112" i="48"/>
  <c r="W107" i="48"/>
  <c r="I112" i="48"/>
  <c r="J112" i="48"/>
  <c r="I107" i="48"/>
  <c r="J107" i="48"/>
  <c r="R107" i="48"/>
  <c r="R112" i="48"/>
  <c r="AV84" i="48" l="1"/>
  <c r="AV85" i="48"/>
  <c r="AV86" i="48"/>
  <c r="AV87" i="48"/>
  <c r="AV88" i="48"/>
  <c r="AV89" i="48"/>
  <c r="AQ84" i="48"/>
  <c r="AQ89" i="48"/>
  <c r="AL84" i="48" l="1"/>
  <c r="AL89" i="48"/>
  <c r="AG89" i="48"/>
  <c r="AG84" i="48"/>
  <c r="AB89" i="48"/>
  <c r="W89" i="48"/>
  <c r="R80" i="48" l="1"/>
  <c r="J89" i="48"/>
  <c r="K89" i="48"/>
  <c r="I89" i="48"/>
  <c r="E110" i="48" l="1"/>
  <c r="F110" i="48"/>
  <c r="AV47" i="49" l="1"/>
  <c r="AQ67" i="48" l="1"/>
  <c r="AV67" i="48"/>
  <c r="AV66" i="48"/>
  <c r="AQ66" i="48" l="1"/>
  <c r="AL67" i="48"/>
  <c r="AL66" i="48"/>
  <c r="AG67" i="48"/>
  <c r="AG66" i="48"/>
  <c r="AB67" i="48"/>
  <c r="AB66" i="48"/>
  <c r="W67" i="48"/>
  <c r="W66" i="48"/>
  <c r="J67" i="48" l="1"/>
  <c r="I67" i="48"/>
  <c r="R67" i="48" l="1"/>
  <c r="K67" i="48" l="1"/>
  <c r="F9" i="49" l="1"/>
  <c r="E9" i="49"/>
  <c r="F8" i="49"/>
  <c r="E8" i="49"/>
  <c r="F7" i="49"/>
  <c r="E7" i="49"/>
  <c r="F29" i="49"/>
  <c r="E29" i="49"/>
  <c r="F28" i="49"/>
  <c r="E28" i="49"/>
  <c r="F27" i="49"/>
  <c r="E27" i="49"/>
  <c r="F49" i="49"/>
  <c r="E49" i="49"/>
  <c r="F48" i="49"/>
  <c r="E48" i="49"/>
  <c r="F47" i="49"/>
  <c r="E47" i="49"/>
  <c r="F69" i="49"/>
  <c r="E69" i="49"/>
  <c r="F68" i="49"/>
  <c r="E68" i="49"/>
  <c r="F67" i="49"/>
  <c r="E67" i="49"/>
  <c r="F89" i="49"/>
  <c r="E89" i="49"/>
  <c r="F88" i="49"/>
  <c r="E88" i="49"/>
  <c r="F87" i="49"/>
  <c r="E87" i="49"/>
  <c r="G67" i="49" l="1"/>
  <c r="G27" i="49"/>
  <c r="G49" i="49"/>
  <c r="G9" i="49"/>
  <c r="G28" i="49"/>
  <c r="G87" i="49"/>
  <c r="G47" i="49"/>
  <c r="G7" i="49"/>
  <c r="G29" i="49"/>
  <c r="G88" i="49"/>
  <c r="G8" i="49"/>
  <c r="G68" i="49"/>
  <c r="G69" i="49"/>
  <c r="G48" i="49"/>
  <c r="G89" i="49"/>
  <c r="AV7" i="48" l="1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R22" i="48"/>
  <c r="S22" i="48" s="1"/>
  <c r="R21" i="48"/>
  <c r="S21" i="48" s="1"/>
  <c r="R23" i="48"/>
  <c r="S23" i="48" s="1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7" i="48"/>
  <c r="T5" i="3" l="1"/>
  <c r="S27" i="3"/>
  <c r="S20" i="3"/>
  <c r="S13" i="3"/>
  <c r="S6" i="3"/>
  <c r="S5" i="3"/>
  <c r="W5" i="3"/>
  <c r="AL88" i="49"/>
  <c r="AL87" i="49"/>
  <c r="AL101" i="48"/>
  <c r="AL103" i="48"/>
  <c r="AL104" i="48"/>
  <c r="AL105" i="48"/>
  <c r="AL106" i="48"/>
  <c r="AL108" i="48"/>
  <c r="AL109" i="48"/>
  <c r="AL110" i="48"/>
  <c r="AL111" i="48"/>
  <c r="AG88" i="49"/>
  <c r="AG87" i="49"/>
  <c r="AH89" i="49" s="1"/>
  <c r="AG101" i="48"/>
  <c r="AG103" i="48"/>
  <c r="AG104" i="48"/>
  <c r="AG105" i="48"/>
  <c r="AG106" i="48"/>
  <c r="AG108" i="48"/>
  <c r="AG109" i="48"/>
  <c r="AG110" i="48"/>
  <c r="AG111" i="48"/>
  <c r="AB88" i="49"/>
  <c r="AB87" i="49"/>
  <c r="AC89" i="49" s="1"/>
  <c r="AB111" i="48"/>
  <c r="AB101" i="48"/>
  <c r="AB103" i="48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P5" i="3" l="1"/>
  <c r="AH88" i="49"/>
  <c r="AM88" i="49"/>
  <c r="AM89" i="49"/>
  <c r="AC87" i="49"/>
  <c r="AC88" i="49"/>
  <c r="AM87" i="49"/>
  <c r="AH87" i="49"/>
  <c r="W88" i="49" l="1"/>
  <c r="W87" i="49"/>
  <c r="W111" i="48"/>
  <c r="W97" i="48"/>
  <c r="W98" i="48"/>
  <c r="W99" i="48"/>
  <c r="W100" i="48"/>
  <c r="W101" i="48"/>
  <c r="W103" i="48"/>
  <c r="W104" i="48"/>
  <c r="W105" i="48"/>
  <c r="W106" i="48"/>
  <c r="W108" i="48"/>
  <c r="W109" i="48"/>
  <c r="W110" i="48"/>
  <c r="R88" i="49"/>
  <c r="R87" i="49"/>
  <c r="R111" i="48"/>
  <c r="R97" i="48"/>
  <c r="R98" i="48"/>
  <c r="R99" i="48"/>
  <c r="R100" i="48"/>
  <c r="R101" i="48"/>
  <c r="R103" i="48"/>
  <c r="R104" i="48"/>
  <c r="R105" i="48"/>
  <c r="R106" i="48"/>
  <c r="R108" i="48"/>
  <c r="R109" i="48"/>
  <c r="R110" i="48"/>
  <c r="S89" i="49" l="1"/>
  <c r="S87" i="49"/>
  <c r="S88" i="49"/>
  <c r="X88" i="49"/>
  <c r="X87" i="49"/>
  <c r="X89" i="49"/>
  <c r="I67" i="49" l="1"/>
  <c r="AV69" i="49"/>
  <c r="AV68" i="49"/>
  <c r="AV67" i="49"/>
  <c r="AW67" i="49" s="1"/>
  <c r="AQ69" i="49"/>
  <c r="AQ68" i="49"/>
  <c r="AQ67" i="49"/>
  <c r="AR68" i="49" l="1"/>
  <c r="AR69" i="49"/>
  <c r="AW68" i="49"/>
  <c r="AW69" i="49"/>
  <c r="AR67" i="49"/>
  <c r="M21" i="20" l="1"/>
  <c r="AL69" i="49" l="1"/>
  <c r="AM69" i="49" s="1"/>
  <c r="AL68" i="49"/>
  <c r="AM68" i="49" s="1"/>
  <c r="AL67" i="49"/>
  <c r="AG69" i="49"/>
  <c r="AG68" i="49"/>
  <c r="AG67" i="49"/>
  <c r="AB88" i="48"/>
  <c r="AB87" i="48"/>
  <c r="AM67" i="49" l="1"/>
  <c r="AH68" i="49"/>
  <c r="AH67" i="49"/>
  <c r="AH69" i="49"/>
  <c r="W88" i="48" l="1"/>
  <c r="W87" i="48"/>
  <c r="I88" i="48"/>
  <c r="J88" i="48"/>
  <c r="I87" i="48"/>
  <c r="J87" i="48"/>
  <c r="AV112" i="48"/>
  <c r="AQ112" i="48"/>
  <c r="AV111" i="48"/>
  <c r="AQ111" i="48"/>
  <c r="AQ88" i="48"/>
  <c r="AL88" i="48"/>
  <c r="AG88" i="48"/>
  <c r="AB69" i="49"/>
  <c r="AB68" i="49"/>
  <c r="AB67" i="49"/>
  <c r="W69" i="49"/>
  <c r="W68" i="49"/>
  <c r="W67" i="49"/>
  <c r="R69" i="49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I83" i="48"/>
  <c r="J83" i="48"/>
  <c r="I84" i="48"/>
  <c r="J84" i="48"/>
  <c r="I85" i="48"/>
  <c r="J85" i="48"/>
  <c r="I86" i="48"/>
  <c r="J86" i="48"/>
  <c r="R78" i="48"/>
  <c r="R77" i="48"/>
  <c r="R76" i="48"/>
  <c r="R75" i="48"/>
  <c r="S80" i="48" s="1"/>
  <c r="R74" i="48"/>
  <c r="R73" i="48"/>
  <c r="S69" i="49" l="1"/>
  <c r="X68" i="49"/>
  <c r="X69" i="49"/>
  <c r="S77" i="48"/>
  <c r="AC68" i="49"/>
  <c r="K112" i="48"/>
  <c r="K111" i="48"/>
  <c r="S68" i="49"/>
  <c r="S87" i="48"/>
  <c r="S74" i="48"/>
  <c r="S86" i="48"/>
  <c r="S75" i="48"/>
  <c r="S76" i="48"/>
  <c r="S88" i="48"/>
  <c r="S89" i="48"/>
  <c r="S78" i="48"/>
  <c r="S73" i="48"/>
  <c r="S81" i="48"/>
  <c r="S82" i="48"/>
  <c r="S83" i="48"/>
  <c r="S84" i="48"/>
  <c r="S85" i="48"/>
  <c r="K88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J67" i="49"/>
  <c r="AV49" i="49"/>
  <c r="AQ49" i="49"/>
  <c r="AR49" i="49" s="1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Q47" i="49"/>
  <c r="AL47" i="49"/>
  <c r="AG47" i="49"/>
  <c r="AB47" i="49"/>
  <c r="W47" i="49"/>
  <c r="R47" i="49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R13" i="49"/>
  <c r="S13" i="49" s="1"/>
  <c r="R12" i="49"/>
  <c r="S12" i="49" s="1"/>
  <c r="R11" i="49"/>
  <c r="S11" i="49" s="1"/>
  <c r="R10" i="49"/>
  <c r="S10" i="49" s="1"/>
  <c r="AV9" i="49"/>
  <c r="AQ9" i="49"/>
  <c r="AL9" i="49"/>
  <c r="AG9" i="49"/>
  <c r="AB9" i="49"/>
  <c r="W9" i="49"/>
  <c r="X9" i="49" s="1"/>
  <c r="R9" i="49"/>
  <c r="S9" i="49" s="1"/>
  <c r="J9" i="49"/>
  <c r="I9" i="49"/>
  <c r="AV8" i="49"/>
  <c r="AQ8" i="49"/>
  <c r="AL8" i="49"/>
  <c r="AG8" i="49"/>
  <c r="AB8" i="49"/>
  <c r="AC8" i="49" s="1"/>
  <c r="W8" i="49"/>
  <c r="R8" i="49"/>
  <c r="S8" i="49" s="1"/>
  <c r="J8" i="49"/>
  <c r="I8" i="49"/>
  <c r="AV7" i="49"/>
  <c r="AQ7" i="49"/>
  <c r="AL7" i="49"/>
  <c r="AM7" i="49" s="1"/>
  <c r="AG7" i="49"/>
  <c r="AI7" i="49" s="1"/>
  <c r="AB7" i="49"/>
  <c r="W7" i="49"/>
  <c r="X7" i="49" s="1"/>
  <c r="R7" i="49"/>
  <c r="T7" i="49" s="1"/>
  <c r="J7" i="49"/>
  <c r="I7" i="49"/>
  <c r="AV110" i="48"/>
  <c r="AQ110" i="48"/>
  <c r="AV109" i="48"/>
  <c r="AQ109" i="48"/>
  <c r="AV108" i="48"/>
  <c r="AQ108" i="48"/>
  <c r="AV107" i="48"/>
  <c r="AQ107" i="48"/>
  <c r="AV106" i="48"/>
  <c r="AQ106" i="48"/>
  <c r="AQ105" i="48"/>
  <c r="AV104" i="48"/>
  <c r="AQ104" i="48"/>
  <c r="AV103" i="48"/>
  <c r="AW103" i="48" s="1"/>
  <c r="AQ103" i="48"/>
  <c r="AV101" i="48"/>
  <c r="AQ101" i="48"/>
  <c r="AV100" i="48"/>
  <c r="AQ100" i="48"/>
  <c r="AL100" i="48"/>
  <c r="AG100" i="48"/>
  <c r="AB100" i="48"/>
  <c r="AV99" i="48"/>
  <c r="AQ99" i="48"/>
  <c r="AL99" i="48"/>
  <c r="AG99" i="48"/>
  <c r="AB99" i="48"/>
  <c r="AV98" i="48"/>
  <c r="AQ98" i="48"/>
  <c r="AL98" i="48"/>
  <c r="AG98" i="48"/>
  <c r="AV97" i="48"/>
  <c r="AQ97" i="48"/>
  <c r="AL97" i="48"/>
  <c r="AG97" i="48"/>
  <c r="AB97" i="48"/>
  <c r="AV96" i="48"/>
  <c r="AQ96" i="48"/>
  <c r="AL96" i="48"/>
  <c r="AG96" i="48"/>
  <c r="AB96" i="48"/>
  <c r="W96" i="48"/>
  <c r="R96" i="48"/>
  <c r="J96" i="48"/>
  <c r="I96" i="48"/>
  <c r="AQ87" i="48"/>
  <c r="AL87" i="48"/>
  <c r="AG87" i="48"/>
  <c r="AQ86" i="48"/>
  <c r="AL86" i="48"/>
  <c r="AM86" i="48" s="1"/>
  <c r="AG86" i="48"/>
  <c r="AB86" i="48"/>
  <c r="W86" i="48"/>
  <c r="AQ85" i="48"/>
  <c r="AL85" i="48"/>
  <c r="AG85" i="48"/>
  <c r="AB85" i="48"/>
  <c r="W85" i="48"/>
  <c r="AB84" i="48"/>
  <c r="W84" i="48"/>
  <c r="AV83" i="48"/>
  <c r="AQ83" i="48"/>
  <c r="AL83" i="48"/>
  <c r="AG83" i="48"/>
  <c r="AB83" i="48"/>
  <c r="W83" i="48"/>
  <c r="AV82" i="48"/>
  <c r="AQ82" i="48"/>
  <c r="AL82" i="48"/>
  <c r="AG82" i="48"/>
  <c r="AB82" i="48"/>
  <c r="W82" i="48"/>
  <c r="J82" i="48"/>
  <c r="I82" i="48"/>
  <c r="AV81" i="48"/>
  <c r="AQ81" i="48"/>
  <c r="AL81" i="48"/>
  <c r="AG81" i="48"/>
  <c r="AB81" i="48"/>
  <c r="W81" i="48"/>
  <c r="J81" i="48"/>
  <c r="I81" i="48"/>
  <c r="AV80" i="48"/>
  <c r="AQ80" i="48"/>
  <c r="AL80" i="48"/>
  <c r="AG80" i="48"/>
  <c r="AB80" i="48"/>
  <c r="W80" i="48"/>
  <c r="J80" i="48"/>
  <c r="I80" i="48"/>
  <c r="AV78" i="48"/>
  <c r="AQ78" i="48"/>
  <c r="AL78" i="48"/>
  <c r="AG78" i="48"/>
  <c r="AB78" i="48"/>
  <c r="W78" i="48"/>
  <c r="J78" i="48"/>
  <c r="I78" i="48"/>
  <c r="AV77" i="48"/>
  <c r="AQ77" i="48"/>
  <c r="AL77" i="48"/>
  <c r="AG77" i="48"/>
  <c r="AB77" i="48"/>
  <c r="W77" i="48"/>
  <c r="J77" i="48"/>
  <c r="I77" i="48"/>
  <c r="AV76" i="48"/>
  <c r="AQ76" i="48"/>
  <c r="AL76" i="48"/>
  <c r="AG76" i="48"/>
  <c r="AB76" i="48"/>
  <c r="W76" i="48"/>
  <c r="J76" i="48"/>
  <c r="I76" i="48"/>
  <c r="AV75" i="48"/>
  <c r="AQ75" i="48"/>
  <c r="AL75" i="48"/>
  <c r="AG75" i="48"/>
  <c r="AB75" i="48"/>
  <c r="W75" i="48"/>
  <c r="X75" i="48" s="1"/>
  <c r="J75" i="48"/>
  <c r="I75" i="48"/>
  <c r="AV74" i="48"/>
  <c r="AQ74" i="48"/>
  <c r="AL74" i="48"/>
  <c r="AG74" i="48"/>
  <c r="AB74" i="48"/>
  <c r="W74" i="48"/>
  <c r="J74" i="48"/>
  <c r="I74" i="48"/>
  <c r="AV73" i="48"/>
  <c r="AQ73" i="48"/>
  <c r="AL73" i="48"/>
  <c r="AG73" i="48"/>
  <c r="AH89" i="48" s="1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W62" i="48"/>
  <c r="R62" i="48"/>
  <c r="J62" i="48"/>
  <c r="I62" i="48"/>
  <c r="AV61" i="48"/>
  <c r="AQ61" i="48"/>
  <c r="AL61" i="48"/>
  <c r="AG61" i="48"/>
  <c r="AB61" i="48"/>
  <c r="AC61" i="48" s="1"/>
  <c r="W61" i="48"/>
  <c r="R61" i="48"/>
  <c r="J61" i="48"/>
  <c r="I61" i="48"/>
  <c r="AV60" i="48"/>
  <c r="AQ60" i="48"/>
  <c r="AL60" i="48"/>
  <c r="AG60" i="48"/>
  <c r="AB60" i="48"/>
  <c r="W60" i="48"/>
  <c r="R60" i="48"/>
  <c r="S60" i="48" s="1"/>
  <c r="J60" i="48"/>
  <c r="I60" i="48"/>
  <c r="AV58" i="48"/>
  <c r="AQ58" i="48"/>
  <c r="AL58" i="48"/>
  <c r="AG58" i="48"/>
  <c r="AB58" i="48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L56" i="48"/>
  <c r="AM56" i="48" s="1"/>
  <c r="AG56" i="48"/>
  <c r="AB56" i="48"/>
  <c r="W56" i="48"/>
  <c r="R56" i="48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W54" i="48"/>
  <c r="R54" i="48"/>
  <c r="J54" i="48"/>
  <c r="I54" i="48"/>
  <c r="AV53" i="48"/>
  <c r="AQ53" i="48"/>
  <c r="AL53" i="48"/>
  <c r="AG53" i="48"/>
  <c r="AB53" i="48"/>
  <c r="W53" i="48"/>
  <c r="R53" i="48"/>
  <c r="J53" i="48"/>
  <c r="I53" i="48"/>
  <c r="AV42" i="48"/>
  <c r="AQ42" i="48"/>
  <c r="AL42" i="48"/>
  <c r="AG42" i="48"/>
  <c r="AB42" i="48"/>
  <c r="W42" i="48"/>
  <c r="R42" i="48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AC39" i="48" s="1"/>
  <c r="W39" i="48"/>
  <c r="R39" i="48"/>
  <c r="J39" i="48"/>
  <c r="I39" i="48"/>
  <c r="AV38" i="48"/>
  <c r="AQ38" i="48"/>
  <c r="AL38" i="48"/>
  <c r="AG38" i="48"/>
  <c r="AB38" i="48"/>
  <c r="W38" i="48"/>
  <c r="R38" i="48"/>
  <c r="J38" i="48"/>
  <c r="I38" i="48"/>
  <c r="AG37" i="48"/>
  <c r="AB37" i="48"/>
  <c r="W37" i="48"/>
  <c r="R37" i="48"/>
  <c r="J37" i="48"/>
  <c r="I37" i="48"/>
  <c r="AG36" i="48"/>
  <c r="AB36" i="48"/>
  <c r="AC36" i="48" s="1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G33" i="48"/>
  <c r="AB33" i="48"/>
  <c r="W33" i="48"/>
  <c r="R33" i="48"/>
  <c r="J33" i="48"/>
  <c r="I33" i="48"/>
  <c r="AG32" i="48"/>
  <c r="AB32" i="48"/>
  <c r="AC32" i="48" s="1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R30" i="48"/>
  <c r="J30" i="48"/>
  <c r="R24" i="48"/>
  <c r="S24" i="48" s="1"/>
  <c r="AB20" i="48"/>
  <c r="W20" i="48"/>
  <c r="R20" i="48"/>
  <c r="S20" i="48" s="1"/>
  <c r="J20" i="48"/>
  <c r="AQ19" i="48"/>
  <c r="AL19" i="48"/>
  <c r="W19" i="48"/>
  <c r="R19" i="48"/>
  <c r="S19" i="48" s="1"/>
  <c r="J19" i="48"/>
  <c r="AQ18" i="48"/>
  <c r="AL18" i="48"/>
  <c r="W18" i="48"/>
  <c r="R18" i="48"/>
  <c r="S18" i="48" s="1"/>
  <c r="J18" i="48"/>
  <c r="I18" i="48"/>
  <c r="AQ17" i="48"/>
  <c r="AL17" i="48"/>
  <c r="AB17" i="48"/>
  <c r="W17" i="48"/>
  <c r="R17" i="48"/>
  <c r="S17" i="48" s="1"/>
  <c r="J17" i="48"/>
  <c r="I17" i="48"/>
  <c r="AQ16" i="48"/>
  <c r="AL16" i="48"/>
  <c r="AB16" i="48"/>
  <c r="W16" i="48"/>
  <c r="R16" i="48"/>
  <c r="S16" i="48" s="1"/>
  <c r="J16" i="48"/>
  <c r="I16" i="48"/>
  <c r="AQ15" i="48"/>
  <c r="AL15" i="48"/>
  <c r="AB15" i="48"/>
  <c r="W15" i="48"/>
  <c r="R15" i="48"/>
  <c r="S15" i="48" s="1"/>
  <c r="J15" i="48"/>
  <c r="I15" i="48"/>
  <c r="AQ14" i="48"/>
  <c r="AL14" i="48"/>
  <c r="AB14" i="48"/>
  <c r="W14" i="48"/>
  <c r="R14" i="48"/>
  <c r="S14" i="48" s="1"/>
  <c r="J14" i="48"/>
  <c r="I14" i="48"/>
  <c r="AQ13" i="48"/>
  <c r="AL13" i="48"/>
  <c r="AB13" i="48"/>
  <c r="W13" i="48"/>
  <c r="R13" i="48"/>
  <c r="S13" i="48" s="1"/>
  <c r="J13" i="48"/>
  <c r="I13" i="48"/>
  <c r="AQ12" i="48"/>
  <c r="AL12" i="48"/>
  <c r="AB12" i="48"/>
  <c r="W12" i="48"/>
  <c r="R12" i="48"/>
  <c r="S12" i="48" s="1"/>
  <c r="J12" i="48"/>
  <c r="I12" i="48"/>
  <c r="AQ11" i="48"/>
  <c r="AL11" i="48"/>
  <c r="AB11" i="48"/>
  <c r="W11" i="48"/>
  <c r="R11" i="48"/>
  <c r="S11" i="48" s="1"/>
  <c r="J11" i="48"/>
  <c r="I11" i="48"/>
  <c r="AQ10" i="48"/>
  <c r="AL10" i="48"/>
  <c r="AB10" i="48"/>
  <c r="W10" i="48"/>
  <c r="R10" i="48"/>
  <c r="S10" i="48" s="1"/>
  <c r="J10" i="48"/>
  <c r="I10" i="48"/>
  <c r="AQ9" i="48"/>
  <c r="AL9" i="48"/>
  <c r="AB9" i="48"/>
  <c r="W9" i="48"/>
  <c r="R9" i="48"/>
  <c r="S9" i="48" s="1"/>
  <c r="J9" i="48"/>
  <c r="I9" i="48"/>
  <c r="AQ8" i="48"/>
  <c r="AL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W7" i="48"/>
  <c r="Y7" i="48" s="1"/>
  <c r="R7" i="48"/>
  <c r="J7" i="48"/>
  <c r="I7" i="48"/>
  <c r="K27" i="49" l="1"/>
  <c r="AD7" i="49"/>
  <c r="AC9" i="49"/>
  <c r="X8" i="49"/>
  <c r="AC11" i="48"/>
  <c r="AC14" i="48"/>
  <c r="AC17" i="48"/>
  <c r="AC20" i="48"/>
  <c r="AC7" i="48"/>
  <c r="AC10" i="48"/>
  <c r="AC13" i="48"/>
  <c r="AC16" i="48"/>
  <c r="AC19" i="48"/>
  <c r="AC9" i="48"/>
  <c r="AC18" i="48"/>
  <c r="AC12" i="48"/>
  <c r="AC15" i="48"/>
  <c r="X14" i="48"/>
  <c r="X11" i="48"/>
  <c r="X17" i="48"/>
  <c r="X10" i="48"/>
  <c r="X19" i="48"/>
  <c r="X16" i="48"/>
  <c r="X13" i="48"/>
  <c r="X18" i="48"/>
  <c r="X9" i="48"/>
  <c r="X12" i="48"/>
  <c r="X15" i="48"/>
  <c r="X20" i="48"/>
  <c r="AR136" i="48"/>
  <c r="AR135" i="48"/>
  <c r="AR133" i="48"/>
  <c r="AR134" i="48"/>
  <c r="AC38" i="48"/>
  <c r="AR56" i="48"/>
  <c r="AC60" i="48"/>
  <c r="X85" i="48"/>
  <c r="AC103" i="48"/>
  <c r="AH103" i="48"/>
  <c r="AW106" i="48"/>
  <c r="AR48" i="49"/>
  <c r="AH80" i="48"/>
  <c r="AR110" i="48"/>
  <c r="AM89" i="48"/>
  <c r="AM80" i="48"/>
  <c r="AW110" i="48"/>
  <c r="AR73" i="48"/>
  <c r="X84" i="48"/>
  <c r="AC42" i="48"/>
  <c r="AR105" i="48"/>
  <c r="AR106" i="48"/>
  <c r="AR97" i="48"/>
  <c r="AC30" i="48"/>
  <c r="AC34" i="48"/>
  <c r="AC37" i="48"/>
  <c r="AC41" i="48"/>
  <c r="AC54" i="48"/>
  <c r="AC58" i="48"/>
  <c r="AR60" i="48"/>
  <c r="X74" i="48"/>
  <c r="X77" i="48"/>
  <c r="X81" i="48"/>
  <c r="AR107" i="48"/>
  <c r="AC65" i="48"/>
  <c r="AR96" i="48"/>
  <c r="AR112" i="48"/>
  <c r="AR111" i="48"/>
  <c r="AR104" i="48"/>
  <c r="X82" i="48"/>
  <c r="AC35" i="48"/>
  <c r="AW38" i="48"/>
  <c r="S53" i="48"/>
  <c r="S67" i="48"/>
  <c r="AW60" i="48"/>
  <c r="S103" i="48"/>
  <c r="S109" i="48"/>
  <c r="S110" i="48"/>
  <c r="S106" i="48"/>
  <c r="S104" i="48"/>
  <c r="S99" i="48"/>
  <c r="S96" i="48"/>
  <c r="S107" i="48"/>
  <c r="S100" i="48"/>
  <c r="S108" i="48"/>
  <c r="S105" i="48"/>
  <c r="AR100" i="48"/>
  <c r="X67" i="48"/>
  <c r="X83" i="48"/>
  <c r="X109" i="48"/>
  <c r="X99" i="48"/>
  <c r="X104" i="48"/>
  <c r="X100" i="48"/>
  <c r="X106" i="48"/>
  <c r="X110" i="48"/>
  <c r="X105" i="48"/>
  <c r="X108" i="48"/>
  <c r="X107" i="48"/>
  <c r="X103" i="48"/>
  <c r="AR108" i="48"/>
  <c r="AC33" i="48"/>
  <c r="AC62" i="48"/>
  <c r="AR63" i="48"/>
  <c r="AM77" i="48"/>
  <c r="X86" i="48"/>
  <c r="AR98" i="48"/>
  <c r="AR101" i="48"/>
  <c r="AW108" i="48"/>
  <c r="AR47" i="49"/>
  <c r="S56" i="48"/>
  <c r="S61" i="48"/>
  <c r="S65" i="48"/>
  <c r="X73" i="48"/>
  <c r="X89" i="48"/>
  <c r="X88" i="48"/>
  <c r="X87" i="48"/>
  <c r="X76" i="48"/>
  <c r="AR77" i="48"/>
  <c r="X80" i="48"/>
  <c r="AH111" i="48"/>
  <c r="AR109" i="48"/>
  <c r="X60" i="48"/>
  <c r="X78" i="48"/>
  <c r="AR99" i="48"/>
  <c r="AC31" i="48"/>
  <c r="AW107" i="48"/>
  <c r="S7" i="49"/>
  <c r="S109" i="49"/>
  <c r="AH77" i="48"/>
  <c r="AW100" i="48"/>
  <c r="AC40" i="48"/>
  <c r="AM33" i="48"/>
  <c r="X61" i="48"/>
  <c r="X65" i="48"/>
  <c r="AW81" i="48"/>
  <c r="AH86" i="48"/>
  <c r="AM111" i="48"/>
  <c r="AR103" i="48"/>
  <c r="AW104" i="48"/>
  <c r="AW109" i="48"/>
  <c r="AW99" i="48"/>
  <c r="AW112" i="48"/>
  <c r="AW98" i="48"/>
  <c r="AW101" i="48"/>
  <c r="AW96" i="48"/>
  <c r="AW111" i="48"/>
  <c r="AW97" i="48"/>
  <c r="K110" i="48"/>
  <c r="K103" i="48"/>
  <c r="AS96" i="48"/>
  <c r="K104" i="48"/>
  <c r="K109" i="48"/>
  <c r="K108" i="48"/>
  <c r="K105" i="48"/>
  <c r="M105" i="48" s="1"/>
  <c r="K106" i="48"/>
  <c r="K101" i="48"/>
  <c r="AM103" i="48"/>
  <c r="AM112" i="48"/>
  <c r="AM107" i="48"/>
  <c r="AM109" i="48"/>
  <c r="AH107" i="48"/>
  <c r="AH112" i="48"/>
  <c r="AH109" i="48"/>
  <c r="AC107" i="48"/>
  <c r="AC112" i="48"/>
  <c r="X96" i="48"/>
  <c r="X101" i="48"/>
  <c r="X98" i="48"/>
  <c r="X97" i="48"/>
  <c r="X111" i="48"/>
  <c r="S98" i="48"/>
  <c r="S97" i="48"/>
  <c r="S101" i="48"/>
  <c r="S111" i="48"/>
  <c r="AW74" i="48"/>
  <c r="AW77" i="48"/>
  <c r="AW87" i="48"/>
  <c r="AW83" i="48"/>
  <c r="AW80" i="48"/>
  <c r="AW76" i="48"/>
  <c r="AW89" i="48"/>
  <c r="AW85" i="48"/>
  <c r="AW86" i="48"/>
  <c r="AW84" i="48"/>
  <c r="AW82" i="48"/>
  <c r="AW73" i="48"/>
  <c r="AW88" i="48"/>
  <c r="AW75" i="48"/>
  <c r="AW78" i="48"/>
  <c r="L67" i="49"/>
  <c r="AR84" i="48"/>
  <c r="AR89" i="48"/>
  <c r="AM82" i="48"/>
  <c r="AM87" i="48"/>
  <c r="AM81" i="48"/>
  <c r="AM85" i="48"/>
  <c r="AM74" i="48"/>
  <c r="AM73" i="48"/>
  <c r="AM75" i="48"/>
  <c r="AM76" i="48"/>
  <c r="AM78" i="48"/>
  <c r="AM83" i="48"/>
  <c r="AM88" i="48"/>
  <c r="AM84" i="48"/>
  <c r="AH87" i="48"/>
  <c r="AH85" i="48"/>
  <c r="AH81" i="48"/>
  <c r="AH74" i="48"/>
  <c r="AH75" i="48"/>
  <c r="AH76" i="48"/>
  <c r="AH73" i="48"/>
  <c r="AH78" i="48"/>
  <c r="AH82" i="48"/>
  <c r="AH83" i="48"/>
  <c r="AH84" i="48"/>
  <c r="AH88" i="48"/>
  <c r="AC77" i="48"/>
  <c r="AC87" i="48"/>
  <c r="AC80" i="48"/>
  <c r="AC85" i="48"/>
  <c r="AC81" i="48"/>
  <c r="AC74" i="48"/>
  <c r="AC89" i="48"/>
  <c r="AC75" i="48"/>
  <c r="AC76" i="48"/>
  <c r="AC73" i="48"/>
  <c r="AC78" i="48"/>
  <c r="AC82" i="48"/>
  <c r="AC83" i="48"/>
  <c r="AC84" i="48"/>
  <c r="AC88" i="48"/>
  <c r="AC86" i="48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3" i="48"/>
  <c r="AW34" i="48"/>
  <c r="AW30" i="48"/>
  <c r="AW35" i="48"/>
  <c r="AW39" i="48"/>
  <c r="AR38" i="48"/>
  <c r="AR28" i="49"/>
  <c r="AR27" i="49"/>
  <c r="AR35" i="48"/>
  <c r="AR42" i="48"/>
  <c r="AR39" i="48"/>
  <c r="AR34" i="48"/>
  <c r="AR41" i="48"/>
  <c r="AR40" i="48"/>
  <c r="AR33" i="48"/>
  <c r="AR30" i="48"/>
  <c r="AR31" i="48"/>
  <c r="AM27" i="49"/>
  <c r="AM30" i="48"/>
  <c r="AM38" i="48"/>
  <c r="AM40" i="48"/>
  <c r="AM41" i="48"/>
  <c r="AM39" i="48"/>
  <c r="AM42" i="48"/>
  <c r="AM35" i="48"/>
  <c r="AM31" i="48"/>
  <c r="AM34" i="48"/>
  <c r="AH27" i="49"/>
  <c r="AH35" i="48"/>
  <c r="AH36" i="48"/>
  <c r="AH38" i="48"/>
  <c r="AH32" i="48"/>
  <c r="AH33" i="48"/>
  <c r="AH37" i="48"/>
  <c r="AH30" i="48"/>
  <c r="AH31" i="48"/>
  <c r="AH39" i="48"/>
  <c r="AH42" i="48"/>
  <c r="AH40" i="48"/>
  <c r="AH41" i="48"/>
  <c r="AH34" i="48"/>
  <c r="AX7" i="49"/>
  <c r="X27" i="49"/>
  <c r="S27" i="49"/>
  <c r="AX96" i="48"/>
  <c r="K107" i="48"/>
  <c r="H47" i="49"/>
  <c r="AN47" i="49"/>
  <c r="AR8" i="49"/>
  <c r="X112" i="48"/>
  <c r="S112" i="48"/>
  <c r="Y73" i="48"/>
  <c r="AD73" i="48"/>
  <c r="AI73" i="48"/>
  <c r="K39" i="48"/>
  <c r="AM99" i="48"/>
  <c r="AM110" i="48"/>
  <c r="AM104" i="48"/>
  <c r="AM108" i="48"/>
  <c r="AM106" i="48"/>
  <c r="AM105" i="48"/>
  <c r="AM97" i="48"/>
  <c r="AM98" i="48"/>
  <c r="AM100" i="48"/>
  <c r="AM96" i="48"/>
  <c r="AM101" i="48"/>
  <c r="AN96" i="48"/>
  <c r="AH99" i="48"/>
  <c r="AH105" i="48"/>
  <c r="AH106" i="48"/>
  <c r="AH108" i="48"/>
  <c r="AH104" i="48"/>
  <c r="AH110" i="48"/>
  <c r="AH97" i="48"/>
  <c r="AH98" i="48"/>
  <c r="AH100" i="48"/>
  <c r="AH96" i="48"/>
  <c r="AH101" i="48"/>
  <c r="AI96" i="48"/>
  <c r="K99" i="48"/>
  <c r="AC99" i="48"/>
  <c r="AC106" i="48"/>
  <c r="AC109" i="48"/>
  <c r="AC108" i="48"/>
  <c r="AC104" i="48"/>
  <c r="AC110" i="48"/>
  <c r="AC105" i="48"/>
  <c r="AC111" i="48"/>
  <c r="AC100" i="48"/>
  <c r="AC96" i="48"/>
  <c r="AC101" i="48"/>
  <c r="AD96" i="48"/>
  <c r="AC98" i="48"/>
  <c r="K98" i="48"/>
  <c r="AC97" i="48"/>
  <c r="K97" i="48"/>
  <c r="K100" i="48"/>
  <c r="Y96" i="48"/>
  <c r="L87" i="49"/>
  <c r="M88" i="49"/>
  <c r="M89" i="49"/>
  <c r="T96" i="48"/>
  <c r="AX73" i="48"/>
  <c r="K75" i="48"/>
  <c r="AR86" i="48"/>
  <c r="AR80" i="48"/>
  <c r="AR82" i="48"/>
  <c r="AR76" i="48"/>
  <c r="AR88" i="48"/>
  <c r="AR81" i="48"/>
  <c r="AR85" i="48"/>
  <c r="AR83" i="48"/>
  <c r="K81" i="48"/>
  <c r="AR87" i="48"/>
  <c r="AS73" i="48"/>
  <c r="AR78" i="48"/>
  <c r="AR75" i="48"/>
  <c r="AR74" i="48"/>
  <c r="K78" i="48"/>
  <c r="K76" i="48"/>
  <c r="AN73" i="48"/>
  <c r="M69" i="49"/>
  <c r="K87" i="48"/>
  <c r="K56" i="48"/>
  <c r="K77" i="48"/>
  <c r="M77" i="48" s="1"/>
  <c r="K61" i="48"/>
  <c r="AI7" i="48"/>
  <c r="K31" i="48"/>
  <c r="AS53" i="48"/>
  <c r="K35" i="48"/>
  <c r="AI30" i="48"/>
  <c r="S37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S41" i="48"/>
  <c r="AX7" i="48"/>
  <c r="S40" i="48"/>
  <c r="S33" i="48"/>
  <c r="S36" i="48"/>
  <c r="S7" i="48"/>
  <c r="K30" i="48"/>
  <c r="AD30" i="48"/>
  <c r="AH8" i="48"/>
  <c r="AM13" i="48"/>
  <c r="AM8" i="48"/>
  <c r="Y53" i="48"/>
  <c r="AD7" i="48"/>
  <c r="K65" i="48"/>
  <c r="K38" i="48"/>
  <c r="K80" i="48"/>
  <c r="K82" i="48"/>
  <c r="K84" i="48"/>
  <c r="K86" i="48"/>
  <c r="K85" i="48"/>
  <c r="K83" i="48"/>
  <c r="K73" i="48"/>
  <c r="K74" i="48"/>
  <c r="M67" i="49"/>
  <c r="M68" i="49"/>
  <c r="AM8" i="49"/>
  <c r="AN7" i="49"/>
  <c r="S29" i="49"/>
  <c r="K29" i="49"/>
  <c r="AC48" i="49"/>
  <c r="AR14" i="48"/>
  <c r="K41" i="48"/>
  <c r="K66" i="48"/>
  <c r="K96" i="48"/>
  <c r="AR9" i="49"/>
  <c r="AD27" i="49"/>
  <c r="X28" i="49"/>
  <c r="AC28" i="49"/>
  <c r="AH48" i="49"/>
  <c r="AW9" i="49"/>
  <c r="AI27" i="49"/>
  <c r="AM48" i="49"/>
  <c r="AM49" i="49"/>
  <c r="AR15" i="48"/>
  <c r="AM16" i="48"/>
  <c r="S30" i="48"/>
  <c r="X37" i="48"/>
  <c r="K42" i="48"/>
  <c r="AH18" i="48"/>
  <c r="AM15" i="48"/>
  <c r="T30" i="48"/>
  <c r="K37" i="48"/>
  <c r="K63" i="48"/>
  <c r="K64" i="48"/>
  <c r="AM29" i="49"/>
  <c r="S39" i="48"/>
  <c r="K53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47" i="49"/>
  <c r="AM9" i="49"/>
  <c r="AH47" i="49"/>
  <c r="AH7" i="49"/>
  <c r="AR7" i="49"/>
  <c r="T27" i="49"/>
  <c r="K28" i="49"/>
  <c r="T47" i="49"/>
  <c r="K48" i="49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X7" i="48"/>
  <c r="AR7" i="48"/>
  <c r="Y30" i="48"/>
  <c r="AS30" i="48"/>
  <c r="S31" i="48"/>
  <c r="K34" i="48"/>
  <c r="AR9" i="48"/>
  <c r="AH19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AR13" i="48"/>
  <c r="X41" i="48"/>
  <c r="AN7" i="48"/>
  <c r="AM10" i="48"/>
  <c r="AM14" i="48"/>
  <c r="AX30" i="48"/>
  <c r="S34" i="48"/>
  <c r="S38" i="48"/>
  <c r="M104" i="48" l="1"/>
  <c r="M111" i="48"/>
  <c r="M73" i="48"/>
  <c r="M89" i="48"/>
  <c r="M88" i="48"/>
  <c r="M83" i="48"/>
  <c r="M103" i="48"/>
  <c r="M74" i="48"/>
  <c r="M87" i="48"/>
  <c r="M53" i="48"/>
  <c r="L53" i="48"/>
  <c r="M67" i="48"/>
  <c r="M85" i="48"/>
  <c r="M76" i="48"/>
  <c r="M110" i="48"/>
  <c r="M81" i="48"/>
  <c r="M86" i="48"/>
  <c r="M109" i="48"/>
  <c r="M78" i="48"/>
  <c r="M84" i="48"/>
  <c r="M119" i="49"/>
  <c r="M118" i="49"/>
  <c r="M110" i="49"/>
  <c r="M117" i="49"/>
  <c r="M116" i="49"/>
  <c r="M112" i="49"/>
  <c r="M121" i="49"/>
  <c r="M120" i="49"/>
  <c r="M115" i="49"/>
  <c r="M114" i="49"/>
  <c r="M111" i="49"/>
  <c r="M113" i="49"/>
  <c r="M82" i="48"/>
  <c r="M80" i="48"/>
  <c r="M75" i="48"/>
  <c r="M99" i="48"/>
  <c r="M112" i="48"/>
  <c r="M107" i="48"/>
  <c r="M106" i="48"/>
  <c r="M108" i="48"/>
  <c r="M100" i="48"/>
  <c r="M101" i="48"/>
  <c r="M97" i="48"/>
  <c r="M98" i="48"/>
  <c r="M96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L7" i="49"/>
  <c r="M7" i="49"/>
  <c r="M28" i="49"/>
  <c r="M29" i="49"/>
  <c r="M8" i="49"/>
  <c r="M49" i="49"/>
  <c r="M7" i="48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18" i="48"/>
  <c r="M20" i="48"/>
  <c r="M35" i="48"/>
  <c r="M8" i="48"/>
  <c r="C1" i="48" l="1"/>
  <c r="M9" i="19" l="1"/>
  <c r="M10" i="19"/>
  <c r="M11" i="19"/>
  <c r="I12" i="5" l="1"/>
  <c r="O5" i="3" l="1"/>
  <c r="O6" i="3"/>
  <c r="M13" i="20" l="1"/>
  <c r="AW21" i="36" l="1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Q19" i="1"/>
  <c r="C10" i="40" l="1"/>
  <c r="I6" i="5" l="1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11" i="5" l="1"/>
  <c r="K5" i="5"/>
  <c r="L20" i="21"/>
  <c r="K38" i="20"/>
  <c r="K30" i="20"/>
  <c r="K22" i="20"/>
  <c r="K14" i="20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C1" i="36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J26" i="7"/>
  <c r="J16" i="7"/>
  <c r="V37" i="5"/>
  <c r="S37" i="5"/>
  <c r="P37" i="5"/>
  <c r="M37" i="5"/>
  <c r="J37" i="5"/>
  <c r="G37" i="5"/>
  <c r="V37" i="3"/>
  <c r="S37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N26" i="7" l="1"/>
  <c r="L16" i="7"/>
  <c r="L26" i="7"/>
  <c r="N16" i="7"/>
  <c r="M30" i="19"/>
  <c r="K30" i="19" s="1"/>
  <c r="M22" i="19"/>
  <c r="K22" i="19" s="1"/>
  <c r="M14" i="19"/>
  <c r="K14" i="19" s="1"/>
  <c r="L23" i="7" l="1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J17" i="6"/>
  <c r="N17" i="6"/>
  <c r="L17" i="6"/>
  <c r="N23" i="6"/>
  <c r="L23" i="6"/>
  <c r="J23" i="6"/>
  <c r="N36" i="6"/>
  <c r="L36" i="6"/>
  <c r="J36" i="6"/>
  <c r="L19" i="6"/>
  <c r="J19" i="6"/>
  <c r="N19" i="6"/>
  <c r="N28" i="7"/>
  <c r="L28" i="7"/>
  <c r="J28" i="7"/>
  <c r="N12" i="7"/>
  <c r="L12" i="7"/>
  <c r="J12" i="7"/>
  <c r="L31" i="6"/>
  <c r="J31" i="6"/>
  <c r="N31" i="6"/>
  <c r="N20" i="6"/>
  <c r="L20" i="6"/>
  <c r="J20" i="6"/>
  <c r="L34" i="7"/>
  <c r="N34" i="7"/>
  <c r="J34" i="7"/>
  <c r="N13" i="7"/>
  <c r="L13" i="7"/>
  <c r="J13" i="7"/>
  <c r="N9" i="6"/>
  <c r="L9" i="6"/>
  <c r="J9" i="6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J9" i="7"/>
  <c r="N9" i="7"/>
  <c r="L9" i="7"/>
  <c r="N32" i="6"/>
  <c r="L32" i="6"/>
  <c r="J32" i="6"/>
  <c r="L19" i="7"/>
  <c r="J19" i="7"/>
  <c r="N19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10" i="7"/>
  <c r="L10" i="7"/>
  <c r="J10" i="7"/>
  <c r="N34" i="6"/>
  <c r="L34" i="6"/>
  <c r="J34" i="6"/>
  <c r="N15" i="6"/>
  <c r="L15" i="6"/>
  <c r="J15" i="6"/>
  <c r="N25" i="7"/>
  <c r="L25" i="7"/>
  <c r="J25" i="7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27" i="3" l="1"/>
  <c r="V20" i="3"/>
  <c r="V13" i="3"/>
  <c r="V6" i="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9" i="1" l="1"/>
  <c r="X48" i="1"/>
  <c r="V48" i="1" s="1"/>
  <c r="E11" i="1"/>
  <c r="O14" i="1"/>
  <c r="X28" i="1"/>
  <c r="V28" i="1" s="1"/>
  <c r="X34" i="1"/>
  <c r="V34" i="1" s="1"/>
  <c r="D11" i="1"/>
  <c r="X42" i="1"/>
  <c r="V42" i="1" s="1"/>
  <c r="Q6" i="1"/>
  <c r="D9" i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<sst xmlns="http://schemas.openxmlformats.org/spreadsheetml/2006/main" count="2603" uniqueCount="628">
  <si>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</si>
  <si>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</si>
  <si>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</si>
  <si>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</si>
  <si>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</si>
  <si>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</si>
  <si>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</si>
  <si>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</si>
  <si>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</si>
  <si>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</si>
  <si>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</si>
  <si>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</si>
  <si>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</si>
  <si>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</si>
  <si>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</si>
  <si>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</si>
  <si>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</si>
  <si>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</si>
  <si>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</si>
  <si>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</si>
  <si>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（１）收支狀況</t>
    <phoneticPr fontId="16"/>
  </si>
  <si>
    <t>當月</t>
    <phoneticPr fontId="16"/>
  </si>
  <si>
    <t>※單位：千元</t>
    <phoneticPr fontId="16"/>
  </si>
  <si>
    <t>業績金額</t>
    <phoneticPr fontId="16"/>
  </si>
  <si>
    <t>訂單數量</t>
    <phoneticPr fontId="16"/>
  </si>
  <si>
    <t>半成品報廢</t>
    <phoneticPr fontId="16"/>
  </si>
  <si>
    <t>半成品超用</t>
    <phoneticPr fontId="16"/>
  </si>
  <si>
    <t>固定產線</t>
    <phoneticPr fontId="16"/>
  </si>
  <si>
    <t>教育訓練</t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</si>
  <si>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</si>
  <si>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6"/>
  </si>
  <si>
    <t>（３）業績構成比</t>
    <phoneticPr fontId="16"/>
  </si>
  <si>
    <t>（４）訂單數量構成比</t>
    <phoneticPr fontId="16"/>
  </si>
  <si>
    <t>飯糰</t>
    <phoneticPr fontId="16"/>
  </si>
  <si>
    <t>大口飯糰</t>
    <phoneticPr fontId="16"/>
  </si>
  <si>
    <t>便當</t>
    <phoneticPr fontId="16"/>
  </si>
  <si>
    <t>調理麵包</t>
    <phoneticPr fontId="16"/>
  </si>
  <si>
    <t>袋裝調理麵包</t>
    <phoneticPr fontId="16"/>
  </si>
  <si>
    <t>義大利麵</t>
    <phoneticPr fontId="16"/>
  </si>
  <si>
    <t>調理包</t>
    <phoneticPr fontId="16"/>
  </si>
  <si>
    <t>比例</t>
    <phoneticPr fontId="16"/>
  </si>
  <si>
    <t>作業原因</t>
    <phoneticPr fontId="16"/>
  </si>
  <si>
    <t>規格原因</t>
    <phoneticPr fontId="16"/>
  </si>
  <si>
    <t>調理麵</t>
    <phoneticPr fontId="16"/>
  </si>
  <si>
    <t>（６）人時生產性前幾名品項</t>
    <phoneticPr fontId="16"/>
  </si>
  <si>
    <t>人數</t>
    <phoneticPr fontId="16"/>
  </si>
  <si>
    <t>排名</t>
    <phoneticPr fontId="16"/>
  </si>
  <si>
    <t>產能</t>
    <phoneticPr fontId="16"/>
  </si>
  <si>
    <t>人時生產性</t>
    <phoneticPr fontId="16"/>
  </si>
  <si>
    <t>主要原因&amp;對策</t>
  </si>
  <si>
    <t>主要原因&amp;對策</t>
    <phoneticPr fontId="16"/>
  </si>
  <si>
    <t>（８）報廢原因別前幾名品項</t>
    <phoneticPr fontId="16"/>
  </si>
  <si>
    <t>半成品名</t>
    <phoneticPr fontId="16"/>
  </si>
  <si>
    <t>單價</t>
    <phoneticPr fontId="16"/>
  </si>
  <si>
    <t>報廢率</t>
    <phoneticPr fontId="16"/>
  </si>
  <si>
    <t>數量</t>
    <phoneticPr fontId="16"/>
  </si>
  <si>
    <t>實績</t>
    <phoneticPr fontId="16"/>
  </si>
  <si>
    <t>前幾名合計比例</t>
    <phoneticPr fontId="16"/>
  </si>
  <si>
    <t>前幾名合計金額</t>
    <phoneticPr fontId="16"/>
  </si>
  <si>
    <t>※補充</t>
    <phoneticPr fontId="1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</si>
  <si>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6"/>
  </si>
  <si>
    <t>實施率</t>
    <phoneticPr fontId="16"/>
  </si>
  <si>
    <t>（５）品群別人時生產性</t>
    <phoneticPr fontId="16"/>
  </si>
  <si>
    <t>勞務成本</t>
    <phoneticPr fontId="16"/>
  </si>
  <si>
    <t>勞務費率</t>
    <phoneticPr fontId="16"/>
  </si>
  <si>
    <t>比例</t>
    <phoneticPr fontId="16"/>
  </si>
  <si>
    <t>前月</t>
    <phoneticPr fontId="16"/>
  </si>
  <si>
    <t>差異</t>
    <phoneticPr fontId="16"/>
  </si>
  <si>
    <t>KPI</t>
    <phoneticPr fontId="16"/>
  </si>
  <si>
    <t>當月</t>
    <phoneticPr fontId="16"/>
  </si>
  <si>
    <t>（２）ＫＰＩ達成進度</t>
    <phoneticPr fontId="16"/>
  </si>
  <si>
    <t>（７）原因別分析</t>
    <phoneticPr fontId="16"/>
  </si>
  <si>
    <t>月別</t>
    <phoneticPr fontId="16"/>
  </si>
  <si>
    <t>工廠名</t>
    <phoneticPr fontId="16"/>
  </si>
  <si>
    <t>手巻卵黄雞絞肉</t>
    <phoneticPr fontId="16"/>
  </si>
  <si>
    <t>減少暫時停止生產,人時UP</t>
    <phoneticPr fontId="16"/>
  </si>
  <si>
    <t>因組裝2食材,人員增加,產速減少</t>
    <phoneticPr fontId="16"/>
  </si>
  <si>
    <t>透由調整速度提升。</t>
    <phoneticPr fontId="16"/>
  </si>
  <si>
    <t>直巻明太子美奶茲</t>
    <phoneticPr fontId="16"/>
  </si>
  <si>
    <t>大口飯糰燒肉美奶滋</t>
    <phoneticPr fontId="16"/>
  </si>
  <si>
    <t>因摺疊增員。實施教育訓練。</t>
    <phoneticPr fontId="16"/>
  </si>
  <si>
    <t>明太子海苔便當</t>
    <phoneticPr fontId="16"/>
  </si>
  <si>
    <t>指導鋪開炒柴魚片</t>
    <phoneticPr fontId="16"/>
  </si>
  <si>
    <t>肉狀態不良，已連動開發</t>
    <phoneticPr fontId="16"/>
  </si>
  <si>
    <t>油炸白身魚</t>
    <phoneticPr fontId="16"/>
  </si>
  <si>
    <t>油調過多報廢。變更條件。</t>
    <phoneticPr fontId="16"/>
  </si>
  <si>
    <t>川燙蝦子拌醬</t>
    <phoneticPr fontId="16"/>
  </si>
  <si>
    <t>蝦子入數不足</t>
    <phoneticPr fontId="16"/>
  </si>
  <si>
    <t>特製醬汁炙燒牛五花便當</t>
    <phoneticPr fontId="16"/>
  </si>
  <si>
    <t>牛五花醬汁</t>
    <phoneticPr fontId="16"/>
  </si>
  <si>
    <t>難度有差異。調理指導。</t>
    <phoneticPr fontId="16"/>
  </si>
  <si>
    <t>因原料變更。</t>
    <phoneticPr fontId="16"/>
  </si>
  <si>
    <t>牛五花燒成</t>
    <phoneticPr fontId="16"/>
  </si>
  <si>
    <t>大口飯糰三種起司午餐肉</t>
    <phoneticPr fontId="16"/>
  </si>
  <si>
    <t>３種起司燒成</t>
    <phoneticPr fontId="16"/>
  </si>
  <si>
    <t>與燒成範本不同。</t>
    <phoneticPr fontId="16"/>
  </si>
  <si>
    <t>燒成過多，調整調理條件。</t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</si>
  <si>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</si>
  <si>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</si>
  <si>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</si>
  <si>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</si>
  <si>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6"/>
  </si>
  <si>
    <t>超用率</t>
    <phoneticPr fontId="16"/>
  </si>
  <si>
    <t>日期</t>
    <phoneticPr fontId="1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</si>
  <si>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</si>
  <si>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</si>
  <si>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</si>
  <si>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</si>
  <si>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</si>
  <si>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9" type="noConversion"/>
  </si>
  <si>
    <t>業績(元)</t>
    <phoneticPr fontId="19" type="noConversion"/>
  </si>
  <si>
    <t>比例(%)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</si>
  <si>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</si>
  <si>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</si>
  <si>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</si>
  <si>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</si>
  <si>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</si>
  <si>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</si>
  <si>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二</t>
    <phoneticPr fontId="1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</si>
  <si>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9" type="noConversion"/>
  </si>
  <si>
    <t>週累積</t>
    <phoneticPr fontId="19" type="noConversion"/>
  </si>
  <si>
    <t>月累積</t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</si>
  <si>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</si>
  <si>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營業額(元)</t>
    <phoneticPr fontId="19" type="noConversion"/>
  </si>
  <si>
    <t>訂單數量(個)</t>
    <phoneticPr fontId="19" type="noConversion"/>
  </si>
  <si>
    <t>材料費(元)</t>
    <phoneticPr fontId="1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</si>
  <si>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9" type="noConversion"/>
  </si>
  <si>
    <t>材料費率（材料費／營業額）</t>
    <phoneticPr fontId="19" type="noConversion"/>
  </si>
  <si>
    <t>勞務成本（全廠人事成本）</t>
    <phoneticPr fontId="19" type="noConversion"/>
  </si>
  <si>
    <t>勞務費率（勞務成本／營業額）</t>
    <phoneticPr fontId="19" type="noConversion"/>
  </si>
  <si>
    <t>（２）ＫＰＩ達成進度</t>
    <phoneticPr fontId="19" type="noConversion"/>
  </si>
  <si>
    <t>週平均</t>
    <phoneticPr fontId="19" type="noConversion"/>
  </si>
  <si>
    <t>月平均</t>
    <phoneticPr fontId="19" type="noConversion"/>
  </si>
  <si>
    <t>一配</t>
    <phoneticPr fontId="19" type="noConversion"/>
  </si>
  <si>
    <t>營業額</t>
    <phoneticPr fontId="19" type="noConversion"/>
  </si>
  <si>
    <t>便當</t>
  </si>
  <si>
    <t>熱食義麵</t>
  </si>
  <si>
    <t>季節調理麵</t>
  </si>
  <si>
    <t>微波小吃</t>
  </si>
  <si>
    <t>微波小吃</t>
    <phoneticPr fontId="1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</si>
  <si>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</si>
  <si>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</si>
  <si>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</si>
  <si>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</si>
  <si>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訂單量</t>
    <phoneticPr fontId="19" type="noConversion"/>
  </si>
  <si>
    <t>訂單數</t>
    <phoneticPr fontId="19" type="noConversion"/>
  </si>
  <si>
    <t>商品名稱</t>
    <phoneticPr fontId="19" type="noConversion"/>
  </si>
  <si>
    <t>產線配置圖</t>
    <phoneticPr fontId="19" type="noConversion"/>
  </si>
  <si>
    <t>計畫</t>
    <phoneticPr fontId="19" type="noConversion"/>
  </si>
  <si>
    <t>人數</t>
    <phoneticPr fontId="19" type="noConversion"/>
  </si>
  <si>
    <t>產能／時</t>
    <phoneticPr fontId="19" type="noConversion"/>
  </si>
  <si>
    <t>實際</t>
    <phoneticPr fontId="19" type="noConversion"/>
  </si>
  <si>
    <t>生產實績</t>
    <phoneticPr fontId="19" type="noConversion"/>
  </si>
  <si>
    <t>人時性</t>
    <phoneticPr fontId="19" type="noConversion"/>
  </si>
  <si>
    <t>品群</t>
    <phoneticPr fontId="19" type="noConversion"/>
  </si>
  <si>
    <t>平均人時性</t>
    <phoneticPr fontId="19" type="noConversion"/>
  </si>
  <si>
    <t>日報</t>
    <phoneticPr fontId="19" type="noConversion"/>
  </si>
  <si>
    <t>資料繳交</t>
    <phoneticPr fontId="19" type="noConversion"/>
  </si>
  <si>
    <t>五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</si>
  <si>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</si>
  <si>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</si>
  <si>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</si>
  <si>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</si>
  <si>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</si>
  <si>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</si>
  <si>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產線配置圖－每週更新</t>
    <phoneticPr fontId="19" type="noConversion"/>
  </si>
  <si>
    <t>排名</t>
    <phoneticPr fontId="19" type="noConversion"/>
  </si>
  <si>
    <t>製程不穩</t>
    <phoneticPr fontId="16"/>
  </si>
  <si>
    <t>研發設定</t>
    <phoneticPr fontId="1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</si>
  <si>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</si>
  <si>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</si>
  <si>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</si>
  <si>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</si>
  <si>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</si>
  <si>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</si>
  <si>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</si>
  <si>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</si>
  <si>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</si>
  <si>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</si>
  <si>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</si>
  <si>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</si>
  <si>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</si>
  <si>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</si>
  <si>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</si>
  <si>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</si>
  <si>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</si>
  <si>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</si>
  <si>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</si>
  <si>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</si>
  <si>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原物料規格</t>
    <phoneticPr fontId="16"/>
  </si>
  <si>
    <t>其他原因</t>
    <phoneticPr fontId="16"/>
  </si>
  <si>
    <t>類型</t>
    <phoneticPr fontId="19" type="noConversion"/>
  </si>
  <si>
    <t>類型</t>
    <phoneticPr fontId="19" type="noConversion"/>
  </si>
  <si>
    <t>製程不穩</t>
    <phoneticPr fontId="19" type="noConversion"/>
  </si>
  <si>
    <t>作業原因</t>
    <phoneticPr fontId="16"/>
  </si>
  <si>
    <t>類型</t>
    <phoneticPr fontId="19" type="noConversion"/>
  </si>
  <si>
    <t>原料原因</t>
    <phoneticPr fontId="1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</si>
  <si>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</si>
  <si>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t>（８）報廢原因別前幾名品項</t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</si>
  <si>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</si>
  <si>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9" type="noConversion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</si>
  <si>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</si>
  <si>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</si>
  <si>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</si>
  <si>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</si>
  <si>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</si>
  <si>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</si>
  <si>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t>實績</t>
    <phoneticPr fontId="19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</si>
  <si>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</si>
  <si>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</si>
  <si>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</si>
  <si>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</si>
  <si>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9" type="noConversion"/>
  </si>
  <si>
    <t>業績金額</t>
    <phoneticPr fontId="19" type="noConversion"/>
  </si>
  <si>
    <t>項目</t>
    <phoneticPr fontId="1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</si>
  <si>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6"/>
  </si>
  <si>
    <t>製程不穩</t>
    <phoneticPr fontId="16"/>
  </si>
  <si>
    <t>比例</t>
    <phoneticPr fontId="16"/>
  </si>
  <si>
    <t>報廢</t>
    <phoneticPr fontId="16"/>
  </si>
  <si>
    <t>超用</t>
    <phoneticPr fontId="16"/>
  </si>
  <si>
    <t>原物料規格</t>
    <phoneticPr fontId="16"/>
  </si>
  <si>
    <t>研發設定</t>
    <phoneticPr fontId="16"/>
  </si>
  <si>
    <t>其他原因</t>
    <phoneticPr fontId="1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</si>
  <si>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9" type="noConversion"/>
  </si>
  <si>
    <t>占比</t>
    <phoneticPr fontId="19" type="noConversion"/>
  </si>
  <si>
    <t>分析原因</t>
    <phoneticPr fontId="19" type="noConversion"/>
  </si>
  <si>
    <t>次數</t>
    <phoneticPr fontId="19" type="noConversion"/>
  </si>
  <si>
    <t>分析原因（件）</t>
    <phoneticPr fontId="19" type="noConversion"/>
  </si>
  <si>
    <t>報廢金額</t>
    <phoneticPr fontId="19" type="noConversion"/>
  </si>
  <si>
    <t>總件數</t>
    <phoneticPr fontId="19" type="noConversion"/>
  </si>
  <si>
    <t>原物料規格</t>
    <phoneticPr fontId="19" type="noConversion"/>
  </si>
  <si>
    <t>研發設定</t>
    <phoneticPr fontId="19" type="noConversion"/>
  </si>
  <si>
    <t>其他原因</t>
    <phoneticPr fontId="19" type="noConversion"/>
  </si>
  <si>
    <t>金額</t>
    <phoneticPr fontId="19" type="noConversion"/>
  </si>
  <si>
    <t>補單占比</t>
    <phoneticPr fontId="19" type="noConversion"/>
  </si>
  <si>
    <t>展開量高於１０5％</t>
    <phoneticPr fontId="16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</si>
  <si>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</si>
  <si>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</si>
  <si>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9" type="noConversion"/>
  </si>
  <si>
    <t>製程不穩</t>
    <phoneticPr fontId="19" type="noConversion"/>
  </si>
  <si>
    <t>季節調理麵</t>
    <phoneticPr fontId="19" type="noConversion"/>
  </si>
  <si>
    <t>鮮食品群番</t>
    <phoneticPr fontId="1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</si>
  <si>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</si>
  <si>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</si>
  <si>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</si>
  <si>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</si>
  <si>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</si>
  <si>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</si>
  <si>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</si>
  <si>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</si>
  <si>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</si>
  <si>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</si>
  <si>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</si>
  <si>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</si>
  <si>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</si>
  <si>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</si>
  <si>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</si>
  <si>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</si>
  <si>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</si>
  <si>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</si>
  <si>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</si>
  <si>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</si>
  <si>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</si>
  <si>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</si>
  <si>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</si>
  <si>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</si>
  <si>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</si>
  <si>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</si>
  <si>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</si>
  <si>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</si>
  <si>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</si>
  <si>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</si>
  <si>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</si>
  <si>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</si>
  <si>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</si>
  <si>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</si>
  <si>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</si>
  <si>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</si>
  <si>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</si>
  <si>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</si>
  <si>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</si>
  <si>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</si>
  <si>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</si>
  <si>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</si>
  <si>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</si>
  <si>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</si>
  <si>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</si>
  <si>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</si>
  <si>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</si>
  <si>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</si>
  <si>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</si>
  <si>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</si>
  <si>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</si>
  <si>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</si>
  <si>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</si>
  <si>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</si>
  <si>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</si>
  <si>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</si>
  <si>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</si>
  <si>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</si>
  <si>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</si>
  <si>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</si>
  <si>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</si>
  <si>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</si>
  <si>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</si>
  <si>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</si>
  <si>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</si>
  <si>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9" type="noConversion"/>
  </si>
  <si>
    <t>（3）業績構成比</t>
    <phoneticPr fontId="19" type="noConversion"/>
  </si>
  <si>
    <t>（4）訂單數量構成比</t>
    <phoneticPr fontId="19" type="noConversion"/>
  </si>
  <si>
    <t>展開量高於１０5％</t>
    <phoneticPr fontId="16"/>
  </si>
  <si>
    <t>展開量高於１０5％</t>
    <phoneticPr fontId="19" type="noConversion"/>
  </si>
  <si>
    <t>展開量高於１０5％</t>
    <phoneticPr fontId="16"/>
  </si>
  <si>
    <t>展開量高於１０5％</t>
    <phoneticPr fontId="16"/>
  </si>
  <si>
    <t xml:space="preserve">半成品報廢(%) </t>
    <phoneticPr fontId="19" type="noConversion"/>
  </si>
  <si>
    <t>月平均人時性</t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</si>
  <si>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</si>
  <si>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</si>
  <si>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9" type="noConversion"/>
  </si>
  <si>
    <t>品群</t>
    <phoneticPr fontId="19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</si>
  <si>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</si>
  <si>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</si>
  <si>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t>品群</t>
    <phoneticPr fontId="16"/>
  </si>
  <si>
    <t>排名</t>
    <phoneticPr fontId="16"/>
  </si>
  <si>
    <t>人數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</si>
  <si>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</si>
  <si>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6"/>
  </si>
  <si>
    <t>主要原因&amp;對策</t>
    <phoneticPr fontId="16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</si>
  <si>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</si>
  <si>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▼1</t>
    <phoneticPr fontId="16"/>
  </si>
  <si>
    <t>▼2</t>
    <phoneticPr fontId="16"/>
  </si>
  <si>
    <t>▼3</t>
    <phoneticPr fontId="16"/>
  </si>
  <si>
    <t>▼4</t>
    <phoneticPr fontId="16"/>
  </si>
  <si>
    <t>▼5</t>
    <phoneticPr fontId="16"/>
  </si>
  <si>
    <t>排名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</si>
  <si>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</si>
  <si>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</si>
  <si>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微波小吃</t>
    <phoneticPr fontId="19" type="noConversion"/>
  </si>
  <si>
    <t>熱食調理麵</t>
    <phoneticPr fontId="19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</si>
  <si>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</si>
  <si>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</si>
  <si>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</si>
  <si>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</si>
  <si>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</si>
  <si>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</si>
  <si>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</si>
  <si>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</si>
  <si>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</si>
  <si>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</si>
  <si>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韓式炸雞義大利麵</t>
  </si>
  <si>
    <t>焗奶油扇貝筆尖麵</t>
  </si>
  <si>
    <t>拿坡里義大利麵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</si>
  <si>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</si>
  <si>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</si>
  <si>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</si>
  <si>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</si>
  <si>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</si>
  <si>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</si>
  <si>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</si>
  <si>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</si>
  <si>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</si>
  <si>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</si>
  <si>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</si>
  <si>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義式蕃茄起司義大利麵</t>
    <phoneticPr fontId="19" type="noConversion"/>
  </si>
  <si>
    <t>奶油培根義大利麵</t>
    <phoneticPr fontId="19" type="noConversion"/>
  </si>
  <si>
    <t>奶油蒜香雞義大利麵</t>
    <phoneticPr fontId="19" type="noConversion"/>
  </si>
  <si>
    <t>小滷青蔬</t>
    <phoneticPr fontId="19" type="noConversion"/>
  </si>
  <si>
    <t>包裝</t>
  </si>
  <si>
    <t>調理多產</t>
  </si>
  <si>
    <t>韓式起司炸雞義大利麵</t>
    <phoneticPr fontId="81" type="noConversion"/>
  </si>
  <si>
    <t>韓式起司炸雞義大利麵</t>
  </si>
  <si>
    <t>黑胡椒燻火腿義大利麵</t>
  </si>
  <si>
    <t>製程不穩</t>
  </si>
  <si>
    <t>其他原因</t>
  </si>
  <si>
    <t>調理</t>
  </si>
  <si>
    <t>原物料</t>
  </si>
  <si>
    <t>研發</t>
  </si>
  <si>
    <t>生管預估</t>
  </si>
  <si>
    <t>起司馬鈴薯</t>
    <phoneticPr fontId="19" type="noConversion"/>
  </si>
  <si>
    <t>熱那亞青醬義大利麵</t>
    <phoneticPr fontId="19" type="noConversion"/>
  </si>
  <si>
    <t>拿坡里義大利麵</t>
    <phoneticPr fontId="19" type="noConversion"/>
  </si>
  <si>
    <t>青花椒麻雞肉拌麵</t>
    <phoneticPr fontId="81" type="noConversion"/>
  </si>
  <si>
    <t>青花椒麻雞肉拌麵</t>
  </si>
  <si>
    <t>月平均人時性</t>
    <phoneticPr fontId="19" type="noConversion"/>
  </si>
  <si>
    <t>產線配置圖－每週更新</t>
    <phoneticPr fontId="19" type="noConversion"/>
  </si>
  <si>
    <t>資料繳交</t>
    <phoneticPr fontId="19" type="noConversion"/>
  </si>
  <si>
    <t>日期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</si>
  <si>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</si>
  <si>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</si>
  <si>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</si>
  <si>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</si>
  <si>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</si>
  <si>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</si>
  <si>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</si>
  <si>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品群</t>
    <phoneticPr fontId="19" type="noConversion"/>
  </si>
  <si>
    <t>商品名稱</t>
    <phoneticPr fontId="19" type="noConversion"/>
  </si>
  <si>
    <t>計畫</t>
    <phoneticPr fontId="19" type="noConversion"/>
  </si>
  <si>
    <t>平均人時性</t>
    <phoneticPr fontId="19" type="noConversion"/>
  </si>
  <si>
    <t>實績</t>
    <phoneticPr fontId="19" type="noConversion"/>
  </si>
  <si>
    <t>排名</t>
    <phoneticPr fontId="19" type="noConversion"/>
  </si>
  <si>
    <t>日報</t>
    <phoneticPr fontId="19" type="noConversion"/>
  </si>
  <si>
    <t>實際</t>
    <phoneticPr fontId="19" type="noConversion"/>
  </si>
  <si>
    <t>實際</t>
    <phoneticPr fontId="19" type="noConversion"/>
  </si>
  <si>
    <t>平均人時性</t>
    <phoneticPr fontId="19" type="noConversion"/>
  </si>
  <si>
    <t>產線配置圖</t>
    <phoneticPr fontId="19" type="noConversion"/>
  </si>
  <si>
    <t>生產實績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</si>
  <si>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</si>
  <si>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</si>
  <si>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</si>
  <si>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</si>
  <si>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產能／時</t>
    <phoneticPr fontId="19" type="noConversion"/>
  </si>
  <si>
    <t>人數</t>
    <phoneticPr fontId="19" type="noConversion"/>
  </si>
  <si>
    <t>排名</t>
    <phoneticPr fontId="19" type="noConversion"/>
  </si>
  <si>
    <t>二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</si>
  <si>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</si>
  <si>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</si>
  <si>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</si>
  <si>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計畫</t>
    <phoneticPr fontId="19" type="noConversion"/>
  </si>
  <si>
    <t>日報</t>
    <phoneticPr fontId="19" type="noConversion"/>
  </si>
  <si>
    <t>產線配置圖</t>
    <phoneticPr fontId="19" type="noConversion"/>
  </si>
  <si>
    <t>人時性</t>
    <phoneticPr fontId="19" type="noConversion"/>
  </si>
  <si>
    <t>資料繳交</t>
    <phoneticPr fontId="19" type="noConversion"/>
  </si>
  <si>
    <t>三</t>
    <phoneticPr fontId="19" type="noConversion"/>
  </si>
  <si>
    <t>五</t>
    <phoneticPr fontId="19" type="noConversion"/>
  </si>
  <si>
    <t>品群</t>
    <phoneticPr fontId="19" type="noConversion"/>
  </si>
  <si>
    <t>商品名稱</t>
    <phoneticPr fontId="19" type="noConversion"/>
  </si>
  <si>
    <t>實績</t>
    <phoneticPr fontId="19" type="noConversion"/>
  </si>
  <si>
    <t>資料繳交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</si>
  <si>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</si>
  <si>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</si>
  <si>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</si>
  <si>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</si>
  <si>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一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</si>
  <si>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</si>
  <si>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</si>
  <si>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</si>
  <si>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</si>
  <si>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產線配置圖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</si>
  <si>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</si>
  <si>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</si>
  <si>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</si>
  <si>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</si>
  <si>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微波小吃</t>
    <phoneticPr fontId="19" type="noConversion"/>
  </si>
  <si>
    <t>產線配置圖－每週更新</t>
    <phoneticPr fontId="19" type="noConversion"/>
  </si>
  <si>
    <t>日</t>
    <phoneticPr fontId="19" type="noConversion"/>
  </si>
  <si>
    <t>品群</t>
    <phoneticPr fontId="19" type="noConversion"/>
  </si>
  <si>
    <t>微波小吃</t>
    <phoneticPr fontId="19" type="noConversion"/>
  </si>
  <si>
    <t>日期</t>
    <phoneticPr fontId="19" type="noConversion"/>
  </si>
  <si>
    <t>二</t>
    <phoneticPr fontId="19" type="noConversion"/>
  </si>
  <si>
    <t>產線配置圖－每週更新</t>
    <phoneticPr fontId="19" type="noConversion"/>
  </si>
  <si>
    <t>日期</t>
    <phoneticPr fontId="19" type="noConversion"/>
  </si>
  <si>
    <t>一</t>
    <phoneticPr fontId="19" type="noConversion"/>
  </si>
  <si>
    <t>商品名稱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</si>
  <si>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</si>
  <si>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</si>
  <si>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</si>
  <si>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</si>
  <si>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生產實績</t>
    <phoneticPr fontId="19" type="noConversion"/>
  </si>
  <si>
    <t>產能／時</t>
    <phoneticPr fontId="19" type="noConversion"/>
  </si>
  <si>
    <t>人時性</t>
    <phoneticPr fontId="19" type="noConversion"/>
  </si>
  <si>
    <t>人數</t>
    <phoneticPr fontId="19" type="noConversion"/>
  </si>
  <si>
    <t>煙花女義大利麵</t>
  </si>
  <si>
    <t>羊乳起司培根筆尖麵</t>
  </si>
  <si>
    <t>台式綜合甜不辣</t>
  </si>
  <si>
    <t>白酒蛤蜊義大利麵-手</t>
    <phoneticPr fontId="81" type="noConversion"/>
  </si>
  <si>
    <t>黑胡椒燻豬腿義大利麵-降速生產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</si>
  <si>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</si>
  <si>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</si>
  <si>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</si>
  <si>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</si>
  <si>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台式綜合甜不辣</t>
    <phoneticPr fontId="19" type="noConversion"/>
  </si>
  <si>
    <t>韓式起司炸雞義大利麵</t>
    <phoneticPr fontId="19" type="noConversion"/>
  </si>
  <si>
    <t>韓式辣醬肉丸義大利麵</t>
  </si>
  <si>
    <t>家傳炸醬麵</t>
  </si>
  <si>
    <t>家傳炸醬麵</t>
    <phoneticPr fontId="19" type="noConversion"/>
  </si>
  <si>
    <t>韓式辣醬肉丸義大利麵</t>
    <phoneticPr fontId="19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</si>
  <si>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9" type="noConversion"/>
  </si>
  <si>
    <t>取樣不穩</t>
  </si>
  <si>
    <t>取樣不穩</t>
    <phoneticPr fontId="16"/>
  </si>
  <si>
    <t>取樣不穩</t>
    <phoneticPr fontId="16"/>
  </si>
  <si>
    <t>取樣不穩</t>
    <phoneticPr fontId="19" type="noConversion"/>
  </si>
  <si>
    <t>取樣不穩</t>
    <phoneticPr fontId="16"/>
  </si>
  <si>
    <t>展開量高於１０5％</t>
    <phoneticPr fontId="19" type="noConversion"/>
  </si>
  <si>
    <t>展開量高於１０5％</t>
    <phoneticPr fontId="19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</si>
  <si>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9" type="noConversion"/>
  </si>
  <si>
    <t>取樣不穩</t>
    <phoneticPr fontId="19" type="noConversion"/>
  </si>
  <si>
    <t>取樣不穩</t>
    <phoneticPr fontId="19" type="noConversion"/>
  </si>
  <si>
    <t>原因說明</t>
    <phoneticPr fontId="19" type="noConversion"/>
  </si>
  <si>
    <t>後續對策</t>
    <phoneticPr fontId="19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</si>
  <si>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</si>
  <si>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</si>
  <si>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t>取樣不穩</t>
    <phoneticPr fontId="16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</si>
  <si>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9" type="noConversion"/>
  </si>
  <si>
    <t>步留因素</t>
    <phoneticPr fontId="19" type="noConversion"/>
  </si>
  <si>
    <t>長家廠半成品管理日別總表</t>
    <phoneticPr fontId="19" type="noConversion"/>
  </si>
  <si>
    <t>日期</t>
    <phoneticPr fontId="81" type="noConversion"/>
  </si>
  <si>
    <t>營業額</t>
    <phoneticPr fontId="19" type="noConversion"/>
  </si>
  <si>
    <t>報廢額</t>
    <phoneticPr fontId="8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</si>
  <si>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9" type="noConversion"/>
  </si>
  <si>
    <t>超用額</t>
    <phoneticPr fontId="81" type="noConversion"/>
  </si>
  <si>
    <t>超用率</t>
    <phoneticPr fontId="19" type="noConversion"/>
  </si>
  <si>
    <t>廢棄前10名</t>
    <phoneticPr fontId="19" type="noConversion"/>
  </si>
  <si>
    <t>超用前10名</t>
    <phoneticPr fontId="19" type="noConversion"/>
  </si>
  <si>
    <t>共用類廢棄</t>
    <phoneticPr fontId="19" type="noConversion"/>
  </si>
  <si>
    <t>週累積</t>
    <phoneticPr fontId="19" type="noConversion"/>
  </si>
  <si>
    <t>金額總計</t>
    <phoneticPr fontId="19" type="noConversion"/>
  </si>
  <si>
    <t>構成比</t>
    <phoneticPr fontId="19" type="noConversion"/>
  </si>
  <si>
    <t>金額總計</t>
    <phoneticPr fontId="8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</si>
  <si>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1" type="noConversion"/>
  </si>
  <si>
    <t>營業額</t>
    <phoneticPr fontId="19" type="noConversion"/>
  </si>
  <si>
    <t>週報廢</t>
    <phoneticPr fontId="19" type="noConversion"/>
  </si>
  <si>
    <t>週超用</t>
    <phoneticPr fontId="19" type="noConversion"/>
  </si>
  <si>
    <t>平均</t>
    <phoneticPr fontId="81" type="noConversion"/>
  </si>
  <si>
    <t>合計</t>
    <phoneticPr fontId="81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</si>
  <si>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9" type="noConversion"/>
  </si>
  <si>
    <t>月別</t>
    <phoneticPr fontId="16"/>
  </si>
  <si>
    <t>週別</t>
    <phoneticPr fontId="19" type="noConversion"/>
  </si>
  <si>
    <t>工廠</t>
    <phoneticPr fontId="16"/>
  </si>
  <si>
    <t>長家廠</t>
    <phoneticPr fontId="1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</si>
  <si>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6"/>
  </si>
  <si>
    <t>※單位：千元</t>
    <phoneticPr fontId="16"/>
  </si>
  <si>
    <t>（２）ＫＰＩ達成進度</t>
    <phoneticPr fontId="16"/>
  </si>
  <si>
    <t>項目</t>
    <phoneticPr fontId="19" type="noConversion"/>
  </si>
  <si>
    <t>當週</t>
    <phoneticPr fontId="16"/>
  </si>
  <si>
    <t>前週</t>
    <phoneticPr fontId="19" type="noConversion"/>
  </si>
  <si>
    <t>KPI</t>
    <phoneticPr fontId="16"/>
  </si>
  <si>
    <t>當週</t>
  </si>
  <si>
    <t>前週</t>
  </si>
  <si>
    <t>※補充</t>
    <phoneticPr fontId="16"/>
  </si>
  <si>
    <t>業績金額</t>
    <phoneticPr fontId="16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</si>
  <si>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</si>
  <si>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個／MH</t>
    <phoneticPr fontId="16"/>
  </si>
  <si>
    <t>訂單數量</t>
    <phoneticPr fontId="1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</si>
  <si>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</si>
  <si>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半成品-報廢(%)</t>
    <phoneticPr fontId="16"/>
  </si>
  <si>
    <t>報廢率</t>
    <phoneticPr fontId="16"/>
  </si>
  <si>
    <t>半成品-超用(%)</t>
    <phoneticPr fontId="16"/>
  </si>
  <si>
    <t>超用率</t>
    <phoneticPr fontId="16"/>
  </si>
  <si>
    <t>勞務成本</t>
    <phoneticPr fontId="1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</si>
  <si>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6"/>
  </si>
  <si>
    <t>勞務費率</t>
    <phoneticPr fontId="1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</si>
  <si>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6"/>
  </si>
  <si>
    <t>實施率</t>
    <phoneticPr fontId="16"/>
  </si>
  <si>
    <t>（３）業績構成比</t>
    <phoneticPr fontId="16"/>
  </si>
  <si>
    <t>（４）訂單數量構成比</t>
    <phoneticPr fontId="16"/>
  </si>
  <si>
    <t>當週</t>
    <phoneticPr fontId="16"/>
  </si>
  <si>
    <t>比例</t>
    <phoneticPr fontId="16"/>
  </si>
  <si>
    <t>前週</t>
    <phoneticPr fontId="16"/>
  </si>
  <si>
    <t>差異</t>
    <phoneticPr fontId="16"/>
  </si>
  <si>
    <t>比例</t>
    <phoneticPr fontId="16"/>
  </si>
  <si>
    <t>前週</t>
    <phoneticPr fontId="16"/>
  </si>
  <si>
    <t>差異</t>
    <phoneticPr fontId="1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</si>
  <si>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6"/>
  </si>
  <si>
    <t>品群</t>
    <phoneticPr fontId="16"/>
  </si>
  <si>
    <t>前週</t>
    <phoneticPr fontId="19" type="noConversion"/>
  </si>
  <si>
    <t>週別</t>
    <phoneticPr fontId="19" type="noConversion"/>
  </si>
  <si>
    <t>週前二十</t>
    <phoneticPr fontId="19" type="noConversion"/>
  </si>
  <si>
    <t>週前二十</t>
    <phoneticPr fontId="19" type="noConversion"/>
  </si>
  <si>
    <t>超用率</t>
  </si>
  <si>
    <t>（８）超用原因別前幾名品項</t>
    <phoneticPr fontId="19" type="noConversion"/>
  </si>
  <si>
    <t>剝皮辣椒雞奶油扁麵</t>
  </si>
  <si>
    <t>家傳炸醬麵-降速生產</t>
  </si>
  <si>
    <t>青花椒麻雞肉拌麵-降速生產</t>
    <phoneticPr fontId="81" type="noConversion"/>
  </si>
  <si>
    <t>三</t>
  </si>
  <si>
    <t>四</t>
  </si>
  <si>
    <t>五</t>
  </si>
  <si>
    <t>六</t>
  </si>
  <si>
    <t>日</t>
  </si>
  <si>
    <t>一</t>
  </si>
  <si>
    <t>二</t>
  </si>
  <si>
    <t>十</t>
    <phoneticPr fontId="19" type="noConversion"/>
  </si>
  <si>
    <t>W12</t>
    <phoneticPr fontId="19" type="noConversion"/>
  </si>
  <si>
    <t>炒家傳炸醬肉燥</t>
  </si>
  <si>
    <t>煮家傳炸醬湯凍</t>
  </si>
  <si>
    <t>油炒剝皮辣椒段</t>
  </si>
  <si>
    <t>義麵-韓式辣醬湯凍</t>
  </si>
  <si>
    <t>義麵-蒜辣黑胡椒湯凍</t>
  </si>
  <si>
    <t>瀝-煮蕃茄丁</t>
  </si>
  <si>
    <t>炒芝麻海苔酥</t>
  </si>
  <si>
    <t>滷-切片高麗菜</t>
  </si>
  <si>
    <t>川燙-切甜不辣片</t>
  </si>
  <si>
    <t>川燙-三角油豆腐</t>
  </si>
  <si>
    <t>清洗胡蘿蔔絲</t>
  </si>
  <si>
    <t>川燙-切段油菜</t>
  </si>
  <si>
    <t>清洗小黃瓜絲</t>
  </si>
  <si>
    <t>川燙油菜</t>
  </si>
  <si>
    <t>川燙-甜不辣條</t>
  </si>
  <si>
    <t>調理包-味噌醬</t>
  </si>
  <si>
    <t>川燙青紅辣椒圓片</t>
  </si>
  <si>
    <t>拌韓式炸雞</t>
  </si>
  <si>
    <t>油炒辣椒糯米椒</t>
  </si>
  <si>
    <t>烤香料馬鈴薯</t>
  </si>
  <si>
    <t>白酒蛤蜊義大利麵</t>
    <phoneticPr fontId="19" type="noConversion"/>
  </si>
  <si>
    <t>剝皮辣椒雞奶油扁麵</t>
    <phoneticPr fontId="19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</si>
  <si>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9" type="noConversion"/>
  </si>
  <si>
    <t>報廢</t>
    <phoneticPr fontId="19" type="noConversion"/>
  </si>
  <si>
    <t>超用</t>
    <phoneticPr fontId="19" type="noConversion"/>
  </si>
  <si>
    <t>1007-1013</t>
    <phoneticPr fontId="19" type="noConversion"/>
  </si>
  <si>
    <t>瀝水-白蘿蔔塊</t>
  </si>
  <si>
    <t>混拌浪花麵</t>
  </si>
  <si>
    <t>混蒜酥洋香菜(114年)</t>
  </si>
  <si>
    <t>義麵-海鮮湯凍(113年)</t>
  </si>
  <si>
    <t xml:space="preserve">	帕瑪森乾酪粉(500g)</t>
  </si>
  <si>
    <t>解凍玉子蛋絲</t>
  </si>
  <si>
    <t>拌-蕃茄醬麵</t>
  </si>
  <si>
    <t xml:space="preserve">	鮮食雙色起司絲</t>
  </si>
  <si>
    <t>細切海苔 (2mm*5cm)</t>
  </si>
  <si>
    <t>拌韓式炸雞</t>
    <phoneticPr fontId="19" type="noConversion"/>
  </si>
  <si>
    <t>韓式炸雞義大利麵</t>
    <phoneticPr fontId="19" type="noConversion"/>
  </si>
  <si>
    <r>
      <rPr>
        <sz val="11"/>
        <color theme="1"/>
        <rFont val="新細明體"/>
        <family val="2"/>
        <charset val="136"/>
      </rPr>
      <t>川燙</t>
    </r>
    <r>
      <rPr>
        <sz val="11"/>
        <color theme="1"/>
        <rFont val="Arial"/>
        <family val="2"/>
        <charset val="136"/>
        <scheme val="minor"/>
      </rPr>
      <t>-</t>
    </r>
    <r>
      <rPr>
        <sz val="11"/>
        <color theme="1"/>
        <rFont val="新細明體"/>
        <family val="2"/>
        <charset val="136"/>
      </rPr>
      <t>甜不辣條</t>
    </r>
    <phoneticPr fontId="19" type="noConversion"/>
  </si>
  <si>
    <t>組裝4條，每包300支以上</t>
    <phoneticPr fontId="19" type="noConversion"/>
  </si>
  <si>
    <t>剝皮辣椒雞奶油細扁麵</t>
    <phoneticPr fontId="19" type="noConversion"/>
  </si>
  <si>
    <t>加強稽核及教育訓練</t>
    <phoneticPr fontId="19" type="noConversion"/>
  </si>
  <si>
    <t>清洗小黃瓜絲</t>
    <phoneticPr fontId="19" type="noConversion"/>
  </si>
  <si>
    <t>下架物料</t>
    <phoneticPr fontId="19" type="noConversion"/>
  </si>
  <si>
    <t>滷-切片高麗菜</t>
    <phoneticPr fontId="19" type="noConversion"/>
  </si>
  <si>
    <t>油炒辣椒糯米椒</t>
    <phoneticPr fontId="19" type="noConversion"/>
  </si>
  <si>
    <t>鮮食雙色起司絲</t>
    <phoneticPr fontId="19" type="noConversion"/>
  </si>
  <si>
    <t>香濃起司馬鈴薯</t>
    <phoneticPr fontId="19" type="noConversion"/>
  </si>
  <si>
    <t>烤香料馬鈴薯</t>
    <phoneticPr fontId="19" type="noConversion"/>
  </si>
  <si>
    <t>煮辣味肉丸子</t>
    <phoneticPr fontId="19" type="noConversion"/>
  </si>
  <si>
    <t>川燙-切甜不辣片</t>
    <phoneticPr fontId="19" type="noConversion"/>
  </si>
  <si>
    <t>川燙-三角油豆腐</t>
    <phoneticPr fontId="19" type="noConversion"/>
  </si>
  <si>
    <t>炒家傳炸醬肉燥</t>
    <phoneticPr fontId="19" type="noConversion"/>
  </si>
  <si>
    <t>混蒜酥洋香菜(114年)</t>
    <phoneticPr fontId="19" type="noConversion"/>
  </si>
  <si>
    <t>煮家傳炸醬湯凍</t>
    <phoneticPr fontId="19" type="noConversion"/>
  </si>
  <si>
    <t>瀝水-白蘿蔔塊</t>
    <phoneticPr fontId="19" type="noConversion"/>
  </si>
  <si>
    <t>反應廠商調整規格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</si>
</sst>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0">
    <xf numFmtId="0" fontId="0" fillId="0" borderId="0"/>
    <xf numFmtId="0" fontId="12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30" fillId="0" borderId="0"/>
    <xf numFmtId="0" fontId="1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0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32" fillId="0" borderId="0" xfId="0" applyFont="1"/>
    <xf numFmtId="176" fontId="33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/>
    </xf>
    <xf numFmtId="176" fontId="32" fillId="0" borderId="0" xfId="0" applyNumberFormat="1" applyFont="1"/>
    <xf numFmtId="177" fontId="32" fillId="0" borderId="0" xfId="0" applyNumberFormat="1" applyFont="1"/>
    <xf numFmtId="178" fontId="32" fillId="0" borderId="0" xfId="0" applyNumberFormat="1" applyFont="1"/>
    <xf numFmtId="10" fontId="32" fillId="0" borderId="0" xfId="0" applyNumberFormat="1" applyFont="1"/>
    <xf numFmtId="176" fontId="33" fillId="6" borderId="0" xfId="0" applyNumberFormat="1" applyFont="1" applyFill="1" applyAlignment="1">
      <alignment horizontal="center" vertical="center"/>
    </xf>
    <xf numFmtId="176" fontId="33" fillId="8" borderId="0" xfId="0" applyNumberFormat="1" applyFont="1" applyFill="1" applyAlignment="1">
      <alignment horizontal="center" vertical="center"/>
    </xf>
    <xf numFmtId="180" fontId="32" fillId="0" borderId="0" xfId="0" applyNumberFormat="1" applyFont="1"/>
    <xf numFmtId="180" fontId="20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32" fillId="0" borderId="0" xfId="0" applyNumberFormat="1" applyFont="1"/>
    <xf numFmtId="182" fontId="33" fillId="0" borderId="22" xfId="0" applyNumberFormat="1" applyFont="1" applyBorder="1" applyAlignment="1">
      <alignment horizontal="center" vertical="center"/>
    </xf>
    <xf numFmtId="10" fontId="33" fillId="0" borderId="22" xfId="0" applyNumberFormat="1" applyFont="1" applyBorder="1" applyAlignment="1">
      <alignment horizontal="center" vertical="center"/>
    </xf>
    <xf numFmtId="182" fontId="32" fillId="0" borderId="22" xfId="0" applyNumberFormat="1" applyFont="1" applyBorder="1"/>
    <xf numFmtId="10" fontId="32" fillId="0" borderId="22" xfId="0" applyNumberFormat="1" applyFont="1" applyBorder="1"/>
    <xf numFmtId="182" fontId="32" fillId="0" borderId="0" xfId="0" applyNumberFormat="1" applyFont="1" applyAlignment="1">
      <alignment horizontal="center"/>
    </xf>
    <xf numFmtId="0" fontId="37" fillId="0" borderId="0" xfId="0" applyFont="1"/>
    <xf numFmtId="177" fontId="32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32" fillId="0" borderId="0" xfId="0" applyFont="1" applyAlignment="1">
      <alignment shrinkToFit="1"/>
    </xf>
    <xf numFmtId="0" fontId="32" fillId="4" borderId="0" xfId="0" applyFont="1" applyFill="1" applyAlignment="1">
      <alignment shrinkToFit="1"/>
    </xf>
    <xf numFmtId="0" fontId="32" fillId="0" borderId="0" xfId="0" applyFont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10" fontId="34" fillId="0" borderId="22" xfId="0" applyNumberFormat="1" applyFont="1" applyBorder="1" applyAlignment="1">
      <alignment shrinkToFit="1"/>
    </xf>
    <xf numFmtId="0" fontId="34" fillId="0" borderId="22" xfId="0" applyFont="1" applyBorder="1" applyAlignment="1">
      <alignment horizontal="center" vertical="center" shrinkToFit="1"/>
    </xf>
    <xf numFmtId="0" fontId="32" fillId="0" borderId="0" xfId="0" applyFont="1" applyAlignment="1">
      <alignment vertical="center"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1" xfId="0" applyFont="1" applyFill="1" applyBorder="1" applyAlignment="1">
      <alignment horizontal="center" vertical="center" shrinkToFit="1"/>
    </xf>
    <xf numFmtId="0" fontId="34" fillId="0" borderId="3" xfId="0" applyFont="1" applyBorder="1" applyAlignment="1">
      <alignment vertical="center" shrinkToFit="1"/>
    </xf>
    <xf numFmtId="0" fontId="34" fillId="0" borderId="1" xfId="0" applyFont="1" applyBorder="1" applyAlignment="1">
      <alignment shrinkToFit="1"/>
    </xf>
    <xf numFmtId="10" fontId="34" fillId="0" borderId="1" xfId="0" applyNumberFormat="1" applyFont="1" applyBorder="1" applyAlignment="1">
      <alignment shrinkToFit="1"/>
    </xf>
    <xf numFmtId="0" fontId="34" fillId="3" borderId="1" xfId="0" applyFont="1" applyFill="1" applyBorder="1" applyAlignment="1">
      <alignment shrinkToFit="1"/>
    </xf>
    <xf numFmtId="0" fontId="34" fillId="0" borderId="4" xfId="0" applyFont="1" applyBorder="1" applyAlignment="1">
      <alignment shrinkToFit="1"/>
    </xf>
    <xf numFmtId="0" fontId="64" fillId="0" borderId="3" xfId="0" applyFont="1" applyBorder="1" applyAlignment="1">
      <alignment shrinkToFit="1"/>
    </xf>
    <xf numFmtId="0" fontId="34" fillId="0" borderId="8" xfId="0" applyFont="1" applyBorder="1" applyAlignment="1">
      <alignment vertical="center" shrinkToFit="1"/>
    </xf>
    <xf numFmtId="0" fontId="34" fillId="0" borderId="5" xfId="0" applyFont="1" applyBorder="1" applyAlignment="1">
      <alignment shrinkToFit="1"/>
    </xf>
    <xf numFmtId="10" fontId="34" fillId="0" borderId="5" xfId="0" applyNumberFormat="1" applyFont="1" applyBorder="1" applyAlignment="1">
      <alignment shrinkToFit="1"/>
    </xf>
    <xf numFmtId="0" fontId="34" fillId="3" borderId="5" xfId="0" applyFont="1" applyFill="1" applyBorder="1" applyAlignment="1">
      <alignment shrinkToFit="1"/>
    </xf>
    <xf numFmtId="0" fontId="34" fillId="0" borderId="9" xfId="0" applyFont="1" applyBorder="1" applyAlignment="1">
      <alignment shrinkToFit="1"/>
    </xf>
    <xf numFmtId="0" fontId="64" fillId="0" borderId="8" xfId="0" applyFont="1" applyBorder="1" applyAlignment="1">
      <alignment shrinkToFit="1"/>
    </xf>
    <xf numFmtId="0" fontId="34" fillId="2" borderId="16" xfId="0" applyFont="1" applyFill="1" applyBorder="1" applyAlignment="1">
      <alignment horizontal="center" shrinkToFit="1"/>
    </xf>
    <xf numFmtId="10" fontId="34" fillId="3" borderId="17" xfId="0" applyNumberFormat="1" applyFont="1" applyFill="1" applyBorder="1" applyAlignment="1">
      <alignment horizontal="center" shrinkToFit="1"/>
    </xf>
    <xf numFmtId="0" fontId="34" fillId="3" borderId="18" xfId="0" applyFont="1" applyFill="1" applyBorder="1" applyAlignment="1">
      <alignment shrinkToFit="1"/>
    </xf>
    <xf numFmtId="0" fontId="32" fillId="0" borderId="0" xfId="0" applyFont="1" applyAlignment="1">
      <alignment wrapText="1" shrinkToFit="1"/>
    </xf>
    <xf numFmtId="0" fontId="32" fillId="0" borderId="0" xfId="0" applyFont="1" applyAlignment="1">
      <alignment horizontal="center" vertical="center" wrapText="1" shrinkToFit="1"/>
    </xf>
    <xf numFmtId="10" fontId="34" fillId="2" borderId="22" xfId="0" applyNumberFormat="1" applyFont="1" applyFill="1" applyBorder="1" applyAlignment="1">
      <alignment horizontal="center" vertical="center" shrinkToFit="1"/>
    </xf>
    <xf numFmtId="10" fontId="34" fillId="3" borderId="22" xfId="0" applyNumberFormat="1" applyFont="1" applyFill="1" applyBorder="1" applyAlignment="1">
      <alignment shrinkToFit="1"/>
    </xf>
    <xf numFmtId="0" fontId="34" fillId="2" borderId="23" xfId="0" applyFont="1" applyFill="1" applyBorder="1" applyAlignment="1">
      <alignment horizontal="center" vertical="center" shrinkToFit="1"/>
    </xf>
    <xf numFmtId="10" fontId="34" fillId="2" borderId="23" xfId="0" applyNumberFormat="1" applyFont="1" applyFill="1" applyBorder="1" applyAlignment="1">
      <alignment horizontal="center" vertical="center" shrinkToFit="1"/>
    </xf>
    <xf numFmtId="0" fontId="42" fillId="0" borderId="34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2" fillId="0" borderId="0" xfId="11" applyFont="1" applyAlignment="1">
      <alignment shrinkToFit="1"/>
    </xf>
    <xf numFmtId="0" fontId="32" fillId="4" borderId="0" xfId="11" applyFont="1" applyFill="1" applyAlignment="1">
      <alignment shrinkToFit="1"/>
    </xf>
    <xf numFmtId="0" fontId="54" fillId="0" borderId="0" xfId="11" applyFont="1" applyAlignment="1">
      <alignment shrinkToFit="1"/>
    </xf>
    <xf numFmtId="184" fontId="70" fillId="0" borderId="0" xfId="11" applyNumberFormat="1" applyFont="1" applyAlignment="1">
      <alignment shrinkToFit="1"/>
    </xf>
    <xf numFmtId="0" fontId="53" fillId="0" borderId="6" xfId="11" applyFont="1" applyBorder="1" applyAlignment="1">
      <alignment horizontal="center" shrinkToFit="1"/>
    </xf>
    <xf numFmtId="3" fontId="43" fillId="0" borderId="6" xfId="11" applyNumberFormat="1" applyFont="1" applyBorder="1" applyAlignment="1">
      <alignment shrinkToFit="1"/>
    </xf>
    <xf numFmtId="10" fontId="43" fillId="0" borderId="6" xfId="11" applyNumberFormat="1" applyFont="1" applyBorder="1" applyAlignment="1">
      <alignment shrinkToFit="1"/>
    </xf>
    <xf numFmtId="3" fontId="34" fillId="0" borderId="22" xfId="11" applyNumberFormat="1" applyFont="1" applyBorder="1" applyAlignment="1">
      <alignment shrinkToFit="1"/>
    </xf>
    <xf numFmtId="10" fontId="34" fillId="0" borderId="22" xfId="11" applyNumberFormat="1" applyFont="1" applyBorder="1" applyAlignment="1">
      <alignment shrinkToFit="1"/>
    </xf>
    <xf numFmtId="0" fontId="53" fillId="0" borderId="1" xfId="11" applyFont="1" applyBorder="1" applyAlignment="1">
      <alignment horizontal="center" shrinkToFit="1"/>
    </xf>
    <xf numFmtId="3" fontId="43" fillId="0" borderId="1" xfId="11" applyNumberFormat="1" applyFont="1" applyBorder="1" applyAlignment="1">
      <alignment shrinkToFit="1"/>
    </xf>
    <xf numFmtId="0" fontId="37" fillId="0" borderId="0" xfId="11" applyFont="1"/>
    <xf numFmtId="0" fontId="37" fillId="0" borderId="0" xfId="11" applyFont="1" applyAlignment="1">
      <alignment vertical="center"/>
    </xf>
    <xf numFmtId="0" fontId="37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2" fillId="0" borderId="32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13" fillId="0" borderId="0" xfId="5"/>
    <xf numFmtId="0" fontId="76" fillId="9" borderId="30" xfId="5" applyFont="1" applyFill="1" applyBorder="1"/>
    <xf numFmtId="0" fontId="76" fillId="0" borderId="0" xfId="5" applyFont="1"/>
    <xf numFmtId="0" fontId="76" fillId="0" borderId="22" xfId="5" applyFont="1" applyBorder="1"/>
    <xf numFmtId="0" fontId="76" fillId="9" borderId="22" xfId="5" applyFont="1" applyFill="1" applyBorder="1"/>
    <xf numFmtId="185" fontId="32" fillId="0" borderId="0" xfId="0" applyNumberFormat="1" applyFont="1"/>
    <xf numFmtId="0" fontId="34" fillId="0" borderId="22" xfId="11" applyFont="1" applyBorder="1" applyAlignment="1">
      <alignment horizontal="center" vertical="center" shrinkToFit="1"/>
    </xf>
    <xf numFmtId="0" fontId="77" fillId="0" borderId="0" xfId="0" applyFont="1" applyAlignment="1">
      <alignment vertical="center"/>
    </xf>
    <xf numFmtId="0" fontId="37" fillId="5" borderId="23" xfId="11" applyFont="1" applyFill="1" applyBorder="1" applyAlignment="1">
      <alignment horizontal="center" vertical="center"/>
    </xf>
    <xf numFmtId="0" fontId="34" fillId="5" borderId="22" xfId="11" applyFont="1" applyFill="1" applyBorder="1" applyAlignment="1">
      <alignment horizontal="center" vertical="center" shrinkToFit="1"/>
    </xf>
    <xf numFmtId="0" fontId="32" fillId="4" borderId="0" xfId="11" applyFont="1" applyFill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4" fillId="5" borderId="22" xfId="11" applyFont="1" applyFill="1" applyBorder="1" applyAlignment="1">
      <alignment horizontal="center" shrinkToFit="1"/>
    </xf>
    <xf numFmtId="0" fontId="32" fillId="4" borderId="0" xfId="11" applyFont="1" applyFill="1" applyAlignment="1">
      <alignment horizont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2" borderId="22" xfId="11" applyFont="1" applyFill="1" applyBorder="1" applyAlignment="1">
      <alignment horizontal="center" vertical="center" shrinkToFit="1"/>
    </xf>
    <xf numFmtId="0" fontId="53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0" borderId="22" xfId="11" applyFont="1" applyBorder="1" applyAlignment="1">
      <alignment horizontal="right" shrinkToFit="1"/>
    </xf>
    <xf numFmtId="0" fontId="53" fillId="2" borderId="22" xfId="11" applyFont="1" applyFill="1" applyBorder="1" applyAlignment="1">
      <alignment horizontal="center" shrinkToFit="1"/>
    </xf>
    <xf numFmtId="0" fontId="34" fillId="2" borderId="22" xfId="11" applyFont="1" applyFill="1" applyBorder="1" applyAlignment="1">
      <alignment horizontal="center" shrinkToFit="1"/>
    </xf>
    <xf numFmtId="0" fontId="32" fillId="0" borderId="0" xfId="11" applyFont="1" applyAlignment="1">
      <alignment horizontal="center" shrinkToFit="1"/>
    </xf>
    <xf numFmtId="1" fontId="34" fillId="0" borderId="22" xfId="11" applyNumberFormat="1" applyFont="1" applyBorder="1" applyAlignment="1">
      <alignment shrinkToFit="1"/>
    </xf>
    <xf numFmtId="183" fontId="34" fillId="0" borderId="22" xfId="11" applyNumberFormat="1" applyFont="1" applyBorder="1" applyAlignment="1">
      <alignment shrinkToFit="1"/>
    </xf>
    <xf numFmtId="183" fontId="34" fillId="3" borderId="1" xfId="0" applyNumberFormat="1" applyFont="1" applyFill="1" applyBorder="1" applyAlignment="1">
      <alignment shrinkToFit="1"/>
    </xf>
    <xf numFmtId="183" fontId="34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44" fillId="0" borderId="22" xfId="42" applyFont="1" applyBorder="1" applyAlignment="1">
      <alignment horizontal="center" vertical="center"/>
    </xf>
    <xf numFmtId="0" fontId="44" fillId="0" borderId="0" xfId="42" applyFont="1" applyAlignment="1">
      <alignment horizontal="center" vertical="center"/>
    </xf>
    <xf numFmtId="0" fontId="6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2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30" fillId="0" borderId="0" xfId="11" applyNumberFormat="1" applyAlignment="1">
      <alignment horizontal="center" vertical="center"/>
    </xf>
    <xf numFmtId="0" fontId="30" fillId="0" borderId="0" xfId="11" applyAlignment="1">
      <alignment horizontal="center" vertical="center"/>
    </xf>
    <xf numFmtId="0" fontId="30" fillId="0" borderId="0" xfId="11" applyAlignment="1">
      <alignment vertical="center"/>
    </xf>
    <xf numFmtId="0" fontId="32" fillId="0" borderId="0" xfId="11" applyFont="1" applyAlignment="1">
      <alignment vertical="center"/>
    </xf>
    <xf numFmtId="0" fontId="42" fillId="0" borderId="0" xfId="11" applyFont="1" applyAlignment="1">
      <alignment horizontal="left" vertical="center"/>
    </xf>
    <xf numFmtId="0" fontId="42" fillId="0" borderId="34" xfId="11" applyFont="1" applyBorder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2" fillId="0" borderId="36" xfId="11" applyFont="1" applyBorder="1" applyAlignment="1">
      <alignment horizontal="left" vertical="center"/>
    </xf>
    <xf numFmtId="0" fontId="32" fillId="0" borderId="0" xfId="11" applyFont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" fontId="30" fillId="0" borderId="22" xfId="11" applyNumberForma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1" fontId="30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2" fillId="0" borderId="37" xfId="11" applyFont="1" applyBorder="1" applyAlignment="1">
      <alignment horizontal="left" vertical="center"/>
    </xf>
    <xf numFmtId="0" fontId="42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3" fillId="0" borderId="0" xfId="42" applyFont="1">
      <alignment vertical="center"/>
    </xf>
    <xf numFmtId="187" fontId="32" fillId="0" borderId="0" xfId="0" applyNumberFormat="1" applyFont="1" applyAlignment="1">
      <alignment horizontal="center"/>
    </xf>
    <xf numFmtId="185" fontId="13" fillId="0" borderId="1" xfId="14" applyNumberFormat="1" applyFont="1" applyBorder="1" applyAlignment="1">
      <alignment shrinkToFit="1"/>
    </xf>
    <xf numFmtId="185" fontId="34" fillId="0" borderId="22" xfId="14" applyNumberFormat="1" applyFont="1" applyBorder="1" applyAlignment="1">
      <alignment shrinkToFit="1"/>
    </xf>
    <xf numFmtId="183" fontId="34" fillId="3" borderId="18" xfId="0" applyNumberFormat="1" applyFont="1" applyFill="1" applyBorder="1" applyAlignment="1">
      <alignment shrinkToFit="1"/>
    </xf>
    <xf numFmtId="185" fontId="34" fillId="0" borderId="1" xfId="0" applyNumberFormat="1" applyFont="1" applyBorder="1" applyAlignment="1">
      <alignment shrinkToFit="1"/>
    </xf>
    <xf numFmtId="1" fontId="96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77" fontId="32" fillId="0" borderId="37" xfId="0" applyNumberFormat="1" applyFont="1" applyBorder="1"/>
    <xf numFmtId="10" fontId="32" fillId="0" borderId="37" xfId="0" applyNumberFormat="1" applyFont="1" applyBorder="1"/>
    <xf numFmtId="185" fontId="32" fillId="0" borderId="0" xfId="0" applyNumberFormat="1" applyFont="1" applyAlignment="1">
      <alignment vertical="center"/>
    </xf>
    <xf numFmtId="0" fontId="37" fillId="0" borderId="22" xfId="11" applyFont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188" fontId="43" fillId="0" borderId="22" xfId="11" applyNumberFormat="1" applyFont="1" applyBorder="1" applyAlignment="1">
      <alignment horizontal="center" vertical="center"/>
    </xf>
    <xf numFmtId="185" fontId="43" fillId="9" borderId="22" xfId="14" applyNumberFormat="1" applyFont="1" applyFill="1" applyBorder="1" applyAlignment="1">
      <alignment horizontal="center" vertical="center"/>
    </xf>
    <xf numFmtId="185" fontId="43" fillId="9" borderId="22" xfId="13" applyNumberFormat="1" applyFont="1" applyFill="1" applyBorder="1" applyAlignment="1">
      <alignment horizontal="center" vertical="center"/>
    </xf>
    <xf numFmtId="188" fontId="43" fillId="0" borderId="22" xfId="54" applyNumberFormat="1" applyFont="1" applyBorder="1" applyAlignment="1">
      <alignment horizontal="center" vertical="center"/>
    </xf>
    <xf numFmtId="188" fontId="43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43" fillId="0" borderId="22" xfId="11" applyFont="1" applyBorder="1" applyAlignment="1">
      <alignment horizontal="center" vertical="center"/>
    </xf>
    <xf numFmtId="0" fontId="78" fillId="0" borderId="0" xfId="11" applyFont="1" applyAlignment="1">
      <alignment horizontal="center" vertical="center"/>
    </xf>
    <xf numFmtId="1" fontId="37" fillId="0" borderId="41" xfId="11" applyNumberFormat="1" applyFont="1" applyBorder="1" applyAlignment="1">
      <alignment horizontal="center" vertical="center"/>
    </xf>
    <xf numFmtId="0" fontId="37" fillId="0" borderId="41" xfId="11" applyFont="1" applyBorder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1" fontId="73" fillId="0" borderId="41" xfId="11" applyNumberFormat="1" applyFont="1" applyBorder="1" applyAlignment="1">
      <alignment horizontal="center" vertical="center"/>
    </xf>
    <xf numFmtId="0" fontId="89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left" vertical="center"/>
    </xf>
    <xf numFmtId="0" fontId="43" fillId="0" borderId="22" xfId="11" applyFont="1" applyBorder="1" applyAlignment="1">
      <alignment horizontal="left" vertical="center"/>
    </xf>
    <xf numFmtId="0" fontId="85" fillId="0" borderId="22" xfId="11" applyFont="1" applyBorder="1" applyAlignment="1">
      <alignment horizontal="left" vertical="center"/>
    </xf>
    <xf numFmtId="0" fontId="37" fillId="0" borderId="0" xfId="11" applyFont="1" applyAlignment="1">
      <alignment horizontal="left" vertical="center"/>
    </xf>
    <xf numFmtId="0" fontId="78" fillId="0" borderId="0" xfId="11" applyFont="1" applyAlignment="1">
      <alignment horizontal="left" vertical="center"/>
    </xf>
    <xf numFmtId="186" fontId="32" fillId="0" borderId="22" xfId="0" applyNumberFormat="1" applyFont="1" applyBorder="1"/>
    <xf numFmtId="0" fontId="2" fillId="0" borderId="0" xfId="65">
      <alignment vertical="center"/>
    </xf>
    <xf numFmtId="190" fontId="103" fillId="9" borderId="43" xfId="65" applyNumberFormat="1" applyFont="1" applyFill="1" applyBorder="1" applyAlignment="1">
      <alignment horizontal="center" vertical="center"/>
    </xf>
    <xf numFmtId="191" fontId="103" fillId="0" borderId="43" xfId="65" applyNumberFormat="1" applyFont="1" applyBorder="1" applyAlignment="1">
      <alignment horizontal="center" vertical="center"/>
    </xf>
    <xf numFmtId="190" fontId="103" fillId="9" borderId="43" xfId="66" applyNumberFormat="1" applyFont="1" applyFill="1" applyBorder="1" applyAlignment="1">
      <alignment horizontal="center" vertical="center"/>
    </xf>
    <xf numFmtId="10" fontId="103" fillId="0" borderId="43" xfId="22" applyNumberFormat="1" applyFont="1" applyBorder="1" applyAlignment="1">
      <alignment horizontal="center" vertical="center"/>
    </xf>
    <xf numFmtId="190" fontId="103" fillId="9" borderId="43" xfId="22" applyNumberFormat="1" applyFont="1" applyFill="1" applyBorder="1" applyAlignment="1">
      <alignment horizontal="center" vertical="center"/>
    </xf>
    <xf numFmtId="192" fontId="103" fillId="9" borderId="43" xfId="65" applyNumberFormat="1" applyFont="1" applyFill="1" applyBorder="1" applyAlignment="1">
      <alignment horizontal="center" vertical="center"/>
    </xf>
    <xf numFmtId="10" fontId="103" fillId="0" borderId="43" xfId="65" applyNumberFormat="1" applyFont="1" applyBorder="1" applyAlignment="1">
      <alignment horizontal="center" vertical="center"/>
    </xf>
    <xf numFmtId="190" fontId="103" fillId="9" borderId="22" xfId="65" applyNumberFormat="1" applyFont="1" applyFill="1" applyBorder="1" applyAlignment="1">
      <alignment horizontal="center" vertical="center"/>
    </xf>
    <xf numFmtId="191" fontId="103" fillId="0" borderId="22" xfId="65" applyNumberFormat="1" applyFont="1" applyBorder="1" applyAlignment="1">
      <alignment horizontal="center" vertical="center"/>
    </xf>
    <xf numFmtId="190" fontId="103" fillId="9" borderId="22" xfId="66" applyNumberFormat="1" applyFont="1" applyFill="1" applyBorder="1" applyAlignment="1">
      <alignment horizontal="center" vertical="center"/>
    </xf>
    <xf numFmtId="10" fontId="103" fillId="0" borderId="22" xfId="22" applyNumberFormat="1" applyFont="1" applyBorder="1" applyAlignment="1">
      <alignment horizontal="center" vertical="center"/>
    </xf>
    <xf numFmtId="190" fontId="103" fillId="9" borderId="22" xfId="22" applyNumberFormat="1" applyFont="1" applyFill="1" applyBorder="1" applyAlignment="1">
      <alignment horizontal="center" vertical="center"/>
    </xf>
    <xf numFmtId="192" fontId="103" fillId="9" borderId="22" xfId="65" applyNumberFormat="1" applyFont="1" applyFill="1" applyBorder="1" applyAlignment="1">
      <alignment horizontal="center" vertical="center"/>
    </xf>
    <xf numFmtId="10" fontId="103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9" fontId="103" fillId="0" borderId="45" xfId="5" applyNumberFormat="1" applyFont="1" applyBorder="1" applyAlignment="1">
      <alignment horizontal="center" vertical="center"/>
    </xf>
    <xf numFmtId="189" fontId="102" fillId="0" borderId="46" xfId="5" applyNumberFormat="1" applyFont="1" applyBorder="1" applyAlignment="1">
      <alignment horizontal="center" vertical="center"/>
    </xf>
    <xf numFmtId="190" fontId="103" fillId="9" borderId="47" xfId="65" applyNumberFormat="1" applyFont="1" applyFill="1" applyBorder="1" applyAlignment="1">
      <alignment horizontal="center" vertical="center"/>
    </xf>
    <xf numFmtId="191" fontId="103" fillId="0" borderId="47" xfId="65" applyNumberFormat="1" applyFont="1" applyBorder="1" applyAlignment="1">
      <alignment horizontal="center" vertical="center"/>
    </xf>
    <xf numFmtId="10" fontId="103" fillId="0" borderId="47" xfId="22" applyNumberFormat="1" applyFont="1" applyBorder="1" applyAlignment="1">
      <alignment horizontal="center" vertical="center"/>
    </xf>
    <xf numFmtId="10" fontId="103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91" fontId="2" fillId="0" borderId="0" xfId="22" applyNumberFormat="1" applyFont="1">
      <alignment vertical="center"/>
    </xf>
    <xf numFmtId="190" fontId="103" fillId="9" borderId="47" xfId="66" applyNumberFormat="1" applyFont="1" applyFill="1" applyBorder="1" applyAlignment="1">
      <alignment horizontal="center" vertical="center"/>
    </xf>
    <xf numFmtId="190" fontId="103" fillId="9" borderId="47" xfId="22" applyNumberFormat="1" applyFont="1" applyFill="1" applyBorder="1" applyAlignment="1">
      <alignment horizontal="center" vertical="center"/>
    </xf>
    <xf numFmtId="192" fontId="103" fillId="9" borderId="47" xfId="65" applyNumberFormat="1" applyFont="1" applyFill="1" applyBorder="1" applyAlignment="1">
      <alignment horizontal="center" vertical="center"/>
    </xf>
    <xf numFmtId="189" fontId="103" fillId="0" borderId="42" xfId="5" applyNumberFormat="1" applyFont="1" applyBorder="1" applyAlignment="1">
      <alignment horizontal="center" vertical="center"/>
    </xf>
    <xf numFmtId="189" fontId="103" fillId="0" borderId="30" xfId="5" applyNumberFormat="1" applyFont="1" applyBorder="1" applyAlignment="1">
      <alignment horizontal="center" vertical="center"/>
    </xf>
    <xf numFmtId="190" fontId="103" fillId="9" borderId="30" xfId="65" applyNumberFormat="1" applyFont="1" applyFill="1" applyBorder="1" applyAlignment="1">
      <alignment horizontal="center" vertical="center"/>
    </xf>
    <xf numFmtId="191" fontId="103" fillId="0" borderId="30" xfId="65" applyNumberFormat="1" applyFont="1" applyBorder="1" applyAlignment="1">
      <alignment horizontal="center" vertical="center"/>
    </xf>
    <xf numFmtId="190" fontId="103" fillId="9" borderId="30" xfId="66" applyNumberFormat="1" applyFont="1" applyFill="1" applyBorder="1" applyAlignment="1">
      <alignment horizontal="center" vertical="center"/>
    </xf>
    <xf numFmtId="10" fontId="103" fillId="0" borderId="30" xfId="22" applyNumberFormat="1" applyFont="1" applyBorder="1" applyAlignment="1">
      <alignment horizontal="center" vertical="center"/>
    </xf>
    <xf numFmtId="190" fontId="103" fillId="9" borderId="30" xfId="22" applyNumberFormat="1" applyFont="1" applyFill="1" applyBorder="1" applyAlignment="1">
      <alignment horizontal="center" vertical="center"/>
    </xf>
    <xf numFmtId="192" fontId="103" fillId="9" borderId="30" xfId="65" applyNumberFormat="1" applyFont="1" applyFill="1" applyBorder="1" applyAlignment="1">
      <alignment horizontal="center" vertical="center"/>
    </xf>
    <xf numFmtId="10" fontId="103" fillId="0" borderId="30" xfId="65" applyNumberFormat="1" applyFont="1" applyBorder="1" applyAlignment="1">
      <alignment horizontal="center" vertical="center"/>
    </xf>
    <xf numFmtId="10" fontId="103" fillId="0" borderId="0" xfId="65" applyNumberFormat="1" applyFont="1" applyAlignment="1">
      <alignment horizontal="center" vertical="center"/>
    </xf>
    <xf numFmtId="189" fontId="104" fillId="0" borderId="22" xfId="5" applyNumberFormat="1" applyFont="1" applyBorder="1" applyAlignment="1">
      <alignment horizontal="center" vertical="center"/>
    </xf>
    <xf numFmtId="10" fontId="102" fillId="0" borderId="22" xfId="22" applyNumberFormat="1" applyFont="1" applyBorder="1" applyAlignment="1">
      <alignment horizontal="center" vertical="center"/>
    </xf>
    <xf numFmtId="0" fontId="103" fillId="0" borderId="0" xfId="65" applyFont="1">
      <alignment vertical="center"/>
    </xf>
    <xf numFmtId="1" fontId="103" fillId="0" borderId="0" xfId="65" applyNumberFormat="1" applyFont="1">
      <alignment vertical="center"/>
    </xf>
    <xf numFmtId="190" fontId="103" fillId="0" borderId="0" xfId="65" applyNumberFormat="1" applyFont="1">
      <alignment vertical="center"/>
    </xf>
    <xf numFmtId="0" fontId="60" fillId="0" borderId="22" xfId="11" applyFont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106" fillId="0" borderId="22" xfId="11" applyFont="1" applyBorder="1" applyAlignment="1">
      <alignment horizontal="center" vertical="center" shrinkToFit="1"/>
    </xf>
    <xf numFmtId="0" fontId="107" fillId="9" borderId="22" xfId="11" applyFont="1" applyFill="1" applyBorder="1" applyAlignment="1">
      <alignment horizontal="center" vertical="center" shrinkToFit="1"/>
    </xf>
    <xf numFmtId="0" fontId="34" fillId="4" borderId="0" xfId="11" applyFont="1" applyFill="1" applyAlignment="1">
      <alignment shrinkToFit="1"/>
    </xf>
    <xf numFmtId="0" fontId="57" fillId="0" borderId="0" xfId="11" applyFont="1"/>
    <xf numFmtId="0" fontId="53" fillId="0" borderId="0" xfId="11" applyFont="1" applyAlignment="1">
      <alignment shrinkToFit="1"/>
    </xf>
    <xf numFmtId="0" fontId="59" fillId="0" borderId="0" xfId="11" applyFont="1"/>
    <xf numFmtId="0" fontId="61" fillId="0" borderId="22" xfId="11" applyFont="1" applyBorder="1" applyAlignment="1">
      <alignment horizontal="center" shrinkToFit="1"/>
    </xf>
    <xf numFmtId="0" fontId="53" fillId="0" borderId="22" xfId="11" applyFont="1" applyBorder="1" applyAlignment="1">
      <alignment horizontal="center" shrinkToFit="1"/>
    </xf>
    <xf numFmtId="0" fontId="34" fillId="0" borderId="0" xfId="11" applyFont="1" applyAlignment="1">
      <alignment horizontal="center" shrinkToFit="1"/>
    </xf>
    <xf numFmtId="4" fontId="34" fillId="0" borderId="22" xfId="11" applyNumberFormat="1" applyFont="1" applyBorder="1" applyAlignment="1">
      <alignment horizontal="right" shrinkToFit="1"/>
    </xf>
    <xf numFmtId="0" fontId="34" fillId="0" borderId="0" xfId="11" applyFont="1" applyAlignment="1">
      <alignment shrinkToFit="1"/>
    </xf>
    <xf numFmtId="0" fontId="53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0" fontId="53" fillId="0" borderId="0" xfId="11" applyNumberFormat="1" applyFont="1" applyAlignment="1">
      <alignment shrinkToFit="1"/>
    </xf>
    <xf numFmtId="0" fontId="54" fillId="0" borderId="0" xfId="11" applyFont="1"/>
    <xf numFmtId="0" fontId="61" fillId="0" borderId="22" xfId="11" applyFont="1" applyBorder="1" applyAlignment="1">
      <alignment shrinkToFit="1"/>
    </xf>
    <xf numFmtId="4" fontId="34" fillId="0" borderId="22" xfId="11" applyNumberFormat="1" applyFont="1" applyBorder="1" applyAlignment="1">
      <alignment shrinkToFit="1"/>
    </xf>
    <xf numFmtId="0" fontId="13" fillId="0" borderId="0" xfId="11" applyFont="1" applyAlignment="1">
      <alignment horizontal="center" vertical="center" shrinkToFit="1"/>
    </xf>
    <xf numFmtId="0" fontId="30" fillId="4" borderId="0" xfId="11" applyFill="1" applyAlignment="1">
      <alignment horizontal="center" vertical="center" shrinkToFit="1"/>
    </xf>
    <xf numFmtId="0" fontId="13" fillId="0" borderId="0" xfId="11" applyFont="1" applyAlignment="1">
      <alignment horizontal="right" shrinkToFit="1"/>
    </xf>
    <xf numFmtId="0" fontId="17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30" fillId="4" borderId="0" xfId="11" applyFill="1" applyAlignment="1">
      <alignment shrinkToFit="1"/>
    </xf>
    <xf numFmtId="0" fontId="13" fillId="4" borderId="0" xfId="11" applyFont="1" applyFill="1" applyAlignment="1">
      <alignment shrinkToFit="1"/>
    </xf>
    <xf numFmtId="189" fontId="104" fillId="0" borderId="30" xfId="5" applyNumberFormat="1" applyFont="1" applyBorder="1" applyAlignment="1">
      <alignment horizontal="center" vertical="center"/>
    </xf>
    <xf numFmtId="10" fontId="102" fillId="0" borderId="30" xfId="22" applyNumberFormat="1" applyFont="1" applyBorder="1" applyAlignment="1">
      <alignment horizontal="center" vertical="center"/>
    </xf>
    <xf numFmtId="189" fontId="103" fillId="0" borderId="22" xfId="5" applyNumberFormat="1" applyFont="1" applyBorder="1" applyAlignment="1">
      <alignment horizontal="center" vertical="center"/>
    </xf>
    <xf numFmtId="0" fontId="2" fillId="0" borderId="22" xfId="65" applyBorder="1">
      <alignment vertical="center"/>
    </xf>
    <xf numFmtId="190" fontId="102" fillId="9" borderId="22" xfId="65" applyNumberFormat="1" applyFont="1" applyFill="1" applyBorder="1" applyAlignment="1">
      <alignment horizontal="center" vertical="center"/>
    </xf>
    <xf numFmtId="0" fontId="99" fillId="10" borderId="23" xfId="65" applyFont="1" applyFill="1" applyBorder="1" applyAlignment="1">
      <alignment horizontal="center" vertical="center" wrapText="1"/>
    </xf>
    <xf numFmtId="0" fontId="101" fillId="10" borderId="23" xfId="65" applyFont="1" applyFill="1" applyBorder="1" applyAlignment="1">
      <alignment horizontal="center" vertical="center"/>
    </xf>
    <xf numFmtId="190" fontId="102" fillId="9" borderId="47" xfId="66" applyNumberFormat="1" applyFont="1" applyFill="1" applyBorder="1" applyAlignment="1">
      <alignment horizontal="center" vertical="center"/>
    </xf>
    <xf numFmtId="193" fontId="103" fillId="0" borderId="30" xfId="2" applyNumberFormat="1" applyFont="1" applyFill="1" applyBorder="1" applyAlignment="1">
      <alignment vertical="center"/>
    </xf>
    <xf numFmtId="0" fontId="44" fillId="0" borderId="30" xfId="65" applyFont="1" applyBorder="1">
      <alignment vertical="center"/>
    </xf>
    <xf numFmtId="0" fontId="69" fillId="2" borderId="1" xfId="0" applyFont="1" applyFill="1" applyBorder="1" applyAlignment="1">
      <alignment horizontal="center" vertical="center" shrinkToFit="1"/>
    </xf>
    <xf numFmtId="182" fontId="32" fillId="0" borderId="0" xfId="0" applyNumberFormat="1" applyFont="1" applyAlignment="1">
      <alignment vertical="center"/>
    </xf>
    <xf numFmtId="186" fontId="32" fillId="0" borderId="0" xfId="0" applyNumberFormat="1" applyFont="1" applyAlignment="1">
      <alignment vertical="center"/>
    </xf>
    <xf numFmtId="183" fontId="96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vertical="center"/>
    </xf>
    <xf numFmtId="187" fontId="32" fillId="0" borderId="0" xfId="0" applyNumberFormat="1" applyFont="1"/>
    <xf numFmtId="179" fontId="32" fillId="0" borderId="0" xfId="11" applyNumberFormat="1" applyFont="1" applyAlignment="1">
      <alignment horizontal="center"/>
    </xf>
    <xf numFmtId="179" fontId="93" fillId="0" borderId="0" xfId="11" applyNumberFormat="1" applyFont="1" applyAlignment="1">
      <alignment horizontal="center"/>
    </xf>
    <xf numFmtId="0" fontId="50" fillId="0" borderId="0" xfId="11" applyFont="1" applyAlignment="1">
      <alignment horizontal="center" vertical="center" shrinkToFit="1"/>
    </xf>
    <xf numFmtId="0" fontId="106" fillId="9" borderId="22" xfId="11" applyFont="1" applyFill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186" fontId="32" fillId="0" borderId="0" xfId="0" applyNumberFormat="1" applyFont="1" applyAlignment="1">
      <alignment horizontal="center"/>
    </xf>
    <xf numFmtId="176" fontId="32" fillId="0" borderId="0" xfId="0" applyNumberFormat="1" applyFont="1" applyAlignment="1">
      <alignment horizontal="center"/>
    </xf>
    <xf numFmtId="10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 vertical="center"/>
    </xf>
    <xf numFmtId="187" fontId="32" fillId="0" borderId="0" xfId="0" applyNumberFormat="1" applyFont="1" applyAlignment="1">
      <alignment horizontal="center" vertical="center"/>
    </xf>
    <xf numFmtId="179" fontId="32" fillId="0" borderId="0" xfId="11" applyNumberFormat="1" applyFont="1" applyAlignment="1">
      <alignment horizontal="center" vertical="center"/>
    </xf>
    <xf numFmtId="0" fontId="32" fillId="0" borderId="0" xfId="11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77" fontId="33" fillId="8" borderId="0" xfId="0" applyNumberFormat="1" applyFont="1" applyFill="1" applyAlignment="1">
      <alignment horizontal="center" vertical="center"/>
    </xf>
    <xf numFmtId="178" fontId="33" fillId="6" borderId="0" xfId="0" applyNumberFormat="1" applyFont="1" applyFill="1" applyAlignment="1">
      <alignment horizontal="center" vertical="center"/>
    </xf>
    <xf numFmtId="176" fontId="33" fillId="5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178" fontId="33" fillId="0" borderId="0" xfId="0" applyNumberFormat="1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87" fontId="32" fillId="0" borderId="0" xfId="11" applyNumberFormat="1" applyFont="1" applyAlignment="1">
      <alignment horizontal="center" vertical="center"/>
    </xf>
    <xf numFmtId="186" fontId="32" fillId="0" borderId="0" xfId="0" applyNumberFormat="1" applyFont="1" applyAlignment="1">
      <alignment horizontal="center" vertical="center"/>
    </xf>
    <xf numFmtId="185" fontId="32" fillId="0" borderId="0" xfId="0" applyNumberFormat="1" applyFont="1" applyAlignment="1">
      <alignment horizontal="center"/>
    </xf>
    <xf numFmtId="10" fontId="21" fillId="5" borderId="0" xfId="0" applyNumberFormat="1" applyFont="1" applyFill="1" applyAlignment="1">
      <alignment horizontal="center" vertical="center"/>
    </xf>
    <xf numFmtId="185" fontId="3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 vertical="center"/>
    </xf>
    <xf numFmtId="182" fontId="33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82" fontId="32" fillId="0" borderId="0" xfId="0" applyNumberFormat="1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shrinkToFit="1"/>
    </xf>
    <xf numFmtId="182" fontId="34" fillId="0" borderId="22" xfId="0" applyNumberFormat="1" applyFont="1" applyBorder="1" applyAlignment="1">
      <alignment horizontal="center" vertical="center" shrinkToFit="1"/>
    </xf>
    <xf numFmtId="177" fontId="38" fillId="0" borderId="22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34" fillId="0" borderId="22" xfId="0" applyNumberFormat="1" applyFont="1" applyBorder="1" applyAlignment="1">
      <alignment horizontal="center" vertical="center" shrinkToFit="1"/>
    </xf>
    <xf numFmtId="183" fontId="30" fillId="0" borderId="23" xfId="11" applyNumberFormat="1" applyBorder="1" applyAlignment="1">
      <alignment horizontal="center" vertical="center"/>
    </xf>
    <xf numFmtId="183" fontId="30" fillId="0" borderId="29" xfId="11" applyNumberFormat="1" applyBorder="1" applyAlignment="1">
      <alignment horizontal="center" vertical="center"/>
    </xf>
    <xf numFmtId="183" fontId="30" fillId="0" borderId="30" xfId="11" applyNumberFormat="1" applyBorder="1" applyAlignment="1">
      <alignment horizontal="center" vertical="center"/>
    </xf>
    <xf numFmtId="0" fontId="30" fillId="0" borderId="32" xfId="11" applyBorder="1" applyAlignment="1">
      <alignment horizontal="center" vertical="center"/>
    </xf>
    <xf numFmtId="0" fontId="30" fillId="0" borderId="34" xfId="11" applyBorder="1" applyAlignment="1">
      <alignment horizontal="center" vertical="center"/>
    </xf>
    <xf numFmtId="0" fontId="40" fillId="0" borderId="23" xfId="11" applyFont="1" applyBorder="1" applyAlignment="1">
      <alignment horizontal="center" vertical="center"/>
    </xf>
    <xf numFmtId="0" fontId="40" fillId="0" borderId="29" xfId="11" applyFont="1" applyBorder="1" applyAlignment="1">
      <alignment horizontal="center" vertical="center"/>
    </xf>
    <xf numFmtId="0" fontId="40" fillId="0" borderId="30" xfId="11" applyFont="1" applyBorder="1" applyAlignment="1">
      <alignment horizontal="center" vertical="center"/>
    </xf>
    <xf numFmtId="0" fontId="40" fillId="0" borderId="27" xfId="11" applyFont="1" applyBorder="1" applyAlignment="1">
      <alignment horizontal="center" vertical="center"/>
    </xf>
    <xf numFmtId="0" fontId="40" fillId="0" borderId="28" xfId="11" applyFont="1" applyBorder="1" applyAlignment="1">
      <alignment horizontal="center" vertical="center"/>
    </xf>
    <xf numFmtId="0" fontId="40" fillId="0" borderId="25" xfId="11" applyFont="1" applyBorder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40" fillId="0" borderId="31" xfId="11" applyFont="1" applyBorder="1" applyAlignment="1">
      <alignment horizontal="center" vertical="center"/>
    </xf>
    <xf numFmtId="0" fontId="40" fillId="0" borderId="33" xfId="11" applyFont="1" applyBorder="1" applyAlignment="1">
      <alignment horizontal="center" vertical="center"/>
    </xf>
    <xf numFmtId="0" fontId="40" fillId="0" borderId="35" xfId="11" applyFont="1" applyBorder="1" applyAlignment="1">
      <alignment horizontal="center" vertical="center"/>
    </xf>
    <xf numFmtId="0" fontId="41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179" fontId="40" fillId="0" borderId="22" xfId="11" applyNumberFormat="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0" fontId="30" fillId="0" borderId="23" xfId="11" applyBorder="1" applyAlignment="1">
      <alignment horizontal="center" vertical="center"/>
    </xf>
    <xf numFmtId="0" fontId="30" fillId="0" borderId="29" xfId="11" applyBorder="1" applyAlignment="1">
      <alignment horizontal="center" vertical="center"/>
    </xf>
    <xf numFmtId="0" fontId="30" fillId="0" borderId="30" xfId="1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183" fontId="30" fillId="0" borderId="31" xfId="11" applyNumberFormat="1" applyBorder="1" applyAlignment="1">
      <alignment horizontal="center" vertical="center"/>
    </xf>
    <xf numFmtId="183" fontId="30" fillId="0" borderId="33" xfId="11" applyNumberFormat="1" applyBorder="1" applyAlignment="1">
      <alignment horizontal="center" vertical="center"/>
    </xf>
    <xf numFmtId="183" fontId="30" fillId="0" borderId="35" xfId="11" applyNumberFormat="1" applyBorder="1" applyAlignment="1">
      <alignment horizontal="center" vertical="center"/>
    </xf>
    <xf numFmtId="0" fontId="41" fillId="0" borderId="37" xfId="11" applyFont="1" applyBorder="1" applyAlignment="1">
      <alignment horizontal="left" vertical="center"/>
    </xf>
    <xf numFmtId="0" fontId="42" fillId="0" borderId="37" xfId="11" applyFont="1" applyBorder="1" applyAlignment="1">
      <alignment horizontal="left" vertical="center"/>
    </xf>
    <xf numFmtId="0" fontId="84" fillId="0" borderId="0" xfId="11" applyFont="1" applyAlignment="1">
      <alignment horizontal="left"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179" fontId="40" fillId="0" borderId="22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53" fillId="0" borderId="22" xfId="11" applyFont="1" applyBorder="1" applyAlignment="1">
      <alignment shrinkToFit="1"/>
    </xf>
    <xf numFmtId="0" fontId="64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shrinkToFit="1"/>
    </xf>
    <xf numFmtId="0" fontId="64" fillId="0" borderId="22" xfId="11" applyFont="1" applyBorder="1" applyAlignment="1">
      <alignment horizontal="center" shrinkToFit="1"/>
    </xf>
    <xf numFmtId="0" fontId="32" fillId="0" borderId="22" xfId="11" applyFont="1" applyBorder="1" applyAlignment="1">
      <alignment horizontal="center" vertic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0" borderId="27" xfId="11" applyFont="1" applyBorder="1" applyAlignment="1">
      <alignment shrinkToFit="1"/>
    </xf>
    <xf numFmtId="0" fontId="34" fillId="0" borderId="28" xfId="11" applyFont="1" applyBorder="1" applyAlignment="1">
      <alignment shrinkToFit="1"/>
    </xf>
    <xf numFmtId="0" fontId="34" fillId="0" borderId="25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62" fillId="0" borderId="0" xfId="11" applyFont="1" applyAlignment="1">
      <alignment horizontal="left" vertical="center" shrinkToFit="1"/>
    </xf>
    <xf numFmtId="0" fontId="63" fillId="0" borderId="0" xfId="11" applyFont="1" applyAlignment="1">
      <alignment horizontal="left" vertical="center" shrinkToFit="1"/>
    </xf>
    <xf numFmtId="0" fontId="64" fillId="0" borderId="22" xfId="11" applyFont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shrinkToFit="1"/>
    </xf>
    <xf numFmtId="0" fontId="38" fillId="0" borderId="22" xfId="11" applyFont="1" applyBorder="1" applyAlignment="1">
      <alignment horizontal="center" vertical="center" shrinkToFit="1"/>
    </xf>
    <xf numFmtId="0" fontId="97" fillId="0" borderId="22" xfId="11" applyFont="1" applyBorder="1" applyAlignment="1">
      <alignment horizontal="center" vertical="center" shrinkToFit="1"/>
    </xf>
    <xf numFmtId="0" fontId="54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 shrinkToFit="1"/>
    </xf>
    <xf numFmtId="0" fontId="34" fillId="0" borderId="37" xfId="11" applyFont="1" applyBorder="1" applyAlignment="1">
      <alignment horizontal="center" vertical="center" shrinkToFit="1"/>
    </xf>
    <xf numFmtId="0" fontId="34" fillId="0" borderId="0" xfId="11" applyFont="1" applyAlignment="1">
      <alignment horizontal="center" vertical="center" shrinkToFit="1"/>
    </xf>
    <xf numFmtId="0" fontId="32" fillId="0" borderId="22" xfId="11" applyFont="1" applyBorder="1" applyAlignment="1">
      <alignment horizontal="center" shrinkToFit="1"/>
    </xf>
    <xf numFmtId="0" fontId="86" fillId="0" borderId="4" xfId="0" applyFont="1" applyBorder="1" applyAlignment="1">
      <alignment horizontal="center" shrinkToFit="1"/>
    </xf>
    <xf numFmtId="0" fontId="34" fillId="0" borderId="3" xfId="0" applyFont="1" applyBorder="1" applyAlignment="1">
      <alignment horizontal="center" shrinkToFit="1"/>
    </xf>
    <xf numFmtId="0" fontId="34" fillId="2" borderId="0" xfId="0" applyFont="1" applyFill="1" applyAlignment="1">
      <alignment horizontal="center" vertical="center" shrinkToFit="1"/>
    </xf>
    <xf numFmtId="0" fontId="34" fillId="2" borderId="40" xfId="0" applyFont="1" applyFill="1" applyBorder="1" applyAlignment="1">
      <alignment horizontal="center" vertical="center" shrinkToFit="1"/>
    </xf>
    <xf numFmtId="0" fontId="34" fillId="2" borderId="39" xfId="0" applyFont="1" applyFill="1" applyBorder="1" applyAlignment="1">
      <alignment horizontal="center" shrinkToFit="1"/>
    </xf>
    <xf numFmtId="0" fontId="34" fillId="2" borderId="2" xfId="0" applyFont="1" applyFill="1" applyBorder="1" applyAlignment="1">
      <alignment horizontal="center" shrinkToFit="1"/>
    </xf>
    <xf numFmtId="0" fontId="34" fillId="2" borderId="3" xfId="0" applyFont="1" applyFill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shrinkToFit="1"/>
    </xf>
    <xf numFmtId="0" fontId="34" fillId="0" borderId="2" xfId="0" applyFont="1" applyBorder="1" applyAlignment="1">
      <alignment shrinkToFit="1"/>
    </xf>
    <xf numFmtId="0" fontId="34" fillId="0" borderId="3" xfId="0" applyFont="1" applyBorder="1" applyAlignment="1">
      <alignment shrinkToFit="1"/>
    </xf>
    <xf numFmtId="0" fontId="34" fillId="0" borderId="9" xfId="0" applyFont="1" applyBorder="1" applyAlignment="1">
      <alignment shrinkToFit="1"/>
    </xf>
    <xf numFmtId="0" fontId="34" fillId="0" borderId="10" xfId="0" applyFont="1" applyBorder="1" applyAlignment="1">
      <alignment shrinkToFit="1"/>
    </xf>
    <xf numFmtId="0" fontId="34" fillId="0" borderId="8" xfId="0" applyFont="1" applyBorder="1" applyAlignment="1">
      <alignment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53" fillId="2" borderId="4" xfId="0" applyFont="1" applyFill="1" applyBorder="1" applyAlignment="1">
      <alignment horizontal="center" vertical="center" shrinkToFit="1"/>
    </xf>
    <xf numFmtId="0" fontId="53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87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9" fillId="0" borderId="22" xfId="0" applyFont="1" applyBorder="1" applyAlignment="1">
      <alignment horizontal="center" vertical="center" shrinkToFit="1"/>
    </xf>
    <xf numFmtId="0" fontId="50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left" vertical="center" shrinkToFit="1"/>
    </xf>
    <xf numFmtId="0" fontId="63" fillId="0" borderId="0" xfId="0" applyFont="1" applyAlignment="1">
      <alignment horizontal="left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4" fillId="9" borderId="22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87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40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40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86" fillId="0" borderId="9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95" fillId="0" borderId="4" xfId="0" applyFont="1" applyBorder="1" applyAlignment="1">
      <alignment shrinkToFit="1"/>
    </xf>
    <xf numFmtId="0" fontId="69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shrinkToFit="1"/>
    </xf>
    <xf numFmtId="0" fontId="34" fillId="0" borderId="38" xfId="0" applyFont="1" applyBorder="1" applyAlignment="1">
      <alignment horizontal="center" shrinkToFit="1"/>
    </xf>
    <xf numFmtId="0" fontId="34" fillId="2" borderId="23" xfId="0" applyFont="1" applyFill="1" applyBorder="1" applyAlignment="1">
      <alignment horizontal="center" vertical="center" shrinkToFit="1"/>
    </xf>
    <xf numFmtId="0" fontId="34" fillId="2" borderId="29" xfId="0" applyFont="1" applyFill="1" applyBorder="1" applyAlignment="1">
      <alignment horizontal="center" vertical="center" shrinkToFit="1"/>
    </xf>
    <xf numFmtId="0" fontId="62" fillId="0" borderId="26" xfId="0" applyFont="1" applyBorder="1" applyAlignment="1">
      <alignment horizontal="left" vertical="center" shrinkToFit="1"/>
    </xf>
    <xf numFmtId="0" fontId="34" fillId="2" borderId="33" xfId="0" applyFont="1" applyFill="1" applyBorder="1" applyAlignment="1">
      <alignment horizontal="center" vertical="center" shrinkToFit="1"/>
    </xf>
    <xf numFmtId="0" fontId="47" fillId="0" borderId="26" xfId="11" applyFont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78" fillId="5" borderId="31" xfId="11" applyFont="1" applyFill="1" applyBorder="1" applyAlignment="1">
      <alignment horizontal="center" vertical="center"/>
    </xf>
    <xf numFmtId="0" fontId="37" fillId="5" borderId="32" xfId="11" applyFont="1" applyFill="1" applyBorder="1" applyAlignment="1">
      <alignment horizontal="center" vertical="center"/>
    </xf>
    <xf numFmtId="0" fontId="37" fillId="5" borderId="33" xfId="11" applyFont="1" applyFill="1" applyBorder="1" applyAlignment="1">
      <alignment horizontal="center" vertical="center"/>
    </xf>
    <xf numFmtId="0" fontId="37" fillId="5" borderId="34" xfId="11" applyFont="1" applyFill="1" applyBorder="1" applyAlignment="1">
      <alignment horizontal="center" vertical="center"/>
    </xf>
    <xf numFmtId="0" fontId="37" fillId="5" borderId="35" xfId="11" applyFont="1" applyFill="1" applyBorder="1" applyAlignment="1">
      <alignment horizontal="center" vertical="center"/>
    </xf>
    <xf numFmtId="0" fontId="37" fillId="5" borderId="36" xfId="11" applyFont="1" applyFill="1" applyBorder="1" applyAlignment="1">
      <alignment horizontal="center" vertical="center"/>
    </xf>
    <xf numFmtId="0" fontId="43" fillId="5" borderId="22" xfId="5" applyFont="1" applyFill="1" applyBorder="1" applyAlignment="1">
      <alignment horizontal="center" vertical="center"/>
    </xf>
    <xf numFmtId="0" fontId="43" fillId="5" borderId="31" xfId="5" applyFont="1" applyFill="1" applyBorder="1" applyAlignment="1">
      <alignment horizontal="center" vertical="center"/>
    </xf>
    <xf numFmtId="0" fontId="43" fillId="5" borderId="33" xfId="5" applyFont="1" applyFill="1" applyBorder="1" applyAlignment="1">
      <alignment horizontal="center" vertical="center"/>
    </xf>
    <xf numFmtId="0" fontId="43" fillId="5" borderId="35" xfId="5" applyFont="1" applyFill="1" applyBorder="1" applyAlignment="1">
      <alignment horizontal="center" vertical="center"/>
    </xf>
    <xf numFmtId="0" fontId="72" fillId="5" borderId="23" xfId="5" applyFont="1" applyFill="1" applyBorder="1" applyAlignment="1">
      <alignment horizontal="center" vertical="center"/>
    </xf>
    <xf numFmtId="0" fontId="43" fillId="5" borderId="29" xfId="5" applyFont="1" applyFill="1" applyBorder="1" applyAlignment="1">
      <alignment horizontal="center" vertical="center"/>
    </xf>
    <xf numFmtId="0" fontId="43" fillId="5" borderId="30" xfId="5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0" fontId="88" fillId="0" borderId="31" xfId="11" applyFont="1" applyBorder="1" applyAlignment="1">
      <alignment horizontal="center" vertical="center"/>
    </xf>
    <xf numFmtId="0" fontId="88" fillId="0" borderId="32" xfId="11" applyFont="1" applyBorder="1" applyAlignment="1">
      <alignment horizontal="center" vertical="center"/>
    </xf>
    <xf numFmtId="0" fontId="88" fillId="0" borderId="33" xfId="11" applyFont="1" applyBorder="1" applyAlignment="1">
      <alignment horizontal="center" vertical="center"/>
    </xf>
    <xf numFmtId="0" fontId="88" fillId="0" borderId="34" xfId="11" applyFont="1" applyBorder="1" applyAlignment="1">
      <alignment horizontal="center" vertical="center"/>
    </xf>
    <xf numFmtId="0" fontId="88" fillId="0" borderId="35" xfId="11" applyFont="1" applyBorder="1" applyAlignment="1">
      <alignment horizontal="center" vertical="center"/>
    </xf>
    <xf numFmtId="0" fontId="88" fillId="0" borderId="36" xfId="11" applyFont="1" applyBorder="1" applyAlignment="1">
      <alignment horizontal="center" vertical="center"/>
    </xf>
    <xf numFmtId="0" fontId="72" fillId="5" borderId="29" xfId="5" applyFont="1" applyFill="1" applyBorder="1" applyAlignment="1">
      <alignment horizontal="center" vertical="center"/>
    </xf>
    <xf numFmtId="0" fontId="72" fillId="5" borderId="30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5" fillId="5" borderId="22" xfId="12" applyFont="1" applyFill="1" applyBorder="1" applyAlignment="1">
      <alignment horizontal="center"/>
    </xf>
    <xf numFmtId="0" fontId="108" fillId="5" borderId="22" xfId="12" applyFont="1" applyFill="1" applyBorder="1" applyAlignment="1">
      <alignment horizontal="center"/>
    </xf>
    <xf numFmtId="0" fontId="98" fillId="5" borderId="22" xfId="65" applyFont="1" applyFill="1" applyBorder="1" applyAlignment="1">
      <alignment horizontal="center" vertical="center"/>
    </xf>
    <xf numFmtId="0" fontId="99" fillId="10" borderId="22" xfId="65" applyFont="1" applyFill="1" applyBorder="1" applyAlignment="1">
      <alignment horizontal="center" vertical="center" wrapText="1"/>
    </xf>
    <xf numFmtId="0" fontId="99" fillId="10" borderId="23" xfId="65" applyFont="1" applyFill="1" applyBorder="1" applyAlignment="1">
      <alignment horizontal="center" vertical="center" wrapText="1"/>
    </xf>
    <xf numFmtId="0" fontId="101" fillId="10" borderId="27" xfId="65" applyFont="1" applyFill="1" applyBorder="1" applyAlignment="1">
      <alignment horizontal="center" vertical="center"/>
    </xf>
    <xf numFmtId="0" fontId="101" fillId="10" borderId="28" xfId="65" applyFont="1" applyFill="1" applyBorder="1" applyAlignment="1">
      <alignment horizontal="center" vertical="center"/>
    </xf>
    <xf numFmtId="0" fontId="101" fillId="10" borderId="25" xfId="65" applyFont="1" applyFill="1" applyBorder="1" applyAlignment="1">
      <alignment horizontal="center" vertical="center"/>
    </xf>
    <xf numFmtId="10" fontId="103" fillId="0" borderId="44" xfId="65" applyNumberFormat="1" applyFont="1" applyBorder="1" applyAlignment="1">
      <alignment horizontal="center" vertical="center"/>
    </xf>
    <xf numFmtId="10" fontId="103" fillId="0" borderId="29" xfId="65" applyNumberFormat="1" applyFont="1" applyBorder="1" applyAlignment="1">
      <alignment horizontal="center" vertical="center"/>
    </xf>
    <xf numFmtId="10" fontId="103" fillId="0" borderId="48" xfId="65" applyNumberFormat="1" applyFont="1" applyBorder="1" applyAlignment="1">
      <alignment horizontal="center" vertical="center"/>
    </xf>
    <xf numFmtId="0" fontId="2" fillId="0" borderId="44" xfId="65" applyBorder="1" applyAlignment="1">
      <alignment horizontal="center" vertical="center"/>
    </xf>
    <xf numFmtId="0" fontId="2" fillId="0" borderId="29" xfId="65" applyBorder="1" applyAlignment="1">
      <alignment horizontal="center" vertical="center"/>
    </xf>
    <xf numFmtId="0" fontId="2" fillId="0" borderId="48" xfId="65" applyBorder="1" applyAlignment="1">
      <alignment horizontal="center" vertical="center"/>
    </xf>
    <xf numFmtId="0" fontId="2" fillId="0" borderId="49" xfId="65" applyBorder="1" applyAlignment="1">
      <alignment horizontal="center" vertical="center"/>
    </xf>
    <xf numFmtId="0" fontId="2" fillId="0" borderId="50" xfId="65" applyBorder="1" applyAlignment="1">
      <alignment horizontal="center" vertical="center"/>
    </xf>
    <xf numFmtId="0" fontId="2" fillId="0" borderId="51" xfId="65" applyBorder="1" applyAlignment="1">
      <alignment horizontal="center" vertical="center"/>
    </xf>
    <xf numFmtId="0" fontId="105" fillId="0" borderId="0" xfId="5" applyFont="1" applyAlignment="1">
      <alignment horizontal="left" vertical="center"/>
    </xf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44" fillId="5" borderId="22" xfId="5" applyFont="1" applyFill="1" applyBorder="1" applyAlignment="1">
      <alignment horizontal="center"/>
    </xf>
    <xf numFmtId="183" fontId="13" fillId="0" borderId="1" xfId="0" applyNumberFormat="1" applyFont="1" applyBorder="1" applyAlignment="1">
      <alignment shrinkToFit="1"/>
    </xf>
  </cellXfs>
  <cellStyles count="120">
    <cellStyle name="一般" xfId="0" builtinId="0"/>
    <cellStyle name="一般 10" xfId="44" xr:uid="{00000000-0005-0000-0000-000001000000}"/>
    <cellStyle name="一般 10 2" xfId="99" xr:uid="{5BCF626F-EA0B-4E86-81FA-435A5B9D8438}"/>
    <cellStyle name="一般 11" xfId="55" xr:uid="{00000000-0005-0000-0000-000002000000}"/>
    <cellStyle name="一般 11 2" xfId="110" xr:uid="{5AF2F24E-7445-490B-9434-ADB3877FBF52}"/>
    <cellStyle name="一般 2" xfId="1" xr:uid="{00000000-0005-0000-0000-000003000000}"/>
    <cellStyle name="一般 2 2" xfId="67" xr:uid="{9CEB7EA8-536D-4625-BC2B-AFF0D4C43352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2 2" xfId="65" xr:uid="{00000000-0005-0000-0000-000007000000}"/>
    <cellStyle name="一般 2 2 30 2 2 30 2 2 3" xfId="72" xr:uid="{F64007A5-EC03-482A-86F0-7FD10A77D36A}"/>
    <cellStyle name="一般 2 2 30 2 2 30 2 3" xfId="25" xr:uid="{00000000-0005-0000-0000-000008000000}"/>
    <cellStyle name="一般 2 2 30 2 2 30 2 3 2" xfId="80" xr:uid="{9702AAAD-90AE-499A-B322-E7169F4B8CD8}"/>
    <cellStyle name="一般 2 2 30 2 2 30 2 4" xfId="29" xr:uid="{00000000-0005-0000-0000-000009000000}"/>
    <cellStyle name="一般 2 2 30 2 2 30 2 4 2" xfId="39" xr:uid="{00000000-0005-0000-0000-00000A000000}"/>
    <cellStyle name="一般 2 2 30 2 2 30 2 4 2 2" xfId="94" xr:uid="{0BD24EE7-A24D-4D40-9248-F11D9DB8942C}"/>
    <cellStyle name="一般 2 2 30 2 2 30 2 4 3" xfId="30" xr:uid="{00000000-0005-0000-0000-00000B000000}"/>
    <cellStyle name="一般 2 2 30 2 2 30 2 4 3 2" xfId="40" xr:uid="{00000000-0005-0000-0000-00000C000000}"/>
    <cellStyle name="一般 2 2 30 2 2 30 2 4 3 2 2" xfId="95" xr:uid="{647EA4C4-9E11-483E-ADCE-51FD7D4BB45D}"/>
    <cellStyle name="一般 2 2 30 2 2 30 2 4 3 3" xfId="52" xr:uid="{00000000-0005-0000-0000-00000D000000}"/>
    <cellStyle name="一般 2 2 30 2 2 30 2 4 3 3 2" xfId="107" xr:uid="{0D57A245-FB7D-4A5E-8688-15F5AD2E8D80}"/>
    <cellStyle name="一般 2 2 30 2 2 30 2 4 3 4" xfId="63" xr:uid="{00000000-0005-0000-0000-00000E000000}"/>
    <cellStyle name="一般 2 2 30 2 2 30 2 4 3 4 2" xfId="118" xr:uid="{42EDB907-B25A-41DB-B4B5-76893971C96E}"/>
    <cellStyle name="一般 2 2 30 2 2 30 2 4 3 5" xfId="85" xr:uid="{EF355FCF-8B5C-41ED-8E7E-702747C24960}"/>
    <cellStyle name="一般 2 2 30 2 2 30 2 4 4" xfId="51" xr:uid="{00000000-0005-0000-0000-00000F000000}"/>
    <cellStyle name="一般 2 2 30 2 2 30 2 4 4 2" xfId="106" xr:uid="{E9746ADB-1512-4262-9809-7EBCA5CE93E6}"/>
    <cellStyle name="一般 2 2 30 2 2 30 2 4 5" xfId="62" xr:uid="{00000000-0005-0000-0000-000010000000}"/>
    <cellStyle name="一般 2 2 30 2 2 30 2 4 5 2" xfId="117" xr:uid="{70BD9729-FD05-4D4E-BA47-60E23BC5F188}"/>
    <cellStyle name="一般 2 2 30 2 2 30 2 4 6" xfId="84" xr:uid="{DB25F750-53DA-4E33-BB8A-1D02E7FE6E0C}"/>
    <cellStyle name="一般 2 2 30 2 2 30 2 5" xfId="35" xr:uid="{00000000-0005-0000-0000-000011000000}"/>
    <cellStyle name="一般 2 2 30 2 2 30 2 5 2" xfId="90" xr:uid="{E14D13AC-4C48-421F-8F3E-BA0F4792BF6C}"/>
    <cellStyle name="一般 2 2 30 2 2 30 2 6" xfId="47" xr:uid="{00000000-0005-0000-0000-000012000000}"/>
    <cellStyle name="一般 2 2 30 2 2 30 2 6 2" xfId="102" xr:uid="{D412B42F-27D6-468D-80E3-BDD0BB3B1AEE}"/>
    <cellStyle name="一般 2 2 30 2 2 30 2 7" xfId="58" xr:uid="{00000000-0005-0000-0000-000013000000}"/>
    <cellStyle name="一般 2 2 30 2 2 30 2 7 2" xfId="113" xr:uid="{7BD7BE6B-42A4-425F-8F09-01758C6CE24C}"/>
    <cellStyle name="一般 2 2 30 2 2 30 2 8" xfId="69" xr:uid="{D4C8C7F0-FF7C-42EE-9990-488C6D2CF218}"/>
    <cellStyle name="一般 2 2 30 2 3 2" xfId="6" xr:uid="{00000000-0005-0000-0000-000014000000}"/>
    <cellStyle name="一般 2 2 30 2 3 2 2" xfId="66" xr:uid="{00000000-0005-0000-0000-000015000000}"/>
    <cellStyle name="一般 2 2 30 2 3 2 3" xfId="70" xr:uid="{E4DF6AA5-6E69-4BB7-B3DD-EAECC3298E19}"/>
    <cellStyle name="一般 2 2 30 3 30" xfId="7" xr:uid="{00000000-0005-0000-0000-000016000000}"/>
    <cellStyle name="一般 2 2 30 3 30 2" xfId="71" xr:uid="{6B2BDEB1-AF3C-428A-B74C-8E047A092867}"/>
    <cellStyle name="一般 2 2 30 3 30 4" xfId="21" xr:uid="{00000000-0005-0000-0000-000017000000}"/>
    <cellStyle name="一般 2 2 30 3 30 4 2" xfId="33" xr:uid="{00000000-0005-0000-0000-000018000000}"/>
    <cellStyle name="一般 2 2 30 3 30 4 2 2" xfId="88" xr:uid="{69728DB5-B3E7-44B2-A827-35841B93769A}"/>
    <cellStyle name="一般 2 2 30 3 30 4 3" xfId="45" xr:uid="{00000000-0005-0000-0000-000019000000}"/>
    <cellStyle name="一般 2 2 30 3 30 4 3 2" xfId="100" xr:uid="{5F64BE6C-783C-4FDB-940C-AF6B455ED610}"/>
    <cellStyle name="一般 2 2 30 3 30 4 4" xfId="56" xr:uid="{00000000-0005-0000-0000-00001A000000}"/>
    <cellStyle name="一般 2 2 30 3 30 4 4 2" xfId="111" xr:uid="{1F728D40-E54D-4E0F-A9D4-9DAC05D401DE}"/>
    <cellStyle name="一般 2 2 30 3 30 4 5" xfId="78" xr:uid="{9F9A32FC-BE55-450B-BDAE-EADDD761D65A}"/>
    <cellStyle name="一般 2 2 4" xfId="16" xr:uid="{00000000-0005-0000-0000-00001B000000}"/>
    <cellStyle name="一般 2 2 4 2" xfId="19" xr:uid="{00000000-0005-0000-0000-00001C000000}"/>
    <cellStyle name="一般 2 2 4 2 2" xfId="76" xr:uid="{6A033DE2-5766-4CDC-A954-614D8791A270}"/>
    <cellStyle name="一般 2 2 4 3" xfId="43" xr:uid="{00000000-0005-0000-0000-00001D000000}"/>
    <cellStyle name="一般 2 2 4 3 2" xfId="98" xr:uid="{81FFF667-BAD5-4AD7-BA7D-6D19EC75732E}"/>
    <cellStyle name="一般 2 2 4 4" xfId="74" xr:uid="{26DE5AB3-14B0-4435-93B3-28DCC6FEBC33}"/>
    <cellStyle name="一般 2 4 2" xfId="17" xr:uid="{00000000-0005-0000-0000-00001E000000}"/>
    <cellStyle name="一般 3" xfId="11" xr:uid="{00000000-0005-0000-0000-00001F000000}"/>
    <cellStyle name="一般 3 3 3 2" xfId="27" xr:uid="{00000000-0005-0000-0000-000020000000}"/>
    <cellStyle name="一般 3 3 3 2 2" xfId="37" xr:uid="{00000000-0005-0000-0000-000021000000}"/>
    <cellStyle name="一般 3 3 3 2 2 2" xfId="92" xr:uid="{E9103F88-41D3-444B-A971-7DBE81DFECE7}"/>
    <cellStyle name="一般 3 3 3 2 3" xfId="49" xr:uid="{00000000-0005-0000-0000-000022000000}"/>
    <cellStyle name="一般 3 3 3 2 3 2" xfId="104" xr:uid="{56838331-B8A6-42F3-9EE9-8F568FDE6D76}"/>
    <cellStyle name="一般 3 3 3 2 4" xfId="60" xr:uid="{00000000-0005-0000-0000-000023000000}"/>
    <cellStyle name="一般 3 3 3 2 4 2" xfId="115" xr:uid="{C3F845D4-6868-43E1-92A2-327FD836C82B}"/>
    <cellStyle name="一般 3 3 3 2 5" xfId="82" xr:uid="{D5F33B64-ABC1-4E4D-A2E4-FC7E7CF65A90}"/>
    <cellStyle name="一般 4" xfId="5" xr:uid="{00000000-0005-0000-0000-000024000000}"/>
    <cellStyle name="一般 5" xfId="15" xr:uid="{00000000-0005-0000-0000-000025000000}"/>
    <cellStyle name="一般 5 2" xfId="26" xr:uid="{00000000-0005-0000-0000-000026000000}"/>
    <cellStyle name="一般 5 2 2" xfId="81" xr:uid="{A2C392EC-4D37-4465-9167-334F69BCF4C7}"/>
    <cellStyle name="一般 5 3" xfId="36" xr:uid="{00000000-0005-0000-0000-000027000000}"/>
    <cellStyle name="一般 5 3 2" xfId="91" xr:uid="{C8ED851B-199D-447F-8093-1F5AB4994353}"/>
    <cellStyle name="一般 5 4" xfId="48" xr:uid="{00000000-0005-0000-0000-000028000000}"/>
    <cellStyle name="一般 5 4 2" xfId="103" xr:uid="{1B843AD4-BE28-497A-8E1F-20AB7AED92F6}"/>
    <cellStyle name="一般 5 5" xfId="59" xr:uid="{00000000-0005-0000-0000-000029000000}"/>
    <cellStyle name="一般 5 5 2" xfId="114" xr:uid="{53BAAA47-F3B2-4302-8113-722B4334BB50}"/>
    <cellStyle name="一般 5 6" xfId="73" xr:uid="{0831A95A-BDD3-442C-B892-EAFEACA51124}"/>
    <cellStyle name="一般 6" xfId="18" xr:uid="{00000000-0005-0000-0000-00002A000000}"/>
    <cellStyle name="一般 6 2" xfId="75" xr:uid="{146CCB4E-B23E-4249-9EC5-90A71CDF048C}"/>
    <cellStyle name="一般 7" xfId="20" xr:uid="{00000000-0005-0000-0000-00002B000000}"/>
    <cellStyle name="一般 7 2" xfId="77" xr:uid="{EC42E36B-A14E-4083-9985-75BC8648D040}"/>
    <cellStyle name="一般 8" xfId="32" xr:uid="{00000000-0005-0000-0000-00002C000000}"/>
    <cellStyle name="一般 8 2" xfId="87" xr:uid="{62A90BDE-7A83-422C-851F-43CC69DB8B39}"/>
    <cellStyle name="一般 9" xfId="42" xr:uid="{00000000-0005-0000-0000-00002D000000}"/>
    <cellStyle name="一般 9 2" xfId="97" xr:uid="{6F07E172-F224-49DD-A720-D768A80EEDE5}"/>
    <cellStyle name="千分位" xfId="54" builtinId="3"/>
    <cellStyle name="千分位 2" xfId="2" xr:uid="{00000000-0005-0000-0000-00002F000000}"/>
    <cellStyle name="千分位 2 2" xfId="24" xr:uid="{00000000-0005-0000-0000-000030000000}"/>
    <cellStyle name="千分位 2 2 2" xfId="79" xr:uid="{7C5132F6-21EB-4FBE-A4FD-CF7BAEFAFCDC}"/>
    <cellStyle name="千分位 2 3" xfId="34" xr:uid="{00000000-0005-0000-0000-000031000000}"/>
    <cellStyle name="千分位 2 3 2" xfId="89" xr:uid="{9B3747FF-FF79-4B28-BD3C-9E1094B11261}"/>
    <cellStyle name="千分位 2 4" xfId="46" xr:uid="{00000000-0005-0000-0000-000032000000}"/>
    <cellStyle name="千分位 2 4 2" xfId="101" xr:uid="{6700581F-FC64-4CE6-8AF9-0E4133B0FF8F}"/>
    <cellStyle name="千分位 2 5" xfId="57" xr:uid="{00000000-0005-0000-0000-000033000000}"/>
    <cellStyle name="千分位 2 5 2" xfId="112" xr:uid="{4B22544B-AAFA-4A9F-996C-B031708F9900}"/>
    <cellStyle name="千分位 2 6" xfId="68" xr:uid="{03460F7C-F42E-48DD-966B-C5640571DA79}"/>
    <cellStyle name="千分位 3" xfId="109" xr:uid="{B7A58D14-F75B-4263-A62C-4678DBE05693}"/>
    <cellStyle name="百分比" xfId="14" builtinId="5"/>
    <cellStyle name="百分比 2" xfId="8" xr:uid="{00000000-0005-0000-0000-000035000000}"/>
    <cellStyle name="百分比 2 2" xfId="10" xr:uid="{00000000-0005-0000-0000-000036000000}"/>
    <cellStyle name="百分比 2 2 2" xfId="23" xr:uid="{00000000-0005-0000-0000-000037000000}"/>
    <cellStyle name="百分比 2 3" xfId="22" xr:uid="{00000000-0005-0000-0000-000038000000}"/>
    <cellStyle name="百分比 3" xfId="3" xr:uid="{00000000-0005-0000-0000-000039000000}"/>
    <cellStyle name="百分比 4" xfId="13" xr:uid="{00000000-0005-0000-0000-00003A000000}"/>
    <cellStyle name="百分比 5" xfId="31" xr:uid="{00000000-0005-0000-0000-00003B000000}"/>
    <cellStyle name="百分比 5 2" xfId="86" xr:uid="{57C391D9-E837-4515-AEBA-BEC5EFE16DAB}"/>
    <cellStyle name="百分比 6" xfId="41" xr:uid="{00000000-0005-0000-0000-00003C000000}"/>
    <cellStyle name="百分比 6 2" xfId="96" xr:uid="{ADD5EEBF-FD1D-46CF-AB49-66A36B240E1A}"/>
    <cellStyle name="百分比 6 4" xfId="28" xr:uid="{00000000-0005-0000-0000-00003D000000}"/>
    <cellStyle name="百分比 6 4 2" xfId="38" xr:uid="{00000000-0005-0000-0000-00003E000000}"/>
    <cellStyle name="百分比 6 4 2 2" xfId="93" xr:uid="{0BBB0943-E314-4A03-AB35-8218A8E93740}"/>
    <cellStyle name="百分比 6 4 3" xfId="50" xr:uid="{00000000-0005-0000-0000-00003F000000}"/>
    <cellStyle name="百分比 6 4 3 2" xfId="105" xr:uid="{30125245-58D8-4E83-A16A-55F7EB218242}"/>
    <cellStyle name="百分比 6 4 4" xfId="61" xr:uid="{00000000-0005-0000-0000-000040000000}"/>
    <cellStyle name="百分比 6 4 4 2" xfId="116" xr:uid="{53F64989-F0DF-493A-BF1E-C138C251079B}"/>
    <cellStyle name="百分比 6 4 5" xfId="83" xr:uid="{727EFA08-23D4-4F9D-8976-3E794C307C21}"/>
    <cellStyle name="百分比 7" xfId="53" xr:uid="{00000000-0005-0000-0000-000041000000}"/>
    <cellStyle name="百分比 7 2" xfId="108" xr:uid="{A9902400-1A0A-43EE-ADFF-1C3EB1A1686B}"/>
    <cellStyle name="百分比 8" xfId="64" xr:uid="{00000000-0005-0000-0000-000042000000}"/>
    <cellStyle name="百分比 8 2" xfId="119" xr:uid="{F9A64181-B03F-4E27-9A9F-EC58AB34B133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H21" sqref="H21"/>
    </sheetView>
  </sheetViews>
  <sheetFormatPr defaultColWidth="12.5703125" defaultRowHeight="15.75" customHeight="1"/>
  <cols>
    <col min="1" max="1" width="27.42578125" style="161" bestFit="1" customWidth="1"/>
    <col min="2" max="2" width="12.5703125" style="161" customWidth="1"/>
    <col min="3" max="4" width="12.5703125" style="16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/>
    <col min="11" max="11" width="16.42578125" style="161" customWidth="1"/>
    <col min="12" max="12" width="12.5703125" style="162"/>
    <col min="13" max="16384" width="12.5703125" style="161"/>
  </cols>
  <sheetData>
    <row r="1" spans="1:14" ht="15.75" customHeight="1">
      <c r="A1" s="358" t="s">
        <v>514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161"/>
    </row>
    <row r="2" spans="1:14" s="162" customFormat="1" ht="15.75" customHeight="1">
      <c r="A2" s="358"/>
      <c r="B2" s="358"/>
      <c r="C2" s="358"/>
      <c r="D2" s="358"/>
      <c r="E2" s="358"/>
      <c r="F2" s="358"/>
      <c r="G2" s="358"/>
      <c r="H2" s="358"/>
      <c r="I2" s="358"/>
      <c r="J2" s="358"/>
      <c r="K2" s="358"/>
    </row>
    <row r="3" spans="1:14" ht="21.6" customHeight="1">
      <c r="A3" s="313" t="s">
        <v>515</v>
      </c>
      <c r="B3" s="314">
        <v>10</v>
      </c>
      <c r="C3" s="315" t="s">
        <v>516</v>
      </c>
      <c r="D3" s="316" t="s">
        <v>571</v>
      </c>
      <c r="E3" s="313" t="s">
        <v>517</v>
      </c>
      <c r="F3" s="359" t="s">
        <v>518</v>
      </c>
      <c r="G3" s="360"/>
      <c r="H3" s="162"/>
      <c r="I3" s="317"/>
      <c r="J3" s="162"/>
      <c r="K3" s="162"/>
      <c r="M3" s="162"/>
      <c r="N3" s="162"/>
    </row>
    <row r="4" spans="1:14" ht="15.75" customHeight="1">
      <c r="A4" s="318" t="s">
        <v>519</v>
      </c>
      <c r="E4" s="319" t="s">
        <v>520</v>
      </c>
      <c r="G4" s="320" t="s">
        <v>521</v>
      </c>
      <c r="L4" s="161"/>
    </row>
    <row r="5" spans="1:14" s="199" customFormat="1" ht="15.75" customHeight="1">
      <c r="A5" s="321" t="s">
        <v>522</v>
      </c>
      <c r="B5" s="321" t="s">
        <v>523</v>
      </c>
      <c r="C5" s="321" t="s">
        <v>524</v>
      </c>
      <c r="D5" s="322" t="s">
        <v>2</v>
      </c>
      <c r="E5" s="322" t="s">
        <v>3</v>
      </c>
      <c r="G5" s="321" t="s">
        <v>522</v>
      </c>
      <c r="H5" s="322" t="s">
        <v>525</v>
      </c>
      <c r="I5" s="322" t="s">
        <v>526</v>
      </c>
      <c r="J5" s="322" t="s">
        <v>527</v>
      </c>
      <c r="K5" s="322" t="s">
        <v>3</v>
      </c>
      <c r="L5" s="323" t="s">
        <v>528</v>
      </c>
    </row>
    <row r="6" spans="1:14" ht="18" customHeight="1">
      <c r="A6" s="194" t="s">
        <v>529</v>
      </c>
      <c r="B6" s="168">
        <v>15660.7</v>
      </c>
      <c r="C6" s="168">
        <v>13981.9</v>
      </c>
      <c r="D6" s="168">
        <f t="shared" ref="D6:D11" si="0">B6-C6</f>
        <v>1678.8000000000011</v>
      </c>
      <c r="E6" s="168">
        <v>29642.6</v>
      </c>
      <c r="G6" s="194" t="s">
        <v>530</v>
      </c>
      <c r="H6" s="324">
        <v>109.4</v>
      </c>
      <c r="I6" s="324">
        <v>106.8</v>
      </c>
      <c r="J6" s="324">
        <v>101.8</v>
      </c>
      <c r="K6" s="324">
        <v>104.5</v>
      </c>
      <c r="L6" s="325" t="s">
        <v>531</v>
      </c>
    </row>
    <row r="7" spans="1:14" ht="18" customHeight="1">
      <c r="A7" s="194" t="s">
        <v>532</v>
      </c>
      <c r="B7" s="168">
        <v>326372</v>
      </c>
      <c r="C7" s="168">
        <v>289645</v>
      </c>
      <c r="D7" s="168">
        <f t="shared" si="0"/>
        <v>36727</v>
      </c>
      <c r="E7" s="168">
        <v>616017</v>
      </c>
      <c r="G7" s="194" t="s">
        <v>533</v>
      </c>
      <c r="H7" s="169">
        <v>0.8</v>
      </c>
      <c r="I7" s="169">
        <v>0.92600000000000005</v>
      </c>
      <c r="J7" s="169">
        <v>0.88300000000000001</v>
      </c>
      <c r="K7" s="169">
        <v>0.90300000000000002</v>
      </c>
      <c r="L7" s="325" t="s">
        <v>4</v>
      </c>
    </row>
    <row r="8" spans="1:14" ht="18" customHeight="1">
      <c r="A8" s="194" t="s">
        <v>5</v>
      </c>
      <c r="B8" s="168">
        <v>9876.4500000000007</v>
      </c>
      <c r="C8" s="168">
        <v>8823.7000000000007</v>
      </c>
      <c r="D8" s="168">
        <f>B8-C8</f>
        <v>1052.75</v>
      </c>
      <c r="E8" s="168">
        <v>18700.2</v>
      </c>
      <c r="G8" s="194" t="s">
        <v>534</v>
      </c>
      <c r="H8" s="169">
        <v>2.5000000000000001E-3</v>
      </c>
      <c r="I8" s="169">
        <v>3.0000000000000001E-3</v>
      </c>
      <c r="J8" s="169">
        <v>0.01</v>
      </c>
      <c r="K8" s="169">
        <v>6.0000000000000001E-3</v>
      </c>
      <c r="L8" s="325" t="s">
        <v>535</v>
      </c>
    </row>
    <row r="9" spans="1:14" ht="18" customHeight="1">
      <c r="A9" s="194" t="s">
        <v>6</v>
      </c>
      <c r="B9" s="169">
        <f>B8/B6</f>
        <v>0.63065188656956583</v>
      </c>
      <c r="C9" s="169">
        <v>0.63017506994534223</v>
      </c>
      <c r="D9" s="169">
        <f t="shared" si="0"/>
        <v>4.7681662422360827E-4</v>
      </c>
      <c r="E9" s="169">
        <f>E8/E6</f>
        <v>0.63085559296418003</v>
      </c>
      <c r="G9" s="194" t="s">
        <v>536</v>
      </c>
      <c r="H9" s="169">
        <v>2.5000000000000001E-3</v>
      </c>
      <c r="I9" s="169">
        <v>4.0000000000000001E-3</v>
      </c>
      <c r="J9" s="169">
        <v>4.0000000000000001E-3</v>
      </c>
      <c r="K9" s="169">
        <v>4.0000000000000001E-3</v>
      </c>
      <c r="L9" s="325" t="s">
        <v>537</v>
      </c>
    </row>
    <row r="10" spans="1:14" ht="18" customHeight="1">
      <c r="A10" s="194" t="s">
        <v>538</v>
      </c>
      <c r="B10" s="168"/>
      <c r="C10" s="168"/>
      <c r="D10" s="168">
        <f t="shared" si="0"/>
        <v>0</v>
      </c>
      <c r="E10" s="195"/>
      <c r="G10" s="194" t="s">
        <v>539</v>
      </c>
      <c r="H10" s="169">
        <v>1</v>
      </c>
      <c r="I10" s="169">
        <v>0.42899999999999999</v>
      </c>
      <c r="J10" s="169">
        <v>0.42899999999999999</v>
      </c>
      <c r="K10" s="169">
        <v>0.42899999999999999</v>
      </c>
      <c r="L10" s="325" t="s">
        <v>7</v>
      </c>
    </row>
    <row r="11" spans="1:14" ht="18" customHeight="1">
      <c r="A11" s="194" t="s">
        <v>540</v>
      </c>
      <c r="B11" s="169"/>
      <c r="C11" s="169"/>
      <c r="D11" s="169">
        <f t="shared" si="0"/>
        <v>0</v>
      </c>
      <c r="E11" s="169"/>
      <c r="G11" s="194" t="s">
        <v>541</v>
      </c>
      <c r="H11" s="169">
        <v>1</v>
      </c>
      <c r="I11" s="169">
        <v>0.8</v>
      </c>
      <c r="J11" s="169">
        <v>0.75</v>
      </c>
      <c r="K11" s="169">
        <v>0.77700000000000002</v>
      </c>
      <c r="L11" s="325" t="s">
        <v>542</v>
      </c>
    </row>
    <row r="12" spans="1:14" ht="9.6" customHeight="1">
      <c r="L12" s="161"/>
    </row>
    <row r="13" spans="1:14" ht="15.75" customHeight="1">
      <c r="A13" s="318" t="s">
        <v>543</v>
      </c>
      <c r="G13" s="318" t="s">
        <v>544</v>
      </c>
      <c r="L13" s="161"/>
    </row>
    <row r="14" spans="1:14" s="189" customFormat="1" ht="14.25">
      <c r="A14" s="326"/>
      <c r="B14" s="327" t="s">
        <v>545</v>
      </c>
      <c r="C14" s="326" t="s">
        <v>546</v>
      </c>
      <c r="D14" s="327" t="s">
        <v>547</v>
      </c>
      <c r="E14" s="326" t="s">
        <v>548</v>
      </c>
      <c r="G14" s="326"/>
      <c r="H14" s="327" t="s">
        <v>523</v>
      </c>
      <c r="I14" s="326" t="s">
        <v>549</v>
      </c>
      <c r="J14" s="327" t="s">
        <v>550</v>
      </c>
      <c r="K14" s="326" t="s">
        <v>551</v>
      </c>
    </row>
    <row r="15" spans="1:14" ht="18" customHeight="1">
      <c r="A15" s="194" t="s">
        <v>209</v>
      </c>
      <c r="B15" s="168">
        <v>15500</v>
      </c>
      <c r="C15" s="169">
        <f>IFERROR(B15/$B$6,"")</f>
        <v>0.9897386451435759</v>
      </c>
      <c r="D15" s="169">
        <v>0.91759999999999997</v>
      </c>
      <c r="E15" s="169">
        <f>IFERROR(C15-D15,"")</f>
        <v>7.213864514357593E-2</v>
      </c>
      <c r="G15" s="194" t="s">
        <v>209</v>
      </c>
      <c r="H15" s="168">
        <v>295076</v>
      </c>
      <c r="I15" s="169">
        <f>IFERROR(H15/$B$7,"")</f>
        <v>0.90410942115132431</v>
      </c>
      <c r="J15" s="169">
        <v>0.84799999999999998</v>
      </c>
      <c r="K15" s="169">
        <f t="shared" ref="K15:K17" si="1">IFERROR(I15-J15,"")</f>
        <v>5.6109421151324335E-2</v>
      </c>
      <c r="L15" s="161"/>
    </row>
    <row r="16" spans="1:14" ht="18" customHeight="1">
      <c r="A16" s="194" t="s">
        <v>210</v>
      </c>
      <c r="B16" s="168"/>
      <c r="C16" s="169">
        <f t="shared" ref="C16:C17" si="2">IFERROR(B16/$B$6,"")</f>
        <v>0</v>
      </c>
      <c r="D16" s="169"/>
      <c r="E16" s="169">
        <f t="shared" ref="E16:E17" si="3">IFERROR(C16-D16,"")</f>
        <v>0</v>
      </c>
      <c r="G16" s="194" t="s">
        <v>210</v>
      </c>
      <c r="H16" s="168"/>
      <c r="I16" s="169">
        <f t="shared" ref="I16:I17" si="4">IFERROR(H16/$B$7,"")</f>
        <v>0</v>
      </c>
      <c r="J16" s="169"/>
      <c r="K16" s="169">
        <f t="shared" si="1"/>
        <v>0</v>
      </c>
      <c r="L16" s="161"/>
    </row>
    <row r="17" spans="1:17" ht="18" customHeight="1">
      <c r="A17" s="194" t="s">
        <v>208</v>
      </c>
      <c r="B17" s="168">
        <v>1441</v>
      </c>
      <c r="C17" s="169">
        <f t="shared" si="2"/>
        <v>9.2013766945283418E-2</v>
      </c>
      <c r="D17" s="169">
        <v>8.2400000000000001E-2</v>
      </c>
      <c r="E17" s="169">
        <f t="shared" si="3"/>
        <v>9.6137669452834168E-3</v>
      </c>
      <c r="G17" s="194" t="s">
        <v>208</v>
      </c>
      <c r="H17" s="168">
        <v>52200</v>
      </c>
      <c r="I17" s="169">
        <f t="shared" si="4"/>
        <v>0.15994019094775286</v>
      </c>
      <c r="J17" s="169">
        <v>0.152</v>
      </c>
      <c r="K17" s="169">
        <f t="shared" si="1"/>
        <v>7.940190947752862E-3</v>
      </c>
      <c r="L17" s="161"/>
    </row>
    <row r="18" spans="1:17" ht="15.75" customHeight="1">
      <c r="C18" s="328">
        <f>SUM(C15:C17)</f>
        <v>1.0817524120888593</v>
      </c>
      <c r="D18" s="328">
        <f>SUM(D15:D17)</f>
        <v>1</v>
      </c>
      <c r="I18" s="328">
        <f>SUM(I15:I17)</f>
        <v>1.0640496120990772</v>
      </c>
      <c r="J18" s="328">
        <f>SUM(J15:J17)</f>
        <v>1</v>
      </c>
      <c r="L18" s="161"/>
    </row>
    <row r="19" spans="1:17" ht="9.6" customHeight="1">
      <c r="A19" s="329"/>
      <c r="L19" s="161"/>
    </row>
    <row r="20" spans="1:17" ht="15.75" customHeight="1">
      <c r="A20" s="318" t="s">
        <v>552</v>
      </c>
      <c r="L20" s="161"/>
    </row>
    <row r="21" spans="1:17" ht="15.75" customHeight="1">
      <c r="A21" s="194" t="s">
        <v>553</v>
      </c>
      <c r="B21" s="330" t="s">
        <v>523</v>
      </c>
      <c r="C21" s="330" t="s">
        <v>554</v>
      </c>
      <c r="D21" s="194" t="s">
        <v>2</v>
      </c>
      <c r="E21" s="194" t="s">
        <v>3</v>
      </c>
      <c r="L21" s="161"/>
    </row>
    <row r="22" spans="1:17" ht="18" customHeight="1">
      <c r="A22" s="194" t="s">
        <v>209</v>
      </c>
      <c r="B22" s="195">
        <v>99.2</v>
      </c>
      <c r="C22" s="195">
        <v>96.2</v>
      </c>
      <c r="D22" s="195">
        <f>B22-C22</f>
        <v>3</v>
      </c>
      <c r="E22" s="331">
        <v>97.7</v>
      </c>
      <c r="G22" s="332"/>
      <c r="H22" s="332"/>
      <c r="I22" s="332"/>
      <c r="J22" s="332"/>
      <c r="K22" s="332"/>
      <c r="L22" s="332"/>
      <c r="M22" s="332"/>
      <c r="N22" s="332"/>
      <c r="O22" s="332"/>
      <c r="P22" s="333"/>
      <c r="Q22" s="333"/>
    </row>
    <row r="23" spans="1:17" ht="18" customHeight="1">
      <c r="A23" s="194" t="s">
        <v>210</v>
      </c>
      <c r="B23" s="195"/>
      <c r="C23" s="195"/>
      <c r="D23" s="195">
        <f>B23-C23</f>
        <v>0</v>
      </c>
      <c r="E23" s="331"/>
      <c r="G23" s="334"/>
      <c r="H23" s="334"/>
      <c r="I23" s="335"/>
      <c r="J23" s="336"/>
      <c r="K23" s="337"/>
      <c r="L23" s="338"/>
      <c r="M23" s="339"/>
      <c r="N23" s="338"/>
      <c r="O23" s="338"/>
      <c r="P23" s="338"/>
      <c r="Q23" s="338"/>
    </row>
    <row r="24" spans="1:17" ht="18" customHeight="1">
      <c r="A24" s="194" t="s">
        <v>208</v>
      </c>
      <c r="B24" s="195">
        <v>111</v>
      </c>
      <c r="C24" s="195">
        <v>111.7</v>
      </c>
      <c r="D24" s="195">
        <f>B24-C24</f>
        <v>-0.70000000000000284</v>
      </c>
      <c r="E24" s="331">
        <v>111.3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D17" sqref="D17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71" t="s">
        <v>126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</row>
    <row r="3" spans="2:23" s="82" customFormat="1" ht="23.45" customHeight="1">
      <c r="B3" s="375" t="s">
        <v>122</v>
      </c>
      <c r="C3" s="376" t="s">
        <v>119</v>
      </c>
      <c r="D3" s="377" t="s">
        <v>103</v>
      </c>
      <c r="E3" s="377"/>
      <c r="F3" s="374" t="s">
        <v>123</v>
      </c>
      <c r="G3" s="374"/>
      <c r="H3" s="374"/>
      <c r="I3" s="372" t="s">
        <v>124</v>
      </c>
      <c r="J3" s="372"/>
      <c r="K3" s="372"/>
      <c r="L3" s="373" t="s">
        <v>125</v>
      </c>
      <c r="M3" s="373"/>
      <c r="N3" s="373"/>
      <c r="O3" s="379" t="s">
        <v>127</v>
      </c>
      <c r="P3" s="379"/>
      <c r="Q3" s="379"/>
      <c r="R3" s="378" t="s">
        <v>128</v>
      </c>
      <c r="S3" s="378"/>
      <c r="T3" s="378"/>
      <c r="U3" s="379" t="s">
        <v>129</v>
      </c>
      <c r="V3" s="379"/>
      <c r="W3" s="379"/>
    </row>
    <row r="4" spans="2:23" s="82" customFormat="1" ht="23.45" customHeight="1">
      <c r="B4" s="375"/>
      <c r="C4" s="376"/>
      <c r="D4" s="377"/>
      <c r="E4" s="377"/>
      <c r="F4" s="80" t="s">
        <v>116</v>
      </c>
      <c r="G4" s="80" t="s">
        <v>120</v>
      </c>
      <c r="H4" s="80" t="s">
        <v>121</v>
      </c>
      <c r="I4" s="92" t="s">
        <v>116</v>
      </c>
      <c r="J4" s="92" t="s">
        <v>120</v>
      </c>
      <c r="K4" s="92" t="s">
        <v>121</v>
      </c>
      <c r="L4" s="91" t="s">
        <v>116</v>
      </c>
      <c r="M4" s="91" t="s">
        <v>120</v>
      </c>
      <c r="N4" s="91" t="s">
        <v>121</v>
      </c>
      <c r="O4" s="85" t="s">
        <v>116</v>
      </c>
      <c r="P4" s="85" t="s">
        <v>120</v>
      </c>
      <c r="Q4" s="85" t="s">
        <v>121</v>
      </c>
      <c r="R4" s="85" t="s">
        <v>116</v>
      </c>
      <c r="S4" s="85" t="s">
        <v>120</v>
      </c>
      <c r="T4" s="85" t="s">
        <v>121</v>
      </c>
      <c r="U4" s="85" t="s">
        <v>116</v>
      </c>
      <c r="V4" s="85" t="s">
        <v>120</v>
      </c>
      <c r="W4" s="85" t="s">
        <v>121</v>
      </c>
    </row>
    <row r="5" spans="2:23">
      <c r="B5" s="368">
        <v>45937</v>
      </c>
      <c r="C5" s="380" t="s">
        <v>570</v>
      </c>
      <c r="D5" s="356">
        <v>45931</v>
      </c>
      <c r="E5" s="357" t="s">
        <v>563</v>
      </c>
      <c r="F5" s="87">
        <v>2824752.9699999997</v>
      </c>
      <c r="G5" s="381">
        <f>SUM(F5:F10)</f>
        <v>13981867.529999999</v>
      </c>
      <c r="H5" s="367">
        <f>SUM(F5:F35)</f>
        <v>29642628.650000002</v>
      </c>
      <c r="I5" s="210">
        <v>59618</v>
      </c>
      <c r="J5" s="382">
        <f>SUM(I5:I10)</f>
        <v>289645</v>
      </c>
      <c r="K5" s="366">
        <f>SUM(I5:I35)</f>
        <v>616017</v>
      </c>
      <c r="L5" s="87">
        <v>1783002</v>
      </c>
      <c r="M5" s="367">
        <f>SUM(L5:L10)</f>
        <v>8823754</v>
      </c>
      <c r="N5" s="365">
        <f>SUM(L5:L35)</f>
        <v>18700204</v>
      </c>
      <c r="O5" s="90">
        <f>L5/F5</f>
        <v>0.63120634580658574</v>
      </c>
      <c r="P5" s="364">
        <f>M5/G5</f>
        <v>0.63108550993402246</v>
      </c>
      <c r="Q5" s="364">
        <f>N5/H5</f>
        <v>0.6308551181745482</v>
      </c>
      <c r="S5" s="232">
        <f>SUM(R5)</f>
        <v>0</v>
      </c>
      <c r="T5" s="363">
        <f>SUM(R5:R34)</f>
        <v>0</v>
      </c>
      <c r="U5" s="90">
        <f t="shared" ref="U5:U35" si="0">R5/F5</f>
        <v>0</v>
      </c>
      <c r="V5" s="232">
        <f>SUM(U5)</f>
        <v>0</v>
      </c>
      <c r="W5" s="370">
        <f>T5/H5</f>
        <v>0</v>
      </c>
    </row>
    <row r="6" spans="2:23">
      <c r="B6" s="368"/>
      <c r="C6" s="361"/>
      <c r="D6" s="356">
        <v>45932</v>
      </c>
      <c r="E6" s="357" t="s">
        <v>564</v>
      </c>
      <c r="F6" s="87">
        <v>2491478.86</v>
      </c>
      <c r="G6" s="381"/>
      <c r="H6" s="367"/>
      <c r="I6" s="210">
        <v>51111</v>
      </c>
      <c r="J6" s="382"/>
      <c r="K6" s="366"/>
      <c r="L6" s="87">
        <v>1571350</v>
      </c>
      <c r="M6" s="367"/>
      <c r="N6" s="365"/>
      <c r="O6" s="90">
        <f>L6/F6</f>
        <v>0.63068967801717579</v>
      </c>
      <c r="P6" s="364"/>
      <c r="Q6" s="364"/>
      <c r="S6" s="363">
        <f>SUM(R6:R12)</f>
        <v>0</v>
      </c>
      <c r="T6" s="363"/>
      <c r="U6" s="90">
        <f t="shared" si="0"/>
        <v>0</v>
      </c>
      <c r="V6" s="363">
        <f>SUM(U6:U12)</f>
        <v>0</v>
      </c>
      <c r="W6" s="363"/>
    </row>
    <row r="7" spans="2:23">
      <c r="B7" s="368"/>
      <c r="C7" s="361"/>
      <c r="D7" s="356">
        <v>45933</v>
      </c>
      <c r="E7" s="357" t="s">
        <v>565</v>
      </c>
      <c r="F7" s="87">
        <v>1927390.0100000002</v>
      </c>
      <c r="G7" s="381"/>
      <c r="H7" s="367"/>
      <c r="I7" s="210">
        <v>39570</v>
      </c>
      <c r="J7" s="382"/>
      <c r="K7" s="366"/>
      <c r="L7" s="87">
        <v>1216995</v>
      </c>
      <c r="M7" s="367"/>
      <c r="N7" s="365"/>
      <c r="O7" s="90">
        <f t="shared" ref="O7:O34" si="1">L7/F7</f>
        <v>0.63142124514799158</v>
      </c>
      <c r="P7" s="364"/>
      <c r="Q7" s="364"/>
      <c r="S7" s="363"/>
      <c r="T7" s="363"/>
      <c r="U7" s="90">
        <f t="shared" si="0"/>
        <v>0</v>
      </c>
      <c r="V7" s="363"/>
      <c r="W7" s="363"/>
    </row>
    <row r="8" spans="2:23">
      <c r="B8" s="368"/>
      <c r="C8" s="361"/>
      <c r="D8" s="356">
        <v>45934</v>
      </c>
      <c r="E8" s="357" t="s">
        <v>566</v>
      </c>
      <c r="F8" s="87">
        <v>1927172.27</v>
      </c>
      <c r="G8" s="381"/>
      <c r="H8" s="367"/>
      <c r="I8" s="210">
        <v>39717</v>
      </c>
      <c r="J8" s="382"/>
      <c r="K8" s="366"/>
      <c r="L8" s="87">
        <v>1216147</v>
      </c>
      <c r="M8" s="367"/>
      <c r="N8" s="365"/>
      <c r="O8" s="90">
        <f t="shared" si="1"/>
        <v>0.63105256283082567</v>
      </c>
      <c r="P8" s="364"/>
      <c r="Q8" s="364"/>
      <c r="S8" s="363"/>
      <c r="T8" s="363"/>
      <c r="U8" s="90">
        <f t="shared" si="0"/>
        <v>0</v>
      </c>
      <c r="V8" s="363"/>
      <c r="W8" s="363"/>
    </row>
    <row r="9" spans="2:23">
      <c r="B9" s="368"/>
      <c r="C9" s="361"/>
      <c r="D9" s="356">
        <v>45935</v>
      </c>
      <c r="E9" s="357" t="s">
        <v>567</v>
      </c>
      <c r="F9" s="87">
        <v>2140557.92</v>
      </c>
      <c r="G9" s="381"/>
      <c r="H9" s="367"/>
      <c r="I9" s="210">
        <v>44134</v>
      </c>
      <c r="J9" s="382"/>
      <c r="K9" s="366"/>
      <c r="L9" s="87">
        <v>1350695</v>
      </c>
      <c r="M9" s="367"/>
      <c r="N9" s="365"/>
      <c r="O9" s="90">
        <f t="shared" si="1"/>
        <v>0.63100137930395273</v>
      </c>
      <c r="P9" s="364"/>
      <c r="Q9" s="364"/>
      <c r="S9" s="363"/>
      <c r="T9" s="363"/>
      <c r="U9" s="90">
        <f t="shared" si="0"/>
        <v>0</v>
      </c>
      <c r="V9" s="363"/>
      <c r="W9" s="363"/>
    </row>
    <row r="10" spans="2:23">
      <c r="B10" s="368"/>
      <c r="C10" s="361"/>
      <c r="D10" s="356">
        <v>45936</v>
      </c>
      <c r="E10" s="356" t="s">
        <v>568</v>
      </c>
      <c r="F10" s="87">
        <v>2670515.5</v>
      </c>
      <c r="G10" s="381"/>
      <c r="H10" s="367"/>
      <c r="I10" s="210">
        <v>55495</v>
      </c>
      <c r="J10" s="382"/>
      <c r="K10" s="366"/>
      <c r="L10" s="87">
        <v>1685565</v>
      </c>
      <c r="M10" s="367"/>
      <c r="N10" s="365"/>
      <c r="O10" s="90">
        <f t="shared" si="1"/>
        <v>0.63117589094689774</v>
      </c>
      <c r="P10" s="364"/>
      <c r="Q10" s="364"/>
      <c r="S10" s="363"/>
      <c r="T10" s="363"/>
      <c r="U10" s="90">
        <f t="shared" si="0"/>
        <v>0</v>
      </c>
      <c r="V10" s="363"/>
      <c r="W10" s="363"/>
    </row>
    <row r="11" spans="2:23">
      <c r="B11" s="368">
        <v>45944</v>
      </c>
      <c r="C11" s="361"/>
      <c r="D11" s="356">
        <v>45937</v>
      </c>
      <c r="E11" s="357" t="s">
        <v>569</v>
      </c>
      <c r="F11" s="87">
        <v>2439394</v>
      </c>
      <c r="G11" s="381">
        <f>SUM(F11:F17)</f>
        <v>15660761.120000001</v>
      </c>
      <c r="H11" s="367"/>
      <c r="I11" s="210">
        <v>51247</v>
      </c>
      <c r="J11" s="382">
        <f>SUM(I11:I17)</f>
        <v>326372</v>
      </c>
      <c r="K11" s="366"/>
      <c r="L11" s="87">
        <v>1538350</v>
      </c>
      <c r="M11" s="367">
        <f>SUM(L11:L17)</f>
        <v>9876450</v>
      </c>
      <c r="N11" s="365"/>
      <c r="O11" s="90">
        <f t="shared" si="1"/>
        <v>0.63062793464278422</v>
      </c>
      <c r="P11" s="364">
        <f>M11/G11</f>
        <v>0.63064942529434354</v>
      </c>
      <c r="Q11" s="364"/>
      <c r="S11" s="363"/>
      <c r="T11" s="363"/>
      <c r="U11" s="90">
        <f t="shared" si="0"/>
        <v>0</v>
      </c>
      <c r="V11" s="363"/>
      <c r="W11" s="363"/>
    </row>
    <row r="12" spans="2:23">
      <c r="B12" s="368"/>
      <c r="C12" s="361"/>
      <c r="D12" s="356">
        <v>45938</v>
      </c>
      <c r="E12" s="357" t="s">
        <v>563</v>
      </c>
      <c r="F12" s="87">
        <v>2377431.23</v>
      </c>
      <c r="G12" s="381"/>
      <c r="H12" s="367"/>
      <c r="I12" s="210">
        <v>49561</v>
      </c>
      <c r="J12" s="382"/>
      <c r="K12" s="366"/>
      <c r="L12" s="87">
        <v>1500350</v>
      </c>
      <c r="M12" s="367"/>
      <c r="N12" s="365"/>
      <c r="O12" s="90">
        <f t="shared" si="1"/>
        <v>0.63108029417111677</v>
      </c>
      <c r="P12" s="364"/>
      <c r="Q12" s="364"/>
      <c r="S12" s="363"/>
      <c r="T12" s="363"/>
      <c r="U12" s="90">
        <f t="shared" si="0"/>
        <v>0</v>
      </c>
      <c r="V12" s="363"/>
      <c r="W12" s="363"/>
    </row>
    <row r="13" spans="2:23">
      <c r="B13" s="368"/>
      <c r="C13" s="361"/>
      <c r="D13" s="356">
        <v>45939</v>
      </c>
      <c r="E13" s="357" t="s">
        <v>564</v>
      </c>
      <c r="F13" s="87">
        <v>1944054.05</v>
      </c>
      <c r="G13" s="381"/>
      <c r="H13" s="367"/>
      <c r="I13" s="210">
        <v>40503</v>
      </c>
      <c r="J13" s="382"/>
      <c r="K13" s="366"/>
      <c r="L13" s="87">
        <v>1226350</v>
      </c>
      <c r="M13" s="367"/>
      <c r="N13" s="365"/>
      <c r="O13" s="90">
        <f t="shared" si="1"/>
        <v>0.63082093833759401</v>
      </c>
      <c r="P13" s="364"/>
      <c r="Q13" s="364"/>
      <c r="S13" s="363">
        <f>SUM(R13:R19)</f>
        <v>0</v>
      </c>
      <c r="T13" s="363"/>
      <c r="U13" s="90">
        <f t="shared" si="0"/>
        <v>0</v>
      </c>
      <c r="V13" s="363" t="e">
        <f>SUM(U13:U19)</f>
        <v>#DIV/0!</v>
      </c>
      <c r="W13" s="363"/>
    </row>
    <row r="14" spans="2:23">
      <c r="B14" s="368"/>
      <c r="C14" s="361"/>
      <c r="D14" s="356">
        <v>45940</v>
      </c>
      <c r="E14" s="357" t="s">
        <v>565</v>
      </c>
      <c r="F14" s="87">
        <v>1880152.1</v>
      </c>
      <c r="G14" s="381"/>
      <c r="H14" s="367"/>
      <c r="I14" s="210">
        <v>39047</v>
      </c>
      <c r="J14" s="382"/>
      <c r="K14" s="366"/>
      <c r="L14" s="87">
        <v>1186350</v>
      </c>
      <c r="M14" s="367"/>
      <c r="N14" s="365"/>
      <c r="O14" s="90">
        <f t="shared" si="1"/>
        <v>0.63098618457517341</v>
      </c>
      <c r="P14" s="364"/>
      <c r="Q14" s="364"/>
      <c r="S14" s="363"/>
      <c r="T14" s="363"/>
      <c r="U14" s="90">
        <f t="shared" si="0"/>
        <v>0</v>
      </c>
      <c r="V14" s="363"/>
      <c r="W14" s="363"/>
    </row>
    <row r="15" spans="2:23">
      <c r="B15" s="368"/>
      <c r="C15" s="361"/>
      <c r="D15" s="356">
        <v>45941</v>
      </c>
      <c r="E15" s="357" t="s">
        <v>566</v>
      </c>
      <c r="F15" s="87">
        <v>1925306.23</v>
      </c>
      <c r="G15" s="381"/>
      <c r="H15" s="367"/>
      <c r="I15" s="210">
        <v>40125</v>
      </c>
      <c r="J15" s="382"/>
      <c r="K15" s="366"/>
      <c r="L15" s="87">
        <v>1214350</v>
      </c>
      <c r="M15" s="367"/>
      <c r="N15" s="365"/>
      <c r="O15" s="90">
        <f t="shared" si="1"/>
        <v>0.63073083184278689</v>
      </c>
      <c r="P15" s="364"/>
      <c r="Q15" s="364"/>
      <c r="S15" s="363"/>
      <c r="T15" s="363"/>
      <c r="U15" s="90">
        <f t="shared" si="0"/>
        <v>0</v>
      </c>
      <c r="V15" s="363"/>
      <c r="W15" s="363"/>
    </row>
    <row r="16" spans="2:23">
      <c r="B16" s="368"/>
      <c r="C16" s="361"/>
      <c r="D16" s="356">
        <v>45942</v>
      </c>
      <c r="E16" s="357" t="s">
        <v>567</v>
      </c>
      <c r="F16" s="87">
        <v>2526042.6900000004</v>
      </c>
      <c r="G16" s="381"/>
      <c r="H16" s="367"/>
      <c r="I16" s="210">
        <v>52506</v>
      </c>
      <c r="J16" s="382"/>
      <c r="K16" s="366"/>
      <c r="L16" s="87">
        <v>1591350</v>
      </c>
      <c r="M16" s="367"/>
      <c r="N16" s="365"/>
      <c r="O16" s="90">
        <f t="shared" si="1"/>
        <v>0.629977476746444</v>
      </c>
      <c r="P16" s="364"/>
      <c r="Q16" s="364"/>
      <c r="S16" s="363"/>
      <c r="T16" s="363"/>
      <c r="U16" s="90">
        <f t="shared" si="0"/>
        <v>0</v>
      </c>
      <c r="V16" s="363"/>
      <c r="W16" s="363"/>
    </row>
    <row r="17" spans="2:23">
      <c r="B17" s="368"/>
      <c r="C17" s="361"/>
      <c r="D17" s="356">
        <v>45943</v>
      </c>
      <c r="E17" s="356" t="s">
        <v>568</v>
      </c>
      <c r="F17" s="87">
        <v>2568380.8199999998</v>
      </c>
      <c r="G17" s="381"/>
      <c r="H17" s="367"/>
      <c r="I17" s="210">
        <v>53383</v>
      </c>
      <c r="J17" s="382"/>
      <c r="K17" s="366"/>
      <c r="L17" s="87">
        <v>1619350</v>
      </c>
      <c r="M17" s="367"/>
      <c r="N17" s="365"/>
      <c r="O17" s="90">
        <f t="shared" si="1"/>
        <v>0.6304945074305609</v>
      </c>
      <c r="P17" s="364"/>
      <c r="Q17" s="364"/>
      <c r="S17" s="363"/>
      <c r="T17" s="363"/>
      <c r="U17" s="90">
        <f t="shared" si="0"/>
        <v>0</v>
      </c>
      <c r="V17" s="363"/>
      <c r="W17" s="363"/>
    </row>
    <row r="18" spans="2:23">
      <c r="B18" s="368">
        <v>45951</v>
      </c>
      <c r="C18" s="361"/>
      <c r="D18" s="356">
        <v>45944</v>
      </c>
      <c r="E18" s="357" t="s">
        <v>569</v>
      </c>
      <c r="G18" s="381">
        <f>SUM(F18:F24)</f>
        <v>0</v>
      </c>
      <c r="H18" s="367"/>
      <c r="I18" s="210"/>
      <c r="J18" s="382">
        <f>SUM(I18:I24)</f>
        <v>0</v>
      </c>
      <c r="K18" s="366"/>
      <c r="L18" s="87"/>
      <c r="M18" s="367">
        <f>SUM(L18:L24)</f>
        <v>0</v>
      </c>
      <c r="N18" s="365"/>
      <c r="O18" s="90" t="e">
        <f t="shared" si="1"/>
        <v>#DIV/0!</v>
      </c>
      <c r="P18" s="364" t="e">
        <f t="shared" ref="P18" si="2">M18/G18</f>
        <v>#DIV/0!</v>
      </c>
      <c r="Q18" s="364"/>
      <c r="S18" s="363"/>
      <c r="T18" s="363"/>
      <c r="U18" s="90" t="e">
        <f t="shared" si="0"/>
        <v>#DIV/0!</v>
      </c>
      <c r="V18" s="363"/>
      <c r="W18" s="363"/>
    </row>
    <row r="19" spans="2:23">
      <c r="B19" s="369"/>
      <c r="C19" s="361"/>
      <c r="D19" s="356">
        <v>45945</v>
      </c>
      <c r="E19" s="357" t="s">
        <v>563</v>
      </c>
      <c r="G19" s="381"/>
      <c r="H19" s="367"/>
      <c r="I19" s="210"/>
      <c r="J19" s="382"/>
      <c r="K19" s="366"/>
      <c r="L19" s="87"/>
      <c r="M19" s="367"/>
      <c r="N19" s="365"/>
      <c r="O19" s="90" t="e">
        <f t="shared" si="1"/>
        <v>#DIV/0!</v>
      </c>
      <c r="P19" s="364"/>
      <c r="Q19" s="364"/>
      <c r="S19" s="363"/>
      <c r="T19" s="363"/>
      <c r="U19" s="90" t="e">
        <f t="shared" si="0"/>
        <v>#DIV/0!</v>
      </c>
      <c r="V19" s="363"/>
      <c r="W19" s="363"/>
    </row>
    <row r="20" spans="2:23">
      <c r="B20" s="369"/>
      <c r="C20" s="361"/>
      <c r="D20" s="356">
        <v>45946</v>
      </c>
      <c r="E20" s="357" t="s">
        <v>564</v>
      </c>
      <c r="G20" s="381"/>
      <c r="H20" s="367"/>
      <c r="I20" s="210"/>
      <c r="J20" s="382"/>
      <c r="K20" s="366"/>
      <c r="L20" s="87"/>
      <c r="M20" s="367"/>
      <c r="N20" s="365"/>
      <c r="O20" s="90" t="e">
        <f t="shared" si="1"/>
        <v>#DIV/0!</v>
      </c>
      <c r="P20" s="364"/>
      <c r="Q20" s="364"/>
      <c r="S20" s="363">
        <f t="shared" ref="S20" si="3">SUM(R20:R26)</f>
        <v>0</v>
      </c>
      <c r="T20" s="363"/>
      <c r="U20" s="90" t="e">
        <f t="shared" si="0"/>
        <v>#DIV/0!</v>
      </c>
      <c r="V20" s="363" t="e">
        <f t="shared" ref="V20" si="4">SUM(U20:U26)</f>
        <v>#DIV/0!</v>
      </c>
      <c r="W20" s="363"/>
    </row>
    <row r="21" spans="2:23">
      <c r="B21" s="369"/>
      <c r="C21" s="361"/>
      <c r="D21" s="356">
        <v>45947</v>
      </c>
      <c r="E21" s="357" t="s">
        <v>565</v>
      </c>
      <c r="G21" s="381"/>
      <c r="H21" s="367"/>
      <c r="I21" s="210"/>
      <c r="J21" s="382"/>
      <c r="K21" s="366"/>
      <c r="L21" s="87"/>
      <c r="M21" s="367"/>
      <c r="N21" s="365"/>
      <c r="O21" s="90" t="e">
        <f t="shared" si="1"/>
        <v>#DIV/0!</v>
      </c>
      <c r="P21" s="364"/>
      <c r="Q21" s="364"/>
      <c r="S21" s="363"/>
      <c r="T21" s="363"/>
      <c r="U21" s="90" t="e">
        <f t="shared" si="0"/>
        <v>#DIV/0!</v>
      </c>
      <c r="V21" s="363"/>
      <c r="W21" s="363"/>
    </row>
    <row r="22" spans="2:23">
      <c r="B22" s="369"/>
      <c r="C22" s="361"/>
      <c r="D22" s="356">
        <v>45948</v>
      </c>
      <c r="E22" s="357" t="s">
        <v>566</v>
      </c>
      <c r="G22" s="381"/>
      <c r="H22" s="367"/>
      <c r="I22" s="210"/>
      <c r="J22" s="382"/>
      <c r="K22" s="366"/>
      <c r="L22" s="87"/>
      <c r="M22" s="367"/>
      <c r="N22" s="365"/>
      <c r="O22" s="90" t="e">
        <f t="shared" si="1"/>
        <v>#DIV/0!</v>
      </c>
      <c r="P22" s="364"/>
      <c r="Q22" s="364"/>
      <c r="S22" s="363"/>
      <c r="T22" s="363"/>
      <c r="U22" s="90" t="e">
        <f t="shared" si="0"/>
        <v>#DIV/0!</v>
      </c>
      <c r="V22" s="363"/>
      <c r="W22" s="363"/>
    </row>
    <row r="23" spans="2:23">
      <c r="B23" s="369"/>
      <c r="C23" s="361"/>
      <c r="D23" s="356">
        <v>45949</v>
      </c>
      <c r="E23" s="357" t="s">
        <v>567</v>
      </c>
      <c r="G23" s="381"/>
      <c r="H23" s="367"/>
      <c r="I23" s="210"/>
      <c r="J23" s="382"/>
      <c r="K23" s="366"/>
      <c r="L23" s="87"/>
      <c r="M23" s="367"/>
      <c r="N23" s="365"/>
      <c r="O23" s="90" t="e">
        <f t="shared" si="1"/>
        <v>#DIV/0!</v>
      </c>
      <c r="P23" s="364"/>
      <c r="Q23" s="364"/>
      <c r="S23" s="363"/>
      <c r="T23" s="363"/>
      <c r="U23" s="90" t="e">
        <f t="shared" si="0"/>
        <v>#DIV/0!</v>
      </c>
      <c r="V23" s="363"/>
      <c r="W23" s="363"/>
    </row>
    <row r="24" spans="2:23">
      <c r="B24" s="369"/>
      <c r="C24" s="361"/>
      <c r="D24" s="356">
        <v>45950</v>
      </c>
      <c r="E24" s="356" t="s">
        <v>568</v>
      </c>
      <c r="G24" s="381"/>
      <c r="H24" s="367"/>
      <c r="I24" s="210"/>
      <c r="J24" s="382"/>
      <c r="K24" s="366"/>
      <c r="L24" s="87"/>
      <c r="M24" s="367"/>
      <c r="N24" s="365"/>
      <c r="O24" s="90" t="e">
        <f t="shared" si="1"/>
        <v>#DIV/0!</v>
      </c>
      <c r="P24" s="364"/>
      <c r="Q24" s="364"/>
      <c r="S24" s="363"/>
      <c r="T24" s="363"/>
      <c r="U24" s="90" t="e">
        <f t="shared" si="0"/>
        <v>#DIV/0!</v>
      </c>
      <c r="V24" s="363"/>
      <c r="W24" s="363"/>
    </row>
    <row r="25" spans="2:23">
      <c r="B25" s="368">
        <v>45958</v>
      </c>
      <c r="C25" s="361"/>
      <c r="D25" s="356">
        <v>45951</v>
      </c>
      <c r="E25" s="357" t="s">
        <v>569</v>
      </c>
      <c r="G25" s="381">
        <f>SUM(F25:F31)</f>
        <v>0</v>
      </c>
      <c r="H25" s="367"/>
      <c r="I25" s="210"/>
      <c r="J25" s="382">
        <f>SUM(I25:I31)</f>
        <v>0</v>
      </c>
      <c r="K25" s="366"/>
      <c r="L25" s="87"/>
      <c r="M25" s="367">
        <f>SUM(L25:L31)</f>
        <v>0</v>
      </c>
      <c r="N25" s="365"/>
      <c r="O25" s="90" t="e">
        <f t="shared" si="1"/>
        <v>#DIV/0!</v>
      </c>
      <c r="P25" s="364" t="e">
        <f t="shared" ref="P25" si="5">M25/G25</f>
        <v>#DIV/0!</v>
      </c>
      <c r="Q25" s="364"/>
      <c r="S25" s="363"/>
      <c r="T25" s="363"/>
      <c r="U25" s="90" t="e">
        <f t="shared" si="0"/>
        <v>#DIV/0!</v>
      </c>
      <c r="V25" s="363"/>
      <c r="W25" s="363"/>
    </row>
    <row r="26" spans="2:23">
      <c r="B26" s="369"/>
      <c r="C26" s="361"/>
      <c r="D26" s="356">
        <v>45952</v>
      </c>
      <c r="E26" s="357" t="s">
        <v>563</v>
      </c>
      <c r="G26" s="381"/>
      <c r="H26" s="367"/>
      <c r="I26" s="210"/>
      <c r="J26" s="382"/>
      <c r="K26" s="366"/>
      <c r="L26" s="87"/>
      <c r="M26" s="367"/>
      <c r="N26" s="365"/>
      <c r="O26" s="90" t="e">
        <f t="shared" si="1"/>
        <v>#DIV/0!</v>
      </c>
      <c r="P26" s="364"/>
      <c r="Q26" s="364"/>
      <c r="S26" s="363"/>
      <c r="T26" s="363"/>
      <c r="U26" s="90" t="e">
        <f t="shared" si="0"/>
        <v>#DIV/0!</v>
      </c>
      <c r="V26" s="363"/>
      <c r="W26" s="363"/>
    </row>
    <row r="27" spans="2:23">
      <c r="B27" s="369"/>
      <c r="C27" s="361"/>
      <c r="D27" s="356">
        <v>45953</v>
      </c>
      <c r="E27" s="357" t="s">
        <v>564</v>
      </c>
      <c r="G27" s="381"/>
      <c r="H27" s="367"/>
      <c r="I27" s="210"/>
      <c r="J27" s="382"/>
      <c r="K27" s="366"/>
      <c r="L27" s="87"/>
      <c r="M27" s="367"/>
      <c r="N27" s="365"/>
      <c r="O27" s="90" t="e">
        <f t="shared" si="1"/>
        <v>#DIV/0!</v>
      </c>
      <c r="P27" s="364"/>
      <c r="Q27" s="364"/>
      <c r="S27" s="363">
        <f t="shared" ref="S27" si="6">SUM(R27:R33)</f>
        <v>0</v>
      </c>
      <c r="T27" s="363"/>
      <c r="U27" s="90" t="e">
        <f t="shared" si="0"/>
        <v>#DIV/0!</v>
      </c>
      <c r="V27" s="363" t="e">
        <f t="shared" ref="V27" si="7">SUM(U27:U33)</f>
        <v>#DIV/0!</v>
      </c>
      <c r="W27" s="363"/>
    </row>
    <row r="28" spans="2:23">
      <c r="B28" s="369"/>
      <c r="C28" s="361"/>
      <c r="D28" s="356">
        <v>45954</v>
      </c>
      <c r="E28" s="357" t="s">
        <v>565</v>
      </c>
      <c r="G28" s="381"/>
      <c r="H28" s="367"/>
      <c r="I28" s="210"/>
      <c r="J28" s="382"/>
      <c r="K28" s="366"/>
      <c r="L28" s="87"/>
      <c r="M28" s="367"/>
      <c r="N28" s="365"/>
      <c r="O28" s="90" t="e">
        <f t="shared" si="1"/>
        <v>#DIV/0!</v>
      </c>
      <c r="P28" s="364"/>
      <c r="Q28" s="364"/>
      <c r="S28" s="363"/>
      <c r="T28" s="363"/>
      <c r="U28" s="90" t="e">
        <f t="shared" si="0"/>
        <v>#DIV/0!</v>
      </c>
      <c r="V28" s="363"/>
      <c r="W28" s="363"/>
    </row>
    <row r="29" spans="2:23">
      <c r="B29" s="369"/>
      <c r="C29" s="361"/>
      <c r="D29" s="356">
        <v>45955</v>
      </c>
      <c r="E29" s="357" t="s">
        <v>566</v>
      </c>
      <c r="G29" s="381"/>
      <c r="H29" s="367"/>
      <c r="I29" s="210"/>
      <c r="J29" s="382"/>
      <c r="K29" s="366"/>
      <c r="L29" s="87"/>
      <c r="M29" s="367"/>
      <c r="N29" s="365"/>
      <c r="O29" s="90" t="e">
        <f t="shared" si="1"/>
        <v>#DIV/0!</v>
      </c>
      <c r="P29" s="364"/>
      <c r="Q29" s="364"/>
      <c r="S29" s="363"/>
      <c r="T29" s="363"/>
      <c r="U29" s="90" t="e">
        <f t="shared" si="0"/>
        <v>#DIV/0!</v>
      </c>
      <c r="V29" s="363"/>
      <c r="W29" s="363"/>
    </row>
    <row r="30" spans="2:23">
      <c r="B30" s="369"/>
      <c r="C30" s="361"/>
      <c r="D30" s="356">
        <v>45956</v>
      </c>
      <c r="E30" s="357" t="s">
        <v>567</v>
      </c>
      <c r="G30" s="381"/>
      <c r="H30" s="367"/>
      <c r="I30" s="210"/>
      <c r="J30" s="382"/>
      <c r="K30" s="366"/>
      <c r="L30" s="87"/>
      <c r="M30" s="367"/>
      <c r="N30" s="365"/>
      <c r="O30" s="90" t="e">
        <f t="shared" si="1"/>
        <v>#DIV/0!</v>
      </c>
      <c r="P30" s="364"/>
      <c r="Q30" s="364"/>
      <c r="S30" s="363"/>
      <c r="T30" s="363"/>
      <c r="U30" s="90" t="e">
        <f t="shared" si="0"/>
        <v>#DIV/0!</v>
      </c>
      <c r="V30" s="363"/>
      <c r="W30" s="363"/>
    </row>
    <row r="31" spans="2:23">
      <c r="B31" s="369"/>
      <c r="C31" s="361"/>
      <c r="D31" s="356">
        <v>45957</v>
      </c>
      <c r="E31" s="356" t="s">
        <v>568</v>
      </c>
      <c r="G31" s="381"/>
      <c r="H31" s="367"/>
      <c r="I31" s="210"/>
      <c r="J31" s="382"/>
      <c r="K31" s="366"/>
      <c r="L31" s="87"/>
      <c r="M31" s="367"/>
      <c r="N31" s="365"/>
      <c r="O31" s="90" t="e">
        <f t="shared" si="1"/>
        <v>#DIV/0!</v>
      </c>
      <c r="P31" s="364"/>
      <c r="Q31" s="364"/>
      <c r="S31" s="363"/>
      <c r="T31" s="363"/>
      <c r="U31" s="90" t="e">
        <f t="shared" si="0"/>
        <v>#DIV/0!</v>
      </c>
      <c r="V31" s="363"/>
      <c r="W31" s="363"/>
    </row>
    <row r="32" spans="2:23">
      <c r="B32" s="83"/>
      <c r="C32" s="361"/>
      <c r="D32" s="356">
        <v>45958</v>
      </c>
      <c r="E32" s="357" t="s">
        <v>569</v>
      </c>
      <c r="G32" s="355"/>
      <c r="H32" s="367"/>
      <c r="I32" s="210"/>
      <c r="J32" s="93"/>
      <c r="K32" s="366"/>
      <c r="L32" s="87"/>
      <c r="M32" s="87"/>
      <c r="N32" s="365"/>
      <c r="O32" s="90" t="e">
        <f t="shared" si="1"/>
        <v>#DIV/0!</v>
      </c>
      <c r="P32" s="354"/>
      <c r="Q32" s="364"/>
      <c r="S32" s="363"/>
      <c r="T32" s="363"/>
      <c r="U32" s="90" t="e">
        <f t="shared" si="0"/>
        <v>#DIV/0!</v>
      </c>
      <c r="V32" s="363"/>
      <c r="W32" s="363"/>
    </row>
    <row r="33" spans="2:23">
      <c r="B33" s="83"/>
      <c r="C33" s="361"/>
      <c r="D33" s="356">
        <v>45959</v>
      </c>
      <c r="E33" s="357" t="s">
        <v>563</v>
      </c>
      <c r="G33" s="355"/>
      <c r="H33" s="367"/>
      <c r="I33" s="210"/>
      <c r="J33" s="93"/>
      <c r="K33" s="366"/>
      <c r="L33" s="87"/>
      <c r="M33" s="87"/>
      <c r="N33" s="365"/>
      <c r="O33" s="90" t="e">
        <f t="shared" si="1"/>
        <v>#DIV/0!</v>
      </c>
      <c r="P33" s="354"/>
      <c r="Q33" s="364"/>
      <c r="S33" s="363"/>
      <c r="T33" s="363"/>
      <c r="U33" s="90" t="e">
        <f t="shared" si="0"/>
        <v>#DIV/0!</v>
      </c>
      <c r="V33" s="363"/>
      <c r="W33" s="363"/>
    </row>
    <row r="34" spans="2:23">
      <c r="B34" s="83"/>
      <c r="C34" s="361"/>
      <c r="D34" s="356">
        <v>45960</v>
      </c>
      <c r="E34" s="357" t="s">
        <v>564</v>
      </c>
      <c r="G34" s="236"/>
      <c r="H34" s="367"/>
      <c r="I34" s="210"/>
      <c r="J34" s="210"/>
      <c r="K34" s="366"/>
      <c r="L34" s="87"/>
      <c r="M34" s="232"/>
      <c r="N34" s="365"/>
      <c r="O34" s="90" t="e">
        <f t="shared" si="1"/>
        <v>#DIV/0!</v>
      </c>
      <c r="P34" s="242"/>
      <c r="Q34" s="364"/>
      <c r="S34" s="87"/>
      <c r="T34" s="363"/>
      <c r="U34" s="90" t="e">
        <f t="shared" si="0"/>
        <v>#DIV/0!</v>
      </c>
      <c r="V34" s="87"/>
      <c r="W34" s="363"/>
    </row>
    <row r="35" spans="2:23">
      <c r="B35" s="83"/>
      <c r="C35" s="361"/>
      <c r="D35" s="356">
        <v>45961</v>
      </c>
      <c r="E35" s="357" t="s">
        <v>565</v>
      </c>
      <c r="H35" s="367"/>
      <c r="I35" s="210"/>
      <c r="J35" s="210"/>
      <c r="K35" s="366"/>
      <c r="L35" s="87"/>
      <c r="M35" s="87"/>
      <c r="N35" s="365"/>
      <c r="P35" s="87"/>
      <c r="Q35" s="87"/>
      <c r="S35" s="87"/>
      <c r="T35" s="87"/>
      <c r="U35" s="90" t="e">
        <f t="shared" si="0"/>
        <v>#DIV/0!</v>
      </c>
      <c r="V35" s="87"/>
      <c r="W35" s="363"/>
    </row>
    <row r="36" spans="2:23">
      <c r="B36" s="83"/>
      <c r="D36" s="86"/>
      <c r="E36" s="86"/>
      <c r="I36" s="210"/>
      <c r="J36" s="210"/>
      <c r="K36" s="210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361"/>
      <c r="D37" s="86"/>
      <c r="E37" s="86"/>
      <c r="G37" s="363"/>
      <c r="I37" s="210"/>
      <c r="J37" s="362"/>
      <c r="K37" s="210"/>
      <c r="L37" s="87"/>
      <c r="M37" s="363"/>
      <c r="N37" s="87"/>
      <c r="P37" s="363"/>
      <c r="Q37" s="87"/>
      <c r="S37" s="363">
        <f t="shared" ref="S37" si="8">SUM(R37:R43)</f>
        <v>0</v>
      </c>
      <c r="T37" s="87"/>
      <c r="V37" s="363">
        <f t="shared" ref="V37" si="9">SUM(U37:U43)</f>
        <v>0</v>
      </c>
      <c r="W37" s="87"/>
    </row>
    <row r="38" spans="2:23">
      <c r="B38" s="361"/>
      <c r="D38" s="86"/>
      <c r="E38" s="86"/>
      <c r="G38" s="363"/>
      <c r="I38" s="210"/>
      <c r="J38" s="362"/>
      <c r="K38" s="210"/>
      <c r="L38" s="87"/>
      <c r="M38" s="363"/>
      <c r="N38" s="87"/>
      <c r="P38" s="363"/>
      <c r="Q38" s="87"/>
      <c r="S38" s="363"/>
      <c r="T38" s="87"/>
      <c r="V38" s="363"/>
      <c r="W38" s="87"/>
    </row>
    <row r="39" spans="2:23">
      <c r="B39" s="361"/>
      <c r="D39" s="86"/>
      <c r="E39" s="86"/>
      <c r="G39" s="363"/>
      <c r="I39" s="210"/>
      <c r="J39" s="362"/>
      <c r="K39" s="210"/>
      <c r="L39" s="87"/>
      <c r="M39" s="363"/>
      <c r="N39" s="87"/>
      <c r="P39" s="363"/>
      <c r="Q39" s="87"/>
      <c r="S39" s="363"/>
      <c r="T39" s="87"/>
      <c r="V39" s="363"/>
      <c r="W39" s="87"/>
    </row>
    <row r="40" spans="2:23">
      <c r="B40" s="361"/>
      <c r="D40" s="86"/>
      <c r="E40" s="86"/>
      <c r="G40" s="363"/>
      <c r="I40" s="210"/>
      <c r="J40" s="362"/>
      <c r="K40" s="210"/>
      <c r="L40" s="87"/>
      <c r="M40" s="363"/>
      <c r="N40" s="87"/>
      <c r="P40" s="363"/>
      <c r="Q40" s="87"/>
      <c r="S40" s="363"/>
      <c r="T40" s="87"/>
      <c r="V40" s="363"/>
      <c r="W40" s="87"/>
    </row>
    <row r="41" spans="2:23">
      <c r="B41" s="361"/>
      <c r="D41" s="86"/>
      <c r="E41" s="86"/>
      <c r="G41" s="363"/>
      <c r="I41" s="210"/>
      <c r="J41" s="362"/>
      <c r="K41" s="210"/>
      <c r="L41" s="87"/>
      <c r="M41" s="363"/>
      <c r="N41" s="87"/>
      <c r="P41" s="363"/>
      <c r="Q41" s="87"/>
      <c r="S41" s="363"/>
      <c r="T41" s="87"/>
      <c r="V41" s="363"/>
      <c r="W41" s="87"/>
    </row>
    <row r="42" spans="2:23">
      <c r="B42" s="361"/>
      <c r="D42" s="86"/>
      <c r="E42" s="86"/>
      <c r="G42" s="363"/>
      <c r="I42" s="210"/>
      <c r="J42" s="362"/>
      <c r="K42" s="210"/>
      <c r="L42" s="87"/>
      <c r="M42" s="363"/>
      <c r="N42" s="87"/>
      <c r="P42" s="363"/>
      <c r="Q42" s="87"/>
      <c r="S42" s="363"/>
      <c r="T42" s="87"/>
      <c r="V42" s="363"/>
      <c r="W42" s="87"/>
    </row>
    <row r="43" spans="2:23">
      <c r="B43" s="361"/>
      <c r="D43" s="86"/>
      <c r="E43" s="86"/>
      <c r="G43" s="363"/>
      <c r="I43" s="210"/>
      <c r="J43" s="362"/>
      <c r="K43" s="210"/>
      <c r="L43" s="87"/>
      <c r="M43" s="363"/>
      <c r="N43" s="87"/>
      <c r="P43" s="363"/>
      <c r="Q43" s="87"/>
      <c r="S43" s="363"/>
      <c r="T43" s="87"/>
      <c r="V43" s="363"/>
      <c r="W43" s="87"/>
    </row>
  </sheetData>
  <mergeCells count="52">
    <mergeCell ref="J5:J10"/>
    <mergeCell ref="J11:J17"/>
    <mergeCell ref="J18:J24"/>
    <mergeCell ref="J25:J31"/>
    <mergeCell ref="H5:H35"/>
    <mergeCell ref="C5:C35"/>
    <mergeCell ref="G5:G10"/>
    <mergeCell ref="G11:G17"/>
    <mergeCell ref="G18:G24"/>
    <mergeCell ref="G25:G31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5:P10"/>
    <mergeCell ref="P11:P17"/>
    <mergeCell ref="P18:P24"/>
    <mergeCell ref="B37:B43"/>
    <mergeCell ref="J37:J43"/>
    <mergeCell ref="G37:G43"/>
    <mergeCell ref="M37:M43"/>
    <mergeCell ref="Q5:Q34"/>
    <mergeCell ref="N5:N35"/>
    <mergeCell ref="P25:P31"/>
    <mergeCell ref="K5:K35"/>
    <mergeCell ref="M5:M10"/>
    <mergeCell ref="M11:M17"/>
    <mergeCell ref="M18:M24"/>
    <mergeCell ref="M25:M31"/>
    <mergeCell ref="B5:B10"/>
    <mergeCell ref="B11:B17"/>
    <mergeCell ref="B18:B24"/>
    <mergeCell ref="B25:B31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D1" zoomScale="85" zoomScaleNormal="85" workbookViewId="0">
      <selection activeCell="I5" sqref="I5:I17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71" t="s">
        <v>130</v>
      </c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</row>
    <row r="3" spans="2:23" s="71" customFormat="1" ht="23.45" customHeight="1">
      <c r="B3" s="375" t="s">
        <v>122</v>
      </c>
      <c r="C3" s="376" t="s">
        <v>119</v>
      </c>
      <c r="D3" s="377" t="s">
        <v>103</v>
      </c>
      <c r="E3" s="377"/>
      <c r="F3" s="387" t="s">
        <v>105</v>
      </c>
      <c r="G3" s="387"/>
      <c r="H3" s="387"/>
      <c r="I3" s="388" t="s">
        <v>106</v>
      </c>
      <c r="J3" s="388"/>
      <c r="K3" s="388"/>
      <c r="L3" s="384" t="s">
        <v>314</v>
      </c>
      <c r="M3" s="384"/>
      <c r="N3" s="384"/>
      <c r="O3" s="384" t="s">
        <v>104</v>
      </c>
      <c r="P3" s="384"/>
      <c r="Q3" s="384"/>
      <c r="R3" s="384" t="s">
        <v>107</v>
      </c>
      <c r="S3" s="384"/>
      <c r="T3" s="384"/>
      <c r="U3" s="384" t="s">
        <v>108</v>
      </c>
      <c r="V3" s="384"/>
      <c r="W3" s="384"/>
    </row>
    <row r="4" spans="2:23" ht="15.75">
      <c r="B4" s="375"/>
      <c r="C4" s="376"/>
      <c r="D4" s="377"/>
      <c r="E4" s="377"/>
      <c r="F4" s="85" t="s">
        <v>116</v>
      </c>
      <c r="G4" s="96" t="s">
        <v>131</v>
      </c>
      <c r="H4" s="96" t="s">
        <v>132</v>
      </c>
      <c r="I4" s="85" t="s">
        <v>116</v>
      </c>
      <c r="J4" s="95" t="s">
        <v>131</v>
      </c>
      <c r="K4" s="95" t="s">
        <v>132</v>
      </c>
      <c r="L4" s="85" t="s">
        <v>116</v>
      </c>
      <c r="M4" s="95" t="s">
        <v>131</v>
      </c>
      <c r="N4" s="95" t="s">
        <v>132</v>
      </c>
      <c r="O4" s="85" t="s">
        <v>116</v>
      </c>
      <c r="P4" s="95" t="s">
        <v>131</v>
      </c>
      <c r="Q4" s="95" t="s">
        <v>132</v>
      </c>
      <c r="R4" s="85" t="s">
        <v>116</v>
      </c>
      <c r="S4" s="95" t="s">
        <v>131</v>
      </c>
      <c r="T4" s="95" t="s">
        <v>132</v>
      </c>
      <c r="U4" s="85" t="s">
        <v>116</v>
      </c>
      <c r="V4" s="95" t="s">
        <v>131</v>
      </c>
      <c r="W4" s="95" t="s">
        <v>132</v>
      </c>
    </row>
    <row r="5" spans="2:23" ht="14.45" customHeight="1">
      <c r="B5" s="390">
        <v>45937</v>
      </c>
      <c r="C5" s="380" t="s">
        <v>570</v>
      </c>
      <c r="D5" s="86">
        <v>45931</v>
      </c>
      <c r="E5" s="233" t="s">
        <v>112</v>
      </c>
      <c r="F5" s="93">
        <v>105.8</v>
      </c>
      <c r="G5" s="366">
        <f>AVERAGE(F5:F10)</f>
        <v>101.83333333333333</v>
      </c>
      <c r="H5" s="366">
        <f>AVERAGE(F5:F35)</f>
        <v>104.49615384615385</v>
      </c>
      <c r="I5" s="90">
        <f>F5/$C$1</f>
        <v>0.91760624457935824</v>
      </c>
      <c r="J5" s="385">
        <f>AVERAGE(I5:I10)</f>
        <v>0.88320323793003752</v>
      </c>
      <c r="K5" s="385">
        <f>AVERAGE(I5:I35)</f>
        <v>0.38006043141314388</v>
      </c>
      <c r="L5" s="183">
        <v>1.48E-3</v>
      </c>
      <c r="M5" s="385">
        <f>AVERAGE(L5:L10)</f>
        <v>1.0189999999999999E-2</v>
      </c>
      <c r="N5" s="385">
        <f>AVERAGE(L5:L35)</f>
        <v>6.3553846153846152E-3</v>
      </c>
      <c r="O5" s="183">
        <v>4.3E-3</v>
      </c>
      <c r="P5" s="385">
        <f>AVERAGE(O5:O10)</f>
        <v>3.5499999999999998E-3</v>
      </c>
      <c r="Q5" s="385">
        <f>AVERAGE(O5:O35)</f>
        <v>3.6692307692307692E-3</v>
      </c>
      <c r="R5" s="183">
        <v>0.42899999999999999</v>
      </c>
      <c r="S5" s="385">
        <f>AVERAGE(R5:R10)</f>
        <v>0.42899999999999999</v>
      </c>
      <c r="T5" s="385">
        <f>AVERAGE(R5:R35)</f>
        <v>0.42899999999999999</v>
      </c>
      <c r="U5" s="183">
        <v>0.75</v>
      </c>
      <c r="V5" s="385">
        <f>AVERAGE(U5:U10)</f>
        <v>0.75</v>
      </c>
      <c r="W5" s="385">
        <f>AVERAGE(U5:U35)</f>
        <v>0.77692307692307705</v>
      </c>
    </row>
    <row r="6" spans="2:23" ht="14.45" customHeight="1">
      <c r="B6" s="390"/>
      <c r="C6" s="361"/>
      <c r="D6" s="86">
        <v>45932</v>
      </c>
      <c r="E6" s="233" t="s">
        <v>113</v>
      </c>
      <c r="F6" s="93">
        <v>100.8</v>
      </c>
      <c r="G6" s="366"/>
      <c r="H6" s="366"/>
      <c r="I6" s="90">
        <f t="shared" ref="I6:I43" si="0">F6/$C$1</f>
        <v>0.87424111014744144</v>
      </c>
      <c r="J6" s="385"/>
      <c r="K6" s="385"/>
      <c r="L6" s="183">
        <v>7.9100000000000004E-3</v>
      </c>
      <c r="M6" s="385"/>
      <c r="N6" s="385"/>
      <c r="O6" s="183">
        <v>3.3E-3</v>
      </c>
      <c r="P6" s="385"/>
      <c r="Q6" s="385"/>
      <c r="R6" s="183">
        <v>0.42899999999999999</v>
      </c>
      <c r="S6" s="385"/>
      <c r="T6" s="385"/>
      <c r="U6" s="183">
        <v>0.75</v>
      </c>
      <c r="V6" s="385"/>
      <c r="W6" s="385"/>
    </row>
    <row r="7" spans="2:23" ht="14.45" customHeight="1">
      <c r="B7" s="390"/>
      <c r="C7" s="361"/>
      <c r="D7" s="86">
        <v>45933</v>
      </c>
      <c r="E7" s="233" t="s">
        <v>114</v>
      </c>
      <c r="F7" s="93">
        <v>99</v>
      </c>
      <c r="G7" s="366"/>
      <c r="H7" s="366"/>
      <c r="I7" s="90">
        <f t="shared" si="0"/>
        <v>0.85862966175195143</v>
      </c>
      <c r="J7" s="385"/>
      <c r="K7" s="385"/>
      <c r="L7" s="183">
        <v>8.6E-3</v>
      </c>
      <c r="M7" s="385"/>
      <c r="N7" s="385"/>
      <c r="O7" s="183">
        <v>2E-3</v>
      </c>
      <c r="P7" s="385"/>
      <c r="Q7" s="385"/>
      <c r="R7" s="183">
        <v>0.42899999999999999</v>
      </c>
      <c r="S7" s="385"/>
      <c r="T7" s="385"/>
      <c r="U7" s="183">
        <v>0.75</v>
      </c>
      <c r="V7" s="385"/>
      <c r="W7" s="385"/>
    </row>
    <row r="8" spans="2:23" ht="14.45" customHeight="1">
      <c r="B8" s="390"/>
      <c r="C8" s="361"/>
      <c r="D8" s="86">
        <v>45934</v>
      </c>
      <c r="E8" s="233" t="s">
        <v>115</v>
      </c>
      <c r="F8" s="93">
        <v>105.1</v>
      </c>
      <c r="G8" s="366"/>
      <c r="H8" s="366"/>
      <c r="I8" s="90">
        <f t="shared" si="0"/>
        <v>0.91153512575888984</v>
      </c>
      <c r="J8" s="385"/>
      <c r="K8" s="385"/>
      <c r="L8" s="183">
        <v>4.9199999999999999E-3</v>
      </c>
      <c r="M8" s="385"/>
      <c r="N8" s="385"/>
      <c r="O8" s="183">
        <v>4.7000000000000002E-3</v>
      </c>
      <c r="P8" s="385"/>
      <c r="Q8" s="385"/>
      <c r="R8" s="183">
        <v>0.42899999999999999</v>
      </c>
      <c r="S8" s="385"/>
      <c r="T8" s="385"/>
      <c r="U8" s="183">
        <v>0.75</v>
      </c>
      <c r="V8" s="385"/>
      <c r="W8" s="385"/>
    </row>
    <row r="9" spans="2:23" ht="14.45" customHeight="1">
      <c r="B9" s="390"/>
      <c r="C9" s="361"/>
      <c r="D9" s="86">
        <v>45935</v>
      </c>
      <c r="E9" s="233" t="s">
        <v>116</v>
      </c>
      <c r="F9" s="93">
        <v>100.7</v>
      </c>
      <c r="G9" s="366"/>
      <c r="H9" s="366"/>
      <c r="I9" s="90">
        <f t="shared" si="0"/>
        <v>0.87337380745880322</v>
      </c>
      <c r="J9" s="385"/>
      <c r="K9" s="385"/>
      <c r="L9" s="183">
        <v>8.3000000000000001E-3</v>
      </c>
      <c r="M9" s="385"/>
      <c r="N9" s="385"/>
      <c r="O9" s="183">
        <v>2.3E-3</v>
      </c>
      <c r="P9" s="385"/>
      <c r="Q9" s="385"/>
      <c r="R9" s="183">
        <v>0.42899999999999999</v>
      </c>
      <c r="S9" s="385"/>
      <c r="T9" s="385"/>
      <c r="U9" s="183">
        <v>0.75</v>
      </c>
      <c r="V9" s="385"/>
      <c r="W9" s="385"/>
    </row>
    <row r="10" spans="2:23" ht="14.45" customHeight="1">
      <c r="B10" s="390"/>
      <c r="C10" s="361"/>
      <c r="D10" s="86">
        <v>45936</v>
      </c>
      <c r="E10" s="86" t="s">
        <v>117</v>
      </c>
      <c r="F10" s="93">
        <v>99.6</v>
      </c>
      <c r="G10" s="366"/>
      <c r="H10" s="366"/>
      <c r="I10" s="90">
        <f t="shared" si="0"/>
        <v>0.8638334778837814</v>
      </c>
      <c r="J10" s="385"/>
      <c r="K10" s="385"/>
      <c r="L10" s="183">
        <v>2.9929999999999998E-2</v>
      </c>
      <c r="M10" s="385"/>
      <c r="N10" s="385"/>
      <c r="O10" s="183">
        <v>4.7000000000000002E-3</v>
      </c>
      <c r="P10" s="385"/>
      <c r="Q10" s="385"/>
      <c r="R10" s="183">
        <v>0.42899999999999999</v>
      </c>
      <c r="S10" s="385"/>
      <c r="T10" s="385"/>
      <c r="U10" s="183">
        <v>0.75</v>
      </c>
      <c r="V10" s="385"/>
      <c r="W10" s="385"/>
    </row>
    <row r="11" spans="2:23" ht="14.45" customHeight="1">
      <c r="B11" s="390">
        <v>45944</v>
      </c>
      <c r="C11" s="361"/>
      <c r="D11" s="86">
        <v>45937</v>
      </c>
      <c r="E11" s="233" t="s">
        <v>118</v>
      </c>
      <c r="F11" s="93">
        <v>97.85</v>
      </c>
      <c r="G11" s="366">
        <f>AVERAGE(F11:F17)</f>
        <v>106.77857142857142</v>
      </c>
      <c r="H11" s="366"/>
      <c r="I11" s="90">
        <f t="shared" si="0"/>
        <v>0.84865568083261056</v>
      </c>
      <c r="J11" s="385">
        <f>AVERAGE(I11:I17)</f>
        <v>0.92609342088960489</v>
      </c>
      <c r="K11" s="385"/>
      <c r="L11" s="183">
        <v>4.8599999999999997E-3</v>
      </c>
      <c r="M11" s="385">
        <f>AVERAGE(L11:L17)</f>
        <v>3.0685714285714279E-3</v>
      </c>
      <c r="N11" s="385"/>
      <c r="O11" s="183">
        <v>4.7000000000000002E-3</v>
      </c>
      <c r="P11" s="385">
        <f>AVERAGE(O11:O17)</f>
        <v>3.771428571428571E-3</v>
      </c>
      <c r="Q11" s="385"/>
      <c r="R11" s="183">
        <v>0.42899999999999999</v>
      </c>
      <c r="S11" s="385">
        <f>AVERAGE(R11:R17)</f>
        <v>0.42899999999999994</v>
      </c>
      <c r="T11" s="385"/>
      <c r="U11" s="183">
        <v>0.8</v>
      </c>
      <c r="V11" s="385">
        <f>AVERAGE(U11:U17)</f>
        <v>0.79999999999999993</v>
      </c>
      <c r="W11" s="385"/>
    </row>
    <row r="12" spans="2:23" ht="14.45" customHeight="1">
      <c r="B12" s="390"/>
      <c r="C12" s="361"/>
      <c r="D12" s="86">
        <v>45938</v>
      </c>
      <c r="E12" s="233" t="s">
        <v>112</v>
      </c>
      <c r="F12" s="93">
        <v>109.3</v>
      </c>
      <c r="G12" s="366"/>
      <c r="H12" s="366"/>
      <c r="I12" s="90">
        <f t="shared" si="0"/>
        <v>0.94796183868169992</v>
      </c>
      <c r="J12" s="385"/>
      <c r="K12" s="385"/>
      <c r="L12" s="183">
        <v>5.3899999999999998E-3</v>
      </c>
      <c r="M12" s="385"/>
      <c r="N12" s="385"/>
      <c r="O12" s="183">
        <v>5.1999999999999998E-3</v>
      </c>
      <c r="P12" s="385"/>
      <c r="Q12" s="385"/>
      <c r="R12" s="183">
        <v>0.42899999999999999</v>
      </c>
      <c r="S12" s="385"/>
      <c r="T12" s="385"/>
      <c r="U12" s="183">
        <v>0.8</v>
      </c>
      <c r="V12" s="385"/>
      <c r="W12" s="385"/>
    </row>
    <row r="13" spans="2:23" ht="14.45" customHeight="1">
      <c r="B13" s="390"/>
      <c r="C13" s="361"/>
      <c r="D13" s="86">
        <v>45939</v>
      </c>
      <c r="E13" s="233" t="s">
        <v>113</v>
      </c>
      <c r="F13" s="93">
        <v>104.55000000000001</v>
      </c>
      <c r="G13" s="366"/>
      <c r="H13" s="366"/>
      <c r="I13" s="90">
        <f t="shared" si="0"/>
        <v>0.90676496097137915</v>
      </c>
      <c r="J13" s="385"/>
      <c r="K13" s="385"/>
      <c r="L13" s="183">
        <v>2.3400000000000001E-3</v>
      </c>
      <c r="M13" s="385"/>
      <c r="N13" s="385"/>
      <c r="O13" s="183">
        <v>3.8E-3</v>
      </c>
      <c r="P13" s="385"/>
      <c r="Q13" s="385"/>
      <c r="R13" s="183">
        <v>0.42899999999999999</v>
      </c>
      <c r="S13" s="385"/>
      <c r="T13" s="385"/>
      <c r="U13" s="183">
        <v>0.8</v>
      </c>
      <c r="V13" s="385"/>
      <c r="W13" s="385"/>
    </row>
    <row r="14" spans="2:23" ht="14.45" customHeight="1">
      <c r="B14" s="390"/>
      <c r="C14" s="361"/>
      <c r="D14" s="86">
        <v>45940</v>
      </c>
      <c r="E14" s="233" t="s">
        <v>114</v>
      </c>
      <c r="F14" s="93">
        <v>104.25</v>
      </c>
      <c r="G14" s="366"/>
      <c r="H14" s="366"/>
      <c r="I14" s="90">
        <f t="shared" si="0"/>
        <v>0.90416305290546406</v>
      </c>
      <c r="J14" s="385"/>
      <c r="K14" s="385"/>
      <c r="L14" s="183">
        <v>2.3E-3</v>
      </c>
      <c r="M14" s="385"/>
      <c r="N14" s="385"/>
      <c r="O14" s="183">
        <v>4.3E-3</v>
      </c>
      <c r="P14" s="385"/>
      <c r="Q14" s="385"/>
      <c r="R14" s="183">
        <v>0.42899999999999999</v>
      </c>
      <c r="S14" s="385"/>
      <c r="T14" s="385"/>
      <c r="U14" s="183">
        <v>0.8</v>
      </c>
      <c r="V14" s="385"/>
      <c r="W14" s="385"/>
    </row>
    <row r="15" spans="2:23" ht="14.45" customHeight="1">
      <c r="B15" s="390"/>
      <c r="C15" s="361"/>
      <c r="D15" s="86">
        <v>45941</v>
      </c>
      <c r="E15" s="233" t="s">
        <v>115</v>
      </c>
      <c r="F15" s="93">
        <v>111.1</v>
      </c>
      <c r="G15" s="366"/>
      <c r="H15" s="366"/>
      <c r="I15" s="90">
        <f t="shared" si="0"/>
        <v>0.96357328707718992</v>
      </c>
      <c r="J15" s="385"/>
      <c r="K15" s="385"/>
      <c r="L15" s="183">
        <v>5.4099999999999999E-3</v>
      </c>
      <c r="M15" s="385"/>
      <c r="N15" s="385"/>
      <c r="O15" s="183">
        <v>1.4E-3</v>
      </c>
      <c r="P15" s="385"/>
      <c r="Q15" s="385"/>
      <c r="R15" s="183">
        <v>0.42899999999999999</v>
      </c>
      <c r="S15" s="385"/>
      <c r="T15" s="385"/>
      <c r="U15" s="183">
        <v>0.8</v>
      </c>
      <c r="V15" s="385"/>
      <c r="W15" s="385"/>
    </row>
    <row r="16" spans="2:23" ht="14.45" customHeight="1">
      <c r="B16" s="390"/>
      <c r="C16" s="361"/>
      <c r="D16" s="86">
        <v>45942</v>
      </c>
      <c r="E16" s="233" t="s">
        <v>116</v>
      </c>
      <c r="F16" s="93">
        <v>110.9</v>
      </c>
      <c r="G16" s="366"/>
      <c r="H16" s="366"/>
      <c r="I16" s="90">
        <f t="shared" si="0"/>
        <v>0.96183868169991338</v>
      </c>
      <c r="J16" s="385"/>
      <c r="K16" s="385"/>
      <c r="L16" s="183">
        <v>9.7000000000000005E-4</v>
      </c>
      <c r="M16" s="385"/>
      <c r="N16" s="385"/>
      <c r="O16" s="183">
        <v>2.3E-3</v>
      </c>
      <c r="P16" s="385"/>
      <c r="Q16" s="385"/>
      <c r="R16" s="183">
        <v>0.42899999999999999</v>
      </c>
      <c r="S16" s="385"/>
      <c r="T16" s="385"/>
      <c r="U16" s="183">
        <v>0.8</v>
      </c>
      <c r="V16" s="385"/>
      <c r="W16" s="385"/>
    </row>
    <row r="17" spans="2:23" ht="14.45" customHeight="1">
      <c r="B17" s="390"/>
      <c r="C17" s="361"/>
      <c r="D17" s="86">
        <v>45943</v>
      </c>
      <c r="E17" s="86" t="s">
        <v>117</v>
      </c>
      <c r="F17" s="93">
        <v>109.5</v>
      </c>
      <c r="G17" s="366"/>
      <c r="H17" s="366"/>
      <c r="I17" s="90">
        <f t="shared" si="0"/>
        <v>0.94969644405897657</v>
      </c>
      <c r="J17" s="385"/>
      <c r="K17" s="385"/>
      <c r="L17" s="183">
        <v>2.1000000000000001E-4</v>
      </c>
      <c r="M17" s="385"/>
      <c r="N17" s="385"/>
      <c r="O17" s="183">
        <v>4.7000000000000002E-3</v>
      </c>
      <c r="P17" s="385"/>
      <c r="Q17" s="385"/>
      <c r="R17" s="183">
        <v>0.42899999999999999</v>
      </c>
      <c r="S17" s="385"/>
      <c r="T17" s="385"/>
      <c r="U17" s="183">
        <v>0.8</v>
      </c>
      <c r="V17" s="385"/>
      <c r="W17" s="385"/>
    </row>
    <row r="18" spans="2:23" ht="14.45" customHeight="1">
      <c r="B18" s="390">
        <v>45951</v>
      </c>
      <c r="C18" s="361"/>
      <c r="D18" s="86">
        <v>45944</v>
      </c>
      <c r="E18" s="233" t="s">
        <v>118</v>
      </c>
      <c r="F18" s="93"/>
      <c r="G18" s="366" t="e">
        <f t="shared" ref="G18" si="1">AVERAGE(F18:F24)</f>
        <v>#DIV/0!</v>
      </c>
      <c r="H18" s="366"/>
      <c r="I18" s="90">
        <f t="shared" si="0"/>
        <v>0</v>
      </c>
      <c r="J18" s="385">
        <f t="shared" ref="J18" si="2">AVERAGE(I18:I24)</f>
        <v>0</v>
      </c>
      <c r="K18" s="385"/>
      <c r="L18" s="183"/>
      <c r="M18" s="385" t="e">
        <f t="shared" ref="M18" si="3">AVERAGE(L18:L24)</f>
        <v>#DIV/0!</v>
      </c>
      <c r="N18" s="385"/>
      <c r="O18" s="183"/>
      <c r="P18" s="385" t="e">
        <f t="shared" ref="P18" si="4">AVERAGE(O18:O24)</f>
        <v>#DIV/0!</v>
      </c>
      <c r="Q18" s="385"/>
      <c r="R18" s="183"/>
      <c r="S18" s="385" t="e">
        <f t="shared" ref="S18" si="5">AVERAGE(R18:R24)</f>
        <v>#DIV/0!</v>
      </c>
      <c r="T18" s="385"/>
      <c r="U18" s="183"/>
      <c r="V18" s="385" t="e">
        <f t="shared" ref="V18" si="6">AVERAGE(U18:U24)</f>
        <v>#DIV/0!</v>
      </c>
      <c r="W18" s="385"/>
    </row>
    <row r="19" spans="2:23" ht="14.45" customHeight="1">
      <c r="B19" s="361"/>
      <c r="C19" s="361"/>
      <c r="D19" s="86">
        <v>45945</v>
      </c>
      <c r="E19" s="233" t="s">
        <v>112</v>
      </c>
      <c r="F19" s="93"/>
      <c r="G19" s="366"/>
      <c r="H19" s="366"/>
      <c r="I19" s="90">
        <f t="shared" si="0"/>
        <v>0</v>
      </c>
      <c r="J19" s="385"/>
      <c r="K19" s="385"/>
      <c r="L19" s="183"/>
      <c r="M19" s="385"/>
      <c r="N19" s="385"/>
      <c r="O19" s="183"/>
      <c r="P19" s="385"/>
      <c r="Q19" s="385"/>
      <c r="R19" s="183"/>
      <c r="S19" s="385"/>
      <c r="T19" s="385"/>
      <c r="U19" s="183"/>
      <c r="V19" s="385"/>
      <c r="W19" s="385"/>
    </row>
    <row r="20" spans="2:23" ht="14.45" customHeight="1">
      <c r="B20" s="361"/>
      <c r="C20" s="361"/>
      <c r="D20" s="86">
        <v>45946</v>
      </c>
      <c r="E20" s="233" t="s">
        <v>113</v>
      </c>
      <c r="F20" s="93"/>
      <c r="G20" s="366"/>
      <c r="H20" s="366"/>
      <c r="I20" s="90">
        <f t="shared" si="0"/>
        <v>0</v>
      </c>
      <c r="J20" s="385"/>
      <c r="K20" s="385"/>
      <c r="L20" s="183"/>
      <c r="M20" s="385"/>
      <c r="N20" s="385"/>
      <c r="O20" s="183"/>
      <c r="P20" s="385"/>
      <c r="Q20" s="385"/>
      <c r="R20" s="183"/>
      <c r="S20" s="385"/>
      <c r="T20" s="385"/>
      <c r="U20" s="183"/>
      <c r="V20" s="385"/>
      <c r="W20" s="385"/>
    </row>
    <row r="21" spans="2:23" ht="14.45" customHeight="1">
      <c r="B21" s="361"/>
      <c r="C21" s="361"/>
      <c r="D21" s="86">
        <v>45947</v>
      </c>
      <c r="E21" s="233" t="s">
        <v>114</v>
      </c>
      <c r="F21" s="93"/>
      <c r="G21" s="366"/>
      <c r="H21" s="366"/>
      <c r="I21" s="90">
        <f t="shared" si="0"/>
        <v>0</v>
      </c>
      <c r="J21" s="385"/>
      <c r="K21" s="385"/>
      <c r="L21" s="183"/>
      <c r="M21" s="385"/>
      <c r="N21" s="385"/>
      <c r="O21" s="183"/>
      <c r="P21" s="385"/>
      <c r="Q21" s="385"/>
      <c r="R21" s="183"/>
      <c r="S21" s="385"/>
      <c r="T21" s="385"/>
      <c r="U21" s="183"/>
      <c r="V21" s="385"/>
      <c r="W21" s="385"/>
    </row>
    <row r="22" spans="2:23" ht="14.45" customHeight="1">
      <c r="B22" s="361"/>
      <c r="C22" s="361"/>
      <c r="D22" s="86">
        <v>45948</v>
      </c>
      <c r="E22" s="233" t="s">
        <v>115</v>
      </c>
      <c r="F22" s="93"/>
      <c r="G22" s="366"/>
      <c r="H22" s="366"/>
      <c r="I22" s="90">
        <f t="shared" si="0"/>
        <v>0</v>
      </c>
      <c r="J22" s="385"/>
      <c r="K22" s="385"/>
      <c r="L22" s="183"/>
      <c r="M22" s="385"/>
      <c r="N22" s="385"/>
      <c r="O22" s="183"/>
      <c r="P22" s="385"/>
      <c r="Q22" s="385"/>
      <c r="R22" s="183"/>
      <c r="S22" s="385"/>
      <c r="T22" s="385"/>
      <c r="U22" s="183"/>
      <c r="V22" s="385"/>
      <c r="W22" s="385"/>
    </row>
    <row r="23" spans="2:23" ht="14.45" customHeight="1">
      <c r="B23" s="361"/>
      <c r="C23" s="361"/>
      <c r="D23" s="86">
        <v>45949</v>
      </c>
      <c r="E23" s="233" t="s">
        <v>116</v>
      </c>
      <c r="F23" s="93"/>
      <c r="G23" s="366"/>
      <c r="H23" s="366"/>
      <c r="I23" s="90">
        <f t="shared" si="0"/>
        <v>0</v>
      </c>
      <c r="J23" s="385"/>
      <c r="K23" s="385"/>
      <c r="L23" s="183"/>
      <c r="M23" s="385"/>
      <c r="N23" s="385"/>
      <c r="O23" s="183"/>
      <c r="P23" s="385"/>
      <c r="Q23" s="385"/>
      <c r="R23" s="183"/>
      <c r="S23" s="385"/>
      <c r="T23" s="385"/>
      <c r="U23" s="183"/>
      <c r="V23" s="385"/>
      <c r="W23" s="385"/>
    </row>
    <row r="24" spans="2:23" ht="14.45" customHeight="1">
      <c r="B24" s="361"/>
      <c r="C24" s="361"/>
      <c r="D24" s="86">
        <v>45950</v>
      </c>
      <c r="E24" s="86" t="s">
        <v>117</v>
      </c>
      <c r="F24" s="93"/>
      <c r="G24" s="366"/>
      <c r="H24" s="366"/>
      <c r="I24" s="90">
        <f t="shared" si="0"/>
        <v>0</v>
      </c>
      <c r="J24" s="385"/>
      <c r="K24" s="385"/>
      <c r="L24" s="183"/>
      <c r="M24" s="385"/>
      <c r="N24" s="385"/>
      <c r="O24" s="183"/>
      <c r="P24" s="385"/>
      <c r="Q24" s="385"/>
      <c r="R24" s="183"/>
      <c r="S24" s="385"/>
      <c r="T24" s="385"/>
      <c r="U24" s="183"/>
      <c r="V24" s="385"/>
      <c r="W24" s="385"/>
    </row>
    <row r="25" spans="2:23" ht="14.45" customHeight="1">
      <c r="B25" s="390">
        <v>45958</v>
      </c>
      <c r="C25" s="361"/>
      <c r="D25" s="86">
        <v>45951</v>
      </c>
      <c r="E25" s="233" t="s">
        <v>118</v>
      </c>
      <c r="F25" s="93"/>
      <c r="G25" s="366" t="e">
        <f t="shared" ref="G25" si="7">AVERAGE(F25:F31)</f>
        <v>#DIV/0!</v>
      </c>
      <c r="H25" s="366"/>
      <c r="I25" s="90">
        <f t="shared" si="0"/>
        <v>0</v>
      </c>
      <c r="J25" s="385">
        <f t="shared" ref="J25" si="8">AVERAGE(I25:I31)</f>
        <v>0</v>
      </c>
      <c r="K25" s="385"/>
      <c r="L25" s="183"/>
      <c r="M25" s="385" t="e">
        <f t="shared" ref="M25" si="9">AVERAGE(L25:L31)</f>
        <v>#DIV/0!</v>
      </c>
      <c r="N25" s="385"/>
      <c r="O25" s="183"/>
      <c r="P25" s="385" t="e">
        <f t="shared" ref="P25" si="10">AVERAGE(O25:O31)</f>
        <v>#DIV/0!</v>
      </c>
      <c r="Q25" s="385"/>
      <c r="R25" s="183"/>
      <c r="S25" s="385" t="e">
        <f t="shared" ref="S25" si="11">AVERAGE(R25:R31)</f>
        <v>#DIV/0!</v>
      </c>
      <c r="T25" s="385"/>
      <c r="U25" s="183"/>
      <c r="V25" s="385" t="e">
        <f t="shared" ref="V25" si="12">AVERAGE(U25:U31)</f>
        <v>#DIV/0!</v>
      </c>
      <c r="W25" s="385"/>
    </row>
    <row r="26" spans="2:23" ht="14.45" customHeight="1">
      <c r="B26" s="361"/>
      <c r="C26" s="361"/>
      <c r="D26" s="86">
        <v>45952</v>
      </c>
      <c r="E26" s="233" t="s">
        <v>112</v>
      </c>
      <c r="F26" s="93"/>
      <c r="G26" s="366"/>
      <c r="H26" s="366"/>
      <c r="I26" s="90">
        <f t="shared" si="0"/>
        <v>0</v>
      </c>
      <c r="J26" s="385"/>
      <c r="K26" s="385"/>
      <c r="L26" s="183"/>
      <c r="M26" s="385"/>
      <c r="N26" s="385"/>
      <c r="O26" s="183"/>
      <c r="P26" s="385"/>
      <c r="Q26" s="385"/>
      <c r="R26" s="183"/>
      <c r="S26" s="385"/>
      <c r="T26" s="385"/>
      <c r="U26" s="183"/>
      <c r="V26" s="385"/>
      <c r="W26" s="385"/>
    </row>
    <row r="27" spans="2:23" ht="14.45" customHeight="1">
      <c r="B27" s="361"/>
      <c r="C27" s="361"/>
      <c r="D27" s="86">
        <v>45953</v>
      </c>
      <c r="E27" s="233" t="s">
        <v>113</v>
      </c>
      <c r="F27" s="93"/>
      <c r="G27" s="366"/>
      <c r="H27" s="366"/>
      <c r="I27" s="90">
        <f t="shared" si="0"/>
        <v>0</v>
      </c>
      <c r="J27" s="385"/>
      <c r="K27" s="385"/>
      <c r="L27" s="183"/>
      <c r="M27" s="385"/>
      <c r="N27" s="385"/>
      <c r="O27" s="183"/>
      <c r="P27" s="385"/>
      <c r="Q27" s="385"/>
      <c r="R27" s="183"/>
      <c r="S27" s="385"/>
      <c r="T27" s="385"/>
      <c r="U27" s="183"/>
      <c r="V27" s="385"/>
      <c r="W27" s="385"/>
    </row>
    <row r="28" spans="2:23" ht="14.45" customHeight="1">
      <c r="B28" s="361"/>
      <c r="C28" s="361"/>
      <c r="D28" s="86">
        <v>45954</v>
      </c>
      <c r="E28" s="233" t="s">
        <v>114</v>
      </c>
      <c r="F28" s="93"/>
      <c r="G28" s="366"/>
      <c r="H28" s="366"/>
      <c r="I28" s="90">
        <f t="shared" si="0"/>
        <v>0</v>
      </c>
      <c r="J28" s="385"/>
      <c r="K28" s="385"/>
      <c r="L28" s="183"/>
      <c r="M28" s="385"/>
      <c r="N28" s="385"/>
      <c r="O28" s="183"/>
      <c r="P28" s="385"/>
      <c r="Q28" s="385"/>
      <c r="R28" s="183"/>
      <c r="S28" s="385"/>
      <c r="T28" s="385"/>
      <c r="U28" s="183"/>
      <c r="V28" s="385"/>
      <c r="W28" s="385"/>
    </row>
    <row r="29" spans="2:23" ht="14.45" customHeight="1">
      <c r="B29" s="361"/>
      <c r="C29" s="361"/>
      <c r="D29" s="86">
        <v>45955</v>
      </c>
      <c r="E29" s="233" t="s">
        <v>115</v>
      </c>
      <c r="F29" s="93"/>
      <c r="G29" s="366"/>
      <c r="H29" s="366"/>
      <c r="I29" s="90">
        <f t="shared" si="0"/>
        <v>0</v>
      </c>
      <c r="J29" s="385"/>
      <c r="K29" s="385"/>
      <c r="L29" s="183"/>
      <c r="M29" s="385"/>
      <c r="N29" s="385"/>
      <c r="O29" s="183"/>
      <c r="P29" s="385"/>
      <c r="Q29" s="385"/>
      <c r="R29" s="183"/>
      <c r="S29" s="385"/>
      <c r="T29" s="385"/>
      <c r="U29" s="183"/>
      <c r="V29" s="385"/>
      <c r="W29" s="385"/>
    </row>
    <row r="30" spans="2:23" ht="14.45" customHeight="1">
      <c r="B30" s="361"/>
      <c r="C30" s="361"/>
      <c r="D30" s="86">
        <v>45956</v>
      </c>
      <c r="E30" s="233" t="s">
        <v>116</v>
      </c>
      <c r="F30" s="93"/>
      <c r="G30" s="366"/>
      <c r="H30" s="366"/>
      <c r="I30" s="90">
        <f t="shared" si="0"/>
        <v>0</v>
      </c>
      <c r="J30" s="385"/>
      <c r="K30" s="385"/>
      <c r="L30" s="183"/>
      <c r="M30" s="385"/>
      <c r="N30" s="385"/>
      <c r="O30" s="183"/>
      <c r="P30" s="385"/>
      <c r="Q30" s="385"/>
      <c r="R30" s="183"/>
      <c r="S30" s="385"/>
      <c r="T30" s="385"/>
      <c r="U30" s="183"/>
      <c r="V30" s="385"/>
      <c r="W30" s="385"/>
    </row>
    <row r="31" spans="2:23" ht="14.45" customHeight="1">
      <c r="B31" s="361"/>
      <c r="C31" s="361"/>
      <c r="D31" s="86">
        <v>45957</v>
      </c>
      <c r="E31" s="86" t="s">
        <v>117</v>
      </c>
      <c r="F31" s="93"/>
      <c r="G31" s="366"/>
      <c r="H31" s="366"/>
      <c r="I31" s="90">
        <f t="shared" si="0"/>
        <v>0</v>
      </c>
      <c r="J31" s="385"/>
      <c r="K31" s="385"/>
      <c r="L31" s="183"/>
      <c r="M31" s="385"/>
      <c r="N31" s="385"/>
      <c r="O31" s="183"/>
      <c r="P31" s="385"/>
      <c r="Q31" s="385"/>
      <c r="R31" s="183"/>
      <c r="S31" s="385"/>
      <c r="T31" s="385"/>
      <c r="U31" s="183"/>
      <c r="V31" s="385"/>
      <c r="W31" s="385"/>
    </row>
    <row r="32" spans="2:23" ht="14.45" customHeight="1">
      <c r="B32" s="83"/>
      <c r="C32" s="361"/>
      <c r="D32" s="86">
        <v>45958</v>
      </c>
      <c r="E32" s="233" t="s">
        <v>118</v>
      </c>
      <c r="F32" s="93"/>
      <c r="G32" s="93"/>
      <c r="H32" s="366"/>
      <c r="I32" s="90">
        <f t="shared" si="0"/>
        <v>0</v>
      </c>
      <c r="J32" s="245"/>
      <c r="K32" s="385"/>
      <c r="L32" s="183"/>
      <c r="M32" s="183"/>
      <c r="N32" s="385"/>
      <c r="O32" s="183"/>
      <c r="P32" s="183"/>
      <c r="Q32" s="385"/>
      <c r="R32" s="183"/>
      <c r="S32" s="183"/>
      <c r="T32" s="385"/>
      <c r="U32" s="183"/>
      <c r="V32" s="183"/>
      <c r="W32" s="385"/>
    </row>
    <row r="33" spans="2:23" ht="14.45" customHeight="1">
      <c r="B33" s="83"/>
      <c r="C33" s="361"/>
      <c r="D33" s="86">
        <v>45959</v>
      </c>
      <c r="E33" s="233" t="s">
        <v>112</v>
      </c>
      <c r="F33" s="93"/>
      <c r="G33" s="93"/>
      <c r="H33" s="366"/>
      <c r="I33" s="90">
        <f t="shared" si="0"/>
        <v>0</v>
      </c>
      <c r="J33" s="245"/>
      <c r="K33" s="385"/>
      <c r="L33" s="183"/>
      <c r="M33" s="183"/>
      <c r="N33" s="385"/>
      <c r="O33" s="183"/>
      <c r="P33" s="183"/>
      <c r="Q33" s="385"/>
      <c r="R33" s="183"/>
      <c r="S33" s="183"/>
      <c r="T33" s="385"/>
      <c r="U33" s="183"/>
      <c r="V33" s="183"/>
      <c r="W33" s="385"/>
    </row>
    <row r="34" spans="2:23" ht="14.45" customHeight="1">
      <c r="B34" s="83"/>
      <c r="C34" s="361"/>
      <c r="D34" s="86">
        <v>45960</v>
      </c>
      <c r="E34" s="233" t="s">
        <v>113</v>
      </c>
      <c r="F34" s="93"/>
      <c r="G34" s="93"/>
      <c r="H34" s="366"/>
      <c r="I34" s="90">
        <f t="shared" si="0"/>
        <v>0</v>
      </c>
      <c r="J34" s="245"/>
      <c r="K34" s="385"/>
      <c r="L34" s="183"/>
      <c r="M34" s="183"/>
      <c r="N34" s="385"/>
      <c r="O34" s="183"/>
      <c r="P34" s="183"/>
      <c r="Q34" s="385"/>
      <c r="R34" s="183"/>
      <c r="S34" s="183"/>
      <c r="T34" s="385"/>
      <c r="U34" s="183"/>
      <c r="V34" s="183"/>
      <c r="W34" s="385"/>
    </row>
    <row r="35" spans="2:23">
      <c r="B35" s="83"/>
      <c r="C35" s="361"/>
      <c r="D35" s="86">
        <v>45961</v>
      </c>
      <c r="E35" s="233" t="s">
        <v>114</v>
      </c>
      <c r="F35" s="93"/>
      <c r="G35" s="93"/>
      <c r="H35" s="366"/>
      <c r="I35" s="90">
        <f t="shared" si="0"/>
        <v>0</v>
      </c>
      <c r="J35" s="183"/>
      <c r="K35" s="385"/>
      <c r="L35" s="183"/>
      <c r="M35" s="183"/>
      <c r="N35" s="385"/>
      <c r="O35" s="183"/>
      <c r="P35" s="183"/>
      <c r="Q35" s="385"/>
      <c r="R35" s="183"/>
      <c r="S35" s="183"/>
      <c r="T35" s="385"/>
      <c r="U35" s="183"/>
      <c r="V35" s="183"/>
      <c r="W35" s="385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3"/>
      <c r="K36" s="87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</row>
    <row r="37" spans="2:23">
      <c r="B37" s="361"/>
      <c r="D37" s="86"/>
      <c r="E37" s="86"/>
      <c r="F37" s="93"/>
      <c r="G37" s="389" t="e">
        <f t="shared" ref="G37" si="13">AVERAGE(F37:F43)</f>
        <v>#DIV/0!</v>
      </c>
      <c r="H37" s="93"/>
      <c r="I37" s="90">
        <f t="shared" si="0"/>
        <v>0</v>
      </c>
      <c r="J37" s="383">
        <f t="shared" ref="J37" si="14">AVERAGE(I37:I43)</f>
        <v>0</v>
      </c>
      <c r="K37" s="87"/>
      <c r="L37" s="183"/>
      <c r="M37" s="383" t="e">
        <f t="shared" ref="M37" si="15">AVERAGE(L37:L43)</f>
        <v>#DIV/0!</v>
      </c>
      <c r="N37" s="183"/>
      <c r="O37" s="183"/>
      <c r="P37" s="383" t="e">
        <f t="shared" ref="P37" si="16">AVERAGE(O37:O43)</f>
        <v>#DIV/0!</v>
      </c>
      <c r="Q37" s="183"/>
      <c r="R37" s="183"/>
      <c r="S37" s="383" t="e">
        <f t="shared" ref="S37" si="17">AVERAGE(R37:R43)</f>
        <v>#DIV/0!</v>
      </c>
      <c r="T37" s="183"/>
      <c r="U37" s="183"/>
      <c r="V37" s="383" t="e">
        <f t="shared" ref="V37" si="18">AVERAGE(U37:U43)</f>
        <v>#DIV/0!</v>
      </c>
      <c r="W37" s="183"/>
    </row>
    <row r="38" spans="2:23">
      <c r="B38" s="361"/>
      <c r="D38" s="86"/>
      <c r="E38" s="86"/>
      <c r="F38" s="93"/>
      <c r="G38" s="389"/>
      <c r="H38" s="93"/>
      <c r="I38" s="90">
        <f t="shared" si="0"/>
        <v>0</v>
      </c>
      <c r="J38" s="383"/>
      <c r="K38" s="87"/>
      <c r="L38" s="183"/>
      <c r="M38" s="383"/>
      <c r="N38" s="183"/>
      <c r="O38" s="183"/>
      <c r="P38" s="383"/>
      <c r="Q38" s="183"/>
      <c r="R38" s="183"/>
      <c r="S38" s="383"/>
      <c r="T38" s="183"/>
      <c r="U38" s="183"/>
      <c r="V38" s="383"/>
      <c r="W38" s="183"/>
    </row>
    <row r="39" spans="2:23">
      <c r="B39" s="361"/>
      <c r="D39" s="86"/>
      <c r="E39" s="86"/>
      <c r="F39" s="93"/>
      <c r="G39" s="389"/>
      <c r="H39" s="93"/>
      <c r="I39" s="90">
        <f t="shared" si="0"/>
        <v>0</v>
      </c>
      <c r="J39" s="383"/>
      <c r="K39" s="87"/>
      <c r="L39" s="183"/>
      <c r="M39" s="383"/>
      <c r="N39" s="183"/>
      <c r="O39" s="183"/>
      <c r="P39" s="383"/>
      <c r="Q39" s="183"/>
      <c r="R39" s="183"/>
      <c r="S39" s="383"/>
      <c r="T39" s="183"/>
      <c r="U39" s="183"/>
      <c r="V39" s="383"/>
      <c r="W39" s="183"/>
    </row>
    <row r="40" spans="2:23">
      <c r="B40" s="361"/>
      <c r="D40" s="86"/>
      <c r="E40" s="86"/>
      <c r="F40" s="93"/>
      <c r="G40" s="389"/>
      <c r="H40" s="93"/>
      <c r="I40" s="90">
        <f t="shared" si="0"/>
        <v>0</v>
      </c>
      <c r="J40" s="383"/>
      <c r="K40" s="87"/>
      <c r="L40" s="183"/>
      <c r="M40" s="383"/>
      <c r="N40" s="183"/>
      <c r="O40" s="183"/>
      <c r="P40" s="383"/>
      <c r="Q40" s="183"/>
      <c r="R40" s="183"/>
      <c r="S40" s="383"/>
      <c r="T40" s="183"/>
      <c r="U40" s="183"/>
      <c r="V40" s="383"/>
      <c r="W40" s="183"/>
    </row>
    <row r="41" spans="2:23">
      <c r="B41" s="361"/>
      <c r="D41" s="86"/>
      <c r="E41" s="86"/>
      <c r="F41" s="93"/>
      <c r="G41" s="389"/>
      <c r="H41" s="93"/>
      <c r="I41" s="90">
        <f t="shared" si="0"/>
        <v>0</v>
      </c>
      <c r="J41" s="383"/>
      <c r="K41" s="87"/>
      <c r="L41" s="183"/>
      <c r="M41" s="383"/>
      <c r="N41" s="183"/>
      <c r="O41" s="183"/>
      <c r="P41" s="383"/>
      <c r="Q41" s="183"/>
      <c r="R41" s="183"/>
      <c r="S41" s="383"/>
      <c r="T41" s="183"/>
      <c r="U41" s="183"/>
      <c r="V41" s="383"/>
      <c r="W41" s="183"/>
    </row>
    <row r="42" spans="2:23">
      <c r="B42" s="361"/>
      <c r="D42" s="86"/>
      <c r="E42" s="86"/>
      <c r="F42" s="93"/>
      <c r="G42" s="389"/>
      <c r="H42" s="93"/>
      <c r="I42" s="90">
        <f t="shared" si="0"/>
        <v>0</v>
      </c>
      <c r="J42" s="383"/>
      <c r="K42" s="87"/>
      <c r="L42" s="183"/>
      <c r="M42" s="383"/>
      <c r="N42" s="183"/>
      <c r="O42" s="183"/>
      <c r="P42" s="383"/>
      <c r="Q42" s="183"/>
      <c r="R42" s="183"/>
      <c r="S42" s="383"/>
      <c r="T42" s="183"/>
      <c r="U42" s="183"/>
      <c r="V42" s="383"/>
      <c r="W42" s="183"/>
    </row>
    <row r="43" spans="2:23">
      <c r="B43" s="361"/>
      <c r="D43" s="86"/>
      <c r="E43" s="86"/>
      <c r="F43" s="93"/>
      <c r="G43" s="389"/>
      <c r="H43" s="93"/>
      <c r="I43" s="90">
        <f t="shared" si="0"/>
        <v>0</v>
      </c>
      <c r="J43" s="383"/>
      <c r="K43" s="87"/>
      <c r="L43" s="183"/>
      <c r="M43" s="383"/>
      <c r="N43" s="183"/>
      <c r="O43" s="183"/>
      <c r="P43" s="383"/>
      <c r="Q43" s="183"/>
      <c r="R43" s="183"/>
      <c r="S43" s="383"/>
      <c r="T43" s="183"/>
      <c r="U43" s="183"/>
      <c r="V43" s="383"/>
      <c r="W43" s="183"/>
    </row>
  </sheetData>
  <mergeCells count="52">
    <mergeCell ref="S25:S31"/>
    <mergeCell ref="J5:J10"/>
    <mergeCell ref="J11:J17"/>
    <mergeCell ref="J18:J24"/>
    <mergeCell ref="J25:J31"/>
    <mergeCell ref="H5:H35"/>
    <mergeCell ref="M5:M10"/>
    <mergeCell ref="M11:M17"/>
    <mergeCell ref="M18:M24"/>
    <mergeCell ref="M25:M31"/>
    <mergeCell ref="K5:K35"/>
    <mergeCell ref="W5:W35"/>
    <mergeCell ref="V5:V10"/>
    <mergeCell ref="V11:V17"/>
    <mergeCell ref="V18:V24"/>
    <mergeCell ref="V25:V31"/>
    <mergeCell ref="B37:B43"/>
    <mergeCell ref="C5:C35"/>
    <mergeCell ref="G37:G43"/>
    <mergeCell ref="B5:B10"/>
    <mergeCell ref="B11:B17"/>
    <mergeCell ref="B18:B24"/>
    <mergeCell ref="B25:B31"/>
    <mergeCell ref="G5:G10"/>
    <mergeCell ref="G11:G17"/>
    <mergeCell ref="G18:G24"/>
    <mergeCell ref="G25:G3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T5:T35"/>
    <mergeCell ref="N5:N35"/>
    <mergeCell ref="P5:P10"/>
    <mergeCell ref="P11:P17"/>
    <mergeCell ref="P18:P24"/>
    <mergeCell ref="P25:P31"/>
    <mergeCell ref="Q5:Q35"/>
    <mergeCell ref="S5:S10"/>
    <mergeCell ref="S11:S17"/>
    <mergeCell ref="S18:S24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G13" sqref="G13:G19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71" t="s">
        <v>308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</row>
    <row r="3" spans="1:14" ht="25.35" customHeight="1">
      <c r="B3" s="397" t="s">
        <v>143</v>
      </c>
      <c r="C3" s="398" t="s">
        <v>140</v>
      </c>
      <c r="D3" s="399" t="s">
        <v>103</v>
      </c>
      <c r="E3" s="399"/>
      <c r="F3" s="400" t="s">
        <v>134</v>
      </c>
      <c r="G3" s="400"/>
      <c r="H3" s="400"/>
      <c r="I3" s="392" t="s">
        <v>109</v>
      </c>
      <c r="J3" s="393"/>
      <c r="K3" s="393"/>
      <c r="L3" s="393"/>
      <c r="M3" s="393"/>
      <c r="N3" s="394"/>
    </row>
    <row r="4" spans="1:14" ht="25.35" customHeight="1">
      <c r="B4" s="397"/>
      <c r="C4" s="398"/>
      <c r="D4" s="399"/>
      <c r="E4" s="399"/>
      <c r="F4" s="400"/>
      <c r="G4" s="400"/>
      <c r="H4" s="400"/>
      <c r="I4" s="396" t="s">
        <v>141</v>
      </c>
      <c r="J4" s="396"/>
      <c r="K4" s="396" t="s">
        <v>142</v>
      </c>
      <c r="L4" s="396"/>
      <c r="M4" s="396" t="s">
        <v>139</v>
      </c>
      <c r="N4" s="396"/>
    </row>
    <row r="5" spans="1:14" ht="25.35" customHeight="1">
      <c r="B5" s="397"/>
      <c r="C5" s="398"/>
      <c r="D5" s="399"/>
      <c r="E5" s="399"/>
      <c r="F5" s="391" t="s">
        <v>116</v>
      </c>
      <c r="G5" s="391" t="s">
        <v>120</v>
      </c>
      <c r="H5" s="391" t="s">
        <v>121</v>
      </c>
      <c r="I5" s="396" t="s">
        <v>133</v>
      </c>
      <c r="J5" s="396"/>
      <c r="K5" s="396" t="s">
        <v>133</v>
      </c>
      <c r="L5" s="396"/>
      <c r="M5" s="396" t="s">
        <v>133</v>
      </c>
      <c r="N5" s="396"/>
    </row>
    <row r="6" spans="1:14" s="82" customFormat="1" ht="23.45" customHeight="1">
      <c r="B6" s="397"/>
      <c r="C6" s="398"/>
      <c r="D6" s="399"/>
      <c r="E6" s="399"/>
      <c r="F6" s="391"/>
      <c r="G6" s="391"/>
      <c r="H6" s="391"/>
      <c r="I6" s="98" t="s">
        <v>110</v>
      </c>
      <c r="J6" s="99" t="s">
        <v>111</v>
      </c>
      <c r="K6" s="98" t="s">
        <v>110</v>
      </c>
      <c r="L6" s="99" t="s">
        <v>111</v>
      </c>
      <c r="M6" s="98" t="s">
        <v>110</v>
      </c>
      <c r="N6" s="99" t="s">
        <v>111</v>
      </c>
    </row>
    <row r="7" spans="1:14" ht="14.25">
      <c r="B7" s="390">
        <v>45937</v>
      </c>
      <c r="C7" s="380" t="s">
        <v>570</v>
      </c>
      <c r="D7" s="86">
        <v>45931</v>
      </c>
      <c r="E7" s="233" t="s">
        <v>112</v>
      </c>
      <c r="F7" s="97">
        <f>SUM(I7,K7,M7)</f>
        <v>2824752.9699999997</v>
      </c>
      <c r="G7" s="367">
        <f>SUM(F7:F12)</f>
        <v>13981867.529999999</v>
      </c>
      <c r="H7" s="395">
        <f>SUM(F7:F37)</f>
        <v>29642628.650000002</v>
      </c>
      <c r="I7" s="100">
        <v>2501030.36</v>
      </c>
      <c r="J7" s="101">
        <f t="shared" ref="J7:J36" si="0">I7/F7</f>
        <v>0.88539790436966959</v>
      </c>
      <c r="K7" s="100"/>
      <c r="L7" s="101">
        <f t="shared" ref="L7:L36" si="1">K7/F7</f>
        <v>0</v>
      </c>
      <c r="M7" s="100">
        <v>323722.61</v>
      </c>
      <c r="N7" s="101">
        <f t="shared" ref="N7:N36" si="2">M7/F7</f>
        <v>0.11460209563033047</v>
      </c>
    </row>
    <row r="8" spans="1:14" ht="14.25">
      <c r="B8" s="390"/>
      <c r="C8" s="361"/>
      <c r="D8" s="86">
        <v>45932</v>
      </c>
      <c r="E8" s="233" t="s">
        <v>113</v>
      </c>
      <c r="F8" s="97">
        <f t="shared" ref="F8:F19" si="3">SUM(I8,K8,M8)</f>
        <v>2491478.86</v>
      </c>
      <c r="G8" s="367"/>
      <c r="H8" s="395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 ht="14.25">
      <c r="B9" s="390"/>
      <c r="C9" s="361"/>
      <c r="D9" s="86">
        <v>45933</v>
      </c>
      <c r="E9" s="233" t="s">
        <v>114</v>
      </c>
      <c r="F9" s="97">
        <f t="shared" si="3"/>
        <v>1927390.0100000002</v>
      </c>
      <c r="G9" s="367"/>
      <c r="H9" s="395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 ht="14.25">
      <c r="B10" s="390"/>
      <c r="C10" s="361"/>
      <c r="D10" s="86">
        <v>45934</v>
      </c>
      <c r="E10" s="233" t="s">
        <v>115</v>
      </c>
      <c r="F10" s="97">
        <f t="shared" si="3"/>
        <v>1927172.27</v>
      </c>
      <c r="G10" s="367"/>
      <c r="H10" s="395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 ht="14.25">
      <c r="B11" s="390"/>
      <c r="C11" s="361"/>
      <c r="D11" s="86">
        <v>45935</v>
      </c>
      <c r="E11" s="233" t="s">
        <v>116</v>
      </c>
      <c r="F11" s="97">
        <f t="shared" si="3"/>
        <v>2140557.92</v>
      </c>
      <c r="G11" s="367"/>
      <c r="H11" s="395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4.25">
      <c r="B12" s="390"/>
      <c r="C12" s="361"/>
      <c r="D12" s="86">
        <v>45936</v>
      </c>
      <c r="E12" s="86" t="s">
        <v>117</v>
      </c>
      <c r="F12" s="97">
        <f t="shared" si="3"/>
        <v>2670515.5</v>
      </c>
      <c r="G12" s="367"/>
      <c r="H12" s="395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 ht="14.25">
      <c r="B13" s="390">
        <v>45944</v>
      </c>
      <c r="C13" s="361"/>
      <c r="D13" s="86">
        <v>45937</v>
      </c>
      <c r="E13" s="233" t="s">
        <v>118</v>
      </c>
      <c r="F13" s="97">
        <f t="shared" si="3"/>
        <v>2439394</v>
      </c>
      <c r="G13" s="367">
        <f>SUM(F13:F19)</f>
        <v>15660761.120000001</v>
      </c>
      <c r="H13" s="395"/>
      <c r="I13" s="100">
        <v>2191303.14</v>
      </c>
      <c r="J13" s="101">
        <f t="shared" si="0"/>
        <v>0.89829815929694024</v>
      </c>
      <c r="K13" s="100"/>
      <c r="L13" s="101">
        <f t="shared" si="1"/>
        <v>0</v>
      </c>
      <c r="M13" s="100">
        <v>248090.86</v>
      </c>
      <c r="N13" s="101">
        <f t="shared" si="2"/>
        <v>0.10170184070305985</v>
      </c>
    </row>
    <row r="14" spans="1:14" ht="14.25">
      <c r="B14" s="390"/>
      <c r="C14" s="361"/>
      <c r="D14" s="86">
        <v>45938</v>
      </c>
      <c r="E14" s="233" t="s">
        <v>112</v>
      </c>
      <c r="F14" s="97">
        <f t="shared" si="3"/>
        <v>2377431.23</v>
      </c>
      <c r="G14" s="367"/>
      <c r="H14" s="395"/>
      <c r="I14" s="100">
        <v>2154554.67</v>
      </c>
      <c r="J14" s="101">
        <f t="shared" si="0"/>
        <v>0.90625320421991762</v>
      </c>
      <c r="K14" s="100"/>
      <c r="L14" s="101">
        <f t="shared" si="1"/>
        <v>0</v>
      </c>
      <c r="M14" s="100">
        <v>222876.56</v>
      </c>
      <c r="N14" s="101">
        <f t="shared" si="2"/>
        <v>9.3746795780082354E-2</v>
      </c>
    </row>
    <row r="15" spans="1:14" ht="14.25">
      <c r="B15" s="390"/>
      <c r="C15" s="361"/>
      <c r="D15" s="86">
        <v>45939</v>
      </c>
      <c r="E15" s="233" t="s">
        <v>113</v>
      </c>
      <c r="F15" s="97">
        <f t="shared" si="3"/>
        <v>1944054.05</v>
      </c>
      <c r="G15" s="367"/>
      <c r="H15" s="395"/>
      <c r="I15" s="100">
        <v>1757335.46</v>
      </c>
      <c r="J15" s="101">
        <f t="shared" si="0"/>
        <v>0.90395401300699429</v>
      </c>
      <c r="K15" s="100"/>
      <c r="L15" s="101">
        <f t="shared" si="1"/>
        <v>0</v>
      </c>
      <c r="M15" s="100">
        <v>186718.59</v>
      </c>
      <c r="N15" s="101">
        <f t="shared" si="2"/>
        <v>9.6045986993005664E-2</v>
      </c>
    </row>
    <row r="16" spans="1:14" ht="14.25">
      <c r="B16" s="390"/>
      <c r="C16" s="361"/>
      <c r="D16" s="86">
        <v>45940</v>
      </c>
      <c r="E16" s="233" t="s">
        <v>114</v>
      </c>
      <c r="F16" s="97">
        <f t="shared" si="3"/>
        <v>1880152.1</v>
      </c>
      <c r="G16" s="367"/>
      <c r="H16" s="395"/>
      <c r="I16" s="100">
        <v>1704780.27</v>
      </c>
      <c r="J16" s="101">
        <f t="shared" si="0"/>
        <v>0.90672465807420577</v>
      </c>
      <c r="K16" s="100"/>
      <c r="L16" s="101">
        <f t="shared" si="1"/>
        <v>0</v>
      </c>
      <c r="M16" s="100">
        <v>175371.83</v>
      </c>
      <c r="N16" s="101">
        <f t="shared" si="2"/>
        <v>9.3275341925794189E-2</v>
      </c>
    </row>
    <row r="17" spans="2:14" ht="14.25">
      <c r="B17" s="390"/>
      <c r="C17" s="361"/>
      <c r="D17" s="86">
        <v>45941</v>
      </c>
      <c r="E17" s="233" t="s">
        <v>115</v>
      </c>
      <c r="F17" s="97">
        <f t="shared" si="3"/>
        <v>1925306.23</v>
      </c>
      <c r="G17" s="367"/>
      <c r="H17" s="395"/>
      <c r="I17" s="100">
        <v>1740845.52</v>
      </c>
      <c r="J17" s="101">
        <f t="shared" si="0"/>
        <v>0.90419149581207148</v>
      </c>
      <c r="K17" s="100"/>
      <c r="L17" s="101">
        <f t="shared" si="1"/>
        <v>0</v>
      </c>
      <c r="M17" s="100">
        <v>184460.71</v>
      </c>
      <c r="N17" s="101">
        <f t="shared" si="2"/>
        <v>9.5808504187928578E-2</v>
      </c>
    </row>
    <row r="18" spans="2:14" ht="14.25">
      <c r="B18" s="390"/>
      <c r="C18" s="361"/>
      <c r="D18" s="86">
        <v>45942</v>
      </c>
      <c r="E18" s="233" t="s">
        <v>116</v>
      </c>
      <c r="F18" s="97">
        <f t="shared" si="3"/>
        <v>2526042.6900000004</v>
      </c>
      <c r="G18" s="367"/>
      <c r="H18" s="395"/>
      <c r="I18" s="100">
        <v>2298653.6800000002</v>
      </c>
      <c r="J18" s="101">
        <f t="shared" si="0"/>
        <v>0.90998211910662519</v>
      </c>
      <c r="K18" s="100"/>
      <c r="L18" s="101">
        <f t="shared" si="1"/>
        <v>0</v>
      </c>
      <c r="M18" s="100">
        <v>227389.01</v>
      </c>
      <c r="N18" s="101">
        <f t="shared" si="2"/>
        <v>9.0017880893374758E-2</v>
      </c>
    </row>
    <row r="19" spans="2:14" ht="14.25">
      <c r="B19" s="390"/>
      <c r="C19" s="361"/>
      <c r="D19" s="86">
        <v>45943</v>
      </c>
      <c r="E19" s="86" t="s">
        <v>117</v>
      </c>
      <c r="F19" s="97">
        <f t="shared" si="3"/>
        <v>2568380.8199999998</v>
      </c>
      <c r="G19" s="367"/>
      <c r="H19" s="395"/>
      <c r="I19" s="100">
        <v>2338849.71</v>
      </c>
      <c r="J19" s="101">
        <f t="shared" si="0"/>
        <v>0.91063197941183815</v>
      </c>
      <c r="K19" s="100"/>
      <c r="L19" s="101">
        <f t="shared" si="1"/>
        <v>0</v>
      </c>
      <c r="M19" s="100">
        <v>229531.11</v>
      </c>
      <c r="N19" s="101">
        <f t="shared" si="2"/>
        <v>8.9368020588161845E-2</v>
      </c>
    </row>
    <row r="20" spans="2:14" ht="14.25">
      <c r="B20" s="390">
        <v>45951</v>
      </c>
      <c r="C20" s="361"/>
      <c r="D20" s="86">
        <v>45944</v>
      </c>
      <c r="E20" s="233" t="s">
        <v>118</v>
      </c>
      <c r="F20" s="97"/>
      <c r="G20" s="367">
        <f>SUM(F20:F26)</f>
        <v>0</v>
      </c>
      <c r="H20" s="395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 ht="14.25">
      <c r="B21" s="361"/>
      <c r="C21" s="361"/>
      <c r="D21" s="86">
        <v>45945</v>
      </c>
      <c r="E21" s="233" t="s">
        <v>112</v>
      </c>
      <c r="F21" s="97"/>
      <c r="G21" s="367"/>
      <c r="H21" s="395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 ht="14.25">
      <c r="B22" s="361"/>
      <c r="C22" s="361"/>
      <c r="D22" s="86">
        <v>45946</v>
      </c>
      <c r="E22" s="233" t="s">
        <v>113</v>
      </c>
      <c r="F22" s="97"/>
      <c r="G22" s="367"/>
      <c r="H22" s="395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4.25">
      <c r="B23" s="361"/>
      <c r="C23" s="361"/>
      <c r="D23" s="86">
        <v>45947</v>
      </c>
      <c r="E23" s="233" t="s">
        <v>114</v>
      </c>
      <c r="F23" s="97"/>
      <c r="G23" s="367"/>
      <c r="H23" s="395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4.25">
      <c r="B24" s="361"/>
      <c r="C24" s="361"/>
      <c r="D24" s="86">
        <v>45948</v>
      </c>
      <c r="E24" s="233" t="s">
        <v>115</v>
      </c>
      <c r="F24" s="97"/>
      <c r="G24" s="367"/>
      <c r="H24" s="395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4.25">
      <c r="B25" s="361"/>
      <c r="C25" s="361"/>
      <c r="D25" s="86">
        <v>45949</v>
      </c>
      <c r="E25" s="233" t="s">
        <v>116</v>
      </c>
      <c r="F25" s="97"/>
      <c r="G25" s="367"/>
      <c r="H25" s="395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4.25">
      <c r="B26" s="361"/>
      <c r="C26" s="361"/>
      <c r="D26" s="86">
        <v>45950</v>
      </c>
      <c r="E26" s="86" t="s">
        <v>117</v>
      </c>
      <c r="F26" s="97"/>
      <c r="G26" s="367"/>
      <c r="H26" s="395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4.25">
      <c r="B27" s="390">
        <v>45958</v>
      </c>
      <c r="C27" s="361"/>
      <c r="D27" s="86">
        <v>45951</v>
      </c>
      <c r="E27" s="233" t="s">
        <v>118</v>
      </c>
      <c r="F27" s="97"/>
      <c r="G27" s="367">
        <f>SUM(F27:F33)</f>
        <v>0</v>
      </c>
      <c r="H27" s="395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4.25">
      <c r="B28" s="361"/>
      <c r="C28" s="361"/>
      <c r="D28" s="86">
        <v>45952</v>
      </c>
      <c r="E28" s="233" t="s">
        <v>112</v>
      </c>
      <c r="F28" s="97"/>
      <c r="G28" s="367"/>
      <c r="H28" s="395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4.25">
      <c r="B29" s="361"/>
      <c r="C29" s="361"/>
      <c r="D29" s="86">
        <v>45953</v>
      </c>
      <c r="E29" s="233" t="s">
        <v>113</v>
      </c>
      <c r="F29" s="97"/>
      <c r="G29" s="367"/>
      <c r="H29" s="395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4.25">
      <c r="B30" s="361"/>
      <c r="C30" s="361"/>
      <c r="D30" s="86">
        <v>45954</v>
      </c>
      <c r="E30" s="233" t="s">
        <v>114</v>
      </c>
      <c r="F30" s="97"/>
      <c r="G30" s="367"/>
      <c r="H30" s="395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361"/>
      <c r="C31" s="361"/>
      <c r="D31" s="86">
        <v>45955</v>
      </c>
      <c r="E31" s="233" t="s">
        <v>115</v>
      </c>
      <c r="F31" s="97"/>
      <c r="G31" s="367"/>
      <c r="H31" s="395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361"/>
      <c r="C32" s="361"/>
      <c r="D32" s="86">
        <v>45956</v>
      </c>
      <c r="E32" s="233" t="s">
        <v>116</v>
      </c>
      <c r="F32" s="97"/>
      <c r="G32" s="367"/>
      <c r="H32" s="395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361"/>
      <c r="C33" s="361"/>
      <c r="D33" s="86">
        <v>45957</v>
      </c>
      <c r="E33" s="86" t="s">
        <v>117</v>
      </c>
      <c r="F33" s="97"/>
      <c r="G33" s="367"/>
      <c r="H33" s="395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83"/>
      <c r="C34" s="361"/>
      <c r="D34" s="86">
        <v>45958</v>
      </c>
      <c r="E34" s="233" t="s">
        <v>118</v>
      </c>
      <c r="F34" s="97"/>
      <c r="G34" s="351"/>
      <c r="H34" s="395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83"/>
      <c r="C35" s="361"/>
      <c r="D35" s="86">
        <v>45959</v>
      </c>
      <c r="E35" s="233" t="s">
        <v>112</v>
      </c>
      <c r="F35" s="97"/>
      <c r="G35" s="351"/>
      <c r="H35" s="395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83"/>
      <c r="C36" s="361"/>
      <c r="D36" s="86">
        <v>45960</v>
      </c>
      <c r="E36" s="233" t="s">
        <v>113</v>
      </c>
      <c r="F36" s="97"/>
      <c r="G36" s="97"/>
      <c r="H36" s="395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83"/>
      <c r="C37" s="361"/>
      <c r="D37" s="86">
        <v>45961</v>
      </c>
      <c r="E37" s="233" t="s">
        <v>114</v>
      </c>
      <c r="F37" s="97"/>
      <c r="G37" s="97"/>
      <c r="H37" s="395"/>
    </row>
    <row r="38" spans="2:14" ht="14.25">
      <c r="B38" s="83"/>
      <c r="C38" s="79"/>
      <c r="D38" s="86"/>
      <c r="E38" s="86"/>
      <c r="F38" s="97"/>
      <c r="G38" s="97"/>
      <c r="H38" s="97"/>
    </row>
    <row r="39" spans="2:14" ht="14.25">
      <c r="B39" s="361"/>
      <c r="C39" s="79"/>
      <c r="D39" s="86"/>
      <c r="E39" s="86"/>
      <c r="F39" s="97"/>
      <c r="G39" s="97"/>
      <c r="H39" s="97"/>
    </row>
    <row r="40" spans="2:14" ht="14.25">
      <c r="B40" s="361"/>
      <c r="C40" s="79"/>
      <c r="D40" s="86"/>
      <c r="E40" s="86"/>
      <c r="F40" s="97"/>
      <c r="G40" s="97"/>
      <c r="H40" s="97"/>
    </row>
    <row r="41" spans="2:14" ht="14.25">
      <c r="B41" s="361"/>
      <c r="C41" s="79"/>
      <c r="D41" s="86"/>
      <c r="E41" s="86"/>
      <c r="F41" s="97"/>
      <c r="G41" s="97"/>
      <c r="H41" s="97"/>
    </row>
    <row r="42" spans="2:14" ht="14.25">
      <c r="B42" s="361"/>
      <c r="C42" s="79"/>
      <c r="D42" s="86"/>
      <c r="E42" s="86"/>
      <c r="F42" s="97"/>
      <c r="G42" s="97"/>
      <c r="H42" s="97"/>
    </row>
    <row r="43" spans="2:14" ht="14.25">
      <c r="B43" s="361"/>
      <c r="C43" s="79"/>
      <c r="D43" s="86"/>
      <c r="E43" s="86"/>
      <c r="F43" s="97"/>
      <c r="G43" s="97"/>
      <c r="H43" s="97"/>
    </row>
    <row r="44" spans="2:14" ht="14.25">
      <c r="B44" s="361"/>
      <c r="C44" s="79"/>
      <c r="D44" s="86"/>
      <c r="E44" s="86"/>
      <c r="F44" s="97"/>
      <c r="G44" s="97"/>
      <c r="H44" s="97"/>
    </row>
    <row r="45" spans="2:14" ht="14.25">
      <c r="B45" s="361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G27:G33"/>
    <mergeCell ref="B7:B12"/>
    <mergeCell ref="B13:B19"/>
    <mergeCell ref="B20:B26"/>
    <mergeCell ref="B27:B33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G7:G12"/>
    <mergeCell ref="G13:G19"/>
    <mergeCell ref="G20:G26"/>
    <mergeCell ref="F5:F6"/>
    <mergeCell ref="G5:G6"/>
    <mergeCell ref="H5:H6"/>
    <mergeCell ref="I3:N3"/>
    <mergeCell ref="B2:N2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T18" sqref="T18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11" t="s">
        <v>309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ht="25.35" customHeight="1">
      <c r="B3" s="397" t="s">
        <v>143</v>
      </c>
      <c r="C3" s="398" t="s">
        <v>140</v>
      </c>
      <c r="D3" s="399" t="s">
        <v>103</v>
      </c>
      <c r="E3" s="399"/>
      <c r="F3" s="406" t="s">
        <v>144</v>
      </c>
      <c r="G3" s="407"/>
      <c r="H3" s="407"/>
      <c r="I3" s="402" t="s">
        <v>307</v>
      </c>
      <c r="J3" s="403"/>
      <c r="K3" s="403"/>
      <c r="L3" s="403"/>
      <c r="M3" s="403"/>
      <c r="N3" s="404"/>
    </row>
    <row r="4" spans="1:14" ht="25.35" customHeight="1">
      <c r="B4" s="397"/>
      <c r="C4" s="398"/>
      <c r="D4" s="399"/>
      <c r="E4" s="399"/>
      <c r="F4" s="407"/>
      <c r="G4" s="407"/>
      <c r="H4" s="407"/>
      <c r="I4" s="401" t="s">
        <v>141</v>
      </c>
      <c r="J4" s="401"/>
      <c r="K4" s="401" t="s">
        <v>142</v>
      </c>
      <c r="L4" s="401"/>
      <c r="M4" s="401" t="s">
        <v>139</v>
      </c>
      <c r="N4" s="401"/>
    </row>
    <row r="5" spans="1:14" ht="25.35" customHeight="1">
      <c r="B5" s="397"/>
      <c r="C5" s="398"/>
      <c r="D5" s="399"/>
      <c r="E5" s="399"/>
      <c r="F5" s="405" t="s">
        <v>116</v>
      </c>
      <c r="G5" s="405" t="s">
        <v>120</v>
      </c>
      <c r="H5" s="405" t="s">
        <v>121</v>
      </c>
      <c r="I5" s="401" t="s">
        <v>133</v>
      </c>
      <c r="J5" s="401"/>
      <c r="K5" s="401" t="s">
        <v>133</v>
      </c>
      <c r="L5" s="401"/>
      <c r="M5" s="401" t="s">
        <v>133</v>
      </c>
      <c r="N5" s="401"/>
    </row>
    <row r="6" spans="1:14" s="82" customFormat="1" ht="23.45" customHeight="1">
      <c r="B6" s="397"/>
      <c r="C6" s="398"/>
      <c r="D6" s="399"/>
      <c r="E6" s="399"/>
      <c r="F6" s="405"/>
      <c r="G6" s="405"/>
      <c r="H6" s="405"/>
      <c r="I6" s="105" t="s">
        <v>145</v>
      </c>
      <c r="J6" s="99" t="s">
        <v>111</v>
      </c>
      <c r="K6" s="105" t="s">
        <v>145</v>
      </c>
      <c r="L6" s="99" t="s">
        <v>111</v>
      </c>
      <c r="M6" s="105" t="s">
        <v>145</v>
      </c>
      <c r="N6" s="99" t="s">
        <v>111</v>
      </c>
    </row>
    <row r="7" spans="1:14" ht="14.25">
      <c r="B7" s="390">
        <v>45937</v>
      </c>
      <c r="C7" s="380" t="s">
        <v>570</v>
      </c>
      <c r="D7" s="86">
        <v>45931</v>
      </c>
      <c r="E7" s="233" t="s">
        <v>112</v>
      </c>
      <c r="F7" s="210">
        <f>SUM(I7,K7,M7)</f>
        <v>59618</v>
      </c>
      <c r="G7" s="382">
        <f>SUM(F7:F12)</f>
        <v>289645</v>
      </c>
      <c r="H7" s="382">
        <f>SUM(F7:F37)</f>
        <v>616017</v>
      </c>
      <c r="I7" s="270">
        <v>47989</v>
      </c>
      <c r="J7" s="101">
        <f t="shared" ref="J7:J36" si="0">I7/F7</f>
        <v>0.80494146063269478</v>
      </c>
      <c r="K7" s="106"/>
      <c r="L7" s="101">
        <f t="shared" ref="L7:L36" si="1">K7/F7</f>
        <v>0</v>
      </c>
      <c r="M7" s="270">
        <v>11629</v>
      </c>
      <c r="N7" s="101">
        <f t="shared" ref="N7:N36" si="2">M7/F7</f>
        <v>0.19505853936730519</v>
      </c>
    </row>
    <row r="8" spans="1:14" ht="14.25">
      <c r="B8" s="390"/>
      <c r="C8" s="361"/>
      <c r="D8" s="86">
        <v>45932</v>
      </c>
      <c r="E8" s="233" t="s">
        <v>113</v>
      </c>
      <c r="F8" s="210">
        <f t="shared" ref="F8:F37" si="3">SUM(I8,K8,M8)</f>
        <v>51111</v>
      </c>
      <c r="G8" s="382"/>
      <c r="H8" s="382"/>
      <c r="I8" s="270">
        <v>44028</v>
      </c>
      <c r="J8" s="101">
        <f t="shared" si="0"/>
        <v>0.86141926395492163</v>
      </c>
      <c r="K8" s="106"/>
      <c r="L8" s="101">
        <f t="shared" si="1"/>
        <v>0</v>
      </c>
      <c r="M8" s="270">
        <v>7083</v>
      </c>
      <c r="N8" s="101">
        <f t="shared" si="2"/>
        <v>0.13858073604507837</v>
      </c>
    </row>
    <row r="9" spans="1:14" ht="14.25">
      <c r="B9" s="390"/>
      <c r="C9" s="361"/>
      <c r="D9" s="86">
        <v>45933</v>
      </c>
      <c r="E9" s="233" t="s">
        <v>114</v>
      </c>
      <c r="F9" s="210">
        <f t="shared" si="3"/>
        <v>39570</v>
      </c>
      <c r="G9" s="382"/>
      <c r="H9" s="382"/>
      <c r="I9" s="270">
        <v>33924</v>
      </c>
      <c r="J9" s="101">
        <f t="shared" si="0"/>
        <v>0.85731614859742233</v>
      </c>
      <c r="K9" s="106"/>
      <c r="L9" s="101">
        <f t="shared" si="1"/>
        <v>0</v>
      </c>
      <c r="M9" s="270">
        <v>5646</v>
      </c>
      <c r="N9" s="101">
        <f t="shared" si="2"/>
        <v>0.14268385140257772</v>
      </c>
    </row>
    <row r="10" spans="1:14" ht="14.25">
      <c r="B10" s="390"/>
      <c r="C10" s="361"/>
      <c r="D10" s="86">
        <v>45934</v>
      </c>
      <c r="E10" s="233" t="s">
        <v>115</v>
      </c>
      <c r="F10" s="210">
        <f t="shared" si="3"/>
        <v>39717</v>
      </c>
      <c r="G10" s="382"/>
      <c r="H10" s="382"/>
      <c r="I10" s="270">
        <v>33895</v>
      </c>
      <c r="J10" s="101">
        <f t="shared" si="0"/>
        <v>0.85341289624090444</v>
      </c>
      <c r="K10" s="106"/>
      <c r="L10" s="101">
        <f t="shared" si="1"/>
        <v>0</v>
      </c>
      <c r="M10" s="270">
        <v>5822</v>
      </c>
      <c r="N10" s="101">
        <f t="shared" si="2"/>
        <v>0.14658710375909559</v>
      </c>
    </row>
    <row r="11" spans="1:14" ht="14.25">
      <c r="B11" s="390"/>
      <c r="C11" s="361"/>
      <c r="D11" s="86">
        <v>45935</v>
      </c>
      <c r="E11" s="233" t="s">
        <v>116</v>
      </c>
      <c r="F11" s="210">
        <f t="shared" si="3"/>
        <v>44134</v>
      </c>
      <c r="G11" s="382"/>
      <c r="H11" s="382"/>
      <c r="I11" s="270">
        <v>37758</v>
      </c>
      <c r="J11" s="101">
        <f t="shared" si="0"/>
        <v>0.85553088321928672</v>
      </c>
      <c r="K11" s="106"/>
      <c r="L11" s="101">
        <f t="shared" si="1"/>
        <v>0</v>
      </c>
      <c r="M11" s="270">
        <v>6376</v>
      </c>
      <c r="N11" s="101">
        <f t="shared" si="2"/>
        <v>0.14446911678071328</v>
      </c>
    </row>
    <row r="12" spans="1:14" ht="14.25">
      <c r="B12" s="390"/>
      <c r="C12" s="361"/>
      <c r="D12" s="86">
        <v>45936</v>
      </c>
      <c r="E12" s="86" t="s">
        <v>117</v>
      </c>
      <c r="F12" s="210">
        <f t="shared" si="3"/>
        <v>55495</v>
      </c>
      <c r="G12" s="382"/>
      <c r="H12" s="382"/>
      <c r="I12" s="270">
        <v>46852</v>
      </c>
      <c r="J12" s="101">
        <f t="shared" si="0"/>
        <v>0.84425623930083793</v>
      </c>
      <c r="K12" s="106"/>
      <c r="L12" s="101">
        <f t="shared" si="1"/>
        <v>0</v>
      </c>
      <c r="M12" s="270">
        <v>8643</v>
      </c>
      <c r="N12" s="101">
        <f t="shared" si="2"/>
        <v>0.1557437606991621</v>
      </c>
    </row>
    <row r="13" spans="1:14" ht="14.25">
      <c r="B13" s="390">
        <v>45944</v>
      </c>
      <c r="C13" s="361"/>
      <c r="D13" s="86">
        <v>45937</v>
      </c>
      <c r="E13" s="233" t="s">
        <v>118</v>
      </c>
      <c r="F13" s="210">
        <f t="shared" si="3"/>
        <v>51247</v>
      </c>
      <c r="G13" s="382">
        <f>SUM(F13:F18)</f>
        <v>272989</v>
      </c>
      <c r="H13" s="382"/>
      <c r="I13" s="270">
        <v>42281</v>
      </c>
      <c r="J13" s="101">
        <f t="shared" si="0"/>
        <v>0.82504341717563956</v>
      </c>
      <c r="K13" s="106"/>
      <c r="L13" s="101">
        <f t="shared" si="1"/>
        <v>0</v>
      </c>
      <c r="M13" s="270">
        <v>8966</v>
      </c>
      <c r="N13" s="101">
        <f t="shared" si="2"/>
        <v>0.17495658282436044</v>
      </c>
    </row>
    <row r="14" spans="1:14" ht="14.25">
      <c r="B14" s="390"/>
      <c r="C14" s="361"/>
      <c r="D14" s="86">
        <v>45938</v>
      </c>
      <c r="E14" s="233" t="s">
        <v>112</v>
      </c>
      <c r="F14" s="210">
        <f t="shared" si="3"/>
        <v>49561</v>
      </c>
      <c r="G14" s="382"/>
      <c r="H14" s="382"/>
      <c r="I14" s="270">
        <v>41503</v>
      </c>
      <c r="J14" s="101">
        <f t="shared" si="0"/>
        <v>0.83741248158834569</v>
      </c>
      <c r="K14" s="106"/>
      <c r="L14" s="101">
        <f t="shared" si="1"/>
        <v>0</v>
      </c>
      <c r="M14" s="270">
        <v>8058</v>
      </c>
      <c r="N14" s="101">
        <f t="shared" si="2"/>
        <v>0.16258751841165434</v>
      </c>
    </row>
    <row r="15" spans="1:14" ht="14.25">
      <c r="B15" s="390"/>
      <c r="C15" s="361"/>
      <c r="D15" s="86">
        <v>45939</v>
      </c>
      <c r="E15" s="233" t="s">
        <v>113</v>
      </c>
      <c r="F15" s="210">
        <f t="shared" si="3"/>
        <v>40503</v>
      </c>
      <c r="G15" s="382"/>
      <c r="H15" s="382"/>
      <c r="I15" s="270">
        <v>33748</v>
      </c>
      <c r="J15" s="101">
        <f t="shared" si="0"/>
        <v>0.83322223045206523</v>
      </c>
      <c r="K15" s="106"/>
      <c r="L15" s="101">
        <f t="shared" si="1"/>
        <v>0</v>
      </c>
      <c r="M15" s="270">
        <v>6755</v>
      </c>
      <c r="N15" s="101">
        <f t="shared" si="2"/>
        <v>0.16677776954793472</v>
      </c>
    </row>
    <row r="16" spans="1:14" ht="14.25">
      <c r="B16" s="390"/>
      <c r="C16" s="361"/>
      <c r="D16" s="86">
        <v>45940</v>
      </c>
      <c r="E16" s="233" t="s">
        <v>114</v>
      </c>
      <c r="F16" s="210">
        <f t="shared" si="3"/>
        <v>39047</v>
      </c>
      <c r="G16" s="382"/>
      <c r="H16" s="382"/>
      <c r="I16" s="270">
        <v>32694</v>
      </c>
      <c r="J16" s="101">
        <f t="shared" si="0"/>
        <v>0.83729864010039179</v>
      </c>
      <c r="K16" s="106"/>
      <c r="L16" s="101">
        <f t="shared" si="1"/>
        <v>0</v>
      </c>
      <c r="M16" s="270">
        <v>6353</v>
      </c>
      <c r="N16" s="101">
        <f t="shared" si="2"/>
        <v>0.16270135989960816</v>
      </c>
    </row>
    <row r="17" spans="2:14" ht="14.25">
      <c r="B17" s="390"/>
      <c r="C17" s="361"/>
      <c r="D17" s="86">
        <v>45941</v>
      </c>
      <c r="E17" s="233" t="s">
        <v>115</v>
      </c>
      <c r="F17" s="210">
        <f t="shared" si="3"/>
        <v>40125</v>
      </c>
      <c r="G17" s="382"/>
      <c r="H17" s="382"/>
      <c r="I17" s="270">
        <v>33450</v>
      </c>
      <c r="J17" s="101">
        <f t="shared" si="0"/>
        <v>0.83364485981308412</v>
      </c>
      <c r="K17" s="106"/>
      <c r="L17" s="101">
        <f t="shared" si="1"/>
        <v>0</v>
      </c>
      <c r="M17" s="270">
        <v>6675</v>
      </c>
      <c r="N17" s="101">
        <f t="shared" si="2"/>
        <v>0.16635514018691588</v>
      </c>
    </row>
    <row r="18" spans="2:14" ht="14.25">
      <c r="B18" s="390"/>
      <c r="C18" s="361"/>
      <c r="D18" s="86">
        <v>45942</v>
      </c>
      <c r="E18" s="233" t="s">
        <v>116</v>
      </c>
      <c r="F18" s="210">
        <f t="shared" si="3"/>
        <v>52506</v>
      </c>
      <c r="G18" s="382"/>
      <c r="H18" s="382"/>
      <c r="I18" s="270">
        <v>44265</v>
      </c>
      <c r="J18" s="101">
        <f t="shared" si="0"/>
        <v>0.84304650897040334</v>
      </c>
      <c r="K18" s="106"/>
      <c r="L18" s="101">
        <f t="shared" si="1"/>
        <v>0</v>
      </c>
      <c r="M18" s="270">
        <v>8241</v>
      </c>
      <c r="N18" s="101">
        <f t="shared" si="2"/>
        <v>0.15695349102959663</v>
      </c>
    </row>
    <row r="19" spans="2:14" ht="14.25">
      <c r="B19" s="390"/>
      <c r="C19" s="361"/>
      <c r="D19" s="86">
        <v>45943</v>
      </c>
      <c r="E19" s="86" t="s">
        <v>117</v>
      </c>
      <c r="F19" s="210">
        <f t="shared" si="3"/>
        <v>53383</v>
      </c>
      <c r="G19" s="382"/>
      <c r="H19" s="382"/>
      <c r="I19" s="270">
        <v>45063</v>
      </c>
      <c r="J19" s="101">
        <f t="shared" si="0"/>
        <v>0.84414513983852535</v>
      </c>
      <c r="K19" s="106"/>
      <c r="L19" s="101">
        <f t="shared" si="1"/>
        <v>0</v>
      </c>
      <c r="M19" s="270">
        <v>8320</v>
      </c>
      <c r="N19" s="101">
        <f t="shared" si="2"/>
        <v>0.15585486016147462</v>
      </c>
    </row>
    <row r="20" spans="2:14" ht="14.25">
      <c r="B20" s="390">
        <v>45951</v>
      </c>
      <c r="C20" s="361"/>
      <c r="D20" s="86">
        <v>45944</v>
      </c>
      <c r="E20" s="233" t="s">
        <v>118</v>
      </c>
      <c r="F20" s="210">
        <f t="shared" si="3"/>
        <v>0</v>
      </c>
      <c r="G20" s="382">
        <f t="shared" ref="G20" si="4">SUM(F20:F25)</f>
        <v>0</v>
      </c>
      <c r="H20" s="382"/>
      <c r="I20" s="270"/>
      <c r="J20" s="101" t="e">
        <f t="shared" si="0"/>
        <v>#DIV/0!</v>
      </c>
      <c r="K20" s="106"/>
      <c r="L20" s="101" t="e">
        <f t="shared" si="1"/>
        <v>#DIV/0!</v>
      </c>
      <c r="M20" s="270"/>
      <c r="N20" s="101" t="e">
        <f t="shared" si="2"/>
        <v>#DIV/0!</v>
      </c>
    </row>
    <row r="21" spans="2:14" ht="14.25">
      <c r="B21" s="361"/>
      <c r="C21" s="361"/>
      <c r="D21" s="86">
        <v>45945</v>
      </c>
      <c r="E21" s="233" t="s">
        <v>112</v>
      </c>
      <c r="F21" s="210">
        <f t="shared" si="3"/>
        <v>0</v>
      </c>
      <c r="G21" s="382"/>
      <c r="H21" s="382"/>
      <c r="I21" s="270"/>
      <c r="J21" s="101" t="e">
        <f t="shared" si="0"/>
        <v>#DIV/0!</v>
      </c>
      <c r="K21" s="106"/>
      <c r="L21" s="101" t="e">
        <f t="shared" si="1"/>
        <v>#DIV/0!</v>
      </c>
      <c r="M21" s="270"/>
      <c r="N21" s="101" t="e">
        <f t="shared" si="2"/>
        <v>#DIV/0!</v>
      </c>
    </row>
    <row r="22" spans="2:14" ht="14.25">
      <c r="B22" s="361"/>
      <c r="C22" s="361"/>
      <c r="D22" s="86">
        <v>45946</v>
      </c>
      <c r="E22" s="233" t="s">
        <v>113</v>
      </c>
      <c r="F22" s="210">
        <f t="shared" si="3"/>
        <v>0</v>
      </c>
      <c r="G22" s="382"/>
      <c r="H22" s="382"/>
      <c r="I22" s="270"/>
      <c r="J22" s="101" t="e">
        <f t="shared" si="0"/>
        <v>#DIV/0!</v>
      </c>
      <c r="K22" s="106"/>
      <c r="L22" s="101" t="e">
        <f t="shared" si="1"/>
        <v>#DIV/0!</v>
      </c>
      <c r="M22" s="270"/>
      <c r="N22" s="101" t="e">
        <f t="shared" si="2"/>
        <v>#DIV/0!</v>
      </c>
    </row>
    <row r="23" spans="2:14" ht="14.25">
      <c r="B23" s="361"/>
      <c r="C23" s="361"/>
      <c r="D23" s="86">
        <v>45947</v>
      </c>
      <c r="E23" s="233" t="s">
        <v>114</v>
      </c>
      <c r="F23" s="210">
        <f t="shared" si="3"/>
        <v>0</v>
      </c>
      <c r="G23" s="382"/>
      <c r="H23" s="382"/>
      <c r="I23" s="270"/>
      <c r="J23" s="101" t="e">
        <f t="shared" si="0"/>
        <v>#DIV/0!</v>
      </c>
      <c r="K23" s="106"/>
      <c r="L23" s="101" t="e">
        <f t="shared" si="1"/>
        <v>#DIV/0!</v>
      </c>
      <c r="M23" s="270"/>
      <c r="N23" s="101" t="e">
        <f t="shared" si="2"/>
        <v>#DIV/0!</v>
      </c>
    </row>
    <row r="24" spans="2:14" ht="14.25">
      <c r="B24" s="361"/>
      <c r="C24" s="361"/>
      <c r="D24" s="86">
        <v>45948</v>
      </c>
      <c r="E24" s="233" t="s">
        <v>115</v>
      </c>
      <c r="F24" s="210">
        <f t="shared" si="3"/>
        <v>0</v>
      </c>
      <c r="G24" s="382"/>
      <c r="H24" s="382"/>
      <c r="I24" s="270"/>
      <c r="J24" s="101" t="e">
        <f t="shared" si="0"/>
        <v>#DIV/0!</v>
      </c>
      <c r="K24" s="106"/>
      <c r="L24" s="101" t="e">
        <f t="shared" si="1"/>
        <v>#DIV/0!</v>
      </c>
      <c r="M24" s="270"/>
      <c r="N24" s="101" t="e">
        <f t="shared" si="2"/>
        <v>#DIV/0!</v>
      </c>
    </row>
    <row r="25" spans="2:14" ht="14.25">
      <c r="B25" s="361"/>
      <c r="C25" s="361"/>
      <c r="D25" s="86">
        <v>45949</v>
      </c>
      <c r="E25" s="233" t="s">
        <v>116</v>
      </c>
      <c r="F25" s="210">
        <f t="shared" si="3"/>
        <v>0</v>
      </c>
      <c r="G25" s="382"/>
      <c r="H25" s="382"/>
      <c r="I25" s="270"/>
      <c r="J25" s="101" t="e">
        <f t="shared" si="0"/>
        <v>#DIV/0!</v>
      </c>
      <c r="K25" s="106"/>
      <c r="L25" s="101" t="e">
        <f t="shared" si="1"/>
        <v>#DIV/0!</v>
      </c>
      <c r="M25" s="270"/>
      <c r="N25" s="101" t="e">
        <f t="shared" si="2"/>
        <v>#DIV/0!</v>
      </c>
    </row>
    <row r="26" spans="2:14" ht="14.25">
      <c r="B26" s="361"/>
      <c r="C26" s="361"/>
      <c r="D26" s="86">
        <v>45950</v>
      </c>
      <c r="E26" s="86" t="s">
        <v>117</v>
      </c>
      <c r="F26" s="210">
        <f t="shared" si="3"/>
        <v>0</v>
      </c>
      <c r="G26" s="382"/>
      <c r="H26" s="382"/>
      <c r="I26" s="270"/>
      <c r="J26" s="101" t="e">
        <f t="shared" si="0"/>
        <v>#DIV/0!</v>
      </c>
      <c r="K26" s="106"/>
      <c r="L26" s="101" t="e">
        <f t="shared" si="1"/>
        <v>#DIV/0!</v>
      </c>
      <c r="M26" s="270"/>
      <c r="N26" s="101" t="e">
        <f t="shared" si="2"/>
        <v>#DIV/0!</v>
      </c>
    </row>
    <row r="27" spans="2:14" ht="14.25">
      <c r="B27" s="390">
        <v>45958</v>
      </c>
      <c r="C27" s="361"/>
      <c r="D27" s="86">
        <v>45951</v>
      </c>
      <c r="E27" s="233" t="s">
        <v>118</v>
      </c>
      <c r="F27" s="210">
        <f t="shared" si="3"/>
        <v>0</v>
      </c>
      <c r="G27" s="382">
        <f t="shared" ref="G27" si="5">SUM(F27:F32)</f>
        <v>0</v>
      </c>
      <c r="H27" s="382"/>
      <c r="I27" s="270"/>
      <c r="J27" s="101" t="e">
        <f t="shared" si="0"/>
        <v>#DIV/0!</v>
      </c>
      <c r="K27" s="106"/>
      <c r="L27" s="101" t="e">
        <f t="shared" si="1"/>
        <v>#DIV/0!</v>
      </c>
      <c r="M27" s="270"/>
      <c r="N27" s="101" t="e">
        <f t="shared" si="2"/>
        <v>#DIV/0!</v>
      </c>
    </row>
    <row r="28" spans="2:14" ht="14.25">
      <c r="B28" s="361"/>
      <c r="C28" s="361"/>
      <c r="D28" s="86">
        <v>45952</v>
      </c>
      <c r="E28" s="233" t="s">
        <v>112</v>
      </c>
      <c r="F28" s="210">
        <f t="shared" si="3"/>
        <v>0</v>
      </c>
      <c r="G28" s="382"/>
      <c r="H28" s="382"/>
      <c r="I28" s="270"/>
      <c r="J28" s="101" t="e">
        <f t="shared" si="0"/>
        <v>#DIV/0!</v>
      </c>
      <c r="K28" s="106"/>
      <c r="L28" s="101" t="e">
        <f t="shared" si="1"/>
        <v>#DIV/0!</v>
      </c>
      <c r="M28" s="270"/>
      <c r="N28" s="101" t="e">
        <f t="shared" si="2"/>
        <v>#DIV/0!</v>
      </c>
    </row>
    <row r="29" spans="2:14" ht="14.25">
      <c r="B29" s="361"/>
      <c r="C29" s="361"/>
      <c r="D29" s="86">
        <v>45953</v>
      </c>
      <c r="E29" s="233" t="s">
        <v>113</v>
      </c>
      <c r="F29" s="210">
        <f t="shared" si="3"/>
        <v>0</v>
      </c>
      <c r="G29" s="382"/>
      <c r="H29" s="382"/>
      <c r="I29" s="270"/>
      <c r="J29" s="101" t="e">
        <f t="shared" si="0"/>
        <v>#DIV/0!</v>
      </c>
      <c r="K29" s="106"/>
      <c r="L29" s="101" t="e">
        <f t="shared" si="1"/>
        <v>#DIV/0!</v>
      </c>
      <c r="M29" s="270"/>
      <c r="N29" s="101" t="e">
        <f t="shared" si="2"/>
        <v>#DIV/0!</v>
      </c>
    </row>
    <row r="30" spans="2:14" ht="14.25">
      <c r="B30" s="361"/>
      <c r="C30" s="361"/>
      <c r="D30" s="86">
        <v>45954</v>
      </c>
      <c r="E30" s="233" t="s">
        <v>114</v>
      </c>
      <c r="F30" s="210">
        <f t="shared" si="3"/>
        <v>0</v>
      </c>
      <c r="G30" s="382"/>
      <c r="H30" s="382"/>
      <c r="I30" s="270"/>
      <c r="J30" s="101" t="e">
        <f t="shared" si="0"/>
        <v>#DIV/0!</v>
      </c>
      <c r="K30" s="106"/>
      <c r="L30" s="101" t="e">
        <f t="shared" si="1"/>
        <v>#DIV/0!</v>
      </c>
      <c r="M30" s="270"/>
      <c r="N30" s="101" t="e">
        <f t="shared" si="2"/>
        <v>#DIV/0!</v>
      </c>
    </row>
    <row r="31" spans="2:14" ht="14.25">
      <c r="B31" s="361"/>
      <c r="C31" s="361"/>
      <c r="D31" s="86">
        <v>45955</v>
      </c>
      <c r="E31" s="233" t="s">
        <v>115</v>
      </c>
      <c r="F31" s="210">
        <f t="shared" si="3"/>
        <v>0</v>
      </c>
      <c r="G31" s="382"/>
      <c r="H31" s="382"/>
      <c r="I31" s="270"/>
      <c r="J31" s="101" t="e">
        <f t="shared" si="0"/>
        <v>#DIV/0!</v>
      </c>
      <c r="K31" s="106"/>
      <c r="L31" s="101" t="e">
        <f t="shared" si="1"/>
        <v>#DIV/0!</v>
      </c>
      <c r="M31" s="270"/>
      <c r="N31" s="101" t="e">
        <f t="shared" si="2"/>
        <v>#DIV/0!</v>
      </c>
    </row>
    <row r="32" spans="2:14" ht="14.25">
      <c r="B32" s="361"/>
      <c r="C32" s="361"/>
      <c r="D32" s="86">
        <v>45956</v>
      </c>
      <c r="E32" s="233" t="s">
        <v>116</v>
      </c>
      <c r="F32" s="210">
        <f t="shared" si="3"/>
        <v>0</v>
      </c>
      <c r="G32" s="382"/>
      <c r="H32" s="382"/>
      <c r="I32" s="270"/>
      <c r="J32" s="101" t="e">
        <f t="shared" si="0"/>
        <v>#DIV/0!</v>
      </c>
      <c r="K32" s="106"/>
      <c r="L32" s="101" t="e">
        <f t="shared" si="1"/>
        <v>#DIV/0!</v>
      </c>
      <c r="M32" s="270"/>
      <c r="N32" s="101" t="e">
        <f t="shared" si="2"/>
        <v>#DIV/0!</v>
      </c>
    </row>
    <row r="33" spans="2:14" ht="14.25">
      <c r="B33" s="361"/>
      <c r="C33" s="361"/>
      <c r="D33" s="86">
        <v>45957</v>
      </c>
      <c r="E33" s="86" t="s">
        <v>117</v>
      </c>
      <c r="F33" s="210">
        <f t="shared" si="3"/>
        <v>0</v>
      </c>
      <c r="G33" s="382"/>
      <c r="H33" s="382"/>
      <c r="I33" s="270"/>
      <c r="J33" s="101" t="e">
        <f t="shared" si="0"/>
        <v>#DIV/0!</v>
      </c>
      <c r="K33" s="106"/>
      <c r="L33" s="101" t="e">
        <f t="shared" si="1"/>
        <v>#DIV/0!</v>
      </c>
      <c r="M33" s="270"/>
      <c r="N33" s="101" t="e">
        <f t="shared" si="2"/>
        <v>#DIV/0!</v>
      </c>
    </row>
    <row r="34" spans="2:14" ht="14.25">
      <c r="B34" s="83"/>
      <c r="C34" s="361"/>
      <c r="D34" s="86">
        <v>45958</v>
      </c>
      <c r="E34" s="233" t="s">
        <v>118</v>
      </c>
      <c r="F34" s="210">
        <f t="shared" si="3"/>
        <v>0</v>
      </c>
      <c r="G34" s="352"/>
      <c r="H34" s="382"/>
      <c r="I34" s="270"/>
      <c r="J34" s="101" t="e">
        <f t="shared" si="0"/>
        <v>#DIV/0!</v>
      </c>
      <c r="K34" s="106"/>
      <c r="L34" s="101" t="e">
        <f t="shared" si="1"/>
        <v>#DIV/0!</v>
      </c>
      <c r="M34" s="270"/>
      <c r="N34" s="101" t="e">
        <f t="shared" si="2"/>
        <v>#DIV/0!</v>
      </c>
    </row>
    <row r="35" spans="2:14" ht="14.25">
      <c r="B35" s="83"/>
      <c r="C35" s="361"/>
      <c r="D35" s="86">
        <v>45959</v>
      </c>
      <c r="E35" s="233" t="s">
        <v>112</v>
      </c>
      <c r="F35" s="210">
        <f t="shared" si="3"/>
        <v>0</v>
      </c>
      <c r="G35" s="352"/>
      <c r="H35" s="382"/>
      <c r="I35" s="270"/>
      <c r="J35" s="101" t="e">
        <f t="shared" si="0"/>
        <v>#DIV/0!</v>
      </c>
      <c r="K35" s="106"/>
      <c r="L35" s="101" t="e">
        <f t="shared" si="1"/>
        <v>#DIV/0!</v>
      </c>
      <c r="M35" s="270"/>
      <c r="N35" s="101" t="e">
        <f t="shared" si="2"/>
        <v>#DIV/0!</v>
      </c>
    </row>
    <row r="36" spans="2:14" ht="14.25">
      <c r="B36" s="361"/>
      <c r="C36" s="361"/>
      <c r="D36" s="86">
        <v>45960</v>
      </c>
      <c r="E36" s="233" t="s">
        <v>113</v>
      </c>
      <c r="F36" s="210">
        <f t="shared" si="3"/>
        <v>0</v>
      </c>
      <c r="G36" s="352"/>
      <c r="H36" s="382"/>
      <c r="I36" s="270"/>
      <c r="J36" s="101" t="e">
        <f t="shared" si="0"/>
        <v>#DIV/0!</v>
      </c>
      <c r="K36" s="106"/>
      <c r="L36" s="101" t="e">
        <f t="shared" si="1"/>
        <v>#DIV/0!</v>
      </c>
      <c r="M36" s="270"/>
      <c r="N36" s="101" t="e">
        <f t="shared" si="2"/>
        <v>#DIV/0!</v>
      </c>
    </row>
    <row r="37" spans="2:14" ht="14.25">
      <c r="B37" s="361"/>
      <c r="C37" s="361"/>
      <c r="D37" s="86">
        <v>45961</v>
      </c>
      <c r="E37" s="233" t="s">
        <v>114</v>
      </c>
      <c r="F37" s="210">
        <f t="shared" si="3"/>
        <v>0</v>
      </c>
      <c r="G37" s="352"/>
      <c r="H37" s="382"/>
      <c r="I37" s="243"/>
      <c r="J37" s="244"/>
      <c r="K37" s="243"/>
      <c r="L37" s="244"/>
      <c r="M37" s="243"/>
      <c r="N37" s="244"/>
    </row>
    <row r="38" spans="2:14" ht="14.25">
      <c r="B38" s="361"/>
      <c r="C38" s="79"/>
      <c r="D38" s="86"/>
      <c r="E38" s="233"/>
      <c r="F38" s="210"/>
      <c r="G38" s="352"/>
      <c r="H38" s="210"/>
    </row>
    <row r="39" spans="2:14" ht="14.25">
      <c r="B39" s="361"/>
      <c r="C39" s="79"/>
      <c r="D39" s="86"/>
      <c r="E39" s="233"/>
      <c r="F39" s="210"/>
      <c r="G39" s="352"/>
      <c r="H39" s="210"/>
    </row>
    <row r="40" spans="2:14" ht="14.25">
      <c r="B40" s="361"/>
      <c r="C40" s="79"/>
      <c r="D40" s="86"/>
      <c r="E40" s="233"/>
      <c r="F40" s="210"/>
      <c r="G40" s="352"/>
      <c r="H40" s="210"/>
    </row>
    <row r="41" spans="2:14" ht="14.25">
      <c r="B41" s="361"/>
      <c r="C41" s="79"/>
      <c r="D41" s="86"/>
      <c r="E41" s="233"/>
      <c r="F41" s="210"/>
      <c r="G41" s="352"/>
      <c r="H41" s="210"/>
    </row>
    <row r="42" spans="2:14" ht="14.25">
      <c r="B42" s="361"/>
      <c r="C42" s="79"/>
      <c r="D42" s="86"/>
      <c r="E42" s="86"/>
      <c r="F42" s="210"/>
      <c r="G42" s="352"/>
      <c r="H42" s="210"/>
    </row>
    <row r="43" spans="2:14" ht="14.25">
      <c r="B43" s="83"/>
      <c r="C43" s="79"/>
      <c r="D43" s="86"/>
      <c r="E43" s="233"/>
      <c r="F43" s="210"/>
      <c r="G43" s="210"/>
      <c r="H43" s="210"/>
    </row>
    <row r="44" spans="2:14" ht="14.25">
      <c r="B44" s="83"/>
      <c r="C44" s="79"/>
      <c r="D44" s="86"/>
      <c r="E44" s="233"/>
      <c r="F44" s="210"/>
      <c r="G44" s="210"/>
      <c r="H44" s="210"/>
    </row>
    <row r="45" spans="2:14" ht="14.25">
      <c r="B45" s="83"/>
      <c r="C45" s="79"/>
      <c r="D45" s="86"/>
      <c r="E45" s="233"/>
      <c r="F45" s="210"/>
      <c r="G45" s="210"/>
      <c r="H45" s="210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5">
    <mergeCell ref="B36:B42"/>
    <mergeCell ref="B3:B6"/>
    <mergeCell ref="B7:B12"/>
    <mergeCell ref="B13:B19"/>
    <mergeCell ref="B20:B26"/>
    <mergeCell ref="B27:B33"/>
    <mergeCell ref="H7:H37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G27:G33"/>
    <mergeCell ref="M5:N5"/>
    <mergeCell ref="I5:J5"/>
    <mergeCell ref="I4:J4"/>
    <mergeCell ref="M4:N4"/>
    <mergeCell ref="I3:N3"/>
    <mergeCell ref="K4:L4"/>
    <mergeCell ref="K5:L5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8" zoomScaleNormal="100" workbookViewId="0">
      <pane xSplit="4" topLeftCell="E1" activePane="topRight" state="frozen"/>
      <selection pane="topRight" activeCell="L7" activeCellId="1" sqref="L30:L47 L7:L24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383</v>
      </c>
      <c r="C1" s="214">
        <f>AVERAGE(L7,L30,L53,L73,L96,L119)</f>
        <v>97.68291128179186</v>
      </c>
    </row>
    <row r="2" spans="1:50" ht="15.75">
      <c r="A2" s="217"/>
      <c r="B2" s="439" t="s">
        <v>384</v>
      </c>
      <c r="C2" s="424"/>
      <c r="D2" s="424"/>
      <c r="E2" s="424"/>
      <c r="F2" s="424"/>
      <c r="G2" s="424"/>
      <c r="H2" s="424"/>
      <c r="I2" s="218"/>
      <c r="J2" s="218"/>
      <c r="K2" s="218"/>
      <c r="L2" s="218"/>
      <c r="M2" s="219"/>
      <c r="N2" s="413" t="s">
        <v>385</v>
      </c>
      <c r="O2" s="413" t="s">
        <v>386</v>
      </c>
      <c r="P2" s="426"/>
      <c r="Q2" s="427"/>
      <c r="R2" s="427"/>
      <c r="S2" s="427"/>
      <c r="T2" s="427"/>
      <c r="U2" s="426">
        <v>45931</v>
      </c>
      <c r="V2" s="427"/>
      <c r="W2" s="427"/>
      <c r="X2" s="427"/>
      <c r="Y2" s="427"/>
      <c r="Z2" s="426">
        <v>45932</v>
      </c>
      <c r="AA2" s="427"/>
      <c r="AB2" s="427"/>
      <c r="AC2" s="427"/>
      <c r="AD2" s="427"/>
      <c r="AE2" s="426">
        <v>45933</v>
      </c>
      <c r="AF2" s="427"/>
      <c r="AG2" s="427"/>
      <c r="AH2" s="427"/>
      <c r="AI2" s="427"/>
      <c r="AJ2" s="426">
        <v>45934</v>
      </c>
      <c r="AK2" s="427"/>
      <c r="AL2" s="427"/>
      <c r="AM2" s="427"/>
      <c r="AN2" s="427"/>
      <c r="AO2" s="426">
        <v>45935</v>
      </c>
      <c r="AP2" s="427"/>
      <c r="AQ2" s="427"/>
      <c r="AR2" s="427"/>
      <c r="AS2" s="427"/>
      <c r="AT2" s="426">
        <v>45936</v>
      </c>
      <c r="AU2" s="427"/>
      <c r="AV2" s="427"/>
      <c r="AW2" s="427"/>
      <c r="AX2" s="427"/>
    </row>
    <row r="3" spans="1:50" ht="15.75">
      <c r="A3" s="217"/>
      <c r="B3" s="425"/>
      <c r="C3" s="425"/>
      <c r="D3" s="425"/>
      <c r="E3" s="425"/>
      <c r="F3" s="425"/>
      <c r="G3" s="425"/>
      <c r="H3" s="425"/>
      <c r="I3" s="220"/>
      <c r="J3" s="220"/>
      <c r="K3" s="220"/>
      <c r="L3" s="220"/>
      <c r="M3" s="221"/>
      <c r="N3" s="415"/>
      <c r="O3" s="415"/>
      <c r="P3" s="426" t="s">
        <v>387</v>
      </c>
      <c r="Q3" s="427"/>
      <c r="R3" s="427"/>
      <c r="S3" s="427"/>
      <c r="T3" s="427"/>
      <c r="U3" s="426" t="s">
        <v>388</v>
      </c>
      <c r="V3" s="427"/>
      <c r="W3" s="427"/>
      <c r="X3" s="427"/>
      <c r="Y3" s="427"/>
      <c r="Z3" s="426" t="s">
        <v>389</v>
      </c>
      <c r="AA3" s="427"/>
      <c r="AB3" s="427"/>
      <c r="AC3" s="427"/>
      <c r="AD3" s="427"/>
      <c r="AE3" s="426" t="s">
        <v>390</v>
      </c>
      <c r="AF3" s="427"/>
      <c r="AG3" s="427"/>
      <c r="AH3" s="427"/>
      <c r="AI3" s="427"/>
      <c r="AJ3" s="426" t="s">
        <v>391</v>
      </c>
      <c r="AK3" s="427"/>
      <c r="AL3" s="427"/>
      <c r="AM3" s="427"/>
      <c r="AN3" s="427"/>
      <c r="AO3" s="426" t="s">
        <v>392</v>
      </c>
      <c r="AP3" s="427"/>
      <c r="AQ3" s="427"/>
      <c r="AR3" s="427"/>
      <c r="AS3" s="427"/>
      <c r="AT3" s="426" t="s">
        <v>393</v>
      </c>
      <c r="AU3" s="427"/>
      <c r="AV3" s="427"/>
      <c r="AW3" s="427"/>
      <c r="AX3" s="427"/>
    </row>
    <row r="4" spans="1:50" ht="14.25">
      <c r="A4" s="217"/>
      <c r="B4" s="419" t="s">
        <v>394</v>
      </c>
      <c r="C4" s="433" t="s">
        <v>395</v>
      </c>
      <c r="D4" s="419"/>
      <c r="E4" s="419" t="s">
        <v>396</v>
      </c>
      <c r="F4" s="419"/>
      <c r="G4" s="419"/>
      <c r="H4" s="420" t="s">
        <v>397</v>
      </c>
      <c r="I4" s="419" t="s">
        <v>398</v>
      </c>
      <c r="J4" s="419"/>
      <c r="K4" s="419"/>
      <c r="L4" s="420" t="s">
        <v>397</v>
      </c>
      <c r="M4" s="413" t="s">
        <v>399</v>
      </c>
      <c r="N4" s="419"/>
      <c r="O4" s="419" t="s">
        <v>400</v>
      </c>
      <c r="P4" s="416" t="s">
        <v>401</v>
      </c>
      <c r="Q4" s="417"/>
      <c r="R4" s="417"/>
      <c r="S4" s="418"/>
      <c r="T4" s="419" t="s">
        <v>397</v>
      </c>
      <c r="U4" s="416" t="s">
        <v>401</v>
      </c>
      <c r="V4" s="417"/>
      <c r="W4" s="417"/>
      <c r="X4" s="418"/>
      <c r="Y4" s="419" t="s">
        <v>397</v>
      </c>
      <c r="Z4" s="416" t="s">
        <v>402</v>
      </c>
      <c r="AA4" s="417"/>
      <c r="AB4" s="417"/>
      <c r="AC4" s="418"/>
      <c r="AD4" s="419" t="s">
        <v>403</v>
      </c>
      <c r="AE4" s="416" t="s">
        <v>402</v>
      </c>
      <c r="AF4" s="417"/>
      <c r="AG4" s="417"/>
      <c r="AH4" s="418"/>
      <c r="AI4" s="419" t="s">
        <v>397</v>
      </c>
      <c r="AJ4" s="416" t="s">
        <v>401</v>
      </c>
      <c r="AK4" s="417"/>
      <c r="AL4" s="417"/>
      <c r="AM4" s="418"/>
      <c r="AN4" s="419" t="s">
        <v>403</v>
      </c>
      <c r="AO4" s="416" t="s">
        <v>401</v>
      </c>
      <c r="AP4" s="417"/>
      <c r="AQ4" s="417"/>
      <c r="AR4" s="418"/>
      <c r="AS4" s="419" t="s">
        <v>403</v>
      </c>
      <c r="AT4" s="416" t="s">
        <v>402</v>
      </c>
      <c r="AU4" s="417"/>
      <c r="AV4" s="417"/>
      <c r="AW4" s="418"/>
      <c r="AX4" s="419" t="s">
        <v>397</v>
      </c>
    </row>
    <row r="5" spans="1:50" ht="14.25">
      <c r="A5" s="217"/>
      <c r="B5" s="419"/>
      <c r="C5" s="419"/>
      <c r="D5" s="419"/>
      <c r="E5" s="419" t="s">
        <v>404</v>
      </c>
      <c r="F5" s="419"/>
      <c r="G5" s="419"/>
      <c r="H5" s="421"/>
      <c r="I5" s="419" t="s">
        <v>404</v>
      </c>
      <c r="J5" s="419"/>
      <c r="K5" s="419"/>
      <c r="L5" s="421"/>
      <c r="M5" s="414"/>
      <c r="N5" s="419"/>
      <c r="O5" s="419"/>
      <c r="P5" s="416" t="s">
        <v>405</v>
      </c>
      <c r="Q5" s="417"/>
      <c r="R5" s="417"/>
      <c r="S5" s="418"/>
      <c r="T5" s="419"/>
      <c r="U5" s="416" t="s">
        <v>405</v>
      </c>
      <c r="V5" s="417"/>
      <c r="W5" s="417"/>
      <c r="X5" s="418"/>
      <c r="Y5" s="419"/>
      <c r="Z5" s="416" t="s">
        <v>405</v>
      </c>
      <c r="AA5" s="417"/>
      <c r="AB5" s="417"/>
      <c r="AC5" s="418"/>
      <c r="AD5" s="419"/>
      <c r="AE5" s="416" t="s">
        <v>405</v>
      </c>
      <c r="AF5" s="417"/>
      <c r="AG5" s="417"/>
      <c r="AH5" s="418"/>
      <c r="AI5" s="419"/>
      <c r="AJ5" s="416" t="s">
        <v>406</v>
      </c>
      <c r="AK5" s="417"/>
      <c r="AL5" s="417"/>
      <c r="AM5" s="418"/>
      <c r="AN5" s="419"/>
      <c r="AO5" s="416" t="s">
        <v>406</v>
      </c>
      <c r="AP5" s="417"/>
      <c r="AQ5" s="417"/>
      <c r="AR5" s="418"/>
      <c r="AS5" s="419"/>
      <c r="AT5" s="416" t="s">
        <v>405</v>
      </c>
      <c r="AU5" s="417"/>
      <c r="AV5" s="417"/>
      <c r="AW5" s="418"/>
      <c r="AX5" s="419"/>
    </row>
    <row r="6" spans="1:50" ht="14.25">
      <c r="A6" s="222"/>
      <c r="B6" s="419"/>
      <c r="C6" s="419"/>
      <c r="D6" s="419"/>
      <c r="E6" s="223" t="s">
        <v>407</v>
      </c>
      <c r="F6" s="223" t="s">
        <v>408</v>
      </c>
      <c r="G6" s="223" t="s">
        <v>409</v>
      </c>
      <c r="H6" s="422"/>
      <c r="I6" s="223" t="s">
        <v>407</v>
      </c>
      <c r="J6" s="223" t="s">
        <v>408</v>
      </c>
      <c r="K6" s="223" t="s">
        <v>409</v>
      </c>
      <c r="L6" s="422"/>
      <c r="M6" s="415"/>
      <c r="N6" s="419"/>
      <c r="O6" s="419"/>
      <c r="P6" s="223" t="s">
        <v>407</v>
      </c>
      <c r="Q6" s="223" t="s">
        <v>408</v>
      </c>
      <c r="R6" s="223" t="s">
        <v>409</v>
      </c>
      <c r="S6" s="223" t="s">
        <v>399</v>
      </c>
      <c r="T6" s="419"/>
      <c r="U6" s="223" t="s">
        <v>407</v>
      </c>
      <c r="V6" s="223" t="s">
        <v>410</v>
      </c>
      <c r="W6" s="223" t="s">
        <v>409</v>
      </c>
      <c r="X6" s="223" t="s">
        <v>399</v>
      </c>
      <c r="Y6" s="419"/>
      <c r="Z6" s="223" t="s">
        <v>411</v>
      </c>
      <c r="AA6" s="223" t="s">
        <v>408</v>
      </c>
      <c r="AB6" s="223" t="s">
        <v>409</v>
      </c>
      <c r="AC6" s="223" t="s">
        <v>399</v>
      </c>
      <c r="AD6" s="419"/>
      <c r="AE6" s="223" t="s">
        <v>407</v>
      </c>
      <c r="AF6" s="223" t="s">
        <v>408</v>
      </c>
      <c r="AG6" s="223" t="s">
        <v>409</v>
      </c>
      <c r="AH6" s="223" t="s">
        <v>399</v>
      </c>
      <c r="AI6" s="419"/>
      <c r="AJ6" s="223" t="s">
        <v>407</v>
      </c>
      <c r="AK6" s="223" t="s">
        <v>410</v>
      </c>
      <c r="AL6" s="223" t="s">
        <v>409</v>
      </c>
      <c r="AM6" s="223" t="s">
        <v>399</v>
      </c>
      <c r="AN6" s="419"/>
      <c r="AO6" s="223" t="s">
        <v>411</v>
      </c>
      <c r="AP6" s="223" t="s">
        <v>408</v>
      </c>
      <c r="AQ6" s="223" t="s">
        <v>409</v>
      </c>
      <c r="AR6" s="223" t="s">
        <v>399</v>
      </c>
      <c r="AS6" s="419"/>
      <c r="AT6" s="223" t="s">
        <v>407</v>
      </c>
      <c r="AU6" s="223" t="s">
        <v>408</v>
      </c>
      <c r="AV6" s="223" t="s">
        <v>409</v>
      </c>
      <c r="AW6" s="223" t="s">
        <v>412</v>
      </c>
      <c r="AX6" s="419"/>
    </row>
    <row r="7" spans="1:50" ht="14.25">
      <c r="A7" s="217"/>
      <c r="B7" s="427" t="s">
        <v>136</v>
      </c>
      <c r="C7" s="224">
        <v>1</v>
      </c>
      <c r="D7" s="228" t="s">
        <v>363</v>
      </c>
      <c r="E7" s="225">
        <f>VLOOKUP(D7,'10產線配置圖'!$A$2:$C$25,2,0)</f>
        <v>12</v>
      </c>
      <c r="F7" s="225">
        <f>VLOOKUP(D7,'10產線配置圖'!$A$2:$C$25,3,0)</f>
        <v>2000</v>
      </c>
      <c r="G7" s="226">
        <f>F7/E7</f>
        <v>166.66666666666666</v>
      </c>
      <c r="H7" s="434">
        <f>AVERAGE(G7:G24)</f>
        <v>109.54751468738642</v>
      </c>
      <c r="I7" s="225">
        <f>AVERAGE(P7,U7,Z7,AE7,AJ7,AO7,AT7)</f>
        <v>12</v>
      </c>
      <c r="J7" s="225">
        <f>AVERAGE(Q7,V7,AA7,AF7,AK7,AP7,AU7)</f>
        <v>1795</v>
      </c>
      <c r="K7" s="226">
        <f>AVERAGE(W7,AB7,AG7,AL7,AQ7,AV7)</f>
        <v>149.58333333333331</v>
      </c>
      <c r="L7" s="434">
        <f>IFERROR(AVERAGE(K7:K24),"-")</f>
        <v>96.176075718749047</v>
      </c>
      <c r="M7" s="227">
        <f>RANK(K7, K$7:$K$24)</f>
        <v>1</v>
      </c>
      <c r="N7" s="419"/>
      <c r="O7" s="419"/>
      <c r="P7" s="225"/>
      <c r="Q7" s="225"/>
      <c r="R7" s="226" t="e">
        <f>Q7/P7</f>
        <v>#DIV/0!</v>
      </c>
      <c r="S7" s="224" t="e">
        <f>RANK(R7, R$7:R$24)</f>
        <v>#DIV/0!</v>
      </c>
      <c r="T7" s="432" t="e">
        <f>AVERAGE(R7:R24)</f>
        <v>#DIV/0!</v>
      </c>
      <c r="U7" s="225">
        <v>12</v>
      </c>
      <c r="V7" s="225">
        <v>1730</v>
      </c>
      <c r="W7" s="226">
        <f>V7/U7</f>
        <v>144.16666666666666</v>
      </c>
      <c r="X7" s="224">
        <f>RANK(W7, W$7:W$24)</f>
        <v>1</v>
      </c>
      <c r="Y7" s="432">
        <f>AVERAGE(W7:W24)</f>
        <v>94.697243320405079</v>
      </c>
      <c r="Z7" s="224">
        <v>12</v>
      </c>
      <c r="AA7" s="225">
        <v>1553</v>
      </c>
      <c r="AB7" s="226">
        <f>AA7/Z7</f>
        <v>129.41666666666666</v>
      </c>
      <c r="AC7" s="224">
        <f>RANK(AB7, AB$7:AB$24)</f>
        <v>3</v>
      </c>
      <c r="AD7" s="432">
        <f>AVERAGE(AB7:AB24)</f>
        <v>93.019607522496173</v>
      </c>
      <c r="AE7" s="225">
        <v>12</v>
      </c>
      <c r="AF7" s="225">
        <v>1948</v>
      </c>
      <c r="AG7" s="226">
        <f>AF7/AE7</f>
        <v>162.33333333333334</v>
      </c>
      <c r="AH7" s="224">
        <f>RANK(AG7, AG$7:AG$24)</f>
        <v>1</v>
      </c>
      <c r="AI7" s="432">
        <f>AVERAGE(AG7:AG24)</f>
        <v>97.42523329844758</v>
      </c>
      <c r="AJ7" s="225">
        <v>12</v>
      </c>
      <c r="AK7" s="225">
        <v>1899</v>
      </c>
      <c r="AL7" s="226">
        <f>AK7/AJ7</f>
        <v>158.25</v>
      </c>
      <c r="AM7" s="224">
        <f>RANK(AL7, AL$7:AL$24)</f>
        <v>1</v>
      </c>
      <c r="AN7" s="432">
        <f>AVERAGE(AL7:AL24)</f>
        <v>99.758353913557528</v>
      </c>
      <c r="AO7" s="225">
        <v>12</v>
      </c>
      <c r="AP7" s="225">
        <v>1820</v>
      </c>
      <c r="AQ7" s="226">
        <f>AP7/AO7</f>
        <v>151.66666666666666</v>
      </c>
      <c r="AR7" s="224">
        <f>RANK(AQ7, AQ$7:AQ$24)</f>
        <v>1</v>
      </c>
      <c r="AS7" s="432">
        <f>AVERAGE(AQ7:AQ24)</f>
        <v>98.443947204128193</v>
      </c>
      <c r="AT7" s="225">
        <v>12</v>
      </c>
      <c r="AU7" s="226">
        <v>1820</v>
      </c>
      <c r="AV7" s="226">
        <f>AU7/AT7</f>
        <v>151.66666666666666</v>
      </c>
      <c r="AW7" s="224">
        <f>RANK(AV7, AV$7:AV$24)</f>
        <v>1</v>
      </c>
      <c r="AX7" s="432">
        <f>AVERAGE(AV7:AV24)</f>
        <v>96.157873662285439</v>
      </c>
    </row>
    <row r="8" spans="1:50" ht="15" customHeight="1">
      <c r="A8" s="217"/>
      <c r="B8" s="427"/>
      <c r="C8" s="224">
        <v>2</v>
      </c>
      <c r="D8" s="224" t="s">
        <v>357</v>
      </c>
      <c r="E8" s="225">
        <f>VLOOKUP(D8,'10產線配置圖'!$A$2:$C$25,2,0)</f>
        <v>13</v>
      </c>
      <c r="F8" s="225">
        <f>VLOOKUP(D8,'10產線配置圖'!$A$2:$C$25,3,0)</f>
        <v>2000</v>
      </c>
      <c r="G8" s="226">
        <f t="shared" ref="G8:G20" si="0">F8/E8</f>
        <v>153.84615384615384</v>
      </c>
      <c r="H8" s="435"/>
      <c r="I8" s="225">
        <f t="shared" ref="I8:J20" si="1">AVERAGE(P8,U8,Z8,AE8,AJ8,AO8,AT8)</f>
        <v>13</v>
      </c>
      <c r="J8" s="225">
        <f t="shared" si="1"/>
        <v>1826.5</v>
      </c>
      <c r="K8" s="226">
        <f t="shared" ref="K8:K20" si="2">AVERAGE(W8,AB8,AG8,AL8,AQ8,AV8)</f>
        <v>140.5</v>
      </c>
      <c r="L8" s="435"/>
      <c r="M8" s="227">
        <f>RANK(K8, K$7:$K$24)</f>
        <v>2</v>
      </c>
      <c r="N8" s="419"/>
      <c r="O8" s="419"/>
      <c r="P8" s="225"/>
      <c r="Q8" s="225"/>
      <c r="R8" s="226" t="e">
        <f t="shared" ref="R8:R24" si="3">Q8/P8</f>
        <v>#DIV/0!</v>
      </c>
      <c r="S8" s="224" t="e">
        <f t="shared" ref="S8:S24" si="4">RANK(R8, R$7:R$24)</f>
        <v>#DIV/0!</v>
      </c>
      <c r="T8" s="432"/>
      <c r="U8" s="225">
        <v>13</v>
      </c>
      <c r="V8" s="225">
        <v>1829</v>
      </c>
      <c r="W8" s="226">
        <f t="shared" ref="W8:W20" si="5">V8/U8</f>
        <v>140.69230769230768</v>
      </c>
      <c r="X8" s="224">
        <f t="shared" ref="X8:X20" si="6">RANK(W8, W$7:W$24)</f>
        <v>2</v>
      </c>
      <c r="Y8" s="432"/>
      <c r="Z8" s="224">
        <v>13</v>
      </c>
      <c r="AA8" s="225">
        <v>1785</v>
      </c>
      <c r="AB8" s="226">
        <f t="shared" ref="AB8:AB20" si="7">AA8/Z8</f>
        <v>137.30769230769232</v>
      </c>
      <c r="AC8" s="224">
        <f t="shared" ref="AC8:AC20" si="8">RANK(AB8, AB$7:AB$24)</f>
        <v>2</v>
      </c>
      <c r="AD8" s="432"/>
      <c r="AE8" s="225">
        <v>13</v>
      </c>
      <c r="AF8" s="225">
        <v>1911</v>
      </c>
      <c r="AG8" s="226">
        <f t="shared" ref="AG8:AG20" si="9">AF8/AE8</f>
        <v>147</v>
      </c>
      <c r="AH8" s="224">
        <f t="shared" ref="AH8:AH20" si="10">RANK(AG8, AG$7:AG$24)</f>
        <v>2</v>
      </c>
      <c r="AI8" s="432"/>
      <c r="AJ8" s="225">
        <v>13</v>
      </c>
      <c r="AK8" s="225">
        <v>1758</v>
      </c>
      <c r="AL8" s="226">
        <f t="shared" ref="AL8:AL16" si="11">AK8/AJ8</f>
        <v>135.23076923076923</v>
      </c>
      <c r="AM8" s="224">
        <f t="shared" ref="AM8:AM19" si="12">RANK(AL8, AL$7:AL$24)</f>
        <v>3</v>
      </c>
      <c r="AN8" s="432"/>
      <c r="AO8" s="225">
        <v>13</v>
      </c>
      <c r="AP8" s="225">
        <v>1934</v>
      </c>
      <c r="AQ8" s="226">
        <f t="shared" ref="AQ8:AQ16" si="13">AP8/AO8</f>
        <v>148.76923076923077</v>
      </c>
      <c r="AR8" s="224">
        <f t="shared" ref="AR8:AR19" si="14">RANK(AQ8, AQ$7:AQ$24)</f>
        <v>2</v>
      </c>
      <c r="AS8" s="432"/>
      <c r="AT8" s="225">
        <v>13</v>
      </c>
      <c r="AU8" s="226">
        <v>1742</v>
      </c>
      <c r="AV8" s="226">
        <f t="shared" ref="AV8:AV19" si="15">AU8/AT8</f>
        <v>134</v>
      </c>
      <c r="AW8" s="224">
        <f t="shared" ref="AW8:AW19" si="16">RANK(AV8, AV$7:AV$24)</f>
        <v>2</v>
      </c>
      <c r="AX8" s="432"/>
    </row>
    <row r="9" spans="1:50" ht="14.25">
      <c r="A9" s="217"/>
      <c r="B9" s="427"/>
      <c r="C9" s="224">
        <v>3</v>
      </c>
      <c r="D9" s="224" t="s">
        <v>358</v>
      </c>
      <c r="E9" s="225">
        <f>VLOOKUP(D9,'10產線配置圖'!$A$2:$C$25,2,0)</f>
        <v>16</v>
      </c>
      <c r="F9" s="225">
        <f>VLOOKUP(D9,'10產線配置圖'!$A$2:$C$25,3,0)</f>
        <v>1915</v>
      </c>
      <c r="G9" s="226">
        <f t="shared" si="0"/>
        <v>119.6875</v>
      </c>
      <c r="H9" s="435"/>
      <c r="I9" s="225">
        <f t="shared" si="1"/>
        <v>16</v>
      </c>
      <c r="J9" s="225">
        <f t="shared" si="1"/>
        <v>1579.5</v>
      </c>
      <c r="K9" s="226">
        <f t="shared" si="2"/>
        <v>98.71875</v>
      </c>
      <c r="L9" s="435"/>
      <c r="M9" s="227">
        <f>RANK(K9, K$7:$K$24)</f>
        <v>5</v>
      </c>
      <c r="N9" s="419"/>
      <c r="O9" s="419"/>
      <c r="P9" s="225"/>
      <c r="Q9" s="225"/>
      <c r="R9" s="226" t="e">
        <f t="shared" si="3"/>
        <v>#DIV/0!</v>
      </c>
      <c r="S9" s="224" t="e">
        <f t="shared" si="4"/>
        <v>#DIV/0!</v>
      </c>
      <c r="T9" s="432"/>
      <c r="U9" s="225">
        <v>16</v>
      </c>
      <c r="V9" s="225">
        <v>1557</v>
      </c>
      <c r="W9" s="226">
        <f t="shared" si="5"/>
        <v>97.3125</v>
      </c>
      <c r="X9" s="224">
        <f t="shared" si="6"/>
        <v>5</v>
      </c>
      <c r="Y9" s="432"/>
      <c r="Z9" s="224">
        <v>16</v>
      </c>
      <c r="AA9" s="225">
        <v>1657</v>
      </c>
      <c r="AB9" s="226">
        <f t="shared" si="7"/>
        <v>103.5625</v>
      </c>
      <c r="AC9" s="224">
        <f t="shared" si="8"/>
        <v>4</v>
      </c>
      <c r="AD9" s="432"/>
      <c r="AE9" s="225">
        <v>16</v>
      </c>
      <c r="AF9" s="225">
        <v>1620</v>
      </c>
      <c r="AG9" s="226">
        <f t="shared" si="9"/>
        <v>101.25</v>
      </c>
      <c r="AH9" s="224">
        <f t="shared" si="10"/>
        <v>6</v>
      </c>
      <c r="AI9" s="432"/>
      <c r="AJ9" s="225">
        <v>16</v>
      </c>
      <c r="AK9" s="225">
        <v>1538</v>
      </c>
      <c r="AL9" s="226">
        <f t="shared" si="11"/>
        <v>96.125</v>
      </c>
      <c r="AM9" s="224">
        <f t="shared" si="12"/>
        <v>5</v>
      </c>
      <c r="AN9" s="432"/>
      <c r="AO9" s="225">
        <v>16</v>
      </c>
      <c r="AP9" s="225">
        <v>1564</v>
      </c>
      <c r="AQ9" s="226">
        <f t="shared" si="13"/>
        <v>97.75</v>
      </c>
      <c r="AR9" s="224">
        <f t="shared" si="14"/>
        <v>5</v>
      </c>
      <c r="AS9" s="432"/>
      <c r="AT9" s="225">
        <v>16</v>
      </c>
      <c r="AU9" s="226">
        <v>1541</v>
      </c>
      <c r="AV9" s="226">
        <f t="shared" si="15"/>
        <v>96.3125</v>
      </c>
      <c r="AW9" s="224">
        <f t="shared" si="16"/>
        <v>5</v>
      </c>
      <c r="AX9" s="432"/>
    </row>
    <row r="10" spans="1:50" ht="14.25">
      <c r="A10" s="217"/>
      <c r="B10" s="427"/>
      <c r="C10" s="224">
        <v>4</v>
      </c>
      <c r="D10" s="224" t="s">
        <v>359</v>
      </c>
      <c r="E10" s="225">
        <f>VLOOKUP(D10,'10產線配置圖'!$A$2:$C$25,2,0)</f>
        <v>18</v>
      </c>
      <c r="F10" s="225">
        <f>VLOOKUP(D10,'10產線配置圖'!$A$2:$C$25,3,0)</f>
        <v>1565</v>
      </c>
      <c r="G10" s="226">
        <f t="shared" si="0"/>
        <v>86.944444444444443</v>
      </c>
      <c r="H10" s="435"/>
      <c r="I10" s="225">
        <f t="shared" si="1"/>
        <v>18</v>
      </c>
      <c r="J10" s="225">
        <f t="shared" si="1"/>
        <v>1539.5</v>
      </c>
      <c r="K10" s="226">
        <f t="shared" si="2"/>
        <v>85.527777777777771</v>
      </c>
      <c r="L10" s="435"/>
      <c r="M10" s="227">
        <f>RANK(K10, K$7:$K$24)</f>
        <v>8</v>
      </c>
      <c r="N10" s="419"/>
      <c r="O10" s="419"/>
      <c r="P10" s="225"/>
      <c r="Q10" s="225"/>
      <c r="R10" s="226" t="e">
        <f t="shared" si="3"/>
        <v>#DIV/0!</v>
      </c>
      <c r="S10" s="224" t="e">
        <f t="shared" si="4"/>
        <v>#DIV/0!</v>
      </c>
      <c r="T10" s="432"/>
      <c r="U10" s="225">
        <v>18</v>
      </c>
      <c r="V10" s="225">
        <v>1515</v>
      </c>
      <c r="W10" s="226">
        <f t="shared" si="5"/>
        <v>84.166666666666671</v>
      </c>
      <c r="X10" s="224">
        <f t="shared" si="6"/>
        <v>8</v>
      </c>
      <c r="Y10" s="432"/>
      <c r="Z10" s="224">
        <v>18</v>
      </c>
      <c r="AA10" s="225">
        <v>1545</v>
      </c>
      <c r="AB10" s="226">
        <f t="shared" si="7"/>
        <v>85.833333333333329</v>
      </c>
      <c r="AC10" s="224">
        <f t="shared" si="8"/>
        <v>7</v>
      </c>
      <c r="AD10" s="432"/>
      <c r="AE10" s="225">
        <v>18</v>
      </c>
      <c r="AF10" s="225">
        <v>1561</v>
      </c>
      <c r="AG10" s="226">
        <f t="shared" si="9"/>
        <v>86.722222222222229</v>
      </c>
      <c r="AH10" s="224">
        <f t="shared" si="10"/>
        <v>7</v>
      </c>
      <c r="AI10" s="432"/>
      <c r="AJ10" s="225">
        <v>18</v>
      </c>
      <c r="AK10" s="225">
        <v>1564</v>
      </c>
      <c r="AL10" s="226">
        <f t="shared" si="11"/>
        <v>86.888888888888886</v>
      </c>
      <c r="AM10" s="224">
        <f t="shared" si="12"/>
        <v>8</v>
      </c>
      <c r="AN10" s="432"/>
      <c r="AO10" s="225">
        <v>18</v>
      </c>
      <c r="AP10" s="225">
        <v>1550</v>
      </c>
      <c r="AQ10" s="226">
        <f t="shared" si="13"/>
        <v>86.111111111111114</v>
      </c>
      <c r="AR10" s="224">
        <f t="shared" si="14"/>
        <v>9</v>
      </c>
      <c r="AS10" s="432"/>
      <c r="AT10" s="225">
        <v>18</v>
      </c>
      <c r="AU10" s="226">
        <v>1502</v>
      </c>
      <c r="AV10" s="226">
        <f t="shared" si="15"/>
        <v>83.444444444444443</v>
      </c>
      <c r="AW10" s="224">
        <f t="shared" si="16"/>
        <v>8</v>
      </c>
      <c r="AX10" s="432"/>
    </row>
    <row r="11" spans="1:50" ht="14.25">
      <c r="A11" s="217"/>
      <c r="B11" s="427"/>
      <c r="C11" s="224">
        <v>5</v>
      </c>
      <c r="D11" s="224" t="s">
        <v>360</v>
      </c>
      <c r="E11" s="225">
        <f>VLOOKUP(D11,'10產線配置圖'!$A$2:$C$25,2,0)</f>
        <v>13</v>
      </c>
      <c r="F11" s="225">
        <f>VLOOKUP(D11,'10產線配置圖'!$A$2:$C$25,3,0)</f>
        <v>2000</v>
      </c>
      <c r="G11" s="226">
        <f t="shared" si="0"/>
        <v>153.84615384615384</v>
      </c>
      <c r="H11" s="435"/>
      <c r="I11" s="225">
        <f t="shared" si="1"/>
        <v>13.166666666666666</v>
      </c>
      <c r="J11" s="225">
        <f t="shared" si="1"/>
        <v>1775</v>
      </c>
      <c r="K11" s="226">
        <f t="shared" si="2"/>
        <v>134.91849816849819</v>
      </c>
      <c r="L11" s="435"/>
      <c r="M11" s="227">
        <f>RANK(K11, K$7:$K$24)</f>
        <v>3</v>
      </c>
      <c r="N11" s="419"/>
      <c r="O11" s="419"/>
      <c r="P11" s="225"/>
      <c r="Q11" s="225"/>
      <c r="R11" s="226" t="e">
        <f t="shared" si="3"/>
        <v>#DIV/0!</v>
      </c>
      <c r="S11" s="224" t="e">
        <f t="shared" si="4"/>
        <v>#DIV/0!</v>
      </c>
      <c r="T11" s="432"/>
      <c r="U11" s="225">
        <v>13</v>
      </c>
      <c r="V11" s="225">
        <v>1684</v>
      </c>
      <c r="W11" s="226">
        <f t="shared" si="5"/>
        <v>129.53846153846155</v>
      </c>
      <c r="X11" s="224">
        <f t="shared" si="6"/>
        <v>3</v>
      </c>
      <c r="Y11" s="432"/>
      <c r="Z11" s="224">
        <v>13</v>
      </c>
      <c r="AA11" s="225">
        <v>1900</v>
      </c>
      <c r="AB11" s="226">
        <f t="shared" si="7"/>
        <v>146.15384615384616</v>
      </c>
      <c r="AC11" s="224">
        <f t="shared" si="8"/>
        <v>1</v>
      </c>
      <c r="AD11" s="432"/>
      <c r="AE11" s="225">
        <v>13</v>
      </c>
      <c r="AF11" s="225">
        <v>1679</v>
      </c>
      <c r="AG11" s="226">
        <f t="shared" si="9"/>
        <v>129.15384615384616</v>
      </c>
      <c r="AH11" s="224">
        <f t="shared" si="10"/>
        <v>3</v>
      </c>
      <c r="AI11" s="432"/>
      <c r="AJ11" s="225">
        <v>13</v>
      </c>
      <c r="AK11" s="225">
        <v>1852</v>
      </c>
      <c r="AL11" s="226">
        <f t="shared" si="11"/>
        <v>142.46153846153845</v>
      </c>
      <c r="AM11" s="224">
        <f t="shared" si="12"/>
        <v>2</v>
      </c>
      <c r="AN11" s="432"/>
      <c r="AO11" s="225">
        <v>13</v>
      </c>
      <c r="AP11" s="225">
        <v>1766</v>
      </c>
      <c r="AQ11" s="226">
        <f t="shared" si="13"/>
        <v>135.84615384615384</v>
      </c>
      <c r="AR11" s="224">
        <f t="shared" si="14"/>
        <v>3</v>
      </c>
      <c r="AS11" s="432"/>
      <c r="AT11" s="225">
        <v>14</v>
      </c>
      <c r="AU11" s="226">
        <v>1769</v>
      </c>
      <c r="AV11" s="226">
        <f t="shared" si="15"/>
        <v>126.35714285714286</v>
      </c>
      <c r="AW11" s="224">
        <f t="shared" si="16"/>
        <v>4</v>
      </c>
      <c r="AX11" s="432"/>
    </row>
    <row r="12" spans="1:50" ht="14.25">
      <c r="A12" s="217"/>
      <c r="B12" s="427"/>
      <c r="C12" s="224">
        <v>6</v>
      </c>
      <c r="D12" s="224" t="s">
        <v>370</v>
      </c>
      <c r="E12" s="225">
        <f>VLOOKUP(D12,'10產線配置圖'!$A$2:$C$25,2,0)</f>
        <v>14</v>
      </c>
      <c r="F12" s="225">
        <f>VLOOKUP(D12,'10產線配置圖'!$A$2:$C$25,3,0)</f>
        <v>1895</v>
      </c>
      <c r="G12" s="226">
        <f t="shared" si="0"/>
        <v>135.35714285714286</v>
      </c>
      <c r="H12" s="435"/>
      <c r="I12" s="225">
        <f t="shared" si="1"/>
        <v>14.166666666666666</v>
      </c>
      <c r="J12" s="225">
        <f t="shared" si="1"/>
        <v>1610</v>
      </c>
      <c r="K12" s="226">
        <f t="shared" si="2"/>
        <v>113.72222222222223</v>
      </c>
      <c r="L12" s="435"/>
      <c r="M12" s="227">
        <f>RANK(K12, K$7:$K$24)</f>
        <v>4</v>
      </c>
      <c r="N12" s="419"/>
      <c r="O12" s="419"/>
      <c r="P12" s="225"/>
      <c r="Q12" s="225"/>
      <c r="R12" s="226" t="e">
        <f t="shared" si="3"/>
        <v>#DIV/0!</v>
      </c>
      <c r="S12" s="224" t="e">
        <f t="shared" si="4"/>
        <v>#DIV/0!</v>
      </c>
      <c r="T12" s="432"/>
      <c r="U12" s="225">
        <v>15</v>
      </c>
      <c r="V12" s="225">
        <v>1610</v>
      </c>
      <c r="W12" s="226">
        <f t="shared" si="5"/>
        <v>107.33333333333333</v>
      </c>
      <c r="X12" s="224">
        <f t="shared" si="6"/>
        <v>4</v>
      </c>
      <c r="Y12" s="432"/>
      <c r="Z12" s="224">
        <v>14</v>
      </c>
      <c r="AA12" s="225">
        <v>1273</v>
      </c>
      <c r="AB12" s="226">
        <f t="shared" si="7"/>
        <v>90.928571428571431</v>
      </c>
      <c r="AC12" s="224">
        <f t="shared" si="8"/>
        <v>5</v>
      </c>
      <c r="AD12" s="432"/>
      <c r="AE12" s="225">
        <v>14</v>
      </c>
      <c r="AF12" s="225">
        <v>1556</v>
      </c>
      <c r="AG12" s="353">
        <f t="shared" si="9"/>
        <v>111.14285714285714</v>
      </c>
      <c r="AH12" s="224">
        <f t="shared" si="10"/>
        <v>4</v>
      </c>
      <c r="AI12" s="432"/>
      <c r="AJ12" s="225">
        <v>14</v>
      </c>
      <c r="AK12" s="225">
        <v>1734</v>
      </c>
      <c r="AL12" s="226">
        <f t="shared" si="11"/>
        <v>123.85714285714286</v>
      </c>
      <c r="AM12" s="224">
        <f t="shared" si="12"/>
        <v>4</v>
      </c>
      <c r="AN12" s="432"/>
      <c r="AO12" s="225">
        <v>14</v>
      </c>
      <c r="AP12" s="225">
        <v>1661</v>
      </c>
      <c r="AQ12" s="226">
        <f t="shared" si="13"/>
        <v>118.64285714285714</v>
      </c>
      <c r="AR12" s="224">
        <f t="shared" si="14"/>
        <v>4</v>
      </c>
      <c r="AS12" s="432"/>
      <c r="AT12" s="225">
        <v>14</v>
      </c>
      <c r="AU12" s="226">
        <v>1826</v>
      </c>
      <c r="AV12" s="226">
        <f t="shared" si="15"/>
        <v>130.42857142857142</v>
      </c>
      <c r="AW12" s="224">
        <f t="shared" si="16"/>
        <v>3</v>
      </c>
      <c r="AX12" s="432"/>
    </row>
    <row r="13" spans="1:50" ht="14.25">
      <c r="A13" s="217"/>
      <c r="B13" s="427"/>
      <c r="C13" s="224">
        <v>7</v>
      </c>
      <c r="D13" s="224" t="s">
        <v>351</v>
      </c>
      <c r="E13" s="225">
        <f>VLOOKUP(D13,'10產線配置圖'!$A$2:$C$25,2,0)</f>
        <v>16</v>
      </c>
      <c r="F13" s="225">
        <f>VLOOKUP(D13,'10產線配置圖'!$A$2:$C$25,3,0)</f>
        <v>1429</v>
      </c>
      <c r="G13" s="226">
        <f t="shared" si="0"/>
        <v>89.3125</v>
      </c>
      <c r="H13" s="435"/>
      <c r="I13" s="225">
        <f t="shared" si="1"/>
        <v>15</v>
      </c>
      <c r="J13" s="225">
        <f t="shared" si="1"/>
        <v>970.33333333333337</v>
      </c>
      <c r="K13" s="226">
        <f t="shared" si="2"/>
        <v>65.029761904761912</v>
      </c>
      <c r="L13" s="435"/>
      <c r="M13" s="227">
        <f>RANK(K13, K$7:$K$24)</f>
        <v>14</v>
      </c>
      <c r="N13" s="419"/>
      <c r="O13" s="419"/>
      <c r="P13" s="225"/>
      <c r="Q13" s="225"/>
      <c r="R13" s="226" t="e">
        <f t="shared" si="3"/>
        <v>#DIV/0!</v>
      </c>
      <c r="S13" s="224" t="e">
        <f t="shared" si="4"/>
        <v>#DIV/0!</v>
      </c>
      <c r="T13" s="432"/>
      <c r="U13" s="225">
        <v>16</v>
      </c>
      <c r="V13" s="225">
        <v>1043</v>
      </c>
      <c r="W13" s="226">
        <f t="shared" si="5"/>
        <v>65.1875</v>
      </c>
      <c r="X13" s="224">
        <f t="shared" si="6"/>
        <v>14</v>
      </c>
      <c r="Y13" s="432"/>
      <c r="Z13" s="224">
        <v>14</v>
      </c>
      <c r="AA13" s="225">
        <v>924</v>
      </c>
      <c r="AB13" s="226">
        <f t="shared" si="7"/>
        <v>66</v>
      </c>
      <c r="AC13" s="224">
        <f t="shared" si="8"/>
        <v>14</v>
      </c>
      <c r="AD13" s="432"/>
      <c r="AE13" s="225">
        <v>14</v>
      </c>
      <c r="AF13" s="225">
        <v>895</v>
      </c>
      <c r="AG13" s="226">
        <f t="shared" si="9"/>
        <v>63.928571428571431</v>
      </c>
      <c r="AH13" s="224">
        <f t="shared" si="10"/>
        <v>13</v>
      </c>
      <c r="AI13" s="432"/>
      <c r="AJ13" s="225">
        <v>14</v>
      </c>
      <c r="AK13" s="225">
        <v>1127</v>
      </c>
      <c r="AL13" s="226">
        <f t="shared" si="11"/>
        <v>80.5</v>
      </c>
      <c r="AM13" s="224">
        <f t="shared" si="12"/>
        <v>10</v>
      </c>
      <c r="AN13" s="432"/>
      <c r="AO13" s="225">
        <v>16</v>
      </c>
      <c r="AP13" s="225">
        <v>1019</v>
      </c>
      <c r="AQ13" s="226">
        <f t="shared" si="13"/>
        <v>63.6875</v>
      </c>
      <c r="AR13" s="224">
        <f t="shared" si="14"/>
        <v>13</v>
      </c>
      <c r="AS13" s="432"/>
      <c r="AT13" s="225">
        <v>16</v>
      </c>
      <c r="AU13" s="226">
        <v>814</v>
      </c>
      <c r="AV13" s="226">
        <f t="shared" si="15"/>
        <v>50.875</v>
      </c>
      <c r="AW13" s="224">
        <f t="shared" si="16"/>
        <v>13</v>
      </c>
      <c r="AX13" s="432"/>
    </row>
    <row r="14" spans="1:50" ht="14.25">
      <c r="A14" s="217"/>
      <c r="B14" s="427"/>
      <c r="C14" s="224">
        <v>8</v>
      </c>
      <c r="D14" s="224" t="s">
        <v>352</v>
      </c>
      <c r="E14" s="225">
        <f>VLOOKUP(D14,'10產線配置圖'!$A$2:$C$25,2,0)</f>
        <v>18</v>
      </c>
      <c r="F14" s="225">
        <f>VLOOKUP(D14,'10產線配置圖'!$A$2:$C$25,3,0)</f>
        <v>1500</v>
      </c>
      <c r="G14" s="226">
        <f t="shared" si="0"/>
        <v>83.333333333333329</v>
      </c>
      <c r="H14" s="435"/>
      <c r="I14" s="225">
        <f t="shared" si="1"/>
        <v>15</v>
      </c>
      <c r="J14" s="225">
        <f t="shared" si="1"/>
        <v>1138</v>
      </c>
      <c r="K14" s="226">
        <f t="shared" si="2"/>
        <v>76.056417887667891</v>
      </c>
      <c r="L14" s="435"/>
      <c r="M14" s="227">
        <f>RANK(K14, K$7:$K$24)</f>
        <v>11</v>
      </c>
      <c r="N14" s="419"/>
      <c r="O14" s="419"/>
      <c r="P14" s="225"/>
      <c r="Q14" s="225"/>
      <c r="R14" s="226" t="e">
        <f t="shared" si="3"/>
        <v>#DIV/0!</v>
      </c>
      <c r="S14" s="224" t="e">
        <f t="shared" si="4"/>
        <v>#DIV/0!</v>
      </c>
      <c r="T14" s="432"/>
      <c r="U14" s="225">
        <v>16</v>
      </c>
      <c r="V14" s="225">
        <v>1301</v>
      </c>
      <c r="W14" s="226">
        <f t="shared" si="5"/>
        <v>81.3125</v>
      </c>
      <c r="X14" s="224">
        <f t="shared" si="6"/>
        <v>9</v>
      </c>
      <c r="Y14" s="432"/>
      <c r="Z14" s="224">
        <v>15</v>
      </c>
      <c r="AA14" s="225">
        <v>1092</v>
      </c>
      <c r="AB14" s="226">
        <f t="shared" si="7"/>
        <v>72.8</v>
      </c>
      <c r="AC14" s="224">
        <f t="shared" si="8"/>
        <v>12</v>
      </c>
      <c r="AD14" s="432"/>
      <c r="AE14" s="225">
        <v>13</v>
      </c>
      <c r="AF14" s="225">
        <v>1017</v>
      </c>
      <c r="AG14" s="226">
        <f t="shared" si="9"/>
        <v>78.230769230769226</v>
      </c>
      <c r="AH14" s="224">
        <f t="shared" si="10"/>
        <v>10</v>
      </c>
      <c r="AI14" s="432"/>
      <c r="AJ14" s="225">
        <v>15</v>
      </c>
      <c r="AK14" s="225">
        <v>1171</v>
      </c>
      <c r="AL14" s="226">
        <f t="shared" si="11"/>
        <v>78.066666666666663</v>
      </c>
      <c r="AM14" s="224">
        <f t="shared" si="12"/>
        <v>11</v>
      </c>
      <c r="AN14" s="432"/>
      <c r="AO14" s="225">
        <v>17</v>
      </c>
      <c r="AP14" s="225">
        <v>1156</v>
      </c>
      <c r="AQ14" s="226">
        <f t="shared" si="13"/>
        <v>68</v>
      </c>
      <c r="AR14" s="224">
        <f t="shared" si="14"/>
        <v>11</v>
      </c>
      <c r="AS14" s="432"/>
      <c r="AT14" s="225">
        <v>14</v>
      </c>
      <c r="AU14" s="226">
        <v>1091</v>
      </c>
      <c r="AV14" s="226">
        <f t="shared" si="15"/>
        <v>77.928571428571431</v>
      </c>
      <c r="AW14" s="224">
        <f t="shared" si="16"/>
        <v>10</v>
      </c>
      <c r="AX14" s="432"/>
    </row>
    <row r="15" spans="1:50" ht="14.25">
      <c r="A15" s="217"/>
      <c r="B15" s="427"/>
      <c r="C15" s="224">
        <v>9</v>
      </c>
      <c r="D15" s="224" t="s">
        <v>361</v>
      </c>
      <c r="E15" s="225">
        <f>VLOOKUP(D15,'10產線配置圖'!$A$2:$C$25,2,0)</f>
        <v>18</v>
      </c>
      <c r="F15" s="225">
        <f>VLOOKUP(D15,'10產線配置圖'!$A$2:$C$25,3,0)</f>
        <v>1385</v>
      </c>
      <c r="G15" s="226">
        <f t="shared" si="0"/>
        <v>76.944444444444443</v>
      </c>
      <c r="H15" s="435"/>
      <c r="I15" s="225">
        <f t="shared" si="1"/>
        <v>17.166666666666668</v>
      </c>
      <c r="J15" s="225">
        <f t="shared" si="1"/>
        <v>1192.3333333333333</v>
      </c>
      <c r="K15" s="226">
        <f t="shared" si="2"/>
        <v>69.31797385620915</v>
      </c>
      <c r="L15" s="435"/>
      <c r="M15" s="227">
        <f>RANK(K15, K$7:$K$24)</f>
        <v>13</v>
      </c>
      <c r="N15" s="419"/>
      <c r="O15" s="419"/>
      <c r="P15" s="225"/>
      <c r="Q15" s="225"/>
      <c r="R15" s="226" t="e">
        <f t="shared" si="3"/>
        <v>#DIV/0!</v>
      </c>
      <c r="S15" s="224" t="e">
        <f t="shared" si="4"/>
        <v>#DIV/0!</v>
      </c>
      <c r="T15" s="432"/>
      <c r="U15" s="225">
        <v>17</v>
      </c>
      <c r="V15" s="225">
        <v>1290</v>
      </c>
      <c r="W15" s="226">
        <f t="shared" si="5"/>
        <v>75.882352941176464</v>
      </c>
      <c r="X15" s="224">
        <f t="shared" si="6"/>
        <v>12</v>
      </c>
      <c r="Y15" s="432"/>
      <c r="Z15" s="224">
        <v>18</v>
      </c>
      <c r="AA15" s="225">
        <v>1253</v>
      </c>
      <c r="AB15" s="226">
        <f t="shared" si="7"/>
        <v>69.611111111111114</v>
      </c>
      <c r="AC15" s="224">
        <f t="shared" si="8"/>
        <v>13</v>
      </c>
      <c r="AD15" s="432"/>
      <c r="AE15" s="225">
        <v>15</v>
      </c>
      <c r="AF15" s="225">
        <v>952</v>
      </c>
      <c r="AG15" s="226">
        <f t="shared" si="9"/>
        <v>63.466666666666669</v>
      </c>
      <c r="AH15" s="224">
        <f t="shared" si="10"/>
        <v>14</v>
      </c>
      <c r="AI15" s="432"/>
      <c r="AJ15" s="225">
        <v>18</v>
      </c>
      <c r="AK15" s="225">
        <v>1351</v>
      </c>
      <c r="AL15" s="226">
        <f t="shared" si="11"/>
        <v>75.055555555555557</v>
      </c>
      <c r="AM15" s="224">
        <f t="shared" si="12"/>
        <v>12</v>
      </c>
      <c r="AN15" s="432"/>
      <c r="AO15" s="225">
        <v>17</v>
      </c>
      <c r="AP15" s="225">
        <v>1123</v>
      </c>
      <c r="AQ15" s="226">
        <f t="shared" si="13"/>
        <v>66.058823529411768</v>
      </c>
      <c r="AR15" s="224">
        <f t="shared" si="14"/>
        <v>12</v>
      </c>
      <c r="AS15" s="432"/>
      <c r="AT15" s="225">
        <v>18</v>
      </c>
      <c r="AU15" s="226">
        <v>1185</v>
      </c>
      <c r="AV15" s="226">
        <f t="shared" si="15"/>
        <v>65.833333333333329</v>
      </c>
      <c r="AW15" s="224">
        <f t="shared" si="16"/>
        <v>12</v>
      </c>
      <c r="AX15" s="432"/>
    </row>
    <row r="16" spans="1:50" ht="14.25">
      <c r="A16" s="217"/>
      <c r="B16" s="427"/>
      <c r="C16" s="224">
        <v>10</v>
      </c>
      <c r="D16" s="224" t="s">
        <v>382</v>
      </c>
      <c r="E16" s="225">
        <f>VLOOKUP(D16,'10產線配置圖'!$A$2:$C$25,2,0)</f>
        <v>17</v>
      </c>
      <c r="F16" s="225">
        <f>VLOOKUP(D16,'10產線配置圖'!$A$2:$C$25,3,0)</f>
        <v>1565</v>
      </c>
      <c r="G16" s="226">
        <f t="shared" si="0"/>
        <v>92.058823529411768</v>
      </c>
      <c r="H16" s="435"/>
      <c r="I16" s="225">
        <f t="shared" si="1"/>
        <v>16.5</v>
      </c>
      <c r="J16" s="225">
        <f t="shared" si="1"/>
        <v>1434.6666666666667</v>
      </c>
      <c r="K16" s="226">
        <f t="shared" si="2"/>
        <v>86.907475490196077</v>
      </c>
      <c r="L16" s="435"/>
      <c r="M16" s="227">
        <f>RANK(K16, K$7:$K$24)</f>
        <v>6</v>
      </c>
      <c r="N16" s="419"/>
      <c r="O16" s="419"/>
      <c r="P16" s="225"/>
      <c r="Q16" s="225"/>
      <c r="R16" s="226" t="e">
        <f t="shared" si="3"/>
        <v>#DIV/0!</v>
      </c>
      <c r="S16" s="224" t="e">
        <f t="shared" si="4"/>
        <v>#DIV/0!</v>
      </c>
      <c r="T16" s="432"/>
      <c r="U16" s="225">
        <v>16</v>
      </c>
      <c r="V16" s="225">
        <v>1373</v>
      </c>
      <c r="W16" s="226">
        <f t="shared" si="5"/>
        <v>85.8125</v>
      </c>
      <c r="X16" s="224">
        <f t="shared" si="6"/>
        <v>7</v>
      </c>
      <c r="Y16" s="432"/>
      <c r="Z16" s="224">
        <v>17</v>
      </c>
      <c r="AA16" s="225">
        <v>1478</v>
      </c>
      <c r="AB16" s="226">
        <f t="shared" si="7"/>
        <v>86.941176470588232</v>
      </c>
      <c r="AC16" s="224">
        <f t="shared" si="8"/>
        <v>6</v>
      </c>
      <c r="AD16" s="432"/>
      <c r="AE16" s="225">
        <v>16</v>
      </c>
      <c r="AF16" s="225">
        <v>1354</v>
      </c>
      <c r="AG16" s="226">
        <f t="shared" si="9"/>
        <v>84.625</v>
      </c>
      <c r="AH16" s="224">
        <f t="shared" si="10"/>
        <v>8</v>
      </c>
      <c r="AI16" s="432"/>
      <c r="AJ16" s="225">
        <v>16</v>
      </c>
      <c r="AK16" s="225">
        <v>1378</v>
      </c>
      <c r="AL16" s="226">
        <f t="shared" si="11"/>
        <v>86.125</v>
      </c>
      <c r="AM16" s="224">
        <f t="shared" si="12"/>
        <v>9</v>
      </c>
      <c r="AN16" s="432"/>
      <c r="AO16" s="225">
        <v>17</v>
      </c>
      <c r="AP16" s="225">
        <v>1551</v>
      </c>
      <c r="AQ16" s="226">
        <f t="shared" si="13"/>
        <v>91.235294117647058</v>
      </c>
      <c r="AR16" s="224">
        <f t="shared" si="14"/>
        <v>6</v>
      </c>
      <c r="AS16" s="432"/>
      <c r="AT16" s="225">
        <v>17</v>
      </c>
      <c r="AU16" s="226">
        <v>1474</v>
      </c>
      <c r="AV16" s="226">
        <f t="shared" si="15"/>
        <v>86.705882352941174</v>
      </c>
      <c r="AW16" s="224">
        <f t="shared" si="16"/>
        <v>6</v>
      </c>
      <c r="AX16" s="432"/>
    </row>
    <row r="17" spans="2:50">
      <c r="B17" s="427"/>
      <c r="C17" s="224">
        <v>11</v>
      </c>
      <c r="D17" s="224" t="s">
        <v>472</v>
      </c>
      <c r="E17" s="225">
        <f>VLOOKUP(D17,'10產線配置圖'!$A$2:$C$25,2,0)</f>
        <v>15</v>
      </c>
      <c r="F17" s="225">
        <f>VLOOKUP(D17,'10產線配置圖'!$A$2:$C$25,3,0)</f>
        <v>1565</v>
      </c>
      <c r="G17" s="226">
        <f t="shared" si="0"/>
        <v>104.33333333333333</v>
      </c>
      <c r="H17" s="435"/>
      <c r="I17" s="225">
        <f t="shared" si="1"/>
        <v>15.166666666666666</v>
      </c>
      <c r="J17" s="225">
        <f t="shared" si="1"/>
        <v>1200.5</v>
      </c>
      <c r="K17" s="226">
        <f t="shared" si="2"/>
        <v>79.046766591251881</v>
      </c>
      <c r="L17" s="435"/>
      <c r="M17" s="227">
        <f>RANK(K17, K$7:$K$24)</f>
        <v>10</v>
      </c>
      <c r="N17" s="419"/>
      <c r="O17" s="419"/>
      <c r="P17" s="224"/>
      <c r="Q17" s="224"/>
      <c r="R17" s="226" t="e">
        <f>Q17/P17</f>
        <v>#DIV/0!</v>
      </c>
      <c r="S17" s="224" t="e">
        <f t="shared" si="4"/>
        <v>#DIV/0!</v>
      </c>
      <c r="T17" s="432"/>
      <c r="U17" s="224">
        <v>15</v>
      </c>
      <c r="V17" s="224">
        <v>1164</v>
      </c>
      <c r="W17" s="224">
        <f>V17/U17</f>
        <v>77.599999999999994</v>
      </c>
      <c r="X17" s="224">
        <f t="shared" si="6"/>
        <v>11</v>
      </c>
      <c r="Y17" s="432"/>
      <c r="Z17" s="224">
        <v>15</v>
      </c>
      <c r="AA17" s="224">
        <v>1111</v>
      </c>
      <c r="AB17" s="226">
        <f>AA17/Z17</f>
        <v>74.066666666666663</v>
      </c>
      <c r="AC17" s="224">
        <f t="shared" si="8"/>
        <v>10</v>
      </c>
      <c r="AD17" s="432"/>
      <c r="AE17" s="224">
        <v>13</v>
      </c>
      <c r="AF17" s="224">
        <v>1054</v>
      </c>
      <c r="AG17" s="226">
        <f t="shared" si="9"/>
        <v>81.07692307692308</v>
      </c>
      <c r="AH17" s="224">
        <f t="shared" si="10"/>
        <v>9</v>
      </c>
      <c r="AI17" s="432"/>
      <c r="AJ17" s="224">
        <v>17</v>
      </c>
      <c r="AK17" s="224">
        <v>1478</v>
      </c>
      <c r="AL17" s="226">
        <f>AK17/AJ17</f>
        <v>86.941176470588232</v>
      </c>
      <c r="AM17" s="224">
        <f t="shared" si="12"/>
        <v>7</v>
      </c>
      <c r="AN17" s="432"/>
      <c r="AO17" s="224">
        <v>16</v>
      </c>
      <c r="AP17" s="224">
        <v>1233</v>
      </c>
      <c r="AQ17" s="226">
        <f>AP17/AO17</f>
        <v>77.0625</v>
      </c>
      <c r="AR17" s="224">
        <f t="shared" si="14"/>
        <v>10</v>
      </c>
      <c r="AS17" s="432"/>
      <c r="AT17" s="224">
        <v>15</v>
      </c>
      <c r="AU17" s="226">
        <v>1163</v>
      </c>
      <c r="AV17" s="226">
        <f t="shared" si="15"/>
        <v>77.533333333333331</v>
      </c>
      <c r="AW17" s="224">
        <f t="shared" si="16"/>
        <v>11</v>
      </c>
      <c r="AX17" s="432"/>
    </row>
    <row r="18" spans="2:50">
      <c r="B18" s="427"/>
      <c r="C18" s="224">
        <v>12</v>
      </c>
      <c r="D18" s="224" t="s">
        <v>473</v>
      </c>
      <c r="E18" s="225">
        <f>VLOOKUP(D18,'10產線配置圖'!$A$2:$C$25,2,0)</f>
        <v>18</v>
      </c>
      <c r="F18" s="225">
        <f>VLOOKUP(D18,'10產線配置圖'!$A$2:$C$25,3,0)</f>
        <v>1636</v>
      </c>
      <c r="G18" s="226">
        <f t="shared" si="0"/>
        <v>90.888888888888886</v>
      </c>
      <c r="H18" s="435"/>
      <c r="I18" s="224">
        <f t="shared" si="1"/>
        <v>16</v>
      </c>
      <c r="J18" s="225">
        <f t="shared" si="1"/>
        <v>1220.5</v>
      </c>
      <c r="K18" s="226">
        <f t="shared" si="2"/>
        <v>76.055596405228755</v>
      </c>
      <c r="L18" s="435"/>
      <c r="M18" s="227">
        <f>RANK(K18, K$7:$K$24)</f>
        <v>12</v>
      </c>
      <c r="N18" s="419"/>
      <c r="O18" s="419"/>
      <c r="P18" s="224"/>
      <c r="Q18" s="224"/>
      <c r="R18" s="226" t="e">
        <f t="shared" si="3"/>
        <v>#DIV/0!</v>
      </c>
      <c r="S18" s="224" t="e">
        <f t="shared" si="4"/>
        <v>#DIV/0!</v>
      </c>
      <c r="T18" s="432"/>
      <c r="U18" s="224">
        <v>15</v>
      </c>
      <c r="V18" s="224">
        <v>1176</v>
      </c>
      <c r="W18" s="224">
        <f t="shared" si="5"/>
        <v>78.400000000000006</v>
      </c>
      <c r="X18" s="224">
        <f t="shared" si="6"/>
        <v>10</v>
      </c>
      <c r="Y18" s="432"/>
      <c r="Z18" s="224">
        <v>18</v>
      </c>
      <c r="AA18" s="224">
        <v>1317</v>
      </c>
      <c r="AB18" s="226">
        <f t="shared" ref="AB18:AB19" si="17">AA18/Z18</f>
        <v>73.166666666666671</v>
      </c>
      <c r="AC18" s="224">
        <f t="shared" si="8"/>
        <v>11</v>
      </c>
      <c r="AD18" s="432"/>
      <c r="AE18" s="224">
        <v>15</v>
      </c>
      <c r="AF18" s="224">
        <v>1114</v>
      </c>
      <c r="AG18" s="226">
        <f t="shared" si="9"/>
        <v>74.266666666666666</v>
      </c>
      <c r="AH18" s="224">
        <f t="shared" si="10"/>
        <v>12</v>
      </c>
      <c r="AI18" s="432"/>
      <c r="AJ18" s="224">
        <v>15</v>
      </c>
      <c r="AK18" s="224">
        <v>893</v>
      </c>
      <c r="AL18" s="226">
        <f t="shared" ref="AL18:AL19" si="18">AK18/AJ18</f>
        <v>59.533333333333331</v>
      </c>
      <c r="AM18" s="224">
        <f t="shared" si="12"/>
        <v>13</v>
      </c>
      <c r="AN18" s="432"/>
      <c r="AO18" s="224">
        <v>17</v>
      </c>
      <c r="AP18" s="224">
        <v>1488</v>
      </c>
      <c r="AQ18" s="226">
        <f t="shared" ref="AQ18:AQ19" si="19">AP18/AO18</f>
        <v>87.529411764705884</v>
      </c>
      <c r="AR18" s="224">
        <f t="shared" si="14"/>
        <v>7</v>
      </c>
      <c r="AS18" s="432"/>
      <c r="AT18" s="224">
        <v>16</v>
      </c>
      <c r="AU18" s="224">
        <v>1335</v>
      </c>
      <c r="AV18" s="226">
        <f t="shared" si="15"/>
        <v>83.4375</v>
      </c>
      <c r="AW18" s="224">
        <f>RANK(AV18, AV$7:AV$24)</f>
        <v>9</v>
      </c>
      <c r="AX18" s="432"/>
    </row>
    <row r="19" spans="2:50">
      <c r="B19" s="427"/>
      <c r="C19" s="224">
        <v>13</v>
      </c>
      <c r="D19" s="224" t="s">
        <v>560</v>
      </c>
      <c r="E19" s="225">
        <f>VLOOKUP(D19,'10產線配置圖'!$A$2:$C$25,2,0)</f>
        <v>19</v>
      </c>
      <c r="F19" s="225">
        <f>VLOOKUP(D19,'10產線配置圖'!$A$2:$C$25,3,0)</f>
        <v>1600</v>
      </c>
      <c r="G19" s="226">
        <f t="shared" si="0"/>
        <v>84.21052631578948</v>
      </c>
      <c r="H19" s="435"/>
      <c r="I19" s="225">
        <f t="shared" si="1"/>
        <v>17.166666666666668</v>
      </c>
      <c r="J19" s="225">
        <f t="shared" si="1"/>
        <v>1447</v>
      </c>
      <c r="K19" s="226">
        <f t="shared" si="2"/>
        <v>84.374183006535944</v>
      </c>
      <c r="L19" s="435"/>
      <c r="M19" s="227">
        <f>RANK(K19, K$7:$K$24)</f>
        <v>9</v>
      </c>
      <c r="N19" s="419"/>
      <c r="O19" s="419"/>
      <c r="P19" s="224"/>
      <c r="Q19" s="224"/>
      <c r="R19" s="226" t="e">
        <f t="shared" si="3"/>
        <v>#DIV/0!</v>
      </c>
      <c r="S19" s="224" t="e">
        <f t="shared" si="4"/>
        <v>#DIV/0!</v>
      </c>
      <c r="T19" s="432"/>
      <c r="U19" s="224">
        <v>17</v>
      </c>
      <c r="V19" s="224">
        <v>1484</v>
      </c>
      <c r="W19" s="226">
        <f t="shared" si="5"/>
        <v>87.294117647058826</v>
      </c>
      <c r="X19" s="224">
        <f t="shared" si="6"/>
        <v>6</v>
      </c>
      <c r="Y19" s="432"/>
      <c r="Z19" s="224">
        <v>17</v>
      </c>
      <c r="AA19" s="224">
        <v>1400</v>
      </c>
      <c r="AB19" s="226">
        <f t="shared" si="17"/>
        <v>82.352941176470594</v>
      </c>
      <c r="AC19" s="224">
        <f t="shared" si="8"/>
        <v>9</v>
      </c>
      <c r="AD19" s="432"/>
      <c r="AE19" s="224">
        <v>18</v>
      </c>
      <c r="AF19" s="224">
        <v>1365</v>
      </c>
      <c r="AG19" s="226">
        <f t="shared" si="9"/>
        <v>75.833333333333329</v>
      </c>
      <c r="AH19" s="224">
        <f t="shared" si="10"/>
        <v>11</v>
      </c>
      <c r="AI19" s="432"/>
      <c r="AJ19" s="224">
        <v>17</v>
      </c>
      <c r="AK19" s="224">
        <v>1493</v>
      </c>
      <c r="AL19" s="226">
        <f t="shared" si="18"/>
        <v>87.82352941176471</v>
      </c>
      <c r="AM19" s="224">
        <f t="shared" si="12"/>
        <v>6</v>
      </c>
      <c r="AN19" s="432"/>
      <c r="AO19" s="224">
        <v>17</v>
      </c>
      <c r="AP19" s="224">
        <v>1486</v>
      </c>
      <c r="AQ19" s="226">
        <f t="shared" si="19"/>
        <v>87.411764705882348</v>
      </c>
      <c r="AR19" s="224">
        <f t="shared" si="14"/>
        <v>8</v>
      </c>
      <c r="AS19" s="432"/>
      <c r="AT19" s="224">
        <v>17</v>
      </c>
      <c r="AU19" s="224">
        <v>1454</v>
      </c>
      <c r="AV19" s="226">
        <f t="shared" si="15"/>
        <v>85.529411764705884</v>
      </c>
      <c r="AW19" s="224">
        <f t="shared" si="16"/>
        <v>7</v>
      </c>
      <c r="AX19" s="432"/>
    </row>
    <row r="20" spans="2:50">
      <c r="B20" s="427"/>
      <c r="C20" s="224">
        <v>14</v>
      </c>
      <c r="D20" s="224" t="s">
        <v>462</v>
      </c>
      <c r="E20" s="225">
        <f>VLOOKUP(D20,'10產線配置圖'!$A$2:$C$25,2,0)</f>
        <v>17</v>
      </c>
      <c r="F20" s="225">
        <f>VLOOKUP(D20,'10產線配置圖'!$A$2:$C$25,3,0)</f>
        <v>1636</v>
      </c>
      <c r="G20" s="226">
        <f t="shared" si="0"/>
        <v>96.235294117647058</v>
      </c>
      <c r="H20" s="435"/>
      <c r="I20" s="225">
        <f t="shared" si="1"/>
        <v>14.666666666666666</v>
      </c>
      <c r="J20" s="225">
        <f t="shared" si="1"/>
        <v>1254.3333333333333</v>
      </c>
      <c r="K20" s="226">
        <f t="shared" si="2"/>
        <v>86.706303418803415</v>
      </c>
      <c r="L20" s="435"/>
      <c r="M20" s="227">
        <f>RANK(K20, K$7:$K$24)</f>
        <v>7</v>
      </c>
      <c r="N20" s="419"/>
      <c r="O20" s="419"/>
      <c r="P20" s="224"/>
      <c r="Q20" s="224"/>
      <c r="R20" s="226" t="e">
        <f t="shared" si="3"/>
        <v>#DIV/0!</v>
      </c>
      <c r="S20" s="224" t="e">
        <f t="shared" si="4"/>
        <v>#DIV/0!</v>
      </c>
      <c r="T20" s="432"/>
      <c r="U20" s="224">
        <v>16</v>
      </c>
      <c r="V20" s="224">
        <v>1137</v>
      </c>
      <c r="W20" s="226">
        <f t="shared" si="5"/>
        <v>71.0625</v>
      </c>
      <c r="X20" s="224">
        <f t="shared" si="6"/>
        <v>13</v>
      </c>
      <c r="Y20" s="432"/>
      <c r="Z20" s="224">
        <v>15</v>
      </c>
      <c r="AA20" s="224">
        <v>1262</v>
      </c>
      <c r="AB20" s="226">
        <f t="shared" si="7"/>
        <v>84.13333333333334</v>
      </c>
      <c r="AC20" s="224">
        <f t="shared" si="8"/>
        <v>8</v>
      </c>
      <c r="AD20" s="432"/>
      <c r="AE20" s="224">
        <v>13</v>
      </c>
      <c r="AF20" s="224">
        <v>1364</v>
      </c>
      <c r="AG20" s="226">
        <f t="shared" si="9"/>
        <v>104.92307692307692</v>
      </c>
      <c r="AH20" s="224">
        <f t="shared" si="10"/>
        <v>5</v>
      </c>
      <c r="AI20" s="432"/>
      <c r="AJ20" s="224"/>
      <c r="AK20" s="224"/>
      <c r="AL20" s="226"/>
      <c r="AM20" s="224"/>
      <c r="AN20" s="432"/>
      <c r="AO20" s="224"/>
      <c r="AP20" s="224"/>
      <c r="AQ20" s="224"/>
      <c r="AR20" s="224"/>
      <c r="AS20" s="432"/>
      <c r="AT20" s="224"/>
      <c r="AU20" s="224"/>
      <c r="AV20" s="226"/>
      <c r="AW20" s="224"/>
      <c r="AX20" s="432"/>
    </row>
    <row r="21" spans="2:50">
      <c r="B21" s="427"/>
      <c r="C21" s="224">
        <v>15</v>
      </c>
      <c r="D21" s="224"/>
      <c r="E21" s="225"/>
      <c r="F21" s="225"/>
      <c r="G21" s="226"/>
      <c r="H21" s="435"/>
      <c r="I21" s="224"/>
      <c r="J21" s="224"/>
      <c r="K21" s="226"/>
      <c r="L21" s="435"/>
      <c r="M21" s="225"/>
      <c r="N21" s="419"/>
      <c r="O21" s="419"/>
      <c r="P21" s="224"/>
      <c r="Q21" s="224"/>
      <c r="R21" s="226" t="e">
        <f t="shared" si="3"/>
        <v>#DIV/0!</v>
      </c>
      <c r="S21" s="224" t="e">
        <f t="shared" si="4"/>
        <v>#DIV/0!</v>
      </c>
      <c r="T21" s="432"/>
      <c r="U21" s="224"/>
      <c r="V21" s="224"/>
      <c r="W21" s="224"/>
      <c r="X21" s="224"/>
      <c r="Y21" s="432"/>
      <c r="Z21" s="224"/>
      <c r="AA21" s="224"/>
      <c r="AB21" s="226"/>
      <c r="AC21" s="224"/>
      <c r="AD21" s="432"/>
      <c r="AE21" s="224"/>
      <c r="AF21" s="224"/>
      <c r="AG21" s="226"/>
      <c r="AH21" s="224"/>
      <c r="AI21" s="432"/>
      <c r="AJ21" s="224"/>
      <c r="AK21" s="224"/>
      <c r="AL21" s="224"/>
      <c r="AM21" s="224"/>
      <c r="AN21" s="432"/>
      <c r="AO21" s="224"/>
      <c r="AP21" s="224"/>
      <c r="AQ21" s="224"/>
      <c r="AR21" s="224"/>
      <c r="AS21" s="432"/>
      <c r="AT21" s="224"/>
      <c r="AU21" s="224"/>
      <c r="AV21" s="226"/>
      <c r="AW21" s="224"/>
      <c r="AX21" s="432"/>
    </row>
    <row r="22" spans="2:50">
      <c r="B22" s="427"/>
      <c r="C22" s="224">
        <v>16</v>
      </c>
      <c r="D22" s="224"/>
      <c r="E22" s="225"/>
      <c r="F22" s="225"/>
      <c r="G22" s="226"/>
      <c r="H22" s="435"/>
      <c r="I22" s="224"/>
      <c r="J22" s="224"/>
      <c r="K22" s="224"/>
      <c r="L22" s="435"/>
      <c r="M22" s="225"/>
      <c r="N22" s="419"/>
      <c r="O22" s="419"/>
      <c r="P22" s="224"/>
      <c r="Q22" s="224"/>
      <c r="R22" s="226" t="e">
        <f t="shared" ref="R22" si="20">Q22/P22</f>
        <v>#DIV/0!</v>
      </c>
      <c r="S22" s="224" t="e">
        <f t="shared" ref="S22" si="21">RANK(R22, R$7:R$24)</f>
        <v>#DIV/0!</v>
      </c>
      <c r="T22" s="432"/>
      <c r="U22" s="224"/>
      <c r="V22" s="224"/>
      <c r="W22" s="224"/>
      <c r="X22" s="224"/>
      <c r="Y22" s="432"/>
      <c r="Z22" s="224"/>
      <c r="AA22" s="224"/>
      <c r="AB22" s="224"/>
      <c r="AC22" s="224"/>
      <c r="AD22" s="432"/>
      <c r="AE22" s="224"/>
      <c r="AF22" s="224"/>
      <c r="AG22" s="226"/>
      <c r="AH22" s="224"/>
      <c r="AI22" s="432"/>
      <c r="AJ22" s="224"/>
      <c r="AK22" s="224"/>
      <c r="AL22" s="224"/>
      <c r="AM22" s="224"/>
      <c r="AN22" s="432"/>
      <c r="AO22" s="224"/>
      <c r="AP22" s="224"/>
      <c r="AQ22" s="224"/>
      <c r="AR22" s="224"/>
      <c r="AS22" s="432"/>
      <c r="AT22" s="224"/>
      <c r="AU22" s="224"/>
      <c r="AV22" s="224"/>
      <c r="AW22" s="224"/>
      <c r="AX22" s="432"/>
    </row>
    <row r="23" spans="2:50">
      <c r="B23" s="427"/>
      <c r="C23" s="224">
        <v>17</v>
      </c>
      <c r="D23" s="224"/>
      <c r="E23" s="225"/>
      <c r="F23" s="225"/>
      <c r="G23" s="226"/>
      <c r="H23" s="435"/>
      <c r="I23" s="224"/>
      <c r="J23" s="224"/>
      <c r="K23" s="224"/>
      <c r="L23" s="435"/>
      <c r="M23" s="225"/>
      <c r="N23" s="419"/>
      <c r="O23" s="419"/>
      <c r="P23" s="224"/>
      <c r="Q23" s="224"/>
      <c r="R23" s="226" t="e">
        <f t="shared" ref="R23" si="22">Q23/P23</f>
        <v>#DIV/0!</v>
      </c>
      <c r="S23" s="224" t="e">
        <f t="shared" ref="S23" si="23">RANK(R23, R$7:R$24)</f>
        <v>#DIV/0!</v>
      </c>
      <c r="T23" s="432"/>
      <c r="U23" s="224"/>
      <c r="V23" s="224"/>
      <c r="W23" s="224"/>
      <c r="X23" s="224"/>
      <c r="Y23" s="432"/>
      <c r="Z23" s="224"/>
      <c r="AA23" s="224"/>
      <c r="AB23" s="224"/>
      <c r="AC23" s="224"/>
      <c r="AD23" s="432"/>
      <c r="AE23" s="224"/>
      <c r="AF23" s="224"/>
      <c r="AG23" s="226"/>
      <c r="AH23" s="224"/>
      <c r="AI23" s="432"/>
      <c r="AJ23" s="224"/>
      <c r="AK23" s="224"/>
      <c r="AL23" s="224"/>
      <c r="AM23" s="224"/>
      <c r="AN23" s="432"/>
      <c r="AO23" s="224"/>
      <c r="AP23" s="224"/>
      <c r="AQ23" s="224"/>
      <c r="AR23" s="224"/>
      <c r="AS23" s="432"/>
      <c r="AT23" s="224"/>
      <c r="AU23" s="224"/>
      <c r="AV23" s="224"/>
      <c r="AW23" s="224"/>
      <c r="AX23" s="432"/>
    </row>
    <row r="24" spans="2:50">
      <c r="B24" s="427"/>
      <c r="C24" s="224">
        <v>18</v>
      </c>
      <c r="D24" s="224"/>
      <c r="E24" s="225"/>
      <c r="F24" s="225"/>
      <c r="G24" s="226"/>
      <c r="H24" s="436"/>
      <c r="I24" s="224"/>
      <c r="J24" s="224"/>
      <c r="K24" s="224"/>
      <c r="L24" s="436"/>
      <c r="M24" s="225"/>
      <c r="N24" s="419"/>
      <c r="O24" s="419"/>
      <c r="P24" s="224"/>
      <c r="Q24" s="224"/>
      <c r="R24" s="226" t="e">
        <f t="shared" si="3"/>
        <v>#DIV/0!</v>
      </c>
      <c r="S24" s="224" t="e">
        <f t="shared" si="4"/>
        <v>#DIV/0!</v>
      </c>
      <c r="T24" s="432"/>
      <c r="U24" s="224"/>
      <c r="V24" s="224"/>
      <c r="W24" s="224"/>
      <c r="X24" s="224"/>
      <c r="Y24" s="432"/>
      <c r="Z24" s="224"/>
      <c r="AA24" s="224"/>
      <c r="AB24" s="224"/>
      <c r="AC24" s="224"/>
      <c r="AD24" s="432"/>
      <c r="AE24" s="224"/>
      <c r="AF24" s="224"/>
      <c r="AG24" s="226"/>
      <c r="AH24" s="224"/>
      <c r="AI24" s="432"/>
      <c r="AJ24" s="224"/>
      <c r="AK24" s="224"/>
      <c r="AL24" s="224"/>
      <c r="AM24" s="224"/>
      <c r="AN24" s="432"/>
      <c r="AO24" s="224"/>
      <c r="AP24" s="224"/>
      <c r="AQ24" s="224"/>
      <c r="AR24" s="224"/>
      <c r="AS24" s="432"/>
      <c r="AT24" s="224"/>
      <c r="AU24" s="224"/>
      <c r="AV24" s="224"/>
      <c r="AW24" s="224"/>
      <c r="AX24" s="432"/>
    </row>
    <row r="25" spans="2:50" ht="15.75">
      <c r="B25" s="437" t="s">
        <v>384</v>
      </c>
      <c r="C25" s="438"/>
      <c r="D25" s="438"/>
      <c r="E25" s="438"/>
      <c r="F25" s="438"/>
      <c r="G25" s="438"/>
      <c r="H25" s="438"/>
      <c r="I25" s="218"/>
      <c r="J25" s="218"/>
      <c r="K25" s="218"/>
      <c r="L25" s="218"/>
      <c r="M25" s="219"/>
      <c r="N25" s="413" t="s">
        <v>385</v>
      </c>
      <c r="O25" s="413" t="s">
        <v>386</v>
      </c>
      <c r="P25" s="426">
        <v>45937</v>
      </c>
      <c r="Q25" s="427"/>
      <c r="R25" s="427"/>
      <c r="S25" s="427"/>
      <c r="T25" s="427"/>
      <c r="U25" s="426">
        <v>45938</v>
      </c>
      <c r="V25" s="427"/>
      <c r="W25" s="427"/>
      <c r="X25" s="427"/>
      <c r="Y25" s="427"/>
      <c r="Z25" s="426">
        <v>45939</v>
      </c>
      <c r="AA25" s="427"/>
      <c r="AB25" s="427"/>
      <c r="AC25" s="427"/>
      <c r="AD25" s="427"/>
      <c r="AE25" s="426">
        <v>45940</v>
      </c>
      <c r="AF25" s="427"/>
      <c r="AG25" s="427"/>
      <c r="AH25" s="427"/>
      <c r="AI25" s="427"/>
      <c r="AJ25" s="426">
        <v>45941</v>
      </c>
      <c r="AK25" s="427"/>
      <c r="AL25" s="427"/>
      <c r="AM25" s="427"/>
      <c r="AN25" s="427"/>
      <c r="AO25" s="426">
        <v>45942</v>
      </c>
      <c r="AP25" s="427"/>
      <c r="AQ25" s="427"/>
      <c r="AR25" s="427"/>
      <c r="AS25" s="427"/>
      <c r="AT25" s="426">
        <v>45943</v>
      </c>
      <c r="AU25" s="427"/>
      <c r="AV25" s="427"/>
      <c r="AW25" s="427"/>
      <c r="AX25" s="427"/>
    </row>
    <row r="26" spans="2:50" ht="15.75">
      <c r="B26" s="425"/>
      <c r="C26" s="425"/>
      <c r="D26" s="425"/>
      <c r="E26" s="425"/>
      <c r="F26" s="425"/>
      <c r="G26" s="425"/>
      <c r="H26" s="425"/>
      <c r="I26" s="220"/>
      <c r="J26" s="220"/>
      <c r="K26" s="220"/>
      <c r="L26" s="220"/>
      <c r="M26" s="221"/>
      <c r="N26" s="415"/>
      <c r="O26" s="415"/>
      <c r="P26" s="426" t="s">
        <v>413</v>
      </c>
      <c r="Q26" s="427"/>
      <c r="R26" s="427"/>
      <c r="S26" s="427"/>
      <c r="T26" s="427"/>
      <c r="U26" s="426" t="s">
        <v>388</v>
      </c>
      <c r="V26" s="427"/>
      <c r="W26" s="427"/>
      <c r="X26" s="427"/>
      <c r="Y26" s="427"/>
      <c r="Z26" s="426" t="s">
        <v>414</v>
      </c>
      <c r="AA26" s="427"/>
      <c r="AB26" s="427"/>
      <c r="AC26" s="427"/>
      <c r="AD26" s="427"/>
      <c r="AE26" s="426" t="s">
        <v>390</v>
      </c>
      <c r="AF26" s="427"/>
      <c r="AG26" s="427"/>
      <c r="AH26" s="427"/>
      <c r="AI26" s="427"/>
      <c r="AJ26" s="426" t="s">
        <v>415</v>
      </c>
      <c r="AK26" s="427"/>
      <c r="AL26" s="427"/>
      <c r="AM26" s="427"/>
      <c r="AN26" s="427"/>
      <c r="AO26" s="426" t="s">
        <v>416</v>
      </c>
      <c r="AP26" s="427"/>
      <c r="AQ26" s="427"/>
      <c r="AR26" s="427"/>
      <c r="AS26" s="427"/>
      <c r="AT26" s="426" t="s">
        <v>393</v>
      </c>
      <c r="AU26" s="427"/>
      <c r="AV26" s="427"/>
      <c r="AW26" s="427"/>
      <c r="AX26" s="427"/>
    </row>
    <row r="27" spans="2:50">
      <c r="B27" s="419" t="s">
        <v>394</v>
      </c>
      <c r="C27" s="433" t="s">
        <v>146</v>
      </c>
      <c r="D27" s="419"/>
      <c r="E27" s="419" t="s">
        <v>417</v>
      </c>
      <c r="F27" s="419"/>
      <c r="G27" s="419"/>
      <c r="H27" s="420" t="s">
        <v>403</v>
      </c>
      <c r="I27" s="419" t="s">
        <v>398</v>
      </c>
      <c r="J27" s="419"/>
      <c r="K27" s="419"/>
      <c r="L27" s="420" t="s">
        <v>397</v>
      </c>
      <c r="M27" s="413" t="s">
        <v>399</v>
      </c>
      <c r="N27" s="419"/>
      <c r="O27" s="419" t="s">
        <v>418</v>
      </c>
      <c r="P27" s="416" t="s">
        <v>402</v>
      </c>
      <c r="Q27" s="417"/>
      <c r="R27" s="417"/>
      <c r="S27" s="418"/>
      <c r="T27" s="419" t="s">
        <v>397</v>
      </c>
      <c r="U27" s="416" t="s">
        <v>401</v>
      </c>
      <c r="V27" s="417"/>
      <c r="W27" s="417"/>
      <c r="X27" s="418"/>
      <c r="Y27" s="419" t="s">
        <v>403</v>
      </c>
      <c r="Z27" s="416" t="s">
        <v>402</v>
      </c>
      <c r="AA27" s="417"/>
      <c r="AB27" s="417"/>
      <c r="AC27" s="418"/>
      <c r="AD27" s="419" t="s">
        <v>397</v>
      </c>
      <c r="AE27" s="416" t="s">
        <v>402</v>
      </c>
      <c r="AF27" s="417"/>
      <c r="AG27" s="417"/>
      <c r="AH27" s="418"/>
      <c r="AI27" s="419" t="s">
        <v>403</v>
      </c>
      <c r="AJ27" s="416" t="s">
        <v>401</v>
      </c>
      <c r="AK27" s="417"/>
      <c r="AL27" s="417"/>
      <c r="AM27" s="418"/>
      <c r="AN27" s="419" t="s">
        <v>403</v>
      </c>
      <c r="AO27" s="416" t="s">
        <v>401</v>
      </c>
      <c r="AP27" s="417"/>
      <c r="AQ27" s="417"/>
      <c r="AR27" s="418"/>
      <c r="AS27" s="419" t="s">
        <v>403</v>
      </c>
      <c r="AT27" s="416" t="s">
        <v>401</v>
      </c>
      <c r="AU27" s="417"/>
      <c r="AV27" s="417"/>
      <c r="AW27" s="418"/>
      <c r="AX27" s="419" t="s">
        <v>397</v>
      </c>
    </row>
    <row r="28" spans="2:50">
      <c r="B28" s="419"/>
      <c r="C28" s="419"/>
      <c r="D28" s="419"/>
      <c r="E28" s="419" t="s">
        <v>419</v>
      </c>
      <c r="F28" s="419"/>
      <c r="G28" s="419"/>
      <c r="H28" s="421"/>
      <c r="I28" s="419" t="s">
        <v>419</v>
      </c>
      <c r="J28" s="419"/>
      <c r="K28" s="419"/>
      <c r="L28" s="421"/>
      <c r="M28" s="414"/>
      <c r="N28" s="419"/>
      <c r="O28" s="419"/>
      <c r="P28" s="416" t="s">
        <v>405</v>
      </c>
      <c r="Q28" s="417"/>
      <c r="R28" s="417"/>
      <c r="S28" s="418"/>
      <c r="T28" s="419"/>
      <c r="U28" s="416" t="s">
        <v>406</v>
      </c>
      <c r="V28" s="417"/>
      <c r="W28" s="417"/>
      <c r="X28" s="418"/>
      <c r="Y28" s="419"/>
      <c r="Z28" s="416" t="s">
        <v>406</v>
      </c>
      <c r="AA28" s="417"/>
      <c r="AB28" s="417"/>
      <c r="AC28" s="418"/>
      <c r="AD28" s="419"/>
      <c r="AE28" s="416" t="s">
        <v>406</v>
      </c>
      <c r="AF28" s="417"/>
      <c r="AG28" s="417"/>
      <c r="AH28" s="418"/>
      <c r="AI28" s="419"/>
      <c r="AJ28" s="416" t="s">
        <v>406</v>
      </c>
      <c r="AK28" s="417"/>
      <c r="AL28" s="417"/>
      <c r="AM28" s="418"/>
      <c r="AN28" s="419"/>
      <c r="AO28" s="416" t="s">
        <v>406</v>
      </c>
      <c r="AP28" s="417"/>
      <c r="AQ28" s="417"/>
      <c r="AR28" s="418"/>
      <c r="AS28" s="419"/>
      <c r="AT28" s="416" t="s">
        <v>405</v>
      </c>
      <c r="AU28" s="417"/>
      <c r="AV28" s="417"/>
      <c r="AW28" s="418"/>
      <c r="AX28" s="419"/>
    </row>
    <row r="29" spans="2:50">
      <c r="B29" s="419"/>
      <c r="C29" s="419"/>
      <c r="D29" s="419"/>
      <c r="E29" s="223" t="s">
        <v>407</v>
      </c>
      <c r="F29" s="223" t="s">
        <v>408</v>
      </c>
      <c r="G29" s="223" t="s">
        <v>420</v>
      </c>
      <c r="H29" s="422"/>
      <c r="I29" s="223" t="s">
        <v>407</v>
      </c>
      <c r="J29" s="223" t="s">
        <v>408</v>
      </c>
      <c r="K29" s="223" t="s">
        <v>420</v>
      </c>
      <c r="L29" s="422"/>
      <c r="M29" s="415"/>
      <c r="N29" s="419"/>
      <c r="O29" s="419"/>
      <c r="P29" s="223" t="s">
        <v>411</v>
      </c>
      <c r="Q29" s="223" t="s">
        <v>408</v>
      </c>
      <c r="R29" s="223" t="s">
        <v>420</v>
      </c>
      <c r="S29" s="223" t="s">
        <v>412</v>
      </c>
      <c r="T29" s="419"/>
      <c r="U29" s="223" t="s">
        <v>411</v>
      </c>
      <c r="V29" s="223" t="s">
        <v>410</v>
      </c>
      <c r="W29" s="223" t="s">
        <v>409</v>
      </c>
      <c r="X29" s="223" t="s">
        <v>412</v>
      </c>
      <c r="Y29" s="419"/>
      <c r="Z29" s="223" t="s">
        <v>407</v>
      </c>
      <c r="AA29" s="223" t="s">
        <v>408</v>
      </c>
      <c r="AB29" s="223" t="s">
        <v>409</v>
      </c>
      <c r="AC29" s="223" t="s">
        <v>399</v>
      </c>
      <c r="AD29" s="419"/>
      <c r="AE29" s="223" t="s">
        <v>411</v>
      </c>
      <c r="AF29" s="223" t="s">
        <v>408</v>
      </c>
      <c r="AG29" s="223" t="s">
        <v>409</v>
      </c>
      <c r="AH29" s="223" t="s">
        <v>399</v>
      </c>
      <c r="AI29" s="419"/>
      <c r="AJ29" s="223" t="s">
        <v>411</v>
      </c>
      <c r="AK29" s="223" t="s">
        <v>408</v>
      </c>
      <c r="AL29" s="223" t="s">
        <v>420</v>
      </c>
      <c r="AM29" s="223" t="s">
        <v>399</v>
      </c>
      <c r="AN29" s="419"/>
      <c r="AO29" s="223" t="s">
        <v>407</v>
      </c>
      <c r="AP29" s="223" t="s">
        <v>410</v>
      </c>
      <c r="AQ29" s="223" t="s">
        <v>420</v>
      </c>
      <c r="AR29" s="223" t="s">
        <v>399</v>
      </c>
      <c r="AS29" s="419"/>
      <c r="AT29" s="223" t="s">
        <v>411</v>
      </c>
      <c r="AU29" s="223" t="s">
        <v>410</v>
      </c>
      <c r="AV29" s="223" t="s">
        <v>409</v>
      </c>
      <c r="AW29" s="223" t="s">
        <v>412</v>
      </c>
      <c r="AX29" s="419"/>
    </row>
    <row r="30" spans="2:50" ht="13.5">
      <c r="B30" s="427" t="s">
        <v>136</v>
      </c>
      <c r="C30" s="224">
        <v>1</v>
      </c>
      <c r="D30" s="228" t="s">
        <v>363</v>
      </c>
      <c r="E30" s="225">
        <f>VLOOKUP(D30,'10產線配置圖'!$A$2:$C$25,2,0)</f>
        <v>12</v>
      </c>
      <c r="F30" s="225">
        <f>VLOOKUP(D30,'10產線配置圖'!$A$2:$C$25,3,0)</f>
        <v>2000</v>
      </c>
      <c r="G30" s="226">
        <f>F30/E30</f>
        <v>166.66666666666666</v>
      </c>
      <c r="H30" s="434">
        <f>AVERAGE(G30:G47)</f>
        <v>109.54751468738642</v>
      </c>
      <c r="I30" s="225">
        <f>AVERAGE(P30,U30,Z30,AE30,AJ30,AO30,AT30)</f>
        <v>12</v>
      </c>
      <c r="J30" s="225">
        <f>AVERAGE(Q30,V30,AA30,AF30,AK30,AP30,AU30)</f>
        <v>1847.5714285714287</v>
      </c>
      <c r="K30" s="226">
        <f>AVERAGE(R30,W30,AB30,AG30,AL30,AQ30,AV30)</f>
        <v>153.96428571428572</v>
      </c>
      <c r="L30" s="434">
        <f>IFERROR(AVERAGE(K30:K47),"-")</f>
        <v>99.189746844834659</v>
      </c>
      <c r="M30" s="227">
        <f>RANK(K30, K$30:$K$47)</f>
        <v>1</v>
      </c>
      <c r="N30" s="419"/>
      <c r="O30" s="419"/>
      <c r="P30" s="225">
        <v>12</v>
      </c>
      <c r="Q30" s="225">
        <v>1928</v>
      </c>
      <c r="R30" s="226">
        <f>Q30/P30</f>
        <v>160.66666666666666</v>
      </c>
      <c r="S30" s="224">
        <f>RANK(R30,$R$30:$R$47)</f>
        <v>1</v>
      </c>
      <c r="T30" s="432">
        <f>AVERAGE(R30:R47)</f>
        <v>102.18962238741649</v>
      </c>
      <c r="U30" s="225">
        <v>12</v>
      </c>
      <c r="V30" s="225">
        <v>1868</v>
      </c>
      <c r="W30" s="226">
        <f>V30/U30</f>
        <v>155.66666666666666</v>
      </c>
      <c r="X30" s="224">
        <f>RANK(W30, $W$30:$W$47)</f>
        <v>1</v>
      </c>
      <c r="Y30" s="432">
        <f>AVERAGE(W30:W47)</f>
        <v>100.85407357222968</v>
      </c>
      <c r="Z30" s="225">
        <v>12</v>
      </c>
      <c r="AA30" s="225">
        <v>1932</v>
      </c>
      <c r="AB30" s="226">
        <f>AA30/Z30</f>
        <v>161</v>
      </c>
      <c r="AC30" s="224">
        <f>RANK(AB30, $AB$30:$AB$47)</f>
        <v>1</v>
      </c>
      <c r="AD30" s="432">
        <f>AVERAGE(AB30:AB47)</f>
        <v>101.00789755744508</v>
      </c>
      <c r="AE30" s="225">
        <v>12</v>
      </c>
      <c r="AF30" s="225">
        <v>1998</v>
      </c>
      <c r="AG30" s="226">
        <f>AF30/AE30</f>
        <v>166.5</v>
      </c>
      <c r="AH30" s="224">
        <f>RANK(AG30, $AG$30:$AG$47)</f>
        <v>1</v>
      </c>
      <c r="AI30" s="432">
        <f>AVERAGE(AG30:AG47)</f>
        <v>96.752868040707412</v>
      </c>
      <c r="AJ30" s="225">
        <v>12</v>
      </c>
      <c r="AK30" s="225">
        <v>1827</v>
      </c>
      <c r="AL30" s="226">
        <f>AK30/AJ30</f>
        <v>152.25</v>
      </c>
      <c r="AM30" s="224">
        <f>RANK(AL30, $AL$30:$AL$47)</f>
        <v>1</v>
      </c>
      <c r="AN30" s="432">
        <f>AVERAGE(AL30:AL47)</f>
        <v>102.56284493284492</v>
      </c>
      <c r="AO30" s="225">
        <v>12</v>
      </c>
      <c r="AP30" s="225">
        <v>1969</v>
      </c>
      <c r="AQ30" s="226">
        <f>AP30/AO30</f>
        <v>164.08333333333334</v>
      </c>
      <c r="AR30" s="224">
        <f>RANK(AQ30,$AQ$30:$AQ$47)</f>
        <v>1</v>
      </c>
      <c r="AS30" s="432">
        <f>AVERAGE(AQ30:AQ47)</f>
        <v>103.08738047513205</v>
      </c>
      <c r="AT30" s="225">
        <v>12</v>
      </c>
      <c r="AU30" s="225">
        <v>1411</v>
      </c>
      <c r="AV30" s="226">
        <f>AU30/AT30</f>
        <v>117.58333333333333</v>
      </c>
      <c r="AW30" s="224">
        <f>RANK(AV30, $AV$30:$AV$47)</f>
        <v>4</v>
      </c>
      <c r="AX30" s="432">
        <f>AVERAGE(AV30:AV47)</f>
        <v>100.55083225597932</v>
      </c>
    </row>
    <row r="31" spans="2:50">
      <c r="B31" s="427"/>
      <c r="C31" s="224">
        <v>2</v>
      </c>
      <c r="D31" s="224" t="s">
        <v>357</v>
      </c>
      <c r="E31" s="225">
        <f>VLOOKUP(D31,'10產線配置圖'!$A$2:$C$25,2,0)</f>
        <v>13</v>
      </c>
      <c r="F31" s="225">
        <f>VLOOKUP(D31,'10產線配置圖'!$A$2:$C$25,3,0)</f>
        <v>2000</v>
      </c>
      <c r="G31" s="226">
        <f t="shared" ref="G31:G43" si="24">F31/E31</f>
        <v>153.84615384615384</v>
      </c>
      <c r="H31" s="435"/>
      <c r="I31" s="225">
        <f t="shared" ref="I31:K42" si="25">AVERAGE(P31,U31,Z31,AE31,AJ31,AO31,AT31)</f>
        <v>13</v>
      </c>
      <c r="J31" s="225">
        <f t="shared" si="25"/>
        <v>1927.1428571428571</v>
      </c>
      <c r="K31" s="226">
        <f t="shared" si="25"/>
        <v>148.24175824175822</v>
      </c>
      <c r="L31" s="435"/>
      <c r="M31" s="227">
        <f>RANK(K31, K$30:$K$47)</f>
        <v>2</v>
      </c>
      <c r="N31" s="419"/>
      <c r="O31" s="419"/>
      <c r="P31" s="225">
        <v>13</v>
      </c>
      <c r="Q31" s="225">
        <v>1996</v>
      </c>
      <c r="R31" s="226">
        <f t="shared" ref="R31:R39" si="26">Q31/P31</f>
        <v>153.53846153846155</v>
      </c>
      <c r="S31" s="224">
        <f t="shared" ref="S31:S42" si="27">RANK(R31,$R$30:$R$47)</f>
        <v>2</v>
      </c>
      <c r="T31" s="432"/>
      <c r="U31" s="225">
        <v>13</v>
      </c>
      <c r="V31" s="225">
        <v>1963</v>
      </c>
      <c r="W31" s="226">
        <f t="shared" ref="W31:W39" si="28">V31/U31</f>
        <v>151</v>
      </c>
      <c r="X31" s="224">
        <f t="shared" ref="X31:X42" si="29">RANK(W31, $W$30:$W$47)</f>
        <v>2</v>
      </c>
      <c r="Y31" s="432"/>
      <c r="Z31" s="225">
        <v>13</v>
      </c>
      <c r="AA31" s="225">
        <v>1951</v>
      </c>
      <c r="AB31" s="226">
        <f t="shared" ref="AB31:AB39" si="30">AA31/Z31</f>
        <v>150.07692307692307</v>
      </c>
      <c r="AC31" s="224">
        <f t="shared" ref="AC31:AC42" si="31">RANK(AB31, $AB$30:$AB$47)</f>
        <v>3</v>
      </c>
      <c r="AD31" s="432"/>
      <c r="AE31" s="225">
        <v>13</v>
      </c>
      <c r="AF31" s="225">
        <v>1785</v>
      </c>
      <c r="AG31" s="226">
        <f t="shared" ref="AG31:AG39" si="32">AF31/AE31</f>
        <v>137.30769230769232</v>
      </c>
      <c r="AH31" s="224">
        <f t="shared" ref="AH31:AH42" si="33">RANK(AG31, $AG$30:$AG$47)</f>
        <v>2</v>
      </c>
      <c r="AI31" s="432"/>
      <c r="AJ31" s="225">
        <v>13</v>
      </c>
      <c r="AK31" s="225">
        <v>1869</v>
      </c>
      <c r="AL31" s="226">
        <f t="shared" ref="AL31:AL39" si="34">AK31/AJ31</f>
        <v>143.76923076923077</v>
      </c>
      <c r="AM31" s="224">
        <f t="shared" ref="AM31:AM42" si="35">RANK(AL31, $AL$30:$AL$47)</f>
        <v>2</v>
      </c>
      <c r="AN31" s="432"/>
      <c r="AO31" s="225">
        <v>13</v>
      </c>
      <c r="AP31" s="225">
        <v>1984</v>
      </c>
      <c r="AQ31" s="226">
        <f t="shared" ref="AQ31:AQ39" si="36">AP31/AO31</f>
        <v>152.61538461538461</v>
      </c>
      <c r="AR31" s="224">
        <f t="shared" ref="AR31:AR42" si="37">RANK(AQ31,$AQ$30:$AQ$47)</f>
        <v>2</v>
      </c>
      <c r="AS31" s="432"/>
      <c r="AT31" s="225">
        <v>13</v>
      </c>
      <c r="AU31" s="225">
        <v>1942</v>
      </c>
      <c r="AV31" s="226">
        <f t="shared" ref="AV31:AV39" si="38">AU31/AT31</f>
        <v>149.38461538461539</v>
      </c>
      <c r="AW31" s="224">
        <f t="shared" ref="AW31:AW42" si="39">RANK(AV31, $AV$30:$AV$47)</f>
        <v>2</v>
      </c>
      <c r="AX31" s="432"/>
    </row>
    <row r="32" spans="2:50">
      <c r="B32" s="427"/>
      <c r="C32" s="224">
        <v>3</v>
      </c>
      <c r="D32" s="224" t="s">
        <v>358</v>
      </c>
      <c r="E32" s="225">
        <f>VLOOKUP(D32,'10產線配置圖'!$A$2:$C$25,2,0)</f>
        <v>16</v>
      </c>
      <c r="F32" s="225">
        <f>VLOOKUP(D32,'10產線配置圖'!$A$2:$C$25,3,0)</f>
        <v>1915</v>
      </c>
      <c r="G32" s="226">
        <f t="shared" si="24"/>
        <v>119.6875</v>
      </c>
      <c r="H32" s="435"/>
      <c r="I32" s="225">
        <f t="shared" si="25"/>
        <v>16</v>
      </c>
      <c r="J32" s="225">
        <f t="shared" si="25"/>
        <v>1645</v>
      </c>
      <c r="K32" s="226">
        <f>AVERAGE(R32,W32,AB32,AG32,AL32,AQ32,AV32)</f>
        <v>102.8125</v>
      </c>
      <c r="L32" s="435"/>
      <c r="M32" s="227">
        <f>RANK(K32, K$30:$K$47)</f>
        <v>5</v>
      </c>
      <c r="N32" s="419"/>
      <c r="O32" s="419"/>
      <c r="P32" s="225">
        <v>16</v>
      </c>
      <c r="Q32" s="225">
        <v>1627</v>
      </c>
      <c r="R32" s="226">
        <f t="shared" si="26"/>
        <v>101.6875</v>
      </c>
      <c r="S32" s="224">
        <f t="shared" si="27"/>
        <v>5</v>
      </c>
      <c r="T32" s="432"/>
      <c r="U32" s="225">
        <v>16</v>
      </c>
      <c r="V32" s="225">
        <v>1563</v>
      </c>
      <c r="W32" s="226">
        <f t="shared" si="28"/>
        <v>97.6875</v>
      </c>
      <c r="X32" s="224">
        <f t="shared" si="29"/>
        <v>5</v>
      </c>
      <c r="Y32" s="432"/>
      <c r="Z32" s="225">
        <v>16</v>
      </c>
      <c r="AA32" s="225">
        <v>1707</v>
      </c>
      <c r="AB32" s="226">
        <f t="shared" si="30"/>
        <v>106.6875</v>
      </c>
      <c r="AC32" s="224">
        <f t="shared" si="31"/>
        <v>5</v>
      </c>
      <c r="AD32" s="432"/>
      <c r="AE32" s="225">
        <v>16</v>
      </c>
      <c r="AF32" s="225">
        <v>1683</v>
      </c>
      <c r="AG32" s="226">
        <f t="shared" si="32"/>
        <v>105.1875</v>
      </c>
      <c r="AH32" s="224">
        <f t="shared" si="33"/>
        <v>5</v>
      </c>
      <c r="AI32" s="432"/>
      <c r="AJ32" s="225"/>
      <c r="AK32" s="225"/>
      <c r="AL32" s="226"/>
      <c r="AM32" s="224"/>
      <c r="AN32" s="432"/>
      <c r="AO32" s="225"/>
      <c r="AP32" s="225"/>
      <c r="AQ32" s="226"/>
      <c r="AR32" s="224"/>
      <c r="AS32" s="432"/>
      <c r="AT32" s="225"/>
      <c r="AU32" s="225"/>
      <c r="AV32" s="226"/>
      <c r="AW32" s="224"/>
      <c r="AX32" s="432"/>
    </row>
    <row r="33" spans="2:50">
      <c r="B33" s="427"/>
      <c r="C33" s="224">
        <v>4</v>
      </c>
      <c r="D33" s="224" t="s">
        <v>359</v>
      </c>
      <c r="E33" s="225">
        <f>VLOOKUP(D33,'10產線配置圖'!$A$2:$C$25,2,0)</f>
        <v>18</v>
      </c>
      <c r="F33" s="225">
        <f>VLOOKUP(D33,'10產線配置圖'!$A$2:$C$25,3,0)</f>
        <v>1565</v>
      </c>
      <c r="G33" s="226">
        <f t="shared" si="24"/>
        <v>86.944444444444443</v>
      </c>
      <c r="H33" s="435"/>
      <c r="I33" s="225">
        <f t="shared" si="25"/>
        <v>17.857142857142858</v>
      </c>
      <c r="J33" s="225">
        <f t="shared" si="25"/>
        <v>1538.5714285714287</v>
      </c>
      <c r="K33" s="226">
        <f t="shared" si="25"/>
        <v>86.166199813258643</v>
      </c>
      <c r="L33" s="435"/>
      <c r="M33" s="227">
        <f>RANK(K33, K$30:$K$47)</f>
        <v>6</v>
      </c>
      <c r="N33" s="419"/>
      <c r="O33" s="419"/>
      <c r="P33" s="225">
        <v>18</v>
      </c>
      <c r="Q33" s="225">
        <v>1560</v>
      </c>
      <c r="R33" s="226">
        <f t="shared" si="26"/>
        <v>86.666666666666671</v>
      </c>
      <c r="S33" s="224">
        <f t="shared" si="27"/>
        <v>6</v>
      </c>
      <c r="T33" s="432"/>
      <c r="U33" s="225">
        <v>18</v>
      </c>
      <c r="V33" s="225">
        <v>1504</v>
      </c>
      <c r="W33" s="226">
        <f t="shared" si="28"/>
        <v>83.555555555555557</v>
      </c>
      <c r="X33" s="224">
        <f t="shared" si="29"/>
        <v>9</v>
      </c>
      <c r="Y33" s="432"/>
      <c r="Z33" s="225">
        <v>18</v>
      </c>
      <c r="AA33" s="225">
        <v>1547</v>
      </c>
      <c r="AB33" s="226">
        <f t="shared" si="30"/>
        <v>85.944444444444443</v>
      </c>
      <c r="AC33" s="224">
        <f t="shared" si="31"/>
        <v>8</v>
      </c>
      <c r="AD33" s="432"/>
      <c r="AE33" s="225">
        <v>17</v>
      </c>
      <c r="AF33" s="225">
        <v>1478</v>
      </c>
      <c r="AG33" s="226">
        <f t="shared" si="32"/>
        <v>86.941176470588232</v>
      </c>
      <c r="AH33" s="224">
        <f t="shared" si="33"/>
        <v>7</v>
      </c>
      <c r="AI33" s="432"/>
      <c r="AJ33" s="225">
        <v>18</v>
      </c>
      <c r="AK33" s="225">
        <v>1563</v>
      </c>
      <c r="AL33" s="226">
        <f t="shared" si="34"/>
        <v>86.833333333333329</v>
      </c>
      <c r="AM33" s="224">
        <f t="shared" si="35"/>
        <v>6</v>
      </c>
      <c r="AN33" s="432"/>
      <c r="AO33" s="225">
        <v>18</v>
      </c>
      <c r="AP33" s="225">
        <v>1550</v>
      </c>
      <c r="AQ33" s="226">
        <f t="shared" si="36"/>
        <v>86.111111111111114</v>
      </c>
      <c r="AR33" s="224">
        <f t="shared" si="37"/>
        <v>5</v>
      </c>
      <c r="AS33" s="432"/>
      <c r="AT33" s="225">
        <v>18</v>
      </c>
      <c r="AU33" s="225">
        <v>1568</v>
      </c>
      <c r="AV33" s="226">
        <f t="shared" si="38"/>
        <v>87.111111111111114</v>
      </c>
      <c r="AW33" s="224">
        <f t="shared" si="39"/>
        <v>5</v>
      </c>
      <c r="AX33" s="432"/>
    </row>
    <row r="34" spans="2:50">
      <c r="B34" s="427"/>
      <c r="C34" s="224">
        <v>5</v>
      </c>
      <c r="D34" s="224" t="s">
        <v>360</v>
      </c>
      <c r="E34" s="225">
        <f>VLOOKUP(D34,'10產線配置圖'!$A$2:$C$25,2,0)</f>
        <v>13</v>
      </c>
      <c r="F34" s="225">
        <f>VLOOKUP(D34,'10產線配置圖'!$A$2:$C$25,3,0)</f>
        <v>2000</v>
      </c>
      <c r="G34" s="226">
        <f t="shared" si="24"/>
        <v>153.84615384615384</v>
      </c>
      <c r="H34" s="435"/>
      <c r="I34" s="225">
        <f t="shared" si="25"/>
        <v>13</v>
      </c>
      <c r="J34" s="225">
        <f t="shared" si="25"/>
        <v>1810.4285714285713</v>
      </c>
      <c r="K34" s="226">
        <f t="shared" si="25"/>
        <v>139.26373626373626</v>
      </c>
      <c r="L34" s="435"/>
      <c r="M34" s="227">
        <f>RANK(K34, K$30:$K$47)</f>
        <v>3</v>
      </c>
      <c r="N34" s="419"/>
      <c r="O34" s="419"/>
      <c r="P34" s="225">
        <v>13</v>
      </c>
      <c r="Q34" s="225">
        <v>1828</v>
      </c>
      <c r="R34" s="226">
        <f t="shared" si="26"/>
        <v>140.61538461538461</v>
      </c>
      <c r="S34" s="224">
        <f t="shared" si="27"/>
        <v>3</v>
      </c>
      <c r="T34" s="432"/>
      <c r="U34" s="225">
        <v>13</v>
      </c>
      <c r="V34" s="225">
        <v>1887</v>
      </c>
      <c r="W34" s="226">
        <f t="shared" si="28"/>
        <v>145.15384615384616</v>
      </c>
      <c r="X34" s="224">
        <f t="shared" si="29"/>
        <v>3</v>
      </c>
      <c r="Y34" s="432"/>
      <c r="Z34" s="225">
        <v>13</v>
      </c>
      <c r="AA34" s="225">
        <v>1955</v>
      </c>
      <c r="AB34" s="226">
        <f t="shared" si="30"/>
        <v>150.38461538461539</v>
      </c>
      <c r="AC34" s="224">
        <f t="shared" si="31"/>
        <v>2</v>
      </c>
      <c r="AD34" s="432"/>
      <c r="AE34" s="225">
        <v>13</v>
      </c>
      <c r="AF34" s="225">
        <v>1454</v>
      </c>
      <c r="AG34" s="226">
        <f t="shared" si="32"/>
        <v>111.84615384615384</v>
      </c>
      <c r="AH34" s="224">
        <f t="shared" si="33"/>
        <v>4</v>
      </c>
      <c r="AI34" s="432"/>
      <c r="AJ34" s="225">
        <v>13</v>
      </c>
      <c r="AK34" s="225">
        <v>1747</v>
      </c>
      <c r="AL34" s="226">
        <f t="shared" si="34"/>
        <v>134.38461538461539</v>
      </c>
      <c r="AM34" s="224">
        <f t="shared" si="35"/>
        <v>3</v>
      </c>
      <c r="AN34" s="432"/>
      <c r="AO34" s="225">
        <v>13</v>
      </c>
      <c r="AP34" s="225">
        <v>1853</v>
      </c>
      <c r="AQ34" s="226">
        <f t="shared" si="36"/>
        <v>142.53846153846155</v>
      </c>
      <c r="AR34" s="224">
        <f t="shared" si="37"/>
        <v>3</v>
      </c>
      <c r="AS34" s="432"/>
      <c r="AT34" s="225">
        <v>13</v>
      </c>
      <c r="AU34" s="225">
        <v>1949</v>
      </c>
      <c r="AV34" s="226">
        <f t="shared" si="38"/>
        <v>149.92307692307693</v>
      </c>
      <c r="AW34" s="224">
        <f t="shared" si="39"/>
        <v>1</v>
      </c>
      <c r="AX34" s="432"/>
    </row>
    <row r="35" spans="2:50">
      <c r="B35" s="427"/>
      <c r="C35" s="224">
        <v>6</v>
      </c>
      <c r="D35" s="224" t="s">
        <v>370</v>
      </c>
      <c r="E35" s="225">
        <f>VLOOKUP(D35,'10產線配置圖'!$A$2:$C$25,2,0)</f>
        <v>14</v>
      </c>
      <c r="F35" s="225">
        <f>VLOOKUP(D35,'10產線配置圖'!$A$2:$C$25,3,0)</f>
        <v>1895</v>
      </c>
      <c r="G35" s="226">
        <f t="shared" si="24"/>
        <v>135.35714285714286</v>
      </c>
      <c r="H35" s="435"/>
      <c r="I35" s="225">
        <f t="shared" si="25"/>
        <v>14</v>
      </c>
      <c r="J35" s="225">
        <f t="shared" si="25"/>
        <v>1745.2857142857142</v>
      </c>
      <c r="K35" s="226">
        <f t="shared" si="25"/>
        <v>124.66326530612245</v>
      </c>
      <c r="L35" s="435"/>
      <c r="M35" s="227">
        <f>RANK(K35, K$30:$K$47)</f>
        <v>4</v>
      </c>
      <c r="N35" s="419"/>
      <c r="O35" s="419"/>
      <c r="P35" s="225">
        <v>14</v>
      </c>
      <c r="Q35" s="225">
        <v>1686</v>
      </c>
      <c r="R35" s="226">
        <f>Q35/P35</f>
        <v>120.42857142857143</v>
      </c>
      <c r="S35" s="224">
        <f t="shared" si="27"/>
        <v>4</v>
      </c>
      <c r="T35" s="432"/>
      <c r="U35" s="225">
        <v>14</v>
      </c>
      <c r="V35" s="225">
        <v>1680</v>
      </c>
      <c r="W35" s="226">
        <f t="shared" si="28"/>
        <v>120</v>
      </c>
      <c r="X35" s="224">
        <f t="shared" si="29"/>
        <v>4</v>
      </c>
      <c r="Y35" s="432"/>
      <c r="Z35" s="225">
        <v>14</v>
      </c>
      <c r="AA35" s="225">
        <v>1662</v>
      </c>
      <c r="AB35" s="226">
        <f t="shared" si="30"/>
        <v>118.71428571428571</v>
      </c>
      <c r="AC35" s="224">
        <f t="shared" si="31"/>
        <v>4</v>
      </c>
      <c r="AD35" s="432"/>
      <c r="AE35" s="225">
        <v>14</v>
      </c>
      <c r="AF35" s="225">
        <v>1712</v>
      </c>
      <c r="AG35" s="226">
        <f t="shared" si="32"/>
        <v>122.28571428571429</v>
      </c>
      <c r="AH35" s="224">
        <f t="shared" si="33"/>
        <v>3</v>
      </c>
      <c r="AI35" s="432"/>
      <c r="AJ35" s="225">
        <v>14</v>
      </c>
      <c r="AK35" s="225">
        <v>1825</v>
      </c>
      <c r="AL35" s="226">
        <f t="shared" si="34"/>
        <v>130.35714285714286</v>
      </c>
      <c r="AM35" s="224">
        <f t="shared" si="35"/>
        <v>4</v>
      </c>
      <c r="AN35" s="432"/>
      <c r="AO35" s="225">
        <v>14</v>
      </c>
      <c r="AP35" s="225">
        <v>1882</v>
      </c>
      <c r="AQ35" s="226">
        <f t="shared" si="36"/>
        <v>134.42857142857142</v>
      </c>
      <c r="AR35" s="224">
        <f t="shared" si="37"/>
        <v>4</v>
      </c>
      <c r="AS35" s="432"/>
      <c r="AT35" s="225">
        <v>14</v>
      </c>
      <c r="AU35" s="225">
        <v>1770</v>
      </c>
      <c r="AV35" s="226">
        <f t="shared" si="38"/>
        <v>126.42857142857143</v>
      </c>
      <c r="AW35" s="224">
        <f t="shared" si="39"/>
        <v>3</v>
      </c>
      <c r="AX35" s="432"/>
    </row>
    <row r="36" spans="2:50">
      <c r="B36" s="427"/>
      <c r="C36" s="224">
        <v>7</v>
      </c>
      <c r="D36" s="224" t="s">
        <v>351</v>
      </c>
      <c r="E36" s="225">
        <f>VLOOKUP(D36,'10產線配置圖'!$A$2:$C$25,2,0)</f>
        <v>16</v>
      </c>
      <c r="F36" s="225">
        <f>VLOOKUP(D36,'10產線配置圖'!$A$2:$C$25,3,0)</f>
        <v>1429</v>
      </c>
      <c r="G36" s="226">
        <f t="shared" si="24"/>
        <v>89.3125</v>
      </c>
      <c r="H36" s="435"/>
      <c r="I36" s="225">
        <f t="shared" si="25"/>
        <v>14.5</v>
      </c>
      <c r="J36" s="225">
        <f t="shared" si="25"/>
        <v>1030.75</v>
      </c>
      <c r="K36" s="226">
        <f t="shared" si="25"/>
        <v>71.29205586080586</v>
      </c>
      <c r="L36" s="435"/>
      <c r="M36" s="227">
        <f>RANK(K36, K$30:$K$47)</f>
        <v>12</v>
      </c>
      <c r="N36" s="419"/>
      <c r="O36" s="419"/>
      <c r="P36" s="225">
        <v>15</v>
      </c>
      <c r="Q36" s="225">
        <v>1034</v>
      </c>
      <c r="R36" s="226">
        <f t="shared" si="26"/>
        <v>68.933333333333337</v>
      </c>
      <c r="S36" s="224">
        <f t="shared" si="27"/>
        <v>13</v>
      </c>
      <c r="T36" s="432"/>
      <c r="U36" s="225">
        <v>14</v>
      </c>
      <c r="V36" s="225">
        <v>1009</v>
      </c>
      <c r="W36" s="226">
        <f t="shared" si="28"/>
        <v>72.071428571428569</v>
      </c>
      <c r="X36" s="224">
        <f t="shared" si="29"/>
        <v>12</v>
      </c>
      <c r="Y36" s="432"/>
      <c r="Z36" s="225">
        <v>16</v>
      </c>
      <c r="AA36" s="225">
        <v>1098</v>
      </c>
      <c r="AB36" s="226">
        <f t="shared" si="30"/>
        <v>68.625</v>
      </c>
      <c r="AC36" s="224">
        <f t="shared" si="31"/>
        <v>13</v>
      </c>
      <c r="AD36" s="432"/>
      <c r="AE36" s="225">
        <v>13</v>
      </c>
      <c r="AF36" s="225">
        <v>982</v>
      </c>
      <c r="AG36" s="226">
        <f t="shared" si="32"/>
        <v>75.538461538461533</v>
      </c>
      <c r="AH36" s="224">
        <f t="shared" si="33"/>
        <v>9</v>
      </c>
      <c r="AI36" s="432"/>
      <c r="AJ36" s="225"/>
      <c r="AK36" s="225"/>
      <c r="AL36" s="226"/>
      <c r="AM36" s="224"/>
      <c r="AN36" s="432"/>
      <c r="AO36" s="225"/>
      <c r="AP36" s="225"/>
      <c r="AQ36" s="226"/>
      <c r="AR36" s="224"/>
      <c r="AS36" s="432"/>
      <c r="AT36" s="225"/>
      <c r="AU36" s="225"/>
      <c r="AV36" s="226"/>
      <c r="AW36" s="224"/>
      <c r="AX36" s="432"/>
    </row>
    <row r="37" spans="2:50">
      <c r="B37" s="427"/>
      <c r="C37" s="224">
        <v>8</v>
      </c>
      <c r="D37" s="224" t="s">
        <v>352</v>
      </c>
      <c r="E37" s="225">
        <f>VLOOKUP(D37,'10產線配置圖'!$A$2:$C$25,2,0)</f>
        <v>18</v>
      </c>
      <c r="F37" s="225">
        <f>VLOOKUP(D37,'10產線配置圖'!$A$2:$C$25,3,0)</f>
        <v>1500</v>
      </c>
      <c r="G37" s="226">
        <f t="shared" si="24"/>
        <v>83.333333333333329</v>
      </c>
      <c r="H37" s="435"/>
      <c r="I37" s="225">
        <f t="shared" si="25"/>
        <v>14</v>
      </c>
      <c r="J37" s="225">
        <f t="shared" si="25"/>
        <v>1079.75</v>
      </c>
      <c r="K37" s="226">
        <f t="shared" si="25"/>
        <v>77.16157280219781</v>
      </c>
      <c r="L37" s="435"/>
      <c r="M37" s="227">
        <f>RANK(K37, K$30:$K$47)</f>
        <v>9</v>
      </c>
      <c r="N37" s="419"/>
      <c r="O37" s="419"/>
      <c r="P37" s="225">
        <v>13</v>
      </c>
      <c r="Q37" s="225">
        <v>1124</v>
      </c>
      <c r="R37" s="226">
        <f t="shared" si="26"/>
        <v>86.461538461538467</v>
      </c>
      <c r="S37" s="224">
        <f t="shared" si="27"/>
        <v>7</v>
      </c>
      <c r="T37" s="432"/>
      <c r="U37" s="225">
        <v>14</v>
      </c>
      <c r="V37" s="225">
        <v>1061</v>
      </c>
      <c r="W37" s="226">
        <f t="shared" si="28"/>
        <v>75.785714285714292</v>
      </c>
      <c r="X37" s="224">
        <f t="shared" si="29"/>
        <v>10</v>
      </c>
      <c r="Y37" s="432"/>
      <c r="Z37" s="225">
        <v>16</v>
      </c>
      <c r="AA37" s="225">
        <v>1231</v>
      </c>
      <c r="AB37" s="226">
        <f t="shared" si="30"/>
        <v>76.9375</v>
      </c>
      <c r="AC37" s="224">
        <f t="shared" si="31"/>
        <v>9</v>
      </c>
      <c r="AD37" s="432"/>
      <c r="AE37" s="225">
        <v>13</v>
      </c>
      <c r="AF37" s="225">
        <v>903</v>
      </c>
      <c r="AG37" s="226">
        <f t="shared" si="32"/>
        <v>69.461538461538467</v>
      </c>
      <c r="AH37" s="224">
        <f t="shared" si="33"/>
        <v>13</v>
      </c>
      <c r="AI37" s="432"/>
      <c r="AJ37" s="225"/>
      <c r="AK37" s="225"/>
      <c r="AL37" s="226"/>
      <c r="AM37" s="224"/>
      <c r="AN37" s="432"/>
      <c r="AO37" s="225"/>
      <c r="AP37" s="225"/>
      <c r="AQ37" s="226"/>
      <c r="AR37" s="224"/>
      <c r="AS37" s="432"/>
      <c r="AT37" s="225"/>
      <c r="AU37" s="225"/>
      <c r="AV37" s="226"/>
      <c r="AW37" s="224"/>
      <c r="AX37" s="432"/>
    </row>
    <row r="38" spans="2:50">
      <c r="B38" s="427"/>
      <c r="C38" s="224">
        <v>9</v>
      </c>
      <c r="D38" s="224" t="s">
        <v>361</v>
      </c>
      <c r="E38" s="225">
        <f>VLOOKUP(D38,'10產線配置圖'!$A$2:$C$25,2,0)</f>
        <v>18</v>
      </c>
      <c r="F38" s="225">
        <f>VLOOKUP(D38,'10產線配置圖'!$A$2:$C$25,3,0)</f>
        <v>1385</v>
      </c>
      <c r="G38" s="226">
        <f t="shared" si="24"/>
        <v>76.944444444444443</v>
      </c>
      <c r="H38" s="435"/>
      <c r="I38" s="225">
        <f t="shared" si="25"/>
        <v>15.428571428571429</v>
      </c>
      <c r="J38" s="225">
        <f t="shared" si="25"/>
        <v>1088</v>
      </c>
      <c r="K38" s="226">
        <f t="shared" si="25"/>
        <v>70.528798185941042</v>
      </c>
      <c r="L38" s="435"/>
      <c r="M38" s="227">
        <f>RANK(K38, K$30:$K$47)</f>
        <v>13</v>
      </c>
      <c r="N38" s="419"/>
      <c r="O38" s="419"/>
      <c r="P38" s="225">
        <v>15</v>
      </c>
      <c r="Q38" s="225">
        <v>1158</v>
      </c>
      <c r="R38" s="226">
        <f t="shared" si="26"/>
        <v>77.2</v>
      </c>
      <c r="S38" s="224">
        <f t="shared" si="27"/>
        <v>11</v>
      </c>
      <c r="T38" s="432"/>
      <c r="U38" s="225">
        <v>15</v>
      </c>
      <c r="V38" s="225">
        <v>1008</v>
      </c>
      <c r="W38" s="226">
        <f t="shared" si="28"/>
        <v>67.2</v>
      </c>
      <c r="X38" s="224">
        <f t="shared" si="29"/>
        <v>13</v>
      </c>
      <c r="Y38" s="432"/>
      <c r="Z38" s="225">
        <v>18</v>
      </c>
      <c r="AA38" s="225">
        <v>1268</v>
      </c>
      <c r="AB38" s="226">
        <f t="shared" si="30"/>
        <v>70.444444444444443</v>
      </c>
      <c r="AC38" s="224">
        <f t="shared" si="31"/>
        <v>12</v>
      </c>
      <c r="AD38" s="432"/>
      <c r="AE38" s="225">
        <v>14</v>
      </c>
      <c r="AF38" s="225">
        <v>986</v>
      </c>
      <c r="AG38" s="226">
        <f t="shared" si="32"/>
        <v>70.428571428571431</v>
      </c>
      <c r="AH38" s="224">
        <f t="shared" si="33"/>
        <v>11</v>
      </c>
      <c r="AI38" s="432"/>
      <c r="AJ38" s="225">
        <v>14</v>
      </c>
      <c r="AK38" s="225">
        <v>972</v>
      </c>
      <c r="AL38" s="226">
        <f t="shared" si="34"/>
        <v>69.428571428571431</v>
      </c>
      <c r="AM38" s="224">
        <f t="shared" si="35"/>
        <v>10</v>
      </c>
      <c r="AN38" s="432"/>
      <c r="AO38" s="225">
        <v>16</v>
      </c>
      <c r="AP38" s="225">
        <v>1101</v>
      </c>
      <c r="AQ38" s="226">
        <f t="shared" si="36"/>
        <v>68.8125</v>
      </c>
      <c r="AR38" s="224">
        <f t="shared" si="37"/>
        <v>8</v>
      </c>
      <c r="AS38" s="432"/>
      <c r="AT38" s="225">
        <v>16</v>
      </c>
      <c r="AU38" s="225">
        <v>1123</v>
      </c>
      <c r="AV38" s="226">
        <f t="shared" si="38"/>
        <v>70.1875</v>
      </c>
      <c r="AW38" s="224">
        <f t="shared" si="39"/>
        <v>10</v>
      </c>
      <c r="AX38" s="432"/>
    </row>
    <row r="39" spans="2:50">
      <c r="B39" s="427"/>
      <c r="C39" s="224">
        <v>10</v>
      </c>
      <c r="D39" s="224" t="s">
        <v>382</v>
      </c>
      <c r="E39" s="225">
        <f>VLOOKUP(D39,'10產線配置圖'!$A$2:$C$25,2,0)</f>
        <v>17</v>
      </c>
      <c r="F39" s="225">
        <f>VLOOKUP(D39,'10產線配置圖'!$A$2:$C$25,3,0)</f>
        <v>1565</v>
      </c>
      <c r="G39" s="226">
        <f t="shared" si="24"/>
        <v>92.058823529411768</v>
      </c>
      <c r="H39" s="435"/>
      <c r="I39" s="225">
        <f t="shared" si="25"/>
        <v>15.428571428571429</v>
      </c>
      <c r="J39" s="225">
        <f t="shared" si="25"/>
        <v>1291.1428571428571</v>
      </c>
      <c r="K39" s="226">
        <f t="shared" si="25"/>
        <v>84.191516606642651</v>
      </c>
      <c r="L39" s="435"/>
      <c r="M39" s="227">
        <f>RANK(K39, K$30:$K$47)</f>
        <v>7</v>
      </c>
      <c r="N39" s="419"/>
      <c r="O39" s="419"/>
      <c r="P39" s="225">
        <v>15</v>
      </c>
      <c r="Q39" s="225">
        <v>1290</v>
      </c>
      <c r="R39" s="226">
        <f t="shared" si="26"/>
        <v>86</v>
      </c>
      <c r="S39" s="224">
        <f t="shared" si="27"/>
        <v>8</v>
      </c>
      <c r="T39" s="432"/>
      <c r="U39" s="225">
        <v>14</v>
      </c>
      <c r="V39" s="225">
        <v>1278</v>
      </c>
      <c r="W39" s="226">
        <f t="shared" si="28"/>
        <v>91.285714285714292</v>
      </c>
      <c r="X39" s="224">
        <f t="shared" si="29"/>
        <v>6</v>
      </c>
      <c r="Y39" s="432"/>
      <c r="Z39" s="225">
        <v>15</v>
      </c>
      <c r="AA39" s="225">
        <v>1346</v>
      </c>
      <c r="AB39" s="226">
        <f t="shared" si="30"/>
        <v>89.733333333333334</v>
      </c>
      <c r="AC39" s="224">
        <f t="shared" si="31"/>
        <v>6</v>
      </c>
      <c r="AD39" s="432"/>
      <c r="AE39" s="225">
        <v>15</v>
      </c>
      <c r="AF39" s="225">
        <v>1329</v>
      </c>
      <c r="AG39" s="226">
        <f t="shared" si="32"/>
        <v>88.6</v>
      </c>
      <c r="AH39" s="224">
        <f t="shared" si="33"/>
        <v>6</v>
      </c>
      <c r="AI39" s="432"/>
      <c r="AJ39" s="225">
        <v>15</v>
      </c>
      <c r="AK39" s="225">
        <v>1337</v>
      </c>
      <c r="AL39" s="226">
        <f t="shared" si="34"/>
        <v>89.13333333333334</v>
      </c>
      <c r="AM39" s="224">
        <f t="shared" si="35"/>
        <v>5</v>
      </c>
      <c r="AN39" s="432"/>
      <c r="AO39" s="225">
        <v>17</v>
      </c>
      <c r="AP39" s="225">
        <v>1087</v>
      </c>
      <c r="AQ39" s="226">
        <f t="shared" si="36"/>
        <v>63.941176470588232</v>
      </c>
      <c r="AR39" s="224">
        <f t="shared" si="37"/>
        <v>10</v>
      </c>
      <c r="AS39" s="432"/>
      <c r="AT39" s="225">
        <v>17</v>
      </c>
      <c r="AU39" s="225">
        <v>1371</v>
      </c>
      <c r="AV39" s="226">
        <f t="shared" si="38"/>
        <v>80.647058823529406</v>
      </c>
      <c r="AW39" s="224">
        <f t="shared" si="39"/>
        <v>6</v>
      </c>
      <c r="AX39" s="432"/>
    </row>
    <row r="40" spans="2:50">
      <c r="B40" s="427"/>
      <c r="C40" s="224">
        <v>11</v>
      </c>
      <c r="D40" s="224" t="s">
        <v>472</v>
      </c>
      <c r="E40" s="225">
        <f>VLOOKUP(D40,'10產線配置圖'!$A$2:$C$25,2,0)</f>
        <v>15</v>
      </c>
      <c r="F40" s="225">
        <f>VLOOKUP(D40,'10產線配置圖'!$A$2:$C$25,3,0)</f>
        <v>1565</v>
      </c>
      <c r="G40" s="226">
        <f t="shared" si="24"/>
        <v>104.33333333333333</v>
      </c>
      <c r="H40" s="435"/>
      <c r="I40" s="225">
        <f t="shared" si="25"/>
        <v>14.571428571428571</v>
      </c>
      <c r="J40" s="225">
        <f t="shared" si="25"/>
        <v>1075.1428571428571</v>
      </c>
      <c r="K40" s="226">
        <f t="shared" si="25"/>
        <v>73.950914981377181</v>
      </c>
      <c r="L40" s="435"/>
      <c r="M40" s="227">
        <f>RANK(K40, K$30:$K$47)</f>
        <v>11</v>
      </c>
      <c r="N40" s="419"/>
      <c r="O40" s="419"/>
      <c r="P40" s="224">
        <v>13</v>
      </c>
      <c r="Q40" s="224">
        <v>1001</v>
      </c>
      <c r="R40" s="226">
        <f>Q40/P40</f>
        <v>77</v>
      </c>
      <c r="S40" s="224">
        <f t="shared" si="27"/>
        <v>12</v>
      </c>
      <c r="T40" s="432"/>
      <c r="U40" s="224">
        <v>13</v>
      </c>
      <c r="V40" s="224">
        <v>963</v>
      </c>
      <c r="W40" s="226">
        <f>V40/U40</f>
        <v>74.07692307692308</v>
      </c>
      <c r="X40" s="224">
        <f t="shared" si="29"/>
        <v>11</v>
      </c>
      <c r="Y40" s="432"/>
      <c r="Z40" s="224">
        <v>14</v>
      </c>
      <c r="AA40" s="224">
        <v>1038</v>
      </c>
      <c r="AB40" s="226">
        <f>AA40/Z40</f>
        <v>74.142857142857139</v>
      </c>
      <c r="AC40" s="224">
        <f t="shared" si="31"/>
        <v>10</v>
      </c>
      <c r="AD40" s="432"/>
      <c r="AE40" s="224">
        <v>14</v>
      </c>
      <c r="AF40" s="224">
        <v>1044</v>
      </c>
      <c r="AG40" s="226">
        <f>AF40/AE40</f>
        <v>74.571428571428569</v>
      </c>
      <c r="AH40" s="224">
        <f t="shared" si="33"/>
        <v>10</v>
      </c>
      <c r="AI40" s="432"/>
      <c r="AJ40" s="224">
        <v>15</v>
      </c>
      <c r="AK40" s="224">
        <v>1105</v>
      </c>
      <c r="AL40" s="226">
        <f>AK40/AJ40</f>
        <v>73.666666666666671</v>
      </c>
      <c r="AM40" s="224">
        <f t="shared" si="35"/>
        <v>8</v>
      </c>
      <c r="AN40" s="432"/>
      <c r="AO40" s="224">
        <v>17</v>
      </c>
      <c r="AP40" s="224">
        <v>1153</v>
      </c>
      <c r="AQ40" s="226">
        <f>AP40/AO40</f>
        <v>67.82352941176471</v>
      </c>
      <c r="AR40" s="224">
        <f t="shared" si="37"/>
        <v>9</v>
      </c>
      <c r="AS40" s="432"/>
      <c r="AT40" s="224">
        <v>16</v>
      </c>
      <c r="AU40" s="224">
        <v>1222</v>
      </c>
      <c r="AV40" s="226">
        <f>AU40/AT40</f>
        <v>76.375</v>
      </c>
      <c r="AW40" s="224">
        <f t="shared" si="39"/>
        <v>7</v>
      </c>
      <c r="AX40" s="432"/>
    </row>
    <row r="41" spans="2:50">
      <c r="B41" s="427"/>
      <c r="C41" s="224">
        <v>12</v>
      </c>
      <c r="D41" s="224" t="s">
        <v>473</v>
      </c>
      <c r="E41" s="225">
        <f>VLOOKUP(D41,'10產線配置圖'!$A$2:$C$25,2,0)</f>
        <v>18</v>
      </c>
      <c r="F41" s="225">
        <f>VLOOKUP(D41,'10產線配置圖'!$A$2:$C$25,3,0)</f>
        <v>1636</v>
      </c>
      <c r="G41" s="226">
        <f t="shared" si="24"/>
        <v>90.888888888888886</v>
      </c>
      <c r="H41" s="435"/>
      <c r="I41" s="225">
        <f t="shared" si="25"/>
        <v>15.285714285714286</v>
      </c>
      <c r="J41" s="225">
        <f t="shared" si="25"/>
        <v>1175.8571428571429</v>
      </c>
      <c r="K41" s="226">
        <f t="shared" si="25"/>
        <v>77.156440653184362</v>
      </c>
      <c r="L41" s="435"/>
      <c r="M41" s="227">
        <f>RANK(K41, K$30:$K$47)</f>
        <v>10</v>
      </c>
      <c r="N41" s="419"/>
      <c r="O41" s="419"/>
      <c r="P41" s="224">
        <v>13</v>
      </c>
      <c r="Q41" s="224">
        <v>1097</v>
      </c>
      <c r="R41" s="226">
        <f t="shared" ref="R41:R42" si="40">Q41/P41</f>
        <v>84.384615384615387</v>
      </c>
      <c r="S41" s="224">
        <f t="shared" si="27"/>
        <v>10</v>
      </c>
      <c r="T41" s="432"/>
      <c r="U41" s="224">
        <v>15</v>
      </c>
      <c r="V41" s="224">
        <v>1354</v>
      </c>
      <c r="W41" s="226">
        <f t="shared" ref="W41:W42" si="41">V41/U41</f>
        <v>90.266666666666666</v>
      </c>
      <c r="X41" s="224">
        <f t="shared" si="29"/>
        <v>7</v>
      </c>
      <c r="Y41" s="432"/>
      <c r="Z41" s="224">
        <v>17</v>
      </c>
      <c r="AA41" s="224">
        <v>1249</v>
      </c>
      <c r="AB41" s="226">
        <f t="shared" ref="AB41:AB42" si="42">AA41/Z41</f>
        <v>73.470588235294116</v>
      </c>
      <c r="AC41" s="224">
        <f t="shared" si="31"/>
        <v>11</v>
      </c>
      <c r="AD41" s="432"/>
      <c r="AE41" s="224">
        <v>14</v>
      </c>
      <c r="AF41" s="224">
        <v>984</v>
      </c>
      <c r="AG41" s="226">
        <f t="shared" ref="AG41:AG42" si="43">AF41/AE41</f>
        <v>70.285714285714292</v>
      </c>
      <c r="AH41" s="224">
        <f t="shared" si="33"/>
        <v>12</v>
      </c>
      <c r="AI41" s="432"/>
      <c r="AJ41" s="224">
        <v>16</v>
      </c>
      <c r="AK41" s="224">
        <v>1116</v>
      </c>
      <c r="AL41" s="226">
        <f t="shared" ref="AL41:AL42" si="44">AK41/AJ41</f>
        <v>69.75</v>
      </c>
      <c r="AM41" s="224">
        <f t="shared" si="35"/>
        <v>9</v>
      </c>
      <c r="AN41" s="432"/>
      <c r="AO41" s="224">
        <v>16</v>
      </c>
      <c r="AP41" s="224">
        <v>1258</v>
      </c>
      <c r="AQ41" s="226">
        <f t="shared" ref="AQ41:AQ42" si="45">AP41/AO41</f>
        <v>78.625</v>
      </c>
      <c r="AR41" s="224">
        <f t="shared" si="37"/>
        <v>6</v>
      </c>
      <c r="AS41" s="432"/>
      <c r="AT41" s="224">
        <v>16</v>
      </c>
      <c r="AU41" s="224">
        <v>1173</v>
      </c>
      <c r="AV41" s="226">
        <f t="shared" ref="AV41:AV42" si="46">AU41/AT41</f>
        <v>73.3125</v>
      </c>
      <c r="AW41" s="224">
        <f t="shared" si="39"/>
        <v>9</v>
      </c>
      <c r="AX41" s="432"/>
    </row>
    <row r="42" spans="2:50">
      <c r="B42" s="427"/>
      <c r="C42" s="224">
        <v>13</v>
      </c>
      <c r="D42" s="224" t="s">
        <v>560</v>
      </c>
      <c r="E42" s="225">
        <f>VLOOKUP(D42,'10產線配置圖'!$A$2:$C$25,2,0)</f>
        <v>19</v>
      </c>
      <c r="F42" s="225">
        <f>VLOOKUP(D42,'10產線配置圖'!$A$2:$C$25,3,0)</f>
        <v>1600</v>
      </c>
      <c r="G42" s="226">
        <f t="shared" si="24"/>
        <v>84.21052631578948</v>
      </c>
      <c r="H42" s="435"/>
      <c r="I42" s="225">
        <f t="shared" si="25"/>
        <v>17.714285714285715</v>
      </c>
      <c r="J42" s="225">
        <f t="shared" si="25"/>
        <v>1414.5714285714287</v>
      </c>
      <c r="K42" s="226">
        <f t="shared" si="25"/>
        <v>80.073664553540723</v>
      </c>
      <c r="L42" s="435"/>
      <c r="M42" s="227">
        <f>RANK(K42, K$30:$K$47)</f>
        <v>8</v>
      </c>
      <c r="N42" s="419"/>
      <c r="O42" s="419"/>
      <c r="P42" s="224">
        <v>17</v>
      </c>
      <c r="Q42" s="224">
        <v>1443</v>
      </c>
      <c r="R42" s="226">
        <f t="shared" si="40"/>
        <v>84.882352941176464</v>
      </c>
      <c r="S42" s="224">
        <f t="shared" si="27"/>
        <v>9</v>
      </c>
      <c r="T42" s="432"/>
      <c r="U42" s="224">
        <v>17</v>
      </c>
      <c r="V42" s="224">
        <v>1485</v>
      </c>
      <c r="W42" s="226">
        <f t="shared" si="41"/>
        <v>87.352941176470594</v>
      </c>
      <c r="X42" s="224">
        <f t="shared" si="29"/>
        <v>8</v>
      </c>
      <c r="Y42" s="432"/>
      <c r="Z42" s="224">
        <v>17</v>
      </c>
      <c r="AA42" s="224">
        <v>1478</v>
      </c>
      <c r="AB42" s="226">
        <f t="shared" si="42"/>
        <v>86.941176470588232</v>
      </c>
      <c r="AC42" s="224">
        <f t="shared" si="31"/>
        <v>7</v>
      </c>
      <c r="AD42" s="432"/>
      <c r="AE42" s="224">
        <v>18</v>
      </c>
      <c r="AF42" s="224">
        <v>1419</v>
      </c>
      <c r="AG42" s="226">
        <f t="shared" si="43"/>
        <v>78.833333333333329</v>
      </c>
      <c r="AH42" s="224">
        <f t="shared" si="33"/>
        <v>8</v>
      </c>
      <c r="AI42" s="432"/>
      <c r="AJ42" s="224">
        <v>18</v>
      </c>
      <c r="AK42" s="224">
        <v>1369</v>
      </c>
      <c r="AL42" s="226">
        <f t="shared" si="44"/>
        <v>76.055555555555557</v>
      </c>
      <c r="AM42" s="224">
        <f t="shared" si="35"/>
        <v>7</v>
      </c>
      <c r="AN42" s="432"/>
      <c r="AO42" s="224">
        <v>19</v>
      </c>
      <c r="AP42" s="224">
        <v>1366</v>
      </c>
      <c r="AQ42" s="226">
        <f t="shared" si="45"/>
        <v>71.89473684210526</v>
      </c>
      <c r="AR42" s="224">
        <f t="shared" si="37"/>
        <v>7</v>
      </c>
      <c r="AS42" s="432"/>
      <c r="AT42" s="224">
        <v>18</v>
      </c>
      <c r="AU42" s="224">
        <v>1342</v>
      </c>
      <c r="AV42" s="226">
        <f t="shared" si="46"/>
        <v>74.555555555555557</v>
      </c>
      <c r="AW42" s="224">
        <f t="shared" si="39"/>
        <v>8</v>
      </c>
      <c r="AX42" s="432"/>
    </row>
    <row r="43" spans="2:50">
      <c r="B43" s="427"/>
      <c r="C43" s="224">
        <v>14</v>
      </c>
      <c r="D43" s="224" t="s">
        <v>462</v>
      </c>
      <c r="E43" s="225">
        <f>VLOOKUP(D43,'10產線配置圖'!$A$2:$C$25,2,0)</f>
        <v>17</v>
      </c>
      <c r="F43" s="225">
        <f>VLOOKUP(D43,'10產線配置圖'!$A$2:$C$25,3,0)</f>
        <v>1636</v>
      </c>
      <c r="G43" s="226">
        <f t="shared" si="24"/>
        <v>96.235294117647058</v>
      </c>
      <c r="H43" s="435"/>
      <c r="I43" s="225"/>
      <c r="J43" s="225"/>
      <c r="K43" s="226"/>
      <c r="L43" s="435"/>
      <c r="M43" s="227"/>
      <c r="N43" s="419"/>
      <c r="O43" s="419"/>
      <c r="P43" s="224"/>
      <c r="Q43" s="224"/>
      <c r="R43" s="226"/>
      <c r="S43" s="224"/>
      <c r="T43" s="432"/>
      <c r="U43" s="224"/>
      <c r="V43" s="224"/>
      <c r="W43" s="226"/>
      <c r="X43" s="224"/>
      <c r="Y43" s="432"/>
      <c r="Z43" s="224"/>
      <c r="AA43" s="224"/>
      <c r="AB43" s="226"/>
      <c r="AC43" s="224"/>
      <c r="AD43" s="432"/>
      <c r="AE43" s="224"/>
      <c r="AF43" s="224"/>
      <c r="AG43" s="226"/>
      <c r="AH43" s="224"/>
      <c r="AI43" s="432"/>
      <c r="AJ43" s="224"/>
      <c r="AK43" s="224"/>
      <c r="AL43" s="226"/>
      <c r="AM43" s="224"/>
      <c r="AN43" s="432"/>
      <c r="AO43" s="224"/>
      <c r="AP43" s="224"/>
      <c r="AQ43" s="226"/>
      <c r="AR43" s="224"/>
      <c r="AS43" s="432"/>
      <c r="AT43" s="224"/>
      <c r="AU43" s="224"/>
      <c r="AV43" s="226"/>
      <c r="AW43" s="224"/>
      <c r="AX43" s="432"/>
    </row>
    <row r="44" spans="2:50">
      <c r="B44" s="427"/>
      <c r="C44" s="224">
        <v>15</v>
      </c>
      <c r="D44" s="224"/>
      <c r="E44" s="225"/>
      <c r="F44" s="225"/>
      <c r="G44" s="226"/>
      <c r="H44" s="435"/>
      <c r="I44" s="224"/>
      <c r="J44" s="225"/>
      <c r="K44" s="226"/>
      <c r="L44" s="435"/>
      <c r="M44" s="225"/>
      <c r="N44" s="419"/>
      <c r="O44" s="419"/>
      <c r="P44" s="224"/>
      <c r="Q44" s="224"/>
      <c r="R44" s="226"/>
      <c r="S44" s="224"/>
      <c r="T44" s="432"/>
      <c r="U44" s="224"/>
      <c r="V44" s="224"/>
      <c r="W44" s="226"/>
      <c r="X44" s="224"/>
      <c r="Y44" s="432"/>
      <c r="Z44" s="224"/>
      <c r="AA44" s="224"/>
      <c r="AB44" s="226"/>
      <c r="AC44" s="224"/>
      <c r="AD44" s="432"/>
      <c r="AE44" s="224"/>
      <c r="AF44" s="224"/>
      <c r="AG44" s="226"/>
      <c r="AH44" s="224"/>
      <c r="AI44" s="432"/>
      <c r="AJ44" s="224"/>
      <c r="AK44" s="224"/>
      <c r="AL44" s="226"/>
      <c r="AM44" s="224"/>
      <c r="AN44" s="432"/>
      <c r="AO44" s="224"/>
      <c r="AP44" s="224"/>
      <c r="AQ44" s="226"/>
      <c r="AR44" s="224"/>
      <c r="AS44" s="432"/>
      <c r="AT44" s="224"/>
      <c r="AU44" s="224"/>
      <c r="AV44" s="226"/>
      <c r="AW44" s="224"/>
      <c r="AX44" s="432"/>
    </row>
    <row r="45" spans="2:50">
      <c r="B45" s="427"/>
      <c r="C45" s="224">
        <v>16</v>
      </c>
      <c r="D45" s="224"/>
      <c r="E45" s="225"/>
      <c r="F45" s="225"/>
      <c r="G45" s="226"/>
      <c r="H45" s="435"/>
      <c r="I45" s="224"/>
      <c r="J45" s="224"/>
      <c r="K45" s="224"/>
      <c r="L45" s="435"/>
      <c r="M45" s="225"/>
      <c r="N45" s="419"/>
      <c r="O45" s="419"/>
      <c r="P45" s="224"/>
      <c r="Q45" s="224"/>
      <c r="R45" s="224"/>
      <c r="S45" s="224"/>
      <c r="T45" s="432"/>
      <c r="U45" s="224"/>
      <c r="V45" s="224"/>
      <c r="W45" s="226"/>
      <c r="X45" s="224"/>
      <c r="Y45" s="432"/>
      <c r="Z45" s="224"/>
      <c r="AA45" s="224"/>
      <c r="AB45" s="224"/>
      <c r="AC45" s="224"/>
      <c r="AD45" s="432"/>
      <c r="AE45" s="224"/>
      <c r="AF45" s="224"/>
      <c r="AG45" s="224"/>
      <c r="AH45" s="224"/>
      <c r="AI45" s="432"/>
      <c r="AJ45" s="224"/>
      <c r="AK45" s="224"/>
      <c r="AL45" s="224"/>
      <c r="AM45" s="224"/>
      <c r="AN45" s="432"/>
      <c r="AO45" s="224"/>
      <c r="AP45" s="224"/>
      <c r="AQ45" s="226"/>
      <c r="AR45" s="224"/>
      <c r="AS45" s="432"/>
      <c r="AT45" s="224"/>
      <c r="AU45" s="224"/>
      <c r="AV45" s="226"/>
      <c r="AW45" s="224"/>
      <c r="AX45" s="432"/>
    </row>
    <row r="46" spans="2:50">
      <c r="B46" s="427"/>
      <c r="C46" s="224">
        <v>17</v>
      </c>
      <c r="D46" s="224"/>
      <c r="E46" s="225"/>
      <c r="F46" s="225"/>
      <c r="G46" s="226"/>
      <c r="H46" s="435"/>
      <c r="I46" s="224"/>
      <c r="J46" s="224"/>
      <c r="K46" s="224"/>
      <c r="L46" s="435"/>
      <c r="M46" s="225"/>
      <c r="N46" s="419"/>
      <c r="O46" s="419"/>
      <c r="P46" s="224"/>
      <c r="Q46" s="224"/>
      <c r="R46" s="224"/>
      <c r="S46" s="224"/>
      <c r="T46" s="432"/>
      <c r="U46" s="224"/>
      <c r="V46" s="224"/>
      <c r="W46" s="226"/>
      <c r="X46" s="224"/>
      <c r="Y46" s="432"/>
      <c r="Z46" s="224"/>
      <c r="AA46" s="224"/>
      <c r="AB46" s="224"/>
      <c r="AC46" s="224"/>
      <c r="AD46" s="432"/>
      <c r="AE46" s="224"/>
      <c r="AF46" s="224"/>
      <c r="AG46" s="224"/>
      <c r="AH46" s="224"/>
      <c r="AI46" s="432"/>
      <c r="AJ46" s="224"/>
      <c r="AK46" s="224"/>
      <c r="AL46" s="224"/>
      <c r="AM46" s="224"/>
      <c r="AN46" s="432"/>
      <c r="AO46" s="224"/>
      <c r="AP46" s="224"/>
      <c r="AQ46" s="224"/>
      <c r="AR46" s="224"/>
      <c r="AS46" s="432"/>
      <c r="AT46" s="224"/>
      <c r="AU46" s="224"/>
      <c r="AV46" s="226"/>
      <c r="AW46" s="224"/>
      <c r="AX46" s="432"/>
    </row>
    <row r="47" spans="2:50">
      <c r="B47" s="427"/>
      <c r="C47" s="224">
        <v>18</v>
      </c>
      <c r="D47" s="224"/>
      <c r="E47" s="225"/>
      <c r="F47" s="225"/>
      <c r="G47" s="226"/>
      <c r="H47" s="436"/>
      <c r="I47" s="224"/>
      <c r="J47" s="224"/>
      <c r="K47" s="224"/>
      <c r="L47" s="436"/>
      <c r="M47" s="225"/>
      <c r="N47" s="419"/>
      <c r="O47" s="419"/>
      <c r="P47" s="224"/>
      <c r="Q47" s="224"/>
      <c r="R47" s="224"/>
      <c r="S47" s="224"/>
      <c r="T47" s="432"/>
      <c r="U47" s="224"/>
      <c r="V47" s="224"/>
      <c r="W47" s="226"/>
      <c r="X47" s="224"/>
      <c r="Y47" s="432"/>
      <c r="Z47" s="224"/>
      <c r="AA47" s="224"/>
      <c r="AB47" s="224"/>
      <c r="AC47" s="224"/>
      <c r="AD47" s="432"/>
      <c r="AE47" s="224"/>
      <c r="AF47" s="224"/>
      <c r="AG47" s="224"/>
      <c r="AH47" s="224"/>
      <c r="AI47" s="432"/>
      <c r="AJ47" s="224"/>
      <c r="AK47" s="224"/>
      <c r="AL47" s="224"/>
      <c r="AM47" s="224"/>
      <c r="AN47" s="432"/>
      <c r="AO47" s="224"/>
      <c r="AP47" s="224"/>
      <c r="AQ47" s="224"/>
      <c r="AR47" s="224"/>
      <c r="AS47" s="432"/>
      <c r="AT47" s="224"/>
      <c r="AU47" s="224"/>
      <c r="AV47" s="226"/>
      <c r="AW47" s="224"/>
      <c r="AX47" s="432"/>
    </row>
    <row r="48" spans="2:50" ht="15.75">
      <c r="B48" s="437" t="s">
        <v>384</v>
      </c>
      <c r="C48" s="438"/>
      <c r="D48" s="438"/>
      <c r="E48" s="438"/>
      <c r="F48" s="438"/>
      <c r="G48" s="438"/>
      <c r="H48" s="438"/>
      <c r="I48" s="229"/>
      <c r="J48" s="218"/>
      <c r="K48" s="229"/>
      <c r="L48" s="229"/>
      <c r="M48" s="219"/>
      <c r="N48" s="413" t="s">
        <v>385</v>
      </c>
      <c r="O48" s="413" t="s">
        <v>386</v>
      </c>
      <c r="P48" s="426">
        <v>45944</v>
      </c>
      <c r="Q48" s="427"/>
      <c r="R48" s="427"/>
      <c r="S48" s="427"/>
      <c r="T48" s="427"/>
      <c r="U48" s="426">
        <v>45945</v>
      </c>
      <c r="V48" s="427"/>
      <c r="W48" s="427"/>
      <c r="X48" s="427"/>
      <c r="Y48" s="427"/>
      <c r="Z48" s="426">
        <v>45946</v>
      </c>
      <c r="AA48" s="427"/>
      <c r="AB48" s="427"/>
      <c r="AC48" s="427"/>
      <c r="AD48" s="427"/>
      <c r="AE48" s="426">
        <v>45947</v>
      </c>
      <c r="AF48" s="427"/>
      <c r="AG48" s="427"/>
      <c r="AH48" s="427"/>
      <c r="AI48" s="427"/>
      <c r="AJ48" s="426">
        <v>45948</v>
      </c>
      <c r="AK48" s="427"/>
      <c r="AL48" s="427"/>
      <c r="AM48" s="427"/>
      <c r="AN48" s="427"/>
      <c r="AO48" s="426">
        <v>45949</v>
      </c>
      <c r="AP48" s="427"/>
      <c r="AQ48" s="427"/>
      <c r="AR48" s="427"/>
      <c r="AS48" s="427"/>
      <c r="AT48" s="426">
        <v>45950</v>
      </c>
      <c r="AU48" s="427"/>
      <c r="AV48" s="427"/>
      <c r="AW48" s="427"/>
      <c r="AX48" s="427"/>
    </row>
    <row r="49" spans="2:50" ht="15.75">
      <c r="B49" s="425"/>
      <c r="C49" s="425"/>
      <c r="D49" s="425"/>
      <c r="E49" s="425"/>
      <c r="F49" s="425"/>
      <c r="G49" s="425"/>
      <c r="H49" s="425"/>
      <c r="I49" s="220"/>
      <c r="J49" s="220"/>
      <c r="K49" s="220"/>
      <c r="L49" s="220"/>
      <c r="M49" s="221"/>
      <c r="N49" s="415"/>
      <c r="O49" s="415"/>
      <c r="P49" s="426" t="s">
        <v>387</v>
      </c>
      <c r="Q49" s="427"/>
      <c r="R49" s="427"/>
      <c r="S49" s="427"/>
      <c r="T49" s="427"/>
      <c r="U49" s="426" t="s">
        <v>388</v>
      </c>
      <c r="V49" s="427"/>
      <c r="W49" s="427"/>
      <c r="X49" s="427"/>
      <c r="Y49" s="427"/>
      <c r="Z49" s="426" t="s">
        <v>389</v>
      </c>
      <c r="AA49" s="427"/>
      <c r="AB49" s="427"/>
      <c r="AC49" s="427"/>
      <c r="AD49" s="427"/>
      <c r="AE49" s="426" t="s">
        <v>390</v>
      </c>
      <c r="AF49" s="427"/>
      <c r="AG49" s="427"/>
      <c r="AH49" s="427"/>
      <c r="AI49" s="427"/>
      <c r="AJ49" s="426" t="s">
        <v>415</v>
      </c>
      <c r="AK49" s="427"/>
      <c r="AL49" s="427"/>
      <c r="AM49" s="427"/>
      <c r="AN49" s="427"/>
      <c r="AO49" s="426" t="s">
        <v>392</v>
      </c>
      <c r="AP49" s="427"/>
      <c r="AQ49" s="427"/>
      <c r="AR49" s="427"/>
      <c r="AS49" s="427"/>
      <c r="AT49" s="426" t="s">
        <v>393</v>
      </c>
      <c r="AU49" s="427"/>
      <c r="AV49" s="427"/>
      <c r="AW49" s="427"/>
      <c r="AX49" s="427"/>
    </row>
    <row r="50" spans="2:50">
      <c r="B50" s="419" t="s">
        <v>394</v>
      </c>
      <c r="C50" s="419" t="s">
        <v>395</v>
      </c>
      <c r="D50" s="419"/>
      <c r="E50" s="419" t="s">
        <v>396</v>
      </c>
      <c r="F50" s="419"/>
      <c r="G50" s="419"/>
      <c r="H50" s="420" t="s">
        <v>397</v>
      </c>
      <c r="I50" s="419" t="s">
        <v>398</v>
      </c>
      <c r="J50" s="419"/>
      <c r="K50" s="419"/>
      <c r="L50" s="420" t="s">
        <v>397</v>
      </c>
      <c r="M50" s="413" t="s">
        <v>399</v>
      </c>
      <c r="N50" s="419"/>
      <c r="O50" s="419" t="s">
        <v>400</v>
      </c>
      <c r="P50" s="416" t="s">
        <v>401</v>
      </c>
      <c r="Q50" s="417"/>
      <c r="R50" s="417"/>
      <c r="S50" s="418"/>
      <c r="T50" s="419" t="s">
        <v>403</v>
      </c>
      <c r="U50" s="416" t="s">
        <v>401</v>
      </c>
      <c r="V50" s="417"/>
      <c r="W50" s="417"/>
      <c r="X50" s="418"/>
      <c r="Y50" s="419" t="s">
        <v>397</v>
      </c>
      <c r="Z50" s="416" t="s">
        <v>401</v>
      </c>
      <c r="AA50" s="417"/>
      <c r="AB50" s="417"/>
      <c r="AC50" s="418"/>
      <c r="AD50" s="419" t="s">
        <v>397</v>
      </c>
      <c r="AE50" s="416" t="s">
        <v>401</v>
      </c>
      <c r="AF50" s="417"/>
      <c r="AG50" s="417"/>
      <c r="AH50" s="418"/>
      <c r="AI50" s="419" t="s">
        <v>397</v>
      </c>
      <c r="AJ50" s="416" t="s">
        <v>401</v>
      </c>
      <c r="AK50" s="417"/>
      <c r="AL50" s="417"/>
      <c r="AM50" s="418"/>
      <c r="AN50" s="419" t="s">
        <v>397</v>
      </c>
      <c r="AO50" s="416" t="s">
        <v>401</v>
      </c>
      <c r="AP50" s="417"/>
      <c r="AQ50" s="417"/>
      <c r="AR50" s="418"/>
      <c r="AS50" s="419" t="s">
        <v>397</v>
      </c>
      <c r="AT50" s="416" t="s">
        <v>401</v>
      </c>
      <c r="AU50" s="417"/>
      <c r="AV50" s="417"/>
      <c r="AW50" s="418"/>
      <c r="AX50" s="419" t="s">
        <v>397</v>
      </c>
    </row>
    <row r="51" spans="2:50">
      <c r="B51" s="419"/>
      <c r="C51" s="419"/>
      <c r="D51" s="419"/>
      <c r="E51" s="419" t="s">
        <v>404</v>
      </c>
      <c r="F51" s="419"/>
      <c r="G51" s="419"/>
      <c r="H51" s="421"/>
      <c r="I51" s="419" t="s">
        <v>419</v>
      </c>
      <c r="J51" s="419"/>
      <c r="K51" s="419"/>
      <c r="L51" s="421"/>
      <c r="M51" s="414"/>
      <c r="N51" s="419"/>
      <c r="O51" s="419"/>
      <c r="P51" s="416" t="s">
        <v>406</v>
      </c>
      <c r="Q51" s="417"/>
      <c r="R51" s="417"/>
      <c r="S51" s="418"/>
      <c r="T51" s="419"/>
      <c r="U51" s="416" t="s">
        <v>405</v>
      </c>
      <c r="V51" s="417"/>
      <c r="W51" s="417"/>
      <c r="X51" s="418"/>
      <c r="Y51" s="419"/>
      <c r="Z51" s="416" t="s">
        <v>405</v>
      </c>
      <c r="AA51" s="417"/>
      <c r="AB51" s="417"/>
      <c r="AC51" s="418"/>
      <c r="AD51" s="419"/>
      <c r="AE51" s="416" t="s">
        <v>405</v>
      </c>
      <c r="AF51" s="417"/>
      <c r="AG51" s="417"/>
      <c r="AH51" s="418"/>
      <c r="AI51" s="419"/>
      <c r="AJ51" s="416" t="s">
        <v>405</v>
      </c>
      <c r="AK51" s="417"/>
      <c r="AL51" s="417"/>
      <c r="AM51" s="418"/>
      <c r="AN51" s="419"/>
      <c r="AO51" s="416" t="s">
        <v>405</v>
      </c>
      <c r="AP51" s="417"/>
      <c r="AQ51" s="417"/>
      <c r="AR51" s="418"/>
      <c r="AS51" s="419"/>
      <c r="AT51" s="416" t="s">
        <v>405</v>
      </c>
      <c r="AU51" s="417"/>
      <c r="AV51" s="417"/>
      <c r="AW51" s="418"/>
      <c r="AX51" s="419"/>
    </row>
    <row r="52" spans="2:50">
      <c r="B52" s="419"/>
      <c r="C52" s="419"/>
      <c r="D52" s="419"/>
      <c r="E52" s="223" t="s">
        <v>411</v>
      </c>
      <c r="F52" s="223" t="s">
        <v>408</v>
      </c>
      <c r="G52" s="223" t="s">
        <v>420</v>
      </c>
      <c r="H52" s="422"/>
      <c r="I52" s="223" t="s">
        <v>407</v>
      </c>
      <c r="J52" s="223" t="s">
        <v>410</v>
      </c>
      <c r="K52" s="223" t="s">
        <v>409</v>
      </c>
      <c r="L52" s="422"/>
      <c r="M52" s="415"/>
      <c r="N52" s="419"/>
      <c r="O52" s="419"/>
      <c r="P52" s="223" t="s">
        <v>407</v>
      </c>
      <c r="Q52" s="223" t="s">
        <v>408</v>
      </c>
      <c r="R52" s="223" t="s">
        <v>409</v>
      </c>
      <c r="S52" s="223" t="s">
        <v>399</v>
      </c>
      <c r="T52" s="419"/>
      <c r="U52" s="223" t="s">
        <v>411</v>
      </c>
      <c r="V52" s="223" t="s">
        <v>408</v>
      </c>
      <c r="W52" s="223" t="s">
        <v>409</v>
      </c>
      <c r="X52" s="223" t="s">
        <v>399</v>
      </c>
      <c r="Y52" s="419"/>
      <c r="Z52" s="223" t="s">
        <v>407</v>
      </c>
      <c r="AA52" s="223" t="s">
        <v>408</v>
      </c>
      <c r="AB52" s="223" t="s">
        <v>409</v>
      </c>
      <c r="AC52" s="223" t="s">
        <v>399</v>
      </c>
      <c r="AD52" s="419"/>
      <c r="AE52" s="223" t="s">
        <v>407</v>
      </c>
      <c r="AF52" s="223" t="s">
        <v>408</v>
      </c>
      <c r="AG52" s="223" t="s">
        <v>420</v>
      </c>
      <c r="AH52" s="223" t="s">
        <v>399</v>
      </c>
      <c r="AI52" s="419"/>
      <c r="AJ52" s="223" t="s">
        <v>407</v>
      </c>
      <c r="AK52" s="223" t="s">
        <v>408</v>
      </c>
      <c r="AL52" s="223" t="s">
        <v>409</v>
      </c>
      <c r="AM52" s="223" t="s">
        <v>399</v>
      </c>
      <c r="AN52" s="419"/>
      <c r="AO52" s="223" t="s">
        <v>411</v>
      </c>
      <c r="AP52" s="223" t="s">
        <v>408</v>
      </c>
      <c r="AQ52" s="223" t="s">
        <v>409</v>
      </c>
      <c r="AR52" s="223" t="s">
        <v>399</v>
      </c>
      <c r="AS52" s="419"/>
      <c r="AT52" s="223" t="s">
        <v>407</v>
      </c>
      <c r="AU52" s="223" t="s">
        <v>408</v>
      </c>
      <c r="AV52" s="223" t="s">
        <v>409</v>
      </c>
      <c r="AW52" s="223" t="s">
        <v>399</v>
      </c>
      <c r="AX52" s="419"/>
    </row>
    <row r="53" spans="2:50" ht="13.5">
      <c r="B53" s="427" t="s">
        <v>136</v>
      </c>
      <c r="C53" s="224">
        <v>1</v>
      </c>
      <c r="D53" s="228" t="s">
        <v>363</v>
      </c>
      <c r="E53" s="225">
        <f>VLOOKUP(D53,'10產線配置圖'!$A$2:$C$25,2,0)</f>
        <v>12</v>
      </c>
      <c r="F53" s="225">
        <f>VLOOKUP(D53,'10產線配置圖'!$A$2:$C$25,3,0)</f>
        <v>2000</v>
      </c>
      <c r="G53" s="226">
        <f>F53/E53</f>
        <v>166.66666666666666</v>
      </c>
      <c r="H53" s="434">
        <f>AVERAGE(G53:G67)</f>
        <v>109.54751468738642</v>
      </c>
      <c r="I53" s="225" t="e">
        <f>AVERAGE(P53,U53,Z53,AE53,AJ53,AO53,AT53)</f>
        <v>#DIV/0!</v>
      </c>
      <c r="J53" s="225" t="e">
        <f>AVERAGE(Q53,V53,AA53,AF53,AK53,AP53,AU53)</f>
        <v>#DIV/0!</v>
      </c>
      <c r="K53" s="226" t="e">
        <f>AVERAGE(R53,W53,AB53,AG53,AL53,AQ53,AV53)</f>
        <v>#DIV/0!</v>
      </c>
      <c r="L53" s="434" t="str">
        <f>IFERROR(AVERAGE(K53:K67),"-")</f>
        <v>-</v>
      </c>
      <c r="M53" s="225" t="e">
        <f>RANK(K53, K$53:$K$67)</f>
        <v>#DIV/0!</v>
      </c>
      <c r="N53" s="419"/>
      <c r="O53" s="419"/>
      <c r="P53" s="225"/>
      <c r="Q53" s="225"/>
      <c r="R53" s="226" t="e">
        <f>Q53/P53</f>
        <v>#DIV/0!</v>
      </c>
      <c r="S53" s="224" t="e">
        <f>RANK(R53, $R$53:$R$67)</f>
        <v>#DIV/0!</v>
      </c>
      <c r="T53" s="432" t="e">
        <f>AVERAGE(R53:R67)</f>
        <v>#DIV/0!</v>
      </c>
      <c r="U53" s="225"/>
      <c r="V53" s="225"/>
      <c r="W53" s="226" t="e">
        <f>V53/U53</f>
        <v>#DIV/0!</v>
      </c>
      <c r="X53" s="224" t="e">
        <f>RANK(W53,$W$53:$W$67)</f>
        <v>#DIV/0!</v>
      </c>
      <c r="Y53" s="432" t="e">
        <f>AVERAGE(W53:W67)</f>
        <v>#DIV/0!</v>
      </c>
      <c r="Z53" s="225"/>
      <c r="AA53" s="225"/>
      <c r="AB53" s="226" t="e">
        <f>AA53/Z53</f>
        <v>#DIV/0!</v>
      </c>
      <c r="AC53" s="224" t="e">
        <f>RANK(AB53, $AB$53:$AB$67)</f>
        <v>#DIV/0!</v>
      </c>
      <c r="AD53" s="432" t="e">
        <f>AVERAGE(AB53:AB67)</f>
        <v>#DIV/0!</v>
      </c>
      <c r="AE53" s="225"/>
      <c r="AF53" s="225"/>
      <c r="AG53" s="226" t="e">
        <f>AF53/AE53</f>
        <v>#DIV/0!</v>
      </c>
      <c r="AH53" s="224" t="e">
        <f>RANK(AG53, $AG$53:$AG$67)</f>
        <v>#DIV/0!</v>
      </c>
      <c r="AI53" s="432" t="e">
        <f>AVERAGE(AG53:AG67)</f>
        <v>#DIV/0!</v>
      </c>
      <c r="AJ53" s="225"/>
      <c r="AK53" s="225"/>
      <c r="AL53" s="226" t="e">
        <f>AK53/AJ53</f>
        <v>#DIV/0!</v>
      </c>
      <c r="AM53" s="224" t="e">
        <f>RANK(AL53,$AL$53:$AL$67)</f>
        <v>#DIV/0!</v>
      </c>
      <c r="AN53" s="432" t="e">
        <f>AVERAGE(AL53:AL67)</f>
        <v>#DIV/0!</v>
      </c>
      <c r="AO53" s="225"/>
      <c r="AP53" s="225"/>
      <c r="AQ53" s="226" t="e">
        <f>AP53/AO53</f>
        <v>#DIV/0!</v>
      </c>
      <c r="AR53" s="224" t="e">
        <f>RANK(AQ53,$AQ$53:$AQ$67)</f>
        <v>#DIV/0!</v>
      </c>
      <c r="AS53" s="432" t="e">
        <f>AVERAGE(AQ53:AQ67)</f>
        <v>#DIV/0!</v>
      </c>
      <c r="AT53" s="225"/>
      <c r="AU53" s="225"/>
      <c r="AV53" s="226" t="e">
        <f>AU53/AT53</f>
        <v>#DIV/0!</v>
      </c>
      <c r="AW53" s="224" t="e">
        <f>RANK(AV53,$AV$53:$AV$67)</f>
        <v>#DIV/0!</v>
      </c>
      <c r="AX53" s="432" t="e">
        <f>AVERAGE(AV53:AV67)</f>
        <v>#DIV/0!</v>
      </c>
    </row>
    <row r="54" spans="2:50">
      <c r="B54" s="427"/>
      <c r="C54" s="224">
        <v>2</v>
      </c>
      <c r="D54" s="224" t="s">
        <v>357</v>
      </c>
      <c r="E54" s="225">
        <f>VLOOKUP(D54,'10產線配置圖'!$A$2:$C$25,2,0)</f>
        <v>13</v>
      </c>
      <c r="F54" s="225">
        <f>VLOOKUP(D54,'10產線配置圖'!$A$2:$C$25,3,0)</f>
        <v>2000</v>
      </c>
      <c r="G54" s="226">
        <f t="shared" ref="G54:G66" si="47">F54/E54</f>
        <v>153.84615384615384</v>
      </c>
      <c r="H54" s="435"/>
      <c r="I54" s="225" t="e">
        <f t="shared" ref="I54:K67" si="48">AVERAGE(P54,U54,Z54,AE54,AJ54,AO54,AT54)</f>
        <v>#DIV/0!</v>
      </c>
      <c r="J54" s="225" t="e">
        <f t="shared" si="48"/>
        <v>#DIV/0!</v>
      </c>
      <c r="K54" s="226" t="e">
        <f t="shared" si="48"/>
        <v>#DIV/0!</v>
      </c>
      <c r="L54" s="435"/>
      <c r="M54" s="225" t="e">
        <f>RANK(K54, K$53:$K$67)</f>
        <v>#DIV/0!</v>
      </c>
      <c r="N54" s="419"/>
      <c r="O54" s="419"/>
      <c r="P54" s="225"/>
      <c r="Q54" s="225"/>
      <c r="R54" s="226" t="e">
        <f t="shared" ref="R54:R62" si="49">Q54/P54</f>
        <v>#DIV/0!</v>
      </c>
      <c r="S54" s="224" t="e">
        <f t="shared" ref="S54:S66" si="50">RANK(R54, $R$53:$R$67)</f>
        <v>#DIV/0!</v>
      </c>
      <c r="T54" s="432"/>
      <c r="U54" s="225"/>
      <c r="V54" s="225"/>
      <c r="W54" s="226" t="e">
        <f t="shared" ref="W54:W62" si="51">V54/U54</f>
        <v>#DIV/0!</v>
      </c>
      <c r="X54" s="224" t="e">
        <f t="shared" ref="X54:X65" si="52">RANK(W54,$W$53:$W$67)</f>
        <v>#DIV/0!</v>
      </c>
      <c r="Y54" s="432"/>
      <c r="Z54" s="225"/>
      <c r="AA54" s="225"/>
      <c r="AB54" s="226" t="e">
        <f t="shared" ref="AB54:AB62" si="53">AA54/Z54</f>
        <v>#DIV/0!</v>
      </c>
      <c r="AC54" s="224" t="e">
        <f t="shared" ref="AC54:AC67" si="54">RANK(AB54, $AB$53:$AB$67)</f>
        <v>#DIV/0!</v>
      </c>
      <c r="AD54" s="432"/>
      <c r="AE54" s="225"/>
      <c r="AF54" s="225"/>
      <c r="AG54" s="226" t="e">
        <f t="shared" ref="AG54:AG62" si="55">AF54/AE54</f>
        <v>#DIV/0!</v>
      </c>
      <c r="AH54" s="224" t="e">
        <f t="shared" ref="AH54:AH67" si="56">RANK(AG54, $AG$53:$AG$67)</f>
        <v>#DIV/0!</v>
      </c>
      <c r="AI54" s="432"/>
      <c r="AJ54" s="225"/>
      <c r="AK54" s="225"/>
      <c r="AL54" s="226" t="e">
        <f t="shared" ref="AL54:AL62" si="57">AK54/AJ54</f>
        <v>#DIV/0!</v>
      </c>
      <c r="AM54" s="224" t="e">
        <f t="shared" ref="AM54:AM67" si="58">RANK(AL54,$AL$53:$AL$67)</f>
        <v>#DIV/0!</v>
      </c>
      <c r="AN54" s="432"/>
      <c r="AO54" s="225"/>
      <c r="AP54" s="225"/>
      <c r="AQ54" s="226" t="e">
        <f t="shared" ref="AQ54:AQ62" si="59">AP54/AO54</f>
        <v>#DIV/0!</v>
      </c>
      <c r="AR54" s="224" t="e">
        <f t="shared" ref="AR54:AR67" si="60">RANK(AQ54,$AQ$53:$AQ$67)</f>
        <v>#DIV/0!</v>
      </c>
      <c r="AS54" s="432"/>
      <c r="AT54" s="225"/>
      <c r="AU54" s="225"/>
      <c r="AV54" s="226" t="e">
        <f t="shared" ref="AV54:AV62" si="61">AU54/AT54</f>
        <v>#DIV/0!</v>
      </c>
      <c r="AW54" s="224" t="e">
        <f t="shared" ref="AW54:AW67" si="62">RANK(AV54,$AV$53:$AV$67)</f>
        <v>#DIV/0!</v>
      </c>
      <c r="AX54" s="432"/>
    </row>
    <row r="55" spans="2:50">
      <c r="B55" s="427"/>
      <c r="C55" s="224">
        <v>3</v>
      </c>
      <c r="D55" s="224" t="s">
        <v>358</v>
      </c>
      <c r="E55" s="225">
        <f>VLOOKUP(D55,'10產線配置圖'!$A$2:$C$25,2,0)</f>
        <v>16</v>
      </c>
      <c r="F55" s="225">
        <f>VLOOKUP(D55,'10產線配置圖'!$A$2:$C$25,3,0)</f>
        <v>1915</v>
      </c>
      <c r="G55" s="226">
        <f t="shared" si="47"/>
        <v>119.6875</v>
      </c>
      <c r="H55" s="435"/>
      <c r="I55" s="225" t="e">
        <f t="shared" si="48"/>
        <v>#DIV/0!</v>
      </c>
      <c r="J55" s="225" t="e">
        <f t="shared" si="48"/>
        <v>#DIV/0!</v>
      </c>
      <c r="K55" s="226" t="e">
        <f t="shared" si="48"/>
        <v>#DIV/0!</v>
      </c>
      <c r="L55" s="435"/>
      <c r="M55" s="225" t="e">
        <f>RANK(K55, K$53:$K$67)</f>
        <v>#DIV/0!</v>
      </c>
      <c r="N55" s="419"/>
      <c r="O55" s="419"/>
      <c r="P55" s="225"/>
      <c r="Q55" s="225"/>
      <c r="R55" s="226" t="e">
        <f t="shared" si="49"/>
        <v>#DIV/0!</v>
      </c>
      <c r="S55" s="224" t="e">
        <f t="shared" si="50"/>
        <v>#DIV/0!</v>
      </c>
      <c r="T55" s="432"/>
      <c r="U55" s="225"/>
      <c r="V55" s="225"/>
      <c r="W55" s="226" t="e">
        <f t="shared" si="51"/>
        <v>#DIV/0!</v>
      </c>
      <c r="X55" s="224" t="e">
        <f t="shared" si="52"/>
        <v>#DIV/0!</v>
      </c>
      <c r="Y55" s="432"/>
      <c r="Z55" s="225"/>
      <c r="AA55" s="225"/>
      <c r="AB55" s="226" t="e">
        <f t="shared" si="53"/>
        <v>#DIV/0!</v>
      </c>
      <c r="AC55" s="224" t="e">
        <f t="shared" si="54"/>
        <v>#DIV/0!</v>
      </c>
      <c r="AD55" s="432"/>
      <c r="AE55" s="225"/>
      <c r="AF55" s="225"/>
      <c r="AG55" s="226" t="e">
        <f t="shared" si="55"/>
        <v>#DIV/0!</v>
      </c>
      <c r="AH55" s="224" t="e">
        <f t="shared" si="56"/>
        <v>#DIV/0!</v>
      </c>
      <c r="AI55" s="432"/>
      <c r="AJ55" s="225"/>
      <c r="AK55" s="225"/>
      <c r="AL55" s="226" t="e">
        <f t="shared" si="57"/>
        <v>#DIV/0!</v>
      </c>
      <c r="AM55" s="224" t="e">
        <f t="shared" si="58"/>
        <v>#DIV/0!</v>
      </c>
      <c r="AN55" s="432"/>
      <c r="AO55" s="225"/>
      <c r="AP55" s="225"/>
      <c r="AQ55" s="226" t="e">
        <f t="shared" si="59"/>
        <v>#DIV/0!</v>
      </c>
      <c r="AR55" s="224" t="e">
        <f t="shared" si="60"/>
        <v>#DIV/0!</v>
      </c>
      <c r="AS55" s="432"/>
      <c r="AT55" s="225"/>
      <c r="AU55" s="225"/>
      <c r="AV55" s="226" t="e">
        <f t="shared" si="61"/>
        <v>#DIV/0!</v>
      </c>
      <c r="AW55" s="224" t="e">
        <f t="shared" si="62"/>
        <v>#DIV/0!</v>
      </c>
      <c r="AX55" s="432"/>
    </row>
    <row r="56" spans="2:50">
      <c r="B56" s="427"/>
      <c r="C56" s="224">
        <v>4</v>
      </c>
      <c r="D56" s="224" t="s">
        <v>359</v>
      </c>
      <c r="E56" s="225">
        <f>VLOOKUP(D56,'10產線配置圖'!$A$2:$C$25,2,0)</f>
        <v>18</v>
      </c>
      <c r="F56" s="225">
        <f>VLOOKUP(D56,'10產線配置圖'!$A$2:$C$25,3,0)</f>
        <v>1565</v>
      </c>
      <c r="G56" s="226">
        <f t="shared" si="47"/>
        <v>86.944444444444443</v>
      </c>
      <c r="H56" s="435"/>
      <c r="I56" s="225" t="e">
        <f t="shared" si="48"/>
        <v>#DIV/0!</v>
      </c>
      <c r="J56" s="225" t="e">
        <f t="shared" si="48"/>
        <v>#DIV/0!</v>
      </c>
      <c r="K56" s="226" t="e">
        <f t="shared" si="48"/>
        <v>#DIV/0!</v>
      </c>
      <c r="L56" s="435"/>
      <c r="M56" s="225" t="e">
        <f>RANK(K56, K$53:$K$67)</f>
        <v>#DIV/0!</v>
      </c>
      <c r="N56" s="419"/>
      <c r="O56" s="419"/>
      <c r="P56" s="225"/>
      <c r="Q56" s="225"/>
      <c r="R56" s="226" t="e">
        <f t="shared" si="49"/>
        <v>#DIV/0!</v>
      </c>
      <c r="S56" s="224" t="e">
        <f t="shared" si="50"/>
        <v>#DIV/0!</v>
      </c>
      <c r="T56" s="432"/>
      <c r="U56" s="225"/>
      <c r="V56" s="225"/>
      <c r="W56" s="226" t="e">
        <f t="shared" si="51"/>
        <v>#DIV/0!</v>
      </c>
      <c r="X56" s="224" t="e">
        <f t="shared" si="52"/>
        <v>#DIV/0!</v>
      </c>
      <c r="Y56" s="432"/>
      <c r="Z56" s="225"/>
      <c r="AA56" s="225"/>
      <c r="AB56" s="226" t="e">
        <f t="shared" si="53"/>
        <v>#DIV/0!</v>
      </c>
      <c r="AC56" s="224" t="e">
        <f t="shared" si="54"/>
        <v>#DIV/0!</v>
      </c>
      <c r="AD56" s="432"/>
      <c r="AE56" s="225"/>
      <c r="AF56" s="225"/>
      <c r="AG56" s="226" t="e">
        <f t="shared" si="55"/>
        <v>#DIV/0!</v>
      </c>
      <c r="AH56" s="224" t="e">
        <f t="shared" si="56"/>
        <v>#DIV/0!</v>
      </c>
      <c r="AI56" s="432"/>
      <c r="AJ56" s="225"/>
      <c r="AK56" s="225"/>
      <c r="AL56" s="226" t="e">
        <f t="shared" si="57"/>
        <v>#DIV/0!</v>
      </c>
      <c r="AM56" s="224" t="e">
        <f t="shared" si="58"/>
        <v>#DIV/0!</v>
      </c>
      <c r="AN56" s="432"/>
      <c r="AO56" s="225"/>
      <c r="AP56" s="225"/>
      <c r="AQ56" s="226" t="e">
        <f t="shared" si="59"/>
        <v>#DIV/0!</v>
      </c>
      <c r="AR56" s="224" t="e">
        <f t="shared" si="60"/>
        <v>#DIV/0!</v>
      </c>
      <c r="AS56" s="432"/>
      <c r="AT56" s="225"/>
      <c r="AU56" s="225"/>
      <c r="AV56" s="226" t="e">
        <f t="shared" si="61"/>
        <v>#DIV/0!</v>
      </c>
      <c r="AW56" s="224" t="e">
        <f t="shared" si="62"/>
        <v>#DIV/0!</v>
      </c>
      <c r="AX56" s="432"/>
    </row>
    <row r="57" spans="2:50">
      <c r="B57" s="427"/>
      <c r="C57" s="224">
        <v>5</v>
      </c>
      <c r="D57" s="224" t="s">
        <v>360</v>
      </c>
      <c r="E57" s="225">
        <f>VLOOKUP(D57,'10產線配置圖'!$A$2:$C$25,2,0)</f>
        <v>13</v>
      </c>
      <c r="F57" s="225">
        <f>VLOOKUP(D57,'10產線配置圖'!$A$2:$C$25,3,0)</f>
        <v>2000</v>
      </c>
      <c r="G57" s="226">
        <f t="shared" si="47"/>
        <v>153.84615384615384</v>
      </c>
      <c r="H57" s="435"/>
      <c r="I57" s="225" t="e">
        <f t="shared" si="48"/>
        <v>#DIV/0!</v>
      </c>
      <c r="J57" s="225" t="e">
        <f t="shared" si="48"/>
        <v>#DIV/0!</v>
      </c>
      <c r="K57" s="226" t="e">
        <f t="shared" si="48"/>
        <v>#DIV/0!</v>
      </c>
      <c r="L57" s="435"/>
      <c r="M57" s="225" t="e">
        <f>RANK(K57, K$53:$K$67)</f>
        <v>#DIV/0!</v>
      </c>
      <c r="N57" s="419"/>
      <c r="O57" s="419"/>
      <c r="P57" s="225"/>
      <c r="Q57" s="225"/>
      <c r="R57" s="226" t="e">
        <f t="shared" si="49"/>
        <v>#DIV/0!</v>
      </c>
      <c r="S57" s="224" t="e">
        <f t="shared" si="50"/>
        <v>#DIV/0!</v>
      </c>
      <c r="T57" s="432"/>
      <c r="U57" s="225"/>
      <c r="V57" s="225"/>
      <c r="W57" s="226" t="e">
        <f t="shared" si="51"/>
        <v>#DIV/0!</v>
      </c>
      <c r="X57" s="224" t="e">
        <f t="shared" si="52"/>
        <v>#DIV/0!</v>
      </c>
      <c r="Y57" s="432"/>
      <c r="Z57" s="225"/>
      <c r="AA57" s="225"/>
      <c r="AB57" s="226" t="e">
        <f t="shared" si="53"/>
        <v>#DIV/0!</v>
      </c>
      <c r="AC57" s="224" t="e">
        <f t="shared" si="54"/>
        <v>#DIV/0!</v>
      </c>
      <c r="AD57" s="432"/>
      <c r="AE57" s="225"/>
      <c r="AF57" s="225"/>
      <c r="AG57" s="226" t="e">
        <f t="shared" si="55"/>
        <v>#DIV/0!</v>
      </c>
      <c r="AH57" s="224" t="e">
        <f t="shared" si="56"/>
        <v>#DIV/0!</v>
      </c>
      <c r="AI57" s="432"/>
      <c r="AJ57" s="225"/>
      <c r="AK57" s="225"/>
      <c r="AL57" s="226" t="e">
        <f t="shared" si="57"/>
        <v>#DIV/0!</v>
      </c>
      <c r="AM57" s="224" t="e">
        <f t="shared" si="58"/>
        <v>#DIV/0!</v>
      </c>
      <c r="AN57" s="432"/>
      <c r="AO57" s="225"/>
      <c r="AP57" s="225"/>
      <c r="AQ57" s="226" t="e">
        <f t="shared" si="59"/>
        <v>#DIV/0!</v>
      </c>
      <c r="AR57" s="224" t="e">
        <f t="shared" si="60"/>
        <v>#DIV/0!</v>
      </c>
      <c r="AS57" s="432"/>
      <c r="AT57" s="225"/>
      <c r="AU57" s="225"/>
      <c r="AV57" s="226" t="e">
        <f t="shared" si="61"/>
        <v>#DIV/0!</v>
      </c>
      <c r="AW57" s="224" t="e">
        <f t="shared" si="62"/>
        <v>#DIV/0!</v>
      </c>
      <c r="AX57" s="432"/>
    </row>
    <row r="58" spans="2:50">
      <c r="B58" s="427"/>
      <c r="C58" s="224">
        <v>6</v>
      </c>
      <c r="D58" s="224" t="s">
        <v>370</v>
      </c>
      <c r="E58" s="225">
        <f>VLOOKUP(D58,'10產線配置圖'!$A$2:$C$25,2,0)</f>
        <v>14</v>
      </c>
      <c r="F58" s="225">
        <f>VLOOKUP(D58,'10產線配置圖'!$A$2:$C$25,3,0)</f>
        <v>1895</v>
      </c>
      <c r="G58" s="226">
        <f t="shared" si="47"/>
        <v>135.35714285714286</v>
      </c>
      <c r="H58" s="435"/>
      <c r="I58" s="225" t="e">
        <f t="shared" si="48"/>
        <v>#DIV/0!</v>
      </c>
      <c r="J58" s="225" t="e">
        <f t="shared" si="48"/>
        <v>#DIV/0!</v>
      </c>
      <c r="K58" s="226" t="e">
        <f t="shared" si="48"/>
        <v>#DIV/0!</v>
      </c>
      <c r="L58" s="435"/>
      <c r="M58" s="225" t="e">
        <f>RANK(K58, K$53:$K$67)</f>
        <v>#DIV/0!</v>
      </c>
      <c r="N58" s="419"/>
      <c r="O58" s="419"/>
      <c r="P58" s="225"/>
      <c r="Q58" s="225"/>
      <c r="R58" s="226" t="e">
        <f t="shared" si="49"/>
        <v>#DIV/0!</v>
      </c>
      <c r="S58" s="224" t="e">
        <f t="shared" si="50"/>
        <v>#DIV/0!</v>
      </c>
      <c r="T58" s="432"/>
      <c r="U58" s="225"/>
      <c r="V58" s="225"/>
      <c r="W58" s="226" t="e">
        <f t="shared" si="51"/>
        <v>#DIV/0!</v>
      </c>
      <c r="X58" s="224" t="e">
        <f t="shared" si="52"/>
        <v>#DIV/0!</v>
      </c>
      <c r="Y58" s="432"/>
      <c r="Z58" s="225"/>
      <c r="AA58" s="225"/>
      <c r="AB58" s="226" t="e">
        <f t="shared" si="53"/>
        <v>#DIV/0!</v>
      </c>
      <c r="AC58" s="224" t="e">
        <f t="shared" si="54"/>
        <v>#DIV/0!</v>
      </c>
      <c r="AD58" s="432"/>
      <c r="AE58" s="225"/>
      <c r="AF58" s="225"/>
      <c r="AG58" s="226" t="e">
        <f t="shared" si="55"/>
        <v>#DIV/0!</v>
      </c>
      <c r="AH58" s="224" t="e">
        <f t="shared" si="56"/>
        <v>#DIV/0!</v>
      </c>
      <c r="AI58" s="432"/>
      <c r="AJ58" s="225"/>
      <c r="AK58" s="225"/>
      <c r="AL58" s="226" t="e">
        <f t="shared" si="57"/>
        <v>#DIV/0!</v>
      </c>
      <c r="AM58" s="224" t="e">
        <f t="shared" si="58"/>
        <v>#DIV/0!</v>
      </c>
      <c r="AN58" s="432"/>
      <c r="AO58" s="225"/>
      <c r="AP58" s="225"/>
      <c r="AQ58" s="226" t="e">
        <f t="shared" si="59"/>
        <v>#DIV/0!</v>
      </c>
      <c r="AR58" s="224" t="e">
        <f t="shared" si="60"/>
        <v>#DIV/0!</v>
      </c>
      <c r="AS58" s="432"/>
      <c r="AT58" s="225"/>
      <c r="AU58" s="225"/>
      <c r="AV58" s="226" t="e">
        <f t="shared" si="61"/>
        <v>#DIV/0!</v>
      </c>
      <c r="AW58" s="224" t="e">
        <f t="shared" si="62"/>
        <v>#DIV/0!</v>
      </c>
      <c r="AX58" s="432"/>
    </row>
    <row r="59" spans="2:50">
      <c r="B59" s="427"/>
      <c r="C59" s="224">
        <v>7</v>
      </c>
      <c r="D59" s="224" t="s">
        <v>351</v>
      </c>
      <c r="E59" s="225">
        <f>VLOOKUP(D59,'10產線配置圖'!$A$2:$C$25,2,0)</f>
        <v>16</v>
      </c>
      <c r="F59" s="225">
        <f>VLOOKUP(D59,'10產線配置圖'!$A$2:$C$25,3,0)</f>
        <v>1429</v>
      </c>
      <c r="G59" s="226">
        <f t="shared" si="47"/>
        <v>89.3125</v>
      </c>
      <c r="H59" s="435"/>
      <c r="I59" s="225"/>
      <c r="J59" s="225"/>
      <c r="K59" s="226"/>
      <c r="L59" s="435"/>
      <c r="M59" s="225"/>
      <c r="N59" s="419"/>
      <c r="O59" s="419"/>
      <c r="P59" s="225"/>
      <c r="Q59" s="225"/>
      <c r="R59" s="226"/>
      <c r="S59" s="224"/>
      <c r="T59" s="432"/>
      <c r="U59" s="225"/>
      <c r="V59" s="225"/>
      <c r="W59" s="226"/>
      <c r="X59" s="224"/>
      <c r="Y59" s="432"/>
      <c r="Z59" s="225"/>
      <c r="AA59" s="225"/>
      <c r="AB59" s="226"/>
      <c r="AC59" s="224"/>
      <c r="AD59" s="432"/>
      <c r="AE59" s="225"/>
      <c r="AF59" s="225"/>
      <c r="AG59" s="226"/>
      <c r="AH59" s="224"/>
      <c r="AI59" s="432"/>
      <c r="AJ59" s="225"/>
      <c r="AK59" s="225"/>
      <c r="AL59" s="226"/>
      <c r="AM59" s="224"/>
      <c r="AN59" s="432"/>
      <c r="AO59" s="225"/>
      <c r="AP59" s="225"/>
      <c r="AQ59" s="226"/>
      <c r="AR59" s="224"/>
      <c r="AS59" s="432"/>
      <c r="AT59" s="225"/>
      <c r="AU59" s="225"/>
      <c r="AV59" s="226"/>
      <c r="AW59" s="224"/>
      <c r="AX59" s="432"/>
    </row>
    <row r="60" spans="2:50">
      <c r="B60" s="427"/>
      <c r="C60" s="224">
        <v>8</v>
      </c>
      <c r="D60" s="224" t="s">
        <v>352</v>
      </c>
      <c r="E60" s="225">
        <f>VLOOKUP(D60,'10產線配置圖'!$A$2:$C$25,2,0)</f>
        <v>18</v>
      </c>
      <c r="F60" s="225">
        <f>VLOOKUP(D60,'10產線配置圖'!$A$2:$C$25,3,0)</f>
        <v>1500</v>
      </c>
      <c r="G60" s="226">
        <f t="shared" si="47"/>
        <v>83.333333333333329</v>
      </c>
      <c r="H60" s="435"/>
      <c r="I60" s="225" t="e">
        <f t="shared" si="48"/>
        <v>#DIV/0!</v>
      </c>
      <c r="J60" s="225" t="e">
        <f t="shared" si="48"/>
        <v>#DIV/0!</v>
      </c>
      <c r="K60" s="226" t="e">
        <f t="shared" si="48"/>
        <v>#DIV/0!</v>
      </c>
      <c r="L60" s="435"/>
      <c r="M60" s="225" t="e">
        <f>RANK(K60, K$53:$K$67)</f>
        <v>#DIV/0!</v>
      </c>
      <c r="N60" s="419"/>
      <c r="O60" s="419"/>
      <c r="P60" s="225"/>
      <c r="Q60" s="225"/>
      <c r="R60" s="226" t="e">
        <f t="shared" si="49"/>
        <v>#DIV/0!</v>
      </c>
      <c r="S60" s="224" t="e">
        <f t="shared" si="50"/>
        <v>#DIV/0!</v>
      </c>
      <c r="T60" s="432"/>
      <c r="U60" s="225"/>
      <c r="V60" s="225"/>
      <c r="W60" s="226" t="e">
        <f t="shared" si="51"/>
        <v>#DIV/0!</v>
      </c>
      <c r="X60" s="224" t="e">
        <f t="shared" si="52"/>
        <v>#DIV/0!</v>
      </c>
      <c r="Y60" s="432"/>
      <c r="Z60" s="225"/>
      <c r="AA60" s="225"/>
      <c r="AB60" s="226" t="e">
        <f t="shared" si="53"/>
        <v>#DIV/0!</v>
      </c>
      <c r="AC60" s="224" t="e">
        <f t="shared" si="54"/>
        <v>#DIV/0!</v>
      </c>
      <c r="AD60" s="432"/>
      <c r="AE60" s="225"/>
      <c r="AF60" s="225"/>
      <c r="AG60" s="226" t="e">
        <f t="shared" si="55"/>
        <v>#DIV/0!</v>
      </c>
      <c r="AH60" s="224" t="e">
        <f t="shared" si="56"/>
        <v>#DIV/0!</v>
      </c>
      <c r="AI60" s="432"/>
      <c r="AJ60" s="225"/>
      <c r="AK60" s="225"/>
      <c r="AL60" s="226" t="e">
        <f t="shared" si="57"/>
        <v>#DIV/0!</v>
      </c>
      <c r="AM60" s="224" t="e">
        <f t="shared" si="58"/>
        <v>#DIV/0!</v>
      </c>
      <c r="AN60" s="432"/>
      <c r="AO60" s="225"/>
      <c r="AP60" s="225"/>
      <c r="AQ60" s="226" t="e">
        <f t="shared" si="59"/>
        <v>#DIV/0!</v>
      </c>
      <c r="AR60" s="224" t="e">
        <f t="shared" si="60"/>
        <v>#DIV/0!</v>
      </c>
      <c r="AS60" s="432"/>
      <c r="AT60" s="225"/>
      <c r="AU60" s="225"/>
      <c r="AV60" s="226" t="e">
        <f t="shared" si="61"/>
        <v>#DIV/0!</v>
      </c>
      <c r="AW60" s="224" t="e">
        <f t="shared" si="62"/>
        <v>#DIV/0!</v>
      </c>
      <c r="AX60" s="432"/>
    </row>
    <row r="61" spans="2:50">
      <c r="B61" s="427"/>
      <c r="C61" s="224">
        <v>9</v>
      </c>
      <c r="D61" s="224" t="s">
        <v>361</v>
      </c>
      <c r="E61" s="225">
        <f>VLOOKUP(D61,'10產線配置圖'!$A$2:$C$25,2,0)</f>
        <v>18</v>
      </c>
      <c r="F61" s="225">
        <f>VLOOKUP(D61,'10產線配置圖'!$A$2:$C$25,3,0)</f>
        <v>1385</v>
      </c>
      <c r="G61" s="226">
        <f t="shared" si="47"/>
        <v>76.944444444444443</v>
      </c>
      <c r="H61" s="435"/>
      <c r="I61" s="225" t="e">
        <f t="shared" si="48"/>
        <v>#DIV/0!</v>
      </c>
      <c r="J61" s="225" t="e">
        <f t="shared" si="48"/>
        <v>#DIV/0!</v>
      </c>
      <c r="K61" s="226" t="e">
        <f t="shared" si="48"/>
        <v>#DIV/0!</v>
      </c>
      <c r="L61" s="435"/>
      <c r="M61" s="225" t="e">
        <f>RANK(K61, K$53:$K$67)</f>
        <v>#DIV/0!</v>
      </c>
      <c r="N61" s="419"/>
      <c r="O61" s="419"/>
      <c r="P61" s="225"/>
      <c r="Q61" s="225"/>
      <c r="R61" s="226" t="e">
        <f t="shared" si="49"/>
        <v>#DIV/0!</v>
      </c>
      <c r="S61" s="224" t="e">
        <f t="shared" si="50"/>
        <v>#DIV/0!</v>
      </c>
      <c r="T61" s="432"/>
      <c r="U61" s="225"/>
      <c r="V61" s="225"/>
      <c r="W61" s="226" t="e">
        <f t="shared" si="51"/>
        <v>#DIV/0!</v>
      </c>
      <c r="X61" s="224" t="e">
        <f t="shared" si="52"/>
        <v>#DIV/0!</v>
      </c>
      <c r="Y61" s="432"/>
      <c r="Z61" s="225"/>
      <c r="AA61" s="225"/>
      <c r="AB61" s="226" t="e">
        <f t="shared" si="53"/>
        <v>#DIV/0!</v>
      </c>
      <c r="AC61" s="224" t="e">
        <f t="shared" si="54"/>
        <v>#DIV/0!</v>
      </c>
      <c r="AD61" s="432"/>
      <c r="AE61" s="225"/>
      <c r="AF61" s="225"/>
      <c r="AG61" s="226" t="e">
        <f t="shared" si="55"/>
        <v>#DIV/0!</v>
      </c>
      <c r="AH61" s="224" t="e">
        <f t="shared" si="56"/>
        <v>#DIV/0!</v>
      </c>
      <c r="AI61" s="432"/>
      <c r="AJ61" s="225"/>
      <c r="AK61" s="225"/>
      <c r="AL61" s="226" t="e">
        <f t="shared" si="57"/>
        <v>#DIV/0!</v>
      </c>
      <c r="AM61" s="224" t="e">
        <f t="shared" si="58"/>
        <v>#DIV/0!</v>
      </c>
      <c r="AN61" s="432"/>
      <c r="AO61" s="225"/>
      <c r="AP61" s="225"/>
      <c r="AQ61" s="226" t="e">
        <f t="shared" si="59"/>
        <v>#DIV/0!</v>
      </c>
      <c r="AR61" s="224" t="e">
        <f t="shared" si="60"/>
        <v>#DIV/0!</v>
      </c>
      <c r="AS61" s="432"/>
      <c r="AT61" s="225"/>
      <c r="AU61" s="225"/>
      <c r="AV61" s="226" t="e">
        <f t="shared" si="61"/>
        <v>#DIV/0!</v>
      </c>
      <c r="AW61" s="224" t="e">
        <f t="shared" si="62"/>
        <v>#DIV/0!</v>
      </c>
      <c r="AX61" s="432"/>
    </row>
    <row r="62" spans="2:50">
      <c r="B62" s="427"/>
      <c r="C62" s="224">
        <v>10</v>
      </c>
      <c r="D62" s="224" t="s">
        <v>382</v>
      </c>
      <c r="E62" s="225">
        <f>VLOOKUP(D62,'10產線配置圖'!$A$2:$C$25,2,0)</f>
        <v>17</v>
      </c>
      <c r="F62" s="225">
        <f>VLOOKUP(D62,'10產線配置圖'!$A$2:$C$25,3,0)</f>
        <v>1565</v>
      </c>
      <c r="G62" s="226">
        <f t="shared" si="47"/>
        <v>92.058823529411768</v>
      </c>
      <c r="H62" s="435"/>
      <c r="I62" s="225" t="e">
        <f t="shared" si="48"/>
        <v>#DIV/0!</v>
      </c>
      <c r="J62" s="225" t="e">
        <f t="shared" si="48"/>
        <v>#DIV/0!</v>
      </c>
      <c r="K62" s="226" t="e">
        <f t="shared" si="48"/>
        <v>#DIV/0!</v>
      </c>
      <c r="L62" s="435"/>
      <c r="M62" s="225" t="e">
        <f>RANK(K62, K$53:$K$67)</f>
        <v>#DIV/0!</v>
      </c>
      <c r="N62" s="419"/>
      <c r="O62" s="419"/>
      <c r="P62" s="225"/>
      <c r="Q62" s="225"/>
      <c r="R62" s="226" t="e">
        <f t="shared" si="49"/>
        <v>#DIV/0!</v>
      </c>
      <c r="S62" s="224" t="e">
        <f t="shared" si="50"/>
        <v>#DIV/0!</v>
      </c>
      <c r="T62" s="432"/>
      <c r="U62" s="225"/>
      <c r="V62" s="225"/>
      <c r="W62" s="226" t="e">
        <f t="shared" si="51"/>
        <v>#DIV/0!</v>
      </c>
      <c r="X62" s="224" t="e">
        <f t="shared" si="52"/>
        <v>#DIV/0!</v>
      </c>
      <c r="Y62" s="432"/>
      <c r="Z62" s="225"/>
      <c r="AA62" s="225"/>
      <c r="AB62" s="226" t="e">
        <f t="shared" si="53"/>
        <v>#DIV/0!</v>
      </c>
      <c r="AC62" s="224" t="e">
        <f t="shared" si="54"/>
        <v>#DIV/0!</v>
      </c>
      <c r="AD62" s="432"/>
      <c r="AE62" s="225"/>
      <c r="AF62" s="225"/>
      <c r="AG62" s="226" t="e">
        <f t="shared" si="55"/>
        <v>#DIV/0!</v>
      </c>
      <c r="AH62" s="224" t="e">
        <f t="shared" si="56"/>
        <v>#DIV/0!</v>
      </c>
      <c r="AI62" s="432"/>
      <c r="AJ62" s="225"/>
      <c r="AK62" s="225"/>
      <c r="AL62" s="226" t="e">
        <f t="shared" si="57"/>
        <v>#DIV/0!</v>
      </c>
      <c r="AM62" s="224" t="e">
        <f t="shared" si="58"/>
        <v>#DIV/0!</v>
      </c>
      <c r="AN62" s="432"/>
      <c r="AO62" s="225"/>
      <c r="AP62" s="225"/>
      <c r="AQ62" s="226" t="e">
        <f t="shared" si="59"/>
        <v>#DIV/0!</v>
      </c>
      <c r="AR62" s="224" t="e">
        <f t="shared" si="60"/>
        <v>#DIV/0!</v>
      </c>
      <c r="AS62" s="432"/>
      <c r="AT62" s="225"/>
      <c r="AU62" s="225"/>
      <c r="AV62" s="226" t="e">
        <f t="shared" si="61"/>
        <v>#DIV/0!</v>
      </c>
      <c r="AW62" s="224" t="e">
        <f t="shared" si="62"/>
        <v>#DIV/0!</v>
      </c>
      <c r="AX62" s="432"/>
    </row>
    <row r="63" spans="2:50">
      <c r="B63" s="427"/>
      <c r="C63" s="224">
        <v>11</v>
      </c>
      <c r="D63" s="224" t="s">
        <v>472</v>
      </c>
      <c r="E63" s="225">
        <f>VLOOKUP(D63,'10產線配置圖'!$A$2:$C$25,2,0)</f>
        <v>15</v>
      </c>
      <c r="F63" s="225">
        <f>VLOOKUP(D63,'10產線配置圖'!$A$2:$C$25,3,0)</f>
        <v>1565</v>
      </c>
      <c r="G63" s="226">
        <f t="shared" si="47"/>
        <v>104.33333333333333</v>
      </c>
      <c r="H63" s="435"/>
      <c r="I63" s="225" t="e">
        <f t="shared" si="48"/>
        <v>#DIV/0!</v>
      </c>
      <c r="J63" s="225" t="e">
        <f t="shared" si="48"/>
        <v>#DIV/0!</v>
      </c>
      <c r="K63" s="226" t="e">
        <f t="shared" si="48"/>
        <v>#DIV/0!</v>
      </c>
      <c r="L63" s="435"/>
      <c r="M63" s="225" t="e">
        <f>RANK(K63, K$53:$K$67)</f>
        <v>#DIV/0!</v>
      </c>
      <c r="N63" s="419"/>
      <c r="O63" s="419"/>
      <c r="P63" s="224"/>
      <c r="Q63" s="224"/>
      <c r="R63" s="226" t="e">
        <f>Q63/P63</f>
        <v>#DIV/0!</v>
      </c>
      <c r="S63" s="224" t="e">
        <f t="shared" si="50"/>
        <v>#DIV/0!</v>
      </c>
      <c r="T63" s="432"/>
      <c r="U63" s="224"/>
      <c r="V63" s="224"/>
      <c r="W63" s="226" t="e">
        <f>V63/U63</f>
        <v>#DIV/0!</v>
      </c>
      <c r="X63" s="224" t="e">
        <f t="shared" si="52"/>
        <v>#DIV/0!</v>
      </c>
      <c r="Y63" s="432"/>
      <c r="Z63" s="224"/>
      <c r="AA63" s="224"/>
      <c r="AB63" s="226" t="e">
        <f>AA63/Z63</f>
        <v>#DIV/0!</v>
      </c>
      <c r="AC63" s="224" t="e">
        <f t="shared" si="54"/>
        <v>#DIV/0!</v>
      </c>
      <c r="AD63" s="432"/>
      <c r="AE63" s="224"/>
      <c r="AF63" s="224"/>
      <c r="AG63" s="226" t="e">
        <f>AF63/AE63</f>
        <v>#DIV/0!</v>
      </c>
      <c r="AH63" s="224" t="e">
        <f t="shared" si="56"/>
        <v>#DIV/0!</v>
      </c>
      <c r="AI63" s="432"/>
      <c r="AJ63" s="224"/>
      <c r="AK63" s="224"/>
      <c r="AL63" s="226" t="e">
        <f>AK63/AJ63</f>
        <v>#DIV/0!</v>
      </c>
      <c r="AM63" s="224" t="e">
        <f t="shared" si="58"/>
        <v>#DIV/0!</v>
      </c>
      <c r="AN63" s="432"/>
      <c r="AO63" s="224"/>
      <c r="AP63" s="224"/>
      <c r="AQ63" s="226" t="e">
        <f>AP63/AO63</f>
        <v>#DIV/0!</v>
      </c>
      <c r="AR63" s="224" t="e">
        <f t="shared" si="60"/>
        <v>#DIV/0!</v>
      </c>
      <c r="AS63" s="432"/>
      <c r="AT63" s="224"/>
      <c r="AU63" s="224"/>
      <c r="AV63" s="226" t="e">
        <f>AU63/AT63</f>
        <v>#DIV/0!</v>
      </c>
      <c r="AW63" s="224" t="e">
        <f t="shared" si="62"/>
        <v>#DIV/0!</v>
      </c>
      <c r="AX63" s="432"/>
    </row>
    <row r="64" spans="2:50">
      <c r="B64" s="427"/>
      <c r="C64" s="224">
        <v>12</v>
      </c>
      <c r="D64" s="224" t="s">
        <v>473</v>
      </c>
      <c r="E64" s="225">
        <f>VLOOKUP(D64,'10產線配置圖'!$A$2:$C$25,2,0)</f>
        <v>18</v>
      </c>
      <c r="F64" s="225">
        <f>VLOOKUP(D64,'10產線配置圖'!$A$2:$C$25,3,0)</f>
        <v>1636</v>
      </c>
      <c r="G64" s="226">
        <f t="shared" si="47"/>
        <v>90.888888888888886</v>
      </c>
      <c r="H64" s="435"/>
      <c r="I64" s="225" t="e">
        <f t="shared" si="48"/>
        <v>#DIV/0!</v>
      </c>
      <c r="J64" s="225" t="e">
        <f t="shared" si="48"/>
        <v>#DIV/0!</v>
      </c>
      <c r="K64" s="226" t="e">
        <f t="shared" si="48"/>
        <v>#DIV/0!</v>
      </c>
      <c r="L64" s="435"/>
      <c r="M64" s="225" t="e">
        <f>RANK(K64, K$53:$K$67)</f>
        <v>#DIV/0!</v>
      </c>
      <c r="N64" s="419"/>
      <c r="O64" s="419"/>
      <c r="P64" s="224"/>
      <c r="Q64" s="224"/>
      <c r="R64" s="226" t="e">
        <f t="shared" ref="R64:R67" si="63">Q64/P64</f>
        <v>#DIV/0!</v>
      </c>
      <c r="S64" s="224" t="e">
        <f t="shared" si="50"/>
        <v>#DIV/0!</v>
      </c>
      <c r="T64" s="432"/>
      <c r="U64" s="224"/>
      <c r="V64" s="225"/>
      <c r="W64" s="226" t="e">
        <f t="shared" ref="W64:W67" si="64">V64/U64</f>
        <v>#DIV/0!</v>
      </c>
      <c r="X64" s="224" t="e">
        <f t="shared" si="52"/>
        <v>#DIV/0!</v>
      </c>
      <c r="Y64" s="432"/>
      <c r="Z64" s="224"/>
      <c r="AA64" s="225"/>
      <c r="AB64" s="226" t="e">
        <f t="shared" ref="AB64:AB67" si="65">AA64/Z64</f>
        <v>#DIV/0!</v>
      </c>
      <c r="AC64" s="224" t="e">
        <f t="shared" si="54"/>
        <v>#DIV/0!</v>
      </c>
      <c r="AD64" s="432"/>
      <c r="AE64" s="224"/>
      <c r="AF64" s="224"/>
      <c r="AG64" s="226" t="e">
        <f t="shared" ref="AG64:AG67" si="66">AF64/AE64</f>
        <v>#DIV/0!</v>
      </c>
      <c r="AH64" s="224" t="e">
        <f t="shared" si="56"/>
        <v>#DIV/0!</v>
      </c>
      <c r="AI64" s="432"/>
      <c r="AJ64" s="224"/>
      <c r="AK64" s="224"/>
      <c r="AL64" s="226" t="e">
        <f t="shared" ref="AL64:AL67" si="67">AK64/AJ64</f>
        <v>#DIV/0!</v>
      </c>
      <c r="AM64" s="224" t="e">
        <f t="shared" si="58"/>
        <v>#DIV/0!</v>
      </c>
      <c r="AN64" s="432"/>
      <c r="AO64" s="224"/>
      <c r="AP64" s="224"/>
      <c r="AQ64" s="226" t="e">
        <f t="shared" ref="AQ64:AQ67" si="68">AP64/AO64</f>
        <v>#DIV/0!</v>
      </c>
      <c r="AR64" s="224" t="e">
        <f t="shared" si="60"/>
        <v>#DIV/0!</v>
      </c>
      <c r="AS64" s="432"/>
      <c r="AT64" s="224"/>
      <c r="AU64" s="224"/>
      <c r="AV64" s="226" t="e">
        <f t="shared" ref="AV64:AV67" si="69">AU64/AT64</f>
        <v>#DIV/0!</v>
      </c>
      <c r="AW64" s="224" t="e">
        <f t="shared" si="62"/>
        <v>#DIV/0!</v>
      </c>
      <c r="AX64" s="432"/>
    </row>
    <row r="65" spans="2:50">
      <c r="B65" s="427"/>
      <c r="C65" s="224">
        <v>13</v>
      </c>
      <c r="D65" s="224" t="s">
        <v>560</v>
      </c>
      <c r="E65" s="225">
        <f>VLOOKUP(D65,'10產線配置圖'!$A$2:$C$25,2,0)</f>
        <v>19</v>
      </c>
      <c r="F65" s="225">
        <f>VLOOKUP(D65,'10產線配置圖'!$A$2:$C$25,3,0)</f>
        <v>1600</v>
      </c>
      <c r="G65" s="226">
        <f t="shared" si="47"/>
        <v>84.21052631578948</v>
      </c>
      <c r="H65" s="435"/>
      <c r="I65" s="225" t="e">
        <f t="shared" si="48"/>
        <v>#DIV/0!</v>
      </c>
      <c r="J65" s="225" t="e">
        <f t="shared" si="48"/>
        <v>#DIV/0!</v>
      </c>
      <c r="K65" s="226" t="e">
        <f t="shared" si="48"/>
        <v>#DIV/0!</v>
      </c>
      <c r="L65" s="435"/>
      <c r="M65" s="225" t="e">
        <f>RANK(K65, K$53:$K$67)</f>
        <v>#DIV/0!</v>
      </c>
      <c r="N65" s="419"/>
      <c r="O65" s="419"/>
      <c r="P65" s="224"/>
      <c r="Q65" s="224"/>
      <c r="R65" s="226" t="e">
        <f t="shared" si="63"/>
        <v>#DIV/0!</v>
      </c>
      <c r="S65" s="224" t="e">
        <f t="shared" si="50"/>
        <v>#DIV/0!</v>
      </c>
      <c r="T65" s="432"/>
      <c r="U65" s="224"/>
      <c r="V65" s="225"/>
      <c r="W65" s="226" t="e">
        <f t="shared" si="64"/>
        <v>#DIV/0!</v>
      </c>
      <c r="X65" s="224" t="e">
        <f t="shared" si="52"/>
        <v>#DIV/0!</v>
      </c>
      <c r="Y65" s="432"/>
      <c r="Z65" s="224"/>
      <c r="AA65" s="224"/>
      <c r="AB65" s="226" t="e">
        <f t="shared" si="65"/>
        <v>#DIV/0!</v>
      </c>
      <c r="AC65" s="224" t="e">
        <f t="shared" si="54"/>
        <v>#DIV/0!</v>
      </c>
      <c r="AD65" s="432"/>
      <c r="AE65" s="224"/>
      <c r="AF65" s="224"/>
      <c r="AG65" s="226" t="e">
        <f t="shared" si="66"/>
        <v>#DIV/0!</v>
      </c>
      <c r="AH65" s="224" t="e">
        <f t="shared" si="56"/>
        <v>#DIV/0!</v>
      </c>
      <c r="AI65" s="432"/>
      <c r="AJ65" s="224"/>
      <c r="AK65" s="224"/>
      <c r="AL65" s="226" t="e">
        <f t="shared" si="67"/>
        <v>#DIV/0!</v>
      </c>
      <c r="AM65" s="224" t="e">
        <f t="shared" si="58"/>
        <v>#DIV/0!</v>
      </c>
      <c r="AN65" s="432"/>
      <c r="AO65" s="224"/>
      <c r="AP65" s="224"/>
      <c r="AQ65" s="226" t="e">
        <f t="shared" si="68"/>
        <v>#DIV/0!</v>
      </c>
      <c r="AR65" s="224" t="e">
        <f t="shared" si="60"/>
        <v>#DIV/0!</v>
      </c>
      <c r="AS65" s="432"/>
      <c r="AT65" s="224"/>
      <c r="AU65" s="224"/>
      <c r="AV65" s="226" t="e">
        <f t="shared" si="69"/>
        <v>#DIV/0!</v>
      </c>
      <c r="AW65" s="224" t="e">
        <f t="shared" si="62"/>
        <v>#DIV/0!</v>
      </c>
      <c r="AX65" s="432"/>
    </row>
    <row r="66" spans="2:50">
      <c r="B66" s="427"/>
      <c r="C66" s="224">
        <v>14</v>
      </c>
      <c r="D66" s="224" t="s">
        <v>462</v>
      </c>
      <c r="E66" s="225">
        <f>VLOOKUP(D66,'10產線配置圖'!$A$2:$C$25,2,0)</f>
        <v>17</v>
      </c>
      <c r="F66" s="225">
        <f>VLOOKUP(D66,'10產線配置圖'!$A$2:$C$25,3,0)</f>
        <v>1636</v>
      </c>
      <c r="G66" s="226">
        <f t="shared" si="47"/>
        <v>96.235294117647058</v>
      </c>
      <c r="H66" s="435"/>
      <c r="I66" s="225" t="e">
        <f t="shared" si="48"/>
        <v>#DIV/0!</v>
      </c>
      <c r="J66" s="225" t="e">
        <f t="shared" si="48"/>
        <v>#DIV/0!</v>
      </c>
      <c r="K66" s="226" t="e">
        <f t="shared" si="48"/>
        <v>#DIV/0!</v>
      </c>
      <c r="L66" s="435"/>
      <c r="M66" s="225" t="e">
        <f>RANK(K66, K$53:$K$67)</f>
        <v>#DIV/0!</v>
      </c>
      <c r="N66" s="419"/>
      <c r=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6" s="432"/>
      <c r="U66" s="224"/>
      <c r="V66" s="224"/>
      <c r="W66" s="226" t="e">
        <f t="shared" si="64"/>
        <v>#DIV/0!</v>
      </c>
      <c r="X66" s="224" t="e">
        <f>RANK(W66,$W$53:$W$67)</f>
        <v>#DIV/0!</v>
      </c>
      <c r="Y66" s="432"/>
      <c r="Z66" s="224"/>
      <c r="AA66" s="224"/>
      <c r="AB66" s="226" t="e">
        <f t="shared" si="65"/>
        <v>#DIV/0!</v>
      </c>
      <c r="AC66" s="224" t="e">
        <f>RANK(AB66, $AB$53:$AB$67)</f>
        <v>#DIV/0!</v>
      </c>
      <c r="AD66" s="432"/>
      <c r="AE66" s="224"/>
      <c r="AF66" s="224"/>
      <c r="AG66" s="226" t="e">
        <f t="shared" si="66"/>
        <v>#DIV/0!</v>
      </c>
      <c r="AH66" s="224" t="e">
        <f t="shared" si="56"/>
        <v>#DIV/0!</v>
      </c>
      <c r="AI66" s="432"/>
      <c r="AJ66" s="224"/>
      <c r="AK66" s="224"/>
      <c r="AL66" s="226" t="e">
        <f t="shared" si="67"/>
        <v>#DIV/0!</v>
      </c>
      <c r="AM66" s="224" t="e">
        <f t="shared" si="58"/>
        <v>#DIV/0!</v>
      </c>
      <c r="AN66" s="432"/>
      <c r="AO66" s="224"/>
      <c r="AP66" s="224"/>
      <c r="AQ66" s="226" t="e">
        <f t="shared" si="68"/>
        <v>#DIV/0!</v>
      </c>
      <c r="AR66" s="224" t="e">
        <f t="shared" si="60"/>
        <v>#DIV/0!</v>
      </c>
      <c r="AS66" s="432"/>
      <c r="AT66" s="224"/>
      <c r="AU66" s="224"/>
      <c r="AV66" s="226" t="e">
        <f t="shared" si="69"/>
        <v>#DIV/0!</v>
      </c>
      <c r="AW66" s="224" t="e">
        <f t="shared" si="62"/>
        <v>#DIV/0!</v>
      </c>
      <c r="AX66" s="432"/>
    </row>
    <row r="67" spans="2:50">
      <c r="B67" s="427"/>
      <c r="C67" s="224">
        <v>15</v>
      </c>
      <c r="D67" s="224"/>
      <c r="E67" s="224"/>
      <c r="F67" s="224"/>
      <c r="G67" s="226"/>
      <c r="H67" s="436"/>
      <c r="I67" s="224" t="e">
        <f t="shared" si="48"/>
        <v>#DIV/0!</v>
      </c>
      <c r="J67" s="225" t="e">
        <f t="shared" si="48"/>
        <v>#DIV/0!</v>
      </c>
      <c r="K67" s="226" t="e">
        <f t="shared" si="48"/>
        <v>#DIV/0!</v>
      </c>
      <c r="L67" s="436"/>
      <c r="M67" s="225" t="e">
        <f>RANK(K67, K$53:$K$67)</f>
        <v>#DIV/0!</v>
      </c>
      <c r="N67" s="419"/>
      <c r="O67" s="419"/>
      <c r="P67" s="224"/>
      <c r="Q67" s="224"/>
      <c r="R67" s="226" t="e">
        <f t="shared" si="63"/>
        <v>#DIV/0!</v>
      </c>
      <c r="S67" s="224" t="e">
        <f>RANK(R67, $R$53:$R$67)</f>
        <v>#DIV/0!</v>
      </c>
      <c r="T67" s="432"/>
      <c r="U67" s="224"/>
      <c r="V67" s="224"/>
      <c r="W67" s="226" t="e">
        <f t="shared" si="64"/>
        <v>#DIV/0!</v>
      </c>
      <c r="X67" s="224" t="e">
        <f>RANK(W67,$W$53:$W$67)</f>
        <v>#DIV/0!</v>
      </c>
      <c r="Y67" s="432"/>
      <c r="Z67" s="224"/>
      <c r="AA67" s="224"/>
      <c r="AB67" s="226" t="e">
        <f t="shared" si="65"/>
        <v>#DIV/0!</v>
      </c>
      <c r="AC67" s="224" t="e">
        <f t="shared" si="54"/>
        <v>#DIV/0!</v>
      </c>
      <c r="AD67" s="432"/>
      <c r="AE67" s="224"/>
      <c r="AF67" s="224"/>
      <c r="AG67" s="226" t="e">
        <f t="shared" si="66"/>
        <v>#DIV/0!</v>
      </c>
      <c r="AH67" s="224" t="e">
        <f t="shared" si="56"/>
        <v>#DIV/0!</v>
      </c>
      <c r="AI67" s="432"/>
      <c r="AJ67" s="224"/>
      <c r="AK67" s="224"/>
      <c r="AL67" s="226" t="e">
        <f t="shared" si="67"/>
        <v>#DIV/0!</v>
      </c>
      <c r="AM67" s="224" t="e">
        <f t="shared" si="58"/>
        <v>#DIV/0!</v>
      </c>
      <c r="AN67" s="432"/>
      <c r="AO67" s="224"/>
      <c r="AP67" s="224"/>
      <c r="AQ67" s="226" t="e">
        <f t="shared" si="68"/>
        <v>#DIV/0!</v>
      </c>
      <c r="AR67" s="224" t="e">
        <f t="shared" si="60"/>
        <v>#DIV/0!</v>
      </c>
      <c r="AS67" s="432"/>
      <c r="AT67" s="224"/>
      <c r="AU67" s="224"/>
      <c r="AV67" s="226" t="e">
        <f t="shared" si="69"/>
        <v>#DIV/0!</v>
      </c>
      <c r="AW67" s="224" t="e">
        <f t="shared" si="62"/>
        <v>#DIV/0!</v>
      </c>
      <c r="AX67" s="432"/>
    </row>
    <row r="68" spans="2:50" ht="15.75">
      <c r="B68" s="423" t="s">
        <v>384</v>
      </c>
      <c r="C68" s="424"/>
      <c r="D68" s="424"/>
      <c r="E68" s="424"/>
      <c r="F68" s="424"/>
      <c r="G68" s="424"/>
      <c r="H68" s="424"/>
      <c r="I68" s="229"/>
      <c r="J68" s="229"/>
      <c r="K68" s="229"/>
      <c r="L68" s="229"/>
      <c r="M68" s="230"/>
      <c r="N68" s="413" t="s">
        <v>421</v>
      </c>
      <c r="O68" s="413" t="s">
        <v>386</v>
      </c>
      <c r="P68" s="426">
        <v>45951</v>
      </c>
      <c r="Q68" s="427"/>
      <c r="R68" s="427"/>
      <c r="S68" s="427"/>
      <c r="T68" s="427"/>
      <c r="U68" s="426">
        <v>45952</v>
      </c>
      <c r="V68" s="427"/>
      <c r="W68" s="427"/>
      <c r="X68" s="427"/>
      <c r="Y68" s="427"/>
      <c r="Z68" s="426">
        <v>45953</v>
      </c>
      <c r="AA68" s="427"/>
      <c r="AB68" s="427"/>
      <c r="AC68" s="427"/>
      <c r="AD68" s="427"/>
      <c r="AE68" s="426">
        <v>45954</v>
      </c>
      <c r="AF68" s="427"/>
      <c r="AG68" s="427"/>
      <c r="AH68" s="427"/>
      <c r="AI68" s="427"/>
      <c r="AJ68" s="426">
        <v>45955</v>
      </c>
      <c r="AK68" s="427"/>
      <c r="AL68" s="427"/>
      <c r="AM68" s="427"/>
      <c r="AN68" s="427"/>
      <c r="AO68" s="426">
        <v>45956</v>
      </c>
      <c r="AP68" s="427"/>
      <c r="AQ68" s="427"/>
      <c r="AR68" s="427"/>
      <c r="AS68" s="427"/>
      <c r="AT68" s="426">
        <v>45957</v>
      </c>
      <c r="AU68" s="427"/>
      <c r="AV68" s="427"/>
      <c r="AW68" s="427"/>
      <c r="AX68" s="427"/>
    </row>
    <row r="69" spans="2:50" ht="15.75">
      <c r="B69" s="425"/>
      <c r="C69" s="425"/>
      <c r="D69" s="425"/>
      <c r="E69" s="425"/>
      <c r="F69" s="425"/>
      <c r="G69" s="425"/>
      <c r="H69" s="425"/>
      <c r="I69" s="220"/>
      <c r="J69" s="220"/>
      <c r="K69" s="220"/>
      <c r="L69" s="220"/>
      <c r="M69" s="221"/>
      <c r="N69" s="415"/>
      <c r="O69" s="415"/>
      <c r="P69" s="426" t="s">
        <v>387</v>
      </c>
      <c r="Q69" s="427"/>
      <c r="R69" s="427"/>
      <c r="S69" s="427"/>
      <c r="T69" s="427"/>
      <c r="U69" s="426" t="s">
        <v>422</v>
      </c>
      <c r="V69" s="427"/>
      <c r="W69" s="427"/>
      <c r="X69" s="427"/>
      <c r="Y69" s="427"/>
      <c r="Z69" s="426" t="s">
        <v>414</v>
      </c>
      <c r="AA69" s="427"/>
      <c r="AB69" s="427"/>
      <c r="AC69" s="427"/>
      <c r="AD69" s="427"/>
      <c r="AE69" s="426" t="s">
        <v>423</v>
      </c>
      <c r="AF69" s="427"/>
      <c r="AG69" s="427"/>
      <c r="AH69" s="427"/>
      <c r="AI69" s="427"/>
      <c r="AJ69" s="426" t="s">
        <v>415</v>
      </c>
      <c r="AK69" s="427"/>
      <c r="AL69" s="427"/>
      <c r="AM69" s="427"/>
      <c r="AN69" s="427"/>
      <c r="AO69" s="426" t="s">
        <v>416</v>
      </c>
      <c r="AP69" s="427"/>
      <c r="AQ69" s="427"/>
      <c r="AR69" s="427"/>
      <c r="AS69" s="427"/>
      <c r="AT69" s="426" t="s">
        <v>393</v>
      </c>
      <c r="AU69" s="427"/>
      <c r="AV69" s="427"/>
      <c r="AW69" s="427"/>
      <c r="AX69" s="427"/>
    </row>
    <row r="70" spans="2:50">
      <c r="B70" s="419" t="s">
        <v>424</v>
      </c>
      <c r="C70" s="433" t="s">
        <v>146</v>
      </c>
      <c r="D70" s="419"/>
      <c r="E70" s="419" t="s">
        <v>417</v>
      </c>
      <c r="F70" s="419"/>
      <c r="G70" s="419"/>
      <c r="H70" s="420" t="s">
        <v>403</v>
      </c>
      <c r="I70" s="419" t="s">
        <v>426</v>
      </c>
      <c r="J70" s="419"/>
      <c r="K70" s="419"/>
      <c r="L70" s="420" t="s">
        <v>403</v>
      </c>
      <c r="M70" s="431" t="s">
        <v>166</v>
      </c>
      <c r="N70" s="413"/>
      <c r="O70" s="413" t="s">
        <v>418</v>
      </c>
      <c r="P70" s="416" t="s">
        <v>401</v>
      </c>
      <c r="Q70" s="417"/>
      <c r="R70" s="417"/>
      <c r="S70" s="418"/>
      <c r="T70" s="419" t="s">
        <v>403</v>
      </c>
      <c r="U70" s="416" t="s">
        <v>402</v>
      </c>
      <c r="V70" s="417"/>
      <c r="W70" s="417"/>
      <c r="X70" s="418"/>
      <c r="Y70" s="419" t="s">
        <v>403</v>
      </c>
      <c r="Z70" s="416" t="s">
        <v>402</v>
      </c>
      <c r="AA70" s="417"/>
      <c r="AB70" s="417"/>
      <c r="AC70" s="418"/>
      <c r="AD70" s="419" t="s">
        <v>403</v>
      </c>
      <c r="AE70" s="416" t="s">
        <v>402</v>
      </c>
      <c r="AF70" s="417"/>
      <c r="AG70" s="417"/>
      <c r="AH70" s="418"/>
      <c r="AI70" s="419" t="s">
        <v>397</v>
      </c>
      <c r="AJ70" s="416" t="s">
        <v>402</v>
      </c>
      <c r="AK70" s="417"/>
      <c r="AL70" s="417"/>
      <c r="AM70" s="418"/>
      <c r="AN70" s="419" t="s">
        <v>397</v>
      </c>
      <c r="AO70" s="416" t="s">
        <v>402</v>
      </c>
      <c r="AP70" s="417"/>
      <c r="AQ70" s="417"/>
      <c r="AR70" s="418"/>
      <c r="AS70" s="419" t="s">
        <v>397</v>
      </c>
      <c r="AT70" s="416" t="s">
        <v>402</v>
      </c>
      <c r="AU70" s="417"/>
      <c r="AV70" s="417"/>
      <c r="AW70" s="418"/>
      <c r="AX70" s="419" t="s">
        <v>403</v>
      </c>
    </row>
    <row r="71" spans="2:50">
      <c r="B71" s="419"/>
      <c r="C71" s="419"/>
      <c r="D71" s="419"/>
      <c r="E71" s="419" t="s">
        <v>419</v>
      </c>
      <c r="F71" s="419"/>
      <c r="G71" s="419"/>
      <c r="H71" s="421"/>
      <c r="I71" s="419" t="s">
        <v>419</v>
      </c>
      <c r="J71" s="419"/>
      <c r="K71" s="419"/>
      <c r="L71" s="421"/>
      <c r="M71" s="414"/>
      <c r="N71" s="414"/>
      <c r="O71" s="414"/>
      <c r="P71" s="416" t="s">
        <v>406</v>
      </c>
      <c r="Q71" s="417"/>
      <c r="R71" s="417"/>
      <c r="S71" s="418"/>
      <c r="T71" s="419"/>
      <c r="U71" s="416" t="s">
        <v>406</v>
      </c>
      <c r="V71" s="417"/>
      <c r="W71" s="417"/>
      <c r="X71" s="418"/>
      <c r="Y71" s="419"/>
      <c r="Z71" s="416" t="s">
        <v>406</v>
      </c>
      <c r="AA71" s="417"/>
      <c r="AB71" s="417"/>
      <c r="AC71" s="418"/>
      <c r="AD71" s="419"/>
      <c r="AE71" s="416" t="s">
        <v>406</v>
      </c>
      <c r="AF71" s="417"/>
      <c r="AG71" s="417"/>
      <c r="AH71" s="418"/>
      <c r="AI71" s="419"/>
      <c r="AJ71" s="416" t="s">
        <v>406</v>
      </c>
      <c r="AK71" s="417"/>
      <c r="AL71" s="417"/>
      <c r="AM71" s="418"/>
      <c r="AN71" s="419"/>
      <c r="AO71" s="416" t="s">
        <v>406</v>
      </c>
      <c r="AP71" s="417"/>
      <c r="AQ71" s="417"/>
      <c r="AR71" s="418"/>
      <c r="AS71" s="419"/>
      <c r="AT71" s="416" t="s">
        <v>406</v>
      </c>
      <c r="AU71" s="417"/>
      <c r="AV71" s="417"/>
      <c r="AW71" s="418"/>
      <c r="AX71" s="419"/>
    </row>
    <row r="72" spans="2:50">
      <c r="B72" s="419"/>
      <c r="C72" s="419"/>
      <c r="D72" s="419"/>
      <c r="E72" s="223" t="s">
        <v>411</v>
      </c>
      <c r="F72" s="223" t="s">
        <v>410</v>
      </c>
      <c r="G72" s="223" t="s">
        <v>420</v>
      </c>
      <c r="H72" s="422"/>
      <c r="I72" s="223" t="s">
        <v>407</v>
      </c>
      <c r="J72" s="223" t="s">
        <v>410</v>
      </c>
      <c r="K72" s="223" t="s">
        <v>420</v>
      </c>
      <c r="L72" s="422"/>
      <c r="M72" s="415"/>
      <c r="N72" s="414"/>
      <c r="O72" s="414"/>
      <c r="P72" s="223" t="s">
        <v>411</v>
      </c>
      <c r="Q72" s="223" t="s">
        <v>408</v>
      </c>
      <c r="R72" s="223" t="s">
        <v>420</v>
      </c>
      <c r="S72" s="223" t="s">
        <v>399</v>
      </c>
      <c r="T72" s="419"/>
      <c r="U72" s="223" t="s">
        <v>407</v>
      </c>
      <c r="V72" s="223" t="s">
        <v>410</v>
      </c>
      <c r="W72" s="223" t="s">
        <v>420</v>
      </c>
      <c r="X72" s="223" t="s">
        <v>412</v>
      </c>
      <c r="Y72" s="419"/>
      <c r="Z72" s="223" t="s">
        <v>407</v>
      </c>
      <c r="AA72" s="223" t="s">
        <v>410</v>
      </c>
      <c r="AB72" s="223" t="s">
        <v>420</v>
      </c>
      <c r="AC72" s="223" t="s">
        <v>399</v>
      </c>
      <c r="AD72" s="419"/>
      <c r="AE72" s="223" t="s">
        <v>411</v>
      </c>
      <c r="AF72" s="223" t="s">
        <v>408</v>
      </c>
      <c r="AG72" s="223" t="s">
        <v>420</v>
      </c>
      <c r="AH72" s="223" t="s">
        <v>412</v>
      </c>
      <c r="AI72" s="419"/>
      <c r="AJ72" s="223" t="s">
        <v>407</v>
      </c>
      <c r="AK72" s="223" t="s">
        <v>410</v>
      </c>
      <c r="AL72" s="223" t="s">
        <v>420</v>
      </c>
      <c r="AM72" s="223" t="s">
        <v>412</v>
      </c>
      <c r="AN72" s="419"/>
      <c r="AO72" s="223" t="s">
        <v>407</v>
      </c>
      <c r="AP72" s="223" t="s">
        <v>410</v>
      </c>
      <c r="AQ72" s="223" t="s">
        <v>420</v>
      </c>
      <c r="AR72" s="223" t="s">
        <v>412</v>
      </c>
      <c r="AS72" s="419"/>
      <c r="AT72" s="223" t="s">
        <v>411</v>
      </c>
      <c r="AU72" s="223" t="s">
        <v>408</v>
      </c>
      <c r="AV72" s="223" t="s">
        <v>420</v>
      </c>
      <c r="AW72" s="223" t="s">
        <v>412</v>
      </c>
      <c r="AX72" s="419"/>
    </row>
    <row r="73" spans="2:50" ht="13.5">
      <c r="B73" s="428" t="s">
        <v>136</v>
      </c>
      <c r="C73" s="224">
        <v>1</v>
      </c>
      <c r="D73" s="228" t="s">
        <v>363</v>
      </c>
      <c r="E73" s="225">
        <f>VLOOKUP(D73,'10產線配置圖'!$A$2:$C$25,2,0)</f>
        <v>12</v>
      </c>
      <c r="F73" s="225">
        <f>VLOOKUP(D73,'10產線配置圖'!$A$2:$C$25,3,0)</f>
        <v>2000</v>
      </c>
      <c r="G73" s="226">
        <f>F73/E73</f>
        <v>166.66666666666666</v>
      </c>
      <c r="H73" s="408">
        <f>AVERAGE(G73:G87)</f>
        <v>109.54751468738642</v>
      </c>
      <c r="I73" s="225" t="e">
        <f>AVERAGE(P73,U73,Z73,AE73,AJ73,AO73,AT73)</f>
        <v>#DIV/0!</v>
      </c>
      <c r="J73" s="225" t="e">
        <f>AVERAGE(Q73,V73,AA73,AF73,AK73,AP73,AU73)</f>
        <v>#DIV/0!</v>
      </c>
      <c r="K73" s="226" t="e">
        <f>AVERAGE(R73,W73,AB73,AG73,AL73,AQ73,AV73)</f>
        <v>#DIV/0!</v>
      </c>
      <c r="L73" s="408" t="str">
        <f>IFERROR(AVERAGE(K73:K90),"-")</f>
        <v>-</v>
      </c>
      <c r="M73" s="225" t="e">
        <f>RANK(K73, $K$73:$K$90)</f>
        <v>#DIV/0!</v>
      </c>
      <c r="N73" s="414"/>
      <c r="O73" s="414"/>
      <c r="P73" s="225"/>
      <c r="Q73" s="225"/>
      <c r="R73" s="158" t="e">
        <f>Q73/P73</f>
        <v>#DIV/0!</v>
      </c>
      <c r="S73" s="110" t="e">
        <f>RANK(R73, $R$73:$R$90)</f>
        <v>#DIV/0!</v>
      </c>
      <c r="T73" s="408" t="e">
        <f>AVERAGE(R73:R90)</f>
        <v>#DIV/0!</v>
      </c>
      <c r="U73" s="225"/>
      <c r="V73" s="225"/>
      <c r="W73" s="226" t="e">
        <f>V73/U73</f>
        <v>#DIV/0!</v>
      </c>
      <c r="X73" s="224" t="e">
        <f>RANK(W73, $W$73:$W$90)</f>
        <v>#DIV/0!</v>
      </c>
      <c r="Y73" s="408" t="e">
        <f>AVERAGE(W73:W90)</f>
        <v>#DIV/0!</v>
      </c>
      <c r="Z73" s="225"/>
      <c r="AA73" s="225"/>
      <c r="AB73" s="226" t="e">
        <f>AA73/Z73</f>
        <v>#DIV/0!</v>
      </c>
      <c r="AC73" s="224" t="e">
        <f>RANK(AB73, $AB$73:$AB$90)</f>
        <v>#DIV/0!</v>
      </c>
      <c r="AD73" s="408" t="e">
        <f>AVERAGE(AB73:AB90)</f>
        <v>#DIV/0!</v>
      </c>
      <c r="AE73" s="225"/>
      <c r="AF73" s="225"/>
      <c r="AG73" s="226" t="e">
        <f>AF73/AE73</f>
        <v>#DIV/0!</v>
      </c>
      <c r="AH73" s="224" t="e">
        <f>RANK(AG73, $AG$73:$AG$90)</f>
        <v>#DIV/0!</v>
      </c>
      <c r="AI73" s="408" t="e">
        <f>AVERAGE(AG73:AG90)</f>
        <v>#DIV/0!</v>
      </c>
      <c r="AJ73" s="225"/>
      <c r="AK73" s="225"/>
      <c r="AL73" s="226" t="e">
        <f>AK73/AJ73</f>
        <v>#DIV/0!</v>
      </c>
      <c r="AM73" s="224" t="e">
        <f>RANK(AL73, $AL$73:$AL$90)</f>
        <v>#DIV/0!</v>
      </c>
      <c r="AN73" s="408" t="e">
        <f>AVERAGE(AL73:AL90)</f>
        <v>#DIV/0!</v>
      </c>
      <c r="AO73" s="225"/>
      <c r="AP73" s="225"/>
      <c r="AQ73" s="226" t="e">
        <f>AP73/AO73</f>
        <v>#DIV/0!</v>
      </c>
      <c r="AR73" s="224" t="e">
        <f>RANK(AQ73, $AQ$73:$AQ$90)</f>
        <v>#DIV/0!</v>
      </c>
      <c r="AS73" s="408" t="e">
        <f>AVERAGE(AQ73:AQ90)</f>
        <v>#DIV/0!</v>
      </c>
      <c r="AT73" s="225"/>
      <c r="AU73" s="225"/>
      <c r="AV73" s="226" t="e">
        <f>AU73/AT73</f>
        <v>#DIV/0!</v>
      </c>
      <c r="AW73" s="224" t="e">
        <f>RANK(AV73, $AV$73:$AV$90)</f>
        <v>#DIV/0!</v>
      </c>
      <c r="AX73" s="408" t="e">
        <f>AVERAGE(AV73:AV90)</f>
        <v>#DIV/0!</v>
      </c>
    </row>
    <row r="74" spans="2:50">
      <c r="B74" s="429"/>
      <c r="C74" s="224">
        <v>2</v>
      </c>
      <c r="D74" s="224" t="s">
        <v>357</v>
      </c>
      <c r="E74" s="225">
        <f>VLOOKUP(D74,'10產線配置圖'!$A$2:$C$25,2,0)</f>
        <v>13</v>
      </c>
      <c r="F74" s="225">
        <f>VLOOKUP(D74,'10產線配置圖'!$A$2:$C$25,3,0)</f>
        <v>2000</v>
      </c>
      <c r="G74" s="226">
        <f t="shared" ref="G74:G86" si="70">F74/E74</f>
        <v>153.84615384615384</v>
      </c>
      <c r="H74" s="409"/>
      <c r="I74" s="225" t="e">
        <f t="shared" ref="I74:K82" si="71">AVERAGE(P74,U74,Z74,AE74,AJ74,AO74,AT74)</f>
        <v>#DIV/0!</v>
      </c>
      <c r="J74" s="225" t="e">
        <f t="shared" si="71"/>
        <v>#DIV/0!</v>
      </c>
      <c r="K74" s="226" t="e">
        <f t="shared" si="71"/>
        <v>#DIV/0!</v>
      </c>
      <c r="L74" s="409"/>
      <c r="M74" s="225" t="e">
        <f t="shared" ref="M74:M89" si="72">RANK(K74, $K$73:$K$90)</f>
        <v>#DIV/0!</v>
      </c>
      <c r="N74" s="414"/>
      <c r="O74" s="414"/>
      <c r="P74" s="225"/>
      <c r="Q74" s="225"/>
      <c r="R74" s="158" t="e">
        <f t="shared" ref="R74:R89" si="73">Q74/P74</f>
        <v>#DIV/0!</v>
      </c>
      <c r="S74" s="110" t="e">
        <f t="shared" ref="S74:S89" si="74">RANK(R74, $R$73:$R$90)</f>
        <v>#DIV/0!</v>
      </c>
      <c r="T74" s="409"/>
      <c r="U74" s="225"/>
      <c r="V74" s="225"/>
      <c r="W74" s="226" t="e">
        <f t="shared" ref="W74:W82" si="75">V74/U74</f>
        <v>#DIV/0!</v>
      </c>
      <c r="X74" s="224" t="e">
        <f t="shared" ref="X74:X89" si="76">RANK(W74, $W$73:$W$90)</f>
        <v>#DIV/0!</v>
      </c>
      <c r="Y74" s="409"/>
      <c r="Z74" s="225"/>
      <c r="AA74" s="225"/>
      <c r="AB74" s="226" t="e">
        <f t="shared" ref="AB74:AB82" si="77">AA74/Z74</f>
        <v>#DIV/0!</v>
      </c>
      <c r="AC74" s="224" t="e">
        <f t="shared" ref="AC74:AC89" si="78">RANK(AB74, $AB$73:$AB$90)</f>
        <v>#DIV/0!</v>
      </c>
      <c r="AD74" s="409"/>
      <c r="AE74" s="225"/>
      <c r="AF74" s="225"/>
      <c r="AG74" s="226" t="e">
        <f t="shared" ref="AG74:AG82" si="79">AF74/AE74</f>
        <v>#DIV/0!</v>
      </c>
      <c r="AH74" s="224" t="e">
        <f t="shared" ref="AH74:AH89" si="80">RANK(AG74, $AG$73:$AG$90)</f>
        <v>#DIV/0!</v>
      </c>
      <c r="AI74" s="409"/>
      <c r="AJ74" s="225"/>
      <c r="AK74" s="225"/>
      <c r="AL74" s="226" t="e">
        <f t="shared" ref="AL74:AL82" si="81">AK74/AJ74</f>
        <v>#DIV/0!</v>
      </c>
      <c r="AM74" s="224" t="e">
        <f t="shared" ref="AM74:AM89" si="82">RANK(AL74, $AL$73:$AL$90)</f>
        <v>#DIV/0!</v>
      </c>
      <c r="AN74" s="409"/>
      <c r="AO74" s="225"/>
      <c r="AP74" s="225"/>
      <c r="AQ74" s="226" t="e">
        <f t="shared" ref="AQ74:AQ82" si="83">AP74/AO74</f>
        <v>#DIV/0!</v>
      </c>
      <c r="AR74" s="224" t="e">
        <f t="shared" ref="AR74:AR89" si="84">RANK(AQ74, $AQ$73:$AQ$90)</f>
        <v>#DIV/0!</v>
      </c>
      <c r="AS74" s="409"/>
      <c r="AT74" s="225"/>
      <c r="AU74" s="225"/>
      <c r="AV74" s="226" t="e">
        <f t="shared" ref="AV74:AV82" si="85">AU74/AT74</f>
        <v>#DIV/0!</v>
      </c>
      <c r="AW74" s="224" t="e">
        <f t="shared" ref="AW74:AW89" si="86">RANK(AV74, $AV$73:$AV$90)</f>
        <v>#DIV/0!</v>
      </c>
      <c r="AX74" s="409"/>
    </row>
    <row r="75" spans="2:50">
      <c r="B75" s="429"/>
      <c r="C75" s="224">
        <v>3</v>
      </c>
      <c r="D75" s="224" t="s">
        <v>358</v>
      </c>
      <c r="E75" s="225">
        <f>VLOOKUP(D75,'10產線配置圖'!$A$2:$C$25,2,0)</f>
        <v>16</v>
      </c>
      <c r="F75" s="225">
        <f>VLOOKUP(D75,'10產線配置圖'!$A$2:$C$25,3,0)</f>
        <v>1915</v>
      </c>
      <c r="G75" s="226">
        <f t="shared" si="70"/>
        <v>119.6875</v>
      </c>
      <c r="H75" s="409"/>
      <c r="I75" s="225" t="e">
        <f t="shared" si="71"/>
        <v>#DIV/0!</v>
      </c>
      <c r="J75" s="225" t="e">
        <f t="shared" si="71"/>
        <v>#DIV/0!</v>
      </c>
      <c r="K75" s="226" t="e">
        <f t="shared" si="71"/>
        <v>#DIV/0!</v>
      </c>
      <c r="L75" s="409"/>
      <c r="M75" s="225" t="e">
        <f t="shared" si="72"/>
        <v>#DIV/0!</v>
      </c>
      <c r="N75" s="414"/>
      <c r="O75" s="414"/>
      <c r="P75" s="225"/>
      <c r="Q75" s="225"/>
      <c r="R75" s="158" t="e">
        <f t="shared" si="73"/>
        <v>#DIV/0!</v>
      </c>
      <c r="S75" s="110" t="e">
        <f t="shared" si="74"/>
        <v>#DIV/0!</v>
      </c>
      <c r="T75" s="409"/>
      <c r="U75" s="225"/>
      <c r="V75" s="225"/>
      <c r="W75" s="226" t="e">
        <f t="shared" si="75"/>
        <v>#DIV/0!</v>
      </c>
      <c r="X75" s="224" t="e">
        <f t="shared" si="76"/>
        <v>#DIV/0!</v>
      </c>
      <c r="Y75" s="409"/>
      <c r="Z75" s="225"/>
      <c r="AA75" s="225"/>
      <c r="AB75" s="226" t="e">
        <f t="shared" si="77"/>
        <v>#DIV/0!</v>
      </c>
      <c r="AC75" s="224" t="e">
        <f t="shared" si="78"/>
        <v>#DIV/0!</v>
      </c>
      <c r="AD75" s="409"/>
      <c r="AE75" s="225"/>
      <c r="AF75" s="225"/>
      <c r="AG75" s="226" t="e">
        <f t="shared" si="79"/>
        <v>#DIV/0!</v>
      </c>
      <c r="AH75" s="224" t="e">
        <f t="shared" si="80"/>
        <v>#DIV/0!</v>
      </c>
      <c r="AI75" s="409"/>
      <c r="AJ75" s="225"/>
      <c r="AK75" s="225"/>
      <c r="AL75" s="226" t="e">
        <f t="shared" si="81"/>
        <v>#DIV/0!</v>
      </c>
      <c r="AM75" s="224" t="e">
        <f t="shared" si="82"/>
        <v>#DIV/0!</v>
      </c>
      <c r="AN75" s="409"/>
      <c r="AO75" s="225"/>
      <c r="AP75" s="225"/>
      <c r="AQ75" s="226" t="e">
        <f t="shared" si="83"/>
        <v>#DIV/0!</v>
      </c>
      <c r="AR75" s="224" t="e">
        <f t="shared" si="84"/>
        <v>#DIV/0!</v>
      </c>
      <c r="AS75" s="409"/>
      <c r="AT75" s="225"/>
      <c r="AU75" s="225"/>
      <c r="AV75" s="226" t="e">
        <f t="shared" si="85"/>
        <v>#DIV/0!</v>
      </c>
      <c r="AW75" s="224" t="e">
        <f t="shared" si="86"/>
        <v>#DIV/0!</v>
      </c>
      <c r="AX75" s="409"/>
    </row>
    <row r="76" spans="2:50">
      <c r="B76" s="429"/>
      <c r="C76" s="224">
        <v>4</v>
      </c>
      <c r="D76" s="224" t="s">
        <v>359</v>
      </c>
      <c r="E76" s="225">
        <f>VLOOKUP(D76,'10產線配置圖'!$A$2:$C$25,2,0)</f>
        <v>18</v>
      </c>
      <c r="F76" s="225">
        <f>VLOOKUP(D76,'10產線配置圖'!$A$2:$C$25,3,0)</f>
        <v>1565</v>
      </c>
      <c r="G76" s="226">
        <f t="shared" si="70"/>
        <v>86.944444444444443</v>
      </c>
      <c r="H76" s="409"/>
      <c r="I76" s="225" t="e">
        <f t="shared" si="71"/>
        <v>#DIV/0!</v>
      </c>
      <c r="J76" s="225" t="e">
        <f t="shared" si="71"/>
        <v>#DIV/0!</v>
      </c>
      <c r="K76" s="226" t="e">
        <f t="shared" si="71"/>
        <v>#DIV/0!</v>
      </c>
      <c r="L76" s="409"/>
      <c r="M76" s="225" t="e">
        <f t="shared" si="72"/>
        <v>#DIV/0!</v>
      </c>
      <c r="N76" s="414"/>
      <c r="O76" s="414"/>
      <c r="P76" s="225"/>
      <c r="Q76" s="225"/>
      <c r="R76" s="158" t="e">
        <f t="shared" si="73"/>
        <v>#DIV/0!</v>
      </c>
      <c r="S76" s="110" t="e">
        <f t="shared" si="74"/>
        <v>#DIV/0!</v>
      </c>
      <c r="T76" s="409"/>
      <c r="U76" s="225"/>
      <c r="V76" s="225"/>
      <c r="W76" s="226" t="e">
        <f t="shared" si="75"/>
        <v>#DIV/0!</v>
      </c>
      <c r="X76" s="224" t="e">
        <f t="shared" si="76"/>
        <v>#DIV/0!</v>
      </c>
      <c r="Y76" s="409"/>
      <c r="Z76" s="225"/>
      <c r="AA76" s="225"/>
      <c r="AB76" s="226" t="e">
        <f t="shared" si="77"/>
        <v>#DIV/0!</v>
      </c>
      <c r="AC76" s="224" t="e">
        <f t="shared" si="78"/>
        <v>#DIV/0!</v>
      </c>
      <c r="AD76" s="409"/>
      <c r="AE76" s="225"/>
      <c r="AF76" s="225"/>
      <c r="AG76" s="226" t="e">
        <f t="shared" si="79"/>
        <v>#DIV/0!</v>
      </c>
      <c r="AH76" s="224" t="e">
        <f t="shared" si="80"/>
        <v>#DIV/0!</v>
      </c>
      <c r="AI76" s="409"/>
      <c r="AJ76" s="225"/>
      <c r="AK76" s="225"/>
      <c r="AL76" s="226" t="e">
        <f t="shared" si="81"/>
        <v>#DIV/0!</v>
      </c>
      <c r="AM76" s="224" t="e">
        <f t="shared" si="82"/>
        <v>#DIV/0!</v>
      </c>
      <c r="AN76" s="409"/>
      <c r="AO76" s="225"/>
      <c r="AP76" s="225"/>
      <c r="AQ76" s="226" t="e">
        <f t="shared" si="83"/>
        <v>#DIV/0!</v>
      </c>
      <c r="AR76" s="224" t="e">
        <f t="shared" si="84"/>
        <v>#DIV/0!</v>
      </c>
      <c r="AS76" s="409"/>
      <c r="AT76" s="225"/>
      <c r="AU76" s="225"/>
      <c r="AV76" s="226" t="e">
        <f t="shared" si="85"/>
        <v>#DIV/0!</v>
      </c>
      <c r="AW76" s="224" t="e">
        <f t="shared" si="86"/>
        <v>#DIV/0!</v>
      </c>
      <c r="AX76" s="409"/>
    </row>
    <row r="77" spans="2:50">
      <c r="B77" s="429"/>
      <c r="C77" s="224">
        <v>5</v>
      </c>
      <c r="D77" s="224" t="s">
        <v>360</v>
      </c>
      <c r="E77" s="225">
        <f>VLOOKUP(D77,'10產線配置圖'!$A$2:$C$25,2,0)</f>
        <v>13</v>
      </c>
      <c r="F77" s="225">
        <f>VLOOKUP(D77,'10產線配置圖'!$A$2:$C$25,3,0)</f>
        <v>2000</v>
      </c>
      <c r="G77" s="226">
        <f t="shared" si="70"/>
        <v>153.84615384615384</v>
      </c>
      <c r="H77" s="409"/>
      <c r="I77" s="225" t="e">
        <f t="shared" si="71"/>
        <v>#DIV/0!</v>
      </c>
      <c r="J77" s="225" t="e">
        <f t="shared" si="71"/>
        <v>#DIV/0!</v>
      </c>
      <c r="K77" s="226" t="e">
        <f t="shared" si="71"/>
        <v>#DIV/0!</v>
      </c>
      <c r="L77" s="409"/>
      <c r="M77" s="225" t="e">
        <f t="shared" si="72"/>
        <v>#DIV/0!</v>
      </c>
      <c r="N77" s="414"/>
      <c r="O77" s="414"/>
      <c r="P77" s="225"/>
      <c r="Q77" s="225"/>
      <c r="R77" s="158" t="e">
        <f t="shared" si="73"/>
        <v>#DIV/0!</v>
      </c>
      <c r="S77" s="110" t="e">
        <f t="shared" si="74"/>
        <v>#DIV/0!</v>
      </c>
      <c r="T77" s="409"/>
      <c r="U77" s="225"/>
      <c r="V77" s="225"/>
      <c r="W77" s="226" t="e">
        <f t="shared" si="75"/>
        <v>#DIV/0!</v>
      </c>
      <c r="X77" s="224" t="e">
        <f t="shared" si="76"/>
        <v>#DIV/0!</v>
      </c>
      <c r="Y77" s="409"/>
      <c r="Z77" s="225"/>
      <c r="AA77" s="225"/>
      <c r="AB77" s="226" t="e">
        <f t="shared" si="77"/>
        <v>#DIV/0!</v>
      </c>
      <c r="AC77" s="224" t="e">
        <f t="shared" si="78"/>
        <v>#DIV/0!</v>
      </c>
      <c r="AD77" s="409"/>
      <c r="AE77" s="225"/>
      <c r="AF77" s="225"/>
      <c r="AG77" s="226" t="e">
        <f t="shared" si="79"/>
        <v>#DIV/0!</v>
      </c>
      <c r="AH77" s="224" t="e">
        <f t="shared" si="80"/>
        <v>#DIV/0!</v>
      </c>
      <c r="AI77" s="409"/>
      <c r="AJ77" s="225"/>
      <c r="AK77" s="225"/>
      <c r="AL77" s="226" t="e">
        <f t="shared" si="81"/>
        <v>#DIV/0!</v>
      </c>
      <c r="AM77" s="224" t="e">
        <f t="shared" si="82"/>
        <v>#DIV/0!</v>
      </c>
      <c r="AN77" s="409"/>
      <c r="AO77" s="225"/>
      <c r="AP77" s="225"/>
      <c r="AQ77" s="226" t="e">
        <f t="shared" si="83"/>
        <v>#DIV/0!</v>
      </c>
      <c r="AR77" s="224" t="e">
        <f t="shared" si="84"/>
        <v>#DIV/0!</v>
      </c>
      <c r="AS77" s="409"/>
      <c r="AT77" s="225"/>
      <c r="AU77" s="225"/>
      <c r="AV77" s="226" t="e">
        <f t="shared" si="85"/>
        <v>#DIV/0!</v>
      </c>
      <c r="AW77" s="224" t="e">
        <f t="shared" si="86"/>
        <v>#DIV/0!</v>
      </c>
      <c r="AX77" s="409"/>
    </row>
    <row r="78" spans="2:50">
      <c r="B78" s="429"/>
      <c r="C78" s="224">
        <v>6</v>
      </c>
      <c r="D78" s="224" t="s">
        <v>370</v>
      </c>
      <c r="E78" s="225">
        <f>VLOOKUP(D78,'10產線配置圖'!$A$2:$C$25,2,0)</f>
        <v>14</v>
      </c>
      <c r="F78" s="225">
        <f>VLOOKUP(D78,'10產線配置圖'!$A$2:$C$25,3,0)</f>
        <v>1895</v>
      </c>
      <c r="G78" s="226">
        <f t="shared" si="70"/>
        <v>135.35714285714286</v>
      </c>
      <c r="H78" s="409"/>
      <c r="I78" s="225" t="e">
        <f t="shared" si="71"/>
        <v>#DIV/0!</v>
      </c>
      <c r="J78" s="225" t="e">
        <f t="shared" si="71"/>
        <v>#DIV/0!</v>
      </c>
      <c r="K78" s="226" t="e">
        <f t="shared" si="71"/>
        <v>#DIV/0!</v>
      </c>
      <c r="L78" s="409"/>
      <c r="M78" s="225" t="e">
        <f t="shared" si="72"/>
        <v>#DIV/0!</v>
      </c>
      <c r="N78" s="414"/>
      <c r="O78" s="414"/>
      <c r="P78" s="225"/>
      <c r="Q78" s="225"/>
      <c r="R78" s="158" t="e">
        <f t="shared" si="73"/>
        <v>#DIV/0!</v>
      </c>
      <c r="S78" s="110" t="e">
        <f t="shared" si="74"/>
        <v>#DIV/0!</v>
      </c>
      <c r="T78" s="409"/>
      <c r="U78" s="225"/>
      <c r="V78" s="225"/>
      <c r="W78" s="226" t="e">
        <f t="shared" si="75"/>
        <v>#DIV/0!</v>
      </c>
      <c r="X78" s="224" t="e">
        <f t="shared" si="76"/>
        <v>#DIV/0!</v>
      </c>
      <c r="Y78" s="409"/>
      <c r="Z78" s="225"/>
      <c r="AA78" s="225"/>
      <c r="AB78" s="226" t="e">
        <f t="shared" si="77"/>
        <v>#DIV/0!</v>
      </c>
      <c r="AC78" s="224" t="e">
        <f t="shared" si="78"/>
        <v>#DIV/0!</v>
      </c>
      <c r="AD78" s="409"/>
      <c r="AE78" s="225"/>
      <c r="AF78" s="225"/>
      <c r="AG78" s="226" t="e">
        <f t="shared" si="79"/>
        <v>#DIV/0!</v>
      </c>
      <c r="AH78" s="224" t="e">
        <f t="shared" si="80"/>
        <v>#DIV/0!</v>
      </c>
      <c r="AI78" s="409"/>
      <c r="AJ78" s="225"/>
      <c r="AK78" s="225"/>
      <c r="AL78" s="226" t="e">
        <f t="shared" si="81"/>
        <v>#DIV/0!</v>
      </c>
      <c r="AM78" s="224" t="e">
        <f t="shared" si="82"/>
        <v>#DIV/0!</v>
      </c>
      <c r="AN78" s="409"/>
      <c r="AO78" s="225"/>
      <c r="AP78" s="225"/>
      <c r="AQ78" s="226" t="e">
        <f t="shared" si="83"/>
        <v>#DIV/0!</v>
      </c>
      <c r="AR78" s="224" t="e">
        <f t="shared" si="84"/>
        <v>#DIV/0!</v>
      </c>
      <c r="AS78" s="409"/>
      <c r="AT78" s="225"/>
      <c r="AU78" s="225"/>
      <c r="AV78" s="226" t="e">
        <f t="shared" si="85"/>
        <v>#DIV/0!</v>
      </c>
      <c r="AW78" s="224" t="e">
        <f t="shared" si="86"/>
        <v>#DIV/0!</v>
      </c>
      <c r="AX78" s="409"/>
    </row>
    <row r="79" spans="2:50">
      <c r="B79" s="429"/>
      <c r="C79" s="224">
        <v>7</v>
      </c>
      <c r="D79" s="224" t="s">
        <v>351</v>
      </c>
      <c r="E79" s="225">
        <f>VLOOKUP(D79,'10產線配置圖'!$A$2:$C$25,2,0)</f>
        <v>16</v>
      </c>
      <c r="F79" s="225">
        <f>VLOOKUP(D79,'10產線配置圖'!$A$2:$C$25,3,0)</f>
        <v>1429</v>
      </c>
      <c r="G79" s="226">
        <f t="shared" si="70"/>
        <v>89.3125</v>
      </c>
      <c r="H79" s="409"/>
      <c r="I79" s="225"/>
      <c r="J79" s="225"/>
      <c r="K79" s="226"/>
      <c r="L79" s="409"/>
      <c r="M79" s="225"/>
      <c r="N79" s="414"/>
      <c r="O79" s="414"/>
      <c r="P79" s="225"/>
      <c r="Q79" s="225"/>
      <c r="R79" s="158"/>
      <c r="S79" s="110"/>
      <c r="T79" s="409"/>
      <c r="U79" s="225"/>
      <c r="V79" s="225"/>
      <c r="W79" s="226"/>
      <c r="X79" s="224"/>
      <c r="Y79" s="409"/>
      <c r="Z79" s="225"/>
      <c r="AA79" s="225"/>
      <c r="AB79" s="226"/>
      <c r="AC79" s="224"/>
      <c r="AD79" s="409"/>
      <c r="AE79" s="225"/>
      <c r="AF79" s="225"/>
      <c r="AG79" s="226"/>
      <c r="AH79" s="224"/>
      <c r="AI79" s="409"/>
      <c r="AJ79" s="225"/>
      <c r="AK79" s="225"/>
      <c r="AL79" s="226"/>
      <c r="AM79" s="224"/>
      <c r="AN79" s="409"/>
      <c r="AO79" s="225"/>
      <c r="AP79" s="225"/>
      <c r="AQ79" s="226"/>
      <c r="AR79" s="224"/>
      <c r="AS79" s="409"/>
      <c r="AT79" s="225"/>
      <c r="AU79" s="225"/>
      <c r="AV79" s="226"/>
      <c r="AW79" s="224"/>
      <c r="AX79" s="409"/>
    </row>
    <row r="80" spans="2:50">
      <c r="B80" s="429"/>
      <c r="C80" s="224">
        <v>8</v>
      </c>
      <c r="D80" s="224" t="s">
        <v>352</v>
      </c>
      <c r="E80" s="225">
        <f>VLOOKUP(D80,'10產線配置圖'!$A$2:$C$25,2,0)</f>
        <v>18</v>
      </c>
      <c r="F80" s="225">
        <f>VLOOKUP(D80,'10產線配置圖'!$A$2:$C$25,3,0)</f>
        <v>1500</v>
      </c>
      <c r="G80" s="226">
        <f t="shared" si="70"/>
        <v>83.333333333333329</v>
      </c>
      <c r="H80" s="409"/>
      <c r="I80" s="225" t="e">
        <f t="shared" si="71"/>
        <v>#DIV/0!</v>
      </c>
      <c r="J80" s="225" t="e">
        <f t="shared" si="71"/>
        <v>#DIV/0!</v>
      </c>
      <c r="K80" s="226" t="e">
        <f t="shared" si="71"/>
        <v>#DIV/0!</v>
      </c>
      <c r="L80" s="409"/>
      <c r="M80" s="225" t="e">
        <f t="shared" si="72"/>
        <v>#DIV/0!</v>
      </c>
      <c r="N80" s="414"/>
      <c r="O80" s="414"/>
      <c r="P80" s="225"/>
      <c r="Q80" s="225"/>
      <c r="R80" s="158" t="e">
        <f t="shared" si="73"/>
        <v>#DIV/0!</v>
      </c>
      <c r="S80" s="110" t="e">
        <f t="shared" si="74"/>
        <v>#DIV/0!</v>
      </c>
      <c r="T80" s="409"/>
      <c r="U80" s="225"/>
      <c r="V80" s="225"/>
      <c r="W80" s="226" t="e">
        <f t="shared" si="75"/>
        <v>#DIV/0!</v>
      </c>
      <c r="X80" s="224" t="e">
        <f t="shared" si="76"/>
        <v>#DIV/0!</v>
      </c>
      <c r="Y80" s="409"/>
      <c r="Z80" s="225"/>
      <c r="AA80" s="225"/>
      <c r="AB80" s="226" t="e">
        <f t="shared" si="77"/>
        <v>#DIV/0!</v>
      </c>
      <c r="AC80" s="224" t="e">
        <f t="shared" si="78"/>
        <v>#DIV/0!</v>
      </c>
      <c r="AD80" s="409"/>
      <c r="AE80" s="225"/>
      <c r="AF80" s="225"/>
      <c r="AG80" s="226" t="e">
        <f t="shared" si="79"/>
        <v>#DIV/0!</v>
      </c>
      <c r="AH80" s="224" t="e">
        <f t="shared" si="80"/>
        <v>#DIV/0!</v>
      </c>
      <c r="AI80" s="409"/>
      <c r="AJ80" s="225"/>
      <c r="AK80" s="225"/>
      <c r="AL80" s="226" t="e">
        <f t="shared" si="81"/>
        <v>#DIV/0!</v>
      </c>
      <c r="AM80" s="224" t="e">
        <f t="shared" si="82"/>
        <v>#DIV/0!</v>
      </c>
      <c r="AN80" s="409"/>
      <c r="AO80" s="225"/>
      <c r="AP80" s="225"/>
      <c r="AQ80" s="226" t="e">
        <f t="shared" si="83"/>
        <v>#DIV/0!</v>
      </c>
      <c r="AR80" s="224" t="e">
        <f t="shared" si="84"/>
        <v>#DIV/0!</v>
      </c>
      <c r="AS80" s="409"/>
      <c r="AT80" s="225"/>
      <c r="AU80" s="225"/>
      <c r="AV80" s="226" t="e">
        <f t="shared" si="85"/>
        <v>#DIV/0!</v>
      </c>
      <c r="AW80" s="224" t="e">
        <f t="shared" si="86"/>
        <v>#DIV/0!</v>
      </c>
      <c r="AX80" s="409"/>
    </row>
    <row r="81" spans="2:50">
      <c r="B81" s="429"/>
      <c r="C81" s="224">
        <v>9</v>
      </c>
      <c r="D81" s="224" t="s">
        <v>361</v>
      </c>
      <c r="E81" s="225">
        <f>VLOOKUP(D81,'10產線配置圖'!$A$2:$C$25,2,0)</f>
        <v>18</v>
      </c>
      <c r="F81" s="225">
        <f>VLOOKUP(D81,'10產線配置圖'!$A$2:$C$25,3,0)</f>
        <v>1385</v>
      </c>
      <c r="G81" s="226">
        <f t="shared" si="70"/>
        <v>76.944444444444443</v>
      </c>
      <c r="H81" s="409"/>
      <c r="I81" s="225" t="e">
        <f t="shared" si="71"/>
        <v>#DIV/0!</v>
      </c>
      <c r="J81" s="225" t="e">
        <f t="shared" si="71"/>
        <v>#DIV/0!</v>
      </c>
      <c r="K81" s="226" t="e">
        <f t="shared" si="71"/>
        <v>#DIV/0!</v>
      </c>
      <c r="L81" s="409"/>
      <c r="M81" s="225" t="e">
        <f t="shared" si="72"/>
        <v>#DIV/0!</v>
      </c>
      <c r="N81" s="414"/>
      <c r="O81" s="414"/>
      <c r="P81" s="225"/>
      <c r="Q81" s="225"/>
      <c r="R81" s="158" t="e">
        <f t="shared" si="73"/>
        <v>#DIV/0!</v>
      </c>
      <c r="S81" s="110" t="e">
        <f t="shared" si="74"/>
        <v>#DIV/0!</v>
      </c>
      <c r="T81" s="409"/>
      <c r="U81" s="225"/>
      <c r="V81" s="225"/>
      <c r="W81" s="226" t="e">
        <f t="shared" si="75"/>
        <v>#DIV/0!</v>
      </c>
      <c r="X81" s="224" t="e">
        <f t="shared" si="76"/>
        <v>#DIV/0!</v>
      </c>
      <c r="Y81" s="409"/>
      <c r="Z81" s="225"/>
      <c r="AA81" s="225"/>
      <c r="AB81" s="226" t="e">
        <f t="shared" si="77"/>
        <v>#DIV/0!</v>
      </c>
      <c r="AC81" s="224" t="e">
        <f t="shared" si="78"/>
        <v>#DIV/0!</v>
      </c>
      <c r="AD81" s="409"/>
      <c r="AE81" s="225"/>
      <c r="AF81" s="225"/>
      <c r="AG81" s="226" t="e">
        <f t="shared" si="79"/>
        <v>#DIV/0!</v>
      </c>
      <c r="AH81" s="224" t="e">
        <f t="shared" si="80"/>
        <v>#DIV/0!</v>
      </c>
      <c r="AI81" s="409"/>
      <c r="AJ81" s="225"/>
      <c r="AK81" s="225"/>
      <c r="AL81" s="226" t="e">
        <f t="shared" si="81"/>
        <v>#DIV/0!</v>
      </c>
      <c r="AM81" s="224" t="e">
        <f t="shared" si="82"/>
        <v>#DIV/0!</v>
      </c>
      <c r="AN81" s="409"/>
      <c r="AO81" s="225"/>
      <c r="AP81" s="225"/>
      <c r="AQ81" s="226" t="e">
        <f t="shared" si="83"/>
        <v>#DIV/0!</v>
      </c>
      <c r="AR81" s="224" t="e">
        <f t="shared" si="84"/>
        <v>#DIV/0!</v>
      </c>
      <c r="AS81" s="409"/>
      <c r="AT81" s="225"/>
      <c r="AU81" s="225"/>
      <c r="AV81" s="226" t="e">
        <f t="shared" si="85"/>
        <v>#DIV/0!</v>
      </c>
      <c r="AW81" s="224" t="e">
        <f t="shared" si="86"/>
        <v>#DIV/0!</v>
      </c>
      <c r="AX81" s="409"/>
    </row>
    <row r="82" spans="2:50">
      <c r="B82" s="429"/>
      <c r="C82" s="224">
        <v>10</v>
      </c>
      <c r="D82" s="224" t="s">
        <v>382</v>
      </c>
      <c r="E82" s="225">
        <f>VLOOKUP(D82,'10產線配置圖'!$A$2:$C$25,2,0)</f>
        <v>17</v>
      </c>
      <c r="F82" s="225">
        <f>VLOOKUP(D82,'10產線配置圖'!$A$2:$C$25,3,0)</f>
        <v>1565</v>
      </c>
      <c r="G82" s="226">
        <f t="shared" si="70"/>
        <v>92.058823529411768</v>
      </c>
      <c r="H82" s="409"/>
      <c r="I82" s="225" t="e">
        <f t="shared" si="71"/>
        <v>#DIV/0!</v>
      </c>
      <c r="J82" s="225" t="e">
        <f t="shared" si="71"/>
        <v>#DIV/0!</v>
      </c>
      <c r="K82" s="226" t="e">
        <f t="shared" si="71"/>
        <v>#DIV/0!</v>
      </c>
      <c r="L82" s="409"/>
      <c r="M82" s="225" t="e">
        <f t="shared" si="72"/>
        <v>#DIV/0!</v>
      </c>
      <c r="N82" s="414"/>
      <c r="O82" s="414"/>
      <c r="P82" s="225"/>
      <c r="Q82" s="225"/>
      <c r="R82" s="158" t="e">
        <f t="shared" si="73"/>
        <v>#DIV/0!</v>
      </c>
      <c r="S82" s="110" t="e">
        <f t="shared" si="74"/>
        <v>#DIV/0!</v>
      </c>
      <c r="T82" s="409"/>
      <c r="U82" s="225"/>
      <c r="V82" s="225"/>
      <c r="W82" s="226" t="e">
        <f t="shared" si="75"/>
        <v>#DIV/0!</v>
      </c>
      <c r="X82" s="224" t="e">
        <f t="shared" si="76"/>
        <v>#DIV/0!</v>
      </c>
      <c r="Y82" s="409"/>
      <c r="Z82" s="225"/>
      <c r="AA82" s="225"/>
      <c r="AB82" s="226" t="e">
        <f t="shared" si="77"/>
        <v>#DIV/0!</v>
      </c>
      <c r="AC82" s="224" t="e">
        <f t="shared" si="78"/>
        <v>#DIV/0!</v>
      </c>
      <c r="AD82" s="409"/>
      <c r="AE82" s="225"/>
      <c r="AF82" s="225"/>
      <c r="AG82" s="226" t="e">
        <f t="shared" si="79"/>
        <v>#DIV/0!</v>
      </c>
      <c r="AH82" s="224" t="e">
        <f t="shared" si="80"/>
        <v>#DIV/0!</v>
      </c>
      <c r="AI82" s="409"/>
      <c r="AJ82" s="225"/>
      <c r="AK82" s="225"/>
      <c r="AL82" s="226" t="e">
        <f t="shared" si="81"/>
        <v>#DIV/0!</v>
      </c>
      <c r="AM82" s="224" t="e">
        <f t="shared" si="82"/>
        <v>#DIV/0!</v>
      </c>
      <c r="AN82" s="409"/>
      <c r="AO82" s="225"/>
      <c r="AP82" s="225"/>
      <c r="AQ82" s="226" t="e">
        <f t="shared" si="83"/>
        <v>#DIV/0!</v>
      </c>
      <c r="AR82" s="224" t="e">
        <f t="shared" si="84"/>
        <v>#DIV/0!</v>
      </c>
      <c r="AS82" s="409"/>
      <c r="AT82" s="225"/>
      <c r="AU82" s="225"/>
      <c r="AV82" s="226" t="e">
        <f t="shared" si="85"/>
        <v>#DIV/0!</v>
      </c>
      <c r="AW82" s="224" t="e">
        <f t="shared" si="86"/>
        <v>#DIV/0!</v>
      </c>
      <c r="AX82" s="409"/>
    </row>
    <row r="83" spans="2:50">
      <c r="B83" s="429"/>
      <c r="C83" s="224">
        <v>11</v>
      </c>
      <c r="D83" s="224" t="s">
        <v>472</v>
      </c>
      <c r="E83" s="225">
        <f>VLOOKUP(D83,'10產線配置圖'!$A$2:$C$25,2,0)</f>
        <v>15</v>
      </c>
      <c r="F83" s="225">
        <f>VLOOKUP(D83,'10產線配置圖'!$A$2:$C$25,3,0)</f>
        <v>1565</v>
      </c>
      <c r="G83" s="226">
        <f t="shared" si="70"/>
        <v>104.33333333333333</v>
      </c>
      <c r="H83" s="409"/>
      <c r="I83" s="225" t="e">
        <f t="shared" ref="I83:I86" si="87">AVERAGE(P83,U83,Z83,AE83,AJ83,AO83,AT83)</f>
        <v>#DIV/0!</v>
      </c>
      <c r="J83" s="225" t="e">
        <f t="shared" ref="J83:J86" si="88">AVERAGE(Q83,V83,AA83,AF83,AK83,AP83,AU83)</f>
        <v>#DIV/0!</v>
      </c>
      <c r="K83" s="226" t="e">
        <f t="shared" ref="K83:K86" si="89">AVERAGE(R83,W83,AB83,AG83,AL83,AQ83,AV83)</f>
        <v>#DIV/0!</v>
      </c>
      <c r="L83" s="409"/>
      <c r="M83" s="225" t="e">
        <f t="shared" si="72"/>
        <v>#DIV/0!</v>
      </c>
      <c r="N83" s="414"/>
      <c r="O83" s="414"/>
      <c r="P83" s="224"/>
      <c r="Q83" s="224"/>
      <c r="R83" s="158" t="e">
        <f t="shared" si="73"/>
        <v>#DIV/0!</v>
      </c>
      <c r="S83" s="110" t="e">
        <f t="shared" si="74"/>
        <v>#DIV/0!</v>
      </c>
      <c r="T83" s="409"/>
      <c r="U83" s="224"/>
      <c r="V83" s="224"/>
      <c r="W83" s="226" t="e">
        <f>V83/U83</f>
        <v>#DIV/0!</v>
      </c>
      <c r="X83" s="224" t="e">
        <f t="shared" si="76"/>
        <v>#DIV/0!</v>
      </c>
      <c r="Y83" s="409"/>
      <c r="Z83" s="224"/>
      <c r="AA83" s="224"/>
      <c r="AB83" s="226" t="e">
        <f>AA83/Z83</f>
        <v>#DIV/0!</v>
      </c>
      <c r="AC83" s="224" t="e">
        <f t="shared" si="78"/>
        <v>#DIV/0!</v>
      </c>
      <c r="AD83" s="409"/>
      <c r="AE83" s="224"/>
      <c r="AF83" s="224"/>
      <c r="AG83" s="226" t="e">
        <f>AF83/AE83</f>
        <v>#DIV/0!</v>
      </c>
      <c r="AH83" s="224" t="e">
        <f t="shared" si="80"/>
        <v>#DIV/0!</v>
      </c>
      <c r="AI83" s="409"/>
      <c r="AJ83" s="224"/>
      <c r="AK83" s="224"/>
      <c r="AL83" s="226" t="e">
        <f>AK83/AJ83</f>
        <v>#DIV/0!</v>
      </c>
      <c r="AM83" s="224" t="e">
        <f t="shared" si="82"/>
        <v>#DIV/0!</v>
      </c>
      <c r="AN83" s="409"/>
      <c r="AO83" s="224"/>
      <c r="AP83" s="224"/>
      <c r="AQ83" s="226" t="e">
        <f>AP83/AO83</f>
        <v>#DIV/0!</v>
      </c>
      <c r="AR83" s="224" t="e">
        <f t="shared" si="84"/>
        <v>#DIV/0!</v>
      </c>
      <c r="AS83" s="409"/>
      <c r="AT83" s="224"/>
      <c r="AU83" s="224"/>
      <c r="AV83" s="226" t="e">
        <f>AU83/AT83</f>
        <v>#DIV/0!</v>
      </c>
      <c r="AW83" s="224" t="e">
        <f t="shared" si="86"/>
        <v>#DIV/0!</v>
      </c>
      <c r="AX83" s="409"/>
    </row>
    <row r="84" spans="2:50">
      <c r="B84" s="429"/>
      <c r="C84" s="224">
        <v>12</v>
      </c>
      <c r="D84" s="224" t="s">
        <v>473</v>
      </c>
      <c r="E84" s="225">
        <f>VLOOKUP(D84,'10產線配置圖'!$A$2:$C$25,2,0)</f>
        <v>18</v>
      </c>
      <c r="F84" s="225">
        <f>VLOOKUP(D84,'10產線配置圖'!$A$2:$C$25,3,0)</f>
        <v>1636</v>
      </c>
      <c r="G84" s="226">
        <f t="shared" si="70"/>
        <v>90.888888888888886</v>
      </c>
      <c r="H84" s="409"/>
      <c r="I84" s="225" t="e">
        <f t="shared" si="87"/>
        <v>#DIV/0!</v>
      </c>
      <c r="J84" s="225" t="e">
        <f t="shared" si="88"/>
        <v>#DIV/0!</v>
      </c>
      <c r="K84" s="226" t="e">
        <f t="shared" si="89"/>
        <v>#DIV/0!</v>
      </c>
      <c r="L84" s="409"/>
      <c r="M84" s="225" t="e">
        <f t="shared" si="72"/>
        <v>#DIV/0!</v>
      </c>
      <c r="N84" s="414"/>
      <c r="O84" s="414"/>
      <c r="P84" s="224"/>
      <c r="Q84" s="224"/>
      <c r="R84" s="158" t="e">
        <f t="shared" si="73"/>
        <v>#DIV/0!</v>
      </c>
      <c r="S84" s="110" t="e">
        <f t="shared" si="74"/>
        <v>#DIV/0!</v>
      </c>
      <c r="T84" s="409"/>
      <c r="U84" s="224"/>
      <c r="V84" s="224"/>
      <c r="W84" s="226" t="e">
        <f t="shared" ref="W84:W89" si="90">V84/U84</f>
        <v>#DIV/0!</v>
      </c>
      <c r="X84" s="224" t="e">
        <f t="shared" si="76"/>
        <v>#DIV/0!</v>
      </c>
      <c r="Y84" s="409"/>
      <c r="Z84" s="224"/>
      <c r="AA84" s="224"/>
      <c r="AB84" s="226" t="e">
        <f t="shared" ref="AB84:AB89" si="91">AA84/Z84</f>
        <v>#DIV/0!</v>
      </c>
      <c r="AC84" s="224" t="e">
        <f t="shared" si="78"/>
        <v>#DIV/0!</v>
      </c>
      <c r="AD84" s="409"/>
      <c r="AE84" s="224"/>
      <c r="AF84" s="224"/>
      <c r="AG84" s="226" t="e">
        <f>AF84/AE84</f>
        <v>#DIV/0!</v>
      </c>
      <c r="AH84" s="224" t="e">
        <f t="shared" si="80"/>
        <v>#DIV/0!</v>
      </c>
      <c r="AI84" s="409"/>
      <c r="AJ84" s="224"/>
      <c r="AK84" s="224"/>
      <c r="AL84" s="226" t="e">
        <f>AK84/AJ84</f>
        <v>#DIV/0!</v>
      </c>
      <c r="AM84" s="224" t="e">
        <f t="shared" si="82"/>
        <v>#DIV/0!</v>
      </c>
      <c r="AN84" s="409"/>
      <c r="AO84" s="224"/>
      <c r="AP84" s="224"/>
      <c r="AQ84" s="226" t="e">
        <f>AP84/AO84</f>
        <v>#DIV/0!</v>
      </c>
      <c r="AR84" s="224" t="e">
        <f t="shared" ref="AR84" si="92">RANK(AQ84, $AQ$73:$AQ$90)</f>
        <v>#DIV/0!</v>
      </c>
      <c r="AS84" s="409"/>
      <c r="AT84" s="224"/>
      <c r="AU84" s="224"/>
      <c r="AV84" s="226" t="e">
        <f t="shared" ref="AV84:AV89" si="93">AU84/AT84</f>
        <v>#DIV/0!</v>
      </c>
      <c r="AW84" s="224" t="e">
        <f t="shared" si="86"/>
        <v>#DIV/0!</v>
      </c>
      <c r="AX84" s="409"/>
    </row>
    <row r="85" spans="2:50">
      <c r="B85" s="429"/>
      <c r="C85" s="224">
        <v>13</v>
      </c>
      <c r="D85" s="224" t="s">
        <v>560</v>
      </c>
      <c r="E85" s="225">
        <f>VLOOKUP(D85,'10產線配置圖'!$A$2:$C$25,2,0)</f>
        <v>19</v>
      </c>
      <c r="F85" s="225">
        <f>VLOOKUP(D85,'10產線配置圖'!$A$2:$C$25,3,0)</f>
        <v>1600</v>
      </c>
      <c r="G85" s="226">
        <f t="shared" si="70"/>
        <v>84.21052631578948</v>
      </c>
      <c r="H85" s="409"/>
      <c r="I85" s="225" t="e">
        <f t="shared" si="87"/>
        <v>#DIV/0!</v>
      </c>
      <c r="J85" s="225" t="e">
        <f t="shared" si="88"/>
        <v>#DIV/0!</v>
      </c>
      <c r="K85" s="226" t="e">
        <f t="shared" si="89"/>
        <v>#DIV/0!</v>
      </c>
      <c r="L85" s="409"/>
      <c r="M85" s="225" t="e">
        <f t="shared" si="72"/>
        <v>#DIV/0!</v>
      </c>
      <c r="N85" s="414"/>
      <c r="O85" s="414"/>
      <c r="P85" s="224"/>
      <c r="Q85" s="224"/>
      <c r="R85" s="158" t="e">
        <f t="shared" si="73"/>
        <v>#DIV/0!</v>
      </c>
      <c r="S85" s="110" t="e">
        <f t="shared" si="74"/>
        <v>#DIV/0!</v>
      </c>
      <c r="T85" s="409"/>
      <c r="U85" s="224"/>
      <c r="V85" s="224"/>
      <c r="W85" s="226" t="e">
        <f t="shared" si="90"/>
        <v>#DIV/0!</v>
      </c>
      <c r="X85" s="224" t="e">
        <f t="shared" si="76"/>
        <v>#DIV/0!</v>
      </c>
      <c r="Y85" s="409"/>
      <c r="Z85" s="224"/>
      <c r="AA85" s="224"/>
      <c r="AB85" s="226" t="e">
        <f t="shared" si="91"/>
        <v>#DIV/0!</v>
      </c>
      <c r="AC85" s="224" t="e">
        <f t="shared" si="78"/>
        <v>#DIV/0!</v>
      </c>
      <c r="AD85" s="409"/>
      <c r="AE85" s="224"/>
      <c r="AF85" s="224"/>
      <c r="AG85" s="226" t="e">
        <f t="shared" ref="AG85:AG87" si="94">AF85/AE85</f>
        <v>#DIV/0!</v>
      </c>
      <c r="AH85" s="224" t="e">
        <f t="shared" si="80"/>
        <v>#DIV/0!</v>
      </c>
      <c r="AI85" s="409"/>
      <c r="AJ85" s="224"/>
      <c r="AK85" s="224"/>
      <c r="AL85" s="226" t="e">
        <f t="shared" ref="AL85:AL87" si="95">AK85/AJ85</f>
        <v>#DIV/0!</v>
      </c>
      <c r="AM85" s="224" t="e">
        <f t="shared" si="82"/>
        <v>#DIV/0!</v>
      </c>
      <c r="AN85" s="409"/>
      <c r="AO85" s="224"/>
      <c r="AP85" s="224"/>
      <c r="AQ85" s="226" t="e">
        <f t="shared" ref="AQ85:AQ87" si="96">AP85/AO85</f>
        <v>#DIV/0!</v>
      </c>
      <c r="AR85" s="224" t="e">
        <f t="shared" si="84"/>
        <v>#DIV/0!</v>
      </c>
      <c r="AS85" s="409"/>
      <c r="AT85" s="224"/>
      <c r="AU85" s="224"/>
      <c r="AV85" s="226" t="e">
        <f t="shared" si="93"/>
        <v>#DIV/0!</v>
      </c>
      <c r="AW85" s="224" t="e">
        <f t="shared" si="86"/>
        <v>#DIV/0!</v>
      </c>
      <c r="AX85" s="409"/>
    </row>
    <row r="86" spans="2:50">
      <c r="B86" s="429"/>
      <c r="C86" s="224">
        <v>14</v>
      </c>
      <c r="D86" s="224" t="s">
        <v>462</v>
      </c>
      <c r="E86" s="225">
        <f>VLOOKUP(D86,'10產線配置圖'!$A$2:$C$25,2,0)</f>
        <v>17</v>
      </c>
      <c r="F86" s="225">
        <f>VLOOKUP(D86,'10產線配置圖'!$A$2:$C$25,3,0)</f>
        <v>1636</v>
      </c>
      <c r="G86" s="226">
        <f t="shared" si="70"/>
        <v>96.235294117647058</v>
      </c>
      <c r="H86" s="409"/>
      <c r="I86" s="225" t="e">
        <f t="shared" si="87"/>
        <v>#DIV/0!</v>
      </c>
      <c r="J86" s="225" t="e">
        <f t="shared" si="88"/>
        <v>#DIV/0!</v>
      </c>
      <c r="K86" s="226" t="e">
        <f t="shared" si="89"/>
        <v>#DIV/0!</v>
      </c>
      <c r="L86" s="409"/>
      <c r="M86" s="225" t="e">
        <f t="shared" si="72"/>
        <v>#DIV/0!</v>
      </c>
      <c r="N86" s="414"/>
      <c r="O86" s="414"/>
      <c r="P86" s="224"/>
      <c r="Q86" s="224"/>
      <c r="R86" s="158" t="e">
        <f t="shared" si="73"/>
        <v>#DIV/0!</v>
      </c>
      <c r="S86" s="110" t="e">
        <f t="shared" si="74"/>
        <v>#DIV/0!</v>
      </c>
      <c r="T86" s="409"/>
      <c r="U86" s="224"/>
      <c r="V86" s="224"/>
      <c r="W86" s="226" t="e">
        <f t="shared" si="90"/>
        <v>#DIV/0!</v>
      </c>
      <c r="X86" s="224" t="e">
        <f t="shared" si="76"/>
        <v>#DIV/0!</v>
      </c>
      <c r="Y86" s="409"/>
      <c r="Z86" s="224"/>
      <c r="AA86" s="224"/>
      <c r="AB86" s="226" t="e">
        <f t="shared" si="91"/>
        <v>#DIV/0!</v>
      </c>
      <c r="AC86" s="224" t="e">
        <f t="shared" si="78"/>
        <v>#DIV/0!</v>
      </c>
      <c r="AD86" s="409"/>
      <c r="AE86" s="224"/>
      <c r="AF86" s="224"/>
      <c r="AG86" s="226" t="e">
        <f t="shared" si="94"/>
        <v>#DIV/0!</v>
      </c>
      <c r="AH86" s="224" t="e">
        <f t="shared" si="80"/>
        <v>#DIV/0!</v>
      </c>
      <c r="AI86" s="409"/>
      <c r="AJ86" s="224"/>
      <c r="AK86" s="224"/>
      <c r="AL86" s="226" t="e">
        <f t="shared" si="95"/>
        <v>#DIV/0!</v>
      </c>
      <c r="AM86" s="224" t="e">
        <f t="shared" si="82"/>
        <v>#DIV/0!</v>
      </c>
      <c r="AN86" s="409"/>
      <c r="AO86" s="224"/>
      <c r="AP86" s="224"/>
      <c r="AQ86" s="226" t="e">
        <f t="shared" si="96"/>
        <v>#DIV/0!</v>
      </c>
      <c r="AR86" s="224" t="e">
        <f t="shared" si="84"/>
        <v>#DIV/0!</v>
      </c>
      <c r="AS86" s="409"/>
      <c r="AT86" s="224"/>
      <c r="AU86" s="224"/>
      <c r="AV86" s="226" t="e">
        <f t="shared" si="93"/>
        <v>#DIV/0!</v>
      </c>
      <c r="AW86" s="224" t="e">
        <f t="shared" si="86"/>
        <v>#DIV/0!</v>
      </c>
      <c r="AX86" s="409"/>
    </row>
    <row r="87" spans="2:50">
      <c r="B87" s="429"/>
      <c r="C87" s="224">
        <v>15</v>
      </c>
      <c r="D87" s="224"/>
      <c r="E87" s="225"/>
      <c r="F87" s="225"/>
      <c r="G87" s="226"/>
      <c r="H87" s="409"/>
      <c r="I87" s="225" t="e">
        <f t="shared" ref="I87" si="97">AVERAGE(P87,U87,Z87,AE87,AJ87,AO87,AT87)</f>
        <v>#DIV/0!</v>
      </c>
      <c r="J87" s="225" t="e">
        <f t="shared" ref="J87" si="98">AVERAGE(Q87,V87,AA87,AF87,AK87,AP87,AU87)</f>
        <v>#DIV/0!</v>
      </c>
      <c r="K87" s="226" t="e">
        <f t="shared" ref="K87" si="99">AVERAGE(R87,W87,AB87,AG87,AL87,AQ87,AV87)</f>
        <v>#DIV/0!</v>
      </c>
      <c r="L87" s="409"/>
      <c r="M87" s="225" t="e">
        <f t="shared" si="72"/>
        <v>#DIV/0!</v>
      </c>
      <c r="N87" s="414"/>
      <c r="O87" s="414"/>
      <c r="P87" s="224"/>
      <c r="Q87" s="224"/>
      <c r="R87" s="158" t="e">
        <f t="shared" si="73"/>
        <v>#DIV/0!</v>
      </c>
      <c r="S87" s="110" t="e">
        <f t="shared" si="74"/>
        <v>#DIV/0!</v>
      </c>
      <c r="T87" s="409"/>
      <c r="U87" s="224"/>
      <c r="V87" s="224"/>
      <c r="W87" s="226" t="e">
        <f t="shared" si="90"/>
        <v>#DIV/0!</v>
      </c>
      <c r="X87" s="224" t="e">
        <f t="shared" si="76"/>
        <v>#DIV/0!</v>
      </c>
      <c r="Y87" s="409"/>
      <c r="Z87" s="224"/>
      <c r="AA87" s="224"/>
      <c r="AB87" s="226" t="e">
        <f t="shared" si="91"/>
        <v>#DIV/0!</v>
      </c>
      <c r="AC87" s="224" t="e">
        <f t="shared" si="78"/>
        <v>#DIV/0!</v>
      </c>
      <c r="AD87" s="409"/>
      <c r="AE87" s="224"/>
      <c r="AF87" s="224"/>
      <c r="AG87" s="226" t="e">
        <f t="shared" si="94"/>
        <v>#DIV/0!</v>
      </c>
      <c r="AH87" s="224" t="e">
        <f t="shared" si="80"/>
        <v>#DIV/0!</v>
      </c>
      <c r="AI87" s="409"/>
      <c r="AJ87" s="224"/>
      <c r="AK87" s="224"/>
      <c r="AL87" s="226" t="e">
        <f t="shared" si="95"/>
        <v>#DIV/0!</v>
      </c>
      <c r="AM87" s="224" t="e">
        <f t="shared" si="82"/>
        <v>#DIV/0!</v>
      </c>
      <c r="AN87" s="409"/>
      <c r="AO87" s="224"/>
      <c r="AP87" s="224"/>
      <c r="AQ87" s="226" t="e">
        <f t="shared" si="96"/>
        <v>#DIV/0!</v>
      </c>
      <c r="AR87" s="224" t="e">
        <f t="shared" si="84"/>
        <v>#DIV/0!</v>
      </c>
      <c r="AS87" s="409"/>
      <c r="AT87" s="224"/>
      <c r="AU87" s="224"/>
      <c r="AV87" s="226" t="e">
        <f t="shared" si="93"/>
        <v>#DIV/0!</v>
      </c>
      <c r="AW87" s="224" t="e">
        <f t="shared" si="86"/>
        <v>#DIV/0!</v>
      </c>
      <c r="AX87" s="409"/>
    </row>
    <row r="88" spans="2:50">
      <c r="B88" s="429"/>
      <c r="C88" s="224">
        <v>16</v>
      </c>
      <c r="D88" s="224"/>
      <c r="E88" s="225"/>
      <c r="F88" s="225"/>
      <c r="G88" s="226"/>
      <c r="H88" s="409"/>
      <c r="I88" s="225" t="e">
        <f t="shared" ref="I88:I89" si="100">AVERAGE(P88,U88,Z88,AE88,AJ88,AO88,AT88)</f>
        <v>#DIV/0!</v>
      </c>
      <c r="J88" s="225" t="e">
        <f t="shared" ref="J88:J89" si="101">AVERAGE(Q88,V88,AA88,AF88,AK88,AP88,AU88)</f>
        <v>#DIV/0!</v>
      </c>
      <c r="K88" s="226" t="e">
        <f t="shared" ref="K88:K89" si="102">AVERAGE(R88,W88,AB88,AG88,AL88,AQ88,AV88)</f>
        <v>#DIV/0!</v>
      </c>
      <c r="L88" s="409"/>
      <c r="M88" s="225" t="e">
        <f t="shared" si="72"/>
        <v>#DIV/0!</v>
      </c>
      <c r="N88" s="414"/>
      <c r="O88" s="414"/>
      <c r="P88" s="224"/>
      <c r="Q88" s="224"/>
      <c r="R88" s="158" t="e">
        <f t="shared" si="73"/>
        <v>#DIV/0!</v>
      </c>
      <c r="S88" s="110" t="e">
        <f t="shared" si="74"/>
        <v>#DIV/0!</v>
      </c>
      <c r="T88" s="409"/>
      <c r="U88" s="224"/>
      <c r="V88" s="224"/>
      <c r="W88" s="226" t="e">
        <f t="shared" si="90"/>
        <v>#DIV/0!</v>
      </c>
      <c r="X88" s="224" t="e">
        <f t="shared" si="76"/>
        <v>#DIV/0!</v>
      </c>
      <c r="Y88" s="409"/>
      <c r="Z88" s="224"/>
      <c r="AA88" s="224"/>
      <c r="AB88" s="226" t="e">
        <f t="shared" si="91"/>
        <v>#DIV/0!</v>
      </c>
      <c r="AC88" s="224" t="e">
        <f t="shared" si="78"/>
        <v>#DIV/0!</v>
      </c>
      <c r="AD88" s="409"/>
      <c r="AE88" s="224"/>
      <c r="AF88" s="224"/>
      <c r="AG88" s="226" t="e">
        <f t="shared" ref="AG88:AG89" si="103">AF88/AE88</f>
        <v>#DIV/0!</v>
      </c>
      <c r="AH88" s="224" t="e">
        <f t="shared" si="80"/>
        <v>#DIV/0!</v>
      </c>
      <c r="AI88" s="409"/>
      <c r="AJ88" s="224"/>
      <c r="AK88" s="224"/>
      <c r="AL88" s="226" t="e">
        <f t="shared" ref="AL88:AL89" si="104">AK88/AJ88</f>
        <v>#DIV/0!</v>
      </c>
      <c r="AM88" s="224" t="e">
        <f t="shared" si="82"/>
        <v>#DIV/0!</v>
      </c>
      <c r="AN88" s="409"/>
      <c r="AO88" s="224"/>
      <c r="AP88" s="224"/>
      <c r="AQ88" s="226" t="e">
        <f t="shared" ref="AQ88:AQ89" si="105">AP88/AO88</f>
        <v>#DIV/0!</v>
      </c>
      <c r="AR88" s="224" t="e">
        <f t="shared" si="84"/>
        <v>#DIV/0!</v>
      </c>
      <c r="AS88" s="409"/>
      <c r="AT88" s="224"/>
      <c r="AU88" s="224"/>
      <c r="AV88" s="226" t="e">
        <f t="shared" si="93"/>
        <v>#DIV/0!</v>
      </c>
      <c r="AW88" s="224" t="e">
        <f t="shared" si="86"/>
        <v>#DIV/0!</v>
      </c>
      <c r="AX88" s="409"/>
    </row>
    <row r="89" spans="2:50">
      <c r="B89" s="429"/>
      <c r="C89" s="224">
        <v>17</v>
      </c>
      <c r="D89" s="224"/>
      <c r="E89" s="225"/>
      <c r="F89" s="225"/>
      <c r="G89" s="226"/>
      <c r="H89" s="409"/>
      <c r="I89" s="225" t="e">
        <f t="shared" si="100"/>
        <v>#DIV/0!</v>
      </c>
      <c r="J89" s="225" t="e">
        <f t="shared" si="101"/>
        <v>#DIV/0!</v>
      </c>
      <c r="K89" s="226" t="e">
        <f t="shared" si="102"/>
        <v>#DIV/0!</v>
      </c>
      <c r="L89" s="409"/>
      <c r="M89" s="225" t="e">
        <f t="shared" si="72"/>
        <v>#DIV/0!</v>
      </c>
      <c r="N89" s="414"/>
      <c r="O89" s="414"/>
      <c r="P89" s="224"/>
      <c r="Q89" s="224"/>
      <c r="R89" s="158" t="e">
        <f t="shared" si="73"/>
        <v>#DIV/0!</v>
      </c>
      <c r="S89" s="110" t="e">
        <f t="shared" si="74"/>
        <v>#DIV/0!</v>
      </c>
      <c r="T89" s="409"/>
      <c r="U89" s="224"/>
      <c r="V89" s="224"/>
      <c r="W89" s="226" t="e">
        <f t="shared" si="90"/>
        <v>#DIV/0!</v>
      </c>
      <c r="X89" s="224" t="e">
        <f t="shared" si="76"/>
        <v>#DIV/0!</v>
      </c>
      <c r="Y89" s="409"/>
      <c r="Z89" s="224"/>
      <c r="AA89" s="224"/>
      <c r="AB89" s="226" t="e">
        <f t="shared" si="91"/>
        <v>#DIV/0!</v>
      </c>
      <c r="AC89" s="224" t="e">
        <f t="shared" si="78"/>
        <v>#DIV/0!</v>
      </c>
      <c r="AD89" s="409"/>
      <c r="AE89" s="224"/>
      <c r="AF89" s="224"/>
      <c r="AG89" s="226" t="e">
        <f t="shared" si="103"/>
        <v>#DIV/0!</v>
      </c>
      <c r="AH89" s="224" t="e">
        <f t="shared" si="80"/>
        <v>#DIV/0!</v>
      </c>
      <c r="AI89" s="409"/>
      <c r="AJ89" s="224"/>
      <c r="AK89" s="224"/>
      <c r="AL89" s="226" t="e">
        <f t="shared" si="104"/>
        <v>#DIV/0!</v>
      </c>
      <c r="AM89" s="224" t="e">
        <f t="shared" si="82"/>
        <v>#DIV/0!</v>
      </c>
      <c r="AN89" s="409"/>
      <c r="AO89" s="224"/>
      <c r="AP89" s="224"/>
      <c r="AQ89" s="226" t="e">
        <f t="shared" si="105"/>
        <v>#DIV/0!</v>
      </c>
      <c r="AR89" s="224" t="e">
        <f t="shared" si="84"/>
        <v>#DIV/0!</v>
      </c>
      <c r="AS89" s="409"/>
      <c r="AT89" s="224"/>
      <c r="AU89" s="224"/>
      <c r="AV89" s="226" t="e">
        <f t="shared" si="93"/>
        <v>#DIV/0!</v>
      </c>
      <c r="AW89" s="224" t="e">
        <f t="shared" si="86"/>
        <v>#DIV/0!</v>
      </c>
      <c r="AX89" s="409"/>
    </row>
    <row r="90" spans="2:50">
      <c r="B90" s="430"/>
      <c r="C90" s="224">
        <v>18</v>
      </c>
      <c r="D90" s="224"/>
      <c r="E90" s="225"/>
      <c r="F90" s="225"/>
      <c r="G90" s="226"/>
      <c r="H90" s="409"/>
      <c r="I90" s="224"/>
      <c r="J90" s="224"/>
      <c r="K90" s="224"/>
      <c r="L90" s="410"/>
      <c r="M90" s="225"/>
      <c r="N90" s="415"/>
      <c r="O90" s="415"/>
      <c r="P90" s="224"/>
      <c r="Q90" s="224"/>
      <c r="R90" s="158"/>
      <c r="S90" s="110"/>
      <c r="T90" s="410"/>
      <c r="U90" s="224"/>
      <c r="V90" s="224"/>
      <c r="W90" s="226"/>
      <c r="X90" s="224"/>
      <c r="Y90" s="410"/>
      <c r="Z90" s="224"/>
      <c r="AA90" s="224"/>
      <c r="AB90" s="226"/>
      <c r="AC90" s="224"/>
      <c r="AD90" s="410"/>
      <c r="AE90" s="224"/>
      <c r="AF90" s="224"/>
      <c r="AG90" s="226"/>
      <c r="AH90" s="224"/>
      <c r="AI90" s="410"/>
      <c r="AJ90" s="224"/>
      <c r="AK90" s="224"/>
      <c r="AL90" s="226"/>
      <c r="AM90" s="224"/>
      <c r="AN90" s="410"/>
      <c r="AO90" s="224"/>
      <c r="AP90" s="224"/>
      <c r="AQ90" s="226"/>
      <c r="AR90" s="224"/>
      <c r="AS90" s="410"/>
      <c r="AT90" s="224"/>
      <c r="AU90" s="224"/>
      <c r="AV90" s="226"/>
      <c r="AW90" s="224"/>
      <c r="AX90" s="410"/>
    </row>
    <row r="91" spans="2:50" ht="15.75">
      <c r="B91" s="423" t="s">
        <v>384</v>
      </c>
      <c r="C91" s="424"/>
      <c r="D91" s="424"/>
      <c r="E91" s="424"/>
      <c r="F91" s="424"/>
      <c r="G91" s="424"/>
      <c r="H91" s="424"/>
      <c r="I91" s="229"/>
      <c r="J91" s="229"/>
      <c r="K91" s="229"/>
      <c r="L91" s="229"/>
      <c r="M91" s="230"/>
      <c r="N91" s="413" t="s">
        <v>385</v>
      </c>
      <c r="O91" s="413" t="s">
        <v>386</v>
      </c>
      <c r="P91" s="426">
        <v>45958</v>
      </c>
      <c r="Q91" s="427"/>
      <c r="R91" s="427"/>
      <c r="S91" s="427"/>
      <c r="T91" s="427"/>
      <c r="U91" s="426">
        <v>45959</v>
      </c>
      <c r="V91" s="427"/>
      <c r="W91" s="427"/>
      <c r="X91" s="427"/>
      <c r="Y91" s="427"/>
      <c r="Z91" s="426">
        <v>45960</v>
      </c>
      <c r="AA91" s="427"/>
      <c r="AB91" s="427"/>
      <c r="AC91" s="427"/>
      <c r="AD91" s="427"/>
      <c r="AE91" s="426">
        <v>45961</v>
      </c>
      <c r="AF91" s="427"/>
      <c r="AG91" s="427"/>
      <c r="AH91" s="427"/>
      <c r="AI91" s="427"/>
      <c r="AJ91" s="426"/>
      <c r="AK91" s="427"/>
      <c r="AL91" s="427"/>
      <c r="AM91" s="427"/>
      <c r="AN91" s="427"/>
      <c r="AO91" s="426"/>
      <c r="AP91" s="427"/>
      <c r="AQ91" s="427"/>
      <c r="AR91" s="427"/>
      <c r="AS91" s="427"/>
      <c r="AT91" s="426"/>
      <c r="AU91" s="427"/>
      <c r="AV91" s="427"/>
      <c r="AW91" s="427"/>
      <c r="AX91" s="427"/>
    </row>
    <row r="92" spans="2:50" ht="15.75">
      <c r="B92" s="425"/>
      <c r="C92" s="425"/>
      <c r="D92" s="425"/>
      <c r="E92" s="425"/>
      <c r="F92" s="425"/>
      <c r="G92" s="425"/>
      <c r="H92" s="425"/>
      <c r="I92" s="220"/>
      <c r="J92" s="220"/>
      <c r="K92" s="220"/>
      <c r="L92" s="220"/>
      <c r="M92" s="221"/>
      <c r="N92" s="415"/>
      <c r="O92" s="415"/>
      <c r="P92" s="426" t="s">
        <v>387</v>
      </c>
      <c r="Q92" s="427"/>
      <c r="R92" s="427"/>
      <c r="S92" s="427"/>
      <c r="T92" s="427"/>
      <c r="U92" s="426" t="s">
        <v>388</v>
      </c>
      <c r="V92" s="427"/>
      <c r="W92" s="427"/>
      <c r="X92" s="427"/>
      <c r="Y92" s="427"/>
      <c r="Z92" s="426" t="s">
        <v>389</v>
      </c>
      <c r="AA92" s="427"/>
      <c r="AB92" s="427"/>
      <c r="AC92" s="427"/>
      <c r="AD92" s="427"/>
      <c r="AE92" s="426" t="s">
        <v>390</v>
      </c>
      <c r="AF92" s="427"/>
      <c r="AG92" s="427"/>
      <c r="AH92" s="427"/>
      <c r="AI92" s="427"/>
      <c r="AJ92" s="426" t="s">
        <v>415</v>
      </c>
      <c r="AK92" s="427"/>
      <c r="AL92" s="427"/>
      <c r="AM92" s="427"/>
      <c r="AN92" s="427"/>
      <c r="AO92" s="426" t="s">
        <v>416</v>
      </c>
      <c r="AP92" s="427"/>
      <c r="AQ92" s="427"/>
      <c r="AR92" s="427"/>
      <c r="AS92" s="427"/>
      <c r="AT92" s="426" t="s">
        <v>393</v>
      </c>
      <c r="AU92" s="427"/>
      <c r="AV92" s="427"/>
      <c r="AW92" s="427"/>
      <c r="AX92" s="427"/>
    </row>
    <row r="93" spans="2:50">
      <c r="B93" s="419" t="s">
        <v>424</v>
      </c>
      <c r="C93" s="419" t="s">
        <v>395</v>
      </c>
      <c r="D93" s="419"/>
      <c r="E93" s="419" t="s">
        <v>396</v>
      </c>
      <c r="F93" s="419"/>
      <c r="G93" s="419"/>
      <c r="H93" s="420" t="s">
        <v>403</v>
      </c>
      <c r="I93" s="419" t="s">
        <v>398</v>
      </c>
      <c r="J93" s="419"/>
      <c r="K93" s="419"/>
      <c r="L93" s="420" t="s">
        <v>403</v>
      </c>
      <c r="M93" s="413" t="s">
        <v>399</v>
      </c>
      <c r="N93" s="413"/>
      <c r="O93" s="413" t="s">
        <v>156</v>
      </c>
      <c r="P93" s="416" t="s">
        <v>401</v>
      </c>
      <c r="Q93" s="417"/>
      <c r="R93" s="417"/>
      <c r="S93" s="418"/>
      <c r="T93" s="419" t="s">
        <v>397</v>
      </c>
      <c r="U93" s="416" t="s">
        <v>402</v>
      </c>
      <c r="V93" s="417"/>
      <c r="W93" s="417"/>
      <c r="X93" s="418"/>
      <c r="Y93" s="419" t="s">
        <v>403</v>
      </c>
      <c r="Z93" s="416" t="s">
        <v>402</v>
      </c>
      <c r="AA93" s="417"/>
      <c r="AB93" s="417"/>
      <c r="AC93" s="418"/>
      <c r="AD93" s="419" t="s">
        <v>397</v>
      </c>
      <c r="AE93" s="416" t="s">
        <v>402</v>
      </c>
      <c r="AF93" s="417"/>
      <c r="AG93" s="417"/>
      <c r="AH93" s="418"/>
      <c r="AI93" s="419" t="s">
        <v>403</v>
      </c>
      <c r="AJ93" s="416" t="s">
        <v>401</v>
      </c>
      <c r="AK93" s="417"/>
      <c r="AL93" s="417"/>
      <c r="AM93" s="418"/>
      <c r="AN93" s="419" t="s">
        <v>397</v>
      </c>
      <c r="AO93" s="416" t="s">
        <v>401</v>
      </c>
      <c r="AP93" s="417"/>
      <c r="AQ93" s="417"/>
      <c r="AR93" s="418"/>
      <c r="AS93" s="419" t="s">
        <v>403</v>
      </c>
      <c r="AT93" s="416" t="s">
        <v>401</v>
      </c>
      <c r="AU93" s="417"/>
      <c r="AV93" s="417"/>
      <c r="AW93" s="418"/>
      <c r="AX93" s="419" t="s">
        <v>397</v>
      </c>
    </row>
    <row r="94" spans="2:50">
      <c r="B94" s="419"/>
      <c r="C94" s="419"/>
      <c r="D94" s="419"/>
      <c r="E94" s="419" t="s">
        <v>419</v>
      </c>
      <c r="F94" s="419"/>
      <c r="G94" s="419"/>
      <c r="H94" s="421"/>
      <c r="I94" s="419" t="s">
        <v>404</v>
      </c>
      <c r="J94" s="419"/>
      <c r="K94" s="419"/>
      <c r="L94" s="421"/>
      <c r="M94" s="414"/>
      <c r="N94" s="414"/>
      <c r="O94" s="414"/>
      <c r="P94" s="416" t="s">
        <v>406</v>
      </c>
      <c r="Q94" s="417"/>
      <c r="R94" s="417"/>
      <c r="S94" s="418"/>
      <c r="T94" s="419"/>
      <c r="U94" s="416" t="s">
        <v>405</v>
      </c>
      <c r="V94" s="417"/>
      <c r="W94" s="417"/>
      <c r="X94" s="418"/>
      <c r="Y94" s="419"/>
      <c r="Z94" s="416" t="s">
        <v>405</v>
      </c>
      <c r="AA94" s="417"/>
      <c r="AB94" s="417"/>
      <c r="AC94" s="418"/>
      <c r="AD94" s="419"/>
      <c r="AE94" s="416" t="s">
        <v>406</v>
      </c>
      <c r="AF94" s="417"/>
      <c r="AG94" s="417"/>
      <c r="AH94" s="418"/>
      <c r="AI94" s="419"/>
      <c r="AJ94" s="416" t="s">
        <v>405</v>
      </c>
      <c r="AK94" s="417"/>
      <c r="AL94" s="417"/>
      <c r="AM94" s="418"/>
      <c r="AN94" s="419"/>
      <c r="AO94" s="416" t="s">
        <v>405</v>
      </c>
      <c r="AP94" s="417"/>
      <c r="AQ94" s="417"/>
      <c r="AR94" s="418"/>
      <c r="AS94" s="419"/>
      <c r="AT94" s="416" t="s">
        <v>405</v>
      </c>
      <c r="AU94" s="417"/>
      <c r="AV94" s="417"/>
      <c r="AW94" s="418"/>
      <c r="AX94" s="419"/>
    </row>
    <row r="95" spans="2:50">
      <c r="B95" s="419"/>
      <c r="C95" s="419"/>
      <c r="D95" s="419"/>
      <c r="E95" s="223" t="s">
        <v>407</v>
      </c>
      <c r="F95" s="223" t="s">
        <v>410</v>
      </c>
      <c r="G95" s="223" t="s">
        <v>409</v>
      </c>
      <c r="H95" s="422"/>
      <c r="I95" s="223" t="s">
        <v>407</v>
      </c>
      <c r="J95" s="223" t="s">
        <v>408</v>
      </c>
      <c r="K95" s="223" t="s">
        <v>409</v>
      </c>
      <c r="L95" s="422"/>
      <c r="M95" s="415"/>
      <c r="N95" s="414"/>
      <c r="O95" s="414"/>
      <c r="P95" s="223" t="s">
        <v>407</v>
      </c>
      <c r="Q95" s="223" t="s">
        <v>410</v>
      </c>
      <c r="R95" s="223" t="s">
        <v>409</v>
      </c>
      <c r="S95" s="223" t="s">
        <v>399</v>
      </c>
      <c r="T95" s="419"/>
      <c r="U95" s="223" t="s">
        <v>407</v>
      </c>
      <c r="V95" s="223" t="s">
        <v>410</v>
      </c>
      <c r="W95" s="223" t="s">
        <v>409</v>
      </c>
      <c r="X95" s="223" t="s">
        <v>399</v>
      </c>
      <c r="Y95" s="419"/>
      <c r="Z95" s="223" t="s">
        <v>411</v>
      </c>
      <c r="AA95" s="223" t="s">
        <v>408</v>
      </c>
      <c r="AB95" s="223" t="s">
        <v>420</v>
      </c>
      <c r="AC95" s="223" t="s">
        <v>399</v>
      </c>
      <c r="AD95" s="419"/>
      <c r="AE95" s="223" t="s">
        <v>407</v>
      </c>
      <c r="AF95" s="223" t="s">
        <v>410</v>
      </c>
      <c r="AG95" s="223" t="s">
        <v>409</v>
      </c>
      <c r="AH95" s="223" t="s">
        <v>412</v>
      </c>
      <c r="AI95" s="419"/>
      <c r="AJ95" s="223" t="s">
        <v>411</v>
      </c>
      <c r="AK95" s="223" t="s">
        <v>408</v>
      </c>
      <c r="AL95" s="223" t="s">
        <v>409</v>
      </c>
      <c r="AM95" s="223" t="s">
        <v>399</v>
      </c>
      <c r="AN95" s="419"/>
      <c r="AO95" s="223" t="s">
        <v>407</v>
      </c>
      <c r="AP95" s="223" t="s">
        <v>410</v>
      </c>
      <c r="AQ95" s="223" t="s">
        <v>409</v>
      </c>
      <c r="AR95" s="223" t="s">
        <v>399</v>
      </c>
      <c r="AS95" s="419"/>
      <c r="AT95" s="223" t="s">
        <v>407</v>
      </c>
      <c r="AU95" s="223" t="s">
        <v>410</v>
      </c>
      <c r="AV95" s="223" t="s">
        <v>409</v>
      </c>
      <c r="AW95" s="223" t="s">
        <v>399</v>
      </c>
      <c r="AX95" s="419"/>
    </row>
    <row r="96" spans="2:50" ht="13.5">
      <c r="B96" s="411" t="s">
        <v>136</v>
      </c>
      <c r="C96" s="224">
        <v>1</v>
      </c>
      <c r="D96" s="228" t="s">
        <v>363</v>
      </c>
      <c r="E96" s="225">
        <f>VLOOKUP(D96,'10產線配置圖'!$A$2:$C$25,2,0)</f>
        <v>12</v>
      </c>
      <c r="F96" s="225">
        <f>VLOOKUP(D96,'10產線配置圖'!$A$2:$C$25,3,0)</f>
        <v>2000</v>
      </c>
      <c r="G96" s="226">
        <f>F96/E96</f>
        <v>166.66666666666666</v>
      </c>
      <c r="H96" s="408">
        <f>AVERAGE(G96:G110)</f>
        <v>108.66003331607047</v>
      </c>
      <c r="I96" s="225" t="e">
        <f>AVERAGE(P96,U96,Z96,AE96,AJ96,AO96,AT96)</f>
        <v>#DIV/0!</v>
      </c>
      <c r="J96" s="225" t="e">
        <f>AVERAGE(Q96,V96,AA96,AF96,AK96,AP96,AU96)</f>
        <v>#DIV/0!</v>
      </c>
      <c r="K96" s="226" t="e">
        <f>AVERAGE(R96,W96,AB96,AG96,AL96,AQ96,AV96)</f>
        <v>#DIV/0!</v>
      </c>
      <c r="L96" s="408" t="str">
        <f>IFERROR(AVERAGE(K96:K113),"-")</f>
        <v>-</v>
      </c>
      <c r="M96" s="225" t="e">
        <f>RANK(K96, K$96:$K$113)</f>
        <v>#DIV/0!</v>
      </c>
      <c r="N96" s="414"/>
      <c r="O96" s="414"/>
      <c r="P96" s="225"/>
      <c r="Q96" s="225"/>
      <c r="R96" s="226" t="e">
        <f>Q96/P96</f>
        <v>#DIV/0!</v>
      </c>
      <c r="S96" s="224" t="e">
        <f>RANK(R96,$R$96:$R$113)</f>
        <v>#DIV/0!</v>
      </c>
      <c r="T96" s="408" t="e">
        <f>AVERAGE(R96:R113)</f>
        <v>#DIV/0!</v>
      </c>
      <c r="U96" s="225"/>
      <c r="V96" s="225"/>
      <c r="W96" s="226" t="e">
        <f>V96/U96</f>
        <v>#DIV/0!</v>
      </c>
      <c r="X96" s="224" t="e">
        <f>RANK(W96,$W$96:$W$113)</f>
        <v>#DIV/0!</v>
      </c>
      <c r="Y96" s="408" t="e">
        <f>AVERAGE(W96:W113)</f>
        <v>#DIV/0!</v>
      </c>
      <c r="Z96" s="225"/>
      <c r="AA96" s="225"/>
      <c r="AB96" s="226" t="e">
        <f>AA96/Z96</f>
        <v>#DIV/0!</v>
      </c>
      <c r="AC96" s="224" t="e">
        <f>RANK(AB96, $AB$96:$AB$113)</f>
        <v>#DIV/0!</v>
      </c>
      <c r="AD96" s="408" t="e">
        <f>AVERAGE(AB96:AB113)</f>
        <v>#DIV/0!</v>
      </c>
      <c r="AE96" s="225"/>
      <c r="AF96" s="225"/>
      <c r="AG96" s="226" t="e">
        <f>AF96/AE96</f>
        <v>#DIV/0!</v>
      </c>
      <c r="AH96" s="224" t="e">
        <f>RANK(AG96,$AG$96:$AG$113)</f>
        <v>#DIV/0!</v>
      </c>
      <c r="AI96" s="408" t="e">
        <f>AVERAGE(AG96:AG113)</f>
        <v>#DIV/0!</v>
      </c>
      <c r="AJ96" s="225"/>
      <c r="AK96" s="225"/>
      <c r="AL96" s="226" t="e">
        <f>AK96/AJ96</f>
        <v>#DIV/0!</v>
      </c>
      <c r="AM96" s="224" t="e">
        <f>RANK(AL96,$AL$96:$AL$113)</f>
        <v>#DIV/0!</v>
      </c>
      <c r="AN96" s="408" t="e">
        <f>AVERAGE(AL96:AL113)</f>
        <v>#DIV/0!</v>
      </c>
      <c r="AO96" s="224"/>
      <c r="AP96" s="224"/>
      <c r="AQ96" s="226" t="e">
        <f>AP96/AO96</f>
        <v>#DIV/0!</v>
      </c>
      <c r="AR96" s="224" t="e">
        <f>RANK(AQ96,$AQ$96:$AQ$113)</f>
        <v>#DIV/0!</v>
      </c>
      <c r="AS96" s="408" t="e">
        <f>AVERAGE(AQ96:AQ113)</f>
        <v>#DIV/0!</v>
      </c>
      <c r="AT96" s="224"/>
      <c r="AU96" s="224"/>
      <c r="AV96" s="226" t="e">
        <f>AU96/AT96</f>
        <v>#DIV/0!</v>
      </c>
      <c r="AW96" s="224" t="e">
        <f>RANK(AV96,$AV$96:$AV$113)</f>
        <v>#DIV/0!</v>
      </c>
      <c r="AX96" s="408" t="e">
        <f>AVERAGE(AV96:AV113)</f>
        <v>#DIV/0!</v>
      </c>
    </row>
    <row r="97" spans="1:50">
      <c r="B97" s="412"/>
      <c r="C97" s="224">
        <v>2</v>
      </c>
      <c r="D97" s="224" t="s">
        <v>357</v>
      </c>
      <c r="E97" s="225">
        <f>VLOOKUP(D97,'10產線配置圖'!$A$2:$C$25,2,0)</f>
        <v>13</v>
      </c>
      <c r="F97" s="225">
        <f>VLOOKUP(D97,'10產線配置圖'!$A$2:$C$25,3,0)</f>
        <v>2000</v>
      </c>
      <c r="G97" s="226">
        <f t="shared" ref="G97:G109" si="106">F97/E97</f>
        <v>153.84615384615384</v>
      </c>
      <c r="H97" s="409"/>
      <c r="I97" s="225" t="e">
        <f t="shared" ref="I97:I111" si="107">AVERAGE(P97,U97,Z97,AE97,AJ97,AO97,AT97)</f>
        <v>#DIV/0!</v>
      </c>
      <c r="J97" s="225" t="e">
        <f t="shared" ref="J97:J111" si="108">AVERAGE(Q97,V97,AA97,AF97,AK97,AP97,AU97)</f>
        <v>#DIV/0!</v>
      </c>
      <c r="K97" s="226" t="e">
        <f t="shared" ref="K97:K112" si="109">AVERAGE(R97,W97,AB97,AG97,AL97,AQ97,AV97)</f>
        <v>#DIV/0!</v>
      </c>
      <c r="L97" s="409"/>
      <c r="M97" s="225" t="e">
        <f>RANK(K97, K$96:$K$113)</f>
        <v>#DIV/0!</v>
      </c>
      <c r="N97" s="414"/>
      <c r="O97" s="414"/>
      <c r="P97" s="225"/>
      <c r="Q97" s="225"/>
      <c r="R97" s="226" t="e">
        <f t="shared" ref="R97:R110" si="110">Q97/P97</f>
        <v>#DIV/0!</v>
      </c>
      <c r="S97" s="224" t="e">
        <f t="shared" ref="S97:S112" si="111">RANK(R97,$R$96:$R$113)</f>
        <v>#DIV/0!</v>
      </c>
      <c r="T97" s="409"/>
      <c r="U97" s="225"/>
      <c r="V97" s="225"/>
      <c r="W97" s="226" t="e">
        <f t="shared" ref="W97:W112" si="112">V97/U97</f>
        <v>#DIV/0!</v>
      </c>
      <c r="X97" s="224" t="e">
        <f t="shared" ref="X97:X112" si="113">RANK(W97,$W$96:$W$113)</f>
        <v>#DIV/0!</v>
      </c>
      <c r="Y97" s="409"/>
      <c r="Z97" s="225"/>
      <c r="AA97" s="225"/>
      <c r="AB97" s="226" t="e">
        <f t="shared" ref="AB97:AB111" si="114">AA97/Z97</f>
        <v>#DIV/0!</v>
      </c>
      <c r="AC97" s="224" t="e">
        <f t="shared" ref="AC97:AC111" si="115">RANK(AB97, $AB$96:$AB$113)</f>
        <v>#DIV/0!</v>
      </c>
      <c r="AD97" s="409"/>
      <c r="AE97" s="225"/>
      <c r="AF97" s="225"/>
      <c r="AG97" s="226" t="e">
        <f t="shared" ref="AG97:AG111" si="116">AF97/AE97</f>
        <v>#DIV/0!</v>
      </c>
      <c r="AH97" s="224" t="e">
        <f t="shared" ref="AH97:AH111" si="117">RANK(AG97,$AG$96:$AG$113)</f>
        <v>#DIV/0!</v>
      </c>
      <c r="AI97" s="409"/>
      <c r="AJ97" s="225"/>
      <c r="AK97" s="225"/>
      <c r="AL97" s="226" t="e">
        <f t="shared" ref="AL97:AL111" si="118">AK97/AJ97</f>
        <v>#DIV/0!</v>
      </c>
      <c r="AM97" s="224" t="e">
        <f t="shared" ref="AM97:AM111" si="119">RANK(AL97,$AL$96:$AL$113)</f>
        <v>#DIV/0!</v>
      </c>
      <c r="AN97" s="409"/>
      <c r="AO97" s="224"/>
      <c r="AP97" s="224"/>
      <c r="AQ97" s="226" t="e">
        <f t="shared" ref="AQ97:AQ105" si="120">AP97/AO97</f>
        <v>#DIV/0!</v>
      </c>
      <c r="AR97" s="224" t="e">
        <f t="shared" ref="AR97:AR112" si="121">RANK(AQ97,$AQ$96:$AQ$113)</f>
        <v>#DIV/0!</v>
      </c>
      <c r="AS97" s="409"/>
      <c r="AT97" s="224"/>
      <c r="AU97" s="224"/>
      <c r="AV97" s="226" t="e">
        <f t="shared" ref="AV97:AV104" si="122">AU97/AT97</f>
        <v>#DIV/0!</v>
      </c>
      <c r="AW97" s="224" t="e">
        <f t="shared" ref="AW97:AW112" si="123">RANK(AV97,$AV$96:$AV$113)</f>
        <v>#DIV/0!</v>
      </c>
      <c r="AX97" s="409"/>
    </row>
    <row r="98" spans="1:50">
      <c r="B98" s="412"/>
      <c r="C98" s="224">
        <v>3</v>
      </c>
      <c r="D98" s="224" t="s">
        <v>358</v>
      </c>
      <c r="E98" s="225">
        <f>VLOOKUP(D98,'10產線配置圖'!$A$2:$C$25,2,0)</f>
        <v>16</v>
      </c>
      <c r="F98" s="225">
        <f>VLOOKUP(D98,'10產線配置圖'!$A$2:$C$25,3,0)</f>
        <v>1915</v>
      </c>
      <c r="G98" s="226">
        <f t="shared" si="106"/>
        <v>119.6875</v>
      </c>
      <c r="H98" s="409"/>
      <c r="I98" s="225" t="e">
        <f t="shared" si="107"/>
        <v>#DIV/0!</v>
      </c>
      <c r="J98" s="225" t="e">
        <f t="shared" si="108"/>
        <v>#DIV/0!</v>
      </c>
      <c r="K98" s="226" t="e">
        <f t="shared" si="109"/>
        <v>#DIV/0!</v>
      </c>
      <c r="L98" s="409"/>
      <c r="M98" s="225" t="e">
        <f>RANK(K98, K$96:$K$113)</f>
        <v>#DIV/0!</v>
      </c>
      <c r="N98" s="414"/>
      <c r="O98" s="414"/>
      <c r="P98" s="225"/>
      <c r="Q98" s="225"/>
      <c r="R98" s="226" t="e">
        <f t="shared" si="110"/>
        <v>#DIV/0!</v>
      </c>
      <c r="S98" s="224" t="e">
        <f t="shared" si="111"/>
        <v>#DIV/0!</v>
      </c>
      <c r="T98" s="409"/>
      <c r="U98" s="225"/>
      <c r="V98" s="225"/>
      <c r="W98" s="226" t="e">
        <f t="shared" si="112"/>
        <v>#DIV/0!</v>
      </c>
      <c r="X98" s="224" t="e">
        <f t="shared" si="113"/>
        <v>#DIV/0!</v>
      </c>
      <c r="Y98" s="409"/>
      <c r="Z98" s="225"/>
      <c r="AA98" s="225"/>
      <c r="AB98" s="226" t="e">
        <f>AA98/Z98</f>
        <v>#DIV/0!</v>
      </c>
      <c r="AC98" s="224" t="e">
        <f t="shared" si="115"/>
        <v>#DIV/0!</v>
      </c>
      <c r="AD98" s="409"/>
      <c r="AE98" s="225"/>
      <c r="AF98" s="225"/>
      <c r="AG98" s="226" t="e">
        <f t="shared" si="116"/>
        <v>#DIV/0!</v>
      </c>
      <c r="AH98" s="224" t="e">
        <f t="shared" si="117"/>
        <v>#DIV/0!</v>
      </c>
      <c r="AI98" s="409"/>
      <c r="AJ98" s="225"/>
      <c r="AK98" s="225"/>
      <c r="AL98" s="226" t="e">
        <f t="shared" si="118"/>
        <v>#DIV/0!</v>
      </c>
      <c r="AM98" s="224" t="e">
        <f t="shared" si="119"/>
        <v>#DIV/0!</v>
      </c>
      <c r="AN98" s="409"/>
      <c r="AO98" s="224"/>
      <c r="AP98" s="224"/>
      <c r="AQ98" s="226" t="e">
        <f t="shared" si="120"/>
        <v>#DIV/0!</v>
      </c>
      <c r="AR98" s="224" t="e">
        <f t="shared" si="121"/>
        <v>#DIV/0!</v>
      </c>
      <c r="AS98" s="409"/>
      <c r="AT98" s="224"/>
      <c r="AU98" s="224"/>
      <c r="AV98" s="226" t="e">
        <f t="shared" si="122"/>
        <v>#DIV/0!</v>
      </c>
      <c r="AW98" s="224" t="e">
        <f t="shared" si="123"/>
        <v>#DIV/0!</v>
      </c>
      <c r="AX98" s="409"/>
    </row>
    <row r="99" spans="1:50">
      <c r="A99" s="216">
        <v>18</v>
      </c>
      <c r="B99" s="412"/>
      <c r="C99" s="224">
        <v>4</v>
      </c>
      <c r="D99" s="224" t="s">
        <v>359</v>
      </c>
      <c r="E99" s="225">
        <f>VLOOKUP(D99,'10產線配置圖'!$A$2:$C$25,2,0)</f>
        <v>18</v>
      </c>
      <c r="F99" s="225">
        <f>VLOOKUP(D99,'10產線配置圖'!$A$2:$C$25,3,0)</f>
        <v>1565</v>
      </c>
      <c r="G99" s="226">
        <f t="shared" si="106"/>
        <v>86.944444444444443</v>
      </c>
      <c r="H99" s="409"/>
      <c r="I99" s="225" t="e">
        <f t="shared" si="107"/>
        <v>#DIV/0!</v>
      </c>
      <c r="J99" s="225" t="e">
        <f t="shared" si="108"/>
        <v>#DIV/0!</v>
      </c>
      <c r="K99" s="226" t="e">
        <f t="shared" si="109"/>
        <v>#DIV/0!</v>
      </c>
      <c r="L99" s="409"/>
      <c r="M99" s="225" t="e">
        <f>RANK(K99, K$96:$K$113)</f>
        <v>#DIV/0!</v>
      </c>
      <c r="N99" s="414"/>
      <c r="O99" s="414"/>
      <c r="P99" s="225"/>
      <c r="Q99" s="225"/>
      <c r="R99" s="226" t="e">
        <f t="shared" si="110"/>
        <v>#DIV/0!</v>
      </c>
      <c r="S99" s="224" t="e">
        <f t="shared" si="111"/>
        <v>#DIV/0!</v>
      </c>
      <c r="T99" s="409"/>
      <c r="U99" s="225"/>
      <c r="V99" s="225"/>
      <c r="W99" s="226" t="e">
        <f t="shared" si="112"/>
        <v>#DIV/0!</v>
      </c>
      <c r="X99" s="224" t="e">
        <f t="shared" si="113"/>
        <v>#DIV/0!</v>
      </c>
      <c r="Y99" s="409"/>
      <c r="Z99" s="225"/>
      <c r="AA99" s="225"/>
      <c r="AB99" s="226" t="e">
        <f t="shared" si="114"/>
        <v>#DIV/0!</v>
      </c>
      <c r="AC99" s="224" t="e">
        <f t="shared" si="115"/>
        <v>#DIV/0!</v>
      </c>
      <c r="AD99" s="409"/>
      <c r="AE99" s="225"/>
      <c r="AF99" s="225"/>
      <c r="AG99" s="226" t="e">
        <f t="shared" si="116"/>
        <v>#DIV/0!</v>
      </c>
      <c r="AH99" s="224" t="e">
        <f t="shared" si="117"/>
        <v>#DIV/0!</v>
      </c>
      <c r="AI99" s="409"/>
      <c r="AJ99" s="225"/>
      <c r="AK99" s="225"/>
      <c r="AL99" s="226" t="e">
        <f t="shared" si="118"/>
        <v>#DIV/0!</v>
      </c>
      <c r="AM99" s="224" t="e">
        <f t="shared" si="119"/>
        <v>#DIV/0!</v>
      </c>
      <c r="AN99" s="409"/>
      <c r="AO99" s="224"/>
      <c r="AP99" s="224"/>
      <c r="AQ99" s="226" t="e">
        <f t="shared" si="120"/>
        <v>#DIV/0!</v>
      </c>
      <c r="AR99" s="224" t="e">
        <f t="shared" si="121"/>
        <v>#DIV/0!</v>
      </c>
      <c r="AS99" s="409"/>
      <c r="AT99" s="224"/>
      <c r="AU99" s="224"/>
      <c r="AV99" s="226" t="e">
        <f t="shared" si="122"/>
        <v>#DIV/0!</v>
      </c>
      <c r="AW99" s="224" t="e">
        <f t="shared" si="123"/>
        <v>#DIV/0!</v>
      </c>
      <c r="AX99" s="409"/>
    </row>
    <row r="100" spans="1:50">
      <c r="B100" s="412"/>
      <c r="C100" s="224">
        <v>5</v>
      </c>
      <c r="D100" s="224" t="s">
        <v>360</v>
      </c>
      <c r="E100" s="225">
        <f>VLOOKUP(D100,'10產線配置圖'!$A$2:$C$25,2,0)</f>
        <v>13</v>
      </c>
      <c r="F100" s="225">
        <f>VLOOKUP(D100,'10產線配置圖'!$A$2:$C$25,3,0)</f>
        <v>2000</v>
      </c>
      <c r="G100" s="226">
        <f t="shared" si="106"/>
        <v>153.84615384615384</v>
      </c>
      <c r="H100" s="409"/>
      <c r="I100" s="225" t="e">
        <f t="shared" si="107"/>
        <v>#DIV/0!</v>
      </c>
      <c r="J100" s="225" t="e">
        <f t="shared" si="108"/>
        <v>#DIV/0!</v>
      </c>
      <c r="K100" s="226" t="e">
        <f t="shared" si="109"/>
        <v>#DIV/0!</v>
      </c>
      <c r="L100" s="409"/>
      <c r="M100" s="225" t="e">
        <f>RANK(K100, K$96:$K$113)</f>
        <v>#DIV/0!</v>
      </c>
      <c r="N100" s="414"/>
      <c r="O100" s="414"/>
      <c r="P100" s="225"/>
      <c r="Q100" s="225"/>
      <c r="R100" s="226" t="e">
        <f t="shared" si="110"/>
        <v>#DIV/0!</v>
      </c>
      <c r="S100" s="224" t="e">
        <f t="shared" si="111"/>
        <v>#DIV/0!</v>
      </c>
      <c r="T100" s="409"/>
      <c r="U100" s="225"/>
      <c r="V100" s="225"/>
      <c r="W100" s="226" t="e">
        <f t="shared" si="112"/>
        <v>#DIV/0!</v>
      </c>
      <c r="X100" s="224" t="e">
        <f t="shared" si="113"/>
        <v>#DIV/0!</v>
      </c>
      <c r="Y100" s="409"/>
      <c r="Z100" s="225"/>
      <c r="AA100" s="225"/>
      <c r="AB100" s="226" t="e">
        <f t="shared" si="114"/>
        <v>#DIV/0!</v>
      </c>
      <c r="AC100" s="224" t="e">
        <f t="shared" si="115"/>
        <v>#DIV/0!</v>
      </c>
      <c r="AD100" s="409"/>
      <c r="AE100" s="225"/>
      <c r="AF100" s="225"/>
      <c r="AG100" s="226" t="e">
        <f t="shared" si="116"/>
        <v>#DIV/0!</v>
      </c>
      <c r="AH100" s="224" t="e">
        <f t="shared" si="117"/>
        <v>#DIV/0!</v>
      </c>
      <c r="AI100" s="409"/>
      <c r="AJ100" s="225"/>
      <c r="AK100" s="225"/>
      <c r="AL100" s="226" t="e">
        <f t="shared" si="118"/>
        <v>#DIV/0!</v>
      </c>
      <c r="AM100" s="224" t="e">
        <f t="shared" si="119"/>
        <v>#DIV/0!</v>
      </c>
      <c r="AN100" s="409"/>
      <c r="AO100" s="224"/>
      <c r="AP100" s="224"/>
      <c r="AQ100" s="226" t="e">
        <f t="shared" si="120"/>
        <v>#DIV/0!</v>
      </c>
      <c r="AR100" s="224" t="e">
        <f t="shared" si="121"/>
        <v>#DIV/0!</v>
      </c>
      <c r="AS100" s="409"/>
      <c r="AT100" s="224"/>
      <c r="AU100" s="224"/>
      <c r="AV100" s="226" t="e">
        <f t="shared" si="122"/>
        <v>#DIV/0!</v>
      </c>
      <c r="AW100" s="224" t="e">
        <f t="shared" si="123"/>
        <v>#DIV/0!</v>
      </c>
      <c r="AX100" s="409"/>
    </row>
    <row r="101" spans="1:50">
      <c r="B101" s="412"/>
      <c r="C101" s="224">
        <v>6</v>
      </c>
      <c r="D101" s="224" t="s">
        <v>370</v>
      </c>
      <c r="E101" s="225">
        <f>VLOOKUP(D101,'10產線配置圖'!$A$2:$C$25,2,0)</f>
        <v>14</v>
      </c>
      <c r="F101" s="225">
        <f>VLOOKUP(D101,'10產線配置圖'!$A$2:$C$25,3,0)</f>
        <v>1895</v>
      </c>
      <c r="G101" s="226">
        <f t="shared" si="106"/>
        <v>135.35714285714286</v>
      </c>
      <c r="H101" s="409"/>
      <c r="I101" s="225" t="e">
        <f t="shared" si="107"/>
        <v>#DIV/0!</v>
      </c>
      <c r="J101" s="225" t="e">
        <f t="shared" si="108"/>
        <v>#DIV/0!</v>
      </c>
      <c r="K101" s="226" t="e">
        <f t="shared" si="109"/>
        <v>#DIV/0!</v>
      </c>
      <c r="L101" s="409"/>
      <c r="M101" s="225" t="e">
        <f>RANK(K101, K$96:$K$113)</f>
        <v>#DIV/0!</v>
      </c>
      <c r="N101" s="414"/>
      <c r="O101" s="414"/>
      <c r="P101" s="225"/>
      <c r="Q101" s="225"/>
      <c r="R101" s="226" t="e">
        <f t="shared" si="110"/>
        <v>#DIV/0!</v>
      </c>
      <c r="S101" s="224" t="e">
        <f t="shared" si="111"/>
        <v>#DIV/0!</v>
      </c>
      <c r="T101" s="409"/>
      <c r="U101" s="225"/>
      <c r="V101" s="225"/>
      <c r="W101" s="226" t="e">
        <f t="shared" si="112"/>
        <v>#DIV/0!</v>
      </c>
      <c r="X101" s="224" t="e">
        <f t="shared" si="113"/>
        <v>#DIV/0!</v>
      </c>
      <c r="Y101" s="409"/>
      <c r="Z101" s="225"/>
      <c r="AA101" s="225"/>
      <c r="AB101" s="226" t="e">
        <f t="shared" si="114"/>
        <v>#DIV/0!</v>
      </c>
      <c r="AC101" s="224" t="e">
        <f t="shared" si="115"/>
        <v>#DIV/0!</v>
      </c>
      <c r="AD101" s="409"/>
      <c r="AE101" s="225"/>
      <c r="AF101" s="225"/>
      <c r="AG101" s="226" t="e">
        <f t="shared" si="116"/>
        <v>#DIV/0!</v>
      </c>
      <c r="AH101" s="224" t="e">
        <f t="shared" si="117"/>
        <v>#DIV/0!</v>
      </c>
      <c r="AI101" s="409"/>
      <c r="AJ101" s="225"/>
      <c r="AK101" s="225"/>
      <c r="AL101" s="226" t="e">
        <f t="shared" si="118"/>
        <v>#DIV/0!</v>
      </c>
      <c r="AM101" s="224" t="e">
        <f t="shared" si="119"/>
        <v>#DIV/0!</v>
      </c>
      <c r="AN101" s="409"/>
      <c r="AO101" s="224"/>
      <c r="AP101" s="224"/>
      <c r="AQ101" s="226" t="e">
        <f t="shared" si="120"/>
        <v>#DIV/0!</v>
      </c>
      <c r="AR101" s="224" t="e">
        <f t="shared" si="121"/>
        <v>#DIV/0!</v>
      </c>
      <c r="AS101" s="409"/>
      <c r="AT101" s="224"/>
      <c r="AU101" s="224"/>
      <c r="AV101" s="226" t="e">
        <f t="shared" si="122"/>
        <v>#DIV/0!</v>
      </c>
      <c r="AW101" s="224" t="e">
        <f t="shared" si="123"/>
        <v>#DIV/0!</v>
      </c>
      <c r="AX101" s="409"/>
    </row>
    <row r="102" spans="1:50">
      <c r="B102" s="412"/>
      <c r="C102" s="224">
        <v>7</v>
      </c>
      <c r="D102" s="224" t="s">
        <v>351</v>
      </c>
      <c r="E102" s="225">
        <f>VLOOKUP(D102,'10產線配置圖'!$A$2:$C$25,2,0)</f>
        <v>16</v>
      </c>
      <c r="F102" s="225">
        <f>VLOOKUP(D102,'10產線配置圖'!$A$2:$C$25,3,0)</f>
        <v>1429</v>
      </c>
      <c r="G102" s="226">
        <f t="shared" si="106"/>
        <v>89.3125</v>
      </c>
      <c r="H102" s="409"/>
      <c r="I102" s="225"/>
      <c r="J102" s="225"/>
      <c r="K102" s="226"/>
      <c r="L102" s="409"/>
      <c r="M102" s="225"/>
      <c r="N102" s="414"/>
      <c r="O102" s="414"/>
      <c r="P102" s="225"/>
      <c r="Q102" s="225"/>
      <c r="R102" s="226"/>
      <c r="S102" s="224"/>
      <c r="T102" s="409"/>
      <c r="U102" s="225"/>
      <c r="V102" s="225"/>
      <c r="W102" s="226"/>
      <c r="X102" s="224"/>
      <c r="Y102" s="409"/>
      <c r="Z102" s="225"/>
      <c r="AA102" s="225"/>
      <c r="AB102" s="226"/>
      <c r="AC102" s="224"/>
      <c r="AD102" s="409"/>
      <c r="AE102" s="225"/>
      <c r="AF102" s="225"/>
      <c r="AG102" s="226"/>
      <c r="AH102" s="224"/>
      <c r="AI102" s="409"/>
      <c r="AJ102" s="225"/>
      <c r="AK102" s="225"/>
      <c r="AL102" s="226"/>
      <c r="AM102" s="224"/>
      <c r="AN102" s="409"/>
      <c r="AO102" s="224"/>
      <c r="AP102" s="224"/>
      <c r="AQ102" s="226"/>
      <c r="AR102" s="224"/>
      <c r="AS102" s="409"/>
      <c r="AT102" s="224"/>
      <c r="AU102" s="224"/>
      <c r="AV102" s="226"/>
      <c r="AW102" s="224"/>
      <c r="AX102" s="409"/>
    </row>
    <row r="103" spans="1:50">
      <c r="B103" s="412"/>
      <c r="C103" s="224">
        <v>8</v>
      </c>
      <c r="D103" s="224" t="s">
        <v>352</v>
      </c>
      <c r="E103" s="225">
        <f>VLOOKUP(D103,'10產線配置圖'!$A$2:$C$25,2,0)</f>
        <v>18</v>
      </c>
      <c r="F103" s="225">
        <f>VLOOKUP(D103,'10產線配置圖'!$A$2:$C$25,3,0)</f>
        <v>1500</v>
      </c>
      <c r="G103" s="226">
        <f t="shared" si="106"/>
        <v>83.333333333333329</v>
      </c>
      <c r="H103" s="409"/>
      <c r="I103" s="225" t="e">
        <f t="shared" si="107"/>
        <v>#DIV/0!</v>
      </c>
      <c r="J103" s="225" t="e">
        <f t="shared" si="108"/>
        <v>#DIV/0!</v>
      </c>
      <c r="K103" s="226" t="e">
        <f t="shared" si="109"/>
        <v>#DIV/0!</v>
      </c>
      <c r="L103" s="409"/>
      <c r="M103" s="225" t="e">
        <f>RANK(K103, K$96:$K$113)</f>
        <v>#DIV/0!</v>
      </c>
      <c r="N103" s="414"/>
      <c r="O103" s="414"/>
      <c r="P103" s="225"/>
      <c r="Q103" s="225"/>
      <c r="R103" s="226" t="e">
        <f t="shared" si="110"/>
        <v>#DIV/0!</v>
      </c>
      <c r="S103" s="224" t="e">
        <f t="shared" si="111"/>
        <v>#DIV/0!</v>
      </c>
      <c r="T103" s="409"/>
      <c r="U103" s="225"/>
      <c r="V103" s="225"/>
      <c r="W103" s="226" t="e">
        <f t="shared" si="112"/>
        <v>#DIV/0!</v>
      </c>
      <c r="X103" s="224" t="e">
        <f t="shared" si="113"/>
        <v>#DIV/0!</v>
      </c>
      <c r="Y103" s="409"/>
      <c r="Z103" s="225"/>
      <c r="AA103" s="225"/>
      <c r="AB103" s="226" t="e">
        <f t="shared" si="114"/>
        <v>#DIV/0!</v>
      </c>
      <c r="AC103" s="224" t="e">
        <f t="shared" si="115"/>
        <v>#DIV/0!</v>
      </c>
      <c r="AD103" s="409"/>
      <c r="AE103" s="225"/>
      <c r="AF103" s="225"/>
      <c r="AG103" s="226" t="e">
        <f t="shared" si="116"/>
        <v>#DIV/0!</v>
      </c>
      <c r="AH103" s="224" t="e">
        <f t="shared" si="117"/>
        <v>#DIV/0!</v>
      </c>
      <c r="AI103" s="409"/>
      <c r="AJ103" s="225"/>
      <c r="AK103" s="225"/>
      <c r="AL103" s="226" t="e">
        <f t="shared" si="118"/>
        <v>#DIV/0!</v>
      </c>
      <c r="AM103" s="224" t="e">
        <f t="shared" si="119"/>
        <v>#DIV/0!</v>
      </c>
      <c r="AN103" s="409"/>
      <c r="AO103" s="224"/>
      <c r="AP103" s="224"/>
      <c r="AQ103" s="226" t="e">
        <f t="shared" si="120"/>
        <v>#DIV/0!</v>
      </c>
      <c r="AR103" s="224" t="e">
        <f t="shared" si="121"/>
        <v>#DIV/0!</v>
      </c>
      <c r="AS103" s="409"/>
      <c r="AT103" s="224"/>
      <c r="AU103" s="224"/>
      <c r="AV103" s="226" t="e">
        <f t="shared" si="122"/>
        <v>#DIV/0!</v>
      </c>
      <c r="AW103" s="224" t="e">
        <f t="shared" si="123"/>
        <v>#DIV/0!</v>
      </c>
      <c r="AX103" s="409"/>
    </row>
    <row r="104" spans="1:50">
      <c r="B104" s="412"/>
      <c r="C104" s="224">
        <v>9</v>
      </c>
      <c r="D104" s="224" t="s">
        <v>361</v>
      </c>
      <c r="E104" s="225">
        <f>VLOOKUP(D104,'10產線配置圖'!$A$2:$C$25,2,0)</f>
        <v>18</v>
      </c>
      <c r="F104" s="225">
        <f>VLOOKUP(D104,'10產線配置圖'!$A$2:$C$25,3,0)</f>
        <v>1385</v>
      </c>
      <c r="G104" s="226">
        <f t="shared" si="106"/>
        <v>76.944444444444443</v>
      </c>
      <c r="H104" s="409"/>
      <c r="I104" s="225" t="e">
        <f t="shared" si="107"/>
        <v>#DIV/0!</v>
      </c>
      <c r="J104" s="225" t="e">
        <f t="shared" si="108"/>
        <v>#DIV/0!</v>
      </c>
      <c r="K104" s="226" t="e">
        <f t="shared" si="109"/>
        <v>#DIV/0!</v>
      </c>
      <c r="L104" s="409"/>
      <c r="M104" s="225" t="e">
        <f>RANK(K104, K$96:$K$113)</f>
        <v>#DIV/0!</v>
      </c>
      <c r="N104" s="414"/>
      <c r="O104" s="414"/>
      <c r="P104" s="225"/>
      <c r="Q104" s="225"/>
      <c r="R104" s="226" t="e">
        <f t="shared" si="110"/>
        <v>#DIV/0!</v>
      </c>
      <c r="S104" s="224" t="e">
        <f t="shared" si="111"/>
        <v>#DIV/0!</v>
      </c>
      <c r="T104" s="409"/>
      <c r="U104" s="225"/>
      <c r="V104" s="225"/>
      <c r="W104" s="226" t="e">
        <f t="shared" si="112"/>
        <v>#DIV/0!</v>
      </c>
      <c r="X104" s="224" t="e">
        <f t="shared" si="113"/>
        <v>#DIV/0!</v>
      </c>
      <c r="Y104" s="409"/>
      <c r="Z104" s="225"/>
      <c r="AA104" s="225"/>
      <c r="AB104" s="226" t="e">
        <f t="shared" si="114"/>
        <v>#DIV/0!</v>
      </c>
      <c r="AC104" s="224" t="e">
        <f t="shared" si="115"/>
        <v>#DIV/0!</v>
      </c>
      <c r="AD104" s="409"/>
      <c r="AE104" s="225"/>
      <c r="AF104" s="225"/>
      <c r="AG104" s="226" t="e">
        <f t="shared" si="116"/>
        <v>#DIV/0!</v>
      </c>
      <c r="AH104" s="224" t="e">
        <f t="shared" si="117"/>
        <v>#DIV/0!</v>
      </c>
      <c r="AI104" s="409"/>
      <c r="AJ104" s="225"/>
      <c r="AK104" s="225"/>
      <c r="AL104" s="226" t="e">
        <f t="shared" si="118"/>
        <v>#DIV/0!</v>
      </c>
      <c r="AM104" s="224" t="e">
        <f t="shared" si="119"/>
        <v>#DIV/0!</v>
      </c>
      <c r="AN104" s="409"/>
      <c r="AO104" s="224"/>
      <c r="AP104" s="224"/>
      <c r="AQ104" s="226" t="e">
        <f t="shared" si="120"/>
        <v>#DIV/0!</v>
      </c>
      <c r="AR104" s="224" t="e">
        <f t="shared" si="121"/>
        <v>#DIV/0!</v>
      </c>
      <c r="AS104" s="409"/>
      <c r="AT104" s="224"/>
      <c r="AU104" s="224"/>
      <c r="AV104" s="226" t="e">
        <f t="shared" si="122"/>
        <v>#DIV/0!</v>
      </c>
      <c r="AW104" s="224" t="e">
        <f t="shared" si="123"/>
        <v>#DIV/0!</v>
      </c>
      <c r="AX104" s="409"/>
    </row>
    <row r="105" spans="1:50">
      <c r="B105" s="412"/>
      <c r="C105" s="224">
        <v>10</v>
      </c>
      <c r="D105" s="224" t="s">
        <v>382</v>
      </c>
      <c r="E105" s="225">
        <f>VLOOKUP(D105,'10產線配置圖'!$A$2:$C$25,2,0)</f>
        <v>17</v>
      </c>
      <c r="F105" s="225">
        <f>VLOOKUP(D105,'10產線配置圖'!$A$2:$C$25,3,0)</f>
        <v>1565</v>
      </c>
      <c r="G105" s="226">
        <f t="shared" si="106"/>
        <v>92.058823529411768</v>
      </c>
      <c r="H105" s="409"/>
      <c r="I105" s="225" t="e">
        <f t="shared" si="107"/>
        <v>#DIV/0!</v>
      </c>
      <c r="J105" s="225" t="e">
        <f t="shared" si="108"/>
        <v>#DIV/0!</v>
      </c>
      <c r="K105" s="226" t="e">
        <f t="shared" si="109"/>
        <v>#DIV/0!</v>
      </c>
      <c r="L105" s="409"/>
      <c r="M105" s="225" t="e">
        <f>RANK(K105, K$96:$K$113)</f>
        <v>#DIV/0!</v>
      </c>
      <c r="N105" s="414"/>
      <c r="O105" s="414"/>
      <c r="P105" s="225"/>
      <c r="Q105" s="225"/>
      <c r="R105" s="226" t="e">
        <f t="shared" si="110"/>
        <v>#DIV/0!</v>
      </c>
      <c r="S105" s="224" t="e">
        <f t="shared" si="111"/>
        <v>#DIV/0!</v>
      </c>
      <c r="T105" s="409"/>
      <c r="U105" s="225"/>
      <c r="V105" s="225"/>
      <c r="W105" s="226" t="e">
        <f t="shared" si="112"/>
        <v>#DIV/0!</v>
      </c>
      <c r="X105" s="224" t="e">
        <f t="shared" si="113"/>
        <v>#DIV/0!</v>
      </c>
      <c r="Y105" s="409"/>
      <c r="Z105" s="225"/>
      <c r="AA105" s="225"/>
      <c r="AB105" s="226" t="e">
        <f t="shared" si="114"/>
        <v>#DIV/0!</v>
      </c>
      <c r="AC105" s="224" t="e">
        <f t="shared" si="115"/>
        <v>#DIV/0!</v>
      </c>
      <c r="AD105" s="409"/>
      <c r="AE105" s="225"/>
      <c r="AF105" s="225"/>
      <c r="AG105" s="226" t="e">
        <f t="shared" si="116"/>
        <v>#DIV/0!</v>
      </c>
      <c r="AH105" s="224" t="e">
        <f t="shared" si="117"/>
        <v>#DIV/0!</v>
      </c>
      <c r="AI105" s="409"/>
      <c r="AJ105" s="225"/>
      <c r="AK105" s="225"/>
      <c r="AL105" s="226" t="e">
        <f t="shared" si="118"/>
        <v>#DIV/0!</v>
      </c>
      <c r="AM105" s="224" t="e">
        <f t="shared" si="119"/>
        <v>#DIV/0!</v>
      </c>
      <c r="AN105" s="409"/>
      <c r="AO105" s="224"/>
      <c r="AP105" s="224"/>
      <c r="AQ105" s="226" t="e">
        <f t="shared" si="120"/>
        <v>#DIV/0!</v>
      </c>
      <c r="AR105" s="224" t="e">
        <f t="shared" si="121"/>
        <v>#DIV/0!</v>
      </c>
      <c r="AS105" s="409"/>
      <c r="AT105" s="224"/>
      <c r="AU105" s="224"/>
      <c r="AV105" s="226"/>
      <c r="AW105" s="224"/>
      <c r="AX105" s="409"/>
    </row>
    <row r="106" spans="1:50">
      <c r="B106" s="412"/>
      <c r="C106" s="224">
        <v>11</v>
      </c>
      <c r="D106" s="224" t="s">
        <v>472</v>
      </c>
      <c r="E106" s="225">
        <f>VLOOKUP(D106,'10產線配置圖'!$A$2:$C$25,2,0)</f>
        <v>15</v>
      </c>
      <c r="F106" s="225">
        <f>VLOOKUP(D106,'10產線配置圖'!$A$2:$C$25,3,0)</f>
        <v>1565</v>
      </c>
      <c r="G106" s="226">
        <f t="shared" si="106"/>
        <v>104.33333333333333</v>
      </c>
      <c r="H106" s="409"/>
      <c r="I106" s="225" t="e">
        <f t="shared" si="107"/>
        <v>#DIV/0!</v>
      </c>
      <c r="J106" s="225" t="e">
        <f t="shared" si="108"/>
        <v>#DIV/0!</v>
      </c>
      <c r="K106" s="226" t="e">
        <f t="shared" si="109"/>
        <v>#DIV/0!</v>
      </c>
      <c r="L106" s="409"/>
      <c r="M106" s="225" t="e">
        <f>RANK(K106, K$96:$K$113)</f>
        <v>#DIV/0!</v>
      </c>
      <c r="N106" s="414"/>
      <c r="O106" s="414"/>
      <c r="P106" s="224"/>
      <c r="Q106" s="224"/>
      <c r="R106" s="226" t="e">
        <f t="shared" si="110"/>
        <v>#DIV/0!</v>
      </c>
      <c r="S106" s="224" t="e">
        <f t="shared" si="111"/>
        <v>#DIV/0!</v>
      </c>
      <c r="T106" s="409"/>
      <c r="U106" s="224"/>
      <c r="V106" s="224"/>
      <c r="W106" s="226" t="e">
        <f t="shared" si="112"/>
        <v>#DIV/0!</v>
      </c>
      <c r="X106" s="224" t="e">
        <f t="shared" si="113"/>
        <v>#DIV/0!</v>
      </c>
      <c r="Y106" s="409"/>
      <c r="Z106" s="224"/>
      <c r="AA106" s="224"/>
      <c r="AB106" s="226" t="e">
        <f t="shared" si="114"/>
        <v>#DIV/0!</v>
      </c>
      <c r="AC106" s="224" t="e">
        <f t="shared" si="115"/>
        <v>#DIV/0!</v>
      </c>
      <c r="AD106" s="409"/>
      <c r="AE106" s="224"/>
      <c r="AF106" s="224"/>
      <c r="AG106" s="226" t="e">
        <f t="shared" si="116"/>
        <v>#DIV/0!</v>
      </c>
      <c r="AH106" s="224" t="e">
        <f t="shared" si="117"/>
        <v>#DIV/0!</v>
      </c>
      <c r="AI106" s="409"/>
      <c r="AJ106" s="224"/>
      <c r="AK106" s="224"/>
      <c r="AL106" s="226" t="e">
        <f t="shared" si="118"/>
        <v>#DIV/0!</v>
      </c>
      <c r="AM106" s="224" t="e">
        <f t="shared" si="119"/>
        <v>#DIV/0!</v>
      </c>
      <c r="AN106" s="409"/>
      <c r="AO106" s="224"/>
      <c r="AP106" s="224"/>
      <c r="AQ106" s="226" t="e">
        <f>AP106/AO106</f>
        <v>#DIV/0!</v>
      </c>
      <c r="AR106" s="224" t="e">
        <f t="shared" si="121"/>
        <v>#DIV/0!</v>
      </c>
      <c r="AS106" s="409"/>
      <c r="AT106" s="224"/>
      <c r="AU106" s="224"/>
      <c r="AV106" s="226" t="e">
        <f>AU106/AT106</f>
        <v>#DIV/0!</v>
      </c>
      <c r="AW106" s="224" t="e">
        <f t="shared" si="123"/>
        <v>#DIV/0!</v>
      </c>
      <c r="AX106" s="409"/>
    </row>
    <row r="107" spans="1:50">
      <c r="B107" s="412"/>
      <c r="C107" s="224">
        <v>12</v>
      </c>
      <c r="D107" s="224" t="s">
        <v>473</v>
      </c>
      <c r="E107" s="225">
        <f>VLOOKUP(D107,'10產線配置圖'!$A$2:$C$25,2,0)</f>
        <v>18</v>
      </c>
      <c r="F107" s="225">
        <f>VLOOKUP(D107,'10產線配置圖'!$A$2:$C$25,3,0)</f>
        <v>1636</v>
      </c>
      <c r="G107" s="226">
        <f t="shared" si="106"/>
        <v>90.888888888888886</v>
      </c>
      <c r="H107" s="409"/>
      <c r="I107" s="225" t="e">
        <f t="shared" ref="I107" si="124">AVERAGE(P107,U107,Z107,AE107,AJ107,AO107,AT107)</f>
        <v>#DIV/0!</v>
      </c>
      <c r="J107" s="225" t="e">
        <f t="shared" ref="J107" si="125">AVERAGE(Q107,V107,AA107,AF107,AK107,AP107,AU107)</f>
        <v>#DIV/0!</v>
      </c>
      <c r="K107" s="226" t="e">
        <f t="shared" si="109"/>
        <v>#DIV/0!</v>
      </c>
      <c r="L107" s="409"/>
      <c r="M107" s="225" t="e">
        <f>RANK(K107, K$96:$K$113)</f>
        <v>#DIV/0!</v>
      </c>
      <c r="N107" s="414"/>
      <c r="O107" s="414"/>
      <c r="P107" s="224"/>
      <c r="Q107" s="224"/>
      <c r="R107" s="226" t="e">
        <f t="shared" ref="R107" si="126">Q107/P107</f>
        <v>#DIV/0!</v>
      </c>
      <c r="S107" s="224" t="e">
        <f t="shared" ref="S107" si="127">RANK(R107,$R$96:$R$113)</f>
        <v>#DIV/0!</v>
      </c>
      <c r="T107" s="409"/>
      <c r="U107" s="224"/>
      <c r="V107" s="224"/>
      <c r="W107" s="226" t="e">
        <f t="shared" ref="W107" si="128">V107/U107</f>
        <v>#DIV/0!</v>
      </c>
      <c r="X107" s="224" t="e">
        <f t="shared" ref="X107" si="129">RANK(W107,$W$96:$W$113)</f>
        <v>#DIV/0!</v>
      </c>
      <c r="Y107" s="409"/>
      <c r="Z107" s="224"/>
      <c r="AA107" s="224"/>
      <c r="AB107" s="226" t="e">
        <f t="shared" ref="AB107" si="130">AA107/Z107</f>
        <v>#DIV/0!</v>
      </c>
      <c r="AC107" s="224" t="e">
        <f t="shared" ref="AC107" si="131">RANK(AB107, $AB$96:$AB$113)</f>
        <v>#DIV/0!</v>
      </c>
      <c r="AD107" s="409"/>
      <c r="AE107" s="224"/>
      <c r="AF107" s="224"/>
      <c r="AG107" s="226" t="e">
        <f t="shared" ref="AG107" si="132">AF107/AE107</f>
        <v>#DIV/0!</v>
      </c>
      <c r="AH107" s="224" t="e">
        <f t="shared" ref="AH107" si="133">RANK(AG107,$AG$96:$AG$113)</f>
        <v>#DIV/0!</v>
      </c>
      <c r="AI107" s="409"/>
      <c r="AJ107" s="224"/>
      <c r="AK107" s="224"/>
      <c r="AL107" s="226" t="e">
        <f t="shared" ref="AL107" si="134">AK107/AJ107</f>
        <v>#DIV/0!</v>
      </c>
      <c r="AM107" s="224" t="e">
        <f t="shared" ref="AM107" si="135">RANK(AL107,$AL$96:$AL$113)</f>
        <v>#DIV/0!</v>
      </c>
      <c r="AN107" s="409"/>
      <c r="AO107" s="224"/>
      <c r="AP107" s="224"/>
      <c r="AQ107" s="226" t="e">
        <f t="shared" ref="AQ107:AQ112" si="136">AP107/AO107</f>
        <v>#DIV/0!</v>
      </c>
      <c r="AR107" s="224" t="e">
        <f t="shared" si="121"/>
        <v>#DIV/0!</v>
      </c>
      <c r="AS107" s="409"/>
      <c r="AT107" s="224"/>
      <c r="AU107" s="224"/>
      <c r="AV107" s="226" t="e">
        <f t="shared" ref="AV107:AV112" si="137">AU107/AT107</f>
        <v>#DIV/0!</v>
      </c>
      <c r="AW107" s="224" t="e">
        <f t="shared" si="123"/>
        <v>#DIV/0!</v>
      </c>
      <c r="AX107" s="409"/>
    </row>
    <row r="108" spans="1:50">
      <c r="B108" s="412"/>
      <c r="C108" s="224">
        <v>13</v>
      </c>
      <c r="D108" s="224" t="s">
        <v>560</v>
      </c>
      <c r="E108" s="225">
        <f>VLOOKUP(D108,'10產線配置圖'!$A$2:$C$25,2,0)</f>
        <v>19</v>
      </c>
      <c r="F108" s="225">
        <f>VLOOKUP(D108,'10產線配置圖'!$A$2:$C$25,3,0)</f>
        <v>1600</v>
      </c>
      <c r="G108" s="226">
        <f t="shared" si="106"/>
        <v>84.21052631578948</v>
      </c>
      <c r="H108" s="409"/>
      <c r="I108" s="225" t="e">
        <f t="shared" si="107"/>
        <v>#DIV/0!</v>
      </c>
      <c r="J108" s="225" t="e">
        <f t="shared" si="108"/>
        <v>#DIV/0!</v>
      </c>
      <c r="K108" s="226" t="e">
        <f t="shared" si="109"/>
        <v>#DIV/0!</v>
      </c>
      <c r="L108" s="409"/>
      <c r="M108" s="225" t="e">
        <f>RANK(K108, K$96:$K$113)</f>
        <v>#DIV/0!</v>
      </c>
      <c r="N108" s="414"/>
      <c r="O108" s="414"/>
      <c r="P108" s="224"/>
      <c r="Q108" s="224"/>
      <c r="R108" s="226" t="e">
        <f t="shared" si="110"/>
        <v>#DIV/0!</v>
      </c>
      <c r="S108" s="224" t="e">
        <f t="shared" si="111"/>
        <v>#DIV/0!</v>
      </c>
      <c r="T108" s="409"/>
      <c r="U108" s="224"/>
      <c r="V108" s="224"/>
      <c r="W108" s="226" t="e">
        <f t="shared" si="112"/>
        <v>#DIV/0!</v>
      </c>
      <c r="X108" s="224" t="e">
        <f t="shared" si="113"/>
        <v>#DIV/0!</v>
      </c>
      <c r="Y108" s="409"/>
      <c r="Z108" s="224"/>
      <c r="AA108" s="224"/>
      <c r="AB108" s="226" t="e">
        <f t="shared" si="114"/>
        <v>#DIV/0!</v>
      </c>
      <c r="AC108" s="224" t="e">
        <f t="shared" si="115"/>
        <v>#DIV/0!</v>
      </c>
      <c r="AD108" s="409"/>
      <c r="AE108" s="224"/>
      <c r="AF108" s="224"/>
      <c r="AG108" s="226" t="e">
        <f t="shared" si="116"/>
        <v>#DIV/0!</v>
      </c>
      <c r="AH108" s="224" t="e">
        <f t="shared" si="117"/>
        <v>#DIV/0!</v>
      </c>
      <c r="AI108" s="409"/>
      <c r="AJ108" s="224"/>
      <c r="AK108" s="224"/>
      <c r="AL108" s="226" t="e">
        <f t="shared" si="118"/>
        <v>#DIV/0!</v>
      </c>
      <c r="AM108" s="224" t="e">
        <f t="shared" si="119"/>
        <v>#DIV/0!</v>
      </c>
      <c r="AN108" s="409"/>
      <c r="AO108" s="224"/>
      <c r="AP108" s="224"/>
      <c r="AQ108" s="226" t="e">
        <f t="shared" si="136"/>
        <v>#DIV/0!</v>
      </c>
      <c r="AR108" s="224" t="e">
        <f t="shared" si="121"/>
        <v>#DIV/0!</v>
      </c>
      <c r="AS108" s="409"/>
      <c r="AT108" s="224"/>
      <c r="AU108" s="224"/>
      <c r="AV108" s="226" t="e">
        <f t="shared" si="137"/>
        <v>#DIV/0!</v>
      </c>
      <c r="AW108" s="224" t="e">
        <f t="shared" si="123"/>
        <v>#DIV/0!</v>
      </c>
      <c r="AX108" s="409"/>
    </row>
    <row r="109" spans="1:50">
      <c r="B109" s="412"/>
      <c r="C109" s="224">
        <v>14</v>
      </c>
      <c r="D109" s="224" t="s">
        <v>462</v>
      </c>
      <c r="E109" s="225">
        <f>VLOOKUP(D109,'10產線配置圖'!$A$2:$C$25,2,0)</f>
        <v>17</v>
      </c>
      <c r="F109" s="225">
        <f>VLOOKUP(D109,'10產線配置圖'!$A$2:$C$25,3,0)</f>
        <v>1636</v>
      </c>
      <c r="G109" s="226">
        <f t="shared" si="106"/>
        <v>96.235294117647058</v>
      </c>
      <c r="H109" s="409"/>
      <c r="I109" s="225" t="e">
        <f t="shared" si="107"/>
        <v>#DIV/0!</v>
      </c>
      <c r="J109" s="225" t="e">
        <f t="shared" si="108"/>
        <v>#DIV/0!</v>
      </c>
      <c r="K109" s="226" t="e">
        <f t="shared" si="109"/>
        <v>#DIV/0!</v>
      </c>
      <c r="L109" s="409"/>
      <c r="M109" s="225" t="e">
        <f>RANK(K109, K$96:$K$113)</f>
        <v>#DIV/0!</v>
      </c>
      <c r="N109" s="414"/>
      <c r="O109" s="414"/>
      <c r="P109" s="224"/>
      <c r="Q109" s="224"/>
      <c r="R109" s="226" t="e">
        <f t="shared" si="110"/>
        <v>#DIV/0!</v>
      </c>
      <c r="S109" s="224" t="e">
        <f t="shared" si="111"/>
        <v>#DIV/0!</v>
      </c>
      <c r="T109" s="409"/>
      <c r="U109" s="224"/>
      <c r="V109" s="224"/>
      <c r="W109" s="226" t="e">
        <f t="shared" si="112"/>
        <v>#DIV/0!</v>
      </c>
      <c r="X109" s="224" t="e">
        <f t="shared" si="113"/>
        <v>#DIV/0!</v>
      </c>
      <c r="Y109" s="409"/>
      <c r="Z109" s="224"/>
      <c r="AA109" s="224"/>
      <c r="AB109" s="226" t="e">
        <f t="shared" si="114"/>
        <v>#DIV/0!</v>
      </c>
      <c r="AC109" s="224" t="e">
        <f t="shared" si="115"/>
        <v>#DIV/0!</v>
      </c>
      <c r="AD109" s="409"/>
      <c r="AE109" s="224"/>
      <c r="AF109" s="224"/>
      <c r="AG109" s="226" t="e">
        <f t="shared" si="116"/>
        <v>#DIV/0!</v>
      </c>
      <c r="AH109" s="224" t="e">
        <f t="shared" si="117"/>
        <v>#DIV/0!</v>
      </c>
      <c r="AI109" s="409"/>
      <c r="AJ109" s="224"/>
      <c r="AK109" s="224"/>
      <c r="AL109" s="226" t="e">
        <f t="shared" si="118"/>
        <v>#DIV/0!</v>
      </c>
      <c r="AM109" s="224" t="e">
        <f t="shared" si="119"/>
        <v>#DIV/0!</v>
      </c>
      <c r="AN109" s="409"/>
      <c r="AO109" s="224"/>
      <c r="AP109" s="224"/>
      <c r="AQ109" s="226" t="e">
        <f t="shared" si="136"/>
        <v>#DIV/0!</v>
      </c>
      <c r="AR109" s="224" t="e">
        <f t="shared" si="121"/>
        <v>#DIV/0!</v>
      </c>
      <c r="AS109" s="409"/>
      <c r="AT109" s="224"/>
      <c r="AU109" s="224"/>
      <c r="AV109" s="226" t="e">
        <f t="shared" si="137"/>
        <v>#DIV/0!</v>
      </c>
      <c r="AW109" s="224" t="e">
        <f t="shared" si="123"/>
        <v>#DIV/0!</v>
      </c>
      <c r="AX109" s="409"/>
    </row>
    <row r="110" spans="1:50">
      <c r="B110" s="412"/>
      <c r="C110" s="224">
        <v>15</v>
      </c>
      <c r="D110" s="224"/>
      <c r="E110" s="225" t="e">
        <f>VLOOKUP(D110,'10產線配置圖'!$A$2:$C$30,2,0)</f>
        <v>#N/A</v>
      </c>
      <c r="F110" s="225" t="e">
        <f>VLOOKUP(D110,'10產線配置圖'!$A$2:$C$30,3,0)</f>
        <v>#N/A</v>
      </c>
      <c r="G110" s="226">
        <v>96.235294117647058</v>
      </c>
      <c r="H110" s="409"/>
      <c r="I110" s="225" t="e">
        <f t="shared" si="107"/>
        <v>#DIV/0!</v>
      </c>
      <c r="J110" s="225" t="e">
        <f t="shared" si="108"/>
        <v>#DIV/0!</v>
      </c>
      <c r="K110" s="226" t="e">
        <f t="shared" si="109"/>
        <v>#DIV/0!</v>
      </c>
      <c r="L110" s="409"/>
      <c r="M110" s="225" t="e">
        <f>RANK(K110, K$96:$K$113)</f>
        <v>#DIV/0!</v>
      </c>
      <c r="N110" s="414"/>
      <c r="O110" s="414"/>
      <c r="P110" s="224"/>
      <c r="Q110" s="224"/>
      <c r="R110" s="226" t="e">
        <f t="shared" si="110"/>
        <v>#DIV/0!</v>
      </c>
      <c r="S110" s="224" t="e">
        <f t="shared" si="111"/>
        <v>#DIV/0!</v>
      </c>
      <c r="T110" s="409"/>
      <c r="U110" s="224"/>
      <c r="V110" s="224"/>
      <c r="W110" s="226" t="e">
        <f t="shared" si="112"/>
        <v>#DIV/0!</v>
      </c>
      <c r="X110" s="224" t="e">
        <f t="shared" si="113"/>
        <v>#DIV/0!</v>
      </c>
      <c r="Y110" s="409"/>
      <c r="Z110" s="224"/>
      <c r="AA110" s="224"/>
      <c r="AB110" s="226" t="e">
        <f t="shared" si="114"/>
        <v>#DIV/0!</v>
      </c>
      <c r="AC110" s="224" t="e">
        <f t="shared" si="115"/>
        <v>#DIV/0!</v>
      </c>
      <c r="AD110" s="409"/>
      <c r="AE110" s="224"/>
      <c r="AF110" s="224"/>
      <c r="AG110" s="226" t="e">
        <f t="shared" si="116"/>
        <v>#DIV/0!</v>
      </c>
      <c r="AH110" s="224" t="e">
        <f t="shared" si="117"/>
        <v>#DIV/0!</v>
      </c>
      <c r="AI110" s="409"/>
      <c r="AJ110" s="224"/>
      <c r="AK110" s="224"/>
      <c r="AL110" s="226" t="e">
        <f t="shared" si="118"/>
        <v>#DIV/0!</v>
      </c>
      <c r="AM110" s="224" t="e">
        <f t="shared" si="119"/>
        <v>#DIV/0!</v>
      </c>
      <c r="AN110" s="409"/>
      <c r="AO110" s="224"/>
      <c r="AP110" s="224"/>
      <c r="AQ110" s="226" t="e">
        <f t="shared" si="136"/>
        <v>#DIV/0!</v>
      </c>
      <c r="AR110" s="224" t="e">
        <f t="shared" si="121"/>
        <v>#DIV/0!</v>
      </c>
      <c r="AS110" s="409"/>
      <c r="AT110" s="224"/>
      <c r="AU110" s="224"/>
      <c r="AV110" s="226" t="e">
        <f t="shared" si="137"/>
        <v>#DIV/0!</v>
      </c>
      <c r="AW110" s="224" t="e">
        <f t="shared" si="123"/>
        <v>#DIV/0!</v>
      </c>
      <c r="AX110" s="409"/>
    </row>
    <row r="111" spans="1:50">
      <c r="B111" s="412"/>
      <c r="C111" s="224">
        <v>16</v>
      </c>
      <c r="D111" s="224"/>
      <c r="E111" s="225"/>
      <c r="F111" s="225"/>
      <c r="G111" s="226"/>
      <c r="H111" s="409"/>
      <c r="I111" s="225" t="e">
        <f t="shared" si="107"/>
        <v>#DIV/0!</v>
      </c>
      <c r="J111" s="225" t="e">
        <f t="shared" si="108"/>
        <v>#DIV/0!</v>
      </c>
      <c r="K111" s="226" t="e">
        <f t="shared" si="109"/>
        <v>#DIV/0!</v>
      </c>
      <c r="L111" s="409"/>
      <c r="M111" s="225" t="e">
        <f>RANK(K111, K$96:$K$113)</f>
        <v>#DIV/0!</v>
      </c>
      <c r="N111" s="414"/>
      <c r="O111" s="414"/>
      <c r="P111" s="224"/>
      <c r="Q111" s="224"/>
      <c r="R111" s="226" t="e">
        <f>Q111/P111</f>
        <v>#DIV/0!</v>
      </c>
      <c r="S111" s="224" t="e">
        <f t="shared" si="111"/>
        <v>#DIV/0!</v>
      </c>
      <c r="T111" s="409"/>
      <c r="U111" s="224"/>
      <c r="V111" s="224"/>
      <c r="W111" s="226" t="e">
        <f t="shared" si="112"/>
        <v>#DIV/0!</v>
      </c>
      <c r="X111" s="224" t="e">
        <f t="shared" si="113"/>
        <v>#DIV/0!</v>
      </c>
      <c r="Y111" s="409"/>
      <c r="Z111" s="224"/>
      <c r="AA111" s="224"/>
      <c r="AB111" s="226" t="e">
        <f t="shared" si="114"/>
        <v>#DIV/0!</v>
      </c>
      <c r="AC111" s="224" t="e">
        <f t="shared" si="115"/>
        <v>#DIV/0!</v>
      </c>
      <c r="AD111" s="409"/>
      <c r="AE111" s="224"/>
      <c r="AF111" s="224"/>
      <c r="AG111" s="226" t="e">
        <f t="shared" si="116"/>
        <v>#DIV/0!</v>
      </c>
      <c r="AH111" s="224" t="e">
        <f t="shared" si="117"/>
        <v>#DIV/0!</v>
      </c>
      <c r="AI111" s="409"/>
      <c r="AJ111" s="224"/>
      <c r="AK111" s="224"/>
      <c r="AL111" s="226" t="e">
        <f t="shared" si="118"/>
        <v>#DIV/0!</v>
      </c>
      <c r="AM111" s="224" t="e">
        <f t="shared" si="119"/>
        <v>#DIV/0!</v>
      </c>
      <c r="AN111" s="409"/>
      <c r="AO111" s="224"/>
      <c r="AP111" s="224"/>
      <c r="AQ111" s="226" t="e">
        <f t="shared" si="136"/>
        <v>#DIV/0!</v>
      </c>
      <c r="AR111" s="224" t="e">
        <f t="shared" si="121"/>
        <v>#DIV/0!</v>
      </c>
      <c r="AS111" s="409"/>
      <c r="AT111" s="224"/>
      <c r="AU111" s="224"/>
      <c r="AV111" s="226" t="e">
        <f t="shared" si="137"/>
        <v>#DIV/0!</v>
      </c>
      <c r="AW111" s="224" t="e">
        <f t="shared" si="123"/>
        <v>#DIV/0!</v>
      </c>
      <c r="AX111" s="409"/>
    </row>
    <row r="112" spans="1:50">
      <c r="B112" s="412"/>
      <c r="C112" s="224">
        <v>17</v>
      </c>
      <c r="D112" s="224"/>
      <c r="E112" s="225"/>
      <c r="F112" s="225"/>
      <c r="G112" s="226"/>
      <c r="H112" s="409"/>
      <c r="I112" s="225">
        <f t="shared" ref="I112" si="138">AVERAGE(P112,U112,Z112,AE112,AJ112,AO112,AT112)</f>
        <v>16</v>
      </c>
      <c r="J112" s="225">
        <f t="shared" ref="J112" si="139">AVERAGE(Q112,V112,AA112,AF112,AK112,AP112,AU112)</f>
        <v>1100</v>
      </c>
      <c r="K112" s="226" t="e">
        <f t="shared" si="109"/>
        <v>#DIV/0!</v>
      </c>
      <c r="L112" s="409"/>
      <c r="M112" s="225" t="e">
        <f>RANK(K112, K$96:$K$113)</f>
        <v>#DIV/0!</v>
      </c>
      <c r="N112" s="414"/>
      <c r="O112" s="414"/>
      <c r="P112" s="224"/>
      <c r="Q112" s="224"/>
      <c r="R112" s="226" t="e">
        <f>Q112/P112</f>
        <v>#DIV/0!</v>
      </c>
      <c r="S112" s="224" t="e">
        <f t="shared" si="111"/>
        <v>#DIV/0!</v>
      </c>
      <c r="T112" s="409"/>
      <c r="U112" s="224"/>
      <c r="V112" s="224"/>
      <c r="W112" s="226" t="e">
        <f t="shared" si="112"/>
        <v>#DIV/0!</v>
      </c>
      <c r="X112" s="224" t="e">
        <f t="shared" si="113"/>
        <v>#DIV/0!</v>
      </c>
      <c r="Y112" s="409"/>
      <c r="Z112" s="224"/>
      <c r="AA112" s="224"/>
      <c r="AB112" s="226" t="e">
        <f t="shared" ref="AB112" si="140">AA112/Z112</f>
        <v>#DIV/0!</v>
      </c>
      <c r="AC112" s="224" t="e">
        <f t="shared" ref="AC112" si="141">RANK(AB112, $AB$96:$AB$113)</f>
        <v>#DIV/0!</v>
      </c>
      <c r="AD112" s="409"/>
      <c r="AE112" s="224"/>
      <c r="AF112" s="224"/>
      <c r="AG112" s="226" t="e">
        <f t="shared" ref="AG112" si="142">AF112/AE112</f>
        <v>#DIV/0!</v>
      </c>
      <c r="AH112" s="224" t="e">
        <f t="shared" ref="AH112" si="143">RANK(AG112,$AG$96:$AG$113)</f>
        <v>#DIV/0!</v>
      </c>
      <c r="AI112" s="409"/>
      <c r="AJ112" s="224"/>
      <c r="AK112" s="224"/>
      <c r="AL112" s="226" t="e">
        <f t="shared" ref="AL112" si="144">AK112/AJ112</f>
        <v>#DIV/0!</v>
      </c>
      <c r="AM112" s="224" t="e">
        <f t="shared" ref="AM112" si="145">RANK(AL112,$AL$96:$AL$113)</f>
        <v>#DIV/0!</v>
      </c>
      <c r="AN112" s="409"/>
      <c r="AO112" s="224"/>
      <c r="AP112" s="224"/>
      <c r="AQ112" s="226" t="e">
        <f t="shared" si="136"/>
        <v>#DIV/0!</v>
      </c>
      <c r="AR112" s="224" t="e">
        <f t="shared" si="121"/>
        <v>#DIV/0!</v>
      </c>
      <c r="AS112" s="409"/>
      <c r="AT112" s="224">
        <v>16</v>
      </c>
      <c r="AU112" s="224">
        <v>1100</v>
      </c>
      <c r="AV112" s="226">
        <f t="shared" si="137"/>
        <v>68.75</v>
      </c>
      <c r="AW112" s="224" t="e">
        <f t="shared" si="123"/>
        <v>#DIV/0!</v>
      </c>
      <c r="AX112" s="409"/>
    </row>
    <row r="113" spans="2:50">
      <c r="B113" s="412"/>
      <c r="C113" s="224">
        <v>18</v>
      </c>
      <c r="D113" s="224"/>
      <c r="E113" s="224"/>
      <c r="F113" s="224"/>
      <c r="G113" s="224"/>
      <c r="H113" s="409"/>
      <c r="I113" s="224"/>
      <c r="J113" s="224"/>
      <c r="K113" s="224"/>
      <c r="L113" s="410"/>
      <c r="M113" s="225"/>
      <c r="N113" s="415"/>
      <c r="O113" s="415"/>
      <c r="P113" s="224"/>
      <c r="Q113" s="224"/>
      <c r="R113" s="224"/>
      <c r="S113" s="224"/>
      <c r="T113" s="410"/>
      <c r="U113" s="224"/>
      <c r="V113" s="224"/>
      <c r="W113" s="226"/>
      <c r="X113" s="224"/>
      <c r="Y113" s="410"/>
      <c r="Z113" s="224"/>
      <c r="AA113" s="224"/>
      <c r="AB113" s="226"/>
      <c r="AC113" s="224"/>
      <c r="AD113" s="410"/>
      <c r="AE113" s="224"/>
      <c r="AF113" s="224"/>
      <c r="AG113" s="226"/>
      <c r="AH113" s="224"/>
      <c r="AI113" s="410"/>
      <c r="AJ113" s="224"/>
      <c r="AK113" s="224"/>
      <c r="AL113" s="226"/>
      <c r="AM113" s="224"/>
      <c r="AN113" s="410"/>
      <c r="AO113" s="224"/>
      <c r="AP113" s="224"/>
      <c r="AQ113" s="226"/>
      <c r="AR113" s="224"/>
      <c r="AS113" s="410"/>
      <c r="AT113" s="224"/>
      <c r="AU113" s="224"/>
      <c r="AV113" s="226"/>
      <c r="AW113" s="224"/>
      <c r="AX113" s="410"/>
    </row>
    <row r="114" spans="2:50" ht="15.75">
      <c r="B114" s="439" t="s">
        <v>165</v>
      </c>
      <c r="C114" s="424"/>
      <c r="D114" s="424"/>
      <c r="E114" s="424"/>
      <c r="F114" s="424"/>
      <c r="G114" s="424"/>
      <c r="H114" s="424"/>
      <c r="I114" s="218"/>
      <c r="J114" s="218"/>
      <c r="K114" s="218"/>
      <c r="L114" s="218"/>
      <c r="M114" s="219"/>
      <c r="N114" s="413" t="s">
        <v>157</v>
      </c>
      <c r="O114" s="413" t="s">
        <v>103</v>
      </c>
      <c r="P114" s="426"/>
      <c r="Q114" s="427"/>
      <c r="R114" s="427"/>
      <c r="S114" s="427"/>
      <c r="T114" s="427"/>
      <c r="U114" s="426"/>
      <c r="V114" s="427"/>
      <c r="W114" s="427"/>
      <c r="X114" s="427"/>
      <c r="Y114" s="427"/>
      <c r="Z114" s="426"/>
      <c r="AA114" s="427"/>
      <c r="AB114" s="427"/>
      <c r="AC114" s="427"/>
      <c r="AD114" s="427"/>
      <c r="AE114" s="426"/>
      <c r="AF114" s="427"/>
      <c r="AG114" s="427"/>
      <c r="AH114" s="427"/>
      <c r="AI114" s="427"/>
      <c r="AJ114" s="426"/>
      <c r="AK114" s="427"/>
      <c r="AL114" s="427"/>
      <c r="AM114" s="427"/>
      <c r="AN114" s="427"/>
      <c r="AO114" s="426"/>
      <c r="AP114" s="427"/>
      <c r="AQ114" s="427"/>
      <c r="AR114" s="427"/>
      <c r="AS114" s="427"/>
      <c r="AT114" s="426"/>
      <c r="AU114" s="427"/>
      <c r="AV114" s="427"/>
      <c r="AW114" s="427"/>
      <c r="AX114" s="427"/>
    </row>
    <row r="115" spans="2:50" ht="15.75">
      <c r="B115" s="425"/>
      <c r="C115" s="425"/>
      <c r="D115" s="425"/>
      <c r="E115" s="425"/>
      <c r="F115" s="425"/>
      <c r="G115" s="425"/>
      <c r="H115" s="425"/>
      <c r="I115" s="220"/>
      <c r="J115" s="220"/>
      <c r="K115" s="220"/>
      <c r="L115" s="220"/>
      <c r="M115" s="221"/>
      <c r="N115" s="415"/>
      <c r="O115" s="415"/>
      <c r="P115" s="426" t="s">
        <v>118</v>
      </c>
      <c r="Q115" s="427"/>
      <c r="R115" s="427"/>
      <c r="S115" s="427"/>
      <c r="T115" s="427"/>
      <c r="U115" s="426" t="s">
        <v>112</v>
      </c>
      <c r="V115" s="427"/>
      <c r="W115" s="427"/>
      <c r="X115" s="427"/>
      <c r="Y115" s="427"/>
      <c r="Z115" s="426" t="s">
        <v>113</v>
      </c>
      <c r="AA115" s="427"/>
      <c r="AB115" s="427"/>
      <c r="AC115" s="427"/>
      <c r="AD115" s="427"/>
      <c r="AE115" s="426" t="s">
        <v>114</v>
      </c>
      <c r="AF115" s="427"/>
      <c r="AG115" s="427"/>
      <c r="AH115" s="427"/>
      <c r="AI115" s="427"/>
      <c r="AJ115" s="426" t="s">
        <v>115</v>
      </c>
      <c r="AK115" s="427"/>
      <c r="AL115" s="427"/>
      <c r="AM115" s="427"/>
      <c r="AN115" s="427"/>
      <c r="AO115" s="426" t="s">
        <v>116</v>
      </c>
      <c r="AP115" s="427"/>
      <c r="AQ115" s="427"/>
      <c r="AR115" s="427"/>
      <c r="AS115" s="427"/>
      <c r="AT115" s="426" t="s">
        <v>117</v>
      </c>
      <c r="AU115" s="427"/>
      <c r="AV115" s="427"/>
      <c r="AW115" s="427"/>
      <c r="AX115" s="427"/>
    </row>
    <row r="116" spans="2:50">
      <c r="B116" s="419" t="s">
        <v>154</v>
      </c>
      <c r="C116" s="433" t="s">
        <v>146</v>
      </c>
      <c r="D116" s="419"/>
      <c r="E116" s="419" t="s">
        <v>148</v>
      </c>
      <c r="F116" s="419"/>
      <c r="G116" s="419"/>
      <c r="H116" s="420" t="s">
        <v>155</v>
      </c>
      <c r="I116" s="419" t="s">
        <v>207</v>
      </c>
      <c r="J116" s="419"/>
      <c r="K116" s="419"/>
      <c r="L116" s="420" t="s">
        <v>155</v>
      </c>
      <c r="M116" s="413" t="s">
        <v>166</v>
      </c>
      <c r="N116" s="419"/>
      <c r="O116" s="419" t="s">
        <v>156</v>
      </c>
      <c r="P116" s="416" t="s">
        <v>151</v>
      </c>
      <c r="Q116" s="417"/>
      <c r="R116" s="417"/>
      <c r="S116" s="418"/>
      <c r="T116" s="419" t="s">
        <v>155</v>
      </c>
      <c r="U116" s="416" t="s">
        <v>151</v>
      </c>
      <c r="V116" s="417"/>
      <c r="W116" s="417"/>
      <c r="X116" s="418"/>
      <c r="Y116" s="419" t="s">
        <v>155</v>
      </c>
      <c r="Z116" s="416" t="s">
        <v>151</v>
      </c>
      <c r="AA116" s="417"/>
      <c r="AB116" s="417"/>
      <c r="AC116" s="418"/>
      <c r="AD116" s="419" t="s">
        <v>155</v>
      </c>
      <c r="AE116" s="416" t="s">
        <v>151</v>
      </c>
      <c r="AF116" s="417"/>
      <c r="AG116" s="417"/>
      <c r="AH116" s="418"/>
      <c r="AI116" s="419" t="s">
        <v>155</v>
      </c>
      <c r="AJ116" s="416" t="s">
        <v>151</v>
      </c>
      <c r="AK116" s="417"/>
      <c r="AL116" s="417"/>
      <c r="AM116" s="418"/>
      <c r="AN116" s="419" t="s">
        <v>155</v>
      </c>
      <c r="AO116" s="416" t="s">
        <v>151</v>
      </c>
      <c r="AP116" s="417"/>
      <c r="AQ116" s="417"/>
      <c r="AR116" s="418"/>
      <c r="AS116" s="419" t="s">
        <v>155</v>
      </c>
      <c r="AT116" s="416" t="s">
        <v>151</v>
      </c>
      <c r="AU116" s="417"/>
      <c r="AV116" s="417"/>
      <c r="AW116" s="418"/>
      <c r="AX116" s="419" t="s">
        <v>155</v>
      </c>
    </row>
    <row r="117" spans="2:50">
      <c r="B117" s="419"/>
      <c r="C117" s="419"/>
      <c r="D117" s="419"/>
      <c r="E117" s="419" t="s">
        <v>147</v>
      </c>
      <c r="F117" s="419"/>
      <c r="G117" s="419"/>
      <c r="H117" s="421"/>
      <c r="I117" s="419" t="s">
        <v>147</v>
      </c>
      <c r="J117" s="419"/>
      <c r="K117" s="419"/>
      <c r="L117" s="421"/>
      <c r="M117" s="414"/>
      <c r="N117" s="419"/>
      <c r="O117" s="419"/>
      <c r="P117" s="416" t="s">
        <v>152</v>
      </c>
      <c r="Q117" s="417"/>
      <c r="R117" s="417"/>
      <c r="S117" s="418"/>
      <c r="T117" s="419"/>
      <c r="U117" s="416" t="s">
        <v>152</v>
      </c>
      <c r="V117" s="417"/>
      <c r="W117" s="417"/>
      <c r="X117" s="418"/>
      <c r="Y117" s="419"/>
      <c r="Z117" s="416" t="s">
        <v>152</v>
      </c>
      <c r="AA117" s="417"/>
      <c r="AB117" s="417"/>
      <c r="AC117" s="418"/>
      <c r="AD117" s="419"/>
      <c r="AE117" s="416" t="s">
        <v>152</v>
      </c>
      <c r="AF117" s="417"/>
      <c r="AG117" s="417"/>
      <c r="AH117" s="418"/>
      <c r="AI117" s="419"/>
      <c r="AJ117" s="416" t="s">
        <v>152</v>
      </c>
      <c r="AK117" s="417"/>
      <c r="AL117" s="417"/>
      <c r="AM117" s="418"/>
      <c r="AN117" s="419"/>
      <c r="AO117" s="416" t="s">
        <v>152</v>
      </c>
      <c r="AP117" s="417"/>
      <c r="AQ117" s="417"/>
      <c r="AR117" s="418"/>
      <c r="AS117" s="419"/>
      <c r="AT117" s="416" t="s">
        <v>152</v>
      </c>
      <c r="AU117" s="417"/>
      <c r="AV117" s="417"/>
      <c r="AW117" s="418"/>
      <c r="AX117" s="419"/>
    </row>
    <row r="118" spans="2:50">
      <c r="B118" s="419"/>
      <c r="C118" s="419"/>
      <c r="D118" s="419"/>
      <c r="E118" s="223" t="s">
        <v>149</v>
      </c>
      <c r="F118" s="223" t="s">
        <v>150</v>
      </c>
      <c r="G118" s="223" t="s">
        <v>153</v>
      </c>
      <c r="H118" s="422"/>
      <c r="I118" s="223" t="s">
        <v>149</v>
      </c>
      <c r="J118" s="223" t="s">
        <v>150</v>
      </c>
      <c r="K118" s="223" t="s">
        <v>153</v>
      </c>
      <c r="L118" s="422"/>
      <c r="M118" s="415"/>
      <c r="N118" s="419"/>
      <c r="O118" s="419"/>
      <c r="P118" s="223" t="s">
        <v>149</v>
      </c>
      <c r="Q118" s="223" t="s">
        <v>150</v>
      </c>
      <c r="R118" s="223" t="s">
        <v>153</v>
      </c>
      <c r="S118" s="223" t="s">
        <v>166</v>
      </c>
      <c r="T118" s="419"/>
      <c r="U118" s="223" t="s">
        <v>149</v>
      </c>
      <c r="V118" s="223" t="s">
        <v>150</v>
      </c>
      <c r="W118" s="223" t="s">
        <v>153</v>
      </c>
      <c r="X118" s="223" t="s">
        <v>166</v>
      </c>
      <c r="Y118" s="419"/>
      <c r="Z118" s="223" t="s">
        <v>149</v>
      </c>
      <c r="AA118" s="223" t="s">
        <v>150</v>
      </c>
      <c r="AB118" s="223" t="s">
        <v>153</v>
      </c>
      <c r="AC118" s="223" t="s">
        <v>166</v>
      </c>
      <c r="AD118" s="419"/>
      <c r="AE118" s="223" t="s">
        <v>149</v>
      </c>
      <c r="AF118" s="223" t="s">
        <v>150</v>
      </c>
      <c r="AG118" s="223" t="s">
        <v>153</v>
      </c>
      <c r="AH118" s="223" t="s">
        <v>166</v>
      </c>
      <c r="AI118" s="419"/>
      <c r="AJ118" s="223" t="s">
        <v>149</v>
      </c>
      <c r="AK118" s="223" t="s">
        <v>150</v>
      </c>
      <c r="AL118" s="223" t="s">
        <v>153</v>
      </c>
      <c r="AM118" s="223" t="s">
        <v>166</v>
      </c>
      <c r="AN118" s="419"/>
      <c r="AO118" s="223" t="s">
        <v>149</v>
      </c>
      <c r="AP118" s="223" t="s">
        <v>150</v>
      </c>
      <c r="AQ118" s="223" t="s">
        <v>153</v>
      </c>
      <c r="AR118" s="223" t="s">
        <v>166</v>
      </c>
      <c r="AS118" s="419"/>
      <c r="AT118" s="223" t="s">
        <v>149</v>
      </c>
      <c r="AU118" s="223" t="s">
        <v>150</v>
      </c>
      <c r="AV118" s="223" t="s">
        <v>153</v>
      </c>
      <c r="AW118" s="223" t="s">
        <v>166</v>
      </c>
      <c r="AX118" s="419"/>
    </row>
    <row r="119" spans="2:50" ht="13.5">
      <c r="B119" s="427" t="s">
        <v>136</v>
      </c>
      <c r="C119" s="224">
        <v>1</v>
      </c>
      <c r="D119" s="228" t="s">
        <v>363</v>
      </c>
      <c r="E119" s="225">
        <f>VLOOKUP(D119,'10產線配置圖'!$A$2:$C$25,2,0)</f>
        <v>12</v>
      </c>
      <c r="F119" s="225">
        <f>VLOOKUP(D119,'10產線配置圖'!$A$2:$C$25,3,0)</f>
        <v>2000</v>
      </c>
      <c r="G119" s="226">
        <f>F119/E119</f>
        <v>166.66666666666666</v>
      </c>
      <c r="H119" s="434">
        <f>AVERAGE(G119:G136)</f>
        <v>109.54751468738642</v>
      </c>
      <c r="I119" s="225" t="e">
        <f>AVERAGE(P119,U119,Z119,AE119,AJ119,AO119,AT119)</f>
        <v>#DIV/0!</v>
      </c>
      <c r="J119" s="225" t="e">
        <f>AVERAGE(Q119,V119,AA119,AF119,AK119,AP119,AU119)</f>
        <v>#DIV/0!</v>
      </c>
      <c r="K119" s="226" t="e">
        <f>AVERAGE(R119)</f>
        <v>#DIV/0!</v>
      </c>
      <c r="L119" s="434" t="str">
        <f>IFERROR(AVERAGE(K119:K136),"-")</f>
        <v>-</v>
      </c>
      <c r="M119" s="227" t="e">
        <f>RANK(K119,$K$119:$K$136)</f>
        <v>#DIV/0!</v>
      </c>
      <c r="N119" s="419"/>
      <c r="O119" s="419"/>
      <c r="P119" s="225"/>
      <c r="Q119" s="225"/>
      <c r="R119" s="226" t="e">
        <f>Q119/P119</f>
        <v>#DIV/0!</v>
      </c>
      <c r="S119" s="224" t="e">
        <f>RANK(R119,$R$119:$R$136)</f>
        <v>#DIV/0!</v>
      </c>
      <c r="T119" s="432" t="e">
        <f>AVERAGE(R119:R136)</f>
        <v>#DIV/0!</v>
      </c>
      <c r="U119" s="225"/>
      <c r="V119" s="225"/>
      <c r="W119" s="226" t="e">
        <f>V119/U119</f>
        <v>#DIV/0!</v>
      </c>
      <c r="X119" s="224" t="e">
        <f>RANK(W119, W$7:W$24)</f>
        <v>#DIV/0!</v>
      </c>
      <c r="Y119" s="432" t="e">
        <f>AVERAGE(W119:W136)</f>
        <v>#DIV/0!</v>
      </c>
      <c r="Z119" s="224"/>
      <c r="AA119" s="225"/>
      <c r="AB119" s="226" t="e">
        <f>AA119/Z119</f>
        <v>#DIV/0!</v>
      </c>
      <c r="AC119" s="224" t="e">
        <f>RANK(AB119, AB$7:AB$24)</f>
        <v>#DIV/0!</v>
      </c>
      <c r="AD119" s="432" t="e">
        <f>AVERAGE(AB119:AB136)</f>
        <v>#DIV/0!</v>
      </c>
      <c r="AE119" s="225"/>
      <c r="AF119" s="225"/>
      <c r="AG119" s="226" t="e">
        <f>AF119/AE119</f>
        <v>#DIV/0!</v>
      </c>
      <c r="AH119" s="224" t="e">
        <f>RANK(AG119, AG$7:AG$24)</f>
        <v>#DIV/0!</v>
      </c>
      <c r="AI119" s="432" t="e">
        <f>AVERAGE(AG119:AG136)</f>
        <v>#DIV/0!</v>
      </c>
      <c r="AJ119" s="225"/>
      <c r="AK119" s="225"/>
      <c r="AL119" s="226" t="e">
        <f>AK119/AJ119</f>
        <v>#DIV/0!</v>
      </c>
      <c r="AM119" s="224" t="e">
        <f>RANK(AL119, AL$7:AL$24)</f>
        <v>#DIV/0!</v>
      </c>
      <c r="AN119" s="432" t="e">
        <f>AVERAGE(AL119:AL136)</f>
        <v>#DIV/0!</v>
      </c>
      <c r="AO119" s="225"/>
      <c r="AP119" s="225"/>
      <c r="AQ119" s="226" t="e">
        <f>AP119/AO119</f>
        <v>#DIV/0!</v>
      </c>
      <c r="AR119" s="224" t="e">
        <f>RANK(AQ119, AQ$7:AQ$24)</f>
        <v>#DIV/0!</v>
      </c>
      <c r="AS119" s="432" t="e">
        <f>AVERAGE(AQ119:AQ136)</f>
        <v>#DIV/0!</v>
      </c>
      <c r="AT119" s="225"/>
      <c r="AU119" s="226"/>
      <c r="AV119" s="226" t="e">
        <f>AU119/AT119</f>
        <v>#DIV/0!</v>
      </c>
      <c r="AW119" s="224" t="e">
        <f>RANK(AV119, AV$7:AV$24)</f>
        <v>#DIV/0!</v>
      </c>
      <c r="AX119" s="432" t="e">
        <f>AVERAGE(AV119:AV136)</f>
        <v>#DIV/0!</v>
      </c>
    </row>
    <row r="120" spans="2:50">
      <c r="B120" s="427"/>
      <c r="C120" s="224">
        <v>2</v>
      </c>
      <c r="D120" s="224" t="s">
        <v>357</v>
      </c>
      <c r="E120" s="225">
        <f>VLOOKUP(D120,'10產線配置圖'!$A$2:$C$25,2,0)</f>
        <v>13</v>
      </c>
      <c r="F120" s="225">
        <f>VLOOKUP(D120,'10產線配置圖'!$A$2:$C$25,3,0)</f>
        <v>2000</v>
      </c>
      <c r="G120" s="226">
        <f t="shared" ref="G120:G132" si="146">F120/E120</f>
        <v>153.84615384615384</v>
      </c>
      <c r="H120" s="435"/>
      <c r="I120" s="225" t="e">
        <f t="shared" ref="I120:I135" si="147">AVERAGE(P120,U120,Z120,AE120,AJ120,AO120,AT120)</f>
        <v>#DIV/0!</v>
      </c>
      <c r="J120" s="225" t="e">
        <f t="shared" ref="J120:J135" si="148">AVERAGE(Q120,V120,AA120,AF120,AK120,AP120,AU120)</f>
        <v>#DIV/0!</v>
      </c>
      <c r="K120" s="226" t="e">
        <f t="shared" ref="K120:K135" si="149">AVERAGE(R120)</f>
        <v>#DIV/0!</v>
      </c>
      <c r="L120" s="435"/>
      <c r="M120" s="227" t="e">
        <f t="shared" ref="M120:M135" si="150">RANK(K120,$K$119:$K$136)</f>
        <v>#DIV/0!</v>
      </c>
      <c r="N120" s="419"/>
      <c r="O120" s="419"/>
      <c r="P120" s="225"/>
      <c r="Q120" s="225"/>
      <c r="R120" s="226" t="e">
        <f t="shared" ref="R120:R127" si="151">Q120/P120</f>
        <v>#DIV/0!</v>
      </c>
      <c r="S120" s="224" t="e">
        <f t="shared" ref="S120:S135" si="152">RANK(R120,$R$119:$R$136)</f>
        <v>#DIV/0!</v>
      </c>
      <c r="T120" s="432"/>
      <c r="U120" s="225"/>
      <c r="V120" s="225"/>
      <c r="W120" s="226" t="e">
        <f t="shared" ref="W120:W128" si="153">V120/U120</f>
        <v>#DIV/0!</v>
      </c>
      <c r="X120" s="224" t="e">
        <f t="shared" ref="X120:X136" si="154">RANK(W120, W$7:W$24)</f>
        <v>#DIV/0!</v>
      </c>
      <c r="Y120" s="432"/>
      <c r="Z120" s="224"/>
      <c r="AA120" s="225"/>
      <c r="AB120" s="226" t="e">
        <f t="shared" ref="AB120:AB128" si="155">AA120/Z120</f>
        <v>#DIV/0!</v>
      </c>
      <c r="AC120" s="224" t="e">
        <f t="shared" ref="AC120:AC136" si="156">RANK(AB120, AB$7:AB$24)</f>
        <v>#DIV/0!</v>
      </c>
      <c r="AD120" s="432"/>
      <c r="AE120" s="225"/>
      <c r="AF120" s="225"/>
      <c r="AG120" s="226" t="e">
        <f t="shared" ref="AG120:AG128" si="157">AF120/AE120</f>
        <v>#DIV/0!</v>
      </c>
      <c r="AH120" s="224" t="e">
        <f t="shared" ref="AH120:AH132" si="158">RANK(AG120, AG$7:AG$24)</f>
        <v>#DIV/0!</v>
      </c>
      <c r="AI120" s="432"/>
      <c r="AJ120" s="225"/>
      <c r="AK120" s="225"/>
      <c r="AL120" s="226" t="e">
        <f t="shared" ref="AL120:AL128" si="159">AK120/AJ120</f>
        <v>#DIV/0!</v>
      </c>
      <c r="AM120" s="224" t="e">
        <f t="shared" ref="AM120:AM132" si="160">RANK(AL120, AL$7:AL$24)</f>
        <v>#DIV/0!</v>
      </c>
      <c r="AN120" s="432"/>
      <c r="AO120" s="225"/>
      <c r="AP120" s="225"/>
      <c r="AQ120" s="226" t="e">
        <f t="shared" ref="AQ120:AQ128" si="161">AP120/AO120</f>
        <v>#DIV/0!</v>
      </c>
      <c r="AR120" s="224" t="e">
        <f t="shared" ref="AR120:AR136" si="162">RANK(AQ120, AQ$7:AQ$24)</f>
        <v>#DIV/0!</v>
      </c>
      <c r="AS120" s="432"/>
      <c r="AT120" s="225"/>
      <c r="AU120" s="226"/>
      <c r="AV120" s="226" t="e">
        <f t="shared" ref="AV120:AV132" si="163">AU120/AT120</f>
        <v>#DIV/0!</v>
      </c>
      <c r="AW120" s="224" t="e">
        <f t="shared" ref="AW120:AW129" si="164">RANK(AV120, AV$7:AV$24)</f>
        <v>#DIV/0!</v>
      </c>
      <c r="AX120" s="432"/>
    </row>
    <row r="121" spans="2:50">
      <c r="B121" s="427"/>
      <c r="C121" s="224">
        <v>3</v>
      </c>
      <c r="D121" s="224" t="s">
        <v>358</v>
      </c>
      <c r="E121" s="225">
        <f>VLOOKUP(D121,'10產線配置圖'!$A$2:$C$25,2,0)</f>
        <v>16</v>
      </c>
      <c r="F121" s="225">
        <f>VLOOKUP(D121,'10產線配置圖'!$A$2:$C$25,3,0)</f>
        <v>1915</v>
      </c>
      <c r="G121" s="226">
        <f t="shared" si="146"/>
        <v>119.6875</v>
      </c>
      <c r="H121" s="435"/>
      <c r="I121" s="225" t="e">
        <f t="shared" si="147"/>
        <v>#DIV/0!</v>
      </c>
      <c r="J121" s="225" t="e">
        <f t="shared" si="148"/>
        <v>#DIV/0!</v>
      </c>
      <c r="K121" s="226" t="e">
        <f t="shared" si="149"/>
        <v>#DIV/0!</v>
      </c>
      <c r="L121" s="435"/>
      <c r="M121" s="227" t="e">
        <f t="shared" si="150"/>
        <v>#DIV/0!</v>
      </c>
      <c r="N121" s="419"/>
      <c r="O121" s="419"/>
      <c r="P121" s="225"/>
      <c r="Q121" s="225"/>
      <c r="R121" s="226" t="e">
        <f t="shared" si="151"/>
        <v>#DIV/0!</v>
      </c>
      <c r="S121" s="224" t="e">
        <f t="shared" si="152"/>
        <v>#DIV/0!</v>
      </c>
      <c r="T121" s="432"/>
      <c r="U121" s="225"/>
      <c r="V121" s="225"/>
      <c r="W121" s="226" t="e">
        <f t="shared" si="153"/>
        <v>#DIV/0!</v>
      </c>
      <c r="X121" s="224" t="e">
        <f t="shared" si="154"/>
        <v>#DIV/0!</v>
      </c>
      <c r="Y121" s="432"/>
      <c r="Z121" s="224"/>
      <c r="AA121" s="225"/>
      <c r="AB121" s="226" t="e">
        <f t="shared" si="155"/>
        <v>#DIV/0!</v>
      </c>
      <c r="AC121" s="224" t="e">
        <f t="shared" si="156"/>
        <v>#DIV/0!</v>
      </c>
      <c r="AD121" s="432"/>
      <c r="AE121" s="225"/>
      <c r="AF121" s="225"/>
      <c r="AG121" s="226" t="e">
        <f t="shared" si="157"/>
        <v>#DIV/0!</v>
      </c>
      <c r="AH121" s="224" t="e">
        <f t="shared" si="158"/>
        <v>#DIV/0!</v>
      </c>
      <c r="AI121" s="432"/>
      <c r="AJ121" s="225"/>
      <c r="AK121" s="225"/>
      <c r="AL121" s="226" t="e">
        <f t="shared" si="159"/>
        <v>#DIV/0!</v>
      </c>
      <c r="AM121" s="224" t="e">
        <f t="shared" si="160"/>
        <v>#DIV/0!</v>
      </c>
      <c r="AN121" s="432"/>
      <c r="AO121" s="225"/>
      <c r="AP121" s="225"/>
      <c r="AQ121" s="226" t="e">
        <f t="shared" si="161"/>
        <v>#DIV/0!</v>
      </c>
      <c r="AR121" s="224" t="e">
        <f t="shared" si="162"/>
        <v>#DIV/0!</v>
      </c>
      <c r="AS121" s="432"/>
      <c r="AT121" s="225"/>
      <c r="AU121" s="226"/>
      <c r="AV121" s="226" t="e">
        <f t="shared" si="163"/>
        <v>#DIV/0!</v>
      </c>
      <c r="AW121" s="224" t="e">
        <f t="shared" si="164"/>
        <v>#DIV/0!</v>
      </c>
      <c r="AX121" s="432"/>
    </row>
    <row r="122" spans="2:50">
      <c r="B122" s="427"/>
      <c r="C122" s="224">
        <v>4</v>
      </c>
      <c r="D122" s="224" t="s">
        <v>359</v>
      </c>
      <c r="E122" s="225">
        <f>VLOOKUP(D122,'10產線配置圖'!$A$2:$C$25,2,0)</f>
        <v>18</v>
      </c>
      <c r="F122" s="225">
        <f>VLOOKUP(D122,'10產線配置圖'!$A$2:$C$25,3,0)</f>
        <v>1565</v>
      </c>
      <c r="G122" s="226">
        <f t="shared" si="146"/>
        <v>86.944444444444443</v>
      </c>
      <c r="H122" s="435"/>
      <c r="I122" s="225" t="e">
        <f t="shared" si="147"/>
        <v>#DIV/0!</v>
      </c>
      <c r="J122" s="225" t="e">
        <f t="shared" si="148"/>
        <v>#DIV/0!</v>
      </c>
      <c r="K122" s="226" t="e">
        <f t="shared" si="149"/>
        <v>#DIV/0!</v>
      </c>
      <c r="L122" s="435"/>
      <c r="M122" s="227" t="e">
        <f t="shared" si="150"/>
        <v>#DIV/0!</v>
      </c>
      <c r="N122" s="419"/>
      <c r="O122" s="419"/>
      <c r="P122" s="225"/>
      <c r="Q122" s="225"/>
      <c r="R122" s="226" t="e">
        <f t="shared" si="151"/>
        <v>#DIV/0!</v>
      </c>
      <c r="S122" s="224" t="e">
        <f t="shared" si="152"/>
        <v>#DIV/0!</v>
      </c>
      <c r="T122" s="432"/>
      <c r="U122" s="225"/>
      <c r="V122" s="225"/>
      <c r="W122" s="226" t="e">
        <f t="shared" si="153"/>
        <v>#DIV/0!</v>
      </c>
      <c r="X122" s="224" t="e">
        <f t="shared" si="154"/>
        <v>#DIV/0!</v>
      </c>
      <c r="Y122" s="432"/>
      <c r="Z122" s="224"/>
      <c r="AA122" s="225"/>
      <c r="AB122" s="226" t="e">
        <f t="shared" si="155"/>
        <v>#DIV/0!</v>
      </c>
      <c r="AC122" s="224" t="e">
        <f t="shared" si="156"/>
        <v>#DIV/0!</v>
      </c>
      <c r="AD122" s="432"/>
      <c r="AE122" s="225"/>
      <c r="AF122" s="225"/>
      <c r="AG122" s="226" t="e">
        <f t="shared" si="157"/>
        <v>#DIV/0!</v>
      </c>
      <c r="AH122" s="224" t="e">
        <f t="shared" si="158"/>
        <v>#DIV/0!</v>
      </c>
      <c r="AI122" s="432"/>
      <c r="AJ122" s="225"/>
      <c r="AK122" s="225"/>
      <c r="AL122" s="226" t="e">
        <f t="shared" si="159"/>
        <v>#DIV/0!</v>
      </c>
      <c r="AM122" s="224" t="e">
        <f t="shared" si="160"/>
        <v>#DIV/0!</v>
      </c>
      <c r="AN122" s="432"/>
      <c r="AO122" s="225"/>
      <c r="AP122" s="225"/>
      <c r="AQ122" s="226" t="e">
        <f t="shared" si="161"/>
        <v>#DIV/0!</v>
      </c>
      <c r="AR122" s="224" t="e">
        <f t="shared" si="162"/>
        <v>#DIV/0!</v>
      </c>
      <c r="AS122" s="432"/>
      <c r="AT122" s="225"/>
      <c r="AU122" s="226"/>
      <c r="AV122" s="226" t="e">
        <f t="shared" si="163"/>
        <v>#DIV/0!</v>
      </c>
      <c r="AW122" s="224" t="e">
        <f t="shared" si="164"/>
        <v>#DIV/0!</v>
      </c>
      <c r="AX122" s="432"/>
    </row>
    <row r="123" spans="2:50">
      <c r="B123" s="427"/>
      <c r="C123" s="224">
        <v>5</v>
      </c>
      <c r="D123" s="224" t="s">
        <v>360</v>
      </c>
      <c r="E123" s="225">
        <f>VLOOKUP(D123,'10產線配置圖'!$A$2:$C$25,2,0)</f>
        <v>13</v>
      </c>
      <c r="F123" s="225">
        <f>VLOOKUP(D123,'10產線配置圖'!$A$2:$C$25,3,0)</f>
        <v>2000</v>
      </c>
      <c r="G123" s="226">
        <f t="shared" si="146"/>
        <v>153.84615384615384</v>
      </c>
      <c r="H123" s="435"/>
      <c r="I123" s="225" t="e">
        <f t="shared" si="147"/>
        <v>#DIV/0!</v>
      </c>
      <c r="J123" s="225" t="e">
        <f t="shared" si="148"/>
        <v>#DIV/0!</v>
      </c>
      <c r="K123" s="226" t="e">
        <f t="shared" si="149"/>
        <v>#DIV/0!</v>
      </c>
      <c r="L123" s="435"/>
      <c r="M123" s="227" t="e">
        <f t="shared" si="150"/>
        <v>#DIV/0!</v>
      </c>
      <c r="N123" s="419"/>
      <c r="O123" s="419"/>
      <c r="P123" s="225"/>
      <c r="Q123" s="225"/>
      <c r="R123" s="226" t="e">
        <f t="shared" si="151"/>
        <v>#DIV/0!</v>
      </c>
      <c r="S123" s="224" t="e">
        <f t="shared" si="152"/>
        <v>#DIV/0!</v>
      </c>
      <c r="T123" s="432"/>
      <c r="U123" s="225"/>
      <c r="V123" s="225"/>
      <c r="W123" s="226" t="e">
        <f t="shared" si="153"/>
        <v>#DIV/0!</v>
      </c>
      <c r="X123" s="224" t="e">
        <f t="shared" si="154"/>
        <v>#DIV/0!</v>
      </c>
      <c r="Y123" s="432"/>
      <c r="Z123" s="224"/>
      <c r="AA123" s="225"/>
      <c r="AB123" s="226" t="e">
        <f t="shared" si="155"/>
        <v>#DIV/0!</v>
      </c>
      <c r="AC123" s="224" t="e">
        <f t="shared" si="156"/>
        <v>#DIV/0!</v>
      </c>
      <c r="AD123" s="432"/>
      <c r="AE123" s="225"/>
      <c r="AF123" s="225"/>
      <c r="AG123" s="226" t="e">
        <f t="shared" si="157"/>
        <v>#DIV/0!</v>
      </c>
      <c r="AH123" s="224" t="e">
        <f t="shared" si="158"/>
        <v>#DIV/0!</v>
      </c>
      <c r="AI123" s="432"/>
      <c r="AJ123" s="225"/>
      <c r="AK123" s="225"/>
      <c r="AL123" s="226" t="e">
        <f t="shared" si="159"/>
        <v>#DIV/0!</v>
      </c>
      <c r="AM123" s="224" t="e">
        <f t="shared" si="160"/>
        <v>#DIV/0!</v>
      </c>
      <c r="AN123" s="432"/>
      <c r="AO123" s="225"/>
      <c r="AP123" s="225"/>
      <c r="AQ123" s="226" t="e">
        <f t="shared" si="161"/>
        <v>#DIV/0!</v>
      </c>
      <c r="AR123" s="224" t="e">
        <f t="shared" si="162"/>
        <v>#DIV/0!</v>
      </c>
      <c r="AS123" s="432"/>
      <c r="AT123" s="225"/>
      <c r="AU123" s="226"/>
      <c r="AV123" s="226" t="e">
        <f t="shared" si="163"/>
        <v>#DIV/0!</v>
      </c>
      <c r="AW123" s="224" t="e">
        <f t="shared" si="164"/>
        <v>#DIV/0!</v>
      </c>
      <c r="AX123" s="432"/>
    </row>
    <row r="124" spans="2:50">
      <c r="B124" s="427"/>
      <c r="C124" s="224">
        <v>6</v>
      </c>
      <c r="D124" s="224" t="s">
        <v>370</v>
      </c>
      <c r="E124" s="225">
        <f>VLOOKUP(D124,'10產線配置圖'!$A$2:$C$25,2,0)</f>
        <v>14</v>
      </c>
      <c r="F124" s="225">
        <f>VLOOKUP(D124,'10產線配置圖'!$A$2:$C$25,3,0)</f>
        <v>1895</v>
      </c>
      <c r="G124" s="226">
        <f t="shared" si="146"/>
        <v>135.35714285714286</v>
      </c>
      <c r="H124" s="435"/>
      <c r="I124" s="225" t="e">
        <f t="shared" si="147"/>
        <v>#DIV/0!</v>
      </c>
      <c r="J124" s="225" t="e">
        <f t="shared" si="148"/>
        <v>#DIV/0!</v>
      </c>
      <c r="K124" s="226" t="e">
        <f t="shared" si="149"/>
        <v>#DIV/0!</v>
      </c>
      <c r="L124" s="435"/>
      <c r="M124" s="227" t="e">
        <f t="shared" si="150"/>
        <v>#DIV/0!</v>
      </c>
      <c r="N124" s="419"/>
      <c r="O124" s="419"/>
      <c r="P124" s="225"/>
      <c r="Q124" s="225"/>
      <c r="R124" s="226" t="e">
        <f t="shared" si="151"/>
        <v>#DIV/0!</v>
      </c>
      <c r="S124" s="224" t="e">
        <f t="shared" si="152"/>
        <v>#DIV/0!</v>
      </c>
      <c r="T124" s="432"/>
      <c r="U124" s="225"/>
      <c r="V124" s="225"/>
      <c r="W124" s="226" t="e">
        <f t="shared" si="153"/>
        <v>#DIV/0!</v>
      </c>
      <c r="X124" s="224" t="e">
        <f t="shared" si="154"/>
        <v>#DIV/0!</v>
      </c>
      <c r="Y124" s="432"/>
      <c r="Z124" s="224"/>
      <c r="AA124" s="225"/>
      <c r="AB124" s="226" t="e">
        <f t="shared" si="155"/>
        <v>#DIV/0!</v>
      </c>
      <c r="AC124" s="224" t="e">
        <f t="shared" si="156"/>
        <v>#DIV/0!</v>
      </c>
      <c r="AD124" s="432"/>
      <c r="AE124" s="225"/>
      <c r="AF124" s="225"/>
      <c r="AG124" s="226" t="e">
        <f t="shared" si="157"/>
        <v>#DIV/0!</v>
      </c>
      <c r="AH124" s="224" t="e">
        <f t="shared" si="158"/>
        <v>#DIV/0!</v>
      </c>
      <c r="AI124" s="432"/>
      <c r="AJ124" s="225"/>
      <c r="AK124" s="225"/>
      <c r="AL124" s="226" t="e">
        <f t="shared" si="159"/>
        <v>#DIV/0!</v>
      </c>
      <c r="AM124" s="224" t="e">
        <f t="shared" si="160"/>
        <v>#DIV/0!</v>
      </c>
      <c r="AN124" s="432"/>
      <c r="AO124" s="225"/>
      <c r="AP124" s="225"/>
      <c r="AQ124" s="226" t="e">
        <f t="shared" si="161"/>
        <v>#DIV/0!</v>
      </c>
      <c r="AR124" s="224" t="e">
        <f t="shared" si="162"/>
        <v>#DIV/0!</v>
      </c>
      <c r="AS124" s="432"/>
      <c r="AT124" s="225"/>
      <c r="AU124" s="226"/>
      <c r="AV124" s="226" t="e">
        <f t="shared" si="163"/>
        <v>#DIV/0!</v>
      </c>
      <c r="AW124" s="224" t="e">
        <f t="shared" si="164"/>
        <v>#DIV/0!</v>
      </c>
      <c r="AX124" s="432"/>
    </row>
    <row r="125" spans="2:50">
      <c r="B125" s="427"/>
      <c r="C125" s="224">
        <v>7</v>
      </c>
      <c r="D125" s="224" t="s">
        <v>351</v>
      </c>
      <c r="E125" s="225">
        <f>VLOOKUP(D125,'10產線配置圖'!$A$2:$C$25,2,0)</f>
        <v>16</v>
      </c>
      <c r="F125" s="225">
        <f>VLOOKUP(D125,'10產線配置圖'!$A$2:$C$25,3,0)</f>
        <v>1429</v>
      </c>
      <c r="G125" s="226">
        <f t="shared" si="146"/>
        <v>89.3125</v>
      </c>
      <c r="H125" s="435"/>
      <c r="I125" s="225"/>
      <c r="J125" s="225"/>
      <c r="K125" s="226"/>
      <c r="L125" s="435"/>
      <c r="M125" s="227"/>
      <c r="N125" s="419"/>
      <c r="O125" s="419"/>
      <c r="P125" s="225"/>
      <c r="Q125" s="225"/>
      <c r="R125" s="226"/>
      <c r="S125" s="224"/>
      <c r="T125" s="432"/>
      <c r="U125" s="225"/>
      <c r="V125" s="225"/>
      <c r="W125" s="226" t="e">
        <f t="shared" si="153"/>
        <v>#DIV/0!</v>
      </c>
      <c r="X125" s="224" t="e">
        <f t="shared" si="154"/>
        <v>#DIV/0!</v>
      </c>
      <c r="Y125" s="432"/>
      <c r="Z125" s="224"/>
      <c r="AA125" s="225"/>
      <c r="AB125" s="226" t="e">
        <f t="shared" si="155"/>
        <v>#DIV/0!</v>
      </c>
      <c r="AC125" s="224" t="e">
        <f t="shared" si="156"/>
        <v>#DIV/0!</v>
      </c>
      <c r="AD125" s="432"/>
      <c r="AE125" s="225"/>
      <c r="AF125" s="225"/>
      <c r="AG125" s="226" t="e">
        <f t="shared" si="157"/>
        <v>#DIV/0!</v>
      </c>
      <c r="AH125" s="224" t="e">
        <f t="shared" si="158"/>
        <v>#DIV/0!</v>
      </c>
      <c r="AI125" s="432"/>
      <c r="AJ125" s="225"/>
      <c r="AK125" s="225"/>
      <c r="AL125" s="226" t="e">
        <f t="shared" si="159"/>
        <v>#DIV/0!</v>
      </c>
      <c r="AM125" s="224" t="e">
        <f t="shared" si="160"/>
        <v>#DIV/0!</v>
      </c>
      <c r="AN125" s="432"/>
      <c r="AO125" s="225"/>
      <c r="AP125" s="225"/>
      <c r="AQ125" s="226" t="e">
        <f t="shared" si="161"/>
        <v>#DIV/0!</v>
      </c>
      <c r="AR125" s="224" t="e">
        <f t="shared" si="162"/>
        <v>#DIV/0!</v>
      </c>
      <c r="AS125" s="432"/>
      <c r="AT125" s="225"/>
      <c r="AU125" s="226"/>
      <c r="AV125" s="226" t="e">
        <f t="shared" si="163"/>
        <v>#DIV/0!</v>
      </c>
      <c r="AW125" s="224" t="e">
        <f t="shared" si="164"/>
        <v>#DIV/0!</v>
      </c>
      <c r="AX125" s="432"/>
    </row>
    <row r="126" spans="2:50">
      <c r="B126" s="427"/>
      <c r="C126" s="224">
        <v>8</v>
      </c>
      <c r="D126" s="224" t="s">
        <v>352</v>
      </c>
      <c r="E126" s="225">
        <f>VLOOKUP(D126,'10產線配置圖'!$A$2:$C$25,2,0)</f>
        <v>18</v>
      </c>
      <c r="F126" s="225">
        <f>VLOOKUP(D126,'10產線配置圖'!$A$2:$C$25,3,0)</f>
        <v>1500</v>
      </c>
      <c r="G126" s="226">
        <f t="shared" si="146"/>
        <v>83.333333333333329</v>
      </c>
      <c r="H126" s="435"/>
      <c r="I126" s="225" t="e">
        <f t="shared" si="147"/>
        <v>#DIV/0!</v>
      </c>
      <c r="J126" s="225" t="e">
        <f t="shared" si="148"/>
        <v>#DIV/0!</v>
      </c>
      <c r="K126" s="226" t="e">
        <f t="shared" si="149"/>
        <v>#DIV/0!</v>
      </c>
      <c r="L126" s="435"/>
      <c r="M126" s="227" t="e">
        <f t="shared" si="150"/>
        <v>#DIV/0!</v>
      </c>
      <c r="N126" s="419"/>
      <c r="O126" s="419"/>
      <c r="P126" s="225"/>
      <c r="Q126" s="225"/>
      <c r="R126" s="226" t="e">
        <f t="shared" si="151"/>
        <v>#DIV/0!</v>
      </c>
      <c r="S126" s="224" t="e">
        <f t="shared" si="152"/>
        <v>#DIV/0!</v>
      </c>
      <c r="T126" s="432"/>
      <c r="U126" s="225"/>
      <c r="V126" s="225"/>
      <c r="W126" s="226" t="e">
        <f t="shared" si="153"/>
        <v>#DIV/0!</v>
      </c>
      <c r="X126" s="224" t="e">
        <f t="shared" si="154"/>
        <v>#DIV/0!</v>
      </c>
      <c r="Y126" s="432"/>
      <c r="Z126" s="224"/>
      <c r="AA126" s="225"/>
      <c r="AB126" s="226" t="e">
        <f t="shared" si="155"/>
        <v>#DIV/0!</v>
      </c>
      <c r="AC126" s="224" t="e">
        <f t="shared" si="156"/>
        <v>#DIV/0!</v>
      </c>
      <c r="AD126" s="432"/>
      <c r="AE126" s="225"/>
      <c r="AF126" s="225"/>
      <c r="AG126" s="226" t="e">
        <f t="shared" si="157"/>
        <v>#DIV/0!</v>
      </c>
      <c r="AH126" s="224" t="e">
        <f t="shared" si="158"/>
        <v>#DIV/0!</v>
      </c>
      <c r="AI126" s="432"/>
      <c r="AJ126" s="225"/>
      <c r="AK126" s="225"/>
      <c r="AL126" s="226" t="e">
        <f t="shared" si="159"/>
        <v>#DIV/0!</v>
      </c>
      <c r="AM126" s="224" t="e">
        <f t="shared" si="160"/>
        <v>#DIV/0!</v>
      </c>
      <c r="AN126" s="432"/>
      <c r="AO126" s="225"/>
      <c r="AP126" s="225"/>
      <c r="AQ126" s="226" t="e">
        <f t="shared" si="161"/>
        <v>#DIV/0!</v>
      </c>
      <c r="AR126" s="224" t="e">
        <f t="shared" si="162"/>
        <v>#DIV/0!</v>
      </c>
      <c r="AS126" s="432"/>
      <c r="AT126" s="225"/>
      <c r="AU126" s="226"/>
      <c r="AV126" s="226" t="e">
        <f t="shared" si="163"/>
        <v>#DIV/0!</v>
      </c>
      <c r="AW126" s="224" t="e">
        <f t="shared" si="164"/>
        <v>#DIV/0!</v>
      </c>
      <c r="AX126" s="432"/>
    </row>
    <row r="127" spans="2:50">
      <c r="B127" s="427"/>
      <c r="C127" s="224">
        <v>9</v>
      </c>
      <c r="D127" s="224" t="s">
        <v>361</v>
      </c>
      <c r="E127" s="225">
        <f>VLOOKUP(D127,'10產線配置圖'!$A$2:$C$25,2,0)</f>
        <v>18</v>
      </c>
      <c r="F127" s="225">
        <f>VLOOKUP(D127,'10產線配置圖'!$A$2:$C$25,3,0)</f>
        <v>1385</v>
      </c>
      <c r="G127" s="226">
        <f t="shared" si="146"/>
        <v>76.944444444444443</v>
      </c>
      <c r="H127" s="435"/>
      <c r="I127" s="225" t="e">
        <f t="shared" si="147"/>
        <v>#DIV/0!</v>
      </c>
      <c r="J127" s="225" t="e">
        <f t="shared" si="148"/>
        <v>#DIV/0!</v>
      </c>
      <c r="K127" s="226" t="e">
        <f t="shared" si="149"/>
        <v>#DIV/0!</v>
      </c>
      <c r="L127" s="435"/>
      <c r="M127" s="227" t="e">
        <f t="shared" si="150"/>
        <v>#DIV/0!</v>
      </c>
      <c r="N127" s="419"/>
      <c r="O127" s="419"/>
      <c r="P127" s="225"/>
      <c r="Q127" s="225"/>
      <c r="R127" s="226" t="e">
        <f t="shared" si="151"/>
        <v>#DIV/0!</v>
      </c>
      <c r="S127" s="224" t="e">
        <f t="shared" si="152"/>
        <v>#DIV/0!</v>
      </c>
      <c r="T127" s="432"/>
      <c r="U127" s="225"/>
      <c r="V127" s="225"/>
      <c r="W127" s="226" t="e">
        <f t="shared" si="153"/>
        <v>#DIV/0!</v>
      </c>
      <c r="X127" s="224" t="e">
        <f t="shared" si="154"/>
        <v>#DIV/0!</v>
      </c>
      <c r="Y127" s="432"/>
      <c r="Z127" s="224"/>
      <c r="AA127" s="225"/>
      <c r="AB127" s="226" t="e">
        <f t="shared" si="155"/>
        <v>#DIV/0!</v>
      </c>
      <c r="AC127" s="224" t="e">
        <f t="shared" si="156"/>
        <v>#DIV/0!</v>
      </c>
      <c r="AD127" s="432"/>
      <c r="AE127" s="225"/>
      <c r="AF127" s="225"/>
      <c r="AG127" s="226" t="e">
        <f t="shared" si="157"/>
        <v>#DIV/0!</v>
      </c>
      <c r="AH127" s="224" t="e">
        <f t="shared" si="158"/>
        <v>#DIV/0!</v>
      </c>
      <c r="AI127" s="432"/>
      <c r="AJ127" s="225"/>
      <c r="AK127" s="225"/>
      <c r="AL127" s="226" t="e">
        <f t="shared" si="159"/>
        <v>#DIV/0!</v>
      </c>
      <c r="AM127" s="224" t="e">
        <f t="shared" si="160"/>
        <v>#DIV/0!</v>
      </c>
      <c r="AN127" s="432"/>
      <c r="AO127" s="225"/>
      <c r="AP127" s="225"/>
      <c r="AQ127" s="226" t="e">
        <f t="shared" si="161"/>
        <v>#DIV/0!</v>
      </c>
      <c r="AR127" s="224" t="e">
        <f t="shared" si="162"/>
        <v>#DIV/0!</v>
      </c>
      <c r="AS127" s="432"/>
      <c r="AT127" s="225"/>
      <c r="AU127" s="226"/>
      <c r="AV127" s="226" t="e">
        <f t="shared" si="163"/>
        <v>#DIV/0!</v>
      </c>
      <c r="AW127" s="224" t="e">
        <f t="shared" si="164"/>
        <v>#DIV/0!</v>
      </c>
      <c r="AX127" s="432"/>
    </row>
    <row r="128" spans="2:50">
      <c r="B128" s="427"/>
      <c r="C128" s="224">
        <v>10</v>
      </c>
      <c r="D128" s="224" t="s">
        <v>382</v>
      </c>
      <c r="E128" s="225">
        <f>VLOOKUP(D128,'10產線配置圖'!$A$2:$C$25,2,0)</f>
        <v>17</v>
      </c>
      <c r="F128" s="225">
        <f>VLOOKUP(D128,'10產線配置圖'!$A$2:$C$25,3,0)</f>
        <v>1565</v>
      </c>
      <c r="G128" s="226">
        <f t="shared" si="146"/>
        <v>92.058823529411768</v>
      </c>
      <c r="H128" s="435"/>
      <c r="I128" s="225"/>
      <c r="J128" s="225"/>
      <c r="K128" s="226"/>
      <c r="L128" s="435"/>
      <c r="M128" s="227"/>
      <c r="N128" s="419"/>
      <c r="O128" s="419"/>
      <c r="P128" s="225"/>
      <c r="Q128" s="225"/>
      <c r="R128" s="226"/>
      <c r="S128" s="224"/>
      <c r="T128" s="432"/>
      <c r="U128" s="225"/>
      <c r="V128" s="225"/>
      <c r="W128" s="226" t="e">
        <f t="shared" si="153"/>
        <v>#DIV/0!</v>
      </c>
      <c r="X128" s="224" t="e">
        <f t="shared" si="154"/>
        <v>#DIV/0!</v>
      </c>
      <c r="Y128" s="432"/>
      <c r="Z128" s="224"/>
      <c r="AA128" s="225"/>
      <c r="AB128" s="226" t="e">
        <f t="shared" si="155"/>
        <v>#DIV/0!</v>
      </c>
      <c r="AC128" s="224" t="e">
        <f t="shared" si="156"/>
        <v>#DIV/0!</v>
      </c>
      <c r="AD128" s="432"/>
      <c r="AE128" s="225"/>
      <c r="AF128" s="225"/>
      <c r="AG128" s="226" t="e">
        <f t="shared" si="157"/>
        <v>#DIV/0!</v>
      </c>
      <c r="AH128" s="224" t="e">
        <f t="shared" si="158"/>
        <v>#DIV/0!</v>
      </c>
      <c r="AI128" s="432"/>
      <c r="AJ128" s="225"/>
      <c r="AK128" s="225"/>
      <c r="AL128" s="226" t="e">
        <f t="shared" si="159"/>
        <v>#DIV/0!</v>
      </c>
      <c r="AM128" s="224" t="e">
        <f t="shared" si="160"/>
        <v>#DIV/0!</v>
      </c>
      <c r="AN128" s="432"/>
      <c r="AO128" s="225"/>
      <c r="AP128" s="225"/>
      <c r="AQ128" s="226" t="e">
        <f t="shared" si="161"/>
        <v>#DIV/0!</v>
      </c>
      <c r="AR128" s="224" t="e">
        <f t="shared" si="162"/>
        <v>#DIV/0!</v>
      </c>
      <c r="AS128" s="432"/>
      <c r="AT128" s="225"/>
      <c r="AU128" s="226"/>
      <c r="AV128" s="226" t="e">
        <f t="shared" si="163"/>
        <v>#DIV/0!</v>
      </c>
      <c r="AW128" s="224" t="e">
        <f t="shared" si="164"/>
        <v>#DIV/0!</v>
      </c>
      <c r="AX128" s="432"/>
    </row>
    <row r="129" spans="2:50">
      <c r="B129" s="427"/>
      <c r="C129" s="224">
        <v>11</v>
      </c>
      <c r="D129" s="224" t="s">
        <v>472</v>
      </c>
      <c r="E129" s="225">
        <f>VLOOKUP(D129,'10產線配置圖'!$A$2:$C$25,2,0)</f>
        <v>15</v>
      </c>
      <c r="F129" s="225">
        <f>VLOOKUP(D129,'10產線配置圖'!$A$2:$C$25,3,0)</f>
        <v>1565</v>
      </c>
      <c r="G129" s="226">
        <f t="shared" si="146"/>
        <v>104.33333333333333</v>
      </c>
      <c r="H129" s="435"/>
      <c r="I129" s="225" t="e">
        <f t="shared" si="147"/>
        <v>#DIV/0!</v>
      </c>
      <c r="J129" s="225" t="e">
        <f t="shared" si="148"/>
        <v>#DIV/0!</v>
      </c>
      <c r="K129" s="226" t="e">
        <f t="shared" si="149"/>
        <v>#DIV/0!</v>
      </c>
      <c r="L129" s="435"/>
      <c r="M129" s="227" t="e">
        <f t="shared" si="150"/>
        <v>#DIV/0!</v>
      </c>
      <c r="N129" s="419"/>
      <c r="O129" s="419"/>
      <c r="P129" s="224"/>
      <c r="Q129" s="224"/>
      <c r="R129" s="226" t="e">
        <f>Q129/P129</f>
        <v>#DIV/0!</v>
      </c>
      <c r="S129" s="224" t="e">
        <f t="shared" si="152"/>
        <v>#DIV/0!</v>
      </c>
      <c r="T129" s="432"/>
      <c r="U129" s="224"/>
      <c r="V129" s="224"/>
      <c r="W129" s="224" t="e">
        <f>V129/U129</f>
        <v>#DIV/0!</v>
      </c>
      <c r="X129" s="224" t="e">
        <f t="shared" si="154"/>
        <v>#DIV/0!</v>
      </c>
      <c r="Y129" s="432"/>
      <c r="Z129" s="224"/>
      <c r="AA129" s="224"/>
      <c r="AB129" s="224" t="e">
        <f>AA129/Z129</f>
        <v>#DIV/0!</v>
      </c>
      <c r="AC129" s="224" t="e">
        <f t="shared" si="156"/>
        <v>#DIV/0!</v>
      </c>
      <c r="AD129" s="432"/>
      <c r="AE129" s="224"/>
      <c r="AF129" s="224"/>
      <c r="AG129" s="226" t="e">
        <f>AF129/AE129</f>
        <v>#DIV/0!</v>
      </c>
      <c r="AH129" s="224" t="e">
        <f t="shared" si="158"/>
        <v>#DIV/0!</v>
      </c>
      <c r="AI129" s="432"/>
      <c r="AJ129" s="224"/>
      <c r="AK129" s="224"/>
      <c r="AL129" s="226" t="e">
        <f>AK129/AJ129</f>
        <v>#DIV/0!</v>
      </c>
      <c r="AM129" s="224" t="e">
        <f t="shared" si="160"/>
        <v>#DIV/0!</v>
      </c>
      <c r="AN129" s="432"/>
      <c r="AO129" s="224"/>
      <c r="AP129" s="224"/>
      <c r="AQ129" s="226" t="e">
        <f>AP129/AO129</f>
        <v>#DIV/0!</v>
      </c>
      <c r="AR129" s="224" t="e">
        <f t="shared" si="162"/>
        <v>#DIV/0!</v>
      </c>
      <c r="AS129" s="432"/>
      <c r="AT129" s="224"/>
      <c r="AU129" s="226"/>
      <c r="AV129" s="226" t="e">
        <f t="shared" si="163"/>
        <v>#DIV/0!</v>
      </c>
      <c r="AW129" s="224" t="e">
        <f t="shared" si="164"/>
        <v>#DIV/0!</v>
      </c>
      <c r="AX129" s="432"/>
    </row>
    <row r="130" spans="2:50">
      <c r="B130" s="427"/>
      <c r="C130" s="224">
        <v>12</v>
      </c>
      <c r="D130" s="224" t="s">
        <v>473</v>
      </c>
      <c r="E130" s="225">
        <f>VLOOKUP(D130,'10產線配置圖'!$A$2:$C$25,2,0)</f>
        <v>18</v>
      </c>
      <c r="F130" s="225">
        <f>VLOOKUP(D130,'10產線配置圖'!$A$2:$C$25,3,0)</f>
        <v>1636</v>
      </c>
      <c r="G130" s="226">
        <f t="shared" si="146"/>
        <v>90.888888888888886</v>
      </c>
      <c r="H130" s="435"/>
      <c r="I130" s="224" t="e">
        <f t="shared" si="147"/>
        <v>#DIV/0!</v>
      </c>
      <c r="J130" s="225" t="e">
        <f t="shared" si="148"/>
        <v>#DIV/0!</v>
      </c>
      <c r="K130" s="226" t="e">
        <f t="shared" si="149"/>
        <v>#DIV/0!</v>
      </c>
      <c r="L130" s="435"/>
      <c r="M130" s="227" t="e">
        <f t="shared" si="150"/>
        <v>#DIV/0!</v>
      </c>
      <c r="N130" s="419"/>
      <c r="O130" s="419"/>
      <c r="P130" s="224"/>
      <c r="Q130" s="224"/>
      <c r="R130" s="226" t="e">
        <f t="shared" ref="R130:R135" si="165">Q130/P130</f>
        <v>#DIV/0!</v>
      </c>
      <c r="S130" s="224" t="e">
        <f t="shared" si="152"/>
        <v>#DIV/0!</v>
      </c>
      <c r="T130" s="432"/>
      <c r="U130" s="224"/>
      <c r="V130" s="224"/>
      <c r="W130" s="224" t="e">
        <f t="shared" ref="W130:W136" si="166">V130/U130</f>
        <v>#DIV/0!</v>
      </c>
      <c r="X130" s="224" t="e">
        <f t="shared" si="154"/>
        <v>#DIV/0!</v>
      </c>
      <c r="Y130" s="432"/>
      <c r="Z130" s="224"/>
      <c r="AA130" s="224"/>
      <c r="AB130" s="224" t="e">
        <f t="shared" ref="AB130:AB136" si="167">AA130/Z130</f>
        <v>#DIV/0!</v>
      </c>
      <c r="AC130" s="224" t="e">
        <f t="shared" si="156"/>
        <v>#DIV/0!</v>
      </c>
      <c r="AD130" s="432"/>
      <c r="AE130" s="224"/>
      <c r="AF130" s="224"/>
      <c r="AG130" s="226" t="e">
        <f t="shared" ref="AG130:AG132" si="168">AF130/AE130</f>
        <v>#DIV/0!</v>
      </c>
      <c r="AH130" s="224" t="e">
        <f t="shared" si="158"/>
        <v>#DIV/0!</v>
      </c>
      <c r="AI130" s="432"/>
      <c r="AJ130" s="224"/>
      <c r="AK130" s="224"/>
      <c r="AL130" s="226" t="e">
        <f t="shared" ref="AL130:AL132" si="169">AK130/AJ130</f>
        <v>#DIV/0!</v>
      </c>
      <c r="AM130" s="224" t="e">
        <f t="shared" si="160"/>
        <v>#DIV/0!</v>
      </c>
      <c r="AN130" s="432"/>
      <c r="AO130" s="224"/>
      <c r="AP130" s="224"/>
      <c r="AQ130" s="226" t="e">
        <f t="shared" ref="AQ130:AQ132" si="170">AP130/AO130</f>
        <v>#DIV/0!</v>
      </c>
      <c r="AR130" s="224" t="e">
        <f t="shared" si="162"/>
        <v>#DIV/0!</v>
      </c>
      <c r="AS130" s="432"/>
      <c r="AT130" s="224"/>
      <c r="AU130" s="224"/>
      <c r="AV130" s="226" t="e">
        <f t="shared" si="163"/>
        <v>#DIV/0!</v>
      </c>
      <c r="AW130" s="224" t="e">
        <f>RANK(AV130, AV$7:AV$24)</f>
        <v>#DIV/0!</v>
      </c>
      <c r="AX130" s="432"/>
    </row>
    <row r="131" spans="2:50">
      <c r="B131" s="427"/>
      <c r="C131" s="224">
        <v>13</v>
      </c>
      <c r="D131" s="224" t="s">
        <v>560</v>
      </c>
      <c r="E131" s="225">
        <f>VLOOKUP(D131,'10產線配置圖'!$A$2:$C$25,2,0)</f>
        <v>19</v>
      </c>
      <c r="F131" s="225">
        <f>VLOOKUP(D131,'10產線配置圖'!$A$2:$C$25,3,0)</f>
        <v>1600</v>
      </c>
      <c r="G131" s="226">
        <f t="shared" si="146"/>
        <v>84.21052631578948</v>
      </c>
      <c r="H131" s="435"/>
      <c r="I131" s="224" t="e">
        <f t="shared" si="147"/>
        <v>#DIV/0!</v>
      </c>
      <c r="J131" s="225" t="e">
        <f t="shared" si="148"/>
        <v>#DIV/0!</v>
      </c>
      <c r="K131" s="226" t="e">
        <f t="shared" si="149"/>
        <v>#DIV/0!</v>
      </c>
      <c r="L131" s="435"/>
      <c r="M131" s="227" t="e">
        <f t="shared" si="150"/>
        <v>#DIV/0!</v>
      </c>
      <c r="N131" s="419"/>
      <c r="O131" s="419"/>
      <c r="P131" s="224"/>
      <c r="Q131" s="224"/>
      <c r="R131" s="226" t="e">
        <f t="shared" si="165"/>
        <v>#DIV/0!</v>
      </c>
      <c r="S131" s="224" t="e">
        <f t="shared" si="152"/>
        <v>#DIV/0!</v>
      </c>
      <c r="T131" s="432"/>
      <c r="U131" s="224"/>
      <c r="V131" s="224"/>
      <c r="W131" s="224" t="e">
        <f t="shared" si="166"/>
        <v>#DIV/0!</v>
      </c>
      <c r="X131" s="224" t="e">
        <f t="shared" si="154"/>
        <v>#DIV/0!</v>
      </c>
      <c r="Y131" s="432"/>
      <c r="Z131" s="224"/>
      <c r="AA131" s="224"/>
      <c r="AB131" s="224" t="e">
        <f t="shared" si="167"/>
        <v>#DIV/0!</v>
      </c>
      <c r="AC131" s="224" t="e">
        <f t="shared" si="156"/>
        <v>#DIV/0!</v>
      </c>
      <c r="AD131" s="432"/>
      <c r="AE131" s="224"/>
      <c r="AF131" s="224"/>
      <c r="AG131" s="226" t="e">
        <f t="shared" si="168"/>
        <v>#DIV/0!</v>
      </c>
      <c r="AH131" s="224" t="e">
        <f t="shared" si="158"/>
        <v>#DIV/0!</v>
      </c>
      <c r="AI131" s="432"/>
      <c r="AJ131" s="224"/>
      <c r="AK131" s="224"/>
      <c r="AL131" s="226" t="e">
        <f t="shared" si="169"/>
        <v>#DIV/0!</v>
      </c>
      <c r="AM131" s="224" t="e">
        <f t="shared" si="160"/>
        <v>#DIV/0!</v>
      </c>
      <c r="AN131" s="432"/>
      <c r="AO131" s="224"/>
      <c r="AP131" s="224"/>
      <c r="AQ131" s="226" t="e">
        <f t="shared" si="170"/>
        <v>#DIV/0!</v>
      </c>
      <c r="AR131" s="224" t="e">
        <f t="shared" si="162"/>
        <v>#DIV/0!</v>
      </c>
      <c r="AS131" s="432"/>
      <c r="AT131" s="224"/>
      <c r="AU131" s="224"/>
      <c r="AV131" s="226" t="e">
        <f t="shared" si="163"/>
        <v>#DIV/0!</v>
      </c>
      <c r="AW131" s="224" t="e">
        <f t="shared" ref="AW131:AW133" si="171">RANK(AV131, AV$7:AV$24)</f>
        <v>#DIV/0!</v>
      </c>
      <c r="AX131" s="432"/>
    </row>
    <row r="132" spans="2:50">
      <c r="B132" s="427"/>
      <c r="C132" s="224">
        <v>14</v>
      </c>
      <c r="D132" s="224" t="s">
        <v>462</v>
      </c>
      <c r="E132" s="225">
        <f>VLOOKUP(D132,'10產線配置圖'!$A$2:$C$25,2,0)</f>
        <v>17</v>
      </c>
      <c r="F132" s="225">
        <f>VLOOKUP(D132,'10產線配置圖'!$A$2:$C$25,3,0)</f>
        <v>1636</v>
      </c>
      <c r="G132" s="226">
        <f t="shared" si="146"/>
        <v>96.235294117647058</v>
      </c>
      <c r="H132" s="435"/>
      <c r="I132" s="224"/>
      <c r="J132" s="225"/>
      <c r="K132" s="226"/>
      <c r="L132" s="435"/>
      <c r="M132" s="227"/>
      <c r="N132" s="419"/>
      <c r="O132" s="419"/>
      <c r="P132" s="224"/>
      <c r="Q132" s="224"/>
      <c r="R132" s="226"/>
      <c r="S132" s="224"/>
      <c r="T132" s="432"/>
      <c r="U132" s="224"/>
      <c r="V132" s="224"/>
      <c r="W132" s="224" t="e">
        <f t="shared" si="166"/>
        <v>#DIV/0!</v>
      </c>
      <c r="X132" s="224" t="e">
        <f t="shared" si="154"/>
        <v>#DIV/0!</v>
      </c>
      <c r="Y132" s="432"/>
      <c r="Z132" s="224"/>
      <c r="AA132" s="224"/>
      <c r="AB132" s="224" t="e">
        <f t="shared" si="167"/>
        <v>#DIV/0!</v>
      </c>
      <c r="AC132" s="224" t="e">
        <f t="shared" si="156"/>
        <v>#DIV/0!</v>
      </c>
      <c r="AD132" s="432"/>
      <c r="AE132" s="224"/>
      <c r="AF132" s="224"/>
      <c r="AG132" s="226" t="e">
        <f t="shared" si="168"/>
        <v>#DIV/0!</v>
      </c>
      <c r="AH132" s="224" t="e">
        <f t="shared" si="158"/>
        <v>#DIV/0!</v>
      </c>
      <c r="AI132" s="432"/>
      <c r="AJ132" s="224"/>
      <c r="AK132" s="224"/>
      <c r="AL132" s="226" t="e">
        <f t="shared" si="169"/>
        <v>#DIV/0!</v>
      </c>
      <c r="AM132" s="224" t="e">
        <f t="shared" si="160"/>
        <v>#DIV/0!</v>
      </c>
      <c r="AN132" s="432"/>
      <c r="AO132" s="224"/>
      <c r="AP132" s="224"/>
      <c r="AQ132" s="224" t="e">
        <f t="shared" si="170"/>
        <v>#DIV/0!</v>
      </c>
      <c r="AR132" s="224" t="e">
        <f t="shared" si="162"/>
        <v>#DIV/0!</v>
      </c>
      <c r="AS132" s="432"/>
      <c r="AT132" s="224"/>
      <c r="AU132" s="224"/>
      <c r="AV132" s="226" t="e">
        <f t="shared" si="163"/>
        <v>#DIV/0!</v>
      </c>
      <c r="AW132" s="224" t="e">
        <f t="shared" si="171"/>
        <v>#DIV/0!</v>
      </c>
      <c r="AX132" s="432"/>
    </row>
    <row r="133" spans="2:50">
      <c r="B133" s="427"/>
      <c r="C133" s="224">
        <v>15</v>
      </c>
      <c r="D133" s="224"/>
      <c r="E133" s="225"/>
      <c r="F133" s="225"/>
      <c r="G133" s="226"/>
      <c r="H133" s="435"/>
      <c r="I133" s="224" t="e">
        <f t="shared" si="147"/>
        <v>#DIV/0!</v>
      </c>
      <c r="J133" s="224" t="e">
        <f t="shared" si="148"/>
        <v>#DIV/0!</v>
      </c>
      <c r="K133" s="226" t="e">
        <f t="shared" si="149"/>
        <v>#DIV/0!</v>
      </c>
      <c r="L133" s="435"/>
      <c r="M133" s="227" t="e">
        <f t="shared" si="150"/>
        <v>#DIV/0!</v>
      </c>
      <c r="N133" s="419"/>
      <c r="O133" s="419"/>
      <c r="P133" s="224"/>
      <c r="Q133" s="224"/>
      <c r="R133" s="226" t="e">
        <f t="shared" si="165"/>
        <v>#DIV/0!</v>
      </c>
      <c r="S133" s="224" t="e">
        <f t="shared" si="152"/>
        <v>#DIV/0!</v>
      </c>
      <c r="T133" s="432"/>
      <c r="U133" s="224"/>
      <c r="V133" s="224"/>
      <c r="W133" s="224" t="e">
        <f t="shared" si="166"/>
        <v>#DIV/0!</v>
      </c>
      <c r="X133" s="224" t="e">
        <f t="shared" si="154"/>
        <v>#DIV/0!</v>
      </c>
      <c r="Y133" s="432"/>
      <c r="Z133" s="224"/>
      <c r="AA133" s="224"/>
      <c r="AB133" s="224" t="e">
        <f t="shared" si="167"/>
        <v>#DIV/0!</v>
      </c>
      <c r="AC133" s="224" t="e">
        <f t="shared" si="156"/>
        <v>#DIV/0!</v>
      </c>
      <c r="AD133" s="432"/>
      <c r="AE133" s="224"/>
      <c r="AF133" s="224"/>
      <c r="AG133" s="226"/>
      <c r="AH133" s="224"/>
      <c r="AI133" s="432"/>
      <c r="AJ133" s="224"/>
      <c r="AK133" s="224"/>
      <c r="AL133" s="224"/>
      <c r="AM133" s="224"/>
      <c r="AN133" s="432"/>
      <c r="AO133" s="224"/>
      <c r="AP133" s="224"/>
      <c r="AQ133" s="224"/>
      <c r="AR133" s="224" t="e">
        <f t="shared" si="162"/>
        <v>#N/A</v>
      </c>
      <c r="AS133" s="432"/>
      <c r="AT133" s="224"/>
      <c r="AU133" s="224"/>
      <c r="AV133" s="226" t="e">
        <f>AU133/AT133</f>
        <v>#DIV/0!</v>
      </c>
      <c r="AW133" s="224" t="e">
        <f t="shared" si="171"/>
        <v>#DIV/0!</v>
      </c>
      <c r="AX133" s="432"/>
    </row>
    <row r="134" spans="2:50">
      <c r="B134" s="427"/>
      <c r="C134" s="224">
        <v>16</v>
      </c>
      <c r="D134" s="224"/>
      <c r="E134" s="225"/>
      <c r="F134" s="225"/>
      <c r="G134" s="226"/>
      <c r="H134" s="435"/>
      <c r="I134" s="224" t="e">
        <f t="shared" si="147"/>
        <v>#DIV/0!</v>
      </c>
      <c r="J134" s="224" t="e">
        <f t="shared" si="148"/>
        <v>#DIV/0!</v>
      </c>
      <c r="K134" s="226" t="e">
        <f t="shared" si="149"/>
        <v>#DIV/0!</v>
      </c>
      <c r="L134" s="435"/>
      <c r="M134" s="227" t="e">
        <f t="shared" si="150"/>
        <v>#DIV/0!</v>
      </c>
      <c r="N134" s="419"/>
      <c r="O134" s="419"/>
      <c r="P134" s="224"/>
      <c r="Q134" s="224"/>
      <c r="R134" s="226" t="e">
        <f t="shared" si="165"/>
        <v>#DIV/0!</v>
      </c>
      <c r="S134" s="224" t="e">
        <f t="shared" si="152"/>
        <v>#DIV/0!</v>
      </c>
      <c r="T134" s="432"/>
      <c r="U134" s="224"/>
      <c r="V134" s="224"/>
      <c r="W134" s="224" t="e">
        <f t="shared" si="166"/>
        <v>#DIV/0!</v>
      </c>
      <c r="X134" s="224" t="e">
        <f t="shared" si="154"/>
        <v>#DIV/0!</v>
      </c>
      <c r="Y134" s="432"/>
      <c r="Z134" s="224"/>
      <c r="AA134" s="224"/>
      <c r="AB134" s="224" t="e">
        <f t="shared" si="167"/>
        <v>#DIV/0!</v>
      </c>
      <c r="AC134" s="224" t="e">
        <f t="shared" si="156"/>
        <v>#DIV/0!</v>
      </c>
      <c r="AD134" s="432"/>
      <c r="AE134" s="224"/>
      <c r="AF134" s="224"/>
      <c r="AG134" s="226"/>
      <c r="AH134" s="224"/>
      <c r="AI134" s="432"/>
      <c r="AJ134" s="224"/>
      <c r="AK134" s="224"/>
      <c r="AL134" s="224"/>
      <c r="AM134" s="224"/>
      <c r="AN134" s="432"/>
      <c r="AO134" s="224"/>
      <c r="AP134" s="224"/>
      <c r="AQ134" s="224"/>
      <c r="AR134" s="224" t="e">
        <f t="shared" si="162"/>
        <v>#N/A</v>
      </c>
      <c r="AS134" s="432"/>
      <c r="AT134" s="224"/>
      <c r="AU134" s="224"/>
      <c r="AV134" s="224"/>
      <c r="AW134" s="224"/>
      <c r="AX134" s="432"/>
    </row>
    <row r="135" spans="2:50">
      <c r="B135" s="427"/>
      <c r="C135" s="224">
        <v>17</v>
      </c>
      <c r="D135" s="224"/>
      <c r="E135" s="225"/>
      <c r="F135" s="225"/>
      <c r="G135" s="226"/>
      <c r="H135" s="435"/>
      <c r="I135" s="224" t="e">
        <f t="shared" si="147"/>
        <v>#DIV/0!</v>
      </c>
      <c r="J135" s="224" t="e">
        <f t="shared" si="148"/>
        <v>#DIV/0!</v>
      </c>
      <c r="K135" s="226" t="e">
        <f t="shared" si="149"/>
        <v>#DIV/0!</v>
      </c>
      <c r="L135" s="435"/>
      <c r="M135" s="227" t="e">
        <f t="shared" si="150"/>
        <v>#DIV/0!</v>
      </c>
      <c r="N135" s="419"/>
      <c r="O135" s="419"/>
      <c r="P135" s="224"/>
      <c r="Q135" s="224"/>
      <c r="R135" s="226" t="e">
        <f t="shared" si="165"/>
        <v>#DIV/0!</v>
      </c>
      <c r="S135" s="224" t="e">
        <f t="shared" si="152"/>
        <v>#DIV/0!</v>
      </c>
      <c r="T135" s="432"/>
      <c r="U135" s="224"/>
      <c r="V135" s="224"/>
      <c r="W135" s="224" t="e">
        <f t="shared" si="166"/>
        <v>#DIV/0!</v>
      </c>
      <c r="X135" s="224" t="e">
        <f t="shared" si="154"/>
        <v>#DIV/0!</v>
      </c>
      <c r="Y135" s="432"/>
      <c r="Z135" s="224"/>
      <c r="AA135" s="224"/>
      <c r="AB135" s="224" t="e">
        <f t="shared" si="167"/>
        <v>#DIV/0!</v>
      </c>
      <c r="AC135" s="224" t="e">
        <f t="shared" si="156"/>
        <v>#DIV/0!</v>
      </c>
      <c r="AD135" s="432"/>
      <c r="AE135" s="224"/>
      <c r="AF135" s="224"/>
      <c r="AG135" s="226"/>
      <c r="AH135" s="224"/>
      <c r="AI135" s="432"/>
      <c r="AJ135" s="224"/>
      <c r="AK135" s="224"/>
      <c r="AL135" s="224"/>
      <c r="AM135" s="224"/>
      <c r="AN135" s="432"/>
      <c r="AO135" s="224"/>
      <c r="AP135" s="224"/>
      <c r="AQ135" s="224"/>
      <c r="AR135" s="224" t="e">
        <f t="shared" si="162"/>
        <v>#N/A</v>
      </c>
      <c r="AS135" s="432"/>
      <c r="AT135" s="224"/>
      <c r="AU135" s="224"/>
      <c r="AV135" s="224"/>
      <c r="AW135" s="224"/>
      <c r="AX135" s="432"/>
    </row>
    <row r="136" spans="2:50">
      <c r="B136" s="427"/>
      <c r="C136" s="224">
        <v>18</v>
      </c>
      <c r="D136" s="224"/>
      <c r="E136" s="225"/>
      <c r="F136" s="225"/>
      <c r="G136" s="226"/>
      <c r="H136" s="436"/>
      <c r="I136" s="224"/>
      <c r="J136" s="224"/>
      <c r="K136" s="226"/>
      <c r="L136" s="436"/>
      <c r="M136" s="227"/>
      <c r="N136" s="419"/>
      <c r="O136" s="419"/>
      <c r="P136" s="224"/>
      <c r="Q136" s="224"/>
      <c r="R136" s="226"/>
      <c r="S136" s="224"/>
      <c r="T136" s="432"/>
      <c r="U136" s="224"/>
      <c r="V136" s="224"/>
      <c r="W136" s="224" t="e">
        <f t="shared" si="166"/>
        <v>#DIV/0!</v>
      </c>
      <c r="X136" s="224" t="e">
        <f t="shared" si="154"/>
        <v>#DIV/0!</v>
      </c>
      <c r="Y136" s="432"/>
      <c r="Z136" s="224"/>
      <c r="AA136" s="224"/>
      <c r="AB136" s="224" t="e">
        <f t="shared" si="167"/>
        <v>#DIV/0!</v>
      </c>
      <c r="AC136" s="224" t="e">
        <f t="shared" si="156"/>
        <v>#DIV/0!</v>
      </c>
      <c r="AD136" s="432"/>
      <c r="AE136" s="224"/>
      <c r="AF136" s="224"/>
      <c r="AG136" s="226"/>
      <c r="AH136" s="224"/>
      <c r="AI136" s="432"/>
      <c r="AJ136" s="224"/>
      <c r="AK136" s="224"/>
      <c r="AL136" s="224"/>
      <c r="AM136" s="224"/>
      <c r="AN136" s="432"/>
      <c r="AO136" s="224"/>
      <c r="AP136" s="224"/>
      <c r="AQ136" s="224"/>
      <c r="AR136" s="224" t="e">
        <f t="shared" si="162"/>
        <v>#N/A</v>
      </c>
      <c r="AS136" s="432"/>
      <c r="AT136" s="224"/>
      <c r="AU136" s="224"/>
      <c r="AV136" s="224"/>
      <c r="AW136" s="224"/>
      <c r="AX136" s="432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A29462-83DD-447E-AE63-067845242011}">
          <x14:formula1>
            <xm:f>'10產線配置圖'!$A$2:$A$24</xm:f>
          </x14:formula1>
          <xm:sqref>D7:D24 D30:D47 D73:D90 D96:D113 D119:D136 D53:D67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30" zoomScaleNormal="100" workbookViewId="0">
      <selection activeCell="D71" sqref="D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185" t="s">
        <v>315</v>
      </c>
      <c r="C1" s="107" t="e">
        <f>AVERAGE(L7,L27,L47,L67,L87)</f>
        <v>#DIV/0!</v>
      </c>
    </row>
    <row r="2" spans="1:50" ht="15.75">
      <c r="A2" s="83"/>
      <c r="B2" s="457" t="s">
        <v>165</v>
      </c>
      <c r="C2" s="458"/>
      <c r="D2" s="458"/>
      <c r="E2" s="458"/>
      <c r="F2" s="458"/>
      <c r="G2" s="458"/>
      <c r="H2" s="458"/>
      <c r="I2" s="159"/>
      <c r="J2" s="159"/>
      <c r="K2" s="159"/>
      <c r="L2" s="159"/>
      <c r="M2" s="155"/>
      <c r="N2" s="448" t="s">
        <v>157</v>
      </c>
      <c r="O2" s="448" t="s">
        <v>103</v>
      </c>
      <c r="P2" s="460"/>
      <c r="Q2" s="441"/>
      <c r="R2" s="441"/>
      <c r="S2" s="441"/>
      <c r="T2" s="441"/>
      <c r="U2" s="460"/>
      <c r="V2" s="441"/>
      <c r="W2" s="441"/>
      <c r="X2" s="441"/>
      <c r="Y2" s="441"/>
      <c r="Z2" s="460"/>
      <c r="AA2" s="441"/>
      <c r="AB2" s="441"/>
      <c r="AC2" s="441"/>
      <c r="AD2" s="441"/>
      <c r="AE2" s="460">
        <v>45870</v>
      </c>
      <c r="AF2" s="441"/>
      <c r="AG2" s="441"/>
      <c r="AH2" s="441"/>
      <c r="AI2" s="441"/>
      <c r="AJ2" s="460">
        <v>45871</v>
      </c>
      <c r="AK2" s="441"/>
      <c r="AL2" s="441"/>
      <c r="AM2" s="441"/>
      <c r="AN2" s="441"/>
      <c r="AO2" s="460">
        <v>45872</v>
      </c>
      <c r="AP2" s="441"/>
      <c r="AQ2" s="441"/>
      <c r="AR2" s="441"/>
      <c r="AS2" s="441"/>
      <c r="AT2" s="460">
        <v>45873</v>
      </c>
      <c r="AU2" s="441"/>
      <c r="AV2" s="441"/>
      <c r="AW2" s="441"/>
      <c r="AX2" s="441"/>
    </row>
    <row r="3" spans="1:50" ht="15.75">
      <c r="A3" s="83"/>
      <c r="B3" s="459"/>
      <c r="C3" s="459"/>
      <c r="D3" s="459"/>
      <c r="E3" s="459"/>
      <c r="F3" s="459"/>
      <c r="G3" s="459"/>
      <c r="H3" s="459"/>
      <c r="I3" s="156"/>
      <c r="J3" s="156"/>
      <c r="K3" s="156"/>
      <c r="L3" s="156"/>
      <c r="M3" s="157"/>
      <c r="N3" s="450"/>
      <c r="O3" s="450"/>
      <c r="P3" s="460" t="s">
        <v>159</v>
      </c>
      <c r="Q3" s="441"/>
      <c r="R3" s="441"/>
      <c r="S3" s="441"/>
      <c r="T3" s="441"/>
      <c r="U3" s="460" t="s">
        <v>160</v>
      </c>
      <c r="V3" s="441"/>
      <c r="W3" s="441"/>
      <c r="X3" s="441"/>
      <c r="Y3" s="441"/>
      <c r="Z3" s="460" t="s">
        <v>161</v>
      </c>
      <c r="AA3" s="441"/>
      <c r="AB3" s="441"/>
      <c r="AC3" s="441"/>
      <c r="AD3" s="441"/>
      <c r="AE3" s="460" t="s">
        <v>158</v>
      </c>
      <c r="AF3" s="441"/>
      <c r="AG3" s="441"/>
      <c r="AH3" s="441"/>
      <c r="AI3" s="441"/>
      <c r="AJ3" s="460" t="s">
        <v>162</v>
      </c>
      <c r="AK3" s="441"/>
      <c r="AL3" s="441"/>
      <c r="AM3" s="441"/>
      <c r="AN3" s="441"/>
      <c r="AO3" s="460" t="s">
        <v>163</v>
      </c>
      <c r="AP3" s="441"/>
      <c r="AQ3" s="441"/>
      <c r="AR3" s="441"/>
      <c r="AS3" s="441"/>
      <c r="AT3" s="460" t="s">
        <v>164</v>
      </c>
      <c r="AU3" s="441"/>
      <c r="AV3" s="441"/>
      <c r="AW3" s="441"/>
      <c r="AX3" s="441"/>
    </row>
    <row r="4" spans="1:50" ht="14.25">
      <c r="A4" s="83"/>
      <c r="B4" s="440" t="s">
        <v>154</v>
      </c>
      <c r="C4" s="440" t="s">
        <v>146</v>
      </c>
      <c r="D4" s="440"/>
      <c r="E4" s="440" t="s">
        <v>148</v>
      </c>
      <c r="F4" s="440"/>
      <c r="G4" s="440"/>
      <c r="H4" s="445" t="s">
        <v>155</v>
      </c>
      <c r="I4" s="440" t="s">
        <v>207</v>
      </c>
      <c r="J4" s="440"/>
      <c r="K4" s="440"/>
      <c r="L4" s="445" t="s">
        <v>155</v>
      </c>
      <c r="M4" s="448" t="s">
        <v>166</v>
      </c>
      <c r="N4" s="440"/>
      <c r="O4" s="440" t="s">
        <v>156</v>
      </c>
      <c r="P4" s="442" t="s">
        <v>151</v>
      </c>
      <c r="Q4" s="443"/>
      <c r="R4" s="443"/>
      <c r="S4" s="444"/>
      <c r="T4" s="440" t="s">
        <v>155</v>
      </c>
      <c r="U4" s="442" t="s">
        <v>151</v>
      </c>
      <c r="V4" s="443"/>
      <c r="W4" s="443"/>
      <c r="X4" s="444"/>
      <c r="Y4" s="440" t="s">
        <v>155</v>
      </c>
      <c r="Z4" s="442" t="s">
        <v>151</v>
      </c>
      <c r="AA4" s="443"/>
      <c r="AB4" s="443"/>
      <c r="AC4" s="444"/>
      <c r="AD4" s="440" t="s">
        <v>155</v>
      </c>
      <c r="AE4" s="442" t="s">
        <v>151</v>
      </c>
      <c r="AF4" s="443"/>
      <c r="AG4" s="443"/>
      <c r="AH4" s="444"/>
      <c r="AI4" s="440" t="s">
        <v>155</v>
      </c>
      <c r="AJ4" s="442" t="s">
        <v>151</v>
      </c>
      <c r="AK4" s="443"/>
      <c r="AL4" s="443"/>
      <c r="AM4" s="444"/>
      <c r="AN4" s="440" t="s">
        <v>155</v>
      </c>
      <c r="AO4" s="442" t="s">
        <v>151</v>
      </c>
      <c r="AP4" s="443"/>
      <c r="AQ4" s="443"/>
      <c r="AR4" s="444"/>
      <c r="AS4" s="440" t="s">
        <v>155</v>
      </c>
      <c r="AT4" s="442" t="s">
        <v>151</v>
      </c>
      <c r="AU4" s="443"/>
      <c r="AV4" s="443"/>
      <c r="AW4" s="444"/>
      <c r="AX4" s="440" t="s">
        <v>155</v>
      </c>
    </row>
    <row r="5" spans="1:50" ht="14.25">
      <c r="A5" s="83"/>
      <c r="B5" s="440"/>
      <c r="C5" s="440"/>
      <c r="D5" s="440"/>
      <c r="E5" s="440" t="s">
        <v>147</v>
      </c>
      <c r="F5" s="440"/>
      <c r="G5" s="440"/>
      <c r="H5" s="446"/>
      <c r="I5" s="440" t="s">
        <v>147</v>
      </c>
      <c r="J5" s="440"/>
      <c r="K5" s="440"/>
      <c r="L5" s="446"/>
      <c r="M5" s="449"/>
      <c r="N5" s="440"/>
      <c r="O5" s="440"/>
      <c r="P5" s="442" t="s">
        <v>152</v>
      </c>
      <c r="Q5" s="443"/>
      <c r="R5" s="443"/>
      <c r="S5" s="444"/>
      <c r="T5" s="440"/>
      <c r="U5" s="442" t="s">
        <v>152</v>
      </c>
      <c r="V5" s="443"/>
      <c r="W5" s="443"/>
      <c r="X5" s="444"/>
      <c r="Y5" s="440"/>
      <c r="Z5" s="442" t="s">
        <v>152</v>
      </c>
      <c r="AA5" s="443"/>
      <c r="AB5" s="443"/>
      <c r="AC5" s="444"/>
      <c r="AD5" s="440"/>
      <c r="AE5" s="442" t="s">
        <v>152</v>
      </c>
      <c r="AF5" s="443"/>
      <c r="AG5" s="443"/>
      <c r="AH5" s="444"/>
      <c r="AI5" s="440"/>
      <c r="AJ5" s="442" t="s">
        <v>152</v>
      </c>
      <c r="AK5" s="443"/>
      <c r="AL5" s="443"/>
      <c r="AM5" s="444"/>
      <c r="AN5" s="440"/>
      <c r="AO5" s="442" t="s">
        <v>152</v>
      </c>
      <c r="AP5" s="443"/>
      <c r="AQ5" s="443"/>
      <c r="AR5" s="444"/>
      <c r="AS5" s="440"/>
      <c r="AT5" s="442" t="s">
        <v>152</v>
      </c>
      <c r="AU5" s="443"/>
      <c r="AV5" s="443"/>
      <c r="AW5" s="444"/>
      <c r="AX5" s="440"/>
    </row>
    <row r="6" spans="1:50" ht="14.25">
      <c r="A6" s="81"/>
      <c r="B6" s="440"/>
      <c r="C6" s="440"/>
      <c r="D6" s="440"/>
      <c r="E6" s="109" t="s">
        <v>149</v>
      </c>
      <c r="F6" s="109" t="s">
        <v>150</v>
      </c>
      <c r="G6" s="109" t="s">
        <v>153</v>
      </c>
      <c r="H6" s="447"/>
      <c r="I6" s="109" t="s">
        <v>149</v>
      </c>
      <c r="J6" s="109" t="s">
        <v>150</v>
      </c>
      <c r="K6" s="109" t="s">
        <v>153</v>
      </c>
      <c r="L6" s="447"/>
      <c r="M6" s="450"/>
      <c r="N6" s="440"/>
      <c r="O6" s="440"/>
      <c r="P6" s="109" t="s">
        <v>149</v>
      </c>
      <c r="Q6" s="109" t="s">
        <v>150</v>
      </c>
      <c r="R6" s="109" t="s">
        <v>153</v>
      </c>
      <c r="S6" s="109" t="s">
        <v>166</v>
      </c>
      <c r="T6" s="440"/>
      <c r="U6" s="109" t="s">
        <v>149</v>
      </c>
      <c r="V6" s="109" t="s">
        <v>150</v>
      </c>
      <c r="W6" s="109" t="s">
        <v>153</v>
      </c>
      <c r="X6" s="109" t="s">
        <v>166</v>
      </c>
      <c r="Y6" s="440"/>
      <c r="Z6" s="109" t="s">
        <v>149</v>
      </c>
      <c r="AA6" s="109" t="s">
        <v>150</v>
      </c>
      <c r="AB6" s="109" t="s">
        <v>153</v>
      </c>
      <c r="AC6" s="109" t="s">
        <v>166</v>
      </c>
      <c r="AD6" s="440"/>
      <c r="AE6" s="109" t="s">
        <v>149</v>
      </c>
      <c r="AF6" s="109" t="s">
        <v>150</v>
      </c>
      <c r="AG6" s="109" t="s">
        <v>153</v>
      </c>
      <c r="AH6" s="109" t="s">
        <v>166</v>
      </c>
      <c r="AI6" s="440"/>
      <c r="AJ6" s="109" t="s">
        <v>149</v>
      </c>
      <c r="AK6" s="109" t="s">
        <v>150</v>
      </c>
      <c r="AL6" s="109" t="s">
        <v>153</v>
      </c>
      <c r="AM6" s="109" t="s">
        <v>166</v>
      </c>
      <c r="AN6" s="440"/>
      <c r="AO6" s="109" t="s">
        <v>149</v>
      </c>
      <c r="AP6" s="109" t="s">
        <v>150</v>
      </c>
      <c r="AQ6" s="109" t="s">
        <v>153</v>
      </c>
      <c r="AR6" s="109" t="s">
        <v>166</v>
      </c>
      <c r="AS6" s="440"/>
      <c r="AT6" s="109" t="s">
        <v>149</v>
      </c>
      <c r="AU6" s="109" t="s">
        <v>150</v>
      </c>
      <c r="AV6" s="109" t="s">
        <v>153</v>
      </c>
      <c r="AW6" s="109" t="s">
        <v>166</v>
      </c>
      <c r="AX6" s="440"/>
    </row>
    <row r="7" spans="1:50" ht="14.25">
      <c r="A7" s="83"/>
      <c r="B7" s="464" t="s">
        <v>338</v>
      </c>
      <c r="C7" s="110">
        <v>1</v>
      </c>
      <c r="D7" s="110"/>
      <c r="E7" s="160"/>
      <c r="F7" s="110"/>
      <c r="G7" s="158"/>
      <c r="H7" s="454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54" t="e">
        <f>AVERAGE(K7:K21)</f>
        <v>#DIV/0!</v>
      </c>
      <c r="M7" s="175" t="e">
        <f>RANK(K7, K$7:$K$21)</f>
        <v>#DIV/0!</v>
      </c>
      <c r="N7" s="440"/>
      <c r="O7" s="440"/>
      <c r="P7" s="160"/>
      <c r="Q7" s="160"/>
      <c r="R7" s="158"/>
      <c r="S7" s="110" t="e">
        <f>RANK(R7, R$7:R$21)</f>
        <v>#N/A</v>
      </c>
      <c r="T7" s="463" t="e">
        <f>AVERAGE(R7:R21)</f>
        <v>#DIV/0!</v>
      </c>
      <c r="U7" s="160"/>
      <c r="V7" s="160"/>
      <c r="W7" s="158"/>
      <c r="X7" s="110" t="e">
        <f>RANK(W7, W$7:W$21)</f>
        <v>#N/A</v>
      </c>
      <c r="Y7" s="463" t="e">
        <f>AVERAGE(W7:W21)</f>
        <v>#DIV/0!</v>
      </c>
      <c r="Z7" s="110"/>
      <c r="AA7" s="160"/>
      <c r="AB7" s="158"/>
      <c r="AC7" s="110" t="e">
        <f>RANK(AB7, AB$7:AB$21)</f>
        <v>#N/A</v>
      </c>
      <c r="AD7" s="463" t="e">
        <f>AVERAGE(AB7:AB21)</f>
        <v>#DIV/0!</v>
      </c>
      <c r="AE7" s="160"/>
      <c r="AF7" s="160"/>
      <c r="AG7" s="158"/>
      <c r="AH7" s="110" t="e">
        <f>RANK(AG7, AG$7:AG$21)</f>
        <v>#N/A</v>
      </c>
      <c r="AI7" s="463" t="e">
        <f>AVERAGE(AG7:AG21)</f>
        <v>#DIV/0!</v>
      </c>
      <c r="AJ7" s="110"/>
      <c r="AK7" s="160"/>
      <c r="AL7" s="158"/>
      <c r="AM7" s="110" t="e">
        <f>RANK(AL7, AL$7:AL$21)</f>
        <v>#N/A</v>
      </c>
      <c r="AN7" s="463" t="e">
        <f>AVERAGE(AL7:AL21)</f>
        <v>#DIV/0!</v>
      </c>
      <c r="AO7" s="110"/>
      <c r="AP7" s="160"/>
      <c r="AQ7" s="158"/>
      <c r="AR7" s="110" t="e">
        <f>RANK(AQ7, AQ$7:AQ$21)</f>
        <v>#N/A</v>
      </c>
      <c r="AS7" s="463" t="e">
        <f>AVERAGE(AQ7:AQ21)</f>
        <v>#DIV/0!</v>
      </c>
      <c r="AT7" s="110"/>
      <c r="AU7" s="160"/>
      <c r="AV7" s="158"/>
      <c r="AW7" s="110" t="e">
        <f>RANK(AV7, AV$7:AV$21)</f>
        <v>#N/A</v>
      </c>
      <c r="AX7" s="463" t="e">
        <f>AVERAGE(AV7:AV21)</f>
        <v>#DIV/0!</v>
      </c>
    </row>
    <row r="8" spans="1:50" ht="15" customHeight="1">
      <c r="A8" s="83"/>
      <c r="B8" s="441"/>
      <c r="C8" s="110">
        <v>2</v>
      </c>
      <c r="D8" s="110"/>
      <c r="E8" s="160"/>
      <c r="F8" s="110"/>
      <c r="G8" s="158"/>
      <c r="H8" s="455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55"/>
      <c r="M8" s="175" t="e">
        <f>RANK(K8, K$7:$K$21)</f>
        <v>#DIV/0!</v>
      </c>
      <c r="N8" s="440"/>
      <c r="O8" s="440"/>
      <c r="P8" s="160"/>
      <c r="Q8" s="160"/>
      <c r="R8" s="158"/>
      <c r="S8" s="110" t="e">
        <f t="shared" ref="S8:S21" si="1">RANK(R8, R$7:R$21)</f>
        <v>#N/A</v>
      </c>
      <c r="T8" s="463"/>
      <c r="U8" s="160"/>
      <c r="V8" s="160"/>
      <c r="W8" s="158"/>
      <c r="X8" s="110" t="e">
        <f t="shared" ref="X8:X21" si="2">RANK(W8, W$7:W$21)</f>
        <v>#N/A</v>
      </c>
      <c r="Y8" s="463"/>
      <c r="Z8" s="110"/>
      <c r="AA8" s="160"/>
      <c r="AB8" s="158"/>
      <c r="AC8" s="110" t="e">
        <f t="shared" ref="AC8:AC21" si="3">RANK(AB8, AB$7:AB$21)</f>
        <v>#N/A</v>
      </c>
      <c r="AD8" s="463"/>
      <c r="AE8" s="160"/>
      <c r="AF8" s="160"/>
      <c r="AG8" s="158"/>
      <c r="AH8" s="110" t="e">
        <f t="shared" ref="AH8:AH21" si="4">RANK(AG8, AG$7:AG$21)</f>
        <v>#N/A</v>
      </c>
      <c r="AI8" s="463"/>
      <c r="AJ8" s="110"/>
      <c r="AK8" s="160"/>
      <c r="AL8" s="158"/>
      <c r="AM8" s="110" t="e">
        <f t="shared" ref="AM8:AM21" si="5">RANK(AL8, AL$7:AL$21)</f>
        <v>#N/A</v>
      </c>
      <c r="AN8" s="463"/>
      <c r="AO8" s="110"/>
      <c r="AP8" s="160"/>
      <c r="AQ8" s="158"/>
      <c r="AR8" s="110" t="e">
        <f t="shared" ref="AR8:AR21" si="6">RANK(AQ8, AQ$7:AQ$21)</f>
        <v>#N/A</v>
      </c>
      <c r="AS8" s="463"/>
      <c r="AT8" s="110"/>
      <c r="AU8" s="160"/>
      <c r="AV8" s="158"/>
      <c r="AW8" s="110" t="e">
        <f t="shared" ref="AW8:AW21" si="7">RANK(AV8, AV$7:AV$21)</f>
        <v>#N/A</v>
      </c>
      <c r="AX8" s="463"/>
    </row>
    <row r="9" spans="1:50" ht="14.25">
      <c r="A9" s="83"/>
      <c r="B9" s="441"/>
      <c r="C9" s="110">
        <v>3</v>
      </c>
      <c r="D9" s="110"/>
      <c r="E9" s="160"/>
      <c r="F9" s="110"/>
      <c r="G9" s="158"/>
      <c r="H9" s="455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55"/>
      <c r="M9" s="175" t="e">
        <f>RANK(K9, K$7:$K$21)</f>
        <v>#DIV/0!</v>
      </c>
      <c r="N9" s="440"/>
      <c r="O9" s="440"/>
      <c r="P9" s="160"/>
      <c r="Q9" s="160"/>
      <c r="R9" s="158"/>
      <c r="S9" s="110" t="e">
        <f t="shared" si="1"/>
        <v>#N/A</v>
      </c>
      <c r="T9" s="463"/>
      <c r="U9" s="160"/>
      <c r="V9" s="160"/>
      <c r="W9" s="158"/>
      <c r="X9" s="110" t="e">
        <f t="shared" si="2"/>
        <v>#N/A</v>
      </c>
      <c r="Y9" s="463"/>
      <c r="Z9" s="110"/>
      <c r="AA9" s="160"/>
      <c r="AB9" s="158"/>
      <c r="AC9" s="110" t="e">
        <f t="shared" si="3"/>
        <v>#N/A</v>
      </c>
      <c r="AD9" s="463"/>
      <c r="AE9" s="160"/>
      <c r="AF9" s="160"/>
      <c r="AG9" s="158"/>
      <c r="AH9" s="110" t="e">
        <f t="shared" si="4"/>
        <v>#N/A</v>
      </c>
      <c r="AI9" s="463"/>
      <c r="AJ9" s="110"/>
      <c r="AK9" s="160"/>
      <c r="AL9" s="158"/>
      <c r="AM9" s="110" t="e">
        <f t="shared" si="5"/>
        <v>#N/A</v>
      </c>
      <c r="AN9" s="463"/>
      <c r="AO9" s="110"/>
      <c r="AP9" s="160"/>
      <c r="AQ9" s="158"/>
      <c r="AR9" s="110" t="e">
        <f t="shared" si="6"/>
        <v>#N/A</v>
      </c>
      <c r="AS9" s="463"/>
      <c r="AT9" s="110"/>
      <c r="AU9" s="160"/>
      <c r="AV9" s="158"/>
      <c r="AW9" s="110" t="e">
        <f t="shared" si="7"/>
        <v>#N/A</v>
      </c>
      <c r="AX9" s="463"/>
    </row>
    <row r="10" spans="1:50" ht="14.25">
      <c r="A10" s="83"/>
      <c r="B10" s="441"/>
      <c r="C10" s="110">
        <v>4</v>
      </c>
      <c r="D10" s="110"/>
      <c r="E10" s="160"/>
      <c r="F10" s="110"/>
      <c r="G10" s="158"/>
      <c r="H10" s="455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55"/>
      <c r="M10" s="175" t="e">
        <f>RANK(K10, K$7:$K$21)</f>
        <v>#DIV/0!</v>
      </c>
      <c r="N10" s="440"/>
      <c r="O10" s="440"/>
      <c r="P10" s="160"/>
      <c r="Q10" s="160"/>
      <c r="R10" s="158"/>
      <c r="S10" s="110" t="e">
        <f t="shared" si="1"/>
        <v>#N/A</v>
      </c>
      <c r="T10" s="463"/>
      <c r="U10" s="160"/>
      <c r="V10" s="160"/>
      <c r="W10" s="158"/>
      <c r="X10" s="110" t="e">
        <f t="shared" si="2"/>
        <v>#N/A</v>
      </c>
      <c r="Y10" s="463"/>
      <c r="Z10" s="110"/>
      <c r="AA10" s="160"/>
      <c r="AB10" s="158"/>
      <c r="AC10" s="110" t="e">
        <f t="shared" si="3"/>
        <v>#N/A</v>
      </c>
      <c r="AD10" s="463"/>
      <c r="AE10" s="160"/>
      <c r="AF10" s="160"/>
      <c r="AG10" s="158"/>
      <c r="AH10" s="110" t="e">
        <f t="shared" si="4"/>
        <v>#N/A</v>
      </c>
      <c r="AI10" s="463"/>
      <c r="AJ10" s="110"/>
      <c r="AK10" s="160"/>
      <c r="AL10" s="158"/>
      <c r="AM10" s="110" t="e">
        <f t="shared" si="5"/>
        <v>#N/A</v>
      </c>
      <c r="AN10" s="463"/>
      <c r="AO10" s="110"/>
      <c r="AP10" s="160"/>
      <c r="AQ10" s="158"/>
      <c r="AR10" s="110" t="e">
        <f t="shared" si="6"/>
        <v>#N/A</v>
      </c>
      <c r="AS10" s="463"/>
      <c r="AT10" s="110"/>
      <c r="AU10" s="160"/>
      <c r="AV10" s="158"/>
      <c r="AW10" s="110" t="e">
        <f t="shared" si="7"/>
        <v>#N/A</v>
      </c>
      <c r="AX10" s="463"/>
    </row>
    <row r="11" spans="1:50" ht="14.25">
      <c r="A11" s="83"/>
      <c r="B11" s="441"/>
      <c r="C11" s="110">
        <v>5</v>
      </c>
      <c r="D11" s="110"/>
      <c r="E11" s="160"/>
      <c r="F11" s="110"/>
      <c r="G11" s="158"/>
      <c r="H11" s="455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55"/>
      <c r="M11" s="175" t="e">
        <f>RANK(K11, K$7:$K$21)</f>
        <v>#DIV/0!</v>
      </c>
      <c r="N11" s="440"/>
      <c r="O11" s="440"/>
      <c r="P11" s="160"/>
      <c r="Q11" s="160"/>
      <c r="R11" s="158"/>
      <c r="S11" s="110" t="e">
        <f t="shared" si="1"/>
        <v>#N/A</v>
      </c>
      <c r="T11" s="463"/>
      <c r="U11" s="160"/>
      <c r="V11" s="160"/>
      <c r="W11" s="158"/>
      <c r="X11" s="110" t="e">
        <f t="shared" si="2"/>
        <v>#N/A</v>
      </c>
      <c r="Y11" s="463"/>
      <c r="Z11" s="110"/>
      <c r="AA11" s="160"/>
      <c r="AB11" s="158"/>
      <c r="AC11" s="110" t="e">
        <f t="shared" si="3"/>
        <v>#N/A</v>
      </c>
      <c r="AD11" s="463"/>
      <c r="AE11" s="160"/>
      <c r="AF11" s="160"/>
      <c r="AG11" s="158"/>
      <c r="AH11" s="110" t="e">
        <f t="shared" si="4"/>
        <v>#N/A</v>
      </c>
      <c r="AI11" s="463"/>
      <c r="AJ11" s="110"/>
      <c r="AK11" s="160"/>
      <c r="AL11" s="158"/>
      <c r="AM11" s="110" t="e">
        <f t="shared" si="5"/>
        <v>#N/A</v>
      </c>
      <c r="AN11" s="463"/>
      <c r="AO11" s="110"/>
      <c r="AP11" s="160"/>
      <c r="AQ11" s="158"/>
      <c r="AR11" s="110" t="e">
        <f t="shared" si="6"/>
        <v>#N/A</v>
      </c>
      <c r="AS11" s="463"/>
      <c r="AT11" s="110"/>
      <c r="AU11" s="160"/>
      <c r="AV11" s="158"/>
      <c r="AW11" s="110" t="e">
        <f t="shared" si="7"/>
        <v>#N/A</v>
      </c>
      <c r="AX11" s="463"/>
    </row>
    <row r="12" spans="1:50" ht="14.25">
      <c r="A12" s="83"/>
      <c r="B12" s="441"/>
      <c r="C12" s="110">
        <v>6</v>
      </c>
      <c r="D12" s="110"/>
      <c r="E12" s="160"/>
      <c r="F12" s="110"/>
      <c r="G12" s="158"/>
      <c r="H12" s="455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55"/>
      <c r="M12" s="175" t="e">
        <f>RANK(K12, K$7:$K$21)</f>
        <v>#DIV/0!</v>
      </c>
      <c r="N12" s="440"/>
      <c r="O12" s="440"/>
      <c r="P12" s="160"/>
      <c r="Q12" s="160"/>
      <c r="R12" s="158"/>
      <c r="S12" s="110" t="e">
        <f t="shared" si="1"/>
        <v>#N/A</v>
      </c>
      <c r="T12" s="463"/>
      <c r="U12" s="160"/>
      <c r="V12" s="160"/>
      <c r="W12" s="158"/>
      <c r="X12" s="110" t="e">
        <f t="shared" si="2"/>
        <v>#N/A</v>
      </c>
      <c r="Y12" s="463"/>
      <c r="Z12" s="110"/>
      <c r="AA12" s="160"/>
      <c r="AB12" s="158"/>
      <c r="AC12" s="110" t="e">
        <f t="shared" si="3"/>
        <v>#N/A</v>
      </c>
      <c r="AD12" s="463"/>
      <c r="AE12" s="160"/>
      <c r="AF12" s="160"/>
      <c r="AG12" s="158"/>
      <c r="AH12" s="110" t="e">
        <f t="shared" si="4"/>
        <v>#N/A</v>
      </c>
      <c r="AI12" s="463"/>
      <c r="AJ12" s="110"/>
      <c r="AK12" s="160"/>
      <c r="AL12" s="158"/>
      <c r="AM12" s="110" t="e">
        <f t="shared" si="5"/>
        <v>#N/A</v>
      </c>
      <c r="AN12" s="463"/>
      <c r="AO12" s="110"/>
      <c r="AP12" s="160"/>
      <c r="AQ12" s="158"/>
      <c r="AR12" s="110" t="e">
        <f t="shared" si="6"/>
        <v>#N/A</v>
      </c>
      <c r="AS12" s="463"/>
      <c r="AT12" s="110"/>
      <c r="AU12" s="160"/>
      <c r="AV12" s="158"/>
      <c r="AW12" s="110" t="e">
        <f t="shared" si="7"/>
        <v>#N/A</v>
      </c>
      <c r="AX12" s="463"/>
    </row>
    <row r="13" spans="1:50" ht="14.25">
      <c r="A13" s="83"/>
      <c r="B13" s="441"/>
      <c r="C13" s="110">
        <v>7</v>
      </c>
      <c r="D13" s="110"/>
      <c r="E13" s="160"/>
      <c r="F13" s="110"/>
      <c r="G13" s="158"/>
      <c r="H13" s="455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55"/>
      <c r="M13" s="175" t="e">
        <f>RANK(K13, K$7:$K$21)</f>
        <v>#DIV/0!</v>
      </c>
      <c r="N13" s="440"/>
      <c r="O13" s="440"/>
      <c r="P13" s="160"/>
      <c r="Q13" s="160"/>
      <c r="R13" s="158"/>
      <c r="S13" s="110" t="e">
        <f t="shared" si="1"/>
        <v>#N/A</v>
      </c>
      <c r="T13" s="463"/>
      <c r="U13" s="160"/>
      <c r="V13" s="160"/>
      <c r="W13" s="158"/>
      <c r="X13" s="110" t="e">
        <f t="shared" si="2"/>
        <v>#N/A</v>
      </c>
      <c r="Y13" s="463"/>
      <c r="Z13" s="110"/>
      <c r="AA13" s="160"/>
      <c r="AB13" s="158"/>
      <c r="AC13" s="110" t="e">
        <f t="shared" si="3"/>
        <v>#N/A</v>
      </c>
      <c r="AD13" s="463"/>
      <c r="AE13" s="160"/>
      <c r="AF13" s="160"/>
      <c r="AG13" s="158"/>
      <c r="AH13" s="110" t="e">
        <f t="shared" si="4"/>
        <v>#N/A</v>
      </c>
      <c r="AI13" s="463"/>
      <c r="AJ13" s="110"/>
      <c r="AK13" s="160"/>
      <c r="AL13" s="158"/>
      <c r="AM13" s="110" t="e">
        <f t="shared" si="5"/>
        <v>#N/A</v>
      </c>
      <c r="AN13" s="463"/>
      <c r="AO13" s="110"/>
      <c r="AP13" s="160"/>
      <c r="AQ13" s="158"/>
      <c r="AR13" s="110" t="e">
        <f t="shared" si="6"/>
        <v>#N/A</v>
      </c>
      <c r="AS13" s="463"/>
      <c r="AT13" s="110"/>
      <c r="AU13" s="160"/>
      <c r="AV13" s="158"/>
      <c r="AW13" s="110" t="e">
        <f t="shared" si="7"/>
        <v>#N/A</v>
      </c>
      <c r="AX13" s="463"/>
    </row>
    <row r="14" spans="1:50" ht="14.25">
      <c r="A14" s="83"/>
      <c r="B14" s="441"/>
      <c r="C14" s="110">
        <v>8</v>
      </c>
      <c r="D14" s="110"/>
      <c r="E14" s="160"/>
      <c r="F14" s="110"/>
      <c r="G14" s="158"/>
      <c r="H14" s="455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55"/>
      <c r="M14" s="175" t="e">
        <f>RANK(K14, K$7:$K$21)</f>
        <v>#DIV/0!</v>
      </c>
      <c r="N14" s="440"/>
      <c r="O14" s="440"/>
      <c r="P14" s="160"/>
      <c r="Q14" s="160"/>
      <c r="R14" s="158"/>
      <c r="S14" s="110" t="e">
        <f t="shared" si="1"/>
        <v>#N/A</v>
      </c>
      <c r="T14" s="463"/>
      <c r="U14" s="160"/>
      <c r="V14" s="160"/>
      <c r="W14" s="158"/>
      <c r="X14" s="110" t="e">
        <f t="shared" si="2"/>
        <v>#N/A</v>
      </c>
      <c r="Y14" s="463"/>
      <c r="Z14" s="110"/>
      <c r="AA14" s="160"/>
      <c r="AB14" s="158"/>
      <c r="AC14" s="110" t="e">
        <f t="shared" si="3"/>
        <v>#N/A</v>
      </c>
      <c r="AD14" s="463"/>
      <c r="AE14" s="160"/>
      <c r="AF14" s="160"/>
      <c r="AG14" s="158"/>
      <c r="AH14" s="110" t="e">
        <f t="shared" si="4"/>
        <v>#N/A</v>
      </c>
      <c r="AI14" s="463"/>
      <c r="AJ14" s="110"/>
      <c r="AK14" s="160"/>
      <c r="AL14" s="158"/>
      <c r="AM14" s="110" t="e">
        <f t="shared" si="5"/>
        <v>#N/A</v>
      </c>
      <c r="AN14" s="463"/>
      <c r="AO14" s="110"/>
      <c r="AP14" s="160"/>
      <c r="AQ14" s="158"/>
      <c r="AR14" s="110" t="e">
        <f t="shared" si="6"/>
        <v>#N/A</v>
      </c>
      <c r="AS14" s="463"/>
      <c r="AT14" s="110"/>
      <c r="AU14" s="160"/>
      <c r="AV14" s="158"/>
      <c r="AW14" s="110" t="e">
        <f t="shared" si="7"/>
        <v>#N/A</v>
      </c>
      <c r="AX14" s="463"/>
    </row>
    <row r="15" spans="1:50" ht="14.25">
      <c r="A15" s="83"/>
      <c r="B15" s="441"/>
      <c r="C15" s="110">
        <v>9</v>
      </c>
      <c r="D15" s="110"/>
      <c r="E15" s="160"/>
      <c r="F15" s="110"/>
      <c r="G15" s="158"/>
      <c r="H15" s="455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55"/>
      <c r="M15" s="175" t="e">
        <f>RANK(K15, K$7:$K$21)</f>
        <v>#DIV/0!</v>
      </c>
      <c r="N15" s="440"/>
      <c r="O15" s="440"/>
      <c r="P15" s="160"/>
      <c r="Q15" s="160"/>
      <c r="R15" s="158"/>
      <c r="S15" s="110" t="e">
        <f t="shared" si="1"/>
        <v>#N/A</v>
      </c>
      <c r="T15" s="463"/>
      <c r="U15" s="160"/>
      <c r="V15" s="160"/>
      <c r="W15" s="158"/>
      <c r="X15" s="110" t="e">
        <f t="shared" si="2"/>
        <v>#N/A</v>
      </c>
      <c r="Y15" s="463"/>
      <c r="Z15" s="110"/>
      <c r="AA15" s="160"/>
      <c r="AB15" s="158"/>
      <c r="AC15" s="110" t="e">
        <f t="shared" si="3"/>
        <v>#N/A</v>
      </c>
      <c r="AD15" s="463"/>
      <c r="AE15" s="160"/>
      <c r="AF15" s="160"/>
      <c r="AG15" s="158"/>
      <c r="AH15" s="110" t="e">
        <f t="shared" si="4"/>
        <v>#N/A</v>
      </c>
      <c r="AI15" s="463"/>
      <c r="AJ15" s="110"/>
      <c r="AK15" s="160"/>
      <c r="AL15" s="158"/>
      <c r="AM15" s="110" t="e">
        <f t="shared" si="5"/>
        <v>#N/A</v>
      </c>
      <c r="AN15" s="463"/>
      <c r="AO15" s="110"/>
      <c r="AP15" s="160"/>
      <c r="AQ15" s="158"/>
      <c r="AR15" s="110" t="e">
        <f t="shared" si="6"/>
        <v>#N/A</v>
      </c>
      <c r="AS15" s="463"/>
      <c r="AT15" s="110"/>
      <c r="AU15" s="160"/>
      <c r="AV15" s="158"/>
      <c r="AW15" s="110" t="e">
        <f t="shared" si="7"/>
        <v>#N/A</v>
      </c>
      <c r="AX15" s="463"/>
    </row>
    <row r="16" spans="1:50" ht="14.25">
      <c r="A16" s="83"/>
      <c r="B16" s="441"/>
      <c r="C16" s="110">
        <v>10</v>
      </c>
      <c r="D16" s="110"/>
      <c r="E16" s="160"/>
      <c r="F16" s="110"/>
      <c r="G16" s="158"/>
      <c r="H16" s="455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55"/>
      <c r="M16" s="175" t="e">
        <f>RANK(K16, K$7:$K$21)</f>
        <v>#DIV/0!</v>
      </c>
      <c r="N16" s="440"/>
      <c r="O16" s="440"/>
      <c r="P16" s="160"/>
      <c r="Q16" s="160"/>
      <c r="R16" s="158"/>
      <c r="S16" s="110" t="e">
        <f t="shared" si="1"/>
        <v>#N/A</v>
      </c>
      <c r="T16" s="463"/>
      <c r="U16" s="160"/>
      <c r="V16" s="160"/>
      <c r="W16" s="158"/>
      <c r="X16" s="110" t="e">
        <f t="shared" si="2"/>
        <v>#N/A</v>
      </c>
      <c r="Y16" s="463"/>
      <c r="Z16" s="110"/>
      <c r="AA16" s="160"/>
      <c r="AB16" s="158"/>
      <c r="AC16" s="110" t="e">
        <f t="shared" si="3"/>
        <v>#N/A</v>
      </c>
      <c r="AD16" s="463"/>
      <c r="AE16" s="160"/>
      <c r="AF16" s="160"/>
      <c r="AG16" s="158"/>
      <c r="AH16" s="110" t="e">
        <f t="shared" si="4"/>
        <v>#N/A</v>
      </c>
      <c r="AI16" s="463"/>
      <c r="AJ16" s="110"/>
      <c r="AK16" s="160"/>
      <c r="AL16" s="158"/>
      <c r="AM16" s="110" t="e">
        <f t="shared" si="5"/>
        <v>#N/A</v>
      </c>
      <c r="AN16" s="463"/>
      <c r="AO16" s="110"/>
      <c r="AP16" s="160"/>
      <c r="AQ16" s="158"/>
      <c r="AR16" s="110" t="e">
        <f t="shared" si="6"/>
        <v>#N/A</v>
      </c>
      <c r="AS16" s="463"/>
      <c r="AT16" s="110"/>
      <c r="AU16" s="160"/>
      <c r="AV16" s="158"/>
      <c r="AW16" s="110" t="e">
        <f t="shared" si="7"/>
        <v>#N/A</v>
      </c>
      <c r="AX16" s="463"/>
    </row>
    <row r="17" spans="2:50">
      <c r="B17" s="441"/>
      <c r="C17" s="110">
        <v>11</v>
      </c>
      <c r="D17" s="110"/>
      <c r="E17" s="110"/>
      <c r="F17" s="110"/>
      <c r="G17" s="110"/>
      <c r="H17" s="455"/>
      <c r="I17" s="110"/>
      <c r="J17" s="110"/>
      <c r="K17" s="110"/>
      <c r="L17" s="455"/>
      <c r="M17" s="175" t="e">
        <f>RANK(K17, K$7:$K$21)</f>
        <v>#DIV/0!</v>
      </c>
      <c r="N17" s="440"/>
      <c r="O17" s="440"/>
      <c r="P17" s="110"/>
      <c r="Q17" s="110"/>
      <c r="R17" s="110"/>
      <c r="S17" s="110" t="e">
        <f t="shared" si="1"/>
        <v>#N/A</v>
      </c>
      <c r="T17" s="463"/>
      <c r="U17" s="110"/>
      <c r="V17" s="110"/>
      <c r="W17" s="110"/>
      <c r="X17" s="110" t="e">
        <f t="shared" si="2"/>
        <v>#N/A</v>
      </c>
      <c r="Y17" s="463"/>
      <c r="Z17" s="110"/>
      <c r="AA17" s="110"/>
      <c r="AB17" s="110"/>
      <c r="AC17" s="110" t="e">
        <f t="shared" si="3"/>
        <v>#N/A</v>
      </c>
      <c r="AD17" s="463"/>
      <c r="AE17" s="110"/>
      <c r="AF17" s="110"/>
      <c r="AG17" s="110"/>
      <c r="AH17" s="110" t="e">
        <f t="shared" si="4"/>
        <v>#N/A</v>
      </c>
      <c r="AI17" s="463"/>
      <c r="AJ17" s="110"/>
      <c r="AK17" s="110"/>
      <c r="AL17" s="110"/>
      <c r="AM17" s="110" t="e">
        <f t="shared" si="5"/>
        <v>#N/A</v>
      </c>
      <c r="AN17" s="463"/>
      <c r="AO17" s="110"/>
      <c r="AP17" s="110"/>
      <c r="AQ17" s="110"/>
      <c r="AR17" s="110" t="e">
        <f t="shared" si="6"/>
        <v>#N/A</v>
      </c>
      <c r="AS17" s="463"/>
      <c r="AT17" s="110"/>
      <c r="AU17" s="110"/>
      <c r="AV17" s="110"/>
      <c r="AW17" s="110" t="e">
        <f t="shared" si="7"/>
        <v>#N/A</v>
      </c>
      <c r="AX17" s="463"/>
    </row>
    <row r="18" spans="2:50">
      <c r="B18" s="441"/>
      <c r="C18" s="110">
        <v>12</v>
      </c>
      <c r="D18" s="110"/>
      <c r="E18" s="110"/>
      <c r="F18" s="110"/>
      <c r="G18" s="110"/>
      <c r="H18" s="455"/>
      <c r="I18" s="110"/>
      <c r="J18" s="110"/>
      <c r="K18" s="110"/>
      <c r="L18" s="455"/>
      <c r="M18" s="175" t="e">
        <f>RANK(K18, K$7:$K$21)</f>
        <v>#DIV/0!</v>
      </c>
      <c r="N18" s="440"/>
      <c r="O18" s="440"/>
      <c r="P18" s="110"/>
      <c r="Q18" s="110"/>
      <c r="R18" s="110"/>
      <c r="S18" s="110" t="e">
        <f t="shared" si="1"/>
        <v>#N/A</v>
      </c>
      <c r="T18" s="463"/>
      <c r="U18" s="110"/>
      <c r="V18" s="110"/>
      <c r="W18" s="110"/>
      <c r="X18" s="110" t="e">
        <f t="shared" si="2"/>
        <v>#N/A</v>
      </c>
      <c r="Y18" s="463"/>
      <c r="Z18" s="110"/>
      <c r="AA18" s="110"/>
      <c r="AB18" s="110"/>
      <c r="AC18" s="110" t="e">
        <f t="shared" si="3"/>
        <v>#N/A</v>
      </c>
      <c r="AD18" s="463"/>
      <c r="AE18" s="110"/>
      <c r="AF18" s="110"/>
      <c r="AG18" s="110"/>
      <c r="AH18" s="110" t="e">
        <f t="shared" si="4"/>
        <v>#N/A</v>
      </c>
      <c r="AI18" s="463"/>
      <c r="AJ18" s="110"/>
      <c r="AK18" s="110"/>
      <c r="AL18" s="110"/>
      <c r="AM18" s="110" t="e">
        <f t="shared" si="5"/>
        <v>#N/A</v>
      </c>
      <c r="AN18" s="463"/>
      <c r="AO18" s="110"/>
      <c r="AP18" s="110"/>
      <c r="AQ18" s="110"/>
      <c r="AR18" s="110" t="e">
        <f t="shared" si="6"/>
        <v>#N/A</v>
      </c>
      <c r="AS18" s="463"/>
      <c r="AT18" s="110"/>
      <c r="AU18" s="110"/>
      <c r="AV18" s="110"/>
      <c r="AW18" s="110" t="e">
        <f t="shared" si="7"/>
        <v>#N/A</v>
      </c>
      <c r="AX18" s="463"/>
    </row>
    <row r="19" spans="2:50">
      <c r="B19" s="441"/>
      <c r="C19" s="110">
        <v>13</v>
      </c>
      <c r="D19" s="110"/>
      <c r="E19" s="110"/>
      <c r="F19" s="110"/>
      <c r="G19" s="110"/>
      <c r="H19" s="455"/>
      <c r="I19" s="110"/>
      <c r="J19" s="110"/>
      <c r="K19" s="110"/>
      <c r="L19" s="455"/>
      <c r="M19" s="175" t="e">
        <f>RANK(K19, K$7:$K$21)</f>
        <v>#DIV/0!</v>
      </c>
      <c r="N19" s="440"/>
      <c r="O19" s="440"/>
      <c r="P19" s="110"/>
      <c r="Q19" s="110"/>
      <c r="R19" s="110"/>
      <c r="S19" s="110" t="e">
        <f t="shared" si="1"/>
        <v>#N/A</v>
      </c>
      <c r="T19" s="463"/>
      <c r="U19" s="110"/>
      <c r="V19" s="110"/>
      <c r="W19" s="110"/>
      <c r="X19" s="110" t="e">
        <f t="shared" si="2"/>
        <v>#N/A</v>
      </c>
      <c r="Y19" s="463"/>
      <c r="Z19" s="110"/>
      <c r="AA19" s="110"/>
      <c r="AB19" s="110"/>
      <c r="AC19" s="110" t="e">
        <f t="shared" si="3"/>
        <v>#N/A</v>
      </c>
      <c r="AD19" s="463"/>
      <c r="AE19" s="110"/>
      <c r="AF19" s="110"/>
      <c r="AG19" s="110"/>
      <c r="AH19" s="110" t="e">
        <f t="shared" si="4"/>
        <v>#N/A</v>
      </c>
      <c r="AI19" s="463"/>
      <c r="AJ19" s="110"/>
      <c r="AK19" s="110"/>
      <c r="AL19" s="110"/>
      <c r="AM19" s="110" t="e">
        <f t="shared" si="5"/>
        <v>#N/A</v>
      </c>
      <c r="AN19" s="463"/>
      <c r="AO19" s="110"/>
      <c r="AP19" s="110"/>
      <c r="AQ19" s="110"/>
      <c r="AR19" s="110" t="e">
        <f t="shared" si="6"/>
        <v>#N/A</v>
      </c>
      <c r="AS19" s="463"/>
      <c r="AT19" s="110"/>
      <c r="AU19" s="110"/>
      <c r="AV19" s="110"/>
      <c r="AW19" s="110" t="e">
        <f t="shared" si="7"/>
        <v>#N/A</v>
      </c>
      <c r="AX19" s="463"/>
    </row>
    <row r="20" spans="2:50">
      <c r="B20" s="441"/>
      <c r="C20" s="110">
        <v>14</v>
      </c>
      <c r="D20" s="110"/>
      <c r="E20" s="110"/>
      <c r="F20" s="110"/>
      <c r="G20" s="110"/>
      <c r="H20" s="455"/>
      <c r="I20" s="110"/>
      <c r="J20" s="110"/>
      <c r="K20" s="110"/>
      <c r="L20" s="455"/>
      <c r="M20" s="175" t="e">
        <f>RANK(K20, K$7:$K$21)</f>
        <v>#DIV/0!</v>
      </c>
      <c r="N20" s="440"/>
      <c r="O20" s="440"/>
      <c r="P20" s="110"/>
      <c r="Q20" s="110"/>
      <c r="R20" s="110"/>
      <c r="S20" s="110" t="e">
        <f t="shared" si="1"/>
        <v>#N/A</v>
      </c>
      <c r="T20" s="463"/>
      <c r="U20" s="110"/>
      <c r="V20" s="110"/>
      <c r="W20" s="110"/>
      <c r="X20" s="110" t="e">
        <f t="shared" si="2"/>
        <v>#N/A</v>
      </c>
      <c r="Y20" s="463"/>
      <c r="Z20" s="110"/>
      <c r="AA20" s="110"/>
      <c r="AB20" s="110"/>
      <c r="AC20" s="110" t="e">
        <f t="shared" si="3"/>
        <v>#N/A</v>
      </c>
      <c r="AD20" s="463"/>
      <c r="AE20" s="110"/>
      <c r="AF20" s="110"/>
      <c r="AG20" s="110"/>
      <c r="AH20" s="110" t="e">
        <f t="shared" si="4"/>
        <v>#N/A</v>
      </c>
      <c r="AI20" s="463"/>
      <c r="AJ20" s="110"/>
      <c r="AK20" s="110"/>
      <c r="AL20" s="110"/>
      <c r="AM20" s="110" t="e">
        <f t="shared" si="5"/>
        <v>#N/A</v>
      </c>
      <c r="AN20" s="463"/>
      <c r="AO20" s="110"/>
      <c r="AP20" s="110"/>
      <c r="AQ20" s="110"/>
      <c r="AR20" s="110" t="e">
        <f t="shared" si="6"/>
        <v>#N/A</v>
      </c>
      <c r="AS20" s="463"/>
      <c r="AT20" s="110"/>
      <c r="AU20" s="110"/>
      <c r="AV20" s="110"/>
      <c r="AW20" s="110" t="e">
        <f t="shared" si="7"/>
        <v>#N/A</v>
      </c>
      <c r="AX20" s="463"/>
    </row>
    <row r="21" spans="2:50">
      <c r="B21" s="441"/>
      <c r="C21" s="110">
        <v>15</v>
      </c>
      <c r="D21" s="110"/>
      <c r="E21" s="110"/>
      <c r="F21" s="110"/>
      <c r="G21" s="110"/>
      <c r="H21" s="456"/>
      <c r="I21" s="110"/>
      <c r="J21" s="110"/>
      <c r="K21" s="110"/>
      <c r="L21" s="456"/>
      <c r="M21" s="160" t="e">
        <f>RANK(K21, K$7:$K$21)</f>
        <v>#DIV/0!</v>
      </c>
      <c r="N21" s="440"/>
      <c r="O21" s="440"/>
      <c r="P21" s="110"/>
      <c r="Q21" s="110"/>
      <c r="R21" s="110"/>
      <c r="S21" s="110" t="e">
        <f t="shared" si="1"/>
        <v>#N/A</v>
      </c>
      <c r="T21" s="463"/>
      <c r="U21" s="110"/>
      <c r="V21" s="110"/>
      <c r="W21" s="110"/>
      <c r="X21" s="110" t="e">
        <f t="shared" si="2"/>
        <v>#N/A</v>
      </c>
      <c r="Y21" s="463"/>
      <c r="Z21" s="110"/>
      <c r="AA21" s="110"/>
      <c r="AB21" s="110"/>
      <c r="AC21" s="110" t="e">
        <f t="shared" si="3"/>
        <v>#N/A</v>
      </c>
      <c r="AD21" s="463"/>
      <c r="AE21" s="110"/>
      <c r="AF21" s="110"/>
      <c r="AG21" s="110"/>
      <c r="AH21" s="110" t="e">
        <f t="shared" si="4"/>
        <v>#N/A</v>
      </c>
      <c r="AI21" s="463"/>
      <c r="AJ21" s="110"/>
      <c r="AK21" s="110"/>
      <c r="AL21" s="110"/>
      <c r="AM21" s="110" t="e">
        <f t="shared" si="5"/>
        <v>#N/A</v>
      </c>
      <c r="AN21" s="463"/>
      <c r="AO21" s="110"/>
      <c r="AP21" s="110"/>
      <c r="AQ21" s="110"/>
      <c r="AR21" s="110" t="e">
        <f t="shared" si="6"/>
        <v>#N/A</v>
      </c>
      <c r="AS21" s="463"/>
      <c r="AT21" s="110"/>
      <c r="AU21" s="110"/>
      <c r="AV21" s="110"/>
      <c r="AW21" s="110" t="e">
        <f t="shared" si="7"/>
        <v>#N/A</v>
      </c>
      <c r="AX21" s="463"/>
    </row>
    <row r="22" spans="2:50" ht="15.75">
      <c r="B22" s="461" t="s">
        <v>165</v>
      </c>
      <c r="C22" s="462"/>
      <c r="D22" s="462"/>
      <c r="E22" s="462"/>
      <c r="F22" s="462"/>
      <c r="G22" s="462"/>
      <c r="H22" s="462"/>
      <c r="I22" s="159"/>
      <c r="J22" s="159"/>
      <c r="K22" s="159"/>
      <c r="L22" s="159"/>
      <c r="M22" s="155"/>
      <c r="N22" s="448" t="s">
        <v>157</v>
      </c>
      <c r="O22" s="448" t="s">
        <v>103</v>
      </c>
      <c r="P22" s="460">
        <v>45874</v>
      </c>
      <c r="Q22" s="441"/>
      <c r="R22" s="441"/>
      <c r="S22" s="441"/>
      <c r="T22" s="441"/>
      <c r="U22" s="460">
        <v>45875</v>
      </c>
      <c r="V22" s="441"/>
      <c r="W22" s="441"/>
      <c r="X22" s="441"/>
      <c r="Y22" s="441"/>
      <c r="Z22" s="460">
        <v>45876</v>
      </c>
      <c r="AA22" s="441"/>
      <c r="AB22" s="441"/>
      <c r="AC22" s="441"/>
      <c r="AD22" s="441"/>
      <c r="AE22" s="460">
        <v>45877</v>
      </c>
      <c r="AF22" s="441"/>
      <c r="AG22" s="441"/>
      <c r="AH22" s="441"/>
      <c r="AI22" s="441"/>
      <c r="AJ22" s="460">
        <v>45878</v>
      </c>
      <c r="AK22" s="441"/>
      <c r="AL22" s="441"/>
      <c r="AM22" s="441"/>
      <c r="AN22" s="441"/>
      <c r="AO22" s="460">
        <v>45879</v>
      </c>
      <c r="AP22" s="441"/>
      <c r="AQ22" s="441"/>
      <c r="AR22" s="441"/>
      <c r="AS22" s="441"/>
      <c r="AT22" s="460">
        <v>45880</v>
      </c>
      <c r="AU22" s="441"/>
      <c r="AV22" s="441"/>
      <c r="AW22" s="441"/>
      <c r="AX22" s="441"/>
    </row>
    <row r="23" spans="2:50" ht="15.75">
      <c r="B23" s="459"/>
      <c r="C23" s="459"/>
      <c r="D23" s="459"/>
      <c r="E23" s="459"/>
      <c r="F23" s="459"/>
      <c r="G23" s="459"/>
      <c r="H23" s="459"/>
      <c r="I23" s="156"/>
      <c r="J23" s="156"/>
      <c r="K23" s="156"/>
      <c r="L23" s="156"/>
      <c r="M23" s="157"/>
      <c r="N23" s="450"/>
      <c r="O23" s="450"/>
      <c r="P23" s="460" t="s">
        <v>159</v>
      </c>
      <c r="Q23" s="441"/>
      <c r="R23" s="441"/>
      <c r="S23" s="441"/>
      <c r="T23" s="441"/>
      <c r="U23" s="460" t="s">
        <v>160</v>
      </c>
      <c r="V23" s="441"/>
      <c r="W23" s="441"/>
      <c r="X23" s="441"/>
      <c r="Y23" s="441"/>
      <c r="Z23" s="460" t="s">
        <v>161</v>
      </c>
      <c r="AA23" s="441"/>
      <c r="AB23" s="441"/>
      <c r="AC23" s="441"/>
      <c r="AD23" s="441"/>
      <c r="AE23" s="460" t="s">
        <v>158</v>
      </c>
      <c r="AF23" s="441"/>
      <c r="AG23" s="441"/>
      <c r="AH23" s="441"/>
      <c r="AI23" s="441"/>
      <c r="AJ23" s="460" t="s">
        <v>162</v>
      </c>
      <c r="AK23" s="441"/>
      <c r="AL23" s="441"/>
      <c r="AM23" s="441"/>
      <c r="AN23" s="441"/>
      <c r="AO23" s="460" t="s">
        <v>163</v>
      </c>
      <c r="AP23" s="441"/>
      <c r="AQ23" s="441"/>
      <c r="AR23" s="441"/>
      <c r="AS23" s="441"/>
      <c r="AT23" s="460" t="s">
        <v>164</v>
      </c>
      <c r="AU23" s="441"/>
      <c r="AV23" s="441"/>
      <c r="AW23" s="441"/>
      <c r="AX23" s="441"/>
    </row>
    <row r="24" spans="2:50">
      <c r="B24" s="440" t="s">
        <v>154</v>
      </c>
      <c r="C24" s="440" t="s">
        <v>146</v>
      </c>
      <c r="D24" s="440"/>
      <c r="E24" s="440" t="s">
        <v>148</v>
      </c>
      <c r="F24" s="440"/>
      <c r="G24" s="440"/>
      <c r="H24" s="445" t="s">
        <v>155</v>
      </c>
      <c r="I24" s="440" t="s">
        <v>207</v>
      </c>
      <c r="J24" s="440"/>
      <c r="K24" s="440"/>
      <c r="L24" s="445" t="s">
        <v>155</v>
      </c>
      <c r="M24" s="448" t="s">
        <v>166</v>
      </c>
      <c r="N24" s="440"/>
      <c r="O24" s="440" t="s">
        <v>156</v>
      </c>
      <c r="P24" s="442" t="s">
        <v>151</v>
      </c>
      <c r="Q24" s="443"/>
      <c r="R24" s="443"/>
      <c r="S24" s="444"/>
      <c r="T24" s="440" t="s">
        <v>155</v>
      </c>
      <c r="U24" s="442" t="s">
        <v>151</v>
      </c>
      <c r="V24" s="443"/>
      <c r="W24" s="443"/>
      <c r="X24" s="444"/>
      <c r="Y24" s="440" t="s">
        <v>155</v>
      </c>
      <c r="Z24" s="442" t="s">
        <v>151</v>
      </c>
      <c r="AA24" s="443"/>
      <c r="AB24" s="443"/>
      <c r="AC24" s="444"/>
      <c r="AD24" s="440" t="s">
        <v>155</v>
      </c>
      <c r="AE24" s="442" t="s">
        <v>151</v>
      </c>
      <c r="AF24" s="443"/>
      <c r="AG24" s="443"/>
      <c r="AH24" s="444"/>
      <c r="AI24" s="440" t="s">
        <v>155</v>
      </c>
      <c r="AJ24" s="442" t="s">
        <v>151</v>
      </c>
      <c r="AK24" s="443"/>
      <c r="AL24" s="443"/>
      <c r="AM24" s="444"/>
      <c r="AN24" s="440" t="s">
        <v>155</v>
      </c>
      <c r="AO24" s="442" t="s">
        <v>151</v>
      </c>
      <c r="AP24" s="443"/>
      <c r="AQ24" s="443"/>
      <c r="AR24" s="444"/>
      <c r="AS24" s="440" t="s">
        <v>155</v>
      </c>
      <c r="AT24" s="442" t="s">
        <v>151</v>
      </c>
      <c r="AU24" s="443"/>
      <c r="AV24" s="443"/>
      <c r="AW24" s="444"/>
      <c r="AX24" s="440" t="s">
        <v>155</v>
      </c>
    </row>
    <row r="25" spans="2:50">
      <c r="B25" s="440"/>
      <c r="C25" s="440"/>
      <c r="D25" s="440"/>
      <c r="E25" s="440" t="s">
        <v>147</v>
      </c>
      <c r="F25" s="440"/>
      <c r="G25" s="440"/>
      <c r="H25" s="446"/>
      <c r="I25" s="440" t="s">
        <v>147</v>
      </c>
      <c r="J25" s="440"/>
      <c r="K25" s="440"/>
      <c r="L25" s="446"/>
      <c r="M25" s="449"/>
      <c r="N25" s="440"/>
      <c r="O25" s="440"/>
      <c r="P25" s="442" t="s">
        <v>152</v>
      </c>
      <c r="Q25" s="443"/>
      <c r="R25" s="443"/>
      <c r="S25" s="444"/>
      <c r="T25" s="440"/>
      <c r="U25" s="442" t="s">
        <v>152</v>
      </c>
      <c r="V25" s="443"/>
      <c r="W25" s="443"/>
      <c r="X25" s="444"/>
      <c r="Y25" s="440"/>
      <c r="Z25" s="442" t="s">
        <v>152</v>
      </c>
      <c r="AA25" s="443"/>
      <c r="AB25" s="443"/>
      <c r="AC25" s="444"/>
      <c r="AD25" s="440"/>
      <c r="AE25" s="442" t="s">
        <v>152</v>
      </c>
      <c r="AF25" s="443"/>
      <c r="AG25" s="443"/>
      <c r="AH25" s="444"/>
      <c r="AI25" s="440"/>
      <c r="AJ25" s="442" t="s">
        <v>152</v>
      </c>
      <c r="AK25" s="443"/>
      <c r="AL25" s="443"/>
      <c r="AM25" s="444"/>
      <c r="AN25" s="440"/>
      <c r="AO25" s="442" t="s">
        <v>152</v>
      </c>
      <c r="AP25" s="443"/>
      <c r="AQ25" s="443"/>
      <c r="AR25" s="444"/>
      <c r="AS25" s="440"/>
      <c r="AT25" s="442" t="s">
        <v>152</v>
      </c>
      <c r="AU25" s="443"/>
      <c r="AV25" s="443"/>
      <c r="AW25" s="444"/>
      <c r="AX25" s="440"/>
    </row>
    <row r="26" spans="2:50">
      <c r="B26" s="440"/>
      <c r="C26" s="440"/>
      <c r="D26" s="440"/>
      <c r="E26" s="109" t="s">
        <v>149</v>
      </c>
      <c r="F26" s="109" t="s">
        <v>150</v>
      </c>
      <c r="G26" s="109" t="s">
        <v>153</v>
      </c>
      <c r="H26" s="447"/>
      <c r="I26" s="109" t="s">
        <v>149</v>
      </c>
      <c r="J26" s="109" t="s">
        <v>150</v>
      </c>
      <c r="K26" s="109" t="s">
        <v>153</v>
      </c>
      <c r="L26" s="447"/>
      <c r="M26" s="450"/>
      <c r="N26" s="440"/>
      <c r="O26" s="440"/>
      <c r="P26" s="109" t="s">
        <v>149</v>
      </c>
      <c r="Q26" s="109" t="s">
        <v>150</v>
      </c>
      <c r="R26" s="109" t="s">
        <v>153</v>
      </c>
      <c r="S26" s="109" t="s">
        <v>166</v>
      </c>
      <c r="T26" s="440"/>
      <c r="U26" s="109" t="s">
        <v>149</v>
      </c>
      <c r="V26" s="109" t="s">
        <v>150</v>
      </c>
      <c r="W26" s="109" t="s">
        <v>153</v>
      </c>
      <c r="X26" s="109" t="s">
        <v>166</v>
      </c>
      <c r="Y26" s="440"/>
      <c r="Z26" s="109" t="s">
        <v>149</v>
      </c>
      <c r="AA26" s="109" t="s">
        <v>150</v>
      </c>
      <c r="AB26" s="109" t="s">
        <v>153</v>
      </c>
      <c r="AC26" s="109" t="s">
        <v>166</v>
      </c>
      <c r="AD26" s="440"/>
      <c r="AE26" s="109" t="s">
        <v>149</v>
      </c>
      <c r="AF26" s="109" t="s">
        <v>150</v>
      </c>
      <c r="AG26" s="109" t="s">
        <v>153</v>
      </c>
      <c r="AH26" s="109" t="s">
        <v>166</v>
      </c>
      <c r="AI26" s="440"/>
      <c r="AJ26" s="109" t="s">
        <v>149</v>
      </c>
      <c r="AK26" s="109" t="s">
        <v>150</v>
      </c>
      <c r="AL26" s="109" t="s">
        <v>153</v>
      </c>
      <c r="AM26" s="109" t="s">
        <v>166</v>
      </c>
      <c r="AN26" s="440"/>
      <c r="AO26" s="109" t="s">
        <v>149</v>
      </c>
      <c r="AP26" s="109" t="s">
        <v>150</v>
      </c>
      <c r="AQ26" s="109" t="s">
        <v>153</v>
      </c>
      <c r="AR26" s="109" t="s">
        <v>166</v>
      </c>
      <c r="AS26" s="440"/>
      <c r="AT26" s="109" t="s">
        <v>149</v>
      </c>
      <c r="AU26" s="109" t="s">
        <v>150</v>
      </c>
      <c r="AV26" s="109" t="s">
        <v>153</v>
      </c>
      <c r="AW26" s="109" t="s">
        <v>166</v>
      </c>
      <c r="AX26" s="440"/>
    </row>
    <row r="27" spans="2:50">
      <c r="B27" s="440" t="s">
        <v>240</v>
      </c>
      <c r="C27" s="110">
        <v>1</v>
      </c>
      <c r="D27" s="110"/>
      <c r="E27" s="110"/>
      <c r="F27" s="110"/>
      <c r="G27" s="110"/>
      <c r="H27" s="451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54" t="e">
        <f>AVERAGE(K27:K41)</f>
        <v>#DIV/0!</v>
      </c>
      <c r="M27" s="175" t="e">
        <f>RANK(K27, K$27:$K$41)</f>
        <v>#DIV/0!</v>
      </c>
      <c r="N27" s="440"/>
      <c r="O27" s="440"/>
      <c r="P27" s="110"/>
      <c r="Q27" s="110"/>
      <c r="R27" s="110"/>
      <c r="S27" s="110"/>
      <c r="T27" s="441" t="e">
        <f>AVERAGE(R27:R41)</f>
        <v>#DIV/0!</v>
      </c>
      <c r="U27" s="110"/>
      <c r="V27" s="110"/>
      <c r="W27" s="110"/>
      <c r="X27" s="110"/>
      <c r="Y27" s="441" t="e">
        <f>AVERAGE(W27:W41)</f>
        <v>#DIV/0!</v>
      </c>
      <c r="Z27" s="110"/>
      <c r="AA27" s="110"/>
      <c r="AB27" s="110"/>
      <c r="AC27" s="110"/>
      <c r="AD27" s="441" t="e">
        <f>AVERAGE(AB27:AB41)</f>
        <v>#DIV/0!</v>
      </c>
      <c r="AE27" s="110"/>
      <c r="AF27" s="110"/>
      <c r="AG27" s="110"/>
      <c r="AH27" s="110"/>
      <c r="AI27" s="441" t="e">
        <f>AVERAGE(AG27:AG41)</f>
        <v>#DIV/0!</v>
      </c>
      <c r="AJ27" s="110"/>
      <c r="AK27" s="110"/>
      <c r="AL27" s="110"/>
      <c r="AM27" s="110"/>
      <c r="AN27" s="441" t="e">
        <f>AVERAGE(AL27:AL41)</f>
        <v>#DIV/0!</v>
      </c>
      <c r="AO27" s="110"/>
      <c r="AP27" s="110"/>
      <c r="AQ27" s="110"/>
      <c r="AR27" s="110"/>
      <c r="AS27" s="441" t="e">
        <f>AVERAGE(AQ27:AQ41)</f>
        <v>#DIV/0!</v>
      </c>
      <c r="AT27" s="110"/>
      <c r="AU27" s="110"/>
      <c r="AV27" s="110"/>
      <c r="AW27" s="110"/>
      <c r="AX27" s="441" t="e">
        <f>AVERAGE(AV27:AV41)</f>
        <v>#DIV/0!</v>
      </c>
    </row>
    <row r="28" spans="2:50">
      <c r="B28" s="441"/>
      <c r="C28" s="110">
        <v>2</v>
      </c>
      <c r="D28" s="110"/>
      <c r="E28" s="110"/>
      <c r="F28" s="110"/>
      <c r="G28" s="110"/>
      <c r="H28" s="452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55"/>
      <c r="M28" s="175" t="e">
        <f>RANK(K28, K$27:$K$41)</f>
        <v>#DIV/0!</v>
      </c>
      <c r="N28" s="440"/>
      <c r="O28" s="440"/>
      <c r="P28" s="110"/>
      <c r="Q28" s="110"/>
      <c r="R28" s="110"/>
      <c r="S28" s="110"/>
      <c r="T28" s="441"/>
      <c r="U28" s="110"/>
      <c r="V28" s="110"/>
      <c r="W28" s="110"/>
      <c r="X28" s="110"/>
      <c r="Y28" s="441"/>
      <c r="Z28" s="110"/>
      <c r="AA28" s="110"/>
      <c r="AB28" s="110"/>
      <c r="AC28" s="110"/>
      <c r="AD28" s="441"/>
      <c r="AE28" s="110"/>
      <c r="AF28" s="110"/>
      <c r="AG28" s="110"/>
      <c r="AH28" s="110"/>
      <c r="AI28" s="441"/>
      <c r="AJ28" s="110"/>
      <c r="AK28" s="110"/>
      <c r="AL28" s="110"/>
      <c r="AM28" s="110"/>
      <c r="AN28" s="441"/>
      <c r="AO28" s="110"/>
      <c r="AP28" s="110"/>
      <c r="AQ28" s="110"/>
      <c r="AR28" s="110"/>
      <c r="AS28" s="441"/>
      <c r="AT28" s="110"/>
      <c r="AU28" s="110"/>
      <c r="AV28" s="110"/>
      <c r="AW28" s="110"/>
      <c r="AX28" s="441"/>
    </row>
    <row r="29" spans="2:50">
      <c r="B29" s="441"/>
      <c r="C29" s="110">
        <v>3</v>
      </c>
      <c r="D29" s="110"/>
      <c r="E29" s="110"/>
      <c r="F29" s="110"/>
      <c r="G29" s="110"/>
      <c r="H29" s="452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55"/>
      <c r="M29" s="175" t="e">
        <f>RANK(K29, K$27:$K$41)</f>
        <v>#DIV/0!</v>
      </c>
      <c r="N29" s="440"/>
      <c r="O29" s="440"/>
      <c r="P29" s="110"/>
      <c r="Q29" s="110"/>
      <c r="R29" s="110"/>
      <c r="S29" s="110"/>
      <c r="T29" s="441"/>
      <c r="U29" s="110"/>
      <c r="V29" s="110"/>
      <c r="W29" s="110"/>
      <c r="X29" s="110"/>
      <c r="Y29" s="441"/>
      <c r="Z29" s="110"/>
      <c r="AA29" s="110"/>
      <c r="AB29" s="110"/>
      <c r="AC29" s="110"/>
      <c r="AD29" s="441"/>
      <c r="AE29" s="110"/>
      <c r="AF29" s="110"/>
      <c r="AG29" s="110"/>
      <c r="AH29" s="110"/>
      <c r="AI29" s="441"/>
      <c r="AJ29" s="110"/>
      <c r="AK29" s="110"/>
      <c r="AL29" s="110"/>
      <c r="AM29" s="110"/>
      <c r="AN29" s="441"/>
      <c r="AO29" s="110"/>
      <c r="AP29" s="110"/>
      <c r="AQ29" s="110"/>
      <c r="AR29" s="110"/>
      <c r="AS29" s="441"/>
      <c r="AT29" s="110"/>
      <c r="AU29" s="110"/>
      <c r="AV29" s="110"/>
      <c r="AW29" s="110"/>
      <c r="AX29" s="441"/>
    </row>
    <row r="30" spans="2:50">
      <c r="B30" s="441"/>
      <c r="C30" s="110">
        <v>4</v>
      </c>
      <c r="D30" s="110"/>
      <c r="E30" s="110"/>
      <c r="F30" s="110"/>
      <c r="G30" s="110"/>
      <c r="H30" s="452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55"/>
      <c r="M30" s="175" t="e">
        <f>RANK(K30, K$27:$K$41)</f>
        <v>#DIV/0!</v>
      </c>
      <c r="N30" s="440"/>
      <c r="O30" s="440"/>
      <c r="P30" s="110"/>
      <c r="Q30" s="110"/>
      <c r="R30" s="110"/>
      <c r="S30" s="110"/>
      <c r="T30" s="441"/>
      <c r="U30" s="110"/>
      <c r="V30" s="110"/>
      <c r="W30" s="110"/>
      <c r="X30" s="110"/>
      <c r="Y30" s="441"/>
      <c r="Z30" s="110"/>
      <c r="AA30" s="110"/>
      <c r="AB30" s="110"/>
      <c r="AC30" s="110"/>
      <c r="AD30" s="441"/>
      <c r="AE30" s="110"/>
      <c r="AF30" s="110"/>
      <c r="AG30" s="110"/>
      <c r="AH30" s="110"/>
      <c r="AI30" s="441"/>
      <c r="AJ30" s="110"/>
      <c r="AK30" s="110"/>
      <c r="AL30" s="110"/>
      <c r="AM30" s="110"/>
      <c r="AN30" s="441"/>
      <c r="AO30" s="110"/>
      <c r="AP30" s="110"/>
      <c r="AQ30" s="110"/>
      <c r="AR30" s="110"/>
      <c r="AS30" s="441"/>
      <c r="AT30" s="110"/>
      <c r="AU30" s="110"/>
      <c r="AV30" s="110"/>
      <c r="AW30" s="110"/>
      <c r="AX30" s="441"/>
    </row>
    <row r="31" spans="2:50">
      <c r="B31" s="441"/>
      <c r="C31" s="110">
        <v>5</v>
      </c>
      <c r="D31" s="110"/>
      <c r="E31" s="110"/>
      <c r="F31" s="110"/>
      <c r="G31" s="110"/>
      <c r="H31" s="452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55"/>
      <c r="M31" s="175" t="e">
        <f>RANK(K31, K$27:$K$41)</f>
        <v>#DIV/0!</v>
      </c>
      <c r="N31" s="440"/>
      <c r="O31" s="440"/>
      <c r="P31" s="110"/>
      <c r="Q31" s="110"/>
      <c r="R31" s="110"/>
      <c r="S31" s="110"/>
      <c r="T31" s="441"/>
      <c r="U31" s="110"/>
      <c r="V31" s="110"/>
      <c r="W31" s="110"/>
      <c r="X31" s="110"/>
      <c r="Y31" s="441"/>
      <c r="Z31" s="110"/>
      <c r="AA31" s="110"/>
      <c r="AB31" s="110"/>
      <c r="AC31" s="110"/>
      <c r="AD31" s="441"/>
      <c r="AE31" s="110"/>
      <c r="AF31" s="110"/>
      <c r="AG31" s="110"/>
      <c r="AH31" s="110"/>
      <c r="AI31" s="441"/>
      <c r="AJ31" s="110"/>
      <c r="AK31" s="110"/>
      <c r="AL31" s="110"/>
      <c r="AM31" s="110"/>
      <c r="AN31" s="441"/>
      <c r="AO31" s="110"/>
      <c r="AP31" s="110"/>
      <c r="AQ31" s="110"/>
      <c r="AR31" s="110"/>
      <c r="AS31" s="441"/>
      <c r="AT31" s="110"/>
      <c r="AU31" s="110"/>
      <c r="AV31" s="110"/>
      <c r="AW31" s="110"/>
      <c r="AX31" s="441"/>
    </row>
    <row r="32" spans="2:50">
      <c r="B32" s="441"/>
      <c r="C32" s="110">
        <v>6</v>
      </c>
      <c r="D32" s="110"/>
      <c r="E32" s="110"/>
      <c r="F32" s="110"/>
      <c r="G32" s="110"/>
      <c r="H32" s="452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55"/>
      <c r="M32" s="175" t="e">
        <f>RANK(K32, K$27:$K$41)</f>
        <v>#DIV/0!</v>
      </c>
      <c r="N32" s="440"/>
      <c r="O32" s="440"/>
      <c r="P32" s="110"/>
      <c r="Q32" s="110"/>
      <c r="R32" s="110"/>
      <c r="S32" s="110"/>
      <c r="T32" s="441"/>
      <c r="U32" s="110"/>
      <c r="V32" s="110"/>
      <c r="W32" s="110"/>
      <c r="X32" s="110"/>
      <c r="Y32" s="441"/>
      <c r="Z32" s="110"/>
      <c r="AA32" s="110"/>
      <c r="AB32" s="110"/>
      <c r="AC32" s="110"/>
      <c r="AD32" s="441"/>
      <c r="AE32" s="110"/>
      <c r="AF32" s="110"/>
      <c r="AG32" s="110"/>
      <c r="AH32" s="110"/>
      <c r="AI32" s="441"/>
      <c r="AJ32" s="110"/>
      <c r="AK32" s="110"/>
      <c r="AL32" s="110"/>
      <c r="AM32" s="110"/>
      <c r="AN32" s="441"/>
      <c r="AO32" s="110"/>
      <c r="AP32" s="110"/>
      <c r="AQ32" s="110"/>
      <c r="AR32" s="110"/>
      <c r="AS32" s="441"/>
      <c r="AT32" s="110"/>
      <c r="AU32" s="110"/>
      <c r="AV32" s="110"/>
      <c r="AW32" s="110"/>
      <c r="AX32" s="441"/>
    </row>
    <row r="33" spans="2:50">
      <c r="B33" s="441"/>
      <c r="C33" s="110">
        <v>7</v>
      </c>
      <c r="D33" s="110"/>
      <c r="E33" s="110"/>
      <c r="F33" s="110"/>
      <c r="G33" s="110"/>
      <c r="H33" s="452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55"/>
      <c r="M33" s="175" t="e">
        <f>RANK(K33, K$27:$K$41)</f>
        <v>#DIV/0!</v>
      </c>
      <c r="N33" s="440"/>
      <c r="O33" s="440"/>
      <c r="P33" s="110"/>
      <c r="Q33" s="110"/>
      <c r="R33" s="110"/>
      <c r="S33" s="110"/>
      <c r="T33" s="441"/>
      <c r="U33" s="110"/>
      <c r="V33" s="110"/>
      <c r="W33" s="110"/>
      <c r="X33" s="110"/>
      <c r="Y33" s="441"/>
      <c r="Z33" s="110"/>
      <c r="AA33" s="110"/>
      <c r="AB33" s="110"/>
      <c r="AC33" s="110"/>
      <c r="AD33" s="441"/>
      <c r="AE33" s="110"/>
      <c r="AF33" s="110"/>
      <c r="AG33" s="110"/>
      <c r="AH33" s="110"/>
      <c r="AI33" s="441"/>
      <c r="AJ33" s="110"/>
      <c r="AK33" s="110"/>
      <c r="AL33" s="110"/>
      <c r="AM33" s="110"/>
      <c r="AN33" s="441"/>
      <c r="AO33" s="110"/>
      <c r="AP33" s="110"/>
      <c r="AQ33" s="110"/>
      <c r="AR33" s="110"/>
      <c r="AS33" s="441"/>
      <c r="AT33" s="110"/>
      <c r="AU33" s="110"/>
      <c r="AV33" s="110"/>
      <c r="AW33" s="110"/>
      <c r="AX33" s="441"/>
    </row>
    <row r="34" spans="2:50">
      <c r="B34" s="441"/>
      <c r="C34" s="110">
        <v>8</v>
      </c>
      <c r="D34" s="110"/>
      <c r="E34" s="110"/>
      <c r="F34" s="110"/>
      <c r="G34" s="110"/>
      <c r="H34" s="452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55"/>
      <c r="M34" s="175" t="e">
        <f>RANK(K34, K$27:$K$41)</f>
        <v>#DIV/0!</v>
      </c>
      <c r="N34" s="440"/>
      <c r="O34" s="440"/>
      <c r="P34" s="110"/>
      <c r="Q34" s="110"/>
      <c r="R34" s="110"/>
      <c r="S34" s="110"/>
      <c r="T34" s="441"/>
      <c r="U34" s="110"/>
      <c r="V34" s="110"/>
      <c r="W34" s="110"/>
      <c r="X34" s="110"/>
      <c r="Y34" s="441"/>
      <c r="Z34" s="110"/>
      <c r="AA34" s="110"/>
      <c r="AB34" s="110"/>
      <c r="AC34" s="110"/>
      <c r="AD34" s="441"/>
      <c r="AE34" s="110"/>
      <c r="AF34" s="110"/>
      <c r="AG34" s="110"/>
      <c r="AH34" s="110"/>
      <c r="AI34" s="441"/>
      <c r="AJ34" s="110"/>
      <c r="AK34" s="110"/>
      <c r="AL34" s="110"/>
      <c r="AM34" s="110"/>
      <c r="AN34" s="441"/>
      <c r="AO34" s="110"/>
      <c r="AP34" s="110"/>
      <c r="AQ34" s="110"/>
      <c r="AR34" s="110"/>
      <c r="AS34" s="441"/>
      <c r="AT34" s="110"/>
      <c r="AU34" s="110"/>
      <c r="AV34" s="110"/>
      <c r="AW34" s="110"/>
      <c r="AX34" s="441"/>
    </row>
    <row r="35" spans="2:50">
      <c r="B35" s="441"/>
      <c r="C35" s="110">
        <v>9</v>
      </c>
      <c r="D35" s="110"/>
      <c r="E35" s="110"/>
      <c r="F35" s="110"/>
      <c r="G35" s="110"/>
      <c r="H35" s="452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55"/>
      <c r="M35" s="175" t="e">
        <f>RANK(K35, K$27:$K$41)</f>
        <v>#DIV/0!</v>
      </c>
      <c r="N35" s="440"/>
      <c r="O35" s="440"/>
      <c r="P35" s="110"/>
      <c r="Q35" s="110"/>
      <c r="R35" s="110"/>
      <c r="S35" s="110"/>
      <c r="T35" s="441"/>
      <c r="U35" s="110"/>
      <c r="V35" s="110"/>
      <c r="W35" s="110"/>
      <c r="X35" s="110"/>
      <c r="Y35" s="441"/>
      <c r="Z35" s="110"/>
      <c r="AA35" s="110"/>
      <c r="AB35" s="110"/>
      <c r="AC35" s="110"/>
      <c r="AD35" s="441"/>
      <c r="AE35" s="110"/>
      <c r="AF35" s="110"/>
      <c r="AG35" s="110"/>
      <c r="AH35" s="110"/>
      <c r="AI35" s="441"/>
      <c r="AJ35" s="110"/>
      <c r="AK35" s="110"/>
      <c r="AL35" s="110"/>
      <c r="AM35" s="110"/>
      <c r="AN35" s="441"/>
      <c r="AO35" s="110"/>
      <c r="AP35" s="110"/>
      <c r="AQ35" s="110"/>
      <c r="AR35" s="110"/>
      <c r="AS35" s="441"/>
      <c r="AT35" s="110"/>
      <c r="AU35" s="110"/>
      <c r="AV35" s="110"/>
      <c r="AW35" s="110"/>
      <c r="AX35" s="441"/>
    </row>
    <row r="36" spans="2:50">
      <c r="B36" s="441"/>
      <c r="C36" s="110">
        <v>10</v>
      </c>
      <c r="D36" s="110"/>
      <c r="E36" s="110"/>
      <c r="F36" s="110"/>
      <c r="G36" s="110"/>
      <c r="H36" s="452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55"/>
      <c r="M36" s="175" t="e">
        <f>RANK(K36, K$27:$K$41)</f>
        <v>#DIV/0!</v>
      </c>
      <c r="N36" s="440"/>
      <c r="O36" s="440"/>
      <c r="P36" s="110"/>
      <c r="Q36" s="110"/>
      <c r="R36" s="110"/>
      <c r="S36" s="110"/>
      <c r="T36" s="441"/>
      <c r="U36" s="110"/>
      <c r="V36" s="110"/>
      <c r="W36" s="110"/>
      <c r="X36" s="110"/>
      <c r="Y36" s="441"/>
      <c r="Z36" s="110"/>
      <c r="AA36" s="110"/>
      <c r="AB36" s="110"/>
      <c r="AC36" s="110"/>
      <c r="AD36" s="441"/>
      <c r="AE36" s="110"/>
      <c r="AF36" s="110"/>
      <c r="AG36" s="110"/>
      <c r="AH36" s="110"/>
      <c r="AI36" s="441"/>
      <c r="AJ36" s="110"/>
      <c r="AK36" s="110"/>
      <c r="AL36" s="110"/>
      <c r="AM36" s="110"/>
      <c r="AN36" s="441"/>
      <c r="AO36" s="110"/>
      <c r="AP36" s="110"/>
      <c r="AQ36" s="110"/>
      <c r="AR36" s="110"/>
      <c r="AS36" s="441"/>
      <c r="AT36" s="110"/>
      <c r="AU36" s="110"/>
      <c r="AV36" s="110"/>
      <c r="AW36" s="110"/>
      <c r="AX36" s="441"/>
    </row>
    <row r="37" spans="2:50">
      <c r="B37" s="441"/>
      <c r="C37" s="110">
        <v>11</v>
      </c>
      <c r="D37" s="110"/>
      <c r="E37" s="110"/>
      <c r="F37" s="110"/>
      <c r="G37" s="110"/>
      <c r="H37" s="452"/>
      <c r="I37" s="110"/>
      <c r="J37" s="110"/>
      <c r="K37" s="110"/>
      <c r="L37" s="455"/>
      <c r="M37" s="175" t="e">
        <f>RANK(K37, K$27:$K$41)</f>
        <v>#DIV/0!</v>
      </c>
      <c r="N37" s="440"/>
      <c r="O37" s="440"/>
      <c r="P37" s="110"/>
      <c r="Q37" s="110"/>
      <c r="R37" s="110"/>
      <c r="S37" s="110"/>
      <c r="T37" s="441"/>
      <c r="U37" s="110"/>
      <c r="V37" s="110"/>
      <c r="W37" s="110"/>
      <c r="X37" s="110"/>
      <c r="Y37" s="441"/>
      <c r="Z37" s="110"/>
      <c r="AA37" s="110"/>
      <c r="AB37" s="110"/>
      <c r="AC37" s="110"/>
      <c r="AD37" s="441"/>
      <c r="AE37" s="110"/>
      <c r="AF37" s="110"/>
      <c r="AG37" s="110"/>
      <c r="AH37" s="110"/>
      <c r="AI37" s="441"/>
      <c r="AJ37" s="110"/>
      <c r="AK37" s="110"/>
      <c r="AL37" s="110"/>
      <c r="AM37" s="110"/>
      <c r="AN37" s="441"/>
      <c r="AO37" s="110"/>
      <c r="AP37" s="110"/>
      <c r="AQ37" s="110"/>
      <c r="AR37" s="110"/>
      <c r="AS37" s="441"/>
      <c r="AT37" s="110"/>
      <c r="AU37" s="110"/>
      <c r="AV37" s="110"/>
      <c r="AW37" s="110"/>
      <c r="AX37" s="441"/>
    </row>
    <row r="38" spans="2:50">
      <c r="B38" s="441"/>
      <c r="C38" s="110">
        <v>12</v>
      </c>
      <c r="D38" s="110"/>
      <c r="E38" s="110"/>
      <c r="F38" s="110"/>
      <c r="G38" s="110"/>
      <c r="H38" s="452"/>
      <c r="I38" s="110"/>
      <c r="J38" s="110"/>
      <c r="K38" s="110"/>
      <c r="L38" s="455"/>
      <c r="M38" s="175" t="e">
        <f>RANK(K38, K$27:$K$41)</f>
        <v>#DIV/0!</v>
      </c>
      <c r="N38" s="440"/>
      <c r="O38" s="440"/>
      <c r="P38" s="110"/>
      <c r="Q38" s="110"/>
      <c r="R38" s="110"/>
      <c r="S38" s="110"/>
      <c r="T38" s="441"/>
      <c r="U38" s="110"/>
      <c r="V38" s="110"/>
      <c r="W38" s="110"/>
      <c r="X38" s="110"/>
      <c r="Y38" s="441"/>
      <c r="Z38" s="110"/>
      <c r="AA38" s="110"/>
      <c r="AB38" s="110"/>
      <c r="AC38" s="110"/>
      <c r="AD38" s="441"/>
      <c r="AE38" s="110"/>
      <c r="AF38" s="110"/>
      <c r="AG38" s="110"/>
      <c r="AH38" s="110"/>
      <c r="AI38" s="441"/>
      <c r="AJ38" s="110"/>
      <c r="AK38" s="110"/>
      <c r="AL38" s="110"/>
      <c r="AM38" s="110"/>
      <c r="AN38" s="441"/>
      <c r="AO38" s="110"/>
      <c r="AP38" s="110"/>
      <c r="AQ38" s="110"/>
      <c r="AR38" s="110"/>
      <c r="AS38" s="441"/>
      <c r="AT38" s="110"/>
      <c r="AU38" s="110"/>
      <c r="AV38" s="110"/>
      <c r="AW38" s="110"/>
      <c r="AX38" s="441"/>
    </row>
    <row r="39" spans="2:50">
      <c r="B39" s="441"/>
      <c r="C39" s="110">
        <v>13</v>
      </c>
      <c r="D39" s="110"/>
      <c r="E39" s="110"/>
      <c r="F39" s="110"/>
      <c r="G39" s="110"/>
      <c r="H39" s="452"/>
      <c r="I39" s="110"/>
      <c r="J39" s="110"/>
      <c r="K39" s="110"/>
      <c r="L39" s="455"/>
      <c r="M39" s="175" t="e">
        <f>RANK(K39, K$27:$K$41)</f>
        <v>#DIV/0!</v>
      </c>
      <c r="N39" s="440"/>
      <c r="O39" s="440"/>
      <c r="P39" s="110"/>
      <c r="Q39" s="110"/>
      <c r="R39" s="110"/>
      <c r="S39" s="110"/>
      <c r="T39" s="441"/>
      <c r="U39" s="110"/>
      <c r="V39" s="110"/>
      <c r="W39" s="110"/>
      <c r="X39" s="110"/>
      <c r="Y39" s="441"/>
      <c r="Z39" s="110"/>
      <c r="AA39" s="110"/>
      <c r="AB39" s="110"/>
      <c r="AC39" s="110"/>
      <c r="AD39" s="441"/>
      <c r="AE39" s="110"/>
      <c r="AF39" s="110"/>
      <c r="AG39" s="110"/>
      <c r="AH39" s="110"/>
      <c r="AI39" s="441"/>
      <c r="AJ39" s="110"/>
      <c r="AK39" s="110"/>
      <c r="AL39" s="110"/>
      <c r="AM39" s="110"/>
      <c r="AN39" s="441"/>
      <c r="AO39" s="110"/>
      <c r="AP39" s="110"/>
      <c r="AQ39" s="110"/>
      <c r="AR39" s="110"/>
      <c r="AS39" s="441"/>
      <c r="AT39" s="110"/>
      <c r="AU39" s="110"/>
      <c r="AV39" s="110"/>
      <c r="AW39" s="110"/>
      <c r="AX39" s="441"/>
    </row>
    <row r="40" spans="2:50">
      <c r="B40" s="441"/>
      <c r="C40" s="110">
        <v>14</v>
      </c>
      <c r="D40" s="110"/>
      <c r="E40" s="110"/>
      <c r="F40" s="110"/>
      <c r="G40" s="110"/>
      <c r="H40" s="452"/>
      <c r="I40" s="110"/>
      <c r="J40" s="110"/>
      <c r="K40" s="110"/>
      <c r="L40" s="455"/>
      <c r="M40" s="175" t="e">
        <f>RANK(K40, K$27:$K$41)</f>
        <v>#DIV/0!</v>
      </c>
      <c r="N40" s="440"/>
      <c r="O40" s="440"/>
      <c r="P40" s="110"/>
      <c r="Q40" s="110"/>
      <c r="R40" s="110"/>
      <c r="S40" s="110"/>
      <c r="T40" s="441"/>
      <c r="U40" s="110"/>
      <c r="V40" s="110"/>
      <c r="W40" s="110"/>
      <c r="X40" s="110"/>
      <c r="Y40" s="441"/>
      <c r="Z40" s="110"/>
      <c r="AA40" s="110"/>
      <c r="AB40" s="110"/>
      <c r="AC40" s="110"/>
      <c r="AD40" s="441"/>
      <c r="AE40" s="110"/>
      <c r="AF40" s="110"/>
      <c r="AG40" s="110"/>
      <c r="AH40" s="110"/>
      <c r="AI40" s="441"/>
      <c r="AJ40" s="110"/>
      <c r="AK40" s="110"/>
      <c r="AL40" s="110"/>
      <c r="AM40" s="110"/>
      <c r="AN40" s="441"/>
      <c r="AO40" s="110"/>
      <c r="AP40" s="110"/>
      <c r="AQ40" s="110"/>
      <c r="AR40" s="110"/>
      <c r="AS40" s="441"/>
      <c r="AT40" s="110"/>
      <c r="AU40" s="110"/>
      <c r="AV40" s="110"/>
      <c r="AW40" s="110"/>
      <c r="AX40" s="441"/>
    </row>
    <row r="41" spans="2:50">
      <c r="B41" s="441"/>
      <c r="C41" s="110">
        <v>15</v>
      </c>
      <c r="D41" s="110"/>
      <c r="E41" s="110"/>
      <c r="F41" s="110"/>
      <c r="G41" s="110"/>
      <c r="H41" s="453"/>
      <c r="I41" s="110"/>
      <c r="J41" s="110"/>
      <c r="K41" s="110"/>
      <c r="L41" s="456"/>
      <c r="M41" s="160" t="e">
        <f>RANK(K41, K$27:$K$41)</f>
        <v>#DIV/0!</v>
      </c>
      <c r="N41" s="440"/>
      <c r="O41" s="440"/>
      <c r="P41" s="110"/>
      <c r="Q41" s="110"/>
      <c r="R41" s="110"/>
      <c r="S41" s="110"/>
      <c r="T41" s="441"/>
      <c r="U41" s="110"/>
      <c r="V41" s="110"/>
      <c r="W41" s="110"/>
      <c r="X41" s="110"/>
      <c r="Y41" s="441"/>
      <c r="Z41" s="110"/>
      <c r="AA41" s="110"/>
      <c r="AB41" s="110"/>
      <c r="AC41" s="110"/>
      <c r="AD41" s="441"/>
      <c r="AE41" s="110"/>
      <c r="AF41" s="110"/>
      <c r="AG41" s="110"/>
      <c r="AH41" s="110"/>
      <c r="AI41" s="441"/>
      <c r="AJ41" s="110"/>
      <c r="AK41" s="110"/>
      <c r="AL41" s="110"/>
      <c r="AM41" s="110"/>
      <c r="AN41" s="441"/>
      <c r="AO41" s="110"/>
      <c r="AP41" s="110"/>
      <c r="AQ41" s="110"/>
      <c r="AR41" s="110"/>
      <c r="AS41" s="441"/>
      <c r="AT41" s="110"/>
      <c r="AU41" s="110"/>
      <c r="AV41" s="110"/>
      <c r="AW41" s="110"/>
      <c r="AX41" s="441"/>
    </row>
    <row r="42" spans="2:50" ht="15.75">
      <c r="B42" s="461" t="s">
        <v>165</v>
      </c>
      <c r="C42" s="462"/>
      <c r="D42" s="462"/>
      <c r="E42" s="462"/>
      <c r="F42" s="462"/>
      <c r="G42" s="462"/>
      <c r="H42" s="462"/>
      <c r="I42" s="177"/>
      <c r="J42" s="159"/>
      <c r="K42" s="177"/>
      <c r="L42" s="177"/>
      <c r="M42" s="155"/>
      <c r="N42" s="448" t="s">
        <v>157</v>
      </c>
      <c r="O42" s="448" t="s">
        <v>103</v>
      </c>
      <c r="P42" s="460">
        <v>45881</v>
      </c>
      <c r="Q42" s="441"/>
      <c r="R42" s="441"/>
      <c r="S42" s="441"/>
      <c r="T42" s="441"/>
      <c r="U42" s="460">
        <v>45882</v>
      </c>
      <c r="V42" s="441"/>
      <c r="W42" s="441"/>
      <c r="X42" s="441"/>
      <c r="Y42" s="441"/>
      <c r="Z42" s="460">
        <v>45883</v>
      </c>
      <c r="AA42" s="441"/>
      <c r="AB42" s="441"/>
      <c r="AC42" s="441"/>
      <c r="AD42" s="441"/>
      <c r="AE42" s="460">
        <v>45884</v>
      </c>
      <c r="AF42" s="441"/>
      <c r="AG42" s="441"/>
      <c r="AH42" s="441"/>
      <c r="AI42" s="441"/>
      <c r="AJ42" s="460">
        <v>45885</v>
      </c>
      <c r="AK42" s="441"/>
      <c r="AL42" s="441"/>
      <c r="AM42" s="441"/>
      <c r="AN42" s="441"/>
      <c r="AO42" s="460">
        <v>45886</v>
      </c>
      <c r="AP42" s="441"/>
      <c r="AQ42" s="441"/>
      <c r="AR42" s="441"/>
      <c r="AS42" s="441"/>
      <c r="AT42" s="460">
        <v>45887</v>
      </c>
      <c r="AU42" s="441"/>
      <c r="AV42" s="441"/>
      <c r="AW42" s="441"/>
      <c r="AX42" s="441"/>
    </row>
    <row r="43" spans="2:50" ht="15.75">
      <c r="B43" s="459"/>
      <c r="C43" s="459"/>
      <c r="D43" s="459"/>
      <c r="E43" s="459"/>
      <c r="F43" s="459"/>
      <c r="G43" s="459"/>
      <c r="H43" s="459"/>
      <c r="I43" s="156"/>
      <c r="J43" s="156"/>
      <c r="K43" s="156"/>
      <c r="L43" s="156"/>
      <c r="M43" s="157"/>
      <c r="N43" s="450"/>
      <c r="O43" s="450"/>
      <c r="P43" s="460" t="s">
        <v>159</v>
      </c>
      <c r="Q43" s="441"/>
      <c r="R43" s="441"/>
      <c r="S43" s="441"/>
      <c r="T43" s="441"/>
      <c r="U43" s="460" t="s">
        <v>160</v>
      </c>
      <c r="V43" s="441"/>
      <c r="W43" s="441"/>
      <c r="X43" s="441"/>
      <c r="Y43" s="441"/>
      <c r="Z43" s="460" t="s">
        <v>161</v>
      </c>
      <c r="AA43" s="441"/>
      <c r="AB43" s="441"/>
      <c r="AC43" s="441"/>
      <c r="AD43" s="441"/>
      <c r="AE43" s="460" t="s">
        <v>158</v>
      </c>
      <c r="AF43" s="441"/>
      <c r="AG43" s="441"/>
      <c r="AH43" s="441"/>
      <c r="AI43" s="441"/>
      <c r="AJ43" s="460" t="s">
        <v>162</v>
      </c>
      <c r="AK43" s="441"/>
      <c r="AL43" s="441"/>
      <c r="AM43" s="441"/>
      <c r="AN43" s="441"/>
      <c r="AO43" s="460" t="s">
        <v>163</v>
      </c>
      <c r="AP43" s="441"/>
      <c r="AQ43" s="441"/>
      <c r="AR43" s="441"/>
      <c r="AS43" s="441"/>
      <c r="AT43" s="460" t="s">
        <v>164</v>
      </c>
      <c r="AU43" s="441"/>
      <c r="AV43" s="441"/>
      <c r="AW43" s="441"/>
      <c r="AX43" s="441"/>
    </row>
    <row r="44" spans="2:50">
      <c r="B44" s="440" t="s">
        <v>154</v>
      </c>
      <c r="C44" s="440" t="s">
        <v>146</v>
      </c>
      <c r="D44" s="440"/>
      <c r="E44" s="440" t="s">
        <v>148</v>
      </c>
      <c r="F44" s="440"/>
      <c r="G44" s="440"/>
      <c r="H44" s="445" t="s">
        <v>155</v>
      </c>
      <c r="I44" s="440" t="s">
        <v>207</v>
      </c>
      <c r="J44" s="440"/>
      <c r="K44" s="440"/>
      <c r="L44" s="445" t="s">
        <v>155</v>
      </c>
      <c r="M44" s="448" t="s">
        <v>166</v>
      </c>
      <c r="N44" s="440"/>
      <c r="O44" s="440" t="s">
        <v>156</v>
      </c>
      <c r="P44" s="442" t="s">
        <v>151</v>
      </c>
      <c r="Q44" s="443"/>
      <c r="R44" s="443"/>
      <c r="S44" s="444"/>
      <c r="T44" s="440" t="s">
        <v>155</v>
      </c>
      <c r="U44" s="442" t="s">
        <v>151</v>
      </c>
      <c r="V44" s="443"/>
      <c r="W44" s="443"/>
      <c r="X44" s="444"/>
      <c r="Y44" s="440" t="s">
        <v>155</v>
      </c>
      <c r="Z44" s="442" t="s">
        <v>151</v>
      </c>
      <c r="AA44" s="443"/>
      <c r="AB44" s="443"/>
      <c r="AC44" s="444"/>
      <c r="AD44" s="440" t="s">
        <v>155</v>
      </c>
      <c r="AE44" s="442" t="s">
        <v>151</v>
      </c>
      <c r="AF44" s="443"/>
      <c r="AG44" s="443"/>
      <c r="AH44" s="444"/>
      <c r="AI44" s="440" t="s">
        <v>155</v>
      </c>
      <c r="AJ44" s="442" t="s">
        <v>151</v>
      </c>
      <c r="AK44" s="443"/>
      <c r="AL44" s="443"/>
      <c r="AM44" s="444"/>
      <c r="AN44" s="440" t="s">
        <v>155</v>
      </c>
      <c r="AO44" s="442" t="s">
        <v>151</v>
      </c>
      <c r="AP44" s="443"/>
      <c r="AQ44" s="443"/>
      <c r="AR44" s="444"/>
      <c r="AS44" s="440" t="s">
        <v>155</v>
      </c>
      <c r="AT44" s="442" t="s">
        <v>151</v>
      </c>
      <c r="AU44" s="443"/>
      <c r="AV44" s="443"/>
      <c r="AW44" s="444"/>
      <c r="AX44" s="440" t="s">
        <v>155</v>
      </c>
    </row>
    <row r="45" spans="2:50">
      <c r="B45" s="440"/>
      <c r="C45" s="440"/>
      <c r="D45" s="440"/>
      <c r="E45" s="440" t="s">
        <v>147</v>
      </c>
      <c r="F45" s="440"/>
      <c r="G45" s="440"/>
      <c r="H45" s="446"/>
      <c r="I45" s="440" t="s">
        <v>147</v>
      </c>
      <c r="J45" s="440"/>
      <c r="K45" s="440"/>
      <c r="L45" s="446"/>
      <c r="M45" s="449"/>
      <c r="N45" s="440"/>
      <c r="O45" s="440"/>
      <c r="P45" s="442" t="s">
        <v>152</v>
      </c>
      <c r="Q45" s="443"/>
      <c r="R45" s="443"/>
      <c r="S45" s="444"/>
      <c r="T45" s="440"/>
      <c r="U45" s="442" t="s">
        <v>152</v>
      </c>
      <c r="V45" s="443"/>
      <c r="W45" s="443"/>
      <c r="X45" s="444"/>
      <c r="Y45" s="440"/>
      <c r="Z45" s="442" t="s">
        <v>152</v>
      </c>
      <c r="AA45" s="443"/>
      <c r="AB45" s="443"/>
      <c r="AC45" s="444"/>
      <c r="AD45" s="440"/>
      <c r="AE45" s="442" t="s">
        <v>152</v>
      </c>
      <c r="AF45" s="443"/>
      <c r="AG45" s="443"/>
      <c r="AH45" s="444"/>
      <c r="AI45" s="440"/>
      <c r="AJ45" s="442" t="s">
        <v>152</v>
      </c>
      <c r="AK45" s="443"/>
      <c r="AL45" s="443"/>
      <c r="AM45" s="444"/>
      <c r="AN45" s="440"/>
      <c r="AO45" s="442" t="s">
        <v>152</v>
      </c>
      <c r="AP45" s="443"/>
      <c r="AQ45" s="443"/>
      <c r="AR45" s="444"/>
      <c r="AS45" s="440"/>
      <c r="AT45" s="442" t="s">
        <v>152</v>
      </c>
      <c r="AU45" s="443"/>
      <c r="AV45" s="443"/>
      <c r="AW45" s="444"/>
      <c r="AX45" s="440"/>
    </row>
    <row r="46" spans="2:50">
      <c r="B46" s="440"/>
      <c r="C46" s="440"/>
      <c r="D46" s="440"/>
      <c r="E46" s="109" t="s">
        <v>149</v>
      </c>
      <c r="F46" s="109" t="s">
        <v>150</v>
      </c>
      <c r="G46" s="109" t="s">
        <v>153</v>
      </c>
      <c r="H46" s="447"/>
      <c r="I46" s="109" t="s">
        <v>149</v>
      </c>
      <c r="J46" s="109" t="s">
        <v>150</v>
      </c>
      <c r="K46" s="109" t="s">
        <v>153</v>
      </c>
      <c r="L46" s="447"/>
      <c r="M46" s="450"/>
      <c r="N46" s="440"/>
      <c r="O46" s="440"/>
      <c r="P46" s="109" t="s">
        <v>149</v>
      </c>
      <c r="Q46" s="109" t="s">
        <v>150</v>
      </c>
      <c r="R46" s="109" t="s">
        <v>153</v>
      </c>
      <c r="S46" s="109" t="s">
        <v>166</v>
      </c>
      <c r="T46" s="440"/>
      <c r="U46" s="109" t="s">
        <v>149</v>
      </c>
      <c r="V46" s="109" t="s">
        <v>150</v>
      </c>
      <c r="W46" s="109" t="s">
        <v>153</v>
      </c>
      <c r="X46" s="109" t="s">
        <v>166</v>
      </c>
      <c r="Y46" s="440"/>
      <c r="Z46" s="109" t="s">
        <v>149</v>
      </c>
      <c r="AA46" s="109" t="s">
        <v>150</v>
      </c>
      <c r="AB46" s="109" t="s">
        <v>153</v>
      </c>
      <c r="AC46" s="109" t="s">
        <v>166</v>
      </c>
      <c r="AD46" s="440"/>
      <c r="AE46" s="109" t="s">
        <v>149</v>
      </c>
      <c r="AF46" s="109" t="s">
        <v>150</v>
      </c>
      <c r="AG46" s="109" t="s">
        <v>153</v>
      </c>
      <c r="AH46" s="109" t="s">
        <v>166</v>
      </c>
      <c r="AI46" s="440"/>
      <c r="AJ46" s="109" t="s">
        <v>149</v>
      </c>
      <c r="AK46" s="109" t="s">
        <v>150</v>
      </c>
      <c r="AL46" s="109" t="s">
        <v>153</v>
      </c>
      <c r="AM46" s="109" t="s">
        <v>166</v>
      </c>
      <c r="AN46" s="440"/>
      <c r="AO46" s="109" t="s">
        <v>149</v>
      </c>
      <c r="AP46" s="109" t="s">
        <v>150</v>
      </c>
      <c r="AQ46" s="109" t="s">
        <v>153</v>
      </c>
      <c r="AR46" s="109" t="s">
        <v>166</v>
      </c>
      <c r="AS46" s="440"/>
      <c r="AT46" s="109" t="s">
        <v>149</v>
      </c>
      <c r="AU46" s="109" t="s">
        <v>150</v>
      </c>
      <c r="AV46" s="109" t="s">
        <v>153</v>
      </c>
      <c r="AW46" s="109" t="s">
        <v>166</v>
      </c>
      <c r="AX46" s="440"/>
    </row>
    <row r="47" spans="2:50">
      <c r="B47" s="440" t="s">
        <v>240</v>
      </c>
      <c r="C47" s="110">
        <v>1</v>
      </c>
      <c r="D47" s="110"/>
      <c r="E47" s="110"/>
      <c r="F47" s="110"/>
      <c r="G47" s="110"/>
      <c r="H47" s="451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54" t="e">
        <f>AVERAGE(K47:K61)</f>
        <v>#DIV/0!</v>
      </c>
      <c r="M47" s="160" t="e">
        <f>RANK(K47, K$47:$K$61)</f>
        <v>#DIV/0!</v>
      </c>
      <c r="N47" s="440"/>
      <c r="O47" s="440"/>
      <c r="P47" s="110"/>
      <c r="Q47" s="110"/>
      <c r="R47" s="110"/>
      <c r="S47" s="110"/>
      <c r="T47" s="441" t="e">
        <f>AVERAGE(R47:R61)</f>
        <v>#DIV/0!</v>
      </c>
      <c r="U47" s="110"/>
      <c r="V47" s="110"/>
      <c r="W47" s="110"/>
      <c r="X47" s="110"/>
      <c r="Y47" s="441" t="e">
        <f>AVERAGE(W47:W61)</f>
        <v>#DIV/0!</v>
      </c>
      <c r="Z47" s="110"/>
      <c r="AA47" s="110"/>
      <c r="AB47" s="110"/>
      <c r="AC47" s="110"/>
      <c r="AD47" s="441" t="e">
        <f>AVERAGE(AB47:AB61)</f>
        <v>#DIV/0!</v>
      </c>
      <c r="AE47" s="110"/>
      <c r="AF47" s="110"/>
      <c r="AG47" s="110"/>
      <c r="AH47" s="110"/>
      <c r="AI47" s="441" t="e">
        <f>AVERAGE(AG47:AG61)</f>
        <v>#DIV/0!</v>
      </c>
      <c r="AJ47" s="110"/>
      <c r="AK47" s="110"/>
      <c r="AL47" s="110"/>
      <c r="AM47" s="110"/>
      <c r="AN47" s="441" t="e">
        <f>AVERAGE(AL47:AL61)</f>
        <v>#DIV/0!</v>
      </c>
      <c r="AO47" s="110"/>
      <c r="AP47" s="110"/>
      <c r="AQ47" s="110"/>
      <c r="AR47" s="110"/>
      <c r="AS47" s="441" t="e">
        <f>AVERAGE(AQ47:AQ61)</f>
        <v>#DIV/0!</v>
      </c>
      <c r="AT47" s="110"/>
      <c r="AU47" s="110"/>
      <c r="AV47" s="110"/>
      <c r="AW47" s="110"/>
      <c r="AX47" s="441" t="e">
        <f>AVERAGE(AV47:AV61)</f>
        <v>#DIV/0!</v>
      </c>
    </row>
    <row r="48" spans="2:50">
      <c r="B48" s="441"/>
      <c r="C48" s="110">
        <v>2</v>
      </c>
      <c r="D48" s="110"/>
      <c r="E48" s="110"/>
      <c r="F48" s="110"/>
      <c r="G48" s="110"/>
      <c r="H48" s="452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55"/>
      <c r="M48" s="160" t="e">
        <f>RANK(K48, K$47:$K$61)</f>
        <v>#DIV/0!</v>
      </c>
      <c r="N48" s="440"/>
      <c r="O48" s="440"/>
      <c r="P48" s="110"/>
      <c r="Q48" s="110"/>
      <c r="R48" s="110"/>
      <c r="S48" s="110"/>
      <c r="T48" s="441"/>
      <c r="U48" s="110"/>
      <c r="V48" s="110"/>
      <c r="W48" s="110"/>
      <c r="X48" s="110"/>
      <c r="Y48" s="441"/>
      <c r="Z48" s="110"/>
      <c r="AA48" s="110"/>
      <c r="AB48" s="110"/>
      <c r="AC48" s="110"/>
      <c r="AD48" s="441"/>
      <c r="AE48" s="110"/>
      <c r="AF48" s="110"/>
      <c r="AG48" s="110"/>
      <c r="AH48" s="110"/>
      <c r="AI48" s="441"/>
      <c r="AJ48" s="110"/>
      <c r="AK48" s="110"/>
      <c r="AL48" s="110"/>
      <c r="AM48" s="110"/>
      <c r="AN48" s="441"/>
      <c r="AO48" s="110"/>
      <c r="AP48" s="110"/>
      <c r="AQ48" s="110"/>
      <c r="AR48" s="110"/>
      <c r="AS48" s="441"/>
      <c r="AT48" s="110"/>
      <c r="AU48" s="110"/>
      <c r="AV48" s="110"/>
      <c r="AW48" s="110"/>
      <c r="AX48" s="441"/>
    </row>
    <row r="49" spans="2:50">
      <c r="B49" s="441"/>
      <c r="C49" s="110">
        <v>3</v>
      </c>
      <c r="D49" s="110"/>
      <c r="E49" s="110"/>
      <c r="F49" s="110"/>
      <c r="G49" s="110"/>
      <c r="H49" s="452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55"/>
      <c r="M49" s="160" t="e">
        <f>RANK(K49, K$47:$K$61)</f>
        <v>#DIV/0!</v>
      </c>
      <c r="N49" s="440"/>
      <c r="O49" s="440"/>
      <c r="P49" s="110"/>
      <c r="Q49" s="110"/>
      <c r="R49" s="110"/>
      <c r="S49" s="110"/>
      <c r="T49" s="441"/>
      <c r="U49" s="110"/>
      <c r="V49" s="110"/>
      <c r="W49" s="110"/>
      <c r="X49" s="110"/>
      <c r="Y49" s="441"/>
      <c r="Z49" s="110"/>
      <c r="AA49" s="110"/>
      <c r="AB49" s="110"/>
      <c r="AC49" s="110"/>
      <c r="AD49" s="441"/>
      <c r="AE49" s="110"/>
      <c r="AF49" s="110"/>
      <c r="AG49" s="110"/>
      <c r="AH49" s="110"/>
      <c r="AI49" s="441"/>
      <c r="AJ49" s="110"/>
      <c r="AK49" s="110"/>
      <c r="AL49" s="110"/>
      <c r="AM49" s="110"/>
      <c r="AN49" s="441"/>
      <c r="AO49" s="110"/>
      <c r="AP49" s="110"/>
      <c r="AQ49" s="110"/>
      <c r="AR49" s="110"/>
      <c r="AS49" s="441"/>
      <c r="AT49" s="110"/>
      <c r="AU49" s="110"/>
      <c r="AV49" s="110"/>
      <c r="AW49" s="110"/>
      <c r="AX49" s="441"/>
    </row>
    <row r="50" spans="2:50">
      <c r="B50" s="441"/>
      <c r="C50" s="110">
        <v>4</v>
      </c>
      <c r="D50" s="110"/>
      <c r="E50" s="110"/>
      <c r="F50" s="110"/>
      <c r="G50" s="110"/>
      <c r="H50" s="452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55"/>
      <c r="M50" s="160" t="e">
        <f>RANK(K50, K$47:$K$61)</f>
        <v>#DIV/0!</v>
      </c>
      <c r="N50" s="440"/>
      <c r="O50" s="440"/>
      <c r="P50" s="110"/>
      <c r="Q50" s="110"/>
      <c r="R50" s="110"/>
      <c r="S50" s="110"/>
      <c r="T50" s="441"/>
      <c r="U50" s="110"/>
      <c r="V50" s="110"/>
      <c r="W50" s="110"/>
      <c r="X50" s="110"/>
      <c r="Y50" s="441"/>
      <c r="Z50" s="110"/>
      <c r="AA50" s="110"/>
      <c r="AB50" s="110"/>
      <c r="AC50" s="110"/>
      <c r="AD50" s="441"/>
      <c r="AE50" s="110"/>
      <c r="AF50" s="110"/>
      <c r="AG50" s="110"/>
      <c r="AH50" s="110"/>
      <c r="AI50" s="441"/>
      <c r="AJ50" s="110"/>
      <c r="AK50" s="110"/>
      <c r="AL50" s="110"/>
      <c r="AM50" s="110"/>
      <c r="AN50" s="441"/>
      <c r="AO50" s="110"/>
      <c r="AP50" s="110"/>
      <c r="AQ50" s="110"/>
      <c r="AR50" s="110"/>
      <c r="AS50" s="441"/>
      <c r="AT50" s="110"/>
      <c r="AU50" s="110"/>
      <c r="AV50" s="110"/>
      <c r="AW50" s="110"/>
      <c r="AX50" s="441"/>
    </row>
    <row r="51" spans="2:50">
      <c r="B51" s="441"/>
      <c r="C51" s="110">
        <v>5</v>
      </c>
      <c r="D51" s="110"/>
      <c r="E51" s="110"/>
      <c r="F51" s="110"/>
      <c r="G51" s="110"/>
      <c r="H51" s="452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55"/>
      <c r="M51" s="160" t="e">
        <f>RANK(K51, K$47:$K$61)</f>
        <v>#DIV/0!</v>
      </c>
      <c r="N51" s="440"/>
      <c r="O51" s="440"/>
      <c r="P51" s="110"/>
      <c r="Q51" s="110"/>
      <c r="R51" s="110"/>
      <c r="S51" s="110"/>
      <c r="T51" s="441"/>
      <c r="U51" s="110"/>
      <c r="V51" s="110"/>
      <c r="W51" s="110"/>
      <c r="X51" s="110"/>
      <c r="Y51" s="441"/>
      <c r="Z51" s="110"/>
      <c r="AA51" s="110"/>
      <c r="AB51" s="110"/>
      <c r="AC51" s="110"/>
      <c r="AD51" s="441"/>
      <c r="AE51" s="110"/>
      <c r="AF51" s="110"/>
      <c r="AG51" s="110"/>
      <c r="AH51" s="110"/>
      <c r="AI51" s="441"/>
      <c r="AJ51" s="110"/>
      <c r="AK51" s="110"/>
      <c r="AL51" s="110"/>
      <c r="AM51" s="110"/>
      <c r="AN51" s="441"/>
      <c r="AO51" s="110"/>
      <c r="AP51" s="110"/>
      <c r="AQ51" s="110"/>
      <c r="AR51" s="110"/>
      <c r="AS51" s="441"/>
      <c r="AT51" s="110"/>
      <c r="AU51" s="110"/>
      <c r="AV51" s="110"/>
      <c r="AW51" s="110"/>
      <c r="AX51" s="441"/>
    </row>
    <row r="52" spans="2:50">
      <c r="B52" s="441"/>
      <c r="C52" s="110">
        <v>6</v>
      </c>
      <c r="D52" s="110"/>
      <c r="E52" s="110"/>
      <c r="F52" s="110"/>
      <c r="G52" s="110"/>
      <c r="H52" s="452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55"/>
      <c r="M52" s="160" t="e">
        <f>RANK(K52, K$47:$K$61)</f>
        <v>#DIV/0!</v>
      </c>
      <c r="N52" s="440"/>
      <c r="O52" s="440"/>
      <c r="P52" s="110"/>
      <c r="Q52" s="110"/>
      <c r="R52" s="110"/>
      <c r="S52" s="110"/>
      <c r="T52" s="441"/>
      <c r="U52" s="110"/>
      <c r="V52" s="110"/>
      <c r="W52" s="110"/>
      <c r="X52" s="110"/>
      <c r="Y52" s="441"/>
      <c r="Z52" s="110"/>
      <c r="AA52" s="110"/>
      <c r="AB52" s="110"/>
      <c r="AC52" s="110"/>
      <c r="AD52" s="441"/>
      <c r="AE52" s="110"/>
      <c r="AF52" s="110"/>
      <c r="AG52" s="110"/>
      <c r="AH52" s="110"/>
      <c r="AI52" s="441"/>
      <c r="AJ52" s="110"/>
      <c r="AK52" s="110"/>
      <c r="AL52" s="110"/>
      <c r="AM52" s="110"/>
      <c r="AN52" s="441"/>
      <c r="AO52" s="110"/>
      <c r="AP52" s="110"/>
      <c r="AQ52" s="110"/>
      <c r="AR52" s="110"/>
      <c r="AS52" s="441"/>
      <c r="AT52" s="110"/>
      <c r="AU52" s="110"/>
      <c r="AV52" s="110"/>
      <c r="AW52" s="110"/>
      <c r="AX52" s="441"/>
    </row>
    <row r="53" spans="2:50">
      <c r="B53" s="441"/>
      <c r="C53" s="110">
        <v>7</v>
      </c>
      <c r="D53" s="110"/>
      <c r="E53" s="110"/>
      <c r="F53" s="110"/>
      <c r="G53" s="110"/>
      <c r="H53" s="452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55"/>
      <c r="M53" s="160" t="e">
        <f>RANK(K53, K$47:$K$61)</f>
        <v>#DIV/0!</v>
      </c>
      <c r="N53" s="440"/>
      <c r="O53" s="440"/>
      <c r="P53" s="110"/>
      <c r="Q53" s="110"/>
      <c r="R53" s="110"/>
      <c r="S53" s="110"/>
      <c r="T53" s="441"/>
      <c r="U53" s="110"/>
      <c r="V53" s="110"/>
      <c r="W53" s="110"/>
      <c r="X53" s="110"/>
      <c r="Y53" s="441"/>
      <c r="Z53" s="110"/>
      <c r="AA53" s="110"/>
      <c r="AB53" s="110"/>
      <c r="AC53" s="110"/>
      <c r="AD53" s="441"/>
      <c r="AE53" s="110"/>
      <c r="AF53" s="110"/>
      <c r="AG53" s="110"/>
      <c r="AH53" s="110"/>
      <c r="AI53" s="441"/>
      <c r="AJ53" s="110"/>
      <c r="AK53" s="110"/>
      <c r="AL53" s="110"/>
      <c r="AM53" s="110"/>
      <c r="AN53" s="441"/>
      <c r="AO53" s="110"/>
      <c r="AP53" s="110"/>
      <c r="AQ53" s="110"/>
      <c r="AR53" s="110"/>
      <c r="AS53" s="441"/>
      <c r="AT53" s="110"/>
      <c r="AU53" s="110"/>
      <c r="AV53" s="110"/>
      <c r="AW53" s="110"/>
      <c r="AX53" s="441"/>
    </row>
    <row r="54" spans="2:50">
      <c r="B54" s="441"/>
      <c r="C54" s="110">
        <v>8</v>
      </c>
      <c r="D54" s="110"/>
      <c r="E54" s="110"/>
      <c r="F54" s="110"/>
      <c r="G54" s="110"/>
      <c r="H54" s="452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55"/>
      <c r="M54" s="160" t="e">
        <f>RANK(K54, K$47:$K$61)</f>
        <v>#DIV/0!</v>
      </c>
      <c r="N54" s="440"/>
      <c r="O54" s="440"/>
      <c r="P54" s="110"/>
      <c r="Q54" s="110"/>
      <c r="R54" s="110"/>
      <c r="S54" s="110"/>
      <c r="T54" s="441"/>
      <c r="U54" s="110"/>
      <c r="V54" s="110"/>
      <c r="W54" s="110"/>
      <c r="X54" s="110"/>
      <c r="Y54" s="441"/>
      <c r="Z54" s="110"/>
      <c r="AA54" s="110"/>
      <c r="AB54" s="110"/>
      <c r="AC54" s="110"/>
      <c r="AD54" s="441"/>
      <c r="AE54" s="110"/>
      <c r="AF54" s="110"/>
      <c r="AG54" s="110"/>
      <c r="AH54" s="110"/>
      <c r="AI54" s="441"/>
      <c r="AJ54" s="110"/>
      <c r="AK54" s="110"/>
      <c r="AL54" s="110"/>
      <c r="AM54" s="110"/>
      <c r="AN54" s="441"/>
      <c r="AO54" s="110"/>
      <c r="AP54" s="110"/>
      <c r="AQ54" s="110"/>
      <c r="AR54" s="110"/>
      <c r="AS54" s="441"/>
      <c r="AT54" s="110"/>
      <c r="AU54" s="110"/>
      <c r="AV54" s="110"/>
      <c r="AW54" s="110"/>
      <c r="AX54" s="441"/>
    </row>
    <row r="55" spans="2:50">
      <c r="B55" s="441"/>
      <c r="C55" s="110">
        <v>9</v>
      </c>
      <c r="D55" s="110"/>
      <c r="E55" s="110"/>
      <c r="F55" s="110"/>
      <c r="G55" s="110"/>
      <c r="H55" s="452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55"/>
      <c r="M55" s="160" t="e">
        <f>RANK(K55, K$47:$K$61)</f>
        <v>#DIV/0!</v>
      </c>
      <c r="N55" s="440"/>
      <c r="O55" s="440"/>
      <c r="P55" s="110"/>
      <c r="Q55" s="110"/>
      <c r="R55" s="110"/>
      <c r="S55" s="110"/>
      <c r="T55" s="441"/>
      <c r="U55" s="110"/>
      <c r="V55" s="110"/>
      <c r="W55" s="110"/>
      <c r="X55" s="110"/>
      <c r="Y55" s="441"/>
      <c r="Z55" s="110"/>
      <c r="AA55" s="110"/>
      <c r="AB55" s="110"/>
      <c r="AC55" s="110"/>
      <c r="AD55" s="441"/>
      <c r="AE55" s="110"/>
      <c r="AF55" s="110"/>
      <c r="AG55" s="110"/>
      <c r="AH55" s="110"/>
      <c r="AI55" s="441"/>
      <c r="AJ55" s="110"/>
      <c r="AK55" s="110"/>
      <c r="AL55" s="110"/>
      <c r="AM55" s="110"/>
      <c r="AN55" s="441"/>
      <c r="AO55" s="110"/>
      <c r="AP55" s="110"/>
      <c r="AQ55" s="110"/>
      <c r="AR55" s="110"/>
      <c r="AS55" s="441"/>
      <c r="AT55" s="110"/>
      <c r="AU55" s="110"/>
      <c r="AV55" s="110"/>
      <c r="AW55" s="110"/>
      <c r="AX55" s="441"/>
    </row>
    <row r="56" spans="2:50">
      <c r="B56" s="441"/>
      <c r="C56" s="110">
        <v>10</v>
      </c>
      <c r="D56" s="110"/>
      <c r="E56" s="110"/>
      <c r="F56" s="110"/>
      <c r="G56" s="110"/>
      <c r="H56" s="452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55"/>
      <c r="M56" s="160" t="e">
        <f>RANK(K56, K$47:$K$61)</f>
        <v>#DIV/0!</v>
      </c>
      <c r="N56" s="440"/>
      <c r="O56" s="440"/>
      <c r="P56" s="110"/>
      <c r="Q56" s="110"/>
      <c r="R56" s="110"/>
      <c r="S56" s="110"/>
      <c r="T56" s="441"/>
      <c r="U56" s="110"/>
      <c r="V56" s="110"/>
      <c r="W56" s="110"/>
      <c r="X56" s="110"/>
      <c r="Y56" s="441"/>
      <c r="Z56" s="110"/>
      <c r="AA56" s="110"/>
      <c r="AB56" s="110"/>
      <c r="AC56" s="110"/>
      <c r="AD56" s="441"/>
      <c r="AE56" s="110"/>
      <c r="AF56" s="110"/>
      <c r="AG56" s="110"/>
      <c r="AH56" s="110"/>
      <c r="AI56" s="441"/>
      <c r="AJ56" s="110"/>
      <c r="AK56" s="110"/>
      <c r="AL56" s="110"/>
      <c r="AM56" s="110"/>
      <c r="AN56" s="441"/>
      <c r="AO56" s="110"/>
      <c r="AP56" s="110"/>
      <c r="AQ56" s="110"/>
      <c r="AR56" s="110"/>
      <c r="AS56" s="441"/>
      <c r="AT56" s="110"/>
      <c r="AU56" s="110"/>
      <c r="AV56" s="110"/>
      <c r="AW56" s="110"/>
      <c r="AX56" s="441"/>
    </row>
    <row r="57" spans="2:50">
      <c r="B57" s="441"/>
      <c r="C57" s="110">
        <v>11</v>
      </c>
      <c r="D57" s="110"/>
      <c r="E57" s="110"/>
      <c r="F57" s="110"/>
      <c r="G57" s="110"/>
      <c r="H57" s="452"/>
      <c r="I57" s="110"/>
      <c r="J57" s="110"/>
      <c r="K57" s="110"/>
      <c r="L57" s="455"/>
      <c r="M57" s="160" t="e">
        <f>RANK(K57, K$47:$K$61)</f>
        <v>#DIV/0!</v>
      </c>
      <c r="N57" s="440"/>
      <c r="O57" s="440"/>
      <c r="P57" s="110"/>
      <c r="Q57" s="110"/>
      <c r="R57" s="110"/>
      <c r="S57" s="110"/>
      <c r="T57" s="441"/>
      <c r="U57" s="110"/>
      <c r="V57" s="110"/>
      <c r="W57" s="110"/>
      <c r="X57" s="110"/>
      <c r="Y57" s="441"/>
      <c r="Z57" s="110"/>
      <c r="AA57" s="110"/>
      <c r="AB57" s="110"/>
      <c r="AC57" s="110"/>
      <c r="AD57" s="441"/>
      <c r="AE57" s="110"/>
      <c r="AF57" s="110"/>
      <c r="AG57" s="110"/>
      <c r="AH57" s="110"/>
      <c r="AI57" s="441"/>
      <c r="AJ57" s="110"/>
      <c r="AK57" s="110"/>
      <c r="AL57" s="110"/>
      <c r="AM57" s="110"/>
      <c r="AN57" s="441"/>
      <c r="AO57" s="110"/>
      <c r="AP57" s="110"/>
      <c r="AQ57" s="110"/>
      <c r="AR57" s="110"/>
      <c r="AS57" s="441"/>
      <c r="AT57" s="110"/>
      <c r="AU57" s="110"/>
      <c r="AV57" s="110"/>
      <c r="AW57" s="110"/>
      <c r="AX57" s="441"/>
    </row>
    <row r="58" spans="2:50">
      <c r="B58" s="441"/>
      <c r="C58" s="110">
        <v>12</v>
      </c>
      <c r="D58" s="110"/>
      <c r="E58" s="110"/>
      <c r="F58" s="110"/>
      <c r="G58" s="110"/>
      <c r="H58" s="452"/>
      <c r="I58" s="110"/>
      <c r="J58" s="110"/>
      <c r="K58" s="110"/>
      <c r="L58" s="455"/>
      <c r="M58" s="160" t="e">
        <f>RANK(K58, K$47:$K$61)</f>
        <v>#DIV/0!</v>
      </c>
      <c r="N58" s="440"/>
      <c r="O58" s="440"/>
      <c r="P58" s="110"/>
      <c r="Q58" s="110"/>
      <c r="R58" s="110"/>
      <c r="S58" s="110"/>
      <c r="T58" s="441"/>
      <c r="U58" s="110"/>
      <c r="V58" s="110"/>
      <c r="W58" s="110"/>
      <c r="X58" s="110"/>
      <c r="Y58" s="441"/>
      <c r="Z58" s="110"/>
      <c r="AA58" s="110"/>
      <c r="AB58" s="110"/>
      <c r="AC58" s="110"/>
      <c r="AD58" s="441"/>
      <c r="AE58" s="110"/>
      <c r="AF58" s="110"/>
      <c r="AG58" s="110"/>
      <c r="AH58" s="110"/>
      <c r="AI58" s="441"/>
      <c r="AJ58" s="110"/>
      <c r="AK58" s="110"/>
      <c r="AL58" s="110"/>
      <c r="AM58" s="110"/>
      <c r="AN58" s="441"/>
      <c r="AO58" s="110"/>
      <c r="AP58" s="110"/>
      <c r="AQ58" s="110"/>
      <c r="AR58" s="110"/>
      <c r="AS58" s="441"/>
      <c r="AT58" s="110"/>
      <c r="AU58" s="110"/>
      <c r="AV58" s="110"/>
      <c r="AW58" s="110"/>
      <c r="AX58" s="441"/>
    </row>
    <row r="59" spans="2:50">
      <c r="B59" s="441"/>
      <c r="C59" s="110">
        <v>13</v>
      </c>
      <c r="D59" s="110"/>
      <c r="E59" s="110"/>
      <c r="F59" s="110"/>
      <c r="G59" s="110"/>
      <c r="H59" s="452"/>
      <c r="I59" s="110"/>
      <c r="J59" s="110"/>
      <c r="K59" s="110"/>
      <c r="L59" s="455"/>
      <c r="M59" s="160" t="e">
        <f>RANK(K59, K$47:$K$61)</f>
        <v>#DIV/0!</v>
      </c>
      <c r="N59" s="440"/>
      <c r="O59" s="440"/>
      <c r="P59" s="110"/>
      <c r="Q59" s="110"/>
      <c r="R59" s="110"/>
      <c r="S59" s="110"/>
      <c r="T59" s="441"/>
      <c r="U59" s="110"/>
      <c r="V59" s="110"/>
      <c r="W59" s="110"/>
      <c r="X59" s="110"/>
      <c r="Y59" s="441"/>
      <c r="Z59" s="110"/>
      <c r="AA59" s="110"/>
      <c r="AB59" s="110"/>
      <c r="AC59" s="110"/>
      <c r="AD59" s="441"/>
      <c r="AE59" s="110"/>
      <c r="AF59" s="110"/>
      <c r="AG59" s="110"/>
      <c r="AH59" s="110"/>
      <c r="AI59" s="441"/>
      <c r="AJ59" s="110"/>
      <c r="AK59" s="110"/>
      <c r="AL59" s="110"/>
      <c r="AM59" s="110"/>
      <c r="AN59" s="441"/>
      <c r="AO59" s="110"/>
      <c r="AP59" s="110"/>
      <c r="AQ59" s="110"/>
      <c r="AR59" s="110"/>
      <c r="AS59" s="441"/>
      <c r="AT59" s="110"/>
      <c r="AU59" s="110"/>
      <c r="AV59" s="110"/>
      <c r="AW59" s="110"/>
      <c r="AX59" s="441"/>
    </row>
    <row r="60" spans="2:50">
      <c r="B60" s="441"/>
      <c r="C60" s="110">
        <v>14</v>
      </c>
      <c r="D60" s="110"/>
      <c r="E60" s="110"/>
      <c r="F60" s="110"/>
      <c r="G60" s="110"/>
      <c r="H60" s="452"/>
      <c r="I60" s="110"/>
      <c r="J60" s="110"/>
      <c r="K60" s="110"/>
      <c r="L60" s="455"/>
      <c r="M60" s="160" t="e">
        <f>RANK(K60, K$47:$K$61)</f>
        <v>#DIV/0!</v>
      </c>
      <c r="N60" s="440"/>
      <c r="O60" s="440"/>
      <c r="P60" s="110"/>
      <c r="Q60" s="110"/>
      <c r="R60" s="110"/>
      <c r="S60" s="110"/>
      <c r="T60" s="441"/>
      <c r="U60" s="110"/>
      <c r="V60" s="110"/>
      <c r="W60" s="110"/>
      <c r="X60" s="110"/>
      <c r="Y60" s="441"/>
      <c r="Z60" s="110"/>
      <c r="AA60" s="110"/>
      <c r="AB60" s="110"/>
      <c r="AC60" s="110"/>
      <c r="AD60" s="441"/>
      <c r="AE60" s="110"/>
      <c r="AF60" s="110"/>
      <c r="AG60" s="110"/>
      <c r="AH60" s="110"/>
      <c r="AI60" s="441"/>
      <c r="AJ60" s="110"/>
      <c r="AK60" s="110"/>
      <c r="AL60" s="110"/>
      <c r="AM60" s="110"/>
      <c r="AN60" s="441"/>
      <c r="AO60" s="110"/>
      <c r="AP60" s="110"/>
      <c r="AQ60" s="110"/>
      <c r="AR60" s="110"/>
      <c r="AS60" s="441"/>
      <c r="AT60" s="110"/>
      <c r="AU60" s="110"/>
      <c r="AV60" s="110"/>
      <c r="AW60" s="110"/>
      <c r="AX60" s="441"/>
    </row>
    <row r="61" spans="2:50">
      <c r="B61" s="441"/>
      <c r="C61" s="110">
        <v>15</v>
      </c>
      <c r="D61" s="110"/>
      <c r="E61" s="110"/>
      <c r="F61" s="110"/>
      <c r="G61" s="110"/>
      <c r="H61" s="453"/>
      <c r="I61" s="110"/>
      <c r="J61" s="110"/>
      <c r="K61" s="110"/>
      <c r="L61" s="456"/>
      <c r="M61" s="160" t="e">
        <f>RANK(K61, K$47:$K$61)</f>
        <v>#DIV/0!</v>
      </c>
      <c r="N61" s="440"/>
      <c r="O61" s="440"/>
      <c r="P61" s="110"/>
      <c r="Q61" s="110"/>
      <c r="R61" s="110"/>
      <c r="S61" s="110"/>
      <c r="T61" s="441"/>
      <c r="U61" s="110"/>
      <c r="V61" s="110"/>
      <c r="W61" s="110"/>
      <c r="X61" s="110"/>
      <c r="Y61" s="441"/>
      <c r="Z61" s="110"/>
      <c r="AA61" s="110"/>
      <c r="AB61" s="110"/>
      <c r="AC61" s="110"/>
      <c r="AD61" s="441"/>
      <c r="AE61" s="110"/>
      <c r="AF61" s="110"/>
      <c r="AG61" s="110"/>
      <c r="AH61" s="110"/>
      <c r="AI61" s="441"/>
      <c r="AJ61" s="110"/>
      <c r="AK61" s="110"/>
      <c r="AL61" s="110"/>
      <c r="AM61" s="110"/>
      <c r="AN61" s="441"/>
      <c r="AO61" s="110"/>
      <c r="AP61" s="110"/>
      <c r="AQ61" s="110"/>
      <c r="AR61" s="110"/>
      <c r="AS61" s="441"/>
      <c r="AT61" s="110"/>
      <c r="AU61" s="110"/>
      <c r="AV61" s="110"/>
      <c r="AW61" s="110"/>
      <c r="AX61" s="441"/>
    </row>
    <row r="62" spans="2:50" ht="15.75">
      <c r="B62" s="457" t="s">
        <v>165</v>
      </c>
      <c r="C62" s="458"/>
      <c r="D62" s="458"/>
      <c r="E62" s="458"/>
      <c r="F62" s="458"/>
      <c r="G62" s="458"/>
      <c r="H62" s="458"/>
      <c r="I62" s="177"/>
      <c r="J62" s="177"/>
      <c r="K62" s="177"/>
      <c r="L62" s="177"/>
      <c r="M62" s="176"/>
      <c r="N62" s="448" t="s">
        <v>157</v>
      </c>
      <c r="O62" s="448" t="s">
        <v>103</v>
      </c>
      <c r="P62" s="460">
        <v>45888</v>
      </c>
      <c r="Q62" s="441"/>
      <c r="R62" s="441"/>
      <c r="S62" s="441"/>
      <c r="T62" s="441"/>
      <c r="U62" s="460">
        <v>45889</v>
      </c>
      <c r="V62" s="441"/>
      <c r="W62" s="441"/>
      <c r="X62" s="441"/>
      <c r="Y62" s="441"/>
      <c r="Z62" s="460">
        <v>45890</v>
      </c>
      <c r="AA62" s="441"/>
      <c r="AB62" s="441"/>
      <c r="AC62" s="441"/>
      <c r="AD62" s="441"/>
      <c r="AE62" s="460">
        <v>45891</v>
      </c>
      <c r="AF62" s="441"/>
      <c r="AG62" s="441"/>
      <c r="AH62" s="441"/>
      <c r="AI62" s="441"/>
      <c r="AJ62" s="460">
        <v>45892</v>
      </c>
      <c r="AK62" s="441"/>
      <c r="AL62" s="441"/>
      <c r="AM62" s="441"/>
      <c r="AN62" s="441"/>
      <c r="AO62" s="460">
        <v>45893</v>
      </c>
      <c r="AP62" s="441"/>
      <c r="AQ62" s="441"/>
      <c r="AR62" s="441"/>
      <c r="AS62" s="441"/>
      <c r="AT62" s="460">
        <v>45894</v>
      </c>
      <c r="AU62" s="441"/>
      <c r="AV62" s="441"/>
      <c r="AW62" s="441"/>
      <c r="AX62" s="441"/>
    </row>
    <row r="63" spans="2:50" ht="15.75">
      <c r="B63" s="459"/>
      <c r="C63" s="459"/>
      <c r="D63" s="459"/>
      <c r="E63" s="459"/>
      <c r="F63" s="459"/>
      <c r="G63" s="459"/>
      <c r="H63" s="459"/>
      <c r="I63" s="156"/>
      <c r="J63" s="156"/>
      <c r="K63" s="156"/>
      <c r="L63" s="156"/>
      <c r="M63" s="157"/>
      <c r="N63" s="450"/>
      <c r="O63" s="450"/>
      <c r="P63" s="460" t="s">
        <v>159</v>
      </c>
      <c r="Q63" s="441"/>
      <c r="R63" s="441"/>
      <c r="S63" s="441"/>
      <c r="T63" s="441"/>
      <c r="U63" s="460" t="s">
        <v>160</v>
      </c>
      <c r="V63" s="441"/>
      <c r="W63" s="441"/>
      <c r="X63" s="441"/>
      <c r="Y63" s="441"/>
      <c r="Z63" s="460" t="s">
        <v>161</v>
      </c>
      <c r="AA63" s="441"/>
      <c r="AB63" s="441"/>
      <c r="AC63" s="441"/>
      <c r="AD63" s="441"/>
      <c r="AE63" s="460" t="s">
        <v>158</v>
      </c>
      <c r="AF63" s="441"/>
      <c r="AG63" s="441"/>
      <c r="AH63" s="441"/>
      <c r="AI63" s="441"/>
      <c r="AJ63" s="460" t="s">
        <v>162</v>
      </c>
      <c r="AK63" s="441"/>
      <c r="AL63" s="441"/>
      <c r="AM63" s="441"/>
      <c r="AN63" s="441"/>
      <c r="AO63" s="460" t="s">
        <v>163</v>
      </c>
      <c r="AP63" s="441"/>
      <c r="AQ63" s="441"/>
      <c r="AR63" s="441"/>
      <c r="AS63" s="441"/>
      <c r="AT63" s="460" t="s">
        <v>164</v>
      </c>
      <c r="AU63" s="441"/>
      <c r="AV63" s="441"/>
      <c r="AW63" s="441"/>
      <c r="AX63" s="441"/>
    </row>
    <row r="64" spans="2:50">
      <c r="B64" s="440" t="s">
        <v>154</v>
      </c>
      <c r="C64" s="440" t="s">
        <v>146</v>
      </c>
      <c r="D64" s="440"/>
      <c r="E64" s="440" t="s">
        <v>148</v>
      </c>
      <c r="F64" s="440"/>
      <c r="G64" s="440"/>
      <c r="H64" s="445" t="s">
        <v>155</v>
      </c>
      <c r="I64" s="440" t="s">
        <v>207</v>
      </c>
      <c r="J64" s="440"/>
      <c r="K64" s="440"/>
      <c r="L64" s="445" t="s">
        <v>155</v>
      </c>
      <c r="M64" s="448" t="s">
        <v>166</v>
      </c>
      <c r="N64" s="440"/>
      <c r="O64" s="440" t="s">
        <v>156</v>
      </c>
      <c r="P64" s="442" t="s">
        <v>151</v>
      </c>
      <c r="Q64" s="443"/>
      <c r="R64" s="443"/>
      <c r="S64" s="444"/>
      <c r="T64" s="440" t="s">
        <v>155</v>
      </c>
      <c r="U64" s="442" t="s">
        <v>151</v>
      </c>
      <c r="V64" s="443"/>
      <c r="W64" s="443"/>
      <c r="X64" s="444"/>
      <c r="Y64" s="440" t="s">
        <v>155</v>
      </c>
      <c r="Z64" s="442" t="s">
        <v>151</v>
      </c>
      <c r="AA64" s="443"/>
      <c r="AB64" s="443"/>
      <c r="AC64" s="444"/>
      <c r="AD64" s="440" t="s">
        <v>155</v>
      </c>
      <c r="AE64" s="442" t="s">
        <v>151</v>
      </c>
      <c r="AF64" s="443"/>
      <c r="AG64" s="443"/>
      <c r="AH64" s="444"/>
      <c r="AI64" s="440" t="s">
        <v>155</v>
      </c>
      <c r="AJ64" s="442" t="s">
        <v>151</v>
      </c>
      <c r="AK64" s="443"/>
      <c r="AL64" s="443"/>
      <c r="AM64" s="444"/>
      <c r="AN64" s="440" t="s">
        <v>155</v>
      </c>
      <c r="AO64" s="442" t="s">
        <v>151</v>
      </c>
      <c r="AP64" s="443"/>
      <c r="AQ64" s="443"/>
      <c r="AR64" s="444"/>
      <c r="AS64" s="440" t="s">
        <v>155</v>
      </c>
      <c r="AT64" s="442" t="s">
        <v>151</v>
      </c>
      <c r="AU64" s="443"/>
      <c r="AV64" s="443"/>
      <c r="AW64" s="444"/>
      <c r="AX64" s="440" t="s">
        <v>155</v>
      </c>
    </row>
    <row r="65" spans="2:50">
      <c r="B65" s="440"/>
      <c r="C65" s="440"/>
      <c r="D65" s="440"/>
      <c r="E65" s="440" t="s">
        <v>147</v>
      </c>
      <c r="F65" s="440"/>
      <c r="G65" s="440"/>
      <c r="H65" s="446"/>
      <c r="I65" s="440" t="s">
        <v>147</v>
      </c>
      <c r="J65" s="440"/>
      <c r="K65" s="440"/>
      <c r="L65" s="446"/>
      <c r="M65" s="449"/>
      <c r="N65" s="440"/>
      <c r="O65" s="440"/>
      <c r="P65" s="442" t="s">
        <v>152</v>
      </c>
      <c r="Q65" s="443"/>
      <c r="R65" s="443"/>
      <c r="S65" s="444"/>
      <c r="T65" s="440"/>
      <c r="U65" s="442" t="s">
        <v>152</v>
      </c>
      <c r="V65" s="443"/>
      <c r="W65" s="443"/>
      <c r="X65" s="444"/>
      <c r="Y65" s="440"/>
      <c r="Z65" s="442" t="s">
        <v>152</v>
      </c>
      <c r="AA65" s="443"/>
      <c r="AB65" s="443"/>
      <c r="AC65" s="444"/>
      <c r="AD65" s="440"/>
      <c r="AE65" s="442" t="s">
        <v>152</v>
      </c>
      <c r="AF65" s="443"/>
      <c r="AG65" s="443"/>
      <c r="AH65" s="444"/>
      <c r="AI65" s="440"/>
      <c r="AJ65" s="442" t="s">
        <v>152</v>
      </c>
      <c r="AK65" s="443"/>
      <c r="AL65" s="443"/>
      <c r="AM65" s="444"/>
      <c r="AN65" s="440"/>
      <c r="AO65" s="442" t="s">
        <v>152</v>
      </c>
      <c r="AP65" s="443"/>
      <c r="AQ65" s="443"/>
      <c r="AR65" s="444"/>
      <c r="AS65" s="440"/>
      <c r="AT65" s="442" t="s">
        <v>152</v>
      </c>
      <c r="AU65" s="443"/>
      <c r="AV65" s="443"/>
      <c r="AW65" s="444"/>
      <c r="AX65" s="440"/>
    </row>
    <row r="66" spans="2:50">
      <c r="B66" s="440"/>
      <c r="C66" s="440"/>
      <c r="D66" s="440"/>
      <c r="E66" s="109" t="s">
        <v>149</v>
      </c>
      <c r="F66" s="109" t="s">
        <v>150</v>
      </c>
      <c r="G66" s="109" t="s">
        <v>153</v>
      </c>
      <c r="H66" s="447"/>
      <c r="I66" s="109" t="s">
        <v>149</v>
      </c>
      <c r="J66" s="109" t="s">
        <v>150</v>
      </c>
      <c r="K66" s="109" t="s">
        <v>153</v>
      </c>
      <c r="L66" s="447"/>
      <c r="M66" s="450"/>
      <c r="N66" s="440"/>
      <c r="O66" s="440"/>
      <c r="P66" s="109" t="s">
        <v>149</v>
      </c>
      <c r="Q66" s="109" t="s">
        <v>150</v>
      </c>
      <c r="R66" s="109" t="s">
        <v>153</v>
      </c>
      <c r="S66" s="109" t="s">
        <v>166</v>
      </c>
      <c r="T66" s="440"/>
      <c r="U66" s="109" t="s">
        <v>149</v>
      </c>
      <c r="V66" s="109" t="s">
        <v>150</v>
      </c>
      <c r="W66" s="109" t="s">
        <v>153</v>
      </c>
      <c r="X66" s="109" t="s">
        <v>166</v>
      </c>
      <c r="Y66" s="440"/>
      <c r="Z66" s="109" t="s">
        <v>149</v>
      </c>
      <c r="AA66" s="109" t="s">
        <v>150</v>
      </c>
      <c r="AB66" s="109" t="s">
        <v>153</v>
      </c>
      <c r="AC66" s="109" t="s">
        <v>166</v>
      </c>
      <c r="AD66" s="440"/>
      <c r="AE66" s="109" t="s">
        <v>149</v>
      </c>
      <c r="AF66" s="109" t="s">
        <v>150</v>
      </c>
      <c r="AG66" s="109" t="s">
        <v>153</v>
      </c>
      <c r="AH66" s="109" t="s">
        <v>166</v>
      </c>
      <c r="AI66" s="440"/>
      <c r="AJ66" s="109" t="s">
        <v>149</v>
      </c>
      <c r="AK66" s="109" t="s">
        <v>150</v>
      </c>
      <c r="AL66" s="109" t="s">
        <v>153</v>
      </c>
      <c r="AM66" s="109" t="s">
        <v>166</v>
      </c>
      <c r="AN66" s="440"/>
      <c r="AO66" s="109" t="s">
        <v>149</v>
      </c>
      <c r="AP66" s="109" t="s">
        <v>150</v>
      </c>
      <c r="AQ66" s="109" t="s">
        <v>153</v>
      </c>
      <c r="AR66" s="109" t="s">
        <v>166</v>
      </c>
      <c r="AS66" s="440"/>
      <c r="AT66" s="109" t="s">
        <v>149</v>
      </c>
      <c r="AU66" s="109" t="s">
        <v>150</v>
      </c>
      <c r="AV66" s="109" t="s">
        <v>153</v>
      </c>
      <c r="AW66" s="109" t="s">
        <v>166</v>
      </c>
      <c r="AX66" s="440"/>
    </row>
    <row r="67" spans="2:50" ht="13.5">
      <c r="B67" s="440" t="s">
        <v>240</v>
      </c>
      <c r="C67" s="110">
        <v>1</v>
      </c>
      <c r="D67" s="231"/>
      <c r="E67" s="160"/>
      <c r="F67" s="160"/>
      <c r="G67" s="158"/>
      <c r="H67" s="454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54" t="e">
        <f>AVERAGE(K67:K81)</f>
        <v>#DIV/0!</v>
      </c>
      <c r="M67" s="160" t="e">
        <f>RANK(K67, K$67:$K$81)</f>
        <v>#DIV/0!</v>
      </c>
      <c r="N67" s="440"/>
      <c r="O67" s="440"/>
      <c r="P67" s="110"/>
      <c r="Q67" s="110"/>
      <c r="R67" s="158"/>
      <c r="S67" s="110"/>
      <c r="T67" s="454" t="e">
        <f>AVERAGE(R67:R81)</f>
        <v>#DIV/0!</v>
      </c>
      <c r="U67" s="110"/>
      <c r="V67" s="110"/>
      <c r="W67" s="110"/>
      <c r="X67" s="110"/>
      <c r="Y67" s="441" t="e">
        <f>AVERAGE(W67:W81)</f>
        <v>#DIV/0!</v>
      </c>
      <c r="Z67" s="110"/>
      <c r="AA67" s="110"/>
      <c r="AB67" s="110"/>
      <c r="AC67" s="110"/>
      <c r="AD67" s="441" t="e">
        <f>AVERAGE(AB67:AB81)</f>
        <v>#DIV/0!</v>
      </c>
      <c r="AE67" s="110"/>
      <c r="AF67" s="110"/>
      <c r="AG67" s="110"/>
      <c r="AH67" s="110"/>
      <c r="AI67" s="441" t="e">
        <f>AVERAGE(AG67:AG81)</f>
        <v>#DIV/0!</v>
      </c>
      <c r="AJ67" s="110"/>
      <c r="AK67" s="110"/>
      <c r="AL67" s="110"/>
      <c r="AM67" s="110"/>
      <c r="AN67" s="441" t="e">
        <f>AVERAGE(AL67:AL81)</f>
        <v>#DIV/0!</v>
      </c>
      <c r="AO67" s="110"/>
      <c r="AP67" s="110"/>
      <c r="AQ67" s="110"/>
      <c r="AR67" s="110"/>
      <c r="AS67" s="441" t="e">
        <f>AVERAGE(AQ67:AQ81)</f>
        <v>#DIV/0!</v>
      </c>
      <c r="AT67" s="110"/>
      <c r="AU67" s="110"/>
      <c r="AV67" s="110"/>
      <c r="AW67" s="110"/>
      <c r="AX67" s="441" t="e">
        <f>AVERAGE(AV67:AV81)</f>
        <v>#DIV/0!</v>
      </c>
    </row>
    <row r="68" spans="2:50">
      <c r="B68" s="441"/>
      <c r="C68" s="110">
        <v>2</v>
      </c>
      <c r="D68" s="110"/>
      <c r="E68" s="160"/>
      <c r="F68" s="160"/>
      <c r="G68" s="158"/>
      <c r="H68" s="455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55"/>
      <c r="M68" s="160" t="e">
        <f>RANK(K68, K$67:$K$81)</f>
        <v>#DIV/0!</v>
      </c>
      <c r="N68" s="440"/>
      <c r="O68" s="440"/>
      <c r="P68" s="110"/>
      <c r="Q68" s="110"/>
      <c r="R68" s="158"/>
      <c r="S68" s="110"/>
      <c r="T68" s="455"/>
      <c r="U68" s="110"/>
      <c r="V68" s="110"/>
      <c r="W68" s="110"/>
      <c r="X68" s="110"/>
      <c r="Y68" s="441"/>
      <c r="Z68" s="110"/>
      <c r="AA68" s="110"/>
      <c r="AB68" s="110"/>
      <c r="AC68" s="110"/>
      <c r="AD68" s="441"/>
      <c r="AE68" s="110"/>
      <c r="AF68" s="110"/>
      <c r="AG68" s="110"/>
      <c r="AH68" s="110"/>
      <c r="AI68" s="441"/>
      <c r="AJ68" s="110"/>
      <c r="AK68" s="110"/>
      <c r="AL68" s="110"/>
      <c r="AM68" s="110"/>
      <c r="AN68" s="441"/>
      <c r="AO68" s="110"/>
      <c r="AP68" s="110"/>
      <c r="AQ68" s="110"/>
      <c r="AR68" s="110"/>
      <c r="AS68" s="441"/>
      <c r="AT68" s="110"/>
      <c r="AU68" s="110"/>
      <c r="AV68" s="110"/>
      <c r="AW68" s="110"/>
      <c r="AX68" s="441"/>
    </row>
    <row r="69" spans="2:50">
      <c r="B69" s="441"/>
      <c r="C69" s="110">
        <v>3</v>
      </c>
      <c r="D69" s="110"/>
      <c r="E69" s="160"/>
      <c r="F69" s="160"/>
      <c r="G69" s="158"/>
      <c r="H69" s="455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55"/>
      <c r="M69" s="160" t="e">
        <f>RANK(K69, K$67:$K$81)</f>
        <v>#DIV/0!</v>
      </c>
      <c r="N69" s="440"/>
      <c r="O69" s="440"/>
      <c r="P69" s="110"/>
      <c r="Q69" s="110"/>
      <c r="R69" s="158"/>
      <c r="S69" s="110"/>
      <c r="T69" s="455"/>
      <c r="U69" s="110"/>
      <c r="V69" s="110"/>
      <c r="W69" s="110"/>
      <c r="X69" s="110"/>
      <c r="Y69" s="441"/>
      <c r="Z69" s="110"/>
      <c r="AA69" s="110"/>
      <c r="AB69" s="110"/>
      <c r="AC69" s="110"/>
      <c r="AD69" s="441"/>
      <c r="AE69" s="110"/>
      <c r="AF69" s="110"/>
      <c r="AG69" s="110"/>
      <c r="AH69" s="110"/>
      <c r="AI69" s="441"/>
      <c r="AJ69" s="110"/>
      <c r="AK69" s="110"/>
      <c r="AL69" s="110"/>
      <c r="AM69" s="110"/>
      <c r="AN69" s="441"/>
      <c r="AO69" s="110"/>
      <c r="AP69" s="110"/>
      <c r="AQ69" s="110"/>
      <c r="AR69" s="110"/>
      <c r="AS69" s="441"/>
      <c r="AT69" s="110"/>
      <c r="AU69" s="110"/>
      <c r="AV69" s="110"/>
      <c r="AW69" s="110"/>
      <c r="AX69" s="441"/>
    </row>
    <row r="70" spans="2:50">
      <c r="B70" s="441"/>
      <c r="C70" s="110">
        <v>4</v>
      </c>
      <c r="D70" s="110"/>
      <c r="E70" s="160"/>
      <c r="F70" s="160"/>
      <c r="G70" s="158"/>
      <c r="H70" s="455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55"/>
      <c r="M70" s="160" t="e">
        <f>RANK(K70, K$67:$K$81)</f>
        <v>#DIV/0!</v>
      </c>
      <c r="N70" s="440"/>
      <c r="O70" s="440"/>
      <c r="P70" s="110"/>
      <c r="Q70" s="110"/>
      <c r="R70" s="158"/>
      <c r="S70" s="110"/>
      <c r="T70" s="455"/>
      <c r="U70" s="110"/>
      <c r="V70" s="110"/>
      <c r="W70" s="110"/>
      <c r="X70" s="110"/>
      <c r="Y70" s="441"/>
      <c r="Z70" s="110"/>
      <c r="AA70" s="110"/>
      <c r="AB70" s="110"/>
      <c r="AC70" s="110"/>
      <c r="AD70" s="441"/>
      <c r="AE70" s="110"/>
      <c r="AF70" s="110"/>
      <c r="AG70" s="110"/>
      <c r="AH70" s="110"/>
      <c r="AI70" s="441"/>
      <c r="AJ70" s="110"/>
      <c r="AK70" s="110"/>
      <c r="AL70" s="110"/>
      <c r="AM70" s="110"/>
      <c r="AN70" s="441"/>
      <c r="AO70" s="110"/>
      <c r="AP70" s="110"/>
      <c r="AQ70" s="110"/>
      <c r="AR70" s="110"/>
      <c r="AS70" s="441"/>
      <c r="AT70" s="110"/>
      <c r="AU70" s="110"/>
      <c r="AV70" s="110"/>
      <c r="AW70" s="110"/>
      <c r="AX70" s="441"/>
    </row>
    <row r="71" spans="2:50">
      <c r="B71" s="441"/>
      <c r="C71" s="110">
        <v>5</v>
      </c>
      <c r="D71" s="110"/>
      <c r="E71" s="160"/>
      <c r="F71" s="160"/>
      <c r="G71" s="158"/>
      <c r="H71" s="455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55"/>
      <c r="M71" s="160" t="e">
        <f>RANK(K71, K$67:$K$81)</f>
        <v>#DIV/0!</v>
      </c>
      <c r="N71" s="440"/>
      <c r="O71" s="440"/>
      <c r="P71" s="110"/>
      <c r="Q71" s="110"/>
      <c r="R71" s="158"/>
      <c r="S71" s="110"/>
      <c r="T71" s="455"/>
      <c r="U71" s="110"/>
      <c r="V71" s="110"/>
      <c r="W71" s="110"/>
      <c r="X71" s="110"/>
      <c r="Y71" s="441"/>
      <c r="Z71" s="110"/>
      <c r="AA71" s="110"/>
      <c r="AB71" s="110"/>
      <c r="AC71" s="110"/>
      <c r="AD71" s="441"/>
      <c r="AE71" s="110"/>
      <c r="AF71" s="110"/>
      <c r="AG71" s="110"/>
      <c r="AH71" s="110"/>
      <c r="AI71" s="441"/>
      <c r="AJ71" s="110"/>
      <c r="AK71" s="110"/>
      <c r="AL71" s="110"/>
      <c r="AM71" s="110"/>
      <c r="AN71" s="441"/>
      <c r="AO71" s="110"/>
      <c r="AP71" s="110"/>
      <c r="AQ71" s="110"/>
      <c r="AR71" s="110"/>
      <c r="AS71" s="441"/>
      <c r="AT71" s="110"/>
      <c r="AU71" s="110"/>
      <c r="AV71" s="110"/>
      <c r="AW71" s="110"/>
      <c r="AX71" s="441"/>
    </row>
    <row r="72" spans="2:50">
      <c r="B72" s="441"/>
      <c r="C72" s="110">
        <v>6</v>
      </c>
      <c r="D72" s="110"/>
      <c r="E72" s="160"/>
      <c r="F72" s="160"/>
      <c r="G72" s="158"/>
      <c r="H72" s="455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55"/>
      <c r="M72" s="160" t="e">
        <f>RANK(K72, K$67:$K$81)</f>
        <v>#DIV/0!</v>
      </c>
      <c r="N72" s="440"/>
      <c r="O72" s="440"/>
      <c r="P72" s="110"/>
      <c r="Q72" s="110"/>
      <c r="R72" s="158"/>
      <c r="S72" s="110"/>
      <c r="T72" s="455"/>
      <c r="U72" s="110"/>
      <c r="V72" s="110"/>
      <c r="W72" s="110"/>
      <c r="X72" s="110"/>
      <c r="Y72" s="441"/>
      <c r="Z72" s="110"/>
      <c r="AA72" s="110"/>
      <c r="AB72" s="110"/>
      <c r="AC72" s="110"/>
      <c r="AD72" s="441"/>
      <c r="AE72" s="110"/>
      <c r="AF72" s="110"/>
      <c r="AG72" s="110"/>
      <c r="AH72" s="110"/>
      <c r="AI72" s="441"/>
      <c r="AJ72" s="110"/>
      <c r="AK72" s="110"/>
      <c r="AL72" s="110"/>
      <c r="AM72" s="110"/>
      <c r="AN72" s="441"/>
      <c r="AO72" s="110"/>
      <c r="AP72" s="110"/>
      <c r="AQ72" s="110"/>
      <c r="AR72" s="110"/>
      <c r="AS72" s="441"/>
      <c r="AT72" s="110"/>
      <c r="AU72" s="110"/>
      <c r="AV72" s="110"/>
      <c r="AW72" s="110"/>
      <c r="AX72" s="441"/>
    </row>
    <row r="73" spans="2:50">
      <c r="B73" s="441"/>
      <c r="C73" s="110">
        <v>7</v>
      </c>
      <c r="D73" s="110"/>
      <c r="E73" s="160"/>
      <c r="F73" s="160"/>
      <c r="G73" s="158"/>
      <c r="H73" s="455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55"/>
      <c r="M73" s="160" t="e">
        <f>RANK(K73, K$67:$K$81)</f>
        <v>#DIV/0!</v>
      </c>
      <c r="N73" s="440"/>
      <c r="O73" s="440"/>
      <c r="P73" s="110"/>
      <c r="Q73" s="110"/>
      <c r="R73" s="158"/>
      <c r="S73" s="110"/>
      <c r="T73" s="455"/>
      <c r="U73" s="110"/>
      <c r="V73" s="110"/>
      <c r="W73" s="110"/>
      <c r="X73" s="110"/>
      <c r="Y73" s="441"/>
      <c r="Z73" s="110"/>
      <c r="AA73" s="110"/>
      <c r="AB73" s="110"/>
      <c r="AC73" s="110"/>
      <c r="AD73" s="441"/>
      <c r="AE73" s="110"/>
      <c r="AF73" s="110"/>
      <c r="AG73" s="110"/>
      <c r="AH73" s="110"/>
      <c r="AI73" s="441"/>
      <c r="AJ73" s="110"/>
      <c r="AK73" s="110"/>
      <c r="AL73" s="110"/>
      <c r="AM73" s="110"/>
      <c r="AN73" s="441"/>
      <c r="AO73" s="110"/>
      <c r="AP73" s="110"/>
      <c r="AQ73" s="110"/>
      <c r="AR73" s="110"/>
      <c r="AS73" s="441"/>
      <c r="AT73" s="110"/>
      <c r="AU73" s="110"/>
      <c r="AV73" s="110"/>
      <c r="AW73" s="110"/>
      <c r="AX73" s="441"/>
    </row>
    <row r="74" spans="2:50">
      <c r="B74" s="441"/>
      <c r="C74" s="110">
        <v>8</v>
      </c>
      <c r="D74" s="110"/>
      <c r="E74" s="160"/>
      <c r="F74" s="160"/>
      <c r="G74" s="158"/>
      <c r="H74" s="455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55"/>
      <c r="M74" s="160" t="e">
        <f>RANK(K74, K$67:$K$81)</f>
        <v>#DIV/0!</v>
      </c>
      <c r="N74" s="440"/>
      <c r="O74" s="440"/>
      <c r="P74" s="110"/>
      <c r="Q74" s="110"/>
      <c r="R74" s="158"/>
      <c r="S74" s="110"/>
      <c r="T74" s="455"/>
      <c r="U74" s="110"/>
      <c r="V74" s="110"/>
      <c r="W74" s="110"/>
      <c r="X74" s="110"/>
      <c r="Y74" s="441"/>
      <c r="Z74" s="110"/>
      <c r="AA74" s="110"/>
      <c r="AB74" s="110"/>
      <c r="AC74" s="110"/>
      <c r="AD74" s="441"/>
      <c r="AE74" s="110"/>
      <c r="AF74" s="110"/>
      <c r="AG74" s="110"/>
      <c r="AH74" s="110"/>
      <c r="AI74" s="441"/>
      <c r="AJ74" s="110"/>
      <c r="AK74" s="110"/>
      <c r="AL74" s="110"/>
      <c r="AM74" s="110"/>
      <c r="AN74" s="441"/>
      <c r="AO74" s="110"/>
      <c r="AP74" s="110"/>
      <c r="AQ74" s="110"/>
      <c r="AR74" s="110"/>
      <c r="AS74" s="441"/>
      <c r="AT74" s="110"/>
      <c r="AU74" s="110"/>
      <c r="AV74" s="110"/>
      <c r="AW74" s="110"/>
      <c r="AX74" s="441"/>
    </row>
    <row r="75" spans="2:50">
      <c r="B75" s="441"/>
      <c r="C75" s="110">
        <v>9</v>
      </c>
      <c r="D75" s="110"/>
      <c r="E75" s="160"/>
      <c r="F75" s="160"/>
      <c r="G75" s="158"/>
      <c r="H75" s="455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55"/>
      <c r="M75" s="160" t="e">
        <f>RANK(K75, K$67:$K$81)</f>
        <v>#DIV/0!</v>
      </c>
      <c r="N75" s="440"/>
      <c r="O75" s="440"/>
      <c r="P75" s="110"/>
      <c r="Q75" s="110"/>
      <c r="R75" s="158"/>
      <c r="S75" s="110"/>
      <c r="T75" s="455"/>
      <c r="U75" s="110"/>
      <c r="V75" s="110"/>
      <c r="W75" s="110"/>
      <c r="X75" s="110"/>
      <c r="Y75" s="441"/>
      <c r="Z75" s="110"/>
      <c r="AA75" s="110"/>
      <c r="AB75" s="110"/>
      <c r="AC75" s="110"/>
      <c r="AD75" s="441"/>
      <c r="AE75" s="110"/>
      <c r="AF75" s="110"/>
      <c r="AG75" s="110"/>
      <c r="AH75" s="110"/>
      <c r="AI75" s="441"/>
      <c r="AJ75" s="110"/>
      <c r="AK75" s="110"/>
      <c r="AL75" s="110"/>
      <c r="AM75" s="110"/>
      <c r="AN75" s="441"/>
      <c r="AO75" s="110"/>
      <c r="AP75" s="110"/>
      <c r="AQ75" s="110"/>
      <c r="AR75" s="110"/>
      <c r="AS75" s="441"/>
      <c r="AT75" s="110"/>
      <c r="AU75" s="110"/>
      <c r="AV75" s="110"/>
      <c r="AW75" s="110"/>
      <c r="AX75" s="441"/>
    </row>
    <row r="76" spans="2:50">
      <c r="B76" s="441"/>
      <c r="C76" s="110">
        <v>10</v>
      </c>
      <c r="D76" s="110"/>
      <c r="E76" s="160"/>
      <c r="F76" s="160"/>
      <c r="G76" s="158"/>
      <c r="H76" s="455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55"/>
      <c r="M76" s="160" t="e">
        <f>RANK(K76, K$67:$K$81)</f>
        <v>#DIV/0!</v>
      </c>
      <c r="N76" s="440"/>
      <c r="O76" s="440"/>
      <c r="P76" s="110"/>
      <c r="Q76" s="110"/>
      <c r="R76" s="158"/>
      <c r="S76" s="110"/>
      <c r="T76" s="455"/>
      <c r="U76" s="110"/>
      <c r="V76" s="110"/>
      <c r="W76" s="110"/>
      <c r="X76" s="110"/>
      <c r="Y76" s="441"/>
      <c r="Z76" s="110"/>
      <c r="AA76" s="110"/>
      <c r="AB76" s="110"/>
      <c r="AC76" s="110"/>
      <c r="AD76" s="441"/>
      <c r="AE76" s="110"/>
      <c r="AF76" s="110"/>
      <c r="AG76" s="110"/>
      <c r="AH76" s="110"/>
      <c r="AI76" s="441"/>
      <c r="AJ76" s="110"/>
      <c r="AK76" s="110"/>
      <c r="AL76" s="110"/>
      <c r="AM76" s="110"/>
      <c r="AN76" s="441"/>
      <c r="AO76" s="110"/>
      <c r="AP76" s="110"/>
      <c r="AQ76" s="110"/>
      <c r="AR76" s="110"/>
      <c r="AS76" s="441"/>
      <c r="AT76" s="110"/>
      <c r="AU76" s="110"/>
      <c r="AV76" s="110"/>
      <c r="AW76" s="110"/>
      <c r="AX76" s="441"/>
    </row>
    <row r="77" spans="2:50">
      <c r="B77" s="441"/>
      <c r="C77" s="110">
        <v>11</v>
      </c>
      <c r="D77" s="110"/>
      <c r="E77" s="160"/>
      <c r="F77" s="160"/>
      <c r="G77" s="158"/>
      <c r="H77" s="455"/>
      <c r="I77" s="160" t="e">
        <f t="shared" ref="I77:I80" si="13">AVERAGE(P77,U77,Z77,AE77,AJ77,AO77,AT77)</f>
        <v>#DIV/0!</v>
      </c>
      <c r="J77" s="160" t="e">
        <f t="shared" ref="J77:J80" si="14">AVERAGE(Q77,V77,AA77,AF77,AK77,AP77,AU77)</f>
        <v>#DIV/0!</v>
      </c>
      <c r="K77" s="158" t="e">
        <f t="shared" ref="K77:K80" si="15">AVERAGE(R77,W77,AB77,AG77,AL77,AQ77,AV77)</f>
        <v>#DIV/0!</v>
      </c>
      <c r="L77" s="455"/>
      <c r="M77" s="160" t="e">
        <f>RANK(K77, K$67:$K$81)</f>
        <v>#DIV/0!</v>
      </c>
      <c r="N77" s="440"/>
      <c r="O77" s="440"/>
      <c r="P77" s="110"/>
      <c r="Q77" s="110"/>
      <c r="R77" s="158"/>
      <c r="S77" s="110"/>
      <c r="T77" s="455"/>
      <c r="U77" s="110"/>
      <c r="V77" s="110"/>
      <c r="W77" s="110"/>
      <c r="X77" s="110"/>
      <c r="Y77" s="441"/>
      <c r="Z77" s="110"/>
      <c r="AA77" s="110"/>
      <c r="AB77" s="110"/>
      <c r="AC77" s="110"/>
      <c r="AD77" s="441"/>
      <c r="AE77" s="110"/>
      <c r="AF77" s="110"/>
      <c r="AG77" s="110"/>
      <c r="AH77" s="110"/>
      <c r="AI77" s="441"/>
      <c r="AJ77" s="110"/>
      <c r="AK77" s="110"/>
      <c r="AL77" s="110"/>
      <c r="AM77" s="110"/>
      <c r="AN77" s="441"/>
      <c r="AO77" s="110"/>
      <c r="AP77" s="110"/>
      <c r="AQ77" s="110"/>
      <c r="AR77" s="110"/>
      <c r="AS77" s="441"/>
      <c r="AT77" s="110"/>
      <c r="AU77" s="110"/>
      <c r="AV77" s="110"/>
      <c r="AW77" s="110"/>
      <c r="AX77" s="441"/>
    </row>
    <row r="78" spans="2:50">
      <c r="B78" s="441"/>
      <c r="C78" s="110">
        <v>12</v>
      </c>
      <c r="D78" s="110"/>
      <c r="E78" s="160"/>
      <c r="F78" s="160"/>
      <c r="G78" s="158"/>
      <c r="H78" s="455"/>
      <c r="I78" s="160" t="e">
        <f t="shared" si="13"/>
        <v>#DIV/0!</v>
      </c>
      <c r="J78" s="160" t="e">
        <f t="shared" si="14"/>
        <v>#DIV/0!</v>
      </c>
      <c r="K78" s="158" t="e">
        <f t="shared" si="15"/>
        <v>#DIV/0!</v>
      </c>
      <c r="L78" s="455"/>
      <c r="M78" s="160" t="e">
        <f>RANK(K78, K$67:$K$81)</f>
        <v>#DIV/0!</v>
      </c>
      <c r="N78" s="440"/>
      <c r="O78" s="440"/>
      <c r="P78" s="110"/>
      <c r="Q78" s="110"/>
      <c r="R78" s="158"/>
      <c r="S78" s="110"/>
      <c r="T78" s="455"/>
      <c r="U78" s="110"/>
      <c r="V78" s="110"/>
      <c r="W78" s="110"/>
      <c r="X78" s="110"/>
      <c r="Y78" s="441"/>
      <c r="Z78" s="110"/>
      <c r="AA78" s="110"/>
      <c r="AB78" s="110"/>
      <c r="AC78" s="110"/>
      <c r="AD78" s="441"/>
      <c r="AE78" s="110"/>
      <c r="AF78" s="110"/>
      <c r="AG78" s="110"/>
      <c r="AH78" s="110"/>
      <c r="AI78" s="441"/>
      <c r="AJ78" s="110"/>
      <c r="AK78" s="110"/>
      <c r="AL78" s="110"/>
      <c r="AM78" s="110"/>
      <c r="AN78" s="441"/>
      <c r="AO78" s="110"/>
      <c r="AP78" s="110"/>
      <c r="AQ78" s="110"/>
      <c r="AR78" s="110"/>
      <c r="AS78" s="441"/>
      <c r="AT78" s="110"/>
      <c r="AU78" s="110"/>
      <c r="AV78" s="110"/>
      <c r="AW78" s="110"/>
      <c r="AX78" s="441"/>
    </row>
    <row r="79" spans="2:50">
      <c r="B79" s="441"/>
      <c r="C79" s="110">
        <v>13</v>
      </c>
      <c r="D79" s="110"/>
      <c r="E79" s="160"/>
      <c r="F79" s="160"/>
      <c r="G79" s="158"/>
      <c r="H79" s="455"/>
      <c r="I79" s="160" t="e">
        <f t="shared" si="13"/>
        <v>#DIV/0!</v>
      </c>
      <c r="J79" s="160" t="e">
        <f t="shared" si="14"/>
        <v>#DIV/0!</v>
      </c>
      <c r="K79" s="158" t="e">
        <f t="shared" si="15"/>
        <v>#DIV/0!</v>
      </c>
      <c r="L79" s="455"/>
      <c r="M79" s="160" t="e">
        <f>RANK(K79, K$67:$K$81)</f>
        <v>#DIV/0!</v>
      </c>
      <c r="N79" s="440"/>
      <c r="O79" s="440"/>
      <c r="P79" s="110"/>
      <c r="Q79" s="110"/>
      <c r="R79" s="158"/>
      <c r="S79" s="110"/>
      <c r="T79" s="455"/>
      <c r="U79" s="110"/>
      <c r="V79" s="110"/>
      <c r="W79" s="110"/>
      <c r="X79" s="110"/>
      <c r="Y79" s="441"/>
      <c r="Z79" s="110"/>
      <c r="AA79" s="110"/>
      <c r="AB79" s="110"/>
      <c r="AC79" s="110"/>
      <c r="AD79" s="441"/>
      <c r="AE79" s="110"/>
      <c r="AF79" s="110"/>
      <c r="AG79" s="110"/>
      <c r="AH79" s="110"/>
      <c r="AI79" s="441"/>
      <c r="AJ79" s="110"/>
      <c r="AK79" s="110"/>
      <c r="AL79" s="110"/>
      <c r="AM79" s="110"/>
      <c r="AN79" s="441"/>
      <c r="AO79" s="110"/>
      <c r="AP79" s="110"/>
      <c r="AQ79" s="110"/>
      <c r="AR79" s="110"/>
      <c r="AS79" s="441"/>
      <c r="AT79" s="110"/>
      <c r="AU79" s="110"/>
      <c r="AV79" s="110"/>
      <c r="AW79" s="110"/>
      <c r="AX79" s="441"/>
    </row>
    <row r="80" spans="2:50">
      <c r="B80" s="441"/>
      <c r="C80" s="110">
        <v>14</v>
      </c>
      <c r="D80" s="110"/>
      <c r="E80" s="160"/>
      <c r="F80" s="160"/>
      <c r="G80" s="158"/>
      <c r="H80" s="455"/>
      <c r="I80" s="160" t="e">
        <f t="shared" si="13"/>
        <v>#DIV/0!</v>
      </c>
      <c r="J80" s="160" t="e">
        <f t="shared" si="14"/>
        <v>#DIV/0!</v>
      </c>
      <c r="K80" s="158" t="e">
        <f t="shared" si="15"/>
        <v>#DIV/0!</v>
      </c>
      <c r="L80" s="455"/>
      <c r="M80" s="160" t="e">
        <f>RANK(K80, K$67:$K$81)</f>
        <v>#DIV/0!</v>
      </c>
      <c r="N80" s="440"/>
      <c r="O80" s="440"/>
      <c r="P80" s="110"/>
      <c r="Q80" s="110"/>
      <c r="R80" s="110"/>
      <c r="S80" s="110"/>
      <c r="T80" s="455"/>
      <c r="U80" s="110"/>
      <c r="V80" s="110"/>
      <c r="W80" s="110"/>
      <c r="X80" s="110"/>
      <c r="Y80" s="441"/>
      <c r="Z80" s="110"/>
      <c r="AA80" s="110"/>
      <c r="AB80" s="110"/>
      <c r="AC80" s="110"/>
      <c r="AD80" s="441"/>
      <c r="AE80" s="110"/>
      <c r="AF80" s="110"/>
      <c r="AG80" s="110"/>
      <c r="AH80" s="110"/>
      <c r="AI80" s="441"/>
      <c r="AJ80" s="110"/>
      <c r="AK80" s="110"/>
      <c r="AL80" s="110"/>
      <c r="AM80" s="110"/>
      <c r="AN80" s="441"/>
      <c r="AO80" s="110"/>
      <c r="AP80" s="110"/>
      <c r="AQ80" s="110"/>
      <c r="AR80" s="110"/>
      <c r="AS80" s="441"/>
      <c r="AT80" s="110"/>
      <c r="AU80" s="110"/>
      <c r="AV80" s="110"/>
      <c r="AW80" s="110"/>
      <c r="AX80" s="441"/>
    </row>
    <row r="81" spans="2:50">
      <c r="B81" s="441"/>
      <c r="C81" s="110">
        <v>15</v>
      </c>
      <c r="D81" s="110"/>
      <c r="E81" s="110"/>
      <c r="F81" s="110"/>
      <c r="G81" s="110"/>
      <c r="H81" s="456"/>
      <c r="I81" s="110"/>
      <c r="J81" s="110"/>
      <c r="K81" s="110"/>
      <c r="L81" s="456"/>
      <c r="M81" s="160" t="e">
        <f>RANK(K81, K$67:$K$81)</f>
        <v>#DIV/0!</v>
      </c>
      <c r="N81" s="440"/>
      <c r="O81" s="440"/>
      <c r="P81" s="110"/>
      <c r="Q81" s="110"/>
      <c r="R81" s="110"/>
      <c r="S81" s="110"/>
      <c r="T81" s="456"/>
      <c r="U81" s="110"/>
      <c r="V81" s="110"/>
      <c r="W81" s="110"/>
      <c r="X81" s="110"/>
      <c r="Y81" s="441"/>
      <c r="Z81" s="110"/>
      <c r="AA81" s="110"/>
      <c r="AB81" s="110"/>
      <c r="AC81" s="110"/>
      <c r="AD81" s="441"/>
      <c r="AE81" s="110"/>
      <c r="AF81" s="110"/>
      <c r="AG81" s="110"/>
      <c r="AH81" s="110"/>
      <c r="AI81" s="441"/>
      <c r="AJ81" s="110"/>
      <c r="AK81" s="110"/>
      <c r="AL81" s="110"/>
      <c r="AM81" s="110"/>
      <c r="AN81" s="441"/>
      <c r="AO81" s="110"/>
      <c r="AP81" s="110"/>
      <c r="AQ81" s="110"/>
      <c r="AR81" s="110"/>
      <c r="AS81" s="441"/>
      <c r="AT81" s="110"/>
      <c r="AU81" s="110"/>
      <c r="AV81" s="110"/>
      <c r="AW81" s="110"/>
      <c r="AX81" s="441"/>
    </row>
    <row r="82" spans="2:50" ht="15.75">
      <c r="B82" s="457" t="s">
        <v>165</v>
      </c>
      <c r="C82" s="458"/>
      <c r="D82" s="458"/>
      <c r="E82" s="458"/>
      <c r="F82" s="458"/>
      <c r="G82" s="458"/>
      <c r="H82" s="458"/>
      <c r="I82" s="177"/>
      <c r="J82" s="177"/>
      <c r="K82" s="177"/>
      <c r="L82" s="177"/>
      <c r="M82" s="176"/>
      <c r="N82" s="448" t="s">
        <v>157</v>
      </c>
      <c r="O82" s="448" t="s">
        <v>103</v>
      </c>
      <c r="P82" s="460">
        <v>45895</v>
      </c>
      <c r="Q82" s="441"/>
      <c r="R82" s="441"/>
      <c r="S82" s="441"/>
      <c r="T82" s="441"/>
      <c r="U82" s="460">
        <v>45896</v>
      </c>
      <c r="V82" s="441"/>
      <c r="W82" s="441"/>
      <c r="X82" s="441"/>
      <c r="Y82" s="441"/>
      <c r="Z82" s="460">
        <v>45897</v>
      </c>
      <c r="AA82" s="441"/>
      <c r="AB82" s="441"/>
      <c r="AC82" s="441"/>
      <c r="AD82" s="441"/>
      <c r="AE82" s="460">
        <v>45898</v>
      </c>
      <c r="AF82" s="441"/>
      <c r="AG82" s="441"/>
      <c r="AH82" s="441"/>
      <c r="AI82" s="441"/>
      <c r="AJ82" s="460">
        <v>45899</v>
      </c>
      <c r="AK82" s="441"/>
      <c r="AL82" s="441"/>
      <c r="AM82" s="441"/>
      <c r="AN82" s="441"/>
      <c r="AO82" s="460">
        <v>45900</v>
      </c>
      <c r="AP82" s="441"/>
      <c r="AQ82" s="441"/>
      <c r="AR82" s="441"/>
      <c r="AS82" s="441"/>
      <c r="AT82" s="460"/>
      <c r="AU82" s="441"/>
      <c r="AV82" s="441"/>
      <c r="AW82" s="441"/>
      <c r="AX82" s="441"/>
    </row>
    <row r="83" spans="2:50" ht="15.75">
      <c r="B83" s="459"/>
      <c r="C83" s="459"/>
      <c r="D83" s="459"/>
      <c r="E83" s="459"/>
      <c r="F83" s="459"/>
      <c r="G83" s="459"/>
      <c r="H83" s="459"/>
      <c r="I83" s="156"/>
      <c r="J83" s="156"/>
      <c r="K83" s="156"/>
      <c r="L83" s="156"/>
      <c r="M83" s="157"/>
      <c r="N83" s="450"/>
      <c r="O83" s="450"/>
      <c r="P83" s="460" t="s">
        <v>159</v>
      </c>
      <c r="Q83" s="441"/>
      <c r="R83" s="441"/>
      <c r="S83" s="441"/>
      <c r="T83" s="441"/>
      <c r="U83" s="460" t="s">
        <v>160</v>
      </c>
      <c r="V83" s="441"/>
      <c r="W83" s="441"/>
      <c r="X83" s="441"/>
      <c r="Y83" s="441"/>
      <c r="Z83" s="460" t="s">
        <v>161</v>
      </c>
      <c r="AA83" s="441"/>
      <c r="AB83" s="441"/>
      <c r="AC83" s="441"/>
      <c r="AD83" s="441"/>
      <c r="AE83" s="460" t="s">
        <v>158</v>
      </c>
      <c r="AF83" s="441"/>
      <c r="AG83" s="441"/>
      <c r="AH83" s="441"/>
      <c r="AI83" s="441"/>
      <c r="AJ83" s="460" t="s">
        <v>162</v>
      </c>
      <c r="AK83" s="441"/>
      <c r="AL83" s="441"/>
      <c r="AM83" s="441"/>
      <c r="AN83" s="441"/>
      <c r="AO83" s="460" t="s">
        <v>163</v>
      </c>
      <c r="AP83" s="441"/>
      <c r="AQ83" s="441"/>
      <c r="AR83" s="441"/>
      <c r="AS83" s="441"/>
      <c r="AT83" s="460" t="s">
        <v>164</v>
      </c>
      <c r="AU83" s="441"/>
      <c r="AV83" s="441"/>
      <c r="AW83" s="441"/>
      <c r="AX83" s="441"/>
    </row>
    <row r="84" spans="2:50">
      <c r="B84" s="440" t="s">
        <v>154</v>
      </c>
      <c r="C84" s="440" t="s">
        <v>146</v>
      </c>
      <c r="D84" s="440"/>
      <c r="E84" s="440" t="s">
        <v>148</v>
      </c>
      <c r="F84" s="440"/>
      <c r="G84" s="440"/>
      <c r="H84" s="445" t="s">
        <v>155</v>
      </c>
      <c r="I84" s="440" t="s">
        <v>207</v>
      </c>
      <c r="J84" s="440"/>
      <c r="K84" s="440"/>
      <c r="L84" s="445" t="s">
        <v>155</v>
      </c>
      <c r="M84" s="448" t="s">
        <v>166</v>
      </c>
      <c r="N84" s="440"/>
      <c r="O84" s="440" t="s">
        <v>156</v>
      </c>
      <c r="P84" s="442" t="s">
        <v>151</v>
      </c>
      <c r="Q84" s="443"/>
      <c r="R84" s="443"/>
      <c r="S84" s="444"/>
      <c r="T84" s="440" t="s">
        <v>155</v>
      </c>
      <c r="U84" s="442" t="s">
        <v>151</v>
      </c>
      <c r="V84" s="443"/>
      <c r="W84" s="443"/>
      <c r="X84" s="444"/>
      <c r="Y84" s="440" t="s">
        <v>155</v>
      </c>
      <c r="Z84" s="442" t="s">
        <v>151</v>
      </c>
      <c r="AA84" s="443"/>
      <c r="AB84" s="443"/>
      <c r="AC84" s="444"/>
      <c r="AD84" s="440" t="s">
        <v>155</v>
      </c>
      <c r="AE84" s="442" t="s">
        <v>151</v>
      </c>
      <c r="AF84" s="443"/>
      <c r="AG84" s="443"/>
      <c r="AH84" s="444"/>
      <c r="AI84" s="440" t="s">
        <v>155</v>
      </c>
      <c r="AJ84" s="442" t="s">
        <v>151</v>
      </c>
      <c r="AK84" s="443"/>
      <c r="AL84" s="443"/>
      <c r="AM84" s="444"/>
      <c r="AN84" s="440" t="s">
        <v>155</v>
      </c>
      <c r="AO84" s="442" t="s">
        <v>151</v>
      </c>
      <c r="AP84" s="443"/>
      <c r="AQ84" s="443"/>
      <c r="AR84" s="444"/>
      <c r="AS84" s="440" t="s">
        <v>155</v>
      </c>
      <c r="AT84" s="442" t="s">
        <v>151</v>
      </c>
      <c r="AU84" s="443"/>
      <c r="AV84" s="443"/>
      <c r="AW84" s="444"/>
      <c r="AX84" s="440" t="s">
        <v>155</v>
      </c>
    </row>
    <row r="85" spans="2:50">
      <c r="B85" s="440"/>
      <c r="C85" s="440"/>
      <c r="D85" s="440"/>
      <c r="E85" s="440" t="s">
        <v>147</v>
      </c>
      <c r="F85" s="440"/>
      <c r="G85" s="440"/>
      <c r="H85" s="446"/>
      <c r="I85" s="440" t="s">
        <v>147</v>
      </c>
      <c r="J85" s="440"/>
      <c r="K85" s="440"/>
      <c r="L85" s="446"/>
      <c r="M85" s="449"/>
      <c r="N85" s="440"/>
      <c r="O85" s="440"/>
      <c r="P85" s="442" t="s">
        <v>152</v>
      </c>
      <c r="Q85" s="443"/>
      <c r="R85" s="443"/>
      <c r="S85" s="444"/>
      <c r="T85" s="440"/>
      <c r="U85" s="442" t="s">
        <v>152</v>
      </c>
      <c r="V85" s="443"/>
      <c r="W85" s="443"/>
      <c r="X85" s="444"/>
      <c r="Y85" s="440"/>
      <c r="Z85" s="442" t="s">
        <v>152</v>
      </c>
      <c r="AA85" s="443"/>
      <c r="AB85" s="443"/>
      <c r="AC85" s="444"/>
      <c r="AD85" s="440"/>
      <c r="AE85" s="442" t="s">
        <v>152</v>
      </c>
      <c r="AF85" s="443"/>
      <c r="AG85" s="443"/>
      <c r="AH85" s="444"/>
      <c r="AI85" s="440"/>
      <c r="AJ85" s="442" t="s">
        <v>152</v>
      </c>
      <c r="AK85" s="443"/>
      <c r="AL85" s="443"/>
      <c r="AM85" s="444"/>
      <c r="AN85" s="440"/>
      <c r="AO85" s="442" t="s">
        <v>152</v>
      </c>
      <c r="AP85" s="443"/>
      <c r="AQ85" s="443"/>
      <c r="AR85" s="444"/>
      <c r="AS85" s="440"/>
      <c r="AT85" s="442" t="s">
        <v>152</v>
      </c>
      <c r="AU85" s="443"/>
      <c r="AV85" s="443"/>
      <c r="AW85" s="444"/>
      <c r="AX85" s="440"/>
    </row>
    <row r="86" spans="2:50">
      <c r="B86" s="440"/>
      <c r="C86" s="440"/>
      <c r="D86" s="440"/>
      <c r="E86" s="109" t="s">
        <v>149</v>
      </c>
      <c r="F86" s="109" t="s">
        <v>150</v>
      </c>
      <c r="G86" s="109" t="s">
        <v>153</v>
      </c>
      <c r="H86" s="447"/>
      <c r="I86" s="109" t="s">
        <v>149</v>
      </c>
      <c r="J86" s="109" t="s">
        <v>150</v>
      </c>
      <c r="K86" s="109" t="s">
        <v>153</v>
      </c>
      <c r="L86" s="447"/>
      <c r="M86" s="450"/>
      <c r="N86" s="440"/>
      <c r="O86" s="440"/>
      <c r="P86" s="109" t="s">
        <v>149</v>
      </c>
      <c r="Q86" s="109" t="s">
        <v>150</v>
      </c>
      <c r="R86" s="109" t="s">
        <v>153</v>
      </c>
      <c r="S86" s="109" t="s">
        <v>166</v>
      </c>
      <c r="T86" s="440"/>
      <c r="U86" s="109" t="s">
        <v>149</v>
      </c>
      <c r="V86" s="109" t="s">
        <v>150</v>
      </c>
      <c r="W86" s="109" t="s">
        <v>153</v>
      </c>
      <c r="X86" s="109" t="s">
        <v>166</v>
      </c>
      <c r="Y86" s="440"/>
      <c r="Z86" s="109" t="s">
        <v>149</v>
      </c>
      <c r="AA86" s="109" t="s">
        <v>150</v>
      </c>
      <c r="AB86" s="109" t="s">
        <v>153</v>
      </c>
      <c r="AC86" s="109" t="s">
        <v>166</v>
      </c>
      <c r="AD86" s="440"/>
      <c r="AE86" s="109" t="s">
        <v>149</v>
      </c>
      <c r="AF86" s="109" t="s">
        <v>150</v>
      </c>
      <c r="AG86" s="109" t="s">
        <v>153</v>
      </c>
      <c r="AH86" s="109" t="s">
        <v>166</v>
      </c>
      <c r="AI86" s="440"/>
      <c r="AJ86" s="109" t="s">
        <v>149</v>
      </c>
      <c r="AK86" s="109" t="s">
        <v>150</v>
      </c>
      <c r="AL86" s="109" t="s">
        <v>153</v>
      </c>
      <c r="AM86" s="109" t="s">
        <v>166</v>
      </c>
      <c r="AN86" s="440"/>
      <c r="AO86" s="109" t="s">
        <v>149</v>
      </c>
      <c r="AP86" s="109" t="s">
        <v>150</v>
      </c>
      <c r="AQ86" s="109" t="s">
        <v>153</v>
      </c>
      <c r="AR86" s="109" t="s">
        <v>166</v>
      </c>
      <c r="AS86" s="440"/>
      <c r="AT86" s="109" t="s">
        <v>149</v>
      </c>
      <c r="AU86" s="109" t="s">
        <v>150</v>
      </c>
      <c r="AV86" s="109" t="s">
        <v>153</v>
      </c>
      <c r="AW86" s="109" t="s">
        <v>166</v>
      </c>
      <c r="AX86" s="440"/>
    </row>
    <row r="87" spans="2:50">
      <c r="B87" s="440" t="s">
        <v>240</v>
      </c>
      <c r="C87" s="110">
        <v>1</v>
      </c>
      <c r="D87" s="110"/>
      <c r="E87" s="110"/>
      <c r="F87" s="110"/>
      <c r="G87" s="110"/>
      <c r="H87" s="451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54" t="e">
        <f>AVERAGE(K87:K101)</f>
        <v>#DIV/0!</v>
      </c>
      <c r="M87" s="160" t="e">
        <f>RANK(K87, K$87:$K$101)</f>
        <v>#DIV/0!</v>
      </c>
      <c r="N87" s="440"/>
      <c r="O87" s="440"/>
      <c r="P87" s="110"/>
      <c r="Q87" s="110"/>
      <c r="R87" s="110"/>
      <c r="S87" s="110"/>
      <c r="T87" s="441" t="e">
        <f>AVERAGE(R87:R101)</f>
        <v>#DIV/0!</v>
      </c>
      <c r="U87" s="110"/>
      <c r="V87" s="110"/>
      <c r="W87" s="110"/>
      <c r="X87" s="110"/>
      <c r="Y87" s="441" t="e">
        <f>AVERAGE(W87:W101)</f>
        <v>#DIV/0!</v>
      </c>
      <c r="Z87" s="110"/>
      <c r="AA87" s="110"/>
      <c r="AB87" s="110"/>
      <c r="AC87" s="110"/>
      <c r="AD87" s="441" t="e">
        <f>AVERAGE(AB87:AB101)</f>
        <v>#DIV/0!</v>
      </c>
      <c r="AE87" s="110"/>
      <c r="AF87" s="110"/>
      <c r="AG87" s="110"/>
      <c r="AH87" s="110"/>
      <c r="AI87" s="441" t="e">
        <f>AVERAGE(AG87:AG101)</f>
        <v>#DIV/0!</v>
      </c>
      <c r="AJ87" s="110"/>
      <c r="AK87" s="110"/>
      <c r="AL87" s="110"/>
      <c r="AM87" s="110"/>
      <c r="AN87" s="441" t="e">
        <f>AVERAGE(AL87:AL101)</f>
        <v>#DIV/0!</v>
      </c>
      <c r="AO87" s="110"/>
      <c r="AP87" s="110"/>
      <c r="AQ87" s="110"/>
      <c r="AR87" s="110"/>
      <c r="AS87" s="441" t="e">
        <f>AVERAGE(AQ87:AQ101)</f>
        <v>#DIV/0!</v>
      </c>
      <c r="AT87" s="110"/>
      <c r="AU87" s="110"/>
      <c r="AV87" s="110"/>
      <c r="AW87" s="110"/>
      <c r="AX87" s="441" t="e">
        <f>AVERAGE(AV87:AV101)</f>
        <v>#DIV/0!</v>
      </c>
    </row>
    <row r="88" spans="2:50">
      <c r="B88" s="441"/>
      <c r="C88" s="110">
        <v>2</v>
      </c>
      <c r="D88" s="110"/>
      <c r="E88" s="110"/>
      <c r="F88" s="110"/>
      <c r="G88" s="110"/>
      <c r="H88" s="452"/>
      <c r="I88" s="160" t="e">
        <f t="shared" ref="I88:K96" si="16">AVERAGE(P88,U88,Z88,AE88,AJ88,AO88,AT88)</f>
        <v>#DIV/0!</v>
      </c>
      <c r="J88" s="160" t="e">
        <f t="shared" si="16"/>
        <v>#DIV/0!</v>
      </c>
      <c r="K88" s="158" t="e">
        <f t="shared" si="16"/>
        <v>#DIV/0!</v>
      </c>
      <c r="L88" s="455"/>
      <c r="M88" s="160" t="e">
        <f>RANK(K88, K$87:$K$101)</f>
        <v>#DIV/0!</v>
      </c>
      <c r="N88" s="440"/>
      <c r="O88" s="440"/>
      <c r="P88" s="110"/>
      <c r="Q88" s="110"/>
      <c r="R88" s="110"/>
      <c r="S88" s="110"/>
      <c r="T88" s="441"/>
      <c r="U88" s="110"/>
      <c r="V88" s="110"/>
      <c r="W88" s="110"/>
      <c r="X88" s="110"/>
      <c r="Y88" s="441"/>
      <c r="Z88" s="110"/>
      <c r="AA88" s="110"/>
      <c r="AB88" s="110"/>
      <c r="AC88" s="110"/>
      <c r="AD88" s="441"/>
      <c r="AE88" s="110"/>
      <c r="AF88" s="110"/>
      <c r="AG88" s="110"/>
      <c r="AH88" s="110"/>
      <c r="AI88" s="441"/>
      <c r="AJ88" s="110"/>
      <c r="AK88" s="110"/>
      <c r="AL88" s="110"/>
      <c r="AM88" s="110"/>
      <c r="AN88" s="441"/>
      <c r="AO88" s="110"/>
      <c r="AP88" s="110"/>
      <c r="AQ88" s="110"/>
      <c r="AR88" s="110"/>
      <c r="AS88" s="441"/>
      <c r="AT88" s="110"/>
      <c r="AU88" s="110"/>
      <c r="AV88" s="110"/>
      <c r="AW88" s="110"/>
      <c r="AX88" s="441"/>
    </row>
    <row r="89" spans="2:50">
      <c r="B89" s="441"/>
      <c r="C89" s="110">
        <v>3</v>
      </c>
      <c r="D89" s="110"/>
      <c r="E89" s="110"/>
      <c r="F89" s="110"/>
      <c r="G89" s="110"/>
      <c r="H89" s="452"/>
      <c r="I89" s="160" t="e">
        <f t="shared" si="16"/>
        <v>#DIV/0!</v>
      </c>
      <c r="J89" s="160" t="e">
        <f t="shared" si="16"/>
        <v>#DIV/0!</v>
      </c>
      <c r="K89" s="158" t="e">
        <f t="shared" si="16"/>
        <v>#DIV/0!</v>
      </c>
      <c r="L89" s="455"/>
      <c r="M89" s="160" t="e">
        <f>RANK(K89, K$87:$K$101)</f>
        <v>#DIV/0!</v>
      </c>
      <c r="N89" s="440"/>
      <c r="O89" s="440"/>
      <c r="P89" s="110"/>
      <c r="Q89" s="110"/>
      <c r="R89" s="110"/>
      <c r="S89" s="110"/>
      <c r="T89" s="441"/>
      <c r="U89" s="110"/>
      <c r="V89" s="110"/>
      <c r="W89" s="110"/>
      <c r="X89" s="110"/>
      <c r="Y89" s="441"/>
      <c r="Z89" s="110"/>
      <c r="AA89" s="110"/>
      <c r="AB89" s="110"/>
      <c r="AC89" s="110"/>
      <c r="AD89" s="441"/>
      <c r="AE89" s="110"/>
      <c r="AF89" s="110"/>
      <c r="AG89" s="110"/>
      <c r="AH89" s="110"/>
      <c r="AI89" s="441"/>
      <c r="AJ89" s="110"/>
      <c r="AK89" s="110"/>
      <c r="AL89" s="110"/>
      <c r="AM89" s="110"/>
      <c r="AN89" s="441"/>
      <c r="AO89" s="110"/>
      <c r="AP89" s="110"/>
      <c r="AQ89" s="110"/>
      <c r="AR89" s="110"/>
      <c r="AS89" s="441"/>
      <c r="AT89" s="110"/>
      <c r="AU89" s="110"/>
      <c r="AV89" s="110"/>
      <c r="AW89" s="110"/>
      <c r="AX89" s="441"/>
    </row>
    <row r="90" spans="2:50">
      <c r="B90" s="441"/>
      <c r="C90" s="110">
        <v>4</v>
      </c>
      <c r="D90" s="110"/>
      <c r="E90" s="110"/>
      <c r="F90" s="110"/>
      <c r="G90" s="110"/>
      <c r="H90" s="452"/>
      <c r="I90" s="160" t="e">
        <f t="shared" si="16"/>
        <v>#DIV/0!</v>
      </c>
      <c r="J90" s="160" t="e">
        <f t="shared" si="16"/>
        <v>#DIV/0!</v>
      </c>
      <c r="K90" s="158" t="e">
        <f t="shared" si="16"/>
        <v>#DIV/0!</v>
      </c>
      <c r="L90" s="455"/>
      <c r="M90" s="160" t="e">
        <f>RANK(K90, K$87:$K$101)</f>
        <v>#DIV/0!</v>
      </c>
      <c r="N90" s="440"/>
      <c r="O90" s="440"/>
      <c r="P90" s="110"/>
      <c r="Q90" s="110"/>
      <c r="R90" s="110"/>
      <c r="S90" s="110"/>
      <c r="T90" s="441"/>
      <c r="U90" s="110"/>
      <c r="V90" s="110"/>
      <c r="W90" s="110"/>
      <c r="X90" s="110"/>
      <c r="Y90" s="441"/>
      <c r="Z90" s="110"/>
      <c r="AA90" s="110"/>
      <c r="AB90" s="110"/>
      <c r="AC90" s="110"/>
      <c r="AD90" s="441"/>
      <c r="AE90" s="110"/>
      <c r="AF90" s="110"/>
      <c r="AG90" s="110"/>
      <c r="AH90" s="110"/>
      <c r="AI90" s="441"/>
      <c r="AJ90" s="110"/>
      <c r="AK90" s="110"/>
      <c r="AL90" s="110"/>
      <c r="AM90" s="110"/>
      <c r="AN90" s="441"/>
      <c r="AO90" s="110"/>
      <c r="AP90" s="110"/>
      <c r="AQ90" s="110"/>
      <c r="AR90" s="110"/>
      <c r="AS90" s="441"/>
      <c r="AT90" s="110"/>
      <c r="AU90" s="110"/>
      <c r="AV90" s="110"/>
      <c r="AW90" s="110"/>
      <c r="AX90" s="441"/>
    </row>
    <row r="91" spans="2:50">
      <c r="B91" s="441"/>
      <c r="C91" s="110">
        <v>5</v>
      </c>
      <c r="D91" s="110"/>
      <c r="E91" s="110"/>
      <c r="F91" s="110"/>
      <c r="G91" s="110"/>
      <c r="H91" s="452"/>
      <c r="I91" s="160" t="e">
        <f t="shared" si="16"/>
        <v>#DIV/0!</v>
      </c>
      <c r="J91" s="160" t="e">
        <f t="shared" si="16"/>
        <v>#DIV/0!</v>
      </c>
      <c r="K91" s="158" t="e">
        <f t="shared" si="16"/>
        <v>#DIV/0!</v>
      </c>
      <c r="L91" s="455"/>
      <c r="M91" s="160" t="e">
        <f>RANK(K91, K$87:$K$101)</f>
        <v>#DIV/0!</v>
      </c>
      <c r="N91" s="440"/>
      <c r="O91" s="440"/>
      <c r="P91" s="110"/>
      <c r="Q91" s="110"/>
      <c r="R91" s="110"/>
      <c r="S91" s="110"/>
      <c r="T91" s="441"/>
      <c r="U91" s="110"/>
      <c r="V91" s="110"/>
      <c r="W91" s="110"/>
      <c r="X91" s="110"/>
      <c r="Y91" s="441"/>
      <c r="Z91" s="110"/>
      <c r="AA91" s="110"/>
      <c r="AB91" s="110"/>
      <c r="AC91" s="110"/>
      <c r="AD91" s="441"/>
      <c r="AE91" s="110"/>
      <c r="AF91" s="110"/>
      <c r="AG91" s="110"/>
      <c r="AH91" s="110"/>
      <c r="AI91" s="441"/>
      <c r="AJ91" s="110"/>
      <c r="AK91" s="110"/>
      <c r="AL91" s="110"/>
      <c r="AM91" s="110"/>
      <c r="AN91" s="441"/>
      <c r="AO91" s="110"/>
      <c r="AP91" s="110"/>
      <c r="AQ91" s="110"/>
      <c r="AR91" s="110"/>
      <c r="AS91" s="441"/>
      <c r="AT91" s="110"/>
      <c r="AU91" s="110"/>
      <c r="AV91" s="110"/>
      <c r="AW91" s="110"/>
      <c r="AX91" s="441"/>
    </row>
    <row r="92" spans="2:50">
      <c r="B92" s="441"/>
      <c r="C92" s="110">
        <v>6</v>
      </c>
      <c r="D92" s="110"/>
      <c r="E92" s="110"/>
      <c r="F92" s="110"/>
      <c r="G92" s="110"/>
      <c r="H92" s="452"/>
      <c r="I92" s="160" t="e">
        <f t="shared" si="16"/>
        <v>#DIV/0!</v>
      </c>
      <c r="J92" s="160" t="e">
        <f t="shared" si="16"/>
        <v>#DIV/0!</v>
      </c>
      <c r="K92" s="158" t="e">
        <f t="shared" si="16"/>
        <v>#DIV/0!</v>
      </c>
      <c r="L92" s="455"/>
      <c r="M92" s="160" t="e">
        <f>RANK(K92, K$87:$K$101)</f>
        <v>#DIV/0!</v>
      </c>
      <c r="N92" s="440"/>
      <c r="O92" s="440"/>
      <c r="P92" s="110"/>
      <c r="Q92" s="110"/>
      <c r="R92" s="110"/>
      <c r="S92" s="110"/>
      <c r="T92" s="441"/>
      <c r="U92" s="110"/>
      <c r="V92" s="110"/>
      <c r="W92" s="110"/>
      <c r="X92" s="110"/>
      <c r="Y92" s="441"/>
      <c r="Z92" s="110"/>
      <c r="AA92" s="110"/>
      <c r="AB92" s="110"/>
      <c r="AC92" s="110"/>
      <c r="AD92" s="441"/>
      <c r="AE92" s="110"/>
      <c r="AF92" s="110"/>
      <c r="AG92" s="110"/>
      <c r="AH92" s="110"/>
      <c r="AI92" s="441"/>
      <c r="AJ92" s="110"/>
      <c r="AK92" s="110"/>
      <c r="AL92" s="110"/>
      <c r="AM92" s="110"/>
      <c r="AN92" s="441"/>
      <c r="AO92" s="110"/>
      <c r="AP92" s="110"/>
      <c r="AQ92" s="110"/>
      <c r="AR92" s="110"/>
      <c r="AS92" s="441"/>
      <c r="AT92" s="110"/>
      <c r="AU92" s="110"/>
      <c r="AV92" s="110"/>
      <c r="AW92" s="110"/>
      <c r="AX92" s="441"/>
    </row>
    <row r="93" spans="2:50">
      <c r="B93" s="441"/>
      <c r="C93" s="110">
        <v>7</v>
      </c>
      <c r="D93" s="110"/>
      <c r="E93" s="110"/>
      <c r="F93" s="110"/>
      <c r="G93" s="110"/>
      <c r="H93" s="452"/>
      <c r="I93" s="160" t="e">
        <f t="shared" si="16"/>
        <v>#DIV/0!</v>
      </c>
      <c r="J93" s="160" t="e">
        <f t="shared" si="16"/>
        <v>#DIV/0!</v>
      </c>
      <c r="K93" s="158" t="e">
        <f t="shared" si="16"/>
        <v>#DIV/0!</v>
      </c>
      <c r="L93" s="455"/>
      <c r="M93" s="160" t="e">
        <f>RANK(K93, K$87:$K$101)</f>
        <v>#DIV/0!</v>
      </c>
      <c r="N93" s="440"/>
      <c r="O93" s="440"/>
      <c r="P93" s="110"/>
      <c r="Q93" s="110"/>
      <c r="R93" s="110"/>
      <c r="S93" s="110"/>
      <c r="T93" s="441"/>
      <c r="U93" s="110"/>
      <c r="V93" s="110"/>
      <c r="W93" s="110"/>
      <c r="X93" s="110"/>
      <c r="Y93" s="441"/>
      <c r="Z93" s="110"/>
      <c r="AA93" s="110"/>
      <c r="AB93" s="110"/>
      <c r="AC93" s="110"/>
      <c r="AD93" s="441"/>
      <c r="AE93" s="110"/>
      <c r="AF93" s="110"/>
      <c r="AG93" s="110"/>
      <c r="AH93" s="110"/>
      <c r="AI93" s="441"/>
      <c r="AJ93" s="110"/>
      <c r="AK93" s="110"/>
      <c r="AL93" s="110"/>
      <c r="AM93" s="110"/>
      <c r="AN93" s="441"/>
      <c r="AO93" s="110"/>
      <c r="AP93" s="110"/>
      <c r="AQ93" s="110"/>
      <c r="AR93" s="110"/>
      <c r="AS93" s="441"/>
      <c r="AT93" s="110"/>
      <c r="AU93" s="110"/>
      <c r="AV93" s="110"/>
      <c r="AW93" s="110"/>
      <c r="AX93" s="441"/>
    </row>
    <row r="94" spans="2:50">
      <c r="B94" s="441"/>
      <c r="C94" s="110">
        <v>8</v>
      </c>
      <c r="D94" s="110"/>
      <c r="E94" s="110"/>
      <c r="F94" s="110"/>
      <c r="G94" s="110"/>
      <c r="H94" s="452"/>
      <c r="I94" s="160" t="e">
        <f t="shared" si="16"/>
        <v>#DIV/0!</v>
      </c>
      <c r="J94" s="160" t="e">
        <f t="shared" si="16"/>
        <v>#DIV/0!</v>
      </c>
      <c r="K94" s="158" t="e">
        <f t="shared" si="16"/>
        <v>#DIV/0!</v>
      </c>
      <c r="L94" s="455"/>
      <c r="M94" s="160" t="e">
        <f>RANK(K94, K$87:$K$101)</f>
        <v>#DIV/0!</v>
      </c>
      <c r="N94" s="440"/>
      <c r="O94" s="440"/>
      <c r="P94" s="110"/>
      <c r="Q94" s="110"/>
      <c r="R94" s="110"/>
      <c r="S94" s="110"/>
      <c r="T94" s="441"/>
      <c r="U94" s="110"/>
      <c r="V94" s="110"/>
      <c r="W94" s="110"/>
      <c r="X94" s="110"/>
      <c r="Y94" s="441"/>
      <c r="Z94" s="110"/>
      <c r="AA94" s="110"/>
      <c r="AB94" s="110"/>
      <c r="AC94" s="110"/>
      <c r="AD94" s="441"/>
      <c r="AE94" s="110"/>
      <c r="AF94" s="110"/>
      <c r="AG94" s="110"/>
      <c r="AH94" s="110"/>
      <c r="AI94" s="441"/>
      <c r="AJ94" s="110"/>
      <c r="AK94" s="110"/>
      <c r="AL94" s="110"/>
      <c r="AM94" s="110"/>
      <c r="AN94" s="441"/>
      <c r="AO94" s="110"/>
      <c r="AP94" s="110"/>
      <c r="AQ94" s="110"/>
      <c r="AR94" s="110"/>
      <c r="AS94" s="441"/>
      <c r="AT94" s="110"/>
      <c r="AU94" s="110"/>
      <c r="AV94" s="110"/>
      <c r="AW94" s="110"/>
      <c r="AX94" s="441"/>
    </row>
    <row r="95" spans="2:50">
      <c r="B95" s="441"/>
      <c r="C95" s="110">
        <v>9</v>
      </c>
      <c r="D95" s="110"/>
      <c r="E95" s="110"/>
      <c r="F95" s="110"/>
      <c r="G95" s="110"/>
      <c r="H95" s="452"/>
      <c r="I95" s="160" t="e">
        <f t="shared" si="16"/>
        <v>#DIV/0!</v>
      </c>
      <c r="J95" s="160" t="e">
        <f t="shared" si="16"/>
        <v>#DIV/0!</v>
      </c>
      <c r="K95" s="158" t="e">
        <f t="shared" si="16"/>
        <v>#DIV/0!</v>
      </c>
      <c r="L95" s="455"/>
      <c r="M95" s="160" t="e">
        <f>RANK(K95, K$87:$K$101)</f>
        <v>#DIV/0!</v>
      </c>
      <c r="N95" s="440"/>
      <c r="O95" s="440"/>
      <c r="P95" s="110"/>
      <c r="Q95" s="110"/>
      <c r="R95" s="110"/>
      <c r="S95" s="110"/>
      <c r="T95" s="441"/>
      <c r="U95" s="110"/>
      <c r="V95" s="110"/>
      <c r="W95" s="110"/>
      <c r="X95" s="110"/>
      <c r="Y95" s="441"/>
      <c r="Z95" s="110"/>
      <c r="AA95" s="110"/>
      <c r="AB95" s="110"/>
      <c r="AC95" s="110"/>
      <c r="AD95" s="441"/>
      <c r="AE95" s="110"/>
      <c r="AF95" s="110"/>
      <c r="AG95" s="110"/>
      <c r="AH95" s="110"/>
      <c r="AI95" s="441"/>
      <c r="AJ95" s="110"/>
      <c r="AK95" s="110"/>
      <c r="AL95" s="110"/>
      <c r="AM95" s="110"/>
      <c r="AN95" s="441"/>
      <c r="AO95" s="110"/>
      <c r="AP95" s="110"/>
      <c r="AQ95" s="110"/>
      <c r="AR95" s="110"/>
      <c r="AS95" s="441"/>
      <c r="AT95" s="110"/>
      <c r="AU95" s="110"/>
      <c r="AV95" s="110"/>
      <c r="AW95" s="110"/>
      <c r="AX95" s="441"/>
    </row>
    <row r="96" spans="2:50">
      <c r="B96" s="441"/>
      <c r="C96" s="110">
        <v>10</v>
      </c>
      <c r="D96" s="110"/>
      <c r="E96" s="110"/>
      <c r="F96" s="110"/>
      <c r="G96" s="110"/>
      <c r="H96" s="452"/>
      <c r="I96" s="160" t="e">
        <f t="shared" si="16"/>
        <v>#DIV/0!</v>
      </c>
      <c r="J96" s="160" t="e">
        <f t="shared" si="16"/>
        <v>#DIV/0!</v>
      </c>
      <c r="K96" s="158" t="e">
        <f t="shared" si="16"/>
        <v>#DIV/0!</v>
      </c>
      <c r="L96" s="455"/>
      <c r="M96" s="160" t="e">
        <f>RANK(K96, K$87:$K$101)</f>
        <v>#DIV/0!</v>
      </c>
      <c r="N96" s="440"/>
      <c r="O96" s="440"/>
      <c r="P96" s="110"/>
      <c r="Q96" s="110"/>
      <c r="R96" s="110"/>
      <c r="S96" s="110"/>
      <c r="T96" s="441"/>
      <c r="U96" s="110"/>
      <c r="V96" s="110"/>
      <c r="W96" s="110"/>
      <c r="X96" s="110"/>
      <c r="Y96" s="441"/>
      <c r="Z96" s="110"/>
      <c r="AA96" s="110"/>
      <c r="AB96" s="110"/>
      <c r="AC96" s="110"/>
      <c r="AD96" s="441"/>
      <c r="AE96" s="110"/>
      <c r="AF96" s="110"/>
      <c r="AG96" s="110"/>
      <c r="AH96" s="110"/>
      <c r="AI96" s="441"/>
      <c r="AJ96" s="110"/>
      <c r="AK96" s="110"/>
      <c r="AL96" s="110"/>
      <c r="AM96" s="110"/>
      <c r="AN96" s="441"/>
      <c r="AO96" s="110"/>
      <c r="AP96" s="110"/>
      <c r="AQ96" s="110"/>
      <c r="AR96" s="110"/>
      <c r="AS96" s="441"/>
      <c r="AT96" s="110"/>
      <c r="AU96" s="110"/>
      <c r="AV96" s="110"/>
      <c r="AW96" s="110"/>
      <c r="AX96" s="441"/>
    </row>
    <row r="97" spans="2:50">
      <c r="B97" s="441"/>
      <c r="C97" s="110">
        <v>11</v>
      </c>
      <c r="D97" s="110"/>
      <c r="E97" s="110"/>
      <c r="F97" s="110"/>
      <c r="G97" s="110"/>
      <c r="H97" s="452"/>
      <c r="I97" s="110"/>
      <c r="J97" s="110"/>
      <c r="K97" s="110"/>
      <c r="L97" s="455"/>
      <c r="M97" s="160" t="e">
        <f>RANK(K97, K$87:$K$101)</f>
        <v>#DIV/0!</v>
      </c>
      <c r="N97" s="440"/>
      <c r="O97" s="440"/>
      <c r="P97" s="110"/>
      <c r="Q97" s="110"/>
      <c r="R97" s="110"/>
      <c r="S97" s="110"/>
      <c r="T97" s="441"/>
      <c r="U97" s="110"/>
      <c r="V97" s="110"/>
      <c r="W97" s="110"/>
      <c r="X97" s="110"/>
      <c r="Y97" s="441"/>
      <c r="Z97" s="110"/>
      <c r="AA97" s="110"/>
      <c r="AB97" s="110"/>
      <c r="AC97" s="110"/>
      <c r="AD97" s="441"/>
      <c r="AE97" s="110"/>
      <c r="AF97" s="110"/>
      <c r="AG97" s="110"/>
      <c r="AH97" s="110"/>
      <c r="AI97" s="441"/>
      <c r="AJ97" s="110"/>
      <c r="AK97" s="110"/>
      <c r="AL97" s="110"/>
      <c r="AM97" s="110"/>
      <c r="AN97" s="441"/>
      <c r="AO97" s="110"/>
      <c r="AP97" s="110"/>
      <c r="AQ97" s="110"/>
      <c r="AR97" s="110"/>
      <c r="AS97" s="441"/>
      <c r="AT97" s="110"/>
      <c r="AU97" s="110"/>
      <c r="AV97" s="110"/>
      <c r="AW97" s="110"/>
      <c r="AX97" s="441"/>
    </row>
    <row r="98" spans="2:50">
      <c r="B98" s="441"/>
      <c r="C98" s="110">
        <v>12</v>
      </c>
      <c r="D98" s="110"/>
      <c r="E98" s="110"/>
      <c r="F98" s="110"/>
      <c r="G98" s="110"/>
      <c r="H98" s="452"/>
      <c r="I98" s="110"/>
      <c r="J98" s="110"/>
      <c r="K98" s="110"/>
      <c r="L98" s="455"/>
      <c r="M98" s="160" t="e">
        <f>RANK(K98, K$87:$K$101)</f>
        <v>#DIV/0!</v>
      </c>
      <c r="N98" s="440"/>
      <c r="O98" s="440"/>
      <c r="P98" s="110"/>
      <c r="Q98" s="110"/>
      <c r="R98" s="110"/>
      <c r="S98" s="110"/>
      <c r="T98" s="441"/>
      <c r="U98" s="110"/>
      <c r="V98" s="110"/>
      <c r="W98" s="110"/>
      <c r="X98" s="110"/>
      <c r="Y98" s="441"/>
      <c r="Z98" s="110"/>
      <c r="AA98" s="110"/>
      <c r="AB98" s="110"/>
      <c r="AC98" s="110"/>
      <c r="AD98" s="441"/>
      <c r="AE98" s="110"/>
      <c r="AF98" s="110"/>
      <c r="AG98" s="110"/>
      <c r="AH98" s="110"/>
      <c r="AI98" s="441"/>
      <c r="AJ98" s="110"/>
      <c r="AK98" s="110"/>
      <c r="AL98" s="110"/>
      <c r="AM98" s="110"/>
      <c r="AN98" s="441"/>
      <c r="AO98" s="110"/>
      <c r="AP98" s="110"/>
      <c r="AQ98" s="110"/>
      <c r="AR98" s="110"/>
      <c r="AS98" s="441"/>
      <c r="AT98" s="110"/>
      <c r="AU98" s="110"/>
      <c r="AV98" s="110"/>
      <c r="AW98" s="110"/>
      <c r="AX98" s="441"/>
    </row>
    <row r="99" spans="2:50">
      <c r="B99" s="441"/>
      <c r="C99" s="110">
        <v>13</v>
      </c>
      <c r="D99" s="110"/>
      <c r="E99" s="110"/>
      <c r="F99" s="110"/>
      <c r="G99" s="110"/>
      <c r="H99" s="452"/>
      <c r="I99" s="110"/>
      <c r="J99" s="110"/>
      <c r="K99" s="110"/>
      <c r="L99" s="455"/>
      <c r="M99" s="160" t="e">
        <f>RANK(K99, K$87:$K$101)</f>
        <v>#DIV/0!</v>
      </c>
      <c r="N99" s="440"/>
      <c r="O99" s="440"/>
      <c r="P99" s="110"/>
      <c r="Q99" s="110"/>
      <c r="R99" s="110"/>
      <c r="S99" s="110"/>
      <c r="T99" s="441"/>
      <c r="U99" s="110"/>
      <c r="V99" s="110"/>
      <c r="W99" s="110"/>
      <c r="X99" s="110"/>
      <c r="Y99" s="441"/>
      <c r="Z99" s="110"/>
      <c r="AA99" s="110"/>
      <c r="AB99" s="110"/>
      <c r="AC99" s="110"/>
      <c r="AD99" s="441"/>
      <c r="AE99" s="110"/>
      <c r="AF99" s="110"/>
      <c r="AG99" s="110"/>
      <c r="AH99" s="110"/>
      <c r="AI99" s="441"/>
      <c r="AJ99" s="110"/>
      <c r="AK99" s="110"/>
      <c r="AL99" s="110"/>
      <c r="AM99" s="110"/>
      <c r="AN99" s="441"/>
      <c r="AO99" s="110"/>
      <c r="AP99" s="110"/>
      <c r="AQ99" s="110"/>
      <c r="AR99" s="110"/>
      <c r="AS99" s="441"/>
      <c r="AT99" s="110"/>
      <c r="AU99" s="110"/>
      <c r="AV99" s="110"/>
      <c r="AW99" s="110"/>
      <c r="AX99" s="441"/>
    </row>
    <row r="100" spans="2:50">
      <c r="B100" s="441"/>
      <c r="C100" s="110">
        <v>14</v>
      </c>
      <c r="D100" s="110"/>
      <c r="E100" s="110"/>
      <c r="F100" s="110"/>
      <c r="G100" s="110"/>
      <c r="H100" s="452"/>
      <c r="I100" s="110"/>
      <c r="J100" s="110"/>
      <c r="K100" s="110"/>
      <c r="L100" s="455"/>
      <c r="M100" s="160" t="e">
        <f>RANK(K100, K$87:$K$101)</f>
        <v>#DIV/0!</v>
      </c>
      <c r="N100" s="440"/>
      <c r="O100" s="440"/>
      <c r="P100" s="110"/>
      <c r="Q100" s="110"/>
      <c r="R100" s="110"/>
      <c r="S100" s="110"/>
      <c r="T100" s="441"/>
      <c r="U100" s="110"/>
      <c r="V100" s="110"/>
      <c r="W100" s="110"/>
      <c r="X100" s="110"/>
      <c r="Y100" s="441"/>
      <c r="Z100" s="110"/>
      <c r="AA100" s="110"/>
      <c r="AB100" s="110"/>
      <c r="AC100" s="110"/>
      <c r="AD100" s="441"/>
      <c r="AE100" s="110"/>
      <c r="AF100" s="110"/>
      <c r="AG100" s="110"/>
      <c r="AH100" s="110"/>
      <c r="AI100" s="441"/>
      <c r="AJ100" s="110"/>
      <c r="AK100" s="110"/>
      <c r="AL100" s="110"/>
      <c r="AM100" s="110"/>
      <c r="AN100" s="441"/>
      <c r="AO100" s="110"/>
      <c r="AP100" s="110"/>
      <c r="AQ100" s="110"/>
      <c r="AR100" s="110"/>
      <c r="AS100" s="441"/>
      <c r="AT100" s="110"/>
      <c r="AU100" s="110"/>
      <c r="AV100" s="110"/>
      <c r="AW100" s="110"/>
      <c r="AX100" s="441"/>
    </row>
    <row r="101" spans="2:50">
      <c r="B101" s="441"/>
      <c r="C101" s="110">
        <v>15</v>
      </c>
      <c r="D101" s="110"/>
      <c r="E101" s="110"/>
      <c r="F101" s="110"/>
      <c r="G101" s="110"/>
      <c r="H101" s="453"/>
      <c r="I101" s="110"/>
      <c r="J101" s="110"/>
      <c r="K101" s="110"/>
      <c r="L101" s="456"/>
      <c r="M101" s="160" t="e">
        <f>RANK(K101, K$87:$K$101)</f>
        <v>#DIV/0!</v>
      </c>
      <c r="N101" s="440"/>
      <c r="O101" s="440"/>
      <c r="P101" s="110"/>
      <c r="Q101" s="110"/>
      <c r="R101" s="110"/>
      <c r="S101" s="110"/>
      <c r="T101" s="441"/>
      <c r="U101" s="110"/>
      <c r="V101" s="110"/>
      <c r="W101" s="110"/>
      <c r="X101" s="110"/>
      <c r="Y101" s="441"/>
      <c r="Z101" s="110"/>
      <c r="AA101" s="110"/>
      <c r="AB101" s="110"/>
      <c r="AC101" s="110"/>
      <c r="AD101" s="441"/>
      <c r="AE101" s="110"/>
      <c r="AF101" s="110"/>
      <c r="AG101" s="110"/>
      <c r="AH101" s="110"/>
      <c r="AI101" s="441"/>
      <c r="AJ101" s="110"/>
      <c r="AK101" s="110"/>
      <c r="AL101" s="110"/>
      <c r="AM101" s="110"/>
      <c r="AN101" s="441"/>
      <c r="AO101" s="110"/>
      <c r="AP101" s="110"/>
      <c r="AQ101" s="110"/>
      <c r="AR101" s="110"/>
      <c r="AS101" s="441"/>
      <c r="AT101" s="110"/>
      <c r="AU101" s="110"/>
      <c r="AV101" s="110"/>
      <c r="AW101" s="110"/>
      <c r="AX101" s="441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2" zoomScaleNormal="100" workbookViewId="0">
      <pane xSplit="4" topLeftCell="V1" activePane="topRight" state="frozen"/>
      <selection pane="topRight" activeCell="L7" activeCellId="1" sqref="L27:L41 L7:L21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315</v>
      </c>
      <c r="C1" s="214">
        <v>111.7</v>
      </c>
    </row>
    <row r="2" spans="1:50" ht="15.75">
      <c r="A2" s="217"/>
      <c r="B2" s="423" t="s">
        <v>165</v>
      </c>
      <c r="C2" s="424"/>
      <c r="D2" s="424"/>
      <c r="E2" s="424"/>
      <c r="F2" s="424"/>
      <c r="G2" s="424"/>
      <c r="H2" s="424"/>
      <c r="I2" s="218"/>
      <c r="J2" s="218"/>
      <c r="K2" s="218"/>
      <c r="L2" s="218"/>
      <c r="M2" s="219"/>
      <c r="N2" s="413" t="s">
        <v>427</v>
      </c>
      <c r="O2" s="413" t="s">
        <v>103</v>
      </c>
      <c r="P2" s="426"/>
      <c r="Q2" s="427"/>
      <c r="R2" s="427"/>
      <c r="S2" s="427"/>
      <c r="T2" s="427"/>
      <c r="U2" s="426">
        <v>45931</v>
      </c>
      <c r="V2" s="427"/>
      <c r="W2" s="427"/>
      <c r="X2" s="427"/>
      <c r="Y2" s="427"/>
      <c r="Z2" s="426">
        <v>45932</v>
      </c>
      <c r="AA2" s="427"/>
      <c r="AB2" s="427"/>
      <c r="AC2" s="427"/>
      <c r="AD2" s="427"/>
      <c r="AE2" s="426">
        <v>45933</v>
      </c>
      <c r="AF2" s="427"/>
      <c r="AG2" s="427"/>
      <c r="AH2" s="427"/>
      <c r="AI2" s="427"/>
      <c r="AJ2" s="426">
        <v>45934</v>
      </c>
      <c r="AK2" s="427"/>
      <c r="AL2" s="427"/>
      <c r="AM2" s="427"/>
      <c r="AN2" s="427"/>
      <c r="AO2" s="426">
        <v>45935</v>
      </c>
      <c r="AP2" s="427"/>
      <c r="AQ2" s="427"/>
      <c r="AR2" s="427"/>
      <c r="AS2" s="427"/>
      <c r="AT2" s="426">
        <v>45936</v>
      </c>
      <c r="AU2" s="427"/>
      <c r="AV2" s="427"/>
      <c r="AW2" s="427"/>
      <c r="AX2" s="427"/>
    </row>
    <row r="3" spans="1:50" ht="15.75">
      <c r="A3" s="217"/>
      <c r="B3" s="425"/>
      <c r="C3" s="425"/>
      <c r="D3" s="425"/>
      <c r="E3" s="425"/>
      <c r="F3" s="425"/>
      <c r="G3" s="425"/>
      <c r="H3" s="425"/>
      <c r="I3" s="220"/>
      <c r="J3" s="220"/>
      <c r="K3" s="220"/>
      <c r="L3" s="220"/>
      <c r="M3" s="221"/>
      <c r="N3" s="415"/>
      <c r="O3" s="415"/>
      <c r="P3" s="426" t="s">
        <v>118</v>
      </c>
      <c r="Q3" s="427"/>
      <c r="R3" s="427"/>
      <c r="S3" s="427"/>
      <c r="T3" s="427"/>
      <c r="U3" s="426" t="s">
        <v>428</v>
      </c>
      <c r="V3" s="427"/>
      <c r="W3" s="427"/>
      <c r="X3" s="427"/>
      <c r="Y3" s="427"/>
      <c r="Z3" s="426" t="s">
        <v>429</v>
      </c>
      <c r="AA3" s="427"/>
      <c r="AB3" s="427"/>
      <c r="AC3" s="427"/>
      <c r="AD3" s="427"/>
      <c r="AE3" s="426" t="s">
        <v>430</v>
      </c>
      <c r="AF3" s="427"/>
      <c r="AG3" s="427"/>
      <c r="AH3" s="427"/>
      <c r="AI3" s="427"/>
      <c r="AJ3" s="426" t="s">
        <v>431</v>
      </c>
      <c r="AK3" s="427"/>
      <c r="AL3" s="427"/>
      <c r="AM3" s="427"/>
      <c r="AN3" s="427"/>
      <c r="AO3" s="426" t="s">
        <v>416</v>
      </c>
      <c r="AP3" s="427"/>
      <c r="AQ3" s="427"/>
      <c r="AR3" s="427"/>
      <c r="AS3" s="427"/>
      <c r="AT3" s="426" t="s">
        <v>432</v>
      </c>
      <c r="AU3" s="427"/>
      <c r="AV3" s="427"/>
      <c r="AW3" s="427"/>
      <c r="AX3" s="427"/>
    </row>
    <row r="4" spans="1:50" ht="14.25">
      <c r="A4" s="217"/>
      <c r="B4" s="419" t="s">
        <v>394</v>
      </c>
      <c r="C4" s="419" t="s">
        <v>425</v>
      </c>
      <c r="D4" s="419"/>
      <c r="E4" s="419" t="s">
        <v>148</v>
      </c>
      <c r="F4" s="419"/>
      <c r="G4" s="419"/>
      <c r="H4" s="420" t="s">
        <v>155</v>
      </c>
      <c r="I4" s="419" t="s">
        <v>433</v>
      </c>
      <c r="J4" s="419"/>
      <c r="K4" s="419"/>
      <c r="L4" s="420" t="s">
        <v>403</v>
      </c>
      <c r="M4" s="413" t="s">
        <v>434</v>
      </c>
      <c r="N4" s="419"/>
      <c r="O4" s="419" t="s">
        <v>156</v>
      </c>
      <c r="P4" s="416" t="s">
        <v>151</v>
      </c>
      <c r="Q4" s="417"/>
      <c r="R4" s="417"/>
      <c r="S4" s="418"/>
      <c r="T4" s="419" t="s">
        <v>435</v>
      </c>
      <c r="U4" s="416" t="s">
        <v>151</v>
      </c>
      <c r="V4" s="417"/>
      <c r="W4" s="417"/>
      <c r="X4" s="418"/>
      <c r="Y4" s="419" t="s">
        <v>435</v>
      </c>
      <c r="Z4" s="416" t="s">
        <v>151</v>
      </c>
      <c r="AA4" s="417"/>
      <c r="AB4" s="417"/>
      <c r="AC4" s="418"/>
      <c r="AD4" s="419" t="s">
        <v>435</v>
      </c>
      <c r="AE4" s="416" t="s">
        <v>151</v>
      </c>
      <c r="AF4" s="417"/>
      <c r="AG4" s="417"/>
      <c r="AH4" s="418"/>
      <c r="AI4" s="419" t="s">
        <v>435</v>
      </c>
      <c r="AJ4" s="416" t="s">
        <v>402</v>
      </c>
      <c r="AK4" s="417"/>
      <c r="AL4" s="417"/>
      <c r="AM4" s="418"/>
      <c r="AN4" s="419" t="s">
        <v>435</v>
      </c>
      <c r="AO4" s="416" t="s">
        <v>151</v>
      </c>
      <c r="AP4" s="417"/>
      <c r="AQ4" s="417"/>
      <c r="AR4" s="418"/>
      <c r="AS4" s="419" t="s">
        <v>397</v>
      </c>
      <c r="AT4" s="416" t="s">
        <v>436</v>
      </c>
      <c r="AU4" s="417"/>
      <c r="AV4" s="417"/>
      <c r="AW4" s="418"/>
      <c r="AX4" s="419" t="s">
        <v>155</v>
      </c>
    </row>
    <row r="5" spans="1:50" ht="14.25">
      <c r="A5" s="217"/>
      <c r="B5" s="419"/>
      <c r="C5" s="419"/>
      <c r="D5" s="419"/>
      <c r="E5" s="419" t="s">
        <v>437</v>
      </c>
      <c r="F5" s="419"/>
      <c r="G5" s="419"/>
      <c r="H5" s="421"/>
      <c r="I5" s="419" t="s">
        <v>437</v>
      </c>
      <c r="J5" s="419"/>
      <c r="K5" s="419"/>
      <c r="L5" s="421"/>
      <c r="M5" s="414"/>
      <c r="N5" s="419"/>
      <c r="O5" s="419"/>
      <c r="P5" s="416" t="s">
        <v>152</v>
      </c>
      <c r="Q5" s="417"/>
      <c r="R5" s="417"/>
      <c r="S5" s="418"/>
      <c r="T5" s="419"/>
      <c r="U5" s="416" t="s">
        <v>438</v>
      </c>
      <c r="V5" s="417"/>
      <c r="W5" s="417"/>
      <c r="X5" s="418"/>
      <c r="Y5" s="419"/>
      <c r="Z5" s="416" t="s">
        <v>152</v>
      </c>
      <c r="AA5" s="417"/>
      <c r="AB5" s="417"/>
      <c r="AC5" s="418"/>
      <c r="AD5" s="419"/>
      <c r="AE5" s="416" t="s">
        <v>152</v>
      </c>
      <c r="AF5" s="417"/>
      <c r="AG5" s="417"/>
      <c r="AH5" s="418"/>
      <c r="AI5" s="419"/>
      <c r="AJ5" s="416" t="s">
        <v>438</v>
      </c>
      <c r="AK5" s="417"/>
      <c r="AL5" s="417"/>
      <c r="AM5" s="418"/>
      <c r="AN5" s="419"/>
      <c r="AO5" s="416" t="s">
        <v>438</v>
      </c>
      <c r="AP5" s="417"/>
      <c r="AQ5" s="417"/>
      <c r="AR5" s="418"/>
      <c r="AS5" s="419"/>
      <c r="AT5" s="416" t="s">
        <v>152</v>
      </c>
      <c r="AU5" s="417"/>
      <c r="AV5" s="417"/>
      <c r="AW5" s="418"/>
      <c r="AX5" s="419"/>
    </row>
    <row r="6" spans="1:50" ht="14.25">
      <c r="A6" s="222"/>
      <c r="B6" s="419"/>
      <c r="C6" s="419"/>
      <c r="D6" s="419"/>
      <c r="E6" s="223" t="s">
        <v>439</v>
      </c>
      <c r="F6" s="223" t="s">
        <v>440</v>
      </c>
      <c r="G6" s="223" t="s">
        <v>441</v>
      </c>
      <c r="H6" s="422"/>
      <c r="I6" s="223" t="s">
        <v>149</v>
      </c>
      <c r="J6" s="223" t="s">
        <v>440</v>
      </c>
      <c r="K6" s="223" t="s">
        <v>153</v>
      </c>
      <c r="L6" s="422"/>
      <c r="M6" s="415"/>
      <c r="N6" s="419"/>
      <c r="O6" s="419"/>
      <c r="P6" s="223" t="s">
        <v>411</v>
      </c>
      <c r="Q6" s="223" t="s">
        <v>440</v>
      </c>
      <c r="R6" s="223" t="s">
        <v>153</v>
      </c>
      <c r="S6" s="223" t="s">
        <v>434</v>
      </c>
      <c r="T6" s="419"/>
      <c r="U6" s="223" t="s">
        <v>149</v>
      </c>
      <c r="V6" s="223" t="s">
        <v>410</v>
      </c>
      <c r="W6" s="223" t="s">
        <v>441</v>
      </c>
      <c r="X6" s="223" t="s">
        <v>434</v>
      </c>
      <c r="Y6" s="419"/>
      <c r="Z6" s="223" t="s">
        <v>149</v>
      </c>
      <c r="AA6" s="223" t="s">
        <v>410</v>
      </c>
      <c r="AB6" s="223" t="s">
        <v>441</v>
      </c>
      <c r="AC6" s="223" t="s">
        <v>166</v>
      </c>
      <c r="AD6" s="419"/>
      <c r="AE6" s="223" t="s">
        <v>439</v>
      </c>
      <c r="AF6" s="223" t="s">
        <v>410</v>
      </c>
      <c r="AG6" s="223" t="s">
        <v>441</v>
      </c>
      <c r="AH6" s="223" t="s">
        <v>434</v>
      </c>
      <c r="AI6" s="419"/>
      <c r="AJ6" s="223" t="s">
        <v>439</v>
      </c>
      <c r="AK6" s="223" t="s">
        <v>440</v>
      </c>
      <c r="AL6" s="223" t="s">
        <v>441</v>
      </c>
      <c r="AM6" s="223" t="s">
        <v>434</v>
      </c>
      <c r="AN6" s="419"/>
      <c r="AO6" s="223" t="s">
        <v>439</v>
      </c>
      <c r="AP6" s="223" t="s">
        <v>440</v>
      </c>
      <c r="AQ6" s="223" t="s">
        <v>153</v>
      </c>
      <c r="AR6" s="223" t="s">
        <v>434</v>
      </c>
      <c r="AS6" s="419"/>
      <c r="AT6" s="223" t="s">
        <v>149</v>
      </c>
      <c r="AU6" s="223" t="s">
        <v>440</v>
      </c>
      <c r="AV6" s="223" t="s">
        <v>441</v>
      </c>
      <c r="AW6" s="223" t="s">
        <v>412</v>
      </c>
      <c r="AX6" s="419"/>
    </row>
    <row r="7" spans="1:50" ht="14.25">
      <c r="A7" s="217"/>
      <c r="B7" s="419" t="s">
        <v>442</v>
      </c>
      <c r="C7" s="224">
        <v>1</v>
      </c>
      <c r="D7" s="224" t="s">
        <v>354</v>
      </c>
      <c r="E7" s="225">
        <f>VLOOKUP(D7,'10產線配置圖'!$A$2:$C$25,2,0)</f>
        <v>13</v>
      </c>
      <c r="F7" s="225">
        <f>VLOOKUP(D7,'10產線配置圖'!$A$2:$C$25,3,0)</f>
        <v>1565</v>
      </c>
      <c r="G7" s="226">
        <f t="shared" ref="G7:G9" si="0">F7/E7</f>
        <v>120.38461538461539</v>
      </c>
      <c r="H7" s="434">
        <f>AVERAGE(G7:G21)</f>
        <v>127.07264957264958</v>
      </c>
      <c r="I7" s="225">
        <f>AVERAGE(P7,U7,Z7,AE7,AJ7,AO7,AT7)</f>
        <v>13</v>
      </c>
      <c r="J7" s="225">
        <f>AVERAGE(Q7,V7,AA7,AF7,AK7,AP7,AU7)</f>
        <v>1473.8333333333333</v>
      </c>
      <c r="K7" s="226">
        <f>AVERAGE(W7,AB7,AG7,AL7,AQ7,AV7)</f>
        <v>113.37179487179488</v>
      </c>
      <c r="L7" s="434">
        <f>IFERROR(AVERAGE(K7:K21),"-")</f>
        <v>111.71652421652421</v>
      </c>
      <c r="M7" s="227">
        <f>RANK(K7, K$7:$K$21)</f>
        <v>1</v>
      </c>
      <c r="N7" s="419"/>
      <c r="O7" s="419"/>
      <c r="P7" s="225"/>
      <c r="Q7" s="225"/>
      <c r="R7" s="226" t="e">
        <f>Q7/P7</f>
        <v>#DIV/0!</v>
      </c>
      <c r="S7" s="224" t="e">
        <f>RANK(R7, R$7:R$21)</f>
        <v>#DIV/0!</v>
      </c>
      <c r="T7" s="432" t="e">
        <f>AVERAGE(R7:R21)</f>
        <v>#DIV/0!</v>
      </c>
      <c r="U7" s="225">
        <v>13</v>
      </c>
      <c r="V7" s="225">
        <v>1427</v>
      </c>
      <c r="W7" s="226">
        <f>V7/U7</f>
        <v>109.76923076923077</v>
      </c>
      <c r="X7" s="224">
        <f>RANK(W7, W$7:W$21)</f>
        <v>3</v>
      </c>
      <c r="Y7" s="432">
        <f>AVERAGE(W7:W21)</f>
        <v>118.97863247863249</v>
      </c>
      <c r="Z7" s="224">
        <v>13</v>
      </c>
      <c r="AA7" s="225">
        <v>1507</v>
      </c>
      <c r="AB7" s="226">
        <f>AA7/Z7</f>
        <v>115.92307692307692</v>
      </c>
      <c r="AC7" s="224">
        <f>RANK(AB7, AB$7:AB$21)</f>
        <v>2</v>
      </c>
      <c r="AD7" s="432">
        <f>AVERAGE(AB7:AB21)</f>
        <v>116.52991452991454</v>
      </c>
      <c r="AE7" s="225">
        <v>13</v>
      </c>
      <c r="AF7" s="225">
        <v>1506</v>
      </c>
      <c r="AG7" s="226">
        <f>AF7/AE7</f>
        <v>115.84615384615384</v>
      </c>
      <c r="AH7" s="224">
        <f>RANK(AG7, AG$7:AG$21)</f>
        <v>1</v>
      </c>
      <c r="AI7" s="432">
        <f>AVERAGE(AG7:AG21)</f>
        <v>104.22649572649573</v>
      </c>
      <c r="AJ7" s="225">
        <v>13</v>
      </c>
      <c r="AK7" s="225">
        <v>1367</v>
      </c>
      <c r="AL7" s="226">
        <f>AK7/AJ7</f>
        <v>105.15384615384616</v>
      </c>
      <c r="AM7" s="224">
        <f>RANK(AL7, AL$7:AL$21)</f>
        <v>3</v>
      </c>
      <c r="AN7" s="432">
        <f>AVERAGE(AL7:AL21)</f>
        <v>115.57905982905983</v>
      </c>
      <c r="AO7" s="225">
        <v>13</v>
      </c>
      <c r="AP7" s="225">
        <v>1564</v>
      </c>
      <c r="AQ7" s="226">
        <f>AP7/AO7</f>
        <v>120.30769230769231</v>
      </c>
      <c r="AR7" s="224">
        <f>RANK(AQ7, AQ$7:AQ$21)</f>
        <v>1</v>
      </c>
      <c r="AS7" s="432">
        <f>AVERAGE(AQ7:AQ21)</f>
        <v>113.96367521367522</v>
      </c>
      <c r="AT7" s="225">
        <v>13</v>
      </c>
      <c r="AU7" s="225">
        <v>1472</v>
      </c>
      <c r="AV7" s="226">
        <f>AU7/AT7</f>
        <v>113.23076923076923</v>
      </c>
      <c r="AW7" s="224">
        <f>RANK(AV7, AV$7:AV$21)</f>
        <v>2</v>
      </c>
      <c r="AX7" s="432">
        <f>AVERAGE(AV7:AV21)</f>
        <v>101.02136752136754</v>
      </c>
    </row>
    <row r="8" spans="1:50" ht="15" customHeight="1">
      <c r="A8" s="217"/>
      <c r="B8" s="427"/>
      <c r="C8" s="224">
        <v>2</v>
      </c>
      <c r="D8" s="224" t="s">
        <v>362</v>
      </c>
      <c r="E8" s="225">
        <f>VLOOKUP(D8,'10產線配置圖'!$A$2:$C$25,2,0)</f>
        <v>12</v>
      </c>
      <c r="F8" s="225">
        <f>VLOOKUP(D8,'10產線配置圖'!$A$2:$C$25,3,0)</f>
        <v>1565</v>
      </c>
      <c r="G8" s="226">
        <f t="shared" si="0"/>
        <v>130.41666666666666</v>
      </c>
      <c r="H8" s="435"/>
      <c r="I8" s="225">
        <f t="shared" ref="I8:J9" si="1">AVERAGE(P8,U8,Z8,AE8,AJ8,AO8,AT8)</f>
        <v>12</v>
      </c>
      <c r="J8" s="225">
        <f t="shared" si="1"/>
        <v>1304.3333333333333</v>
      </c>
      <c r="K8" s="226">
        <f t="shared" ref="K8:K9" si="2">AVERAGE(W8,AB8,AG8,AL8,AQ8,AV8)</f>
        <v>108.69444444444444</v>
      </c>
      <c r="L8" s="435"/>
      <c r="M8" s="227">
        <f>RANK(K8, K$7:$K$21)</f>
        <v>3</v>
      </c>
      <c r="N8" s="419"/>
      <c r="O8" s="419"/>
      <c r="P8" s="225"/>
      <c r="Q8" s="225"/>
      <c r="R8" s="226" t="e">
        <f t="shared" ref="R8:R13" si="3">Q8/P8</f>
        <v>#DIV/0!</v>
      </c>
      <c r="S8" s="224" t="e">
        <f t="shared" ref="S8:S13" si="4">RANK(R8, R$7:R$21)</f>
        <v>#DIV/0!</v>
      </c>
      <c r="T8" s="432"/>
      <c r="U8" s="225">
        <v>12</v>
      </c>
      <c r="V8" s="225">
        <v>1472</v>
      </c>
      <c r="W8" s="226">
        <f t="shared" ref="W8:W9" si="5">V8/U8</f>
        <v>122.66666666666667</v>
      </c>
      <c r="X8" s="224">
        <f t="shared" ref="X8:X9" si="6">RANK(W8, W$7:W$21)</f>
        <v>2</v>
      </c>
      <c r="Y8" s="432"/>
      <c r="Z8" s="224">
        <v>12</v>
      </c>
      <c r="AA8" s="225">
        <v>1516</v>
      </c>
      <c r="AB8" s="226">
        <f t="shared" ref="AB8:AB9" si="7">AA8/Z8</f>
        <v>126.33333333333333</v>
      </c>
      <c r="AC8" s="224">
        <f t="shared" ref="AC8:AC9" si="8">RANK(AB8, AB$7:AB$21)</f>
        <v>1</v>
      </c>
      <c r="AD8" s="432"/>
      <c r="AE8" s="225">
        <v>12</v>
      </c>
      <c r="AF8" s="225">
        <v>1181</v>
      </c>
      <c r="AG8" s="226">
        <f t="shared" ref="AG8:AG9" si="9">AF8/AE8</f>
        <v>98.416666666666671</v>
      </c>
      <c r="AH8" s="224">
        <f t="shared" ref="AH8:AH9" si="10">RANK(AG8, AG$7:AG$21)</f>
        <v>2</v>
      </c>
      <c r="AI8" s="432"/>
      <c r="AJ8" s="225">
        <v>12</v>
      </c>
      <c r="AK8" s="225">
        <v>1527</v>
      </c>
      <c r="AL8" s="226">
        <f t="shared" ref="AL8:AL9" si="11">AK8/AJ8</f>
        <v>127.25</v>
      </c>
      <c r="AM8" s="224">
        <f t="shared" ref="AM8:AM9" si="12">RANK(AL8, AL$7:AL$21)</f>
        <v>1</v>
      </c>
      <c r="AN8" s="432"/>
      <c r="AO8" s="225">
        <v>12</v>
      </c>
      <c r="AP8" s="225">
        <v>1273</v>
      </c>
      <c r="AQ8" s="226">
        <f t="shared" ref="AQ8:AQ9" si="13">AP8/AO8</f>
        <v>106.08333333333333</v>
      </c>
      <c r="AR8" s="224">
        <f t="shared" ref="AR8:AR9" si="14">RANK(AQ8, AQ$7:AQ$21)</f>
        <v>3</v>
      </c>
      <c r="AS8" s="432"/>
      <c r="AT8" s="225">
        <v>12</v>
      </c>
      <c r="AU8" s="225">
        <v>857</v>
      </c>
      <c r="AV8" s="226">
        <f t="shared" ref="AV8:AV9" si="15">AU8/AT8</f>
        <v>71.416666666666671</v>
      </c>
      <c r="AW8" s="224">
        <f t="shared" ref="AW8:AW9" si="16">RANK(AV8, AV$7:AV$21)</f>
        <v>3</v>
      </c>
      <c r="AX8" s="432"/>
    </row>
    <row r="9" spans="1:50" ht="14.25">
      <c r="A9" s="217"/>
      <c r="B9" s="427"/>
      <c r="C9" s="224">
        <v>3</v>
      </c>
      <c r="D9" s="224" t="s">
        <v>463</v>
      </c>
      <c r="E9" s="225">
        <f>VLOOKUP(D9,'10產線配置圖'!$A$2:$C$25,2,0)</f>
        <v>12</v>
      </c>
      <c r="F9" s="225">
        <f>VLOOKUP(D9,'10產線配置圖'!$A$2:$C$25,3,0)</f>
        <v>1565</v>
      </c>
      <c r="G9" s="226">
        <f t="shared" si="0"/>
        <v>130.41666666666666</v>
      </c>
      <c r="H9" s="435"/>
      <c r="I9" s="225">
        <f t="shared" si="1"/>
        <v>12</v>
      </c>
      <c r="J9" s="225">
        <f t="shared" si="1"/>
        <v>1357</v>
      </c>
      <c r="K9" s="226">
        <f t="shared" si="2"/>
        <v>113.08333333333331</v>
      </c>
      <c r="L9" s="435"/>
      <c r="M9" s="227">
        <f>RANK(K9, K$7:$K$21)</f>
        <v>2</v>
      </c>
      <c r="N9" s="419"/>
      <c r="O9" s="419"/>
      <c r="P9" s="225"/>
      <c r="Q9" s="225"/>
      <c r="R9" s="226" t="e">
        <f t="shared" si="3"/>
        <v>#DIV/0!</v>
      </c>
      <c r="S9" s="224" t="e">
        <f t="shared" si="4"/>
        <v>#DIV/0!</v>
      </c>
      <c r="T9" s="432"/>
      <c r="U9" s="225">
        <v>12</v>
      </c>
      <c r="V9" s="225">
        <v>1494</v>
      </c>
      <c r="W9" s="226">
        <f t="shared" si="5"/>
        <v>124.5</v>
      </c>
      <c r="X9" s="224">
        <f t="shared" si="6"/>
        <v>1</v>
      </c>
      <c r="Y9" s="432"/>
      <c r="Z9" s="224">
        <v>12</v>
      </c>
      <c r="AA9" s="225">
        <v>1288</v>
      </c>
      <c r="AB9" s="226">
        <f t="shared" si="7"/>
        <v>107.33333333333333</v>
      </c>
      <c r="AC9" s="224">
        <f t="shared" si="8"/>
        <v>3</v>
      </c>
      <c r="AD9" s="432"/>
      <c r="AE9" s="225">
        <v>12</v>
      </c>
      <c r="AF9" s="225">
        <v>1181</v>
      </c>
      <c r="AG9" s="226">
        <f t="shared" si="9"/>
        <v>98.416666666666671</v>
      </c>
      <c r="AH9" s="224">
        <f t="shared" si="10"/>
        <v>2</v>
      </c>
      <c r="AI9" s="432"/>
      <c r="AJ9" s="225">
        <v>12</v>
      </c>
      <c r="AK9" s="225">
        <v>1372</v>
      </c>
      <c r="AL9" s="226">
        <f t="shared" si="11"/>
        <v>114.33333333333333</v>
      </c>
      <c r="AM9" s="224">
        <f t="shared" si="12"/>
        <v>2</v>
      </c>
      <c r="AN9" s="432"/>
      <c r="AO9" s="225">
        <v>12</v>
      </c>
      <c r="AP9" s="225">
        <v>1386</v>
      </c>
      <c r="AQ9" s="226">
        <f t="shared" si="13"/>
        <v>115.5</v>
      </c>
      <c r="AR9" s="224">
        <f t="shared" si="14"/>
        <v>2</v>
      </c>
      <c r="AS9" s="432"/>
      <c r="AT9" s="225">
        <v>12</v>
      </c>
      <c r="AU9" s="225">
        <v>1421</v>
      </c>
      <c r="AV9" s="226">
        <f t="shared" si="15"/>
        <v>118.41666666666667</v>
      </c>
      <c r="AW9" s="224">
        <f t="shared" si="16"/>
        <v>1</v>
      </c>
      <c r="AX9" s="432"/>
    </row>
    <row r="10" spans="1:50" ht="14.25">
      <c r="A10" s="217"/>
      <c r="B10" s="427"/>
      <c r="C10" s="224">
        <v>4</v>
      </c>
      <c r="D10" s="224"/>
      <c r="E10" s="225"/>
      <c r="F10" s="225"/>
      <c r="G10" s="226"/>
      <c r="H10" s="435"/>
      <c r="I10" s="225"/>
      <c r="J10" s="225"/>
      <c r="K10" s="226"/>
      <c r="L10" s="435"/>
      <c r="M10" s="227"/>
      <c r="N10" s="419"/>
      <c r="O10" s="419"/>
      <c r="P10" s="225"/>
      <c r="Q10" s="225"/>
      <c r="R10" s="226" t="e">
        <f t="shared" si="3"/>
        <v>#DIV/0!</v>
      </c>
      <c r="S10" s="224" t="e">
        <f t="shared" si="4"/>
        <v>#DIV/0!</v>
      </c>
      <c r="T10" s="432"/>
      <c r="U10" s="225"/>
      <c r="V10" s="225"/>
      <c r="W10" s="226"/>
      <c r="X10" s="224"/>
      <c r="Y10" s="432"/>
      <c r="Z10" s="224"/>
      <c r="AA10" s="225"/>
      <c r="AB10" s="226"/>
      <c r="AC10" s="224"/>
      <c r="AD10" s="432"/>
      <c r="AE10" s="225"/>
      <c r="AF10" s="225"/>
      <c r="AG10" s="226"/>
      <c r="AH10" s="224"/>
      <c r="AI10" s="432"/>
      <c r="AJ10" s="225"/>
      <c r="AK10" s="225"/>
      <c r="AL10" s="226"/>
      <c r="AM10" s="224"/>
      <c r="AN10" s="432"/>
      <c r="AO10" s="225"/>
      <c r="AP10" s="225"/>
      <c r="AQ10" s="226"/>
      <c r="AR10" s="224"/>
      <c r="AS10" s="432"/>
      <c r="AT10" s="225"/>
      <c r="AU10" s="225"/>
      <c r="AV10" s="226"/>
      <c r="AW10" s="224"/>
      <c r="AX10" s="432"/>
    </row>
    <row r="11" spans="1:50" ht="14.25">
      <c r="A11" s="217"/>
      <c r="B11" s="427"/>
      <c r="C11" s="224">
        <v>5</v>
      </c>
      <c r="D11" s="224"/>
      <c r="E11" s="225"/>
      <c r="F11" s="225"/>
      <c r="G11" s="226"/>
      <c r="H11" s="435"/>
      <c r="I11" s="225"/>
      <c r="J11" s="225"/>
      <c r="K11" s="226"/>
      <c r="L11" s="435"/>
      <c r="M11" s="227"/>
      <c r="N11" s="419"/>
      <c r="O11" s="419"/>
      <c r="P11" s="225"/>
      <c r="Q11" s="225"/>
      <c r="R11" s="226" t="e">
        <f t="shared" si="3"/>
        <v>#DIV/0!</v>
      </c>
      <c r="S11" s="224" t="e">
        <f t="shared" si="4"/>
        <v>#DIV/0!</v>
      </c>
      <c r="T11" s="432"/>
      <c r="U11" s="225"/>
      <c r="V11" s="225"/>
      <c r="W11" s="226"/>
      <c r="X11" s="224"/>
      <c r="Y11" s="432"/>
      <c r="Z11" s="224"/>
      <c r="AA11" s="225"/>
      <c r="AB11" s="226"/>
      <c r="AC11" s="224"/>
      <c r="AD11" s="432"/>
      <c r="AE11" s="225"/>
      <c r="AF11" s="225"/>
      <c r="AG11" s="226"/>
      <c r="AH11" s="224"/>
      <c r="AI11" s="432"/>
      <c r="AJ11" s="225"/>
      <c r="AK11" s="225"/>
      <c r="AL11" s="226"/>
      <c r="AM11" s="224"/>
      <c r="AN11" s="432"/>
      <c r="AO11" s="225"/>
      <c r="AP11" s="225"/>
      <c r="AQ11" s="226"/>
      <c r="AR11" s="224"/>
      <c r="AS11" s="432"/>
      <c r="AT11" s="225"/>
      <c r="AU11" s="225"/>
      <c r="AV11" s="226"/>
      <c r="AW11" s="224"/>
      <c r="AX11" s="432"/>
    </row>
    <row r="12" spans="1:50" ht="14.25">
      <c r="A12" s="217"/>
      <c r="B12" s="427"/>
      <c r="C12" s="224">
        <v>6</v>
      </c>
      <c r="D12" s="224"/>
      <c r="E12" s="225"/>
      <c r="F12" s="225"/>
      <c r="G12" s="226"/>
      <c r="H12" s="435"/>
      <c r="I12" s="225"/>
      <c r="J12" s="225"/>
      <c r="K12" s="226"/>
      <c r="L12" s="435"/>
      <c r="M12" s="227"/>
      <c r="N12" s="419"/>
      <c r="O12" s="419"/>
      <c r="P12" s="225"/>
      <c r="Q12" s="225"/>
      <c r="R12" s="226" t="e">
        <f t="shared" si="3"/>
        <v>#DIV/0!</v>
      </c>
      <c r="S12" s="224" t="e">
        <f t="shared" si="4"/>
        <v>#DIV/0!</v>
      </c>
      <c r="T12" s="432"/>
      <c r="U12" s="225"/>
      <c r="V12" s="225"/>
      <c r="W12" s="226"/>
      <c r="X12" s="224"/>
      <c r="Y12" s="432"/>
      <c r="Z12" s="224"/>
      <c r="AA12" s="225"/>
      <c r="AB12" s="226"/>
      <c r="AC12" s="224"/>
      <c r="AD12" s="432"/>
      <c r="AE12" s="225"/>
      <c r="AF12" s="225"/>
      <c r="AG12" s="226"/>
      <c r="AH12" s="224"/>
      <c r="AI12" s="432"/>
      <c r="AJ12" s="225"/>
      <c r="AK12" s="225"/>
      <c r="AL12" s="226"/>
      <c r="AM12" s="224"/>
      <c r="AN12" s="432"/>
      <c r="AO12" s="225"/>
      <c r="AP12" s="225"/>
      <c r="AQ12" s="226"/>
      <c r="AR12" s="224"/>
      <c r="AS12" s="432"/>
      <c r="AT12" s="225"/>
      <c r="AU12" s="225"/>
      <c r="AV12" s="226"/>
      <c r="AW12" s="224"/>
      <c r="AX12" s="432"/>
    </row>
    <row r="13" spans="1:50" ht="14.25">
      <c r="A13" s="217"/>
      <c r="B13" s="427"/>
      <c r="C13" s="224">
        <v>7</v>
      </c>
      <c r="D13" s="224"/>
      <c r="E13" s="225"/>
      <c r="F13" s="225"/>
      <c r="G13" s="226"/>
      <c r="H13" s="435"/>
      <c r="I13" s="225"/>
      <c r="J13" s="225"/>
      <c r="K13" s="226"/>
      <c r="L13" s="435"/>
      <c r="M13" s="227"/>
      <c r="N13" s="419"/>
      <c r="O13" s="419"/>
      <c r="P13" s="225"/>
      <c r="Q13" s="225"/>
      <c r="R13" s="226" t="e">
        <f t="shared" si="3"/>
        <v>#DIV/0!</v>
      </c>
      <c r="S13" s="224" t="e">
        <f t="shared" si="4"/>
        <v>#DIV/0!</v>
      </c>
      <c r="T13" s="432"/>
      <c r="U13" s="225"/>
      <c r="V13" s="225"/>
      <c r="W13" s="226"/>
      <c r="X13" s="224"/>
      <c r="Y13" s="432"/>
      <c r="Z13" s="224"/>
      <c r="AA13" s="225"/>
      <c r="AB13" s="226"/>
      <c r="AC13" s="224"/>
      <c r="AD13" s="432"/>
      <c r="AE13" s="225"/>
      <c r="AF13" s="225"/>
      <c r="AG13" s="226"/>
      <c r="AH13" s="224"/>
      <c r="AI13" s="432"/>
      <c r="AJ13" s="225"/>
      <c r="AK13" s="225"/>
      <c r="AL13" s="226"/>
      <c r="AM13" s="224"/>
      <c r="AN13" s="432"/>
      <c r="AO13" s="225"/>
      <c r="AP13" s="225"/>
      <c r="AQ13" s="226"/>
      <c r="AR13" s="224"/>
      <c r="AS13" s="432"/>
      <c r="AT13" s="225"/>
      <c r="AU13" s="225"/>
      <c r="AV13" s="226"/>
      <c r="AW13" s="224"/>
      <c r="AX13" s="432"/>
    </row>
    <row r="14" spans="1:50" ht="14.25">
      <c r="A14" s="217"/>
      <c r="B14" s="427"/>
      <c r="C14" s="224">
        <v>8</v>
      </c>
      <c r="D14" s="224"/>
      <c r="E14" s="225"/>
      <c r="F14" s="225"/>
      <c r="G14" s="226"/>
      <c r="H14" s="435"/>
      <c r="I14" s="225"/>
      <c r="J14" s="225"/>
      <c r="K14" s="226"/>
      <c r="L14" s="435"/>
      <c r="M14" s="227"/>
      <c r="N14" s="419"/>
      <c r="O14" s="419"/>
      <c r="P14" s="225"/>
      <c r="Q14" s="225"/>
      <c r="R14" s="226"/>
      <c r="S14" s="224"/>
      <c r="T14" s="432"/>
      <c r="U14" s="225"/>
      <c r="V14" s="225"/>
      <c r="W14" s="226"/>
      <c r="X14" s="224"/>
      <c r="Y14" s="432"/>
      <c r="Z14" s="224"/>
      <c r="AA14" s="225"/>
      <c r="AB14" s="226"/>
      <c r="AC14" s="224"/>
      <c r="AD14" s="432"/>
      <c r="AE14" s="225"/>
      <c r="AF14" s="225"/>
      <c r="AG14" s="226"/>
      <c r="AH14" s="224"/>
      <c r="AI14" s="432"/>
      <c r="AJ14" s="225"/>
      <c r="AK14" s="225"/>
      <c r="AL14" s="226"/>
      <c r="AM14" s="224"/>
      <c r="AN14" s="432"/>
      <c r="AO14" s="225"/>
      <c r="AP14" s="225"/>
      <c r="AQ14" s="226"/>
      <c r="AR14" s="224"/>
      <c r="AS14" s="432"/>
      <c r="AT14" s="225"/>
      <c r="AU14" s="225"/>
      <c r="AV14" s="226"/>
      <c r="AW14" s="224"/>
      <c r="AX14" s="432"/>
    </row>
    <row r="15" spans="1:50" ht="14.25">
      <c r="A15" s="217"/>
      <c r="B15" s="427"/>
      <c r="C15" s="224">
        <v>9</v>
      </c>
      <c r="D15" s="224"/>
      <c r="E15" s="225"/>
      <c r="F15" s="225"/>
      <c r="G15" s="226"/>
      <c r="H15" s="435"/>
      <c r="I15" s="225"/>
      <c r="J15" s="225"/>
      <c r="K15" s="226"/>
      <c r="L15" s="435"/>
      <c r="M15" s="227"/>
      <c r="N15" s="419"/>
      <c r="O15" s="419"/>
      <c r="P15" s="225"/>
      <c r="Q15" s="225"/>
      <c r="R15" s="226"/>
      <c r="S15" s="224"/>
      <c r="T15" s="432"/>
      <c r="U15" s="225"/>
      <c r="V15" s="225"/>
      <c r="W15" s="226"/>
      <c r="X15" s="224"/>
      <c r="Y15" s="432"/>
      <c r="Z15" s="224"/>
      <c r="AA15" s="225"/>
      <c r="AB15" s="226"/>
      <c r="AC15" s="224"/>
      <c r="AD15" s="432"/>
      <c r="AE15" s="225"/>
      <c r="AF15" s="225"/>
      <c r="AG15" s="226"/>
      <c r="AH15" s="224"/>
      <c r="AI15" s="432"/>
      <c r="AJ15" s="225"/>
      <c r="AK15" s="225"/>
      <c r="AL15" s="226"/>
      <c r="AM15" s="224"/>
      <c r="AN15" s="432"/>
      <c r="AO15" s="225"/>
      <c r="AP15" s="225"/>
      <c r="AQ15" s="226"/>
      <c r="AR15" s="224"/>
      <c r="AS15" s="432"/>
      <c r="AT15" s="225"/>
      <c r="AU15" s="225"/>
      <c r="AV15" s="226"/>
      <c r="AW15" s="224"/>
      <c r="AX15" s="432"/>
    </row>
    <row r="16" spans="1:50" ht="14.25">
      <c r="A16" s="217"/>
      <c r="B16" s="427"/>
      <c r="C16" s="224">
        <v>10</v>
      </c>
      <c r="D16" s="224"/>
      <c r="E16" s="225"/>
      <c r="F16" s="225"/>
      <c r="G16" s="226"/>
      <c r="H16" s="435"/>
      <c r="I16" s="225"/>
      <c r="J16" s="225"/>
      <c r="K16" s="226"/>
      <c r="L16" s="435"/>
      <c r="M16" s="227"/>
      <c r="N16" s="419"/>
      <c r="O16" s="419"/>
      <c r="P16" s="225"/>
      <c r="Q16" s="225"/>
      <c r="R16" s="226"/>
      <c r="S16" s="224"/>
      <c r="T16" s="432"/>
      <c r="U16" s="225"/>
      <c r="V16" s="225"/>
      <c r="W16" s="226"/>
      <c r="X16" s="224"/>
      <c r="Y16" s="432"/>
      <c r="Z16" s="224"/>
      <c r="AA16" s="225"/>
      <c r="AB16" s="226"/>
      <c r="AC16" s="224"/>
      <c r="AD16" s="432"/>
      <c r="AE16" s="225"/>
      <c r="AF16" s="225"/>
      <c r="AG16" s="226"/>
      <c r="AH16" s="224"/>
      <c r="AI16" s="432"/>
      <c r="AJ16" s="225"/>
      <c r="AK16" s="225"/>
      <c r="AL16" s="226"/>
      <c r="AM16" s="224"/>
      <c r="AN16" s="432"/>
      <c r="AO16" s="225"/>
      <c r="AP16" s="225"/>
      <c r="AQ16" s="226"/>
      <c r="AR16" s="224"/>
      <c r="AS16" s="432"/>
      <c r="AT16" s="225"/>
      <c r="AU16" s="225"/>
      <c r="AV16" s="226"/>
      <c r="AW16" s="224"/>
      <c r="AX16" s="432"/>
    </row>
    <row r="17" spans="2:50">
      <c r="B17" s="427"/>
      <c r="C17" s="224">
        <v>11</v>
      </c>
      <c r="D17" s="224"/>
      <c r="E17" s="225"/>
      <c r="F17" s="225"/>
      <c r="G17" s="226"/>
      <c r="H17" s="435"/>
      <c r="I17" s="225"/>
      <c r="J17" s="225"/>
      <c r="K17" s="226"/>
      <c r="L17" s="435"/>
      <c r="M17" s="227"/>
      <c r="N17" s="419"/>
      <c r="O17" s="419"/>
      <c r="P17" s="224"/>
      <c r="Q17" s="224"/>
      <c r="R17" s="226"/>
      <c r="S17" s="224"/>
      <c r="T17" s="432"/>
      <c r="U17" s="224"/>
      <c r="V17" s="224"/>
      <c r="W17" s="226"/>
      <c r="X17" s="224"/>
      <c r="Y17" s="432"/>
      <c r="Z17" s="224"/>
      <c r="AA17" s="224"/>
      <c r="AB17" s="226"/>
      <c r="AC17" s="224"/>
      <c r="AD17" s="432"/>
      <c r="AE17" s="224"/>
      <c r="AF17" s="224"/>
      <c r="AG17" s="226"/>
      <c r="AH17" s="224"/>
      <c r="AI17" s="432"/>
      <c r="AJ17" s="224"/>
      <c r="AK17" s="224"/>
      <c r="AL17" s="224"/>
      <c r="AM17" s="224"/>
      <c r="AN17" s="432"/>
      <c r="AO17" s="224"/>
      <c r="AP17" s="224"/>
      <c r="AQ17" s="226"/>
      <c r="AR17" s="224"/>
      <c r="AS17" s="432"/>
      <c r="AT17" s="224"/>
      <c r="AU17" s="224"/>
      <c r="AV17" s="226"/>
      <c r="AW17" s="224"/>
      <c r="AX17" s="432"/>
    </row>
    <row r="18" spans="2:50">
      <c r="B18" s="427"/>
      <c r="C18" s="224">
        <v>12</v>
      </c>
      <c r="D18" s="224"/>
      <c r="E18" s="225"/>
      <c r="F18" s="225"/>
      <c r="G18" s="226"/>
      <c r="H18" s="435"/>
      <c r="I18" s="225"/>
      <c r="J18" s="225"/>
      <c r="K18" s="226"/>
      <c r="L18" s="435"/>
      <c r="M18" s="227"/>
      <c r="N18" s="419"/>
      <c r="O18" s="419"/>
      <c r="P18" s="224"/>
      <c r="Q18" s="224"/>
      <c r="R18" s="226"/>
      <c r="S18" s="224"/>
      <c r="T18" s="432"/>
      <c r="U18" s="224"/>
      <c r="V18" s="224"/>
      <c r="W18" s="226"/>
      <c r="X18" s="224"/>
      <c r="Y18" s="432"/>
      <c r="Z18" s="224"/>
      <c r="AA18" s="224"/>
      <c r="AB18" s="226"/>
      <c r="AC18" s="224"/>
      <c r="AD18" s="432"/>
      <c r="AE18" s="224"/>
      <c r="AF18" s="224"/>
      <c r="AG18" s="226"/>
      <c r="AH18" s="224"/>
      <c r="AI18" s="432"/>
      <c r="AJ18" s="224"/>
      <c r="AK18" s="224"/>
      <c r="AL18" s="224"/>
      <c r="AM18" s="224"/>
      <c r="AN18" s="432"/>
      <c r="AO18" s="224"/>
      <c r="AP18" s="224"/>
      <c r="AQ18" s="226"/>
      <c r="AR18" s="224"/>
      <c r="AS18" s="432"/>
      <c r="AT18" s="224"/>
      <c r="AU18" s="224"/>
      <c r="AV18" s="226"/>
      <c r="AW18" s="224"/>
      <c r="AX18" s="432"/>
    </row>
    <row r="19" spans="2:50">
      <c r="B19" s="427"/>
      <c r="C19" s="224">
        <v>13</v>
      </c>
      <c r="D19" s="224"/>
      <c r="E19" s="225"/>
      <c r="F19" s="225"/>
      <c r="G19" s="226"/>
      <c r="H19" s="435"/>
      <c r="I19" s="225"/>
      <c r="J19" s="225"/>
      <c r="K19" s="226"/>
      <c r="L19" s="435"/>
      <c r="M19" s="227"/>
      <c r="N19" s="419"/>
      <c r="O19" s="419"/>
      <c r="P19" s="224"/>
      <c r="Q19" s="224"/>
      <c r="R19" s="226"/>
      <c r="S19" s="224"/>
      <c r="T19" s="432"/>
      <c r="U19" s="224"/>
      <c r="V19" s="224"/>
      <c r="W19" s="226"/>
      <c r="X19" s="224"/>
      <c r="Y19" s="432"/>
      <c r="Z19" s="224"/>
      <c r="AA19" s="224"/>
      <c r="AB19" s="226"/>
      <c r="AC19" s="224"/>
      <c r="AD19" s="432"/>
      <c r="AE19" s="224"/>
      <c r="AF19" s="224"/>
      <c r="AG19" s="226"/>
      <c r="AH19" s="224"/>
      <c r="AI19" s="432"/>
      <c r="AJ19" s="224"/>
      <c r="AK19" s="224"/>
      <c r="AL19" s="224"/>
      <c r="AM19" s="224"/>
      <c r="AN19" s="432"/>
      <c r="AO19" s="224"/>
      <c r="AP19" s="224"/>
      <c r="AQ19" s="226"/>
      <c r="AR19" s="224"/>
      <c r="AS19" s="432"/>
      <c r="AT19" s="224"/>
      <c r="AU19" s="224"/>
      <c r="AV19" s="226"/>
      <c r="AW19" s="224"/>
      <c r="AX19" s="432"/>
    </row>
    <row r="20" spans="2:50">
      <c r="B20" s="427"/>
      <c r="C20" s="224">
        <v>14</v>
      </c>
      <c r="D20" s="224"/>
      <c r="E20" s="225"/>
      <c r="F20" s="225"/>
      <c r="G20" s="226"/>
      <c r="H20" s="435"/>
      <c r="I20" s="225"/>
      <c r="J20" s="225"/>
      <c r="K20" s="226"/>
      <c r="L20" s="435"/>
      <c r="M20" s="227"/>
      <c r="N20" s="419"/>
      <c r="O20" s="419"/>
      <c r="P20" s="224"/>
      <c r="Q20" s="224"/>
      <c r="R20" s="226"/>
      <c r="S20" s="224"/>
      <c r="T20" s="432"/>
      <c r="U20" s="224"/>
      <c r="V20" s="224"/>
      <c r="W20" s="226"/>
      <c r="X20" s="224"/>
      <c r="Y20" s="432"/>
      <c r="Z20" s="224"/>
      <c r="AA20" s="224"/>
      <c r="AB20" s="226"/>
      <c r="AC20" s="224"/>
      <c r="AD20" s="432"/>
      <c r="AE20" s="224"/>
      <c r="AF20" s="224"/>
      <c r="AG20" s="226"/>
      <c r="AH20" s="224"/>
      <c r="AI20" s="432"/>
      <c r="AJ20" s="224"/>
      <c r="AK20" s="224"/>
      <c r="AL20" s="224"/>
      <c r="AM20" s="224"/>
      <c r="AN20" s="432"/>
      <c r="AO20" s="224"/>
      <c r="AP20" s="224"/>
      <c r="AQ20" s="226"/>
      <c r="AR20" s="224"/>
      <c r="AS20" s="432"/>
      <c r="AT20" s="224"/>
      <c r="AU20" s="224"/>
      <c r="AV20" s="226"/>
      <c r="AW20" s="224"/>
      <c r="AX20" s="432"/>
    </row>
    <row r="21" spans="2:50">
      <c r="B21" s="427"/>
      <c r="C21" s="224">
        <v>15</v>
      </c>
      <c r="D21" s="224"/>
      <c r="E21" s="225"/>
      <c r="F21" s="225"/>
      <c r="G21" s="226"/>
      <c r="H21" s="436"/>
      <c r="I21" s="225"/>
      <c r="J21" s="225"/>
      <c r="K21" s="226"/>
      <c r="L21" s="436"/>
      <c r="M21" s="225"/>
      <c r="N21" s="419"/>
      <c r="O21" s="419"/>
      <c r="P21" s="224"/>
      <c r="Q21" s="224"/>
      <c r="R21" s="226"/>
      <c r="S21" s="224"/>
      <c r="T21" s="432"/>
      <c r="U21" s="224"/>
      <c r="V21" s="224"/>
      <c r="W21" s="226"/>
      <c r="X21" s="224"/>
      <c r="Y21" s="432"/>
      <c r="Z21" s="224"/>
      <c r="AA21" s="224"/>
      <c r="AB21" s="226"/>
      <c r="AC21" s="224"/>
      <c r="AD21" s="432"/>
      <c r="AE21" s="224"/>
      <c r="AF21" s="224"/>
      <c r="AG21" s="226"/>
      <c r="AH21" s="224"/>
      <c r="AI21" s="432"/>
      <c r="AJ21" s="224"/>
      <c r="AK21" s="224"/>
      <c r="AL21" s="224"/>
      <c r="AM21" s="224"/>
      <c r="AN21" s="432"/>
      <c r="AO21" s="224"/>
      <c r="AP21" s="224"/>
      <c r="AQ21" s="226"/>
      <c r="AR21" s="224"/>
      <c r="AS21" s="432"/>
      <c r="AT21" s="224"/>
      <c r="AU21" s="224"/>
      <c r="AV21" s="226"/>
      <c r="AW21" s="224"/>
      <c r="AX21" s="432"/>
    </row>
    <row r="22" spans="2:50" ht="15.75">
      <c r="B22" s="437" t="s">
        <v>443</v>
      </c>
      <c r="C22" s="438"/>
      <c r="D22" s="438"/>
      <c r="E22" s="438"/>
      <c r="F22" s="438"/>
      <c r="G22" s="438"/>
      <c r="H22" s="438"/>
      <c r="I22" s="218"/>
      <c r="J22" s="218"/>
      <c r="K22" s="218"/>
      <c r="L22" s="218"/>
      <c r="M22" s="219"/>
      <c r="N22" s="413" t="s">
        <v>157</v>
      </c>
      <c r="O22" s="413" t="s">
        <v>103</v>
      </c>
      <c r="P22" s="426">
        <v>45937</v>
      </c>
      <c r="Q22" s="427"/>
      <c r="R22" s="427"/>
      <c r="S22" s="427"/>
      <c r="T22" s="427"/>
      <c r="U22" s="426">
        <v>45938</v>
      </c>
      <c r="V22" s="427"/>
      <c r="W22" s="427"/>
      <c r="X22" s="427"/>
      <c r="Y22" s="427"/>
      <c r="Z22" s="426">
        <v>45939</v>
      </c>
      <c r="AA22" s="427"/>
      <c r="AB22" s="427"/>
      <c r="AC22" s="427"/>
      <c r="AD22" s="427"/>
      <c r="AE22" s="426">
        <v>45940</v>
      </c>
      <c r="AF22" s="427"/>
      <c r="AG22" s="427"/>
      <c r="AH22" s="427"/>
      <c r="AI22" s="427"/>
      <c r="AJ22" s="426">
        <v>45941</v>
      </c>
      <c r="AK22" s="427"/>
      <c r="AL22" s="427"/>
      <c r="AM22" s="427"/>
      <c r="AN22" s="427"/>
      <c r="AO22" s="426">
        <v>45942</v>
      </c>
      <c r="AP22" s="427"/>
      <c r="AQ22" s="427"/>
      <c r="AR22" s="427"/>
      <c r="AS22" s="427"/>
      <c r="AT22" s="426">
        <v>45943</v>
      </c>
      <c r="AU22" s="427"/>
      <c r="AV22" s="427"/>
      <c r="AW22" s="427"/>
      <c r="AX22" s="427"/>
    </row>
    <row r="23" spans="2:50" ht="15.75">
      <c r="B23" s="425"/>
      <c r="C23" s="425"/>
      <c r="D23" s="425"/>
      <c r="E23" s="425"/>
      <c r="F23" s="425"/>
      <c r="G23" s="425"/>
      <c r="H23" s="425"/>
      <c r="I23" s="220"/>
      <c r="J23" s="220"/>
      <c r="K23" s="220"/>
      <c r="L23" s="220"/>
      <c r="M23" s="221"/>
      <c r="N23" s="415"/>
      <c r="O23" s="415"/>
      <c r="P23" s="426" t="s">
        <v>118</v>
      </c>
      <c r="Q23" s="427"/>
      <c r="R23" s="427"/>
      <c r="S23" s="427"/>
      <c r="T23" s="427"/>
      <c r="U23" s="426" t="s">
        <v>428</v>
      </c>
      <c r="V23" s="427"/>
      <c r="W23" s="427"/>
      <c r="X23" s="427"/>
      <c r="Y23" s="427"/>
      <c r="Z23" s="426" t="s">
        <v>414</v>
      </c>
      <c r="AA23" s="427"/>
      <c r="AB23" s="427"/>
      <c r="AC23" s="427"/>
      <c r="AD23" s="427"/>
      <c r="AE23" s="426" t="s">
        <v>423</v>
      </c>
      <c r="AF23" s="427"/>
      <c r="AG23" s="427"/>
      <c r="AH23" s="427"/>
      <c r="AI23" s="427"/>
      <c r="AJ23" s="426" t="s">
        <v>431</v>
      </c>
      <c r="AK23" s="427"/>
      <c r="AL23" s="427"/>
      <c r="AM23" s="427"/>
      <c r="AN23" s="427"/>
      <c r="AO23" s="426" t="s">
        <v>444</v>
      </c>
      <c r="AP23" s="427"/>
      <c r="AQ23" s="427"/>
      <c r="AR23" s="427"/>
      <c r="AS23" s="427"/>
      <c r="AT23" s="426" t="s">
        <v>117</v>
      </c>
      <c r="AU23" s="427"/>
      <c r="AV23" s="427"/>
      <c r="AW23" s="427"/>
      <c r="AX23" s="427"/>
    </row>
    <row r="24" spans="2:50">
      <c r="B24" s="419" t="s">
        <v>445</v>
      </c>
      <c r="C24" s="419" t="s">
        <v>395</v>
      </c>
      <c r="D24" s="419"/>
      <c r="E24" s="419" t="s">
        <v>396</v>
      </c>
      <c r="F24" s="419"/>
      <c r="G24" s="419"/>
      <c r="H24" s="420" t="s">
        <v>435</v>
      </c>
      <c r="I24" s="419" t="s">
        <v>207</v>
      </c>
      <c r="J24" s="419"/>
      <c r="K24" s="419"/>
      <c r="L24" s="420" t="s">
        <v>155</v>
      </c>
      <c r="M24" s="413" t="s">
        <v>434</v>
      </c>
      <c r="N24" s="419"/>
      <c r="O24" s="419" t="s">
        <v>418</v>
      </c>
      <c r="P24" s="416" t="s">
        <v>401</v>
      </c>
      <c r="Q24" s="417"/>
      <c r="R24" s="417"/>
      <c r="S24" s="418"/>
      <c r="T24" s="419" t="s">
        <v>435</v>
      </c>
      <c r="U24" s="416" t="s">
        <v>436</v>
      </c>
      <c r="V24" s="417"/>
      <c r="W24" s="417"/>
      <c r="X24" s="418"/>
      <c r="Y24" s="419" t="s">
        <v>435</v>
      </c>
      <c r="Z24" s="416" t="s">
        <v>436</v>
      </c>
      <c r="AA24" s="417"/>
      <c r="AB24" s="417"/>
      <c r="AC24" s="418"/>
      <c r="AD24" s="419" t="s">
        <v>397</v>
      </c>
      <c r="AE24" s="416" t="s">
        <v>151</v>
      </c>
      <c r="AF24" s="417"/>
      <c r="AG24" s="417"/>
      <c r="AH24" s="418"/>
      <c r="AI24" s="419" t="s">
        <v>403</v>
      </c>
      <c r="AJ24" s="416" t="s">
        <v>151</v>
      </c>
      <c r="AK24" s="417"/>
      <c r="AL24" s="417"/>
      <c r="AM24" s="418"/>
      <c r="AN24" s="419" t="s">
        <v>155</v>
      </c>
      <c r="AO24" s="416" t="s">
        <v>402</v>
      </c>
      <c r="AP24" s="417"/>
      <c r="AQ24" s="417"/>
      <c r="AR24" s="418"/>
      <c r="AS24" s="419" t="s">
        <v>435</v>
      </c>
      <c r="AT24" s="416" t="s">
        <v>151</v>
      </c>
      <c r="AU24" s="417"/>
      <c r="AV24" s="417"/>
      <c r="AW24" s="418"/>
      <c r="AX24" s="419" t="s">
        <v>403</v>
      </c>
    </row>
    <row r="25" spans="2:50">
      <c r="B25" s="419"/>
      <c r="C25" s="419"/>
      <c r="D25" s="419"/>
      <c r="E25" s="419" t="s">
        <v>437</v>
      </c>
      <c r="F25" s="419"/>
      <c r="G25" s="419"/>
      <c r="H25" s="421"/>
      <c r="I25" s="419" t="s">
        <v>147</v>
      </c>
      <c r="J25" s="419"/>
      <c r="K25" s="419"/>
      <c r="L25" s="421"/>
      <c r="M25" s="414"/>
      <c r="N25" s="419"/>
      <c r="O25" s="419"/>
      <c r="P25" s="416" t="s">
        <v>438</v>
      </c>
      <c r="Q25" s="417"/>
      <c r="R25" s="417"/>
      <c r="S25" s="418"/>
      <c r="T25" s="419"/>
      <c r="U25" s="416" t="s">
        <v>406</v>
      </c>
      <c r="V25" s="417"/>
      <c r="W25" s="417"/>
      <c r="X25" s="418"/>
      <c r="Y25" s="419"/>
      <c r="Z25" s="416" t="s">
        <v>406</v>
      </c>
      <c r="AA25" s="417"/>
      <c r="AB25" s="417"/>
      <c r="AC25" s="418"/>
      <c r="AD25" s="419"/>
      <c r="AE25" s="416" t="s">
        <v>406</v>
      </c>
      <c r="AF25" s="417"/>
      <c r="AG25" s="417"/>
      <c r="AH25" s="418"/>
      <c r="AI25" s="419"/>
      <c r="AJ25" s="416" t="s">
        <v>406</v>
      </c>
      <c r="AK25" s="417"/>
      <c r="AL25" s="417"/>
      <c r="AM25" s="418"/>
      <c r="AN25" s="419"/>
      <c r="AO25" s="416" t="s">
        <v>406</v>
      </c>
      <c r="AP25" s="417"/>
      <c r="AQ25" s="417"/>
      <c r="AR25" s="418"/>
      <c r="AS25" s="419"/>
      <c r="AT25" s="416" t="s">
        <v>406</v>
      </c>
      <c r="AU25" s="417"/>
      <c r="AV25" s="417"/>
      <c r="AW25" s="418"/>
      <c r="AX25" s="419"/>
    </row>
    <row r="26" spans="2:50">
      <c r="B26" s="419"/>
      <c r="C26" s="419"/>
      <c r="D26" s="419"/>
      <c r="E26" s="223" t="s">
        <v>439</v>
      </c>
      <c r="F26" s="223" t="s">
        <v>410</v>
      </c>
      <c r="G26" s="223" t="s">
        <v>441</v>
      </c>
      <c r="H26" s="422"/>
      <c r="I26" s="223" t="s">
        <v>149</v>
      </c>
      <c r="J26" s="223" t="s">
        <v>410</v>
      </c>
      <c r="K26" s="223" t="s">
        <v>153</v>
      </c>
      <c r="L26" s="422"/>
      <c r="M26" s="415"/>
      <c r="N26" s="419"/>
      <c r="O26" s="419"/>
      <c r="P26" s="223" t="s">
        <v>439</v>
      </c>
      <c r="Q26" s="223" t="s">
        <v>410</v>
      </c>
      <c r="R26" s="223" t="s">
        <v>420</v>
      </c>
      <c r="S26" s="223" t="s">
        <v>166</v>
      </c>
      <c r="T26" s="419"/>
      <c r="U26" s="223" t="s">
        <v>439</v>
      </c>
      <c r="V26" s="223" t="s">
        <v>410</v>
      </c>
      <c r="W26" s="223" t="s">
        <v>420</v>
      </c>
      <c r="X26" s="223" t="s">
        <v>434</v>
      </c>
      <c r="Y26" s="419"/>
      <c r="Z26" s="223" t="s">
        <v>411</v>
      </c>
      <c r="AA26" s="223" t="s">
        <v>150</v>
      </c>
      <c r="AB26" s="223" t="s">
        <v>441</v>
      </c>
      <c r="AC26" s="223" t="s">
        <v>166</v>
      </c>
      <c r="AD26" s="419"/>
      <c r="AE26" s="223" t="s">
        <v>439</v>
      </c>
      <c r="AF26" s="223" t="s">
        <v>440</v>
      </c>
      <c r="AG26" s="223" t="s">
        <v>420</v>
      </c>
      <c r="AH26" s="223" t="s">
        <v>166</v>
      </c>
      <c r="AI26" s="419"/>
      <c r="AJ26" s="223" t="s">
        <v>439</v>
      </c>
      <c r="AK26" s="223" t="s">
        <v>150</v>
      </c>
      <c r="AL26" s="223" t="s">
        <v>441</v>
      </c>
      <c r="AM26" s="223" t="s">
        <v>434</v>
      </c>
      <c r="AN26" s="419"/>
      <c r="AO26" s="223" t="s">
        <v>411</v>
      </c>
      <c r="AP26" s="223" t="s">
        <v>150</v>
      </c>
      <c r="AQ26" s="223" t="s">
        <v>420</v>
      </c>
      <c r="AR26" s="223" t="s">
        <v>166</v>
      </c>
      <c r="AS26" s="419"/>
      <c r="AT26" s="223" t="s">
        <v>411</v>
      </c>
      <c r="AU26" s="223" t="s">
        <v>440</v>
      </c>
      <c r="AV26" s="223" t="s">
        <v>420</v>
      </c>
      <c r="AW26" s="223" t="s">
        <v>166</v>
      </c>
      <c r="AX26" s="419"/>
    </row>
    <row r="27" spans="2:50">
      <c r="B27" s="419" t="s">
        <v>446</v>
      </c>
      <c r="C27" s="224">
        <v>1</v>
      </c>
      <c r="D27" s="224" t="s">
        <v>354</v>
      </c>
      <c r="E27" s="225">
        <f>VLOOKUP(D27,'10產線配置圖'!$A$2:$C$25,2,0)</f>
        <v>13</v>
      </c>
      <c r="F27" s="225">
        <f>VLOOKUP(D27,'10產線配置圖'!$A$2:$C$25,3,0)</f>
        <v>1565</v>
      </c>
      <c r="G27" s="226">
        <f t="shared" ref="G27:G29" si="17">F27/E27</f>
        <v>120.38461538461539</v>
      </c>
      <c r="H27" s="434">
        <f>AVERAGE(G27:G41)</f>
        <v>127.07264957264958</v>
      </c>
      <c r="I27" s="225">
        <f>AVERAGE(P27,U27,Z27,AE27,AJ27,AO27,AT27)</f>
        <v>13</v>
      </c>
      <c r="J27" s="225">
        <f>AVERAGE(Q27,V27,AA27,AF27,AK27,AP27,AU27)</f>
        <v>1455.5714285714287</v>
      </c>
      <c r="K27" s="226">
        <f>AVERAGE(R27,W27,AB27,AG27,AL27,AQ27,AV27)</f>
        <v>111.96703296703298</v>
      </c>
      <c r="L27" s="434">
        <f>IFERROR(AVERAGE(K27:K41),"-")</f>
        <v>110.97313797313798</v>
      </c>
      <c r="M27" s="227">
        <f>RANK(K27, K$27:$K$41)</f>
        <v>1</v>
      </c>
      <c r="N27" s="419"/>
      <c r="O27" s="419"/>
      <c r="P27" s="225">
        <v>13</v>
      </c>
      <c r="Q27" s="225">
        <v>1214</v>
      </c>
      <c r="R27" s="226">
        <f>Q27/P27</f>
        <v>93.384615384615387</v>
      </c>
      <c r="S27" s="224">
        <f>RANK(R27, $R$27:$R$41)</f>
        <v>2</v>
      </c>
      <c r="T27" s="432">
        <f>AVERAGE(R27:R41)</f>
        <v>93.044871794871781</v>
      </c>
      <c r="U27" s="225">
        <v>13</v>
      </c>
      <c r="V27" s="225">
        <v>1387</v>
      </c>
      <c r="W27" s="226">
        <f>V27/U27</f>
        <v>106.69230769230769</v>
      </c>
      <c r="X27" s="224">
        <f>RANK(W27, $W$27:$W$41)</f>
        <v>3</v>
      </c>
      <c r="Y27" s="432">
        <f>AVERAGE(W27:W41)</f>
        <v>116.84188034188035</v>
      </c>
      <c r="Z27" s="225">
        <v>13</v>
      </c>
      <c r="AA27" s="225">
        <v>1557</v>
      </c>
      <c r="AB27" s="226">
        <f t="shared" ref="AB27:AB29" si="18">AA27/Z27</f>
        <v>119.76923076923077</v>
      </c>
      <c r="AC27" s="224">
        <f>RANK(AB27, $AB$27:$AB$29)</f>
        <v>1</v>
      </c>
      <c r="AD27" s="432">
        <f>AVERAGE(AB27:AB41)</f>
        <v>105.45085470085469</v>
      </c>
      <c r="AE27" s="225">
        <v>13</v>
      </c>
      <c r="AF27" s="225">
        <v>1380</v>
      </c>
      <c r="AG27" s="226">
        <f t="shared" ref="AG27:AG29" si="19">AF27/AE27</f>
        <v>106.15384615384616</v>
      </c>
      <c r="AH27" s="224">
        <f>RANK(AG27, $AG$27:$AG$29)</f>
        <v>3</v>
      </c>
      <c r="AI27" s="432">
        <f>AVERAGE(AG27:AG41)</f>
        <v>110.44017094017094</v>
      </c>
      <c r="AJ27" s="225">
        <v>13</v>
      </c>
      <c r="AK27" s="225">
        <v>1549</v>
      </c>
      <c r="AL27" s="226">
        <f t="shared" ref="AL27:AL29" si="20">AK27/AJ27</f>
        <v>119.15384615384616</v>
      </c>
      <c r="AM27" s="224">
        <f>RANK(AL27, $AL$27:$AL$29)</f>
        <v>2</v>
      </c>
      <c r="AN27" s="432">
        <f>AVERAGE(AL27:AL41)</f>
        <v>117.52350427350427</v>
      </c>
      <c r="AO27" s="225">
        <v>13</v>
      </c>
      <c r="AP27" s="225">
        <v>1547</v>
      </c>
      <c r="AQ27" s="226">
        <f t="shared" ref="AQ27:AQ29" si="21">AP27/AO27</f>
        <v>119</v>
      </c>
      <c r="AR27" s="224">
        <f>RANK(AQ27, $AQ$27:$AQ$41)</f>
        <v>1</v>
      </c>
      <c r="AS27" s="432">
        <f>AVERAGE(AQ27:AQ41)</f>
        <v>115.27777777777779</v>
      </c>
      <c r="AT27" s="225">
        <v>13</v>
      </c>
      <c r="AU27" s="225">
        <v>1555</v>
      </c>
      <c r="AV27" s="226">
        <f t="shared" ref="AV27:AV29" si="22">AU27/AT27</f>
        <v>119.61538461538461</v>
      </c>
      <c r="AW27" s="224">
        <f>RANK(AV27, $AV$27:$AV$41)</f>
        <v>2</v>
      </c>
      <c r="AX27" s="432">
        <f>AVERAGE(AV27:AV41)</f>
        <v>118.23290598290599</v>
      </c>
    </row>
    <row r="28" spans="2:50">
      <c r="B28" s="427"/>
      <c r="C28" s="224">
        <v>2</v>
      </c>
      <c r="D28" s="224" t="s">
        <v>362</v>
      </c>
      <c r="E28" s="225">
        <f>VLOOKUP(D28,'10產線配置圖'!$A$2:$C$25,2,0)</f>
        <v>12</v>
      </c>
      <c r="F28" s="225">
        <f>VLOOKUP(D28,'10產線配置圖'!$A$2:$C$25,3,0)</f>
        <v>1565</v>
      </c>
      <c r="G28" s="226">
        <f t="shared" si="17"/>
        <v>130.41666666666666</v>
      </c>
      <c r="H28" s="435"/>
      <c r="I28" s="225">
        <f t="shared" ref="I28:K29" si="23">AVERAGE(P28,U28,Z28,AE28,AJ28,AO28,AT28)</f>
        <v>12</v>
      </c>
      <c r="J28" s="225">
        <f t="shared" si="23"/>
        <v>1330.8571428571429</v>
      </c>
      <c r="K28" s="226">
        <f t="shared" si="23"/>
        <v>110.90476190476191</v>
      </c>
      <c r="L28" s="435"/>
      <c r="M28" s="227">
        <f>RANK(K28, K$27:$K$41)</f>
        <v>2</v>
      </c>
      <c r="N28" s="419"/>
      <c r="O28" s="419"/>
      <c r="P28" s="225">
        <v>12</v>
      </c>
      <c r="Q28" s="225">
        <v>1095</v>
      </c>
      <c r="R28" s="226">
        <f t="shared" ref="R28:R29" si="24">Q28/P28</f>
        <v>91.25</v>
      </c>
      <c r="S28" s="224">
        <f t="shared" ref="S28:S29" si="25">RANK(R28, $R$27:$R$41)</f>
        <v>3</v>
      </c>
      <c r="T28" s="432"/>
      <c r="U28" s="225">
        <v>12</v>
      </c>
      <c r="V28" s="225">
        <v>1397</v>
      </c>
      <c r="W28" s="226">
        <f t="shared" ref="W28:W29" si="26">V28/U28</f>
        <v>116.41666666666667</v>
      </c>
      <c r="X28" s="224">
        <f t="shared" ref="X28:X29" si="27">RANK(W28, $W$27:$W$41)</f>
        <v>2</v>
      </c>
      <c r="Y28" s="432"/>
      <c r="Z28" s="225">
        <v>12</v>
      </c>
      <c r="AA28" s="225">
        <v>1348</v>
      </c>
      <c r="AB28" s="226">
        <f t="shared" si="18"/>
        <v>112.33333333333333</v>
      </c>
      <c r="AC28" s="224">
        <f t="shared" ref="AC28:AC29" si="28">RANK(AB28, $AB$27:$AB$29)</f>
        <v>2</v>
      </c>
      <c r="AD28" s="432"/>
      <c r="AE28" s="225">
        <v>12</v>
      </c>
      <c r="AF28" s="225">
        <v>1313</v>
      </c>
      <c r="AG28" s="226">
        <f t="shared" si="19"/>
        <v>109.41666666666667</v>
      </c>
      <c r="AH28" s="224">
        <f t="shared" ref="AH28:AH29" si="29">RANK(AG28, $AG$27:$AG$29)</f>
        <v>2</v>
      </c>
      <c r="AI28" s="432"/>
      <c r="AJ28" s="225">
        <v>12</v>
      </c>
      <c r="AK28" s="225">
        <v>1305</v>
      </c>
      <c r="AL28" s="226">
        <f t="shared" si="20"/>
        <v>108.75</v>
      </c>
      <c r="AM28" s="224">
        <f t="shared" ref="AM28:AM29" si="30">RANK(AL28, $AL$27:$AL$29)</f>
        <v>3</v>
      </c>
      <c r="AN28" s="432"/>
      <c r="AO28" s="225">
        <v>12</v>
      </c>
      <c r="AP28" s="225">
        <v>1364</v>
      </c>
      <c r="AQ28" s="226">
        <f t="shared" si="21"/>
        <v>113.66666666666667</v>
      </c>
      <c r="AR28" s="224">
        <f t="shared" ref="AR28:AR29" si="31">RANK(AQ28, $AQ$27:$AQ$41)</f>
        <v>2</v>
      </c>
      <c r="AS28" s="432"/>
      <c r="AT28" s="225">
        <v>12</v>
      </c>
      <c r="AU28" s="225">
        <v>1494</v>
      </c>
      <c r="AV28" s="226">
        <f t="shared" si="22"/>
        <v>124.5</v>
      </c>
      <c r="AW28" s="224">
        <f t="shared" ref="AW28:AW29" si="32">RANK(AV28, $AV$27:$AV$41)</f>
        <v>1</v>
      </c>
      <c r="AX28" s="432"/>
    </row>
    <row r="29" spans="2:50">
      <c r="B29" s="427"/>
      <c r="C29" s="224">
        <v>3</v>
      </c>
      <c r="D29" s="224" t="s">
        <v>463</v>
      </c>
      <c r="E29" s="225">
        <f>VLOOKUP(D29,'10產線配置圖'!$A$2:$C$25,2,0)</f>
        <v>12</v>
      </c>
      <c r="F29" s="225">
        <f>VLOOKUP(D29,'10產線配置圖'!$A$2:$C$25,3,0)</f>
        <v>1565</v>
      </c>
      <c r="G29" s="226">
        <f t="shared" si="17"/>
        <v>130.41666666666666</v>
      </c>
      <c r="H29" s="435"/>
      <c r="I29" s="225">
        <f t="shared" si="23"/>
        <v>12</v>
      </c>
      <c r="J29" s="225">
        <f t="shared" si="23"/>
        <v>1320.5714285714287</v>
      </c>
      <c r="K29" s="226">
        <f t="shared" si="23"/>
        <v>110.04761904761905</v>
      </c>
      <c r="L29" s="435"/>
      <c r="M29" s="227">
        <f>RANK(K29, K$27:$K$41)</f>
        <v>3</v>
      </c>
      <c r="N29" s="419"/>
      <c r="O29" s="419"/>
      <c r="P29" s="225">
        <v>12</v>
      </c>
      <c r="Q29" s="225">
        <v>1134</v>
      </c>
      <c r="R29" s="226">
        <f t="shared" si="24"/>
        <v>94.5</v>
      </c>
      <c r="S29" s="224">
        <f t="shared" si="25"/>
        <v>1</v>
      </c>
      <c r="T29" s="432"/>
      <c r="U29" s="225">
        <v>12</v>
      </c>
      <c r="V29" s="225">
        <v>1529</v>
      </c>
      <c r="W29" s="226">
        <f t="shared" si="26"/>
        <v>127.41666666666667</v>
      </c>
      <c r="X29" s="224">
        <f t="shared" si="27"/>
        <v>1</v>
      </c>
      <c r="Y29" s="432"/>
      <c r="Z29" s="225">
        <v>12</v>
      </c>
      <c r="AA29" s="225">
        <v>1011</v>
      </c>
      <c r="AB29" s="226">
        <f t="shared" si="18"/>
        <v>84.25</v>
      </c>
      <c r="AC29" s="224">
        <f t="shared" si="28"/>
        <v>3</v>
      </c>
      <c r="AD29" s="432"/>
      <c r="AE29" s="225">
        <v>12</v>
      </c>
      <c r="AF29" s="225">
        <v>1389</v>
      </c>
      <c r="AG29" s="226">
        <f t="shared" si="19"/>
        <v>115.75</v>
      </c>
      <c r="AH29" s="224">
        <f t="shared" si="29"/>
        <v>1</v>
      </c>
      <c r="AI29" s="432"/>
      <c r="AJ29" s="225">
        <v>12</v>
      </c>
      <c r="AK29" s="225">
        <v>1496</v>
      </c>
      <c r="AL29" s="226">
        <f t="shared" si="20"/>
        <v>124.66666666666667</v>
      </c>
      <c r="AM29" s="224">
        <f t="shared" si="30"/>
        <v>1</v>
      </c>
      <c r="AN29" s="432"/>
      <c r="AO29" s="225">
        <v>12</v>
      </c>
      <c r="AP29" s="225">
        <v>1358</v>
      </c>
      <c r="AQ29" s="226">
        <f t="shared" si="21"/>
        <v>113.16666666666667</v>
      </c>
      <c r="AR29" s="224">
        <f t="shared" si="31"/>
        <v>3</v>
      </c>
      <c r="AS29" s="432"/>
      <c r="AT29" s="225">
        <v>12</v>
      </c>
      <c r="AU29" s="225">
        <v>1327</v>
      </c>
      <c r="AV29" s="226">
        <f t="shared" si="22"/>
        <v>110.58333333333333</v>
      </c>
      <c r="AW29" s="224">
        <f t="shared" si="32"/>
        <v>3</v>
      </c>
      <c r="AX29" s="432"/>
    </row>
    <row r="30" spans="2:50">
      <c r="B30" s="427"/>
      <c r="C30" s="224">
        <v>4</v>
      </c>
      <c r="D30" s="224"/>
      <c r="E30" s="225"/>
      <c r="F30" s="225"/>
      <c r="G30" s="226"/>
      <c r="H30" s="435"/>
      <c r="I30" s="225"/>
      <c r="J30" s="225"/>
      <c r="K30" s="226"/>
      <c r="L30" s="435"/>
      <c r="M30" s="227"/>
      <c r="N30" s="419"/>
      <c r="O30" s="419"/>
      <c r="P30" s="225"/>
      <c r="Q30" s="225"/>
      <c r="R30" s="224"/>
      <c r="S30" s="224"/>
      <c r="T30" s="432"/>
      <c r="U30" s="225"/>
      <c r="V30" s="225"/>
      <c r="W30" s="224"/>
      <c r="X30" s="224"/>
      <c r="Y30" s="432"/>
      <c r="Z30" s="225"/>
      <c r="AA30" s="225"/>
      <c r="AB30" s="224"/>
      <c r="AC30" s="224"/>
      <c r="AD30" s="432"/>
      <c r="AE30" s="225"/>
      <c r="AF30" s="225"/>
      <c r="AG30" s="224"/>
      <c r="AH30" s="224"/>
      <c r="AI30" s="432"/>
      <c r="AJ30" s="225"/>
      <c r="AK30" s="225"/>
      <c r="AL30" s="224"/>
      <c r="AM30" s="224"/>
      <c r="AN30" s="432"/>
      <c r="AO30" s="225"/>
      <c r="AP30" s="225"/>
      <c r="AQ30" s="224"/>
      <c r="AR30" s="224"/>
      <c r="AS30" s="432"/>
      <c r="AT30" s="225"/>
      <c r="AU30" s="225"/>
      <c r="AV30" s="224"/>
      <c r="AW30" s="224"/>
      <c r="AX30" s="432"/>
    </row>
    <row r="31" spans="2:50">
      <c r="B31" s="427"/>
      <c r="C31" s="224">
        <v>5</v>
      </c>
      <c r="D31" s="224"/>
      <c r="E31" s="225"/>
      <c r="F31" s="225"/>
      <c r="G31" s="226"/>
      <c r="H31" s="435"/>
      <c r="I31" s="225"/>
      <c r="J31" s="225"/>
      <c r="K31" s="226"/>
      <c r="L31" s="435"/>
      <c r="M31" s="227"/>
      <c r="N31" s="419"/>
      <c r="O31" s="419"/>
      <c r="P31" s="225"/>
      <c r="Q31" s="225"/>
      <c r="R31" s="224"/>
      <c r="S31" s="224"/>
      <c r="T31" s="432"/>
      <c r="U31" s="225"/>
      <c r="V31" s="225"/>
      <c r="W31" s="224"/>
      <c r="X31" s="224"/>
      <c r="Y31" s="432"/>
      <c r="Z31" s="225"/>
      <c r="AA31" s="225"/>
      <c r="AB31" s="224"/>
      <c r="AC31" s="224"/>
      <c r="AD31" s="432"/>
      <c r="AE31" s="225"/>
      <c r="AF31" s="225"/>
      <c r="AG31" s="224"/>
      <c r="AH31" s="224"/>
      <c r="AI31" s="432"/>
      <c r="AJ31" s="225"/>
      <c r="AK31" s="225"/>
      <c r="AL31" s="224"/>
      <c r="AM31" s="224"/>
      <c r="AN31" s="432"/>
      <c r="AO31" s="225"/>
      <c r="AP31" s="225"/>
      <c r="AQ31" s="224"/>
      <c r="AR31" s="224"/>
      <c r="AS31" s="432"/>
      <c r="AT31" s="225"/>
      <c r="AU31" s="225"/>
      <c r="AV31" s="224"/>
      <c r="AW31" s="224"/>
      <c r="AX31" s="432"/>
    </row>
    <row r="32" spans="2:50">
      <c r="B32" s="427"/>
      <c r="C32" s="224">
        <v>6</v>
      </c>
      <c r="D32" s="224"/>
      <c r="E32" s="225"/>
      <c r="F32" s="225"/>
      <c r="G32" s="226"/>
      <c r="H32" s="435"/>
      <c r="I32" s="225"/>
      <c r="J32" s="225"/>
      <c r="K32" s="226"/>
      <c r="L32" s="435"/>
      <c r="M32" s="227"/>
      <c r="N32" s="419"/>
      <c r="O32" s="419"/>
      <c r="P32" s="225"/>
      <c r="Q32" s="225"/>
      <c r="R32" s="224"/>
      <c r="S32" s="224"/>
      <c r="T32" s="432"/>
      <c r="U32" s="225"/>
      <c r="V32" s="225"/>
      <c r="W32" s="224"/>
      <c r="X32" s="224"/>
      <c r="Y32" s="432"/>
      <c r="Z32" s="225"/>
      <c r="AA32" s="225"/>
      <c r="AB32" s="224"/>
      <c r="AC32" s="224"/>
      <c r="AD32" s="432"/>
      <c r="AE32" s="225"/>
      <c r="AF32" s="225"/>
      <c r="AG32" s="224"/>
      <c r="AH32" s="224"/>
      <c r="AI32" s="432"/>
      <c r="AJ32" s="225"/>
      <c r="AK32" s="225"/>
      <c r="AL32" s="224"/>
      <c r="AM32" s="224"/>
      <c r="AN32" s="432"/>
      <c r="AO32" s="225"/>
      <c r="AP32" s="225"/>
      <c r="AQ32" s="224"/>
      <c r="AR32" s="224"/>
      <c r="AS32" s="432"/>
      <c r="AT32" s="225"/>
      <c r="AU32" s="225"/>
      <c r="AV32" s="224"/>
      <c r="AW32" s="224"/>
      <c r="AX32" s="432"/>
    </row>
    <row r="33" spans="2:50">
      <c r="B33" s="427"/>
      <c r="C33" s="224">
        <v>7</v>
      </c>
      <c r="D33" s="224"/>
      <c r="E33" s="225"/>
      <c r="F33" s="225"/>
      <c r="G33" s="226"/>
      <c r="H33" s="435"/>
      <c r="I33" s="225"/>
      <c r="J33" s="225"/>
      <c r="K33" s="226"/>
      <c r="L33" s="435"/>
      <c r="M33" s="227"/>
      <c r="N33" s="419"/>
      <c r="O33" s="419"/>
      <c r="P33" s="225"/>
      <c r="Q33" s="225"/>
      <c r="R33" s="224"/>
      <c r="S33" s="224"/>
      <c r="T33" s="432"/>
      <c r="U33" s="225"/>
      <c r="V33" s="225"/>
      <c r="W33" s="224"/>
      <c r="X33" s="224"/>
      <c r="Y33" s="432"/>
      <c r="Z33" s="225"/>
      <c r="AA33" s="225"/>
      <c r="AB33" s="224"/>
      <c r="AC33" s="224"/>
      <c r="AD33" s="432"/>
      <c r="AE33" s="225"/>
      <c r="AF33" s="225"/>
      <c r="AG33" s="224"/>
      <c r="AH33" s="224"/>
      <c r="AI33" s="432"/>
      <c r="AJ33" s="225"/>
      <c r="AK33" s="225"/>
      <c r="AL33" s="224"/>
      <c r="AM33" s="224"/>
      <c r="AN33" s="432"/>
      <c r="AO33" s="225"/>
      <c r="AP33" s="225"/>
      <c r="AQ33" s="224"/>
      <c r="AR33" s="224"/>
      <c r="AS33" s="432"/>
      <c r="AT33" s="225"/>
      <c r="AU33" s="225"/>
      <c r="AV33" s="224"/>
      <c r="AW33" s="224"/>
      <c r="AX33" s="432"/>
    </row>
    <row r="34" spans="2:50">
      <c r="B34" s="427"/>
      <c r="C34" s="224">
        <v>8</v>
      </c>
      <c r="D34" s="224"/>
      <c r="E34" s="224"/>
      <c r="F34" s="224"/>
      <c r="G34" s="224"/>
      <c r="H34" s="435"/>
      <c r="I34" s="225"/>
      <c r="J34" s="225"/>
      <c r="K34" s="226"/>
      <c r="L34" s="435"/>
      <c r="M34" s="227"/>
      <c r="N34" s="419"/>
      <c r="O34" s="419"/>
      <c r="P34" s="225"/>
      <c r="Q34" s="225"/>
      <c r="R34" s="224"/>
      <c r="S34" s="224"/>
      <c r="T34" s="432"/>
      <c r="U34" s="225"/>
      <c r="V34" s="225"/>
      <c r="W34" s="224"/>
      <c r="X34" s="224"/>
      <c r="Y34" s="432"/>
      <c r="Z34" s="225"/>
      <c r="AA34" s="225"/>
      <c r="AB34" s="224"/>
      <c r="AC34" s="224"/>
      <c r="AD34" s="432"/>
      <c r="AE34" s="225"/>
      <c r="AF34" s="225"/>
      <c r="AG34" s="224"/>
      <c r="AH34" s="224"/>
      <c r="AI34" s="432"/>
      <c r="AJ34" s="225"/>
      <c r="AK34" s="225"/>
      <c r="AL34" s="224"/>
      <c r="AM34" s="224"/>
      <c r="AN34" s="432"/>
      <c r="AO34" s="225"/>
      <c r="AP34" s="225"/>
      <c r="AQ34" s="224"/>
      <c r="AR34" s="224"/>
      <c r="AS34" s="432"/>
      <c r="AT34" s="225"/>
      <c r="AU34" s="225"/>
      <c r="AV34" s="224"/>
      <c r="AW34" s="224"/>
      <c r="AX34" s="432"/>
    </row>
    <row r="35" spans="2:50">
      <c r="B35" s="427"/>
      <c r="C35" s="224">
        <v>9</v>
      </c>
      <c r="D35" s="224"/>
      <c r="E35" s="224"/>
      <c r="F35" s="224"/>
      <c r="G35" s="224"/>
      <c r="H35" s="435"/>
      <c r="I35" s="225"/>
      <c r="J35" s="225"/>
      <c r="K35" s="226"/>
      <c r="L35" s="435"/>
      <c r="M35" s="227"/>
      <c r="N35" s="419"/>
      <c r="O35" s="419"/>
      <c r="P35" s="225"/>
      <c r="Q35" s="225"/>
      <c r="R35" s="224"/>
      <c r="S35" s="224"/>
      <c r="T35" s="432"/>
      <c r="U35" s="225"/>
      <c r="V35" s="225"/>
      <c r="W35" s="224"/>
      <c r="X35" s="224"/>
      <c r="Y35" s="432"/>
      <c r="Z35" s="225"/>
      <c r="AA35" s="225"/>
      <c r="AB35" s="224"/>
      <c r="AC35" s="224"/>
      <c r="AD35" s="432"/>
      <c r="AE35" s="225"/>
      <c r="AF35" s="225"/>
      <c r="AG35" s="224"/>
      <c r="AH35" s="224"/>
      <c r="AI35" s="432"/>
      <c r="AJ35" s="225"/>
      <c r="AK35" s="225"/>
      <c r="AL35" s="224"/>
      <c r="AM35" s="224"/>
      <c r="AN35" s="432"/>
      <c r="AO35" s="225"/>
      <c r="AP35" s="225"/>
      <c r="AQ35" s="224"/>
      <c r="AR35" s="224"/>
      <c r="AS35" s="432"/>
      <c r="AT35" s="225"/>
      <c r="AU35" s="225"/>
      <c r="AV35" s="224"/>
      <c r="AW35" s="224"/>
      <c r="AX35" s="432"/>
    </row>
    <row r="36" spans="2:50">
      <c r="B36" s="427"/>
      <c r="C36" s="224">
        <v>10</v>
      </c>
      <c r="D36" s="224"/>
      <c r="E36" s="224"/>
      <c r="F36" s="224"/>
      <c r="G36" s="224"/>
      <c r="H36" s="435"/>
      <c r="I36" s="225"/>
      <c r="J36" s="225"/>
      <c r="K36" s="226"/>
      <c r="L36" s="435"/>
      <c r="M36" s="227"/>
      <c r="N36" s="419"/>
      <c r="O36" s="419"/>
      <c r="P36" s="225"/>
      <c r="Q36" s="225"/>
      <c r="R36" s="224"/>
      <c r="S36" s="224"/>
      <c r="T36" s="432"/>
      <c r="U36" s="225"/>
      <c r="V36" s="225"/>
      <c r="W36" s="224"/>
      <c r="X36" s="224"/>
      <c r="Y36" s="432"/>
      <c r="Z36" s="225"/>
      <c r="AA36" s="225"/>
      <c r="AB36" s="224"/>
      <c r="AC36" s="224"/>
      <c r="AD36" s="432"/>
      <c r="AE36" s="225"/>
      <c r="AF36" s="225"/>
      <c r="AG36" s="224"/>
      <c r="AH36" s="224"/>
      <c r="AI36" s="432"/>
      <c r="AJ36" s="225"/>
      <c r="AK36" s="225"/>
      <c r="AL36" s="224"/>
      <c r="AM36" s="224"/>
      <c r="AN36" s="432"/>
      <c r="AO36" s="225"/>
      <c r="AP36" s="225"/>
      <c r="AQ36" s="224"/>
      <c r="AR36" s="224"/>
      <c r="AS36" s="432"/>
      <c r="AT36" s="225"/>
      <c r="AU36" s="225"/>
      <c r="AV36" s="224"/>
      <c r="AW36" s="224"/>
      <c r="AX36" s="432"/>
    </row>
    <row r="37" spans="2:50">
      <c r="B37" s="427"/>
      <c r="C37" s="224">
        <v>11</v>
      </c>
      <c r="D37" s="224"/>
      <c r="E37" s="224"/>
      <c r="F37" s="224"/>
      <c r="G37" s="224"/>
      <c r="H37" s="435"/>
      <c r="I37" s="225"/>
      <c r="J37" s="225"/>
      <c r="K37" s="226"/>
      <c r="L37" s="435"/>
      <c r="M37" s="227"/>
      <c r="N37" s="419"/>
      <c r="O37" s="419"/>
      <c r="P37" s="224"/>
      <c r="Q37" s="224"/>
      <c r="R37" s="224"/>
      <c r="S37" s="224"/>
      <c r="T37" s="432"/>
      <c r="U37" s="224"/>
      <c r="V37" s="224"/>
      <c r="W37" s="224"/>
      <c r="X37" s="224"/>
      <c r="Y37" s="432"/>
      <c r="Z37" s="224"/>
      <c r="AA37" s="224"/>
      <c r="AB37" s="224"/>
      <c r="AC37" s="224"/>
      <c r="AD37" s="432"/>
      <c r="AE37" s="224"/>
      <c r="AF37" s="224"/>
      <c r="AG37" s="224"/>
      <c r="AH37" s="224"/>
      <c r="AI37" s="432"/>
      <c r="AJ37" s="224"/>
      <c r="AK37" s="224"/>
      <c r="AL37" s="224"/>
      <c r="AM37" s="224"/>
      <c r="AN37" s="432"/>
      <c r="AO37" s="224"/>
      <c r="AP37" s="224"/>
      <c r="AQ37" s="224"/>
      <c r="AR37" s="224"/>
      <c r="AS37" s="432"/>
      <c r="AT37" s="224"/>
      <c r="AU37" s="224"/>
      <c r="AV37" s="224"/>
      <c r="AW37" s="224"/>
      <c r="AX37" s="432"/>
    </row>
    <row r="38" spans="2:50">
      <c r="B38" s="427"/>
      <c r="C38" s="224">
        <v>12</v>
      </c>
      <c r="D38" s="224"/>
      <c r="E38" s="224"/>
      <c r="F38" s="224"/>
      <c r="G38" s="224"/>
      <c r="H38" s="435"/>
      <c r="I38" s="225"/>
      <c r="J38" s="225"/>
      <c r="K38" s="226"/>
      <c r="L38" s="435"/>
      <c r="M38" s="227"/>
      <c r="N38" s="419"/>
      <c r="O38" s="419"/>
      <c r="P38" s="224"/>
      <c r="Q38" s="224"/>
      <c r="R38" s="224"/>
      <c r="S38" s="224"/>
      <c r="T38" s="432"/>
      <c r="U38" s="224"/>
      <c r="V38" s="224"/>
      <c r="W38" s="224"/>
      <c r="X38" s="224"/>
      <c r="Y38" s="432"/>
      <c r="Z38" s="224"/>
      <c r="AA38" s="224"/>
      <c r="AB38" s="224"/>
      <c r="AC38" s="224"/>
      <c r="AD38" s="432"/>
      <c r="AE38" s="224"/>
      <c r="AF38" s="224"/>
      <c r="AG38" s="224"/>
      <c r="AH38" s="224"/>
      <c r="AI38" s="432"/>
      <c r="AJ38" s="224"/>
      <c r="AK38" s="224"/>
      <c r="AL38" s="224"/>
      <c r="AM38" s="224"/>
      <c r="AN38" s="432"/>
      <c r="AO38" s="224"/>
      <c r="AP38" s="224"/>
      <c r="AQ38" s="224"/>
      <c r="AR38" s="224"/>
      <c r="AS38" s="432"/>
      <c r="AT38" s="224"/>
      <c r="AU38" s="224"/>
      <c r="AV38" s="224"/>
      <c r="AW38" s="224"/>
      <c r="AX38" s="432"/>
    </row>
    <row r="39" spans="2:50">
      <c r="B39" s="427"/>
      <c r="C39" s="224">
        <v>13</v>
      </c>
      <c r="D39" s="224"/>
      <c r="E39" s="224"/>
      <c r="F39" s="224"/>
      <c r="G39" s="224"/>
      <c r="H39" s="435"/>
      <c r="I39" s="225"/>
      <c r="J39" s="225"/>
      <c r="K39" s="226"/>
      <c r="L39" s="435"/>
      <c r="M39" s="227"/>
      <c r="N39" s="419"/>
      <c r="O39" s="419"/>
      <c r="P39" s="224"/>
      <c r="Q39" s="224"/>
      <c r="R39" s="224"/>
      <c r="S39" s="224"/>
      <c r="T39" s="432"/>
      <c r="U39" s="224"/>
      <c r="V39" s="224"/>
      <c r="W39" s="224"/>
      <c r="X39" s="224"/>
      <c r="Y39" s="432"/>
      <c r="Z39" s="224"/>
      <c r="AA39" s="224"/>
      <c r="AB39" s="224"/>
      <c r="AC39" s="224"/>
      <c r="AD39" s="432"/>
      <c r="AE39" s="224"/>
      <c r="AF39" s="224"/>
      <c r="AG39" s="224"/>
      <c r="AH39" s="224"/>
      <c r="AI39" s="432"/>
      <c r="AJ39" s="224"/>
      <c r="AK39" s="224"/>
      <c r="AL39" s="224"/>
      <c r="AM39" s="224"/>
      <c r="AN39" s="432"/>
      <c r="AO39" s="224"/>
      <c r="AP39" s="224"/>
      <c r="AQ39" s="224"/>
      <c r="AR39" s="224"/>
      <c r="AS39" s="432"/>
      <c r="AT39" s="224"/>
      <c r="AU39" s="224"/>
      <c r="AV39" s="224"/>
      <c r="AW39" s="224"/>
      <c r="AX39" s="432"/>
    </row>
    <row r="40" spans="2:50">
      <c r="B40" s="427"/>
      <c r="C40" s="224">
        <v>14</v>
      </c>
      <c r="D40" s="224"/>
      <c r="E40" s="224"/>
      <c r="F40" s="224"/>
      <c r="G40" s="224"/>
      <c r="H40" s="435"/>
      <c r="I40" s="225"/>
      <c r="J40" s="225"/>
      <c r="K40" s="226"/>
      <c r="L40" s="435"/>
      <c r="M40" s="227"/>
      <c r="N40" s="419"/>
      <c r="O40" s="419"/>
      <c r="P40" s="224"/>
      <c r="Q40" s="224"/>
      <c r="R40" s="224"/>
      <c r="S40" s="224"/>
      <c r="T40" s="432"/>
      <c r="U40" s="224"/>
      <c r="V40" s="224"/>
      <c r="W40" s="224"/>
      <c r="X40" s="224"/>
      <c r="Y40" s="432"/>
      <c r="Z40" s="224"/>
      <c r="AA40" s="224"/>
      <c r="AB40" s="224"/>
      <c r="AC40" s="224"/>
      <c r="AD40" s="432"/>
      <c r="AE40" s="224"/>
      <c r="AF40" s="224"/>
      <c r="AG40" s="224"/>
      <c r="AH40" s="224"/>
      <c r="AI40" s="432"/>
      <c r="AJ40" s="224"/>
      <c r="AK40" s="224"/>
      <c r="AL40" s="224"/>
      <c r="AM40" s="224"/>
      <c r="AN40" s="432"/>
      <c r="AO40" s="224"/>
      <c r="AP40" s="224"/>
      <c r="AQ40" s="224"/>
      <c r="AR40" s="224"/>
      <c r="AS40" s="432"/>
      <c r="AT40" s="224"/>
      <c r="AU40" s="224"/>
      <c r="AV40" s="224"/>
      <c r="AW40" s="224"/>
      <c r="AX40" s="432"/>
    </row>
    <row r="41" spans="2:50">
      <c r="B41" s="427"/>
      <c r="C41" s="224">
        <v>15</v>
      </c>
      <c r="D41" s="224"/>
      <c r="E41" s="224"/>
      <c r="F41" s="224"/>
      <c r="G41" s="224"/>
      <c r="H41" s="436"/>
      <c r="I41" s="225"/>
      <c r="J41" s="225"/>
      <c r="K41" s="226"/>
      <c r="L41" s="436"/>
      <c r="M41" s="225"/>
      <c r="N41" s="419"/>
      <c r="O41" s="419"/>
      <c r="P41" s="224"/>
      <c r="Q41" s="224"/>
      <c r="R41" s="224"/>
      <c r="S41" s="224"/>
      <c r="T41" s="432"/>
      <c r="U41" s="224"/>
      <c r="V41" s="224"/>
      <c r="W41" s="224"/>
      <c r="X41" s="224"/>
      <c r="Y41" s="432"/>
      <c r="Z41" s="224"/>
      <c r="AA41" s="224"/>
      <c r="AB41" s="224"/>
      <c r="AC41" s="224"/>
      <c r="AD41" s="432"/>
      <c r="AE41" s="224"/>
      <c r="AF41" s="224"/>
      <c r="AG41" s="224"/>
      <c r="AH41" s="224"/>
      <c r="AI41" s="432"/>
      <c r="AJ41" s="224"/>
      <c r="AK41" s="224"/>
      <c r="AL41" s="224"/>
      <c r="AM41" s="224"/>
      <c r="AN41" s="432"/>
      <c r="AO41" s="224"/>
      <c r="AP41" s="224"/>
      <c r="AQ41" s="224"/>
      <c r="AR41" s="224"/>
      <c r="AS41" s="432"/>
      <c r="AT41" s="224"/>
      <c r="AU41" s="224"/>
      <c r="AV41" s="224"/>
      <c r="AW41" s="224"/>
      <c r="AX41" s="432"/>
    </row>
    <row r="42" spans="2:50" ht="15.75">
      <c r="B42" s="437" t="s">
        <v>165</v>
      </c>
      <c r="C42" s="438"/>
      <c r="D42" s="438"/>
      <c r="E42" s="438"/>
      <c r="F42" s="438"/>
      <c r="G42" s="438"/>
      <c r="H42" s="438"/>
      <c r="I42" s="229"/>
      <c r="J42" s="218"/>
      <c r="K42" s="229"/>
      <c r="L42" s="229"/>
      <c r="M42" s="219"/>
      <c r="N42" s="413" t="s">
        <v>421</v>
      </c>
      <c r="O42" s="413" t="s">
        <v>447</v>
      </c>
      <c r="P42" s="426">
        <v>45944</v>
      </c>
      <c r="Q42" s="427"/>
      <c r="R42" s="427"/>
      <c r="S42" s="427"/>
      <c r="T42" s="427"/>
      <c r="U42" s="426">
        <v>45945</v>
      </c>
      <c r="V42" s="427"/>
      <c r="W42" s="427"/>
      <c r="X42" s="427"/>
      <c r="Y42" s="427"/>
      <c r="Z42" s="426">
        <v>45946</v>
      </c>
      <c r="AA42" s="427"/>
      <c r="AB42" s="427"/>
      <c r="AC42" s="427"/>
      <c r="AD42" s="427"/>
      <c r="AE42" s="426">
        <v>45947</v>
      </c>
      <c r="AF42" s="427"/>
      <c r="AG42" s="427"/>
      <c r="AH42" s="427"/>
      <c r="AI42" s="427"/>
      <c r="AJ42" s="426">
        <v>45948</v>
      </c>
      <c r="AK42" s="427"/>
      <c r="AL42" s="427"/>
      <c r="AM42" s="427"/>
      <c r="AN42" s="427"/>
      <c r="AO42" s="426">
        <v>45949</v>
      </c>
      <c r="AP42" s="427"/>
      <c r="AQ42" s="427"/>
      <c r="AR42" s="427"/>
      <c r="AS42" s="427"/>
      <c r="AT42" s="426">
        <v>45950</v>
      </c>
      <c r="AU42" s="427"/>
      <c r="AV42" s="427"/>
      <c r="AW42" s="427"/>
      <c r="AX42" s="427"/>
    </row>
    <row r="43" spans="2:50" ht="15.75">
      <c r="B43" s="425"/>
      <c r="C43" s="425"/>
      <c r="D43" s="425"/>
      <c r="E43" s="425"/>
      <c r="F43" s="425"/>
      <c r="G43" s="425"/>
      <c r="H43" s="425"/>
      <c r="I43" s="220"/>
      <c r="J43" s="220"/>
      <c r="K43" s="220"/>
      <c r="L43" s="220"/>
      <c r="M43" s="221"/>
      <c r="N43" s="415"/>
      <c r="O43" s="415"/>
      <c r="P43" s="426" t="s">
        <v>448</v>
      </c>
      <c r="Q43" s="427"/>
      <c r="R43" s="427"/>
      <c r="S43" s="427"/>
      <c r="T43" s="427"/>
      <c r="U43" s="426" t="s">
        <v>112</v>
      </c>
      <c r="V43" s="427"/>
      <c r="W43" s="427"/>
      <c r="X43" s="427"/>
      <c r="Y43" s="427"/>
      <c r="Z43" s="426" t="s">
        <v>414</v>
      </c>
      <c r="AA43" s="427"/>
      <c r="AB43" s="427"/>
      <c r="AC43" s="427"/>
      <c r="AD43" s="427"/>
      <c r="AE43" s="426" t="s">
        <v>423</v>
      </c>
      <c r="AF43" s="427"/>
      <c r="AG43" s="427"/>
      <c r="AH43" s="427"/>
      <c r="AI43" s="427"/>
      <c r="AJ43" s="426" t="s">
        <v>431</v>
      </c>
      <c r="AK43" s="427"/>
      <c r="AL43" s="427"/>
      <c r="AM43" s="427"/>
      <c r="AN43" s="427"/>
      <c r="AO43" s="426" t="s">
        <v>416</v>
      </c>
      <c r="AP43" s="427"/>
      <c r="AQ43" s="427"/>
      <c r="AR43" s="427"/>
      <c r="AS43" s="427"/>
      <c r="AT43" s="426" t="s">
        <v>117</v>
      </c>
      <c r="AU43" s="427"/>
      <c r="AV43" s="427"/>
      <c r="AW43" s="427"/>
      <c r="AX43" s="427"/>
    </row>
    <row r="44" spans="2:50">
      <c r="B44" s="419" t="s">
        <v>154</v>
      </c>
      <c r="C44" s="419" t="s">
        <v>425</v>
      </c>
      <c r="D44" s="419"/>
      <c r="E44" s="419" t="s">
        <v>148</v>
      </c>
      <c r="F44" s="419"/>
      <c r="G44" s="419"/>
      <c r="H44" s="420" t="s">
        <v>403</v>
      </c>
      <c r="I44" s="419" t="s">
        <v>426</v>
      </c>
      <c r="J44" s="419"/>
      <c r="K44" s="419"/>
      <c r="L44" s="420" t="s">
        <v>435</v>
      </c>
      <c r="M44" s="413" t="s">
        <v>166</v>
      </c>
      <c r="N44" s="419"/>
      <c r="O44" s="419" t="s">
        <v>418</v>
      </c>
      <c r="P44" s="416" t="s">
        <v>401</v>
      </c>
      <c r="Q44" s="417"/>
      <c r="R44" s="417"/>
      <c r="S44" s="418"/>
      <c r="T44" s="419" t="s">
        <v>403</v>
      </c>
      <c r="U44" s="416" t="s">
        <v>151</v>
      </c>
      <c r="V44" s="417"/>
      <c r="W44" s="417"/>
      <c r="X44" s="418"/>
      <c r="Y44" s="419" t="s">
        <v>155</v>
      </c>
      <c r="Z44" s="416" t="s">
        <v>151</v>
      </c>
      <c r="AA44" s="417"/>
      <c r="AB44" s="417"/>
      <c r="AC44" s="418"/>
      <c r="AD44" s="419" t="s">
        <v>403</v>
      </c>
      <c r="AE44" s="416" t="s">
        <v>402</v>
      </c>
      <c r="AF44" s="417"/>
      <c r="AG44" s="417"/>
      <c r="AH44" s="418"/>
      <c r="AI44" s="419" t="s">
        <v>155</v>
      </c>
      <c r="AJ44" s="416" t="s">
        <v>402</v>
      </c>
      <c r="AK44" s="417"/>
      <c r="AL44" s="417"/>
      <c r="AM44" s="418"/>
      <c r="AN44" s="419" t="s">
        <v>155</v>
      </c>
      <c r="AO44" s="416" t="s">
        <v>151</v>
      </c>
      <c r="AP44" s="417"/>
      <c r="AQ44" s="417"/>
      <c r="AR44" s="418"/>
      <c r="AS44" s="419" t="s">
        <v>155</v>
      </c>
      <c r="AT44" s="416" t="s">
        <v>402</v>
      </c>
      <c r="AU44" s="417"/>
      <c r="AV44" s="417"/>
      <c r="AW44" s="418"/>
      <c r="AX44" s="419" t="s">
        <v>403</v>
      </c>
    </row>
    <row r="45" spans="2:50">
      <c r="B45" s="419"/>
      <c r="C45" s="419"/>
      <c r="D45" s="419"/>
      <c r="E45" s="419" t="s">
        <v>419</v>
      </c>
      <c r="F45" s="419"/>
      <c r="G45" s="419"/>
      <c r="H45" s="421"/>
      <c r="I45" s="419" t="s">
        <v>147</v>
      </c>
      <c r="J45" s="419"/>
      <c r="K45" s="419"/>
      <c r="L45" s="421"/>
      <c r="M45" s="414"/>
      <c r="N45" s="419"/>
      <c r="O45" s="419"/>
      <c r="P45" s="416" t="s">
        <v>405</v>
      </c>
      <c r="Q45" s="417"/>
      <c r="R45" s="417"/>
      <c r="S45" s="418"/>
      <c r="T45" s="419"/>
      <c r="U45" s="416" t="s">
        <v>438</v>
      </c>
      <c r="V45" s="417"/>
      <c r="W45" s="417"/>
      <c r="X45" s="418"/>
      <c r="Y45" s="419"/>
      <c r="Z45" s="416" t="s">
        <v>438</v>
      </c>
      <c r="AA45" s="417"/>
      <c r="AB45" s="417"/>
      <c r="AC45" s="418"/>
      <c r="AD45" s="419"/>
      <c r="AE45" s="416" t="s">
        <v>152</v>
      </c>
      <c r="AF45" s="417"/>
      <c r="AG45" s="417"/>
      <c r="AH45" s="418"/>
      <c r="AI45" s="419"/>
      <c r="AJ45" s="416" t="s">
        <v>406</v>
      </c>
      <c r="AK45" s="417"/>
      <c r="AL45" s="417"/>
      <c r="AM45" s="418"/>
      <c r="AN45" s="419"/>
      <c r="AO45" s="416" t="s">
        <v>152</v>
      </c>
      <c r="AP45" s="417"/>
      <c r="AQ45" s="417"/>
      <c r="AR45" s="418"/>
      <c r="AS45" s="419"/>
      <c r="AT45" s="416" t="s">
        <v>406</v>
      </c>
      <c r="AU45" s="417"/>
      <c r="AV45" s="417"/>
      <c r="AW45" s="418"/>
      <c r="AX45" s="419"/>
    </row>
    <row r="46" spans="2:50">
      <c r="B46" s="419"/>
      <c r="C46" s="419"/>
      <c r="D46" s="419"/>
      <c r="E46" s="223" t="s">
        <v>411</v>
      </c>
      <c r="F46" s="223" t="s">
        <v>440</v>
      </c>
      <c r="G46" s="223" t="s">
        <v>420</v>
      </c>
      <c r="H46" s="422"/>
      <c r="I46" s="223" t="s">
        <v>411</v>
      </c>
      <c r="J46" s="223" t="s">
        <v>410</v>
      </c>
      <c r="K46" s="223" t="s">
        <v>153</v>
      </c>
      <c r="L46" s="422"/>
      <c r="M46" s="415"/>
      <c r="N46" s="419"/>
      <c r="O46" s="419"/>
      <c r="P46" s="223" t="s">
        <v>149</v>
      </c>
      <c r="Q46" s="223" t="s">
        <v>440</v>
      </c>
      <c r="R46" s="223" t="s">
        <v>153</v>
      </c>
      <c r="S46" s="223" t="s">
        <v>412</v>
      </c>
      <c r="T46" s="419"/>
      <c r="U46" s="223" t="s">
        <v>407</v>
      </c>
      <c r="V46" s="223" t="s">
        <v>440</v>
      </c>
      <c r="W46" s="223" t="s">
        <v>420</v>
      </c>
      <c r="X46" s="223" t="s">
        <v>412</v>
      </c>
      <c r="Y46" s="419"/>
      <c r="Z46" s="223" t="s">
        <v>149</v>
      </c>
      <c r="AA46" s="223" t="s">
        <v>410</v>
      </c>
      <c r="AB46" s="223" t="s">
        <v>420</v>
      </c>
      <c r="AC46" s="223" t="s">
        <v>412</v>
      </c>
      <c r="AD46" s="419"/>
      <c r="AE46" s="223" t="s">
        <v>149</v>
      </c>
      <c r="AF46" s="223" t="s">
        <v>150</v>
      </c>
      <c r="AG46" s="223" t="s">
        <v>420</v>
      </c>
      <c r="AH46" s="223" t="s">
        <v>399</v>
      </c>
      <c r="AI46" s="419"/>
      <c r="AJ46" s="223" t="s">
        <v>411</v>
      </c>
      <c r="AK46" s="223" t="s">
        <v>150</v>
      </c>
      <c r="AL46" s="223" t="s">
        <v>153</v>
      </c>
      <c r="AM46" s="223" t="s">
        <v>166</v>
      </c>
      <c r="AN46" s="419"/>
      <c r="AO46" s="223" t="s">
        <v>411</v>
      </c>
      <c r="AP46" s="223" t="s">
        <v>408</v>
      </c>
      <c r="AQ46" s="223" t="s">
        <v>420</v>
      </c>
      <c r="AR46" s="223" t="s">
        <v>166</v>
      </c>
      <c r="AS46" s="419"/>
      <c r="AT46" s="223" t="s">
        <v>439</v>
      </c>
      <c r="AU46" s="223" t="s">
        <v>410</v>
      </c>
      <c r="AV46" s="223" t="s">
        <v>420</v>
      </c>
      <c r="AW46" s="223" t="s">
        <v>166</v>
      </c>
      <c r="AX46" s="419"/>
    </row>
    <row r="47" spans="2:50">
      <c r="B47" s="419" t="s">
        <v>442</v>
      </c>
      <c r="C47" s="224">
        <v>1</v>
      </c>
      <c r="D47" s="224" t="s">
        <v>354</v>
      </c>
      <c r="E47" s="225">
        <f>VLOOKUP(D47,'10產線配置圖'!$A$2:$C$25,2,0)</f>
        <v>13</v>
      </c>
      <c r="F47" s="225">
        <f>VLOOKUP(D47,'10產線配置圖'!$A$2:$C$25,3,0)</f>
        <v>1565</v>
      </c>
      <c r="G47" s="226">
        <f t="shared" ref="G47:G49" si="33">F47/E47</f>
        <v>120.38461538461539</v>
      </c>
      <c r="H47" s="434">
        <f>AVERAGE(G47:G61)</f>
        <v>127.07264957264958</v>
      </c>
      <c r="I47" s="225" t="e">
        <f>AVERAGE(P47,U47,Z47,AE47,AJ47,AO47,AT47)</f>
        <v>#DIV/0!</v>
      </c>
      <c r="J47" s="225" t="e">
        <f>AVERAGE(Q47,V47,AA47,AF47,AK47,AP47,AU47)</f>
        <v>#DIV/0!</v>
      </c>
      <c r="K47" s="226" t="e">
        <f>AVERAGE(R47,W47,AB47,AG47,AL47,AQ47,AV47)</f>
        <v>#DIV/0!</v>
      </c>
      <c r="L47" s="434" t="str">
        <f>IFERROR(AVERAGE(K47:K61),"-")</f>
        <v>-</v>
      </c>
      <c r="M47" s="225" t="e">
        <f>RANK(K47, K$47:$K$61)</f>
        <v>#DIV/0!</v>
      </c>
      <c r="N47" s="419"/>
      <c r="O47" s="419"/>
      <c r="P47" s="225"/>
      <c r="Q47" s="225"/>
      <c r="R47" s="226" t="e">
        <f>Q47/P47</f>
        <v>#DIV/0!</v>
      </c>
      <c r="S47" s="224" t="e">
        <f>RANK(R47, $R$47:$R$49)</f>
        <v>#DIV/0!</v>
      </c>
      <c r="T47" s="432" t="e">
        <f>AVERAGE(R47:R61)</f>
        <v>#DIV/0!</v>
      </c>
      <c r="U47" s="225"/>
      <c r="V47" s="225"/>
      <c r="W47" s="226" t="e">
        <f>V47/U47</f>
        <v>#DIV/0!</v>
      </c>
      <c r="X47" s="224" t="e">
        <f>RANK(W47, $W$47:$W$49)</f>
        <v>#DIV/0!</v>
      </c>
      <c r="Y47" s="432" t="e">
        <f>AVERAGE(W47:W61)</f>
        <v>#DIV/0!</v>
      </c>
      <c r="Z47" s="225"/>
      <c r="AA47" s="225"/>
      <c r="AB47" s="226" t="e">
        <f>AA47/Z47</f>
        <v>#DIV/0!</v>
      </c>
      <c r="AC47" s="224" t="e">
        <f>RANK(AB47, $AB$47:$AB$49)</f>
        <v>#DIV/0!</v>
      </c>
      <c r="AD47" s="432" t="e">
        <f>AVERAGE(AB47:AB61)</f>
        <v>#DIV/0!</v>
      </c>
      <c r="AE47" s="225"/>
      <c r="AF47" s="225"/>
      <c r="AG47" s="226" t="e">
        <f>AF47/AE47</f>
        <v>#DIV/0!</v>
      </c>
      <c r="AH47" s="224" t="e">
        <f>RANK(AG47,$AG$47:$AG$49)</f>
        <v>#DIV/0!</v>
      </c>
      <c r="AI47" s="432" t="e">
        <f>AVERAGE(AG47:AG61)</f>
        <v>#DIV/0!</v>
      </c>
      <c r="AJ47" s="225"/>
      <c r="AK47" s="225"/>
      <c r="AL47" s="226" t="e">
        <f>AK47/AJ47</f>
        <v>#DIV/0!</v>
      </c>
      <c r="AM47" s="224" t="e">
        <f>RANK(AL47, $AL$47:$AL$49)</f>
        <v>#DIV/0!</v>
      </c>
      <c r="AN47" s="432" t="e">
        <f>AVERAGE(AL47:AL61)</f>
        <v>#DIV/0!</v>
      </c>
      <c r="AO47" s="225"/>
      <c r="AP47" s="225"/>
      <c r="AQ47" s="226" t="e">
        <f>AP47/AO47</f>
        <v>#DIV/0!</v>
      </c>
      <c r="AR47" s="224" t="e">
        <f>RANK(AQ47,$AQ$47:$AQ$49)</f>
        <v>#DIV/0!</v>
      </c>
      <c r="AS47" s="432" t="e">
        <f>AVERAGE(AQ47:AQ61)</f>
        <v>#DIV/0!</v>
      </c>
      <c r="AT47" s="241"/>
      <c r="AU47" s="241"/>
      <c r="AV47" s="226" t="e">
        <f>AU47/AT47</f>
        <v>#DIV/0!</v>
      </c>
      <c r="AW47" s="224" t="e">
        <f>RANK(AV47,$AV$47:$AV$49)</f>
        <v>#DIV/0!</v>
      </c>
      <c r="AX47" s="432" t="e">
        <f>AVERAGE(AV47:AV61)</f>
        <v>#DIV/0!</v>
      </c>
    </row>
    <row r="48" spans="2:50">
      <c r="B48" s="427"/>
      <c r="C48" s="224">
        <v>2</v>
      </c>
      <c r="D48" s="224" t="s">
        <v>362</v>
      </c>
      <c r="E48" s="225">
        <f>VLOOKUP(D48,'10產線配置圖'!$A$2:$C$25,2,0)</f>
        <v>12</v>
      </c>
      <c r="F48" s="225">
        <f>VLOOKUP(D48,'10產線配置圖'!$A$2:$C$25,3,0)</f>
        <v>1565</v>
      </c>
      <c r="G48" s="226">
        <f t="shared" si="33"/>
        <v>130.41666666666666</v>
      </c>
      <c r="H48" s="435"/>
      <c r="I48" s="225" t="e">
        <f t="shared" ref="I48:K49" si="34">AVERAGE(P48,U48,Z48,AE48,AJ48,AO48,AT48)</f>
        <v>#DIV/0!</v>
      </c>
      <c r="J48" s="225" t="e">
        <f t="shared" si="34"/>
        <v>#DIV/0!</v>
      </c>
      <c r="K48" s="226" t="e">
        <f t="shared" si="34"/>
        <v>#DIV/0!</v>
      </c>
      <c r="L48" s="435"/>
      <c r="M48" s="225" t="e">
        <f>RANK(K48, K$47:$K$61)</f>
        <v>#DIV/0!</v>
      </c>
      <c r="N48" s="419"/>
      <c r="O48" s="419"/>
      <c r="P48" s="225"/>
      <c r="Q48" s="225"/>
      <c r="R48" s="226" t="e">
        <f t="shared" ref="R48:R49" si="35">Q48/P48</f>
        <v>#DIV/0!</v>
      </c>
      <c r="S48" s="224" t="e">
        <f t="shared" ref="S48:S49" si="36">RANK(R48, $R$47:$R$49)</f>
        <v>#DIV/0!</v>
      </c>
      <c r="T48" s="432"/>
      <c r="U48" s="225"/>
      <c r="V48" s="225"/>
      <c r="W48" s="226" t="e">
        <f t="shared" ref="W48:W49" si="37">V48/U48</f>
        <v>#DIV/0!</v>
      </c>
      <c r="X48" s="224" t="e">
        <f t="shared" ref="X48:X49" si="38">RANK(W48, $W$47:$W$49)</f>
        <v>#DIV/0!</v>
      </c>
      <c r="Y48" s="432"/>
      <c r="Z48" s="225"/>
      <c r="AA48" s="225"/>
      <c r="AB48" s="226" t="e">
        <f t="shared" ref="AB48:AB49" si="39">AA48/Z48</f>
        <v>#DIV/0!</v>
      </c>
      <c r="AC48" s="224" t="e">
        <f t="shared" ref="AC48:AC49" si="40">RANK(AB48, $AB$47:$AB$49)</f>
        <v>#DIV/0!</v>
      </c>
      <c r="AD48" s="432"/>
      <c r="AE48" s="225"/>
      <c r="AF48" s="225"/>
      <c r="AG48" s="226" t="e">
        <f t="shared" ref="AG48:AG49" si="41">AF48/AE48</f>
        <v>#DIV/0!</v>
      </c>
      <c r="AH48" s="224" t="e">
        <f t="shared" ref="AH48:AH49" si="42">RANK(AG48,$AG$47:$AG$49)</f>
        <v>#DIV/0!</v>
      </c>
      <c r="AI48" s="432"/>
      <c r="AJ48" s="225"/>
      <c r="AK48" s="225"/>
      <c r="AL48" s="226" t="e">
        <f t="shared" ref="AL48:AL49" si="43">AK48/AJ48</f>
        <v>#DIV/0!</v>
      </c>
      <c r="AM48" s="224" t="e">
        <f t="shared" ref="AM48:AM49" si="44">RANK(AL48, $AL$47:$AL$49)</f>
        <v>#DIV/0!</v>
      </c>
      <c r="AN48" s="432"/>
      <c r="AO48" s="225"/>
      <c r="AP48" s="225"/>
      <c r="AQ48" s="226" t="e">
        <f t="shared" ref="AQ48:AQ49" si="45">AP48/AO48</f>
        <v>#DIV/0!</v>
      </c>
      <c r="AR48" s="224" t="e">
        <f t="shared" ref="AR48:AR49" si="46">RANK(AQ48,$AQ$47:$AQ$49)</f>
        <v>#DIV/0!</v>
      </c>
      <c r="AS48" s="432"/>
      <c r="AT48" s="241"/>
      <c r="AU48" s="241"/>
      <c r="AV48" s="226" t="e">
        <f t="shared" ref="AV48:AV49" si="47">AU48/AT48</f>
        <v>#DIV/0!</v>
      </c>
      <c r="AW48" s="224" t="e">
        <f t="shared" ref="AW48:AW49" si="48">RANK(AV48,$AV$47:$AV$49)</f>
        <v>#DIV/0!</v>
      </c>
      <c r="AX48" s="432"/>
    </row>
    <row r="49" spans="2:50">
      <c r="B49" s="427"/>
      <c r="C49" s="224">
        <v>3</v>
      </c>
      <c r="D49" s="224" t="s">
        <v>463</v>
      </c>
      <c r="E49" s="225">
        <f>VLOOKUP(D49,'10產線配置圖'!$A$2:$C$25,2,0)</f>
        <v>12</v>
      </c>
      <c r="F49" s="225">
        <f>VLOOKUP(D49,'10產線配置圖'!$A$2:$C$25,3,0)</f>
        <v>1565</v>
      </c>
      <c r="G49" s="226">
        <f t="shared" si="33"/>
        <v>130.41666666666666</v>
      </c>
      <c r="H49" s="435"/>
      <c r="I49" s="225" t="e">
        <f t="shared" si="34"/>
        <v>#DIV/0!</v>
      </c>
      <c r="J49" s="225" t="e">
        <f t="shared" si="34"/>
        <v>#DIV/0!</v>
      </c>
      <c r="K49" s="226" t="e">
        <f t="shared" si="34"/>
        <v>#DIV/0!</v>
      </c>
      <c r="L49" s="435"/>
      <c r="M49" s="225" t="e">
        <f>RANK(K49, K$47:$K$61)</f>
        <v>#DIV/0!</v>
      </c>
      <c r="N49" s="419"/>
      <c r="O49" s="419"/>
      <c r="P49" s="225"/>
      <c r="Q49" s="225"/>
      <c r="R49" s="226" t="e">
        <f t="shared" si="35"/>
        <v>#DIV/0!</v>
      </c>
      <c r="S49" s="224" t="e">
        <f t="shared" si="36"/>
        <v>#DIV/0!</v>
      </c>
      <c r="T49" s="432"/>
      <c r="U49" s="225"/>
      <c r="V49" s="225"/>
      <c r="W49" s="226" t="e">
        <f t="shared" si="37"/>
        <v>#DIV/0!</v>
      </c>
      <c r="X49" s="224" t="e">
        <f t="shared" si="38"/>
        <v>#DIV/0!</v>
      </c>
      <c r="Y49" s="432"/>
      <c r="Z49" s="225"/>
      <c r="AA49" s="225"/>
      <c r="AB49" s="226" t="e">
        <f t="shared" si="39"/>
        <v>#DIV/0!</v>
      </c>
      <c r="AC49" s="224" t="e">
        <f t="shared" si="40"/>
        <v>#DIV/0!</v>
      </c>
      <c r="AD49" s="432"/>
      <c r="AE49" s="225"/>
      <c r="AF49" s="225"/>
      <c r="AG49" s="226" t="e">
        <f t="shared" si="41"/>
        <v>#DIV/0!</v>
      </c>
      <c r="AH49" s="224" t="e">
        <f t="shared" si="42"/>
        <v>#DIV/0!</v>
      </c>
      <c r="AI49" s="432"/>
      <c r="AJ49" s="225"/>
      <c r="AK49" s="225"/>
      <c r="AL49" s="226" t="e">
        <f t="shared" si="43"/>
        <v>#DIV/0!</v>
      </c>
      <c r="AM49" s="224" t="e">
        <f t="shared" si="44"/>
        <v>#DIV/0!</v>
      </c>
      <c r="AN49" s="432"/>
      <c r="AO49" s="225"/>
      <c r="AP49" s="225"/>
      <c r="AQ49" s="226" t="e">
        <f t="shared" si="45"/>
        <v>#DIV/0!</v>
      </c>
      <c r="AR49" s="224" t="e">
        <f t="shared" si="46"/>
        <v>#DIV/0!</v>
      </c>
      <c r="AS49" s="432"/>
      <c r="AT49" s="241"/>
      <c r="AU49" s="241"/>
      <c r="AV49" s="226" t="e">
        <f t="shared" si="47"/>
        <v>#DIV/0!</v>
      </c>
      <c r="AW49" s="224" t="e">
        <f t="shared" si="48"/>
        <v>#DIV/0!</v>
      </c>
      <c r="AX49" s="432"/>
    </row>
    <row r="50" spans="2:50">
      <c r="B50" s="427"/>
      <c r="C50" s="224">
        <v>4</v>
      </c>
      <c r="D50" s="224"/>
      <c r="E50" s="225"/>
      <c r="F50" s="225"/>
      <c r="G50" s="226"/>
      <c r="H50" s="435"/>
      <c r="I50" s="225"/>
      <c r="J50" s="225"/>
      <c r="K50" s="226"/>
      <c r="L50" s="435"/>
      <c r="M50" s="225"/>
      <c r="N50" s="419"/>
      <c r="O50" s="419"/>
      <c r="P50" s="225"/>
      <c r="Q50" s="225"/>
      <c r="R50" s="224"/>
      <c r="S50" s="224"/>
      <c r="T50" s="432"/>
      <c r="U50" s="225"/>
      <c r="V50" s="225"/>
      <c r="W50" s="224"/>
      <c r="X50" s="224"/>
      <c r="Y50" s="432"/>
      <c r="Z50" s="225"/>
      <c r="AA50" s="225"/>
      <c r="AB50" s="224"/>
      <c r="AC50" s="224"/>
      <c r="AD50" s="432"/>
      <c r="AE50" s="225"/>
      <c r="AF50" s="225"/>
      <c r="AG50" s="224"/>
      <c r="AH50" s="224"/>
      <c r="AI50" s="432"/>
      <c r="AJ50" s="225"/>
      <c r="AK50" s="225"/>
      <c r="AL50" s="224"/>
      <c r="AM50" s="224"/>
      <c r="AN50" s="432"/>
      <c r="AO50" s="225"/>
      <c r="AP50" s="225"/>
      <c r="AQ50" s="224"/>
      <c r="AR50" s="224"/>
      <c r="AS50" s="432"/>
      <c r="AT50" s="225"/>
      <c r="AU50" s="225"/>
      <c r="AV50" s="224"/>
      <c r="AW50" s="224"/>
      <c r="AX50" s="432"/>
    </row>
    <row r="51" spans="2:50">
      <c r="B51" s="427"/>
      <c r="C51" s="224">
        <v>5</v>
      </c>
      <c r="D51" s="224"/>
      <c r="E51" s="225"/>
      <c r="F51" s="225"/>
      <c r="G51" s="226"/>
      <c r="H51" s="435"/>
      <c r="I51" s="225"/>
      <c r="J51" s="225"/>
      <c r="K51" s="226"/>
      <c r="L51" s="435"/>
      <c r="M51" s="225"/>
      <c r="N51" s="419"/>
      <c r="O51" s="419"/>
      <c r="P51" s="225"/>
      <c r="Q51" s="225"/>
      <c r="R51" s="224"/>
      <c r="S51" s="224"/>
      <c r="T51" s="432"/>
      <c r="U51" s="225"/>
      <c r="V51" s="225"/>
      <c r="W51" s="224"/>
      <c r="X51" s="224"/>
      <c r="Y51" s="432"/>
      <c r="Z51" s="225"/>
      <c r="AA51" s="225"/>
      <c r="AB51" s="224"/>
      <c r="AC51" s="224"/>
      <c r="AD51" s="432"/>
      <c r="AE51" s="225"/>
      <c r="AF51" s="225"/>
      <c r="AG51" s="224"/>
      <c r="AH51" s="224"/>
      <c r="AI51" s="432"/>
      <c r="AJ51" s="225"/>
      <c r="AK51" s="225"/>
      <c r="AL51" s="224"/>
      <c r="AM51" s="224"/>
      <c r="AN51" s="432"/>
      <c r="AO51" s="225"/>
      <c r="AP51" s="225"/>
      <c r="AQ51" s="224"/>
      <c r="AR51" s="224"/>
      <c r="AS51" s="432"/>
      <c r="AT51" s="225"/>
      <c r="AU51" s="225"/>
      <c r="AV51" s="224"/>
      <c r="AW51" s="224"/>
      <c r="AX51" s="432"/>
    </row>
    <row r="52" spans="2:50">
      <c r="B52" s="427"/>
      <c r="C52" s="224">
        <v>6</v>
      </c>
      <c r="D52" s="224"/>
      <c r="E52" s="225"/>
      <c r="F52" s="225"/>
      <c r="G52" s="226"/>
      <c r="H52" s="435"/>
      <c r="I52" s="225"/>
      <c r="J52" s="225"/>
      <c r="K52" s="226"/>
      <c r="L52" s="435"/>
      <c r="M52" s="225"/>
      <c r="N52" s="419"/>
      <c r="O52" s="419"/>
      <c r="P52" s="225"/>
      <c r="Q52" s="225"/>
      <c r="R52" s="224"/>
      <c r="S52" s="224"/>
      <c r="T52" s="432"/>
      <c r="U52" s="225"/>
      <c r="V52" s="225"/>
      <c r="W52" s="224"/>
      <c r="X52" s="224"/>
      <c r="Y52" s="432"/>
      <c r="Z52" s="225"/>
      <c r="AA52" s="225"/>
      <c r="AB52" s="224"/>
      <c r="AC52" s="224"/>
      <c r="AD52" s="432"/>
      <c r="AE52" s="225"/>
      <c r="AF52" s="225"/>
      <c r="AG52" s="224"/>
      <c r="AH52" s="224"/>
      <c r="AI52" s="432"/>
      <c r="AJ52" s="225"/>
      <c r="AK52" s="225"/>
      <c r="AL52" s="224"/>
      <c r="AM52" s="224"/>
      <c r="AN52" s="432"/>
      <c r="AO52" s="225"/>
      <c r="AP52" s="225"/>
      <c r="AQ52" s="224"/>
      <c r="AR52" s="224"/>
      <c r="AS52" s="432"/>
      <c r="AT52" s="225"/>
      <c r="AU52" s="225"/>
      <c r="AV52" s="224"/>
      <c r="AW52" s="224"/>
      <c r="AX52" s="432"/>
    </row>
    <row r="53" spans="2:50">
      <c r="B53" s="427"/>
      <c r="C53" s="224">
        <v>7</v>
      </c>
      <c r="D53" s="224"/>
      <c r="E53" s="225"/>
      <c r="F53" s="225"/>
      <c r="G53" s="226"/>
      <c r="H53" s="435"/>
      <c r="I53" s="225"/>
      <c r="J53" s="225"/>
      <c r="K53" s="226"/>
      <c r="L53" s="435"/>
      <c r="M53" s="225"/>
      <c r="N53" s="419"/>
      <c r="O53" s="419"/>
      <c r="P53" s="225"/>
      <c r="Q53" s="225"/>
      <c r="R53" s="224"/>
      <c r="S53" s="224"/>
      <c r="T53" s="432"/>
      <c r="U53" s="225"/>
      <c r="V53" s="225"/>
      <c r="W53" s="224"/>
      <c r="X53" s="224"/>
      <c r="Y53" s="432"/>
      <c r="Z53" s="225"/>
      <c r="AA53" s="225"/>
      <c r="AB53" s="224"/>
      <c r="AC53" s="224"/>
      <c r="AD53" s="432"/>
      <c r="AE53" s="225"/>
      <c r="AF53" s="225"/>
      <c r="AG53" s="224"/>
      <c r="AH53" s="224"/>
      <c r="AI53" s="432"/>
      <c r="AJ53" s="225"/>
      <c r="AK53" s="225"/>
      <c r="AL53" s="224"/>
      <c r="AM53" s="224"/>
      <c r="AN53" s="432"/>
      <c r="AO53" s="225"/>
      <c r="AP53" s="225"/>
      <c r="AQ53" s="224"/>
      <c r="AR53" s="224"/>
      <c r="AS53" s="432"/>
      <c r="AT53" s="225"/>
      <c r="AU53" s="225"/>
      <c r="AV53" s="224"/>
      <c r="AW53" s="224"/>
      <c r="AX53" s="432"/>
    </row>
    <row r="54" spans="2:50">
      <c r="B54" s="427"/>
      <c r="C54" s="224">
        <v>8</v>
      </c>
      <c r="D54" s="224"/>
      <c r="E54" s="224"/>
      <c r="F54" s="224"/>
      <c r="G54" s="224"/>
      <c r="H54" s="435"/>
      <c r="I54" s="225"/>
      <c r="J54" s="225"/>
      <c r="K54" s="226"/>
      <c r="L54" s="435"/>
      <c r="M54" s="225"/>
      <c r="N54" s="419"/>
      <c r="O54" s="419"/>
      <c r="P54" s="225"/>
      <c r="Q54" s="225"/>
      <c r="R54" s="224"/>
      <c r="S54" s="224"/>
      <c r="T54" s="432"/>
      <c r="U54" s="225"/>
      <c r="V54" s="225"/>
      <c r="W54" s="224"/>
      <c r="X54" s="224"/>
      <c r="Y54" s="432"/>
      <c r="Z54" s="225"/>
      <c r="AA54" s="225"/>
      <c r="AB54" s="224"/>
      <c r="AC54" s="224"/>
      <c r="AD54" s="432"/>
      <c r="AE54" s="225"/>
      <c r="AF54" s="225"/>
      <c r="AG54" s="224"/>
      <c r="AH54" s="224"/>
      <c r="AI54" s="432"/>
      <c r="AJ54" s="225"/>
      <c r="AK54" s="225"/>
      <c r="AL54" s="224"/>
      <c r="AM54" s="224"/>
      <c r="AN54" s="432"/>
      <c r="AO54" s="225"/>
      <c r="AP54" s="225"/>
      <c r="AQ54" s="224"/>
      <c r="AR54" s="224"/>
      <c r="AS54" s="432"/>
      <c r="AT54" s="225"/>
      <c r="AU54" s="225"/>
      <c r="AV54" s="224"/>
      <c r="AW54" s="224"/>
      <c r="AX54" s="432"/>
    </row>
    <row r="55" spans="2:50">
      <c r="B55" s="427"/>
      <c r="C55" s="224">
        <v>9</v>
      </c>
      <c r="D55" s="224"/>
      <c r="E55" s="224"/>
      <c r="F55" s="224"/>
      <c r="G55" s="224"/>
      <c r="H55" s="435"/>
      <c r="I55" s="225"/>
      <c r="J55" s="225"/>
      <c r="K55" s="226"/>
      <c r="L55" s="435"/>
      <c r="M55" s="225"/>
      <c r="N55" s="419"/>
      <c r="O55" s="419"/>
      <c r="P55" s="225"/>
      <c r="Q55" s="225"/>
      <c r="R55" s="224"/>
      <c r="S55" s="224"/>
      <c r="T55" s="432"/>
      <c r="U55" s="225"/>
      <c r="V55" s="225"/>
      <c r="W55" s="224"/>
      <c r="X55" s="224"/>
      <c r="Y55" s="432"/>
      <c r="Z55" s="225"/>
      <c r="AA55" s="225"/>
      <c r="AB55" s="224"/>
      <c r="AC55" s="224"/>
      <c r="AD55" s="432"/>
      <c r="AE55" s="225"/>
      <c r="AF55" s="225"/>
      <c r="AG55" s="224"/>
      <c r="AH55" s="224"/>
      <c r="AI55" s="432"/>
      <c r="AJ55" s="225"/>
      <c r="AK55" s="225"/>
      <c r="AL55" s="224"/>
      <c r="AM55" s="224"/>
      <c r="AN55" s="432"/>
      <c r="AO55" s="225"/>
      <c r="AP55" s="225"/>
      <c r="AQ55" s="224"/>
      <c r="AR55" s="224"/>
      <c r="AS55" s="432"/>
      <c r="AT55" s="225"/>
      <c r="AU55" s="225"/>
      <c r="AV55" s="224"/>
      <c r="AW55" s="224"/>
      <c r="AX55" s="432"/>
    </row>
    <row r="56" spans="2:50">
      <c r="B56" s="427"/>
      <c r="C56" s="224">
        <v>10</v>
      </c>
      <c r="D56" s="224"/>
      <c r="E56" s="224"/>
      <c r="F56" s="224"/>
      <c r="G56" s="224"/>
      <c r="H56" s="435"/>
      <c r="I56" s="225"/>
      <c r="J56" s="225"/>
      <c r="K56" s="226"/>
      <c r="L56" s="435"/>
      <c r="M56" s="225"/>
      <c r="N56" s="419"/>
      <c r="O56" s="419"/>
      <c r="P56" s="225"/>
      <c r="Q56" s="225"/>
      <c r="R56" s="224"/>
      <c r="S56" s="224"/>
      <c r="T56" s="432"/>
      <c r="U56" s="225"/>
      <c r="V56" s="225"/>
      <c r="W56" s="224"/>
      <c r="X56" s="224"/>
      <c r="Y56" s="432"/>
      <c r="Z56" s="225"/>
      <c r="AA56" s="225"/>
      <c r="AB56" s="224"/>
      <c r="AC56" s="224"/>
      <c r="AD56" s="432"/>
      <c r="AE56" s="225"/>
      <c r="AF56" s="225"/>
      <c r="AG56" s="224"/>
      <c r="AH56" s="224"/>
      <c r="AI56" s="432"/>
      <c r="AJ56" s="225"/>
      <c r="AK56" s="225"/>
      <c r="AL56" s="224"/>
      <c r="AM56" s="224"/>
      <c r="AN56" s="432"/>
      <c r="AO56" s="225"/>
      <c r="AP56" s="225"/>
      <c r="AQ56" s="224"/>
      <c r="AR56" s="224"/>
      <c r="AS56" s="432"/>
      <c r="AT56" s="225"/>
      <c r="AU56" s="225"/>
      <c r="AV56" s="224"/>
      <c r="AW56" s="224"/>
      <c r="AX56" s="432"/>
    </row>
    <row r="57" spans="2:50">
      <c r="B57" s="427"/>
      <c r="C57" s="224">
        <v>11</v>
      </c>
      <c r="D57" s="224"/>
      <c r="E57" s="224"/>
      <c r="F57" s="224"/>
      <c r="G57" s="224"/>
      <c r="H57" s="435"/>
      <c r="I57" s="225"/>
      <c r="J57" s="225"/>
      <c r="K57" s="226"/>
      <c r="L57" s="435"/>
      <c r="M57" s="225"/>
      <c r="N57" s="419"/>
      <c r="O57" s="419"/>
      <c r="P57" s="224"/>
      <c r="Q57" s="224"/>
      <c r="R57" s="224"/>
      <c r="S57" s="224"/>
      <c r="T57" s="432"/>
      <c r="U57" s="224"/>
      <c r="V57" s="224"/>
      <c r="W57" s="224"/>
      <c r="X57" s="224"/>
      <c r="Y57" s="432"/>
      <c r="Z57" s="224"/>
      <c r="AA57" s="224"/>
      <c r="AB57" s="224"/>
      <c r="AC57" s="224"/>
      <c r="AD57" s="432"/>
      <c r="AE57" s="224"/>
      <c r="AF57" s="224"/>
      <c r="AG57" s="224"/>
      <c r="AH57" s="224"/>
      <c r="AI57" s="432"/>
      <c r="AJ57" s="224"/>
      <c r="AK57" s="224"/>
      <c r="AL57" s="224"/>
      <c r="AM57" s="224"/>
      <c r="AN57" s="432"/>
      <c r="AO57" s="224"/>
      <c r="AP57" s="224"/>
      <c r="AQ57" s="224"/>
      <c r="AR57" s="224"/>
      <c r="AS57" s="432"/>
      <c r="AT57" s="224"/>
      <c r="AU57" s="224"/>
      <c r="AV57" s="224"/>
      <c r="AW57" s="224"/>
      <c r="AX57" s="432"/>
    </row>
    <row r="58" spans="2:50">
      <c r="B58" s="427"/>
      <c r="C58" s="224">
        <v>12</v>
      </c>
      <c r="D58" s="224"/>
      <c r="E58" s="224"/>
      <c r="F58" s="224"/>
      <c r="G58" s="224"/>
      <c r="H58" s="435"/>
      <c r="I58" s="225"/>
      <c r="J58" s="225"/>
      <c r="K58" s="226"/>
      <c r="L58" s="435"/>
      <c r="M58" s="225"/>
      <c r="N58" s="419"/>
      <c r="O58" s="419"/>
      <c r="P58" s="224"/>
      <c r="Q58" s="224"/>
      <c r="R58" s="224"/>
      <c r="S58" s="224"/>
      <c r="T58" s="432"/>
      <c r="U58" s="224"/>
      <c r="V58" s="224"/>
      <c r="W58" s="224"/>
      <c r="X58" s="224"/>
      <c r="Y58" s="432"/>
      <c r="Z58" s="224"/>
      <c r="AA58" s="224"/>
      <c r="AB58" s="224"/>
      <c r="AC58" s="224"/>
      <c r="AD58" s="432"/>
      <c r="AE58" s="224"/>
      <c r="AF58" s="224"/>
      <c r="AG58" s="224"/>
      <c r="AH58" s="224"/>
      <c r="AI58" s="432"/>
      <c r="AJ58" s="224"/>
      <c r="AK58" s="224"/>
      <c r="AL58" s="224"/>
      <c r="AM58" s="224"/>
      <c r="AN58" s="432"/>
      <c r="AO58" s="224"/>
      <c r="AP58" s="224"/>
      <c r="AQ58" s="224"/>
      <c r="AR58" s="224"/>
      <c r="AS58" s="432"/>
      <c r="AT58" s="224"/>
      <c r="AU58" s="224"/>
      <c r="AV58" s="224"/>
      <c r="AW58" s="224"/>
      <c r="AX58" s="432"/>
    </row>
    <row r="59" spans="2:50">
      <c r="B59" s="427"/>
      <c r="C59" s="224">
        <v>13</v>
      </c>
      <c r="D59" s="224"/>
      <c r="E59" s="224"/>
      <c r="F59" s="224"/>
      <c r="G59" s="224"/>
      <c r="H59" s="435"/>
      <c r="I59" s="225"/>
      <c r="J59" s="225"/>
      <c r="K59" s="226"/>
      <c r="L59" s="435"/>
      <c r="M59" s="225"/>
      <c r="N59" s="419"/>
      <c r="O59" s="419"/>
      <c r="P59" s="224"/>
      <c r="Q59" s="224"/>
      <c r="R59" s="224"/>
      <c r="S59" s="224"/>
      <c r="T59" s="432"/>
      <c r="U59" s="224"/>
      <c r="V59" s="224"/>
      <c r="W59" s="224"/>
      <c r="X59" s="224"/>
      <c r="Y59" s="432"/>
      <c r="Z59" s="224"/>
      <c r="AA59" s="224"/>
      <c r="AB59" s="224"/>
      <c r="AC59" s="224"/>
      <c r="AD59" s="432"/>
      <c r="AE59" s="224"/>
      <c r="AF59" s="224"/>
      <c r="AG59" s="224"/>
      <c r="AH59" s="224"/>
      <c r="AI59" s="432"/>
      <c r="AJ59" s="224"/>
      <c r="AK59" s="224"/>
      <c r="AL59" s="224"/>
      <c r="AM59" s="224"/>
      <c r="AN59" s="432"/>
      <c r="AO59" s="224"/>
      <c r="AP59" s="224"/>
      <c r="AQ59" s="224"/>
      <c r="AR59" s="224"/>
      <c r="AS59" s="432"/>
      <c r="AT59" s="224"/>
      <c r="AU59" s="224"/>
      <c r="AV59" s="224"/>
      <c r="AW59" s="224"/>
      <c r="AX59" s="432"/>
    </row>
    <row r="60" spans="2:50">
      <c r="B60" s="427"/>
      <c r="C60" s="224">
        <v>14</v>
      </c>
      <c r="D60" s="224"/>
      <c r="E60" s="224"/>
      <c r="F60" s="224"/>
      <c r="G60" s="224"/>
      <c r="H60" s="435"/>
      <c r="I60" s="225"/>
      <c r="J60" s="225"/>
      <c r="K60" s="226"/>
      <c r="L60" s="435"/>
      <c r="M60" s="225"/>
      <c r="N60" s="419"/>
      <c r="O60" s="419"/>
      <c r="P60" s="224"/>
      <c r="Q60" s="224"/>
      <c r="R60" s="224"/>
      <c r="S60" s="224"/>
      <c r="T60" s="432"/>
      <c r="U60" s="224"/>
      <c r="V60" s="224"/>
      <c r="W60" s="224"/>
      <c r="X60" s="224"/>
      <c r="Y60" s="432"/>
      <c r="Z60" s="224"/>
      <c r="AA60" s="224"/>
      <c r="AB60" s="224"/>
      <c r="AC60" s="224"/>
      <c r="AD60" s="432"/>
      <c r="AE60" s="224"/>
      <c r="AF60" s="224"/>
      <c r="AG60" s="224"/>
      <c r="AH60" s="224"/>
      <c r="AI60" s="432"/>
      <c r="AJ60" s="224"/>
      <c r="AK60" s="224"/>
      <c r="AL60" s="224"/>
      <c r="AM60" s="224"/>
      <c r="AN60" s="432"/>
      <c r="AO60" s="224"/>
      <c r="AP60" s="224"/>
      <c r="AQ60" s="224"/>
      <c r="AR60" s="224"/>
      <c r="AS60" s="432"/>
      <c r="AT60" s="224"/>
      <c r="AU60" s="224"/>
      <c r="AV60" s="224"/>
      <c r="AW60" s="224"/>
      <c r="AX60" s="432"/>
    </row>
    <row r="61" spans="2:50">
      <c r="B61" s="427"/>
      <c r="C61" s="224">
        <v>15</v>
      </c>
      <c r="D61" s="224"/>
      <c r="E61" s="224"/>
      <c r="F61" s="224"/>
      <c r="G61" s="224"/>
      <c r="H61" s="436"/>
      <c r="I61" s="225"/>
      <c r="J61" s="225"/>
      <c r="K61" s="226"/>
      <c r="L61" s="436"/>
      <c r="M61" s="225"/>
      <c r="N61" s="419"/>
      <c r="O61" s="419"/>
      <c r="P61" s="224"/>
      <c r="Q61" s="224"/>
      <c r="R61" s="224"/>
      <c r="S61" s="224"/>
      <c r="T61" s="432"/>
      <c r="U61" s="224"/>
      <c r="V61" s="224"/>
      <c r="W61" s="224"/>
      <c r="X61" s="224"/>
      <c r="Y61" s="432"/>
      <c r="Z61" s="224"/>
      <c r="AA61" s="224"/>
      <c r="AB61" s="224"/>
      <c r="AC61" s="224"/>
      <c r="AD61" s="432"/>
      <c r="AE61" s="224"/>
      <c r="AF61" s="224"/>
      <c r="AG61" s="224"/>
      <c r="AH61" s="224"/>
      <c r="AI61" s="432"/>
      <c r="AJ61" s="224"/>
      <c r="AK61" s="224"/>
      <c r="AL61" s="224"/>
      <c r="AM61" s="224"/>
      <c r="AN61" s="432"/>
      <c r="AO61" s="224"/>
      <c r="AP61" s="224"/>
      <c r="AQ61" s="224"/>
      <c r="AR61" s="224"/>
      <c r="AS61" s="432"/>
      <c r="AT61" s="224"/>
      <c r="AU61" s="224"/>
      <c r="AV61" s="224"/>
      <c r="AW61" s="224"/>
      <c r="AX61" s="432"/>
    </row>
    <row r="62" spans="2:50" ht="15.75">
      <c r="B62" s="423" t="s">
        <v>449</v>
      </c>
      <c r="C62" s="424"/>
      <c r="D62" s="424"/>
      <c r="E62" s="424"/>
      <c r="F62" s="424"/>
      <c r="G62" s="424"/>
      <c r="H62" s="424"/>
      <c r="I62" s="229"/>
      <c r="J62" s="229"/>
      <c r="K62" s="229"/>
      <c r="L62" s="229"/>
      <c r="M62" s="230"/>
      <c r="N62" s="413" t="s">
        <v>427</v>
      </c>
      <c r="O62" s="413" t="s">
        <v>450</v>
      </c>
      <c r="P62" s="426">
        <v>45951</v>
      </c>
      <c r="Q62" s="427"/>
      <c r="R62" s="427"/>
      <c r="S62" s="427"/>
      <c r="T62" s="427"/>
      <c r="U62" s="426">
        <v>45952</v>
      </c>
      <c r="V62" s="427"/>
      <c r="W62" s="427"/>
      <c r="X62" s="427"/>
      <c r="Y62" s="427"/>
      <c r="Z62" s="426">
        <v>45953</v>
      </c>
      <c r="AA62" s="427"/>
      <c r="AB62" s="427"/>
      <c r="AC62" s="427"/>
      <c r="AD62" s="427"/>
      <c r="AE62" s="426">
        <v>45954</v>
      </c>
      <c r="AF62" s="427"/>
      <c r="AG62" s="427"/>
      <c r="AH62" s="427"/>
      <c r="AI62" s="427"/>
      <c r="AJ62" s="426">
        <v>45955</v>
      </c>
      <c r="AK62" s="427"/>
      <c r="AL62" s="427"/>
      <c r="AM62" s="427"/>
      <c r="AN62" s="427"/>
      <c r="AO62" s="426">
        <v>45956</v>
      </c>
      <c r="AP62" s="427"/>
      <c r="AQ62" s="427"/>
      <c r="AR62" s="427"/>
      <c r="AS62" s="427"/>
      <c r="AT62" s="426">
        <v>45957</v>
      </c>
      <c r="AU62" s="427"/>
      <c r="AV62" s="427"/>
      <c r="AW62" s="427"/>
      <c r="AX62" s="427"/>
    </row>
    <row r="63" spans="2:50" ht="15.75">
      <c r="B63" s="425"/>
      <c r="C63" s="425"/>
      <c r="D63" s="425"/>
      <c r="E63" s="425"/>
      <c r="F63" s="425"/>
      <c r="G63" s="425"/>
      <c r="H63" s="425"/>
      <c r="I63" s="220"/>
      <c r="J63" s="220"/>
      <c r="K63" s="220"/>
      <c r="L63" s="220"/>
      <c r="M63" s="221"/>
      <c r="N63" s="415"/>
      <c r="O63" s="415"/>
      <c r="P63" s="426" t="s">
        <v>448</v>
      </c>
      <c r="Q63" s="427"/>
      <c r="R63" s="427"/>
      <c r="S63" s="427"/>
      <c r="T63" s="427"/>
      <c r="U63" s="426" t="s">
        <v>428</v>
      </c>
      <c r="V63" s="427"/>
      <c r="W63" s="427"/>
      <c r="X63" s="427"/>
      <c r="Y63" s="427"/>
      <c r="Z63" s="426" t="s">
        <v>414</v>
      </c>
      <c r="AA63" s="427"/>
      <c r="AB63" s="427"/>
      <c r="AC63" s="427"/>
      <c r="AD63" s="427"/>
      <c r="AE63" s="426" t="s">
        <v>430</v>
      </c>
      <c r="AF63" s="427"/>
      <c r="AG63" s="427"/>
      <c r="AH63" s="427"/>
      <c r="AI63" s="427"/>
      <c r="AJ63" s="426" t="s">
        <v>391</v>
      </c>
      <c r="AK63" s="427"/>
      <c r="AL63" s="427"/>
      <c r="AM63" s="427"/>
      <c r="AN63" s="427"/>
      <c r="AO63" s="426" t="s">
        <v>444</v>
      </c>
      <c r="AP63" s="427"/>
      <c r="AQ63" s="427"/>
      <c r="AR63" s="427"/>
      <c r="AS63" s="427"/>
      <c r="AT63" s="426" t="s">
        <v>451</v>
      </c>
      <c r="AU63" s="427"/>
      <c r="AV63" s="427"/>
      <c r="AW63" s="427"/>
      <c r="AX63" s="427"/>
    </row>
    <row r="64" spans="2:50">
      <c r="B64" s="419" t="s">
        <v>445</v>
      </c>
      <c r="C64" s="419" t="s">
        <v>452</v>
      </c>
      <c r="D64" s="419"/>
      <c r="E64" s="419" t="s">
        <v>417</v>
      </c>
      <c r="F64" s="419"/>
      <c r="G64" s="419"/>
      <c r="H64" s="420" t="s">
        <v>435</v>
      </c>
      <c r="I64" s="419" t="s">
        <v>453</v>
      </c>
      <c r="J64" s="419"/>
      <c r="K64" s="419"/>
      <c r="L64" s="420" t="s">
        <v>403</v>
      </c>
      <c r="M64" s="413" t="s">
        <v>454</v>
      </c>
      <c r="N64" s="419"/>
      <c r="O64" s="419" t="s">
        <v>418</v>
      </c>
      <c r="P64" s="416" t="s">
        <v>402</v>
      </c>
      <c r="Q64" s="417"/>
      <c r="R64" s="417"/>
      <c r="S64" s="418"/>
      <c r="T64" s="419" t="s">
        <v>455</v>
      </c>
      <c r="U64" s="416" t="s">
        <v>436</v>
      </c>
      <c r="V64" s="417"/>
      <c r="W64" s="417"/>
      <c r="X64" s="418"/>
      <c r="Y64" s="419" t="s">
        <v>435</v>
      </c>
      <c r="Z64" s="416" t="s">
        <v>436</v>
      </c>
      <c r="AA64" s="417"/>
      <c r="AB64" s="417"/>
      <c r="AC64" s="418"/>
      <c r="AD64" s="419" t="s">
        <v>435</v>
      </c>
      <c r="AE64" s="416" t="s">
        <v>436</v>
      </c>
      <c r="AF64" s="417"/>
      <c r="AG64" s="417"/>
      <c r="AH64" s="418"/>
      <c r="AI64" s="419" t="s">
        <v>455</v>
      </c>
      <c r="AJ64" s="416" t="s">
        <v>456</v>
      </c>
      <c r="AK64" s="417"/>
      <c r="AL64" s="417"/>
      <c r="AM64" s="418"/>
      <c r="AN64" s="419" t="s">
        <v>435</v>
      </c>
      <c r="AO64" s="416" t="s">
        <v>436</v>
      </c>
      <c r="AP64" s="417"/>
      <c r="AQ64" s="417"/>
      <c r="AR64" s="418"/>
      <c r="AS64" s="419" t="s">
        <v>435</v>
      </c>
      <c r="AT64" s="416" t="s">
        <v>436</v>
      </c>
      <c r="AU64" s="417"/>
      <c r="AV64" s="417"/>
      <c r="AW64" s="418"/>
      <c r="AX64" s="419" t="s">
        <v>435</v>
      </c>
    </row>
    <row r="65" spans="2:50">
      <c r="B65" s="419"/>
      <c r="C65" s="419"/>
      <c r="D65" s="419"/>
      <c r="E65" s="419" t="s">
        <v>419</v>
      </c>
      <c r="F65" s="419"/>
      <c r="G65" s="419"/>
      <c r="H65" s="421"/>
      <c r="I65" s="419" t="s">
        <v>419</v>
      </c>
      <c r="J65" s="419"/>
      <c r="K65" s="419"/>
      <c r="L65" s="421"/>
      <c r="M65" s="414"/>
      <c r="N65" s="419"/>
      <c r="O65" s="419"/>
      <c r="P65" s="416" t="s">
        <v>406</v>
      </c>
      <c r="Q65" s="417"/>
      <c r="R65" s="417"/>
      <c r="S65" s="418"/>
      <c r="T65" s="419"/>
      <c r="U65" s="416" t="s">
        <v>438</v>
      </c>
      <c r="V65" s="417"/>
      <c r="W65" s="417"/>
      <c r="X65" s="418"/>
      <c r="Y65" s="419"/>
      <c r="Z65" s="416" t="s">
        <v>438</v>
      </c>
      <c r="AA65" s="417"/>
      <c r="AB65" s="417"/>
      <c r="AC65" s="418"/>
      <c r="AD65" s="419"/>
      <c r="AE65" s="416" t="s">
        <v>457</v>
      </c>
      <c r="AF65" s="417"/>
      <c r="AG65" s="417"/>
      <c r="AH65" s="418"/>
      <c r="AI65" s="419"/>
      <c r="AJ65" s="416" t="s">
        <v>457</v>
      </c>
      <c r="AK65" s="417"/>
      <c r="AL65" s="417"/>
      <c r="AM65" s="418"/>
      <c r="AN65" s="419"/>
      <c r="AO65" s="416" t="s">
        <v>457</v>
      </c>
      <c r="AP65" s="417"/>
      <c r="AQ65" s="417"/>
      <c r="AR65" s="418"/>
      <c r="AS65" s="419"/>
      <c r="AT65" s="416" t="s">
        <v>438</v>
      </c>
      <c r="AU65" s="417"/>
      <c r="AV65" s="417"/>
      <c r="AW65" s="418"/>
      <c r="AX65" s="419"/>
    </row>
    <row r="66" spans="2:50">
      <c r="B66" s="419"/>
      <c r="C66" s="419"/>
      <c r="D66" s="419"/>
      <c r="E66" s="223" t="s">
        <v>411</v>
      </c>
      <c r="F66" s="223" t="s">
        <v>458</v>
      </c>
      <c r="G66" s="223" t="s">
        <v>459</v>
      </c>
      <c r="H66" s="422"/>
      <c r="I66" s="223" t="s">
        <v>439</v>
      </c>
      <c r="J66" s="223" t="s">
        <v>440</v>
      </c>
      <c r="K66" s="223" t="s">
        <v>420</v>
      </c>
      <c r="L66" s="422"/>
      <c r="M66" s="415"/>
      <c r="N66" s="419"/>
      <c r="O66" s="419"/>
      <c r="P66" s="223" t="s">
        <v>460</v>
      </c>
      <c r="Q66" s="223" t="s">
        <v>458</v>
      </c>
      <c r="R66" s="223" t="s">
        <v>420</v>
      </c>
      <c r="S66" s="223" t="s">
        <v>412</v>
      </c>
      <c r="T66" s="419"/>
      <c r="U66" s="223" t="s">
        <v>411</v>
      </c>
      <c r="V66" s="223" t="s">
        <v>440</v>
      </c>
      <c r="W66" s="223" t="s">
        <v>441</v>
      </c>
      <c r="X66" s="223" t="s">
        <v>454</v>
      </c>
      <c r="Y66" s="419"/>
      <c r="Z66" s="223" t="s">
        <v>439</v>
      </c>
      <c r="AA66" s="223" t="s">
        <v>458</v>
      </c>
      <c r="AB66" s="223" t="s">
        <v>420</v>
      </c>
      <c r="AC66" s="223" t="s">
        <v>454</v>
      </c>
      <c r="AD66" s="419"/>
      <c r="AE66" s="223" t="s">
        <v>439</v>
      </c>
      <c r="AF66" s="223" t="s">
        <v>440</v>
      </c>
      <c r="AG66" s="223" t="s">
        <v>441</v>
      </c>
      <c r="AH66" s="223" t="s">
        <v>454</v>
      </c>
      <c r="AI66" s="419"/>
      <c r="AJ66" s="223" t="s">
        <v>439</v>
      </c>
      <c r="AK66" s="223" t="s">
        <v>440</v>
      </c>
      <c r="AL66" s="223" t="s">
        <v>459</v>
      </c>
      <c r="AM66" s="223" t="s">
        <v>434</v>
      </c>
      <c r="AN66" s="419"/>
      <c r="AO66" s="223" t="s">
        <v>439</v>
      </c>
      <c r="AP66" s="223" t="s">
        <v>440</v>
      </c>
      <c r="AQ66" s="223" t="s">
        <v>441</v>
      </c>
      <c r="AR66" s="223" t="s">
        <v>412</v>
      </c>
      <c r="AS66" s="419"/>
      <c r="AT66" s="223" t="s">
        <v>439</v>
      </c>
      <c r="AU66" s="223" t="s">
        <v>458</v>
      </c>
      <c r="AV66" s="223" t="s">
        <v>441</v>
      </c>
      <c r="AW66" s="223" t="s">
        <v>434</v>
      </c>
      <c r="AX66" s="419"/>
    </row>
    <row r="67" spans="2:50">
      <c r="B67" s="419" t="s">
        <v>446</v>
      </c>
      <c r="C67" s="224">
        <v>1</v>
      </c>
      <c r="D67" s="224" t="s">
        <v>354</v>
      </c>
      <c r="E67" s="225">
        <f>VLOOKUP(D67,'10產線配置圖'!$A$2:$C$25,2,0)</f>
        <v>13</v>
      </c>
      <c r="F67" s="225">
        <f>VLOOKUP(D67,'10產線配置圖'!$A$2:$C$25,3,0)</f>
        <v>1565</v>
      </c>
      <c r="G67" s="226">
        <f t="shared" ref="G67:G69" si="49">F67/E67</f>
        <v>120.38461538461539</v>
      </c>
      <c r="H67" s="434">
        <f>AVERAGE(G67:G81)</f>
        <v>127.07264957264958</v>
      </c>
      <c r="I67" s="225" t="e">
        <f>AVERAGE(P67,U67,Z66,AE67,AJ67,AO67,AT67)</f>
        <v>#DIV/0!</v>
      </c>
      <c r="J67" s="225" t="e">
        <f>AVERAGE(Q67,V67,AA67,AF67,AK67,AP67,AU67)</f>
        <v>#DIV/0!</v>
      </c>
      <c r="K67" s="226" t="e">
        <f>AVERAGE(R67,W67,AB67,AG67,AL67,AQ67,AV67)</f>
        <v>#DIV/0!</v>
      </c>
      <c r="L67" s="434" t="str">
        <f>IFERROR(AVERAGE(K67:K81),"-")</f>
        <v>-</v>
      </c>
      <c r="M67" s="225" t="e">
        <f>RANK(K67, K$67:$K$81)</f>
        <v>#DIV/0!</v>
      </c>
      <c r="N67" s="419"/>
      <c r="O67" s="419"/>
      <c r="P67" s="225"/>
      <c r="Q67" s="225"/>
      <c r="R67" s="226" t="e">
        <f>Q67/P67</f>
        <v>#DIV/0!</v>
      </c>
      <c r="S67" s="224" t="e">
        <f>RANK(R67,$R$67:$R$81)</f>
        <v>#DIV/0!</v>
      </c>
      <c r="T67" s="432" t="e">
        <f>AVERAGE(R67:R81)</f>
        <v>#DIV/0!</v>
      </c>
      <c r="U67" s="225"/>
      <c r="V67" s="225"/>
      <c r="W67" s="226" t="e">
        <f>V67/U67</f>
        <v>#DIV/0!</v>
      </c>
      <c r="X67" s="224" t="e">
        <f>RANK(W67,$W$67:$W$81)</f>
        <v>#DIV/0!</v>
      </c>
      <c r="Y67" s="432" t="e">
        <f>AVERAGE(W67:W81)</f>
        <v>#DIV/0!</v>
      </c>
      <c r="Z67" s="225"/>
      <c r="AA67" s="225"/>
      <c r="AB67" s="226" t="e">
        <f>AA67/Z67</f>
        <v>#DIV/0!</v>
      </c>
      <c r="AC67" s="224" t="e">
        <f>RANK(AB67, $AB$67:$AB$69)</f>
        <v>#DIV/0!</v>
      </c>
      <c r="AD67" s="432" t="e">
        <f>AVERAGE(AB67:AB81)</f>
        <v>#DIV/0!</v>
      </c>
      <c r="AE67" s="225"/>
      <c r="AF67" s="225"/>
      <c r="AG67" s="226" t="e">
        <f>AF67/AE67</f>
        <v>#DIV/0!</v>
      </c>
      <c r="AH67" s="224" t="e">
        <f>RANK(AG67, $AG$67:$AG$69)</f>
        <v>#DIV/0!</v>
      </c>
      <c r="AI67" s="432" t="e">
        <f>AVERAGE(AG67:AG81)</f>
        <v>#DIV/0!</v>
      </c>
      <c r="AJ67" s="225"/>
      <c r="AK67" s="225"/>
      <c r="AL67" s="226" t="e">
        <f>AK67/AJ67</f>
        <v>#DIV/0!</v>
      </c>
      <c r="AM67" s="224" t="e">
        <f>RANK(AL67, $AL$67:$AL$69)</f>
        <v>#DIV/0!</v>
      </c>
      <c r="AN67" s="432" t="e">
        <f>AVERAGE(AL67:AL81)</f>
        <v>#DIV/0!</v>
      </c>
      <c r="AO67" s="225"/>
      <c r="AP67" s="225"/>
      <c r="AQ67" s="226" t="e">
        <f>AP67/AO67</f>
        <v>#DIV/0!</v>
      </c>
      <c r="AR67" s="224" t="e">
        <f>RANK(AQ67, $AQ$67:$AQ$69)</f>
        <v>#DIV/0!</v>
      </c>
      <c r="AS67" s="432" t="e">
        <f>AVERAGE(AQ67:AQ81)</f>
        <v>#DIV/0!</v>
      </c>
      <c r="AT67" s="225"/>
      <c r="AU67" s="225"/>
      <c r="AV67" s="226" t="e">
        <f>AU67/AT67</f>
        <v>#DIV/0!</v>
      </c>
      <c r="AW67" s="224" t="e">
        <f>RANK(AV67, $AV$67:$AV$69)</f>
        <v>#DIV/0!</v>
      </c>
      <c r="AX67" s="432" t="e">
        <f>AVERAGE(AV67:AV81)</f>
        <v>#DIV/0!</v>
      </c>
    </row>
    <row r="68" spans="2:50">
      <c r="B68" s="427"/>
      <c r="C68" s="224">
        <v>2</v>
      </c>
      <c r="D68" s="224" t="s">
        <v>362</v>
      </c>
      <c r="E68" s="225">
        <f>VLOOKUP(D68,'10產線配置圖'!$A$2:$C$25,2,0)</f>
        <v>12</v>
      </c>
      <c r="F68" s="225">
        <f>VLOOKUP(D68,'10產線配置圖'!$A$2:$C$25,3,0)</f>
        <v>1565</v>
      </c>
      <c r="G68" s="226">
        <f t="shared" si="49"/>
        <v>130.41666666666666</v>
      </c>
      <c r="H68" s="435"/>
      <c r="I68" s="225" t="e">
        <f>AVERAGE(P68,U68,Z67,AE68,AJ68,AO68,AT68)</f>
        <v>#DIV/0!</v>
      </c>
      <c r="J68" s="225" t="e">
        <f t="shared" ref="I68:K69" si="50">AVERAGE(Q68,V68,AA68,AF68,AK68,AP68,AU68)</f>
        <v>#DIV/0!</v>
      </c>
      <c r="K68" s="226" t="e">
        <f t="shared" si="50"/>
        <v>#DIV/0!</v>
      </c>
      <c r="L68" s="435"/>
      <c r="M68" s="225" t="e">
        <f>RANK(K68, K$67:$K$81)</f>
        <v>#DIV/0!</v>
      </c>
      <c r="N68" s="419"/>
      <c r="O68" s="419"/>
      <c r="P68" s="225"/>
      <c r="Q68" s="225"/>
      <c r="R68" s="226" t="e">
        <f t="shared" ref="R68:R69" si="51">Q68/P68</f>
        <v>#DIV/0!</v>
      </c>
      <c r="S68" s="224" t="e">
        <f t="shared" ref="S68:S69" si="52">RANK(R68,$R$67:$R$81)</f>
        <v>#DIV/0!</v>
      </c>
      <c r="T68" s="432"/>
      <c r="U68" s="225"/>
      <c r="V68" s="225"/>
      <c r="W68" s="226" t="e">
        <f t="shared" ref="W68:W69" si="53">V68/U68</f>
        <v>#DIV/0!</v>
      </c>
      <c r="X68" s="224" t="e">
        <f t="shared" ref="X68:X69" si="54">RANK(W68,$W$67:$W$81)</f>
        <v>#DIV/0!</v>
      </c>
      <c r="Y68" s="432"/>
      <c r="Z68" s="225"/>
      <c r="AA68" s="225"/>
      <c r="AB68" s="226" t="e">
        <f t="shared" ref="AB68:AB69" si="55">AA68/Z68</f>
        <v>#DIV/0!</v>
      </c>
      <c r="AC68" s="224" t="e">
        <f t="shared" ref="AC68:AC69" si="56">RANK(AB68, $AB$67:$AB$69)</f>
        <v>#DIV/0!</v>
      </c>
      <c r="AD68" s="432"/>
      <c r="AE68" s="225"/>
      <c r="AF68" s="225"/>
      <c r="AG68" s="226" t="e">
        <f t="shared" ref="AG68:AG69" si="57">AF68/AE68</f>
        <v>#DIV/0!</v>
      </c>
      <c r="AH68" s="224" t="e">
        <f t="shared" ref="AH68:AH69" si="58">RANK(AG68, $AG$67:$AG$69)</f>
        <v>#DIV/0!</v>
      </c>
      <c r="AI68" s="432"/>
      <c r="AJ68" s="225"/>
      <c r="AK68" s="225"/>
      <c r="AL68" s="226" t="e">
        <f t="shared" ref="AL68:AL69" si="59">AK68/AJ68</f>
        <v>#DIV/0!</v>
      </c>
      <c r="AM68" s="224" t="e">
        <f t="shared" ref="AM68:AM69" si="60">RANK(AL68, $AL$67:$AL$69)</f>
        <v>#DIV/0!</v>
      </c>
      <c r="AN68" s="432"/>
      <c r="AO68" s="225"/>
      <c r="AP68" s="225"/>
      <c r="AQ68" s="226" t="e">
        <f t="shared" ref="AQ68:AQ69" si="61">AP68/AO68</f>
        <v>#DIV/0!</v>
      </c>
      <c r="AR68" s="224" t="e">
        <f t="shared" ref="AR68:AR69" si="62">RANK(AQ68, $AQ$67:$AQ$69)</f>
        <v>#DIV/0!</v>
      </c>
      <c r="AS68" s="432"/>
      <c r="AT68" s="225"/>
      <c r="AU68" s="225"/>
      <c r="AV68" s="226" t="e">
        <f t="shared" ref="AV68:AV69" si="63">AU68/AT68</f>
        <v>#DIV/0!</v>
      </c>
      <c r="AW68" s="224" t="e">
        <f t="shared" ref="AW68:AW69" si="64">RANK(AV68, $AV$67:$AV$69)</f>
        <v>#DIV/0!</v>
      </c>
      <c r="AX68" s="432"/>
    </row>
    <row r="69" spans="2:50">
      <c r="B69" s="427"/>
      <c r="C69" s="224">
        <v>3</v>
      </c>
      <c r="D69" s="224" t="s">
        <v>463</v>
      </c>
      <c r="E69" s="225">
        <f>VLOOKUP(D69,'10產線配置圖'!$A$2:$C$25,2,0)</f>
        <v>12</v>
      </c>
      <c r="F69" s="225">
        <f>VLOOKUP(D69,'10產線配置圖'!$A$2:$C$25,3,0)</f>
        <v>1565</v>
      </c>
      <c r="G69" s="226">
        <f t="shared" si="49"/>
        <v>130.41666666666666</v>
      </c>
      <c r="H69" s="435"/>
      <c r="I69" s="225" t="e">
        <f t="shared" si="50"/>
        <v>#DIV/0!</v>
      </c>
      <c r="J69" s="225" t="e">
        <f t="shared" si="50"/>
        <v>#DIV/0!</v>
      </c>
      <c r="K69" s="226" t="e">
        <f t="shared" si="50"/>
        <v>#DIV/0!</v>
      </c>
      <c r="L69" s="435"/>
      <c r="M69" s="225" t="e">
        <f>RANK(K69, K$67:$K$81)</f>
        <v>#DIV/0!</v>
      </c>
      <c r="N69" s="419"/>
      <c r="O69" s="419"/>
      <c r="P69" s="225"/>
      <c r="Q69" s="225"/>
      <c r="R69" s="226" t="e">
        <f t="shared" si="51"/>
        <v>#DIV/0!</v>
      </c>
      <c r="S69" s="224" t="e">
        <f t="shared" si="52"/>
        <v>#DIV/0!</v>
      </c>
      <c r="T69" s="432"/>
      <c r="U69" s="225"/>
      <c r="V69" s="225"/>
      <c r="W69" s="226" t="e">
        <f t="shared" si="53"/>
        <v>#DIV/0!</v>
      </c>
      <c r="X69" s="224" t="e">
        <f t="shared" si="54"/>
        <v>#DIV/0!</v>
      </c>
      <c r="Y69" s="432"/>
      <c r="Z69" s="225"/>
      <c r="AA69" s="225"/>
      <c r="AB69" s="226" t="e">
        <f t="shared" si="55"/>
        <v>#DIV/0!</v>
      </c>
      <c r="AC69" s="224" t="e">
        <f t="shared" si="56"/>
        <v>#DIV/0!</v>
      </c>
      <c r="AD69" s="432"/>
      <c r="AE69" s="225"/>
      <c r="AF69" s="225"/>
      <c r="AG69" s="226" t="e">
        <f t="shared" si="57"/>
        <v>#DIV/0!</v>
      </c>
      <c r="AH69" s="224" t="e">
        <f t="shared" si="58"/>
        <v>#DIV/0!</v>
      </c>
      <c r="AI69" s="432"/>
      <c r="AJ69" s="225"/>
      <c r="AK69" s="225"/>
      <c r="AL69" s="226" t="e">
        <f t="shared" si="59"/>
        <v>#DIV/0!</v>
      </c>
      <c r="AM69" s="224" t="e">
        <f t="shared" si="60"/>
        <v>#DIV/0!</v>
      </c>
      <c r="AN69" s="432"/>
      <c r="AO69" s="225"/>
      <c r="AP69" s="225"/>
      <c r="AQ69" s="226" t="e">
        <f t="shared" si="61"/>
        <v>#DIV/0!</v>
      </c>
      <c r="AR69" s="224" t="e">
        <f t="shared" si="62"/>
        <v>#DIV/0!</v>
      </c>
      <c r="AS69" s="432"/>
      <c r="AT69" s="225"/>
      <c r="AU69" s="225"/>
      <c r="AV69" s="226" t="e">
        <f t="shared" si="63"/>
        <v>#DIV/0!</v>
      </c>
      <c r="AW69" s="224" t="e">
        <f t="shared" si="64"/>
        <v>#DIV/0!</v>
      </c>
      <c r="AX69" s="432"/>
    </row>
    <row r="70" spans="2:50">
      <c r="B70" s="427"/>
      <c r="C70" s="224">
        <v>4</v>
      </c>
      <c r="D70" s="224"/>
      <c r="E70" s="225"/>
      <c r="F70" s="225"/>
      <c r="G70" s="226"/>
      <c r="H70" s="435"/>
      <c r="I70" s="225"/>
      <c r="J70" s="225"/>
      <c r="K70" s="226"/>
      <c r="L70" s="435"/>
      <c r="M70" s="225"/>
      <c r="N70" s="419"/>
      <c r="O70" s="419"/>
      <c r="P70" s="225"/>
      <c r="Q70" s="225"/>
      <c r="R70" s="224"/>
      <c r="S70" s="224"/>
      <c r="T70" s="432"/>
      <c r="U70" s="225"/>
      <c r="V70" s="225"/>
      <c r="W70" s="224"/>
      <c r="X70" s="224"/>
      <c r="Y70" s="432"/>
      <c r="Z70" s="225"/>
      <c r="AA70" s="225"/>
      <c r="AB70" s="224"/>
      <c r="AC70" s="224"/>
      <c r="AD70" s="432"/>
      <c r="AE70" s="225"/>
      <c r="AF70" s="225"/>
      <c r="AG70" s="224"/>
      <c r="AH70" s="224"/>
      <c r="AI70" s="432"/>
      <c r="AJ70" s="225"/>
      <c r="AK70" s="225"/>
      <c r="AL70" s="224"/>
      <c r="AM70" s="224"/>
      <c r="AN70" s="432"/>
      <c r="AO70" s="225"/>
      <c r="AP70" s="225"/>
      <c r="AQ70" s="224"/>
      <c r="AR70" s="224"/>
      <c r="AS70" s="432"/>
      <c r="AT70" s="225"/>
      <c r="AU70" s="225"/>
      <c r="AV70" s="224"/>
      <c r="AW70" s="224"/>
      <c r="AX70" s="432"/>
    </row>
    <row r="71" spans="2:50">
      <c r="B71" s="427"/>
      <c r="C71" s="224">
        <v>5</v>
      </c>
      <c r="D71" s="224"/>
      <c r="E71" s="225"/>
      <c r="F71" s="225"/>
      <c r="G71" s="226"/>
      <c r="H71" s="435"/>
      <c r="I71" s="225"/>
      <c r="J71" s="225"/>
      <c r="K71" s="226"/>
      <c r="L71" s="435"/>
      <c r="M71" s="225"/>
      <c r="N71" s="419"/>
      <c r="O71" s="419"/>
      <c r="P71" s="225"/>
      <c r="Q71" s="225"/>
      <c r="R71" s="224"/>
      <c r="S71" s="224"/>
      <c r="T71" s="432"/>
      <c r="U71" s="225"/>
      <c r="V71" s="225"/>
      <c r="W71" s="224"/>
      <c r="X71" s="224"/>
      <c r="Y71" s="432"/>
      <c r="Z71" s="225"/>
      <c r="AA71" s="225"/>
      <c r="AB71" s="224"/>
      <c r="AC71" s="224"/>
      <c r="AD71" s="432"/>
      <c r="AE71" s="225"/>
      <c r="AF71" s="225"/>
      <c r="AG71" s="224"/>
      <c r="AH71" s="224"/>
      <c r="AI71" s="432"/>
      <c r="AJ71" s="225"/>
      <c r="AK71" s="225"/>
      <c r="AL71" s="224"/>
      <c r="AM71" s="224"/>
      <c r="AN71" s="432"/>
      <c r="AO71" s="225"/>
      <c r="AP71" s="225"/>
      <c r="AQ71" s="224"/>
      <c r="AR71" s="224"/>
      <c r="AS71" s="432"/>
      <c r="AT71" s="225"/>
      <c r="AU71" s="225"/>
      <c r="AV71" s="224"/>
      <c r="AW71" s="224"/>
      <c r="AX71" s="432"/>
    </row>
    <row r="72" spans="2:50">
      <c r="B72" s="427"/>
      <c r="C72" s="224">
        <v>6</v>
      </c>
      <c r="D72" s="224"/>
      <c r="E72" s="225"/>
      <c r="F72" s="225"/>
      <c r="G72" s="226"/>
      <c r="H72" s="435"/>
      <c r="I72" s="225"/>
      <c r="J72" s="225"/>
      <c r="K72" s="226"/>
      <c r="L72" s="435"/>
      <c r="M72" s="225"/>
      <c r="N72" s="419"/>
      <c r="O72" s="419"/>
      <c r="P72" s="225"/>
      <c r="Q72" s="225"/>
      <c r="R72" s="224"/>
      <c r="S72" s="224"/>
      <c r="T72" s="432"/>
      <c r="U72" s="225"/>
      <c r="V72" s="225"/>
      <c r="W72" s="224"/>
      <c r="X72" s="224"/>
      <c r="Y72" s="432"/>
      <c r="Z72" s="225"/>
      <c r="AA72" s="225"/>
      <c r="AB72" s="224"/>
      <c r="AC72" s="224"/>
      <c r="AD72" s="432"/>
      <c r="AE72" s="225"/>
      <c r="AF72" s="225"/>
      <c r="AG72" s="224"/>
      <c r="AH72" s="224"/>
      <c r="AI72" s="432"/>
      <c r="AJ72" s="225"/>
      <c r="AK72" s="225"/>
      <c r="AL72" s="224"/>
      <c r="AM72" s="224"/>
      <c r="AN72" s="432"/>
      <c r="AO72" s="225"/>
      <c r="AP72" s="225"/>
      <c r="AQ72" s="224"/>
      <c r="AR72" s="224"/>
      <c r="AS72" s="432"/>
      <c r="AT72" s="225"/>
      <c r="AU72" s="225"/>
      <c r="AV72" s="224"/>
      <c r="AW72" s="224"/>
      <c r="AX72" s="432"/>
    </row>
    <row r="73" spans="2:50">
      <c r="B73" s="427"/>
      <c r="C73" s="224">
        <v>7</v>
      </c>
      <c r="D73" s="224"/>
      <c r="E73" s="225"/>
      <c r="F73" s="225"/>
      <c r="G73" s="226"/>
      <c r="H73" s="435"/>
      <c r="I73" s="225"/>
      <c r="J73" s="225"/>
      <c r="K73" s="226"/>
      <c r="L73" s="435"/>
      <c r="M73" s="225"/>
      <c r="N73" s="419"/>
      <c r="O73" s="419"/>
      <c r="P73" s="225"/>
      <c r="Q73" s="225"/>
      <c r="R73" s="224"/>
      <c r="S73" s="224"/>
      <c r="T73" s="432"/>
      <c r="U73" s="225"/>
      <c r="V73" s="225"/>
      <c r="W73" s="224"/>
      <c r="X73" s="224"/>
      <c r="Y73" s="432"/>
      <c r="Z73" s="225"/>
      <c r="AA73" s="225"/>
      <c r="AB73" s="224"/>
      <c r="AC73" s="224"/>
      <c r="AD73" s="432"/>
      <c r="AE73" s="225"/>
      <c r="AF73" s="225"/>
      <c r="AG73" s="224"/>
      <c r="AH73" s="224"/>
      <c r="AI73" s="432"/>
      <c r="AJ73" s="225"/>
      <c r="AK73" s="225"/>
      <c r="AL73" s="224"/>
      <c r="AM73" s="224"/>
      <c r="AN73" s="432"/>
      <c r="AO73" s="225"/>
      <c r="AP73" s="225"/>
      <c r="AQ73" s="224"/>
      <c r="AR73" s="224"/>
      <c r="AS73" s="432"/>
      <c r="AT73" s="225"/>
      <c r="AU73" s="225"/>
      <c r="AV73" s="224"/>
      <c r="AW73" s="224"/>
      <c r="AX73" s="432"/>
    </row>
    <row r="74" spans="2:50">
      <c r="B74" s="427"/>
      <c r="C74" s="224">
        <v>8</v>
      </c>
      <c r="D74" s="224"/>
      <c r="E74" s="224"/>
      <c r="F74" s="224"/>
      <c r="G74" s="224"/>
      <c r="H74" s="435"/>
      <c r="I74" s="225"/>
      <c r="J74" s="225"/>
      <c r="K74" s="226"/>
      <c r="L74" s="435"/>
      <c r="M74" s="225"/>
      <c r="N74" s="419"/>
      <c r="O74" s="419"/>
      <c r="P74" s="225"/>
      <c r="Q74" s="225"/>
      <c r="R74" s="224"/>
      <c r="S74" s="224"/>
      <c r="T74" s="432"/>
      <c r="U74" s="225"/>
      <c r="V74" s="225"/>
      <c r="W74" s="224"/>
      <c r="X74" s="224"/>
      <c r="Y74" s="432"/>
      <c r="Z74" s="225"/>
      <c r="AA74" s="225"/>
      <c r="AB74" s="224"/>
      <c r="AC74" s="224"/>
      <c r="AD74" s="432"/>
      <c r="AE74" s="225"/>
      <c r="AF74" s="225"/>
      <c r="AG74" s="224"/>
      <c r="AH74" s="224"/>
      <c r="AI74" s="432"/>
      <c r="AJ74" s="225"/>
      <c r="AK74" s="225"/>
      <c r="AL74" s="224"/>
      <c r="AM74" s="224"/>
      <c r="AN74" s="432"/>
      <c r="AO74" s="225"/>
      <c r="AP74" s="225"/>
      <c r="AQ74" s="224"/>
      <c r="AR74" s="224"/>
      <c r="AS74" s="432"/>
      <c r="AT74" s="225"/>
      <c r="AU74" s="225"/>
      <c r="AV74" s="224"/>
      <c r="AW74" s="224"/>
      <c r="AX74" s="432"/>
    </row>
    <row r="75" spans="2:50">
      <c r="B75" s="427"/>
      <c r="C75" s="224">
        <v>9</v>
      </c>
      <c r="D75" s="224"/>
      <c r="E75" s="224"/>
      <c r="F75" s="224"/>
      <c r="G75" s="224"/>
      <c r="H75" s="435"/>
      <c r="I75" s="225"/>
      <c r="J75" s="225"/>
      <c r="K75" s="226"/>
      <c r="L75" s="435"/>
      <c r="M75" s="225"/>
      <c r="N75" s="419"/>
      <c r="O75" s="419"/>
      <c r="P75" s="225"/>
      <c r="Q75" s="225"/>
      <c r="R75" s="224"/>
      <c r="S75" s="224"/>
      <c r="T75" s="432"/>
      <c r="U75" s="225"/>
      <c r="V75" s="225"/>
      <c r="W75" s="224"/>
      <c r="X75" s="224"/>
      <c r="Y75" s="432"/>
      <c r="Z75" s="225"/>
      <c r="AA75" s="225"/>
      <c r="AB75" s="224"/>
      <c r="AC75" s="224"/>
      <c r="AD75" s="432"/>
      <c r="AE75" s="225"/>
      <c r="AF75" s="225"/>
      <c r="AG75" s="224"/>
      <c r="AH75" s="224"/>
      <c r="AI75" s="432"/>
      <c r="AJ75" s="225"/>
      <c r="AK75" s="225"/>
      <c r="AL75" s="224"/>
      <c r="AM75" s="224"/>
      <c r="AN75" s="432"/>
      <c r="AO75" s="225"/>
      <c r="AP75" s="225"/>
      <c r="AQ75" s="224"/>
      <c r="AR75" s="224"/>
      <c r="AS75" s="432"/>
      <c r="AT75" s="225"/>
      <c r="AU75" s="225"/>
      <c r="AV75" s="224"/>
      <c r="AW75" s="224"/>
      <c r="AX75" s="432"/>
    </row>
    <row r="76" spans="2:50">
      <c r="B76" s="427"/>
      <c r="C76" s="224">
        <v>10</v>
      </c>
      <c r="D76" s="224"/>
      <c r="E76" s="224"/>
      <c r="F76" s="224"/>
      <c r="G76" s="224"/>
      <c r="H76" s="435"/>
      <c r="I76" s="225"/>
      <c r="J76" s="225"/>
      <c r="K76" s="226"/>
      <c r="L76" s="435"/>
      <c r="M76" s="225"/>
      <c r="N76" s="419"/>
      <c r="O76" s="419"/>
      <c r="P76" s="225"/>
      <c r="Q76" s="225"/>
      <c r="R76" s="224"/>
      <c r="S76" s="224"/>
      <c r="T76" s="432"/>
      <c r="U76" s="225"/>
      <c r="V76" s="225"/>
      <c r="W76" s="224"/>
      <c r="X76" s="224"/>
      <c r="Y76" s="432"/>
      <c r="Z76" s="225"/>
      <c r="AA76" s="225"/>
      <c r="AB76" s="224"/>
      <c r="AC76" s="224"/>
      <c r="AD76" s="432"/>
      <c r="AE76" s="225"/>
      <c r="AF76" s="225"/>
      <c r="AG76" s="224"/>
      <c r="AH76" s="224"/>
      <c r="AI76" s="432"/>
      <c r="AJ76" s="225"/>
      <c r="AK76" s="225"/>
      <c r="AL76" s="224"/>
      <c r="AM76" s="224"/>
      <c r="AN76" s="432"/>
      <c r="AO76" s="225"/>
      <c r="AP76" s="225"/>
      <c r="AQ76" s="224"/>
      <c r="AR76" s="224"/>
      <c r="AS76" s="432"/>
      <c r="AT76" s="225"/>
      <c r="AU76" s="225"/>
      <c r="AV76" s="224"/>
      <c r="AW76" s="224"/>
      <c r="AX76" s="432"/>
    </row>
    <row r="77" spans="2:50">
      <c r="B77" s="427"/>
      <c r="C77" s="224">
        <v>11</v>
      </c>
      <c r="D77" s="224"/>
      <c r="E77" s="224"/>
      <c r="F77" s="224"/>
      <c r="G77" s="224"/>
      <c r="H77" s="435"/>
      <c r="I77" s="225"/>
      <c r="J77" s="225"/>
      <c r="K77" s="226"/>
      <c r="L77" s="435"/>
      <c r="M77" s="225"/>
      <c r="N77" s="419"/>
      <c r="O77" s="419"/>
      <c r="P77" s="224"/>
      <c r="Q77" s="224"/>
      <c r="R77" s="224"/>
      <c r="S77" s="224"/>
      <c r="T77" s="432"/>
      <c r="U77" s="224"/>
      <c r="V77" s="224"/>
      <c r="W77" s="224"/>
      <c r="X77" s="224"/>
      <c r="Y77" s="432"/>
      <c r="Z77" s="224"/>
      <c r="AA77" s="224"/>
      <c r="AB77" s="224"/>
      <c r="AC77" s="224"/>
      <c r="AD77" s="432"/>
      <c r="AE77" s="224"/>
      <c r="AF77" s="224"/>
      <c r="AG77" s="224"/>
      <c r="AH77" s="224"/>
      <c r="AI77" s="432"/>
      <c r="AJ77" s="224"/>
      <c r="AK77" s="224"/>
      <c r="AL77" s="224"/>
      <c r="AM77" s="224"/>
      <c r="AN77" s="432"/>
      <c r="AO77" s="224"/>
      <c r="AP77" s="224"/>
      <c r="AQ77" s="224"/>
      <c r="AR77" s="224"/>
      <c r="AS77" s="432"/>
      <c r="AT77" s="224"/>
      <c r="AU77" s="224"/>
      <c r="AV77" s="224"/>
      <c r="AW77" s="224"/>
      <c r="AX77" s="432"/>
    </row>
    <row r="78" spans="2:50">
      <c r="B78" s="427"/>
      <c r="C78" s="224">
        <v>12</v>
      </c>
      <c r="D78" s="224"/>
      <c r="E78" s="224"/>
      <c r="F78" s="224"/>
      <c r="G78" s="224"/>
      <c r="H78" s="435"/>
      <c r="I78" s="225"/>
      <c r="J78" s="225"/>
      <c r="K78" s="226"/>
      <c r="L78" s="435"/>
      <c r="M78" s="225"/>
      <c r="N78" s="419"/>
      <c r="O78" s="419"/>
      <c r="P78" s="224"/>
      <c r="Q78" s="224"/>
      <c r="R78" s="224"/>
      <c r="S78" s="224"/>
      <c r="T78" s="432"/>
      <c r="U78" s="224"/>
      <c r="V78" s="224"/>
      <c r="W78" s="224"/>
      <c r="X78" s="224"/>
      <c r="Y78" s="432"/>
      <c r="Z78" s="224"/>
      <c r="AA78" s="224"/>
      <c r="AB78" s="224"/>
      <c r="AC78" s="224"/>
      <c r="AD78" s="432"/>
      <c r="AE78" s="224"/>
      <c r="AF78" s="224"/>
      <c r="AG78" s="224"/>
      <c r="AH78" s="224"/>
      <c r="AI78" s="432"/>
      <c r="AJ78" s="224"/>
      <c r="AK78" s="224"/>
      <c r="AL78" s="224"/>
      <c r="AM78" s="224"/>
      <c r="AN78" s="432"/>
      <c r="AO78" s="224"/>
      <c r="AP78" s="224"/>
      <c r="AQ78" s="224"/>
      <c r="AR78" s="224"/>
      <c r="AS78" s="432"/>
      <c r="AT78" s="224"/>
      <c r="AU78" s="224"/>
      <c r="AV78" s="224"/>
      <c r="AW78" s="224"/>
      <c r="AX78" s="432"/>
    </row>
    <row r="79" spans="2:50">
      <c r="B79" s="427"/>
      <c r="C79" s="224">
        <v>13</v>
      </c>
      <c r="D79" s="224"/>
      <c r="E79" s="224"/>
      <c r="F79" s="224"/>
      <c r="G79" s="224"/>
      <c r="H79" s="435"/>
      <c r="I79" s="225"/>
      <c r="J79" s="225"/>
      <c r="K79" s="226"/>
      <c r="L79" s="435"/>
      <c r="M79" s="225"/>
      <c r="N79" s="419"/>
      <c r="O79" s="419"/>
      <c r="P79" s="224"/>
      <c r="Q79" s="224"/>
      <c r="R79" s="224"/>
      <c r="S79" s="224"/>
      <c r="T79" s="432"/>
      <c r="U79" s="224"/>
      <c r="V79" s="224"/>
      <c r="W79" s="224"/>
      <c r="X79" s="224"/>
      <c r="Y79" s="432"/>
      <c r="Z79" s="224"/>
      <c r="AA79" s="224"/>
      <c r="AB79" s="224"/>
      <c r="AC79" s="224"/>
      <c r="AD79" s="432"/>
      <c r="AE79" s="224"/>
      <c r="AF79" s="224"/>
      <c r="AG79" s="224"/>
      <c r="AH79" s="224"/>
      <c r="AI79" s="432"/>
      <c r="AJ79" s="224"/>
      <c r="AK79" s="224"/>
      <c r="AL79" s="224"/>
      <c r="AM79" s="224"/>
      <c r="AN79" s="432"/>
      <c r="AO79" s="224"/>
      <c r="AP79" s="224"/>
      <c r="AQ79" s="224"/>
      <c r="AR79" s="224"/>
      <c r="AS79" s="432"/>
      <c r="AT79" s="224"/>
      <c r="AU79" s="224"/>
      <c r="AV79" s="224"/>
      <c r="AW79" s="224"/>
      <c r="AX79" s="432"/>
    </row>
    <row r="80" spans="2:50">
      <c r="B80" s="427"/>
      <c r="C80" s="224">
        <v>14</v>
      </c>
      <c r="D80" s="224"/>
      <c r="E80" s="224"/>
      <c r="F80" s="224"/>
      <c r="G80" s="224"/>
      <c r="H80" s="435"/>
      <c r="I80" s="225"/>
      <c r="J80" s="225"/>
      <c r="K80" s="226"/>
      <c r="L80" s="435"/>
      <c r="M80" s="225"/>
      <c r="N80" s="419"/>
      <c r="O80" s="419"/>
      <c r="P80" s="224"/>
      <c r="Q80" s="224"/>
      <c r="R80" s="224"/>
      <c r="S80" s="224"/>
      <c r="T80" s="432"/>
      <c r="U80" s="224"/>
      <c r="V80" s="224"/>
      <c r="W80" s="224"/>
      <c r="X80" s="224"/>
      <c r="Y80" s="432"/>
      <c r="Z80" s="224"/>
      <c r="AA80" s="224"/>
      <c r="AB80" s="224"/>
      <c r="AC80" s="224"/>
      <c r="AD80" s="432"/>
      <c r="AE80" s="224"/>
      <c r="AF80" s="224"/>
      <c r="AG80" s="224"/>
      <c r="AH80" s="224"/>
      <c r="AI80" s="432"/>
      <c r="AJ80" s="224"/>
      <c r="AK80" s="224"/>
      <c r="AL80" s="224"/>
      <c r="AM80" s="224"/>
      <c r="AN80" s="432"/>
      <c r="AO80" s="224"/>
      <c r="AP80" s="224"/>
      <c r="AQ80" s="224"/>
      <c r="AR80" s="224"/>
      <c r="AS80" s="432"/>
      <c r="AT80" s="224"/>
      <c r="AU80" s="224"/>
      <c r="AV80" s="224"/>
      <c r="AW80" s="224"/>
      <c r="AX80" s="432"/>
    </row>
    <row r="81" spans="2:50">
      <c r="B81" s="427"/>
      <c r="C81" s="224">
        <v>15</v>
      </c>
      <c r="D81" s="224"/>
      <c r="E81" s="224"/>
      <c r="F81" s="224"/>
      <c r="G81" s="224"/>
      <c r="H81" s="436"/>
      <c r="I81" s="225"/>
      <c r="J81" s="225"/>
      <c r="K81" s="226"/>
      <c r="L81" s="436"/>
      <c r="M81" s="225"/>
      <c r="N81" s="419"/>
      <c r="O81" s="419"/>
      <c r="P81" s="224"/>
      <c r="Q81" s="224"/>
      <c r="R81" s="224"/>
      <c r="S81" s="224"/>
      <c r="T81" s="432"/>
      <c r="U81" s="224"/>
      <c r="V81" s="224"/>
      <c r="W81" s="224"/>
      <c r="X81" s="224"/>
      <c r="Y81" s="432"/>
      <c r="Z81" s="224"/>
      <c r="AA81" s="224"/>
      <c r="AB81" s="224"/>
      <c r="AC81" s="224"/>
      <c r="AD81" s="432"/>
      <c r="AE81" s="224"/>
      <c r="AF81" s="224"/>
      <c r="AG81" s="224"/>
      <c r="AH81" s="224"/>
      <c r="AI81" s="432"/>
      <c r="AJ81" s="224"/>
      <c r="AK81" s="224"/>
      <c r="AL81" s="224"/>
      <c r="AM81" s="224"/>
      <c r="AN81" s="432"/>
      <c r="AO81" s="224"/>
      <c r="AP81" s="224"/>
      <c r="AQ81" s="224"/>
      <c r="AR81" s="224"/>
      <c r="AS81" s="432"/>
      <c r="AT81" s="224"/>
      <c r="AU81" s="224"/>
      <c r="AV81" s="224"/>
      <c r="AW81" s="224"/>
      <c r="AX81" s="432"/>
    </row>
    <row r="82" spans="2:50" ht="15.75">
      <c r="B82" s="423" t="s">
        <v>443</v>
      </c>
      <c r="C82" s="424"/>
      <c r="D82" s="424"/>
      <c r="E82" s="424"/>
      <c r="F82" s="424"/>
      <c r="G82" s="424"/>
      <c r="H82" s="424"/>
      <c r="I82" s="229"/>
      <c r="J82" s="229"/>
      <c r="K82" s="229"/>
      <c r="L82" s="229"/>
      <c r="M82" s="230"/>
      <c r="N82" s="413" t="s">
        <v>427</v>
      </c>
      <c r="O82" s="413" t="s">
        <v>450</v>
      </c>
      <c r="P82" s="426">
        <v>45958</v>
      </c>
      <c r="Q82" s="427"/>
      <c r="R82" s="427"/>
      <c r="S82" s="427"/>
      <c r="T82" s="427"/>
      <c r="U82" s="426">
        <v>45959</v>
      </c>
      <c r="V82" s="427"/>
      <c r="W82" s="427"/>
      <c r="X82" s="427"/>
      <c r="Y82" s="427"/>
      <c r="Z82" s="426">
        <v>45960</v>
      </c>
      <c r="AA82" s="427"/>
      <c r="AB82" s="427"/>
      <c r="AC82" s="427"/>
      <c r="AD82" s="427"/>
      <c r="AE82" s="426">
        <v>45961</v>
      </c>
      <c r="AF82" s="427"/>
      <c r="AG82" s="427"/>
      <c r="AH82" s="427"/>
      <c r="AI82" s="427"/>
      <c r="AJ82" s="426"/>
      <c r="AK82" s="427"/>
      <c r="AL82" s="427"/>
      <c r="AM82" s="427"/>
      <c r="AN82" s="427"/>
      <c r="AO82" s="426"/>
      <c r="AP82" s="427"/>
      <c r="AQ82" s="427"/>
      <c r="AR82" s="427"/>
      <c r="AS82" s="427"/>
      <c r="AT82" s="426"/>
      <c r="AU82" s="427"/>
      <c r="AV82" s="427"/>
      <c r="AW82" s="427"/>
      <c r="AX82" s="427"/>
    </row>
    <row r="83" spans="2:50" ht="15.75">
      <c r="B83" s="425"/>
      <c r="C83" s="425"/>
      <c r="D83" s="425"/>
      <c r="E83" s="425"/>
      <c r="F83" s="425"/>
      <c r="G83" s="425"/>
      <c r="H83" s="425"/>
      <c r="I83" s="220"/>
      <c r="J83" s="220"/>
      <c r="K83" s="220"/>
      <c r="L83" s="220"/>
      <c r="M83" s="221"/>
      <c r="N83" s="415"/>
      <c r="O83" s="415"/>
      <c r="P83" s="426" t="s">
        <v>448</v>
      </c>
      <c r="Q83" s="427"/>
      <c r="R83" s="427"/>
      <c r="S83" s="427"/>
      <c r="T83" s="427"/>
      <c r="U83" s="426" t="s">
        <v>428</v>
      </c>
      <c r="V83" s="427"/>
      <c r="W83" s="427"/>
      <c r="X83" s="427"/>
      <c r="Y83" s="427"/>
      <c r="Z83" s="426" t="s">
        <v>429</v>
      </c>
      <c r="AA83" s="427"/>
      <c r="AB83" s="427"/>
      <c r="AC83" s="427"/>
      <c r="AD83" s="427"/>
      <c r="AE83" s="426" t="s">
        <v>423</v>
      </c>
      <c r="AF83" s="427"/>
      <c r="AG83" s="427"/>
      <c r="AH83" s="427"/>
      <c r="AI83" s="427"/>
      <c r="AJ83" s="426" t="s">
        <v>431</v>
      </c>
      <c r="AK83" s="427"/>
      <c r="AL83" s="427"/>
      <c r="AM83" s="427"/>
      <c r="AN83" s="427"/>
      <c r="AO83" s="426" t="s">
        <v>444</v>
      </c>
      <c r="AP83" s="427"/>
      <c r="AQ83" s="427"/>
      <c r="AR83" s="427"/>
      <c r="AS83" s="427"/>
      <c r="AT83" s="426" t="s">
        <v>432</v>
      </c>
      <c r="AU83" s="427"/>
      <c r="AV83" s="427"/>
      <c r="AW83" s="427"/>
      <c r="AX83" s="427"/>
    </row>
    <row r="84" spans="2:50">
      <c r="B84" s="419" t="s">
        <v>445</v>
      </c>
      <c r="C84" s="419" t="s">
        <v>425</v>
      </c>
      <c r="D84" s="419"/>
      <c r="E84" s="419" t="s">
        <v>417</v>
      </c>
      <c r="F84" s="419"/>
      <c r="G84" s="419"/>
      <c r="H84" s="420" t="s">
        <v>435</v>
      </c>
      <c r="I84" s="419" t="s">
        <v>433</v>
      </c>
      <c r="J84" s="419"/>
      <c r="K84" s="419"/>
      <c r="L84" s="420" t="s">
        <v>403</v>
      </c>
      <c r="M84" s="413" t="s">
        <v>412</v>
      </c>
      <c r="N84" s="419"/>
      <c r="O84" s="419" t="s">
        <v>418</v>
      </c>
      <c r="P84" s="416" t="s">
        <v>402</v>
      </c>
      <c r="Q84" s="417"/>
      <c r="R84" s="417"/>
      <c r="S84" s="418"/>
      <c r="T84" s="419" t="s">
        <v>403</v>
      </c>
      <c r="U84" s="416" t="s">
        <v>402</v>
      </c>
      <c r="V84" s="417"/>
      <c r="W84" s="417"/>
      <c r="X84" s="418"/>
      <c r="Y84" s="419" t="s">
        <v>435</v>
      </c>
      <c r="Z84" s="416" t="s">
        <v>402</v>
      </c>
      <c r="AA84" s="417"/>
      <c r="AB84" s="417"/>
      <c r="AC84" s="418"/>
      <c r="AD84" s="419" t="s">
        <v>403</v>
      </c>
      <c r="AE84" s="416" t="s">
        <v>402</v>
      </c>
      <c r="AF84" s="417"/>
      <c r="AG84" s="417"/>
      <c r="AH84" s="418"/>
      <c r="AI84" s="419" t="s">
        <v>435</v>
      </c>
      <c r="AJ84" s="416" t="s">
        <v>436</v>
      </c>
      <c r="AK84" s="417"/>
      <c r="AL84" s="417"/>
      <c r="AM84" s="418"/>
      <c r="AN84" s="419" t="s">
        <v>403</v>
      </c>
      <c r="AO84" s="416" t="s">
        <v>402</v>
      </c>
      <c r="AP84" s="417"/>
      <c r="AQ84" s="417"/>
      <c r="AR84" s="418"/>
      <c r="AS84" s="419" t="s">
        <v>403</v>
      </c>
      <c r="AT84" s="416" t="s">
        <v>402</v>
      </c>
      <c r="AU84" s="417"/>
      <c r="AV84" s="417"/>
      <c r="AW84" s="418"/>
      <c r="AX84" s="419" t="s">
        <v>403</v>
      </c>
    </row>
    <row r="85" spans="2:50">
      <c r="B85" s="419"/>
      <c r="C85" s="419"/>
      <c r="D85" s="419"/>
      <c r="E85" s="419" t="s">
        <v>419</v>
      </c>
      <c r="F85" s="419"/>
      <c r="G85" s="419"/>
      <c r="H85" s="421"/>
      <c r="I85" s="419" t="s">
        <v>437</v>
      </c>
      <c r="J85" s="419"/>
      <c r="K85" s="419"/>
      <c r="L85" s="421"/>
      <c r="M85" s="414"/>
      <c r="N85" s="419"/>
      <c r="O85" s="419"/>
      <c r="P85" s="416" t="s">
        <v>438</v>
      </c>
      <c r="Q85" s="417"/>
      <c r="R85" s="417"/>
      <c r="S85" s="418"/>
      <c r="T85" s="419"/>
      <c r="U85" s="416" t="s">
        <v>438</v>
      </c>
      <c r="V85" s="417"/>
      <c r="W85" s="417"/>
      <c r="X85" s="418"/>
      <c r="Y85" s="419"/>
      <c r="Z85" s="416" t="s">
        <v>406</v>
      </c>
      <c r="AA85" s="417"/>
      <c r="AB85" s="417"/>
      <c r="AC85" s="418"/>
      <c r="AD85" s="419"/>
      <c r="AE85" s="416" t="s">
        <v>406</v>
      </c>
      <c r="AF85" s="417"/>
      <c r="AG85" s="417"/>
      <c r="AH85" s="418"/>
      <c r="AI85" s="419"/>
      <c r="AJ85" s="416" t="s">
        <v>438</v>
      </c>
      <c r="AK85" s="417"/>
      <c r="AL85" s="417"/>
      <c r="AM85" s="418"/>
      <c r="AN85" s="419"/>
      <c r="AO85" s="416" t="s">
        <v>406</v>
      </c>
      <c r="AP85" s="417"/>
      <c r="AQ85" s="417"/>
      <c r="AR85" s="418"/>
      <c r="AS85" s="419"/>
      <c r="AT85" s="416" t="s">
        <v>438</v>
      </c>
      <c r="AU85" s="417"/>
      <c r="AV85" s="417"/>
      <c r="AW85" s="418"/>
      <c r="AX85" s="419"/>
    </row>
    <row r="86" spans="2:50">
      <c r="B86" s="419"/>
      <c r="C86" s="419"/>
      <c r="D86" s="419"/>
      <c r="E86" s="223" t="s">
        <v>460</v>
      </c>
      <c r="F86" s="223" t="s">
        <v>440</v>
      </c>
      <c r="G86" s="223" t="s">
        <v>420</v>
      </c>
      <c r="H86" s="422"/>
      <c r="I86" s="223" t="s">
        <v>411</v>
      </c>
      <c r="J86" s="223" t="s">
        <v>440</v>
      </c>
      <c r="K86" s="223" t="s">
        <v>441</v>
      </c>
      <c r="L86" s="422"/>
      <c r="M86" s="415"/>
      <c r="N86" s="419"/>
      <c r="O86" s="419"/>
      <c r="P86" s="223" t="s">
        <v>460</v>
      </c>
      <c r="Q86" s="223" t="s">
        <v>440</v>
      </c>
      <c r="R86" s="223" t="s">
        <v>420</v>
      </c>
      <c r="S86" s="223" t="s">
        <v>412</v>
      </c>
      <c r="T86" s="419"/>
      <c r="U86" s="223" t="s">
        <v>411</v>
      </c>
      <c r="V86" s="223" t="s">
        <v>410</v>
      </c>
      <c r="W86" s="223" t="s">
        <v>441</v>
      </c>
      <c r="X86" s="223" t="s">
        <v>412</v>
      </c>
      <c r="Y86" s="419"/>
      <c r="Z86" s="223" t="s">
        <v>439</v>
      </c>
      <c r="AA86" s="223" t="s">
        <v>410</v>
      </c>
      <c r="AB86" s="223" t="s">
        <v>420</v>
      </c>
      <c r="AC86" s="223" t="s">
        <v>412</v>
      </c>
      <c r="AD86" s="419"/>
      <c r="AE86" s="223" t="s">
        <v>411</v>
      </c>
      <c r="AF86" s="223" t="s">
        <v>440</v>
      </c>
      <c r="AG86" s="223" t="s">
        <v>441</v>
      </c>
      <c r="AH86" s="223" t="s">
        <v>412</v>
      </c>
      <c r="AI86" s="419"/>
      <c r="AJ86" s="223" t="s">
        <v>439</v>
      </c>
      <c r="AK86" s="223" t="s">
        <v>440</v>
      </c>
      <c r="AL86" s="223" t="s">
        <v>441</v>
      </c>
      <c r="AM86" s="223" t="s">
        <v>412</v>
      </c>
      <c r="AN86" s="419"/>
      <c r="AO86" s="223" t="s">
        <v>411</v>
      </c>
      <c r="AP86" s="223" t="s">
        <v>410</v>
      </c>
      <c r="AQ86" s="223" t="s">
        <v>441</v>
      </c>
      <c r="AR86" s="223" t="s">
        <v>434</v>
      </c>
      <c r="AS86" s="419"/>
      <c r="AT86" s="223" t="s">
        <v>460</v>
      </c>
      <c r="AU86" s="223" t="s">
        <v>410</v>
      </c>
      <c r="AV86" s="223" t="s">
        <v>441</v>
      </c>
      <c r="AW86" s="223" t="s">
        <v>412</v>
      </c>
      <c r="AX86" s="419"/>
    </row>
    <row r="87" spans="2:50">
      <c r="B87" s="419" t="s">
        <v>442</v>
      </c>
      <c r="C87" s="224">
        <v>1</v>
      </c>
      <c r="D87" s="224" t="s">
        <v>354</v>
      </c>
      <c r="E87" s="225">
        <f>VLOOKUP(D87,'10產線配置圖'!$A$2:$C$25,2,0)</f>
        <v>13</v>
      </c>
      <c r="F87" s="225">
        <f>VLOOKUP(D87,'10產線配置圖'!$A$2:$C$25,3,0)</f>
        <v>1565</v>
      </c>
      <c r="G87" s="226">
        <f t="shared" ref="G87:G89" si="65">F87/E87</f>
        <v>120.38461538461539</v>
      </c>
      <c r="H87" s="434">
        <f>AVERAGE(G87:G101)</f>
        <v>127.07264957264958</v>
      </c>
      <c r="I87" s="225" t="e">
        <f>AVERAGE(P87,U87,Z87,AE87,AJ87,AO87,AT87)</f>
        <v>#DIV/0!</v>
      </c>
      <c r="J87" s="225" t="e">
        <f>AVERAGE(Q87,V87,AA87,AF87,AK87,AP87,AU87)</f>
        <v>#DIV/0!</v>
      </c>
      <c r="K87" s="226" t="e">
        <f>AVERAGE(R87,W87,AB87,AG87,AL87,AQ87,AV87)</f>
        <v>#DIV/0!</v>
      </c>
      <c r="L87" s="434" t="str">
        <f>IFERROR(AVERAGE(K87:K101),"-")</f>
        <v>-</v>
      </c>
      <c r="M87" s="225" t="e">
        <f>RANK(K87, K$87:$K$101)</f>
        <v>#DIV/0!</v>
      </c>
      <c r="N87" s="419"/>
      <c r="O87" s="419"/>
      <c r="P87" s="225"/>
      <c r="Q87" s="225"/>
      <c r="R87" s="226" t="e">
        <f>Q87/P87</f>
        <v>#DIV/0!</v>
      </c>
      <c r="S87" s="224" t="e">
        <f>RANK(R87,$R$87:$R$101)</f>
        <v>#DIV/0!</v>
      </c>
      <c r="T87" s="432" t="e">
        <f>AVERAGE(R87:R101)</f>
        <v>#DIV/0!</v>
      </c>
      <c r="U87" s="225"/>
      <c r="V87" s="225"/>
      <c r="W87" s="226" t="e">
        <f>V87/U87</f>
        <v>#DIV/0!</v>
      </c>
      <c r="X87" s="224" t="e">
        <f>RANK(W87,$W$87:$W$90)</f>
        <v>#DIV/0!</v>
      </c>
      <c r="Y87" s="432" t="e">
        <f>AVERAGE(W87:W101)</f>
        <v>#DIV/0!</v>
      </c>
      <c r="Z87" s="225"/>
      <c r="AA87" s="225"/>
      <c r="AB87" s="226" t="e">
        <f>AA87/Z87</f>
        <v>#DIV/0!</v>
      </c>
      <c r="AC87" s="224" t="e">
        <f>RANK(AB87,$AB$87:$AB$101)</f>
        <v>#DIV/0!</v>
      </c>
      <c r="AD87" s="432" t="e">
        <f>AVERAGE(AB87:AB101)</f>
        <v>#DIV/0!</v>
      </c>
      <c r="AE87" s="225"/>
      <c r="AF87" s="225"/>
      <c r="AG87" s="226" t="e">
        <f>AF87/AE87</f>
        <v>#DIV/0!</v>
      </c>
      <c r="AH87" s="224" t="e">
        <f>RANK(AG87,$AG$87:$AG$101)</f>
        <v>#DIV/0!</v>
      </c>
      <c r="AI87" s="432" t="e">
        <f>AVERAGE(AG87:AG101)</f>
        <v>#DIV/0!</v>
      </c>
      <c r="AJ87" s="225"/>
      <c r="AK87" s="225"/>
      <c r="AL87" s="226" t="e">
        <f>AK87/AJ87</f>
        <v>#DIV/0!</v>
      </c>
      <c r="AM87" s="224" t="e">
        <f>RANK(AL87,$AL$87:$AL$90)</f>
        <v>#DIV/0!</v>
      </c>
      <c r="AN87" s="432" t="e">
        <f>AVERAGE(AL87:AL101)</f>
        <v>#DIV/0!</v>
      </c>
      <c r="AO87" s="224"/>
      <c r="AP87" s="224"/>
      <c r="AQ87" s="226" t="e">
        <f>AP87/AO87</f>
        <v>#DIV/0!</v>
      </c>
      <c r="AR87" s="224" t="e">
        <f>RANK(AQ87,$AQ$87:$AQ$101)</f>
        <v>#DIV/0!</v>
      </c>
      <c r="AS87" s="432" t="e">
        <f>AVERAGE(AQ87:AQ101)</f>
        <v>#DIV/0!</v>
      </c>
      <c r="AT87" s="224"/>
      <c r="AU87" s="224"/>
      <c r="AV87" s="226" t="e">
        <f>AU87/AT87</f>
        <v>#DIV/0!</v>
      </c>
      <c r="AW87" s="224" t="e">
        <f>RANK(AV87,$AV$87:$AV$101)</f>
        <v>#DIV/0!</v>
      </c>
      <c r="AX87" s="432" t="e">
        <f>AVERAGE(AV87:AV101)</f>
        <v>#DIV/0!</v>
      </c>
    </row>
    <row r="88" spans="2:50">
      <c r="B88" s="427"/>
      <c r="C88" s="224">
        <v>2</v>
      </c>
      <c r="D88" s="224" t="s">
        <v>362</v>
      </c>
      <c r="E88" s="225">
        <f>VLOOKUP(D88,'10產線配置圖'!$A$2:$C$25,2,0)</f>
        <v>12</v>
      </c>
      <c r="F88" s="225">
        <f>VLOOKUP(D88,'10產線配置圖'!$A$2:$C$25,3,0)</f>
        <v>1565</v>
      </c>
      <c r="G88" s="226">
        <f t="shared" si="65"/>
        <v>130.41666666666666</v>
      </c>
      <c r="H88" s="435"/>
      <c r="I88" s="225" t="e">
        <f t="shared" ref="I88:K89" si="66">AVERAGE(P88,U88,Z88,AE88,AJ88,AO88,AT88)</f>
        <v>#DIV/0!</v>
      </c>
      <c r="J88" s="225" t="e">
        <f t="shared" si="66"/>
        <v>#DIV/0!</v>
      </c>
      <c r="K88" s="226" t="e">
        <f t="shared" si="66"/>
        <v>#DIV/0!</v>
      </c>
      <c r="L88" s="435"/>
      <c r="M88" s="225" t="e">
        <f>RANK(K88, K$87:$K$101)</f>
        <v>#DIV/0!</v>
      </c>
      <c r="N88" s="419"/>
      <c r="O88" s="419"/>
      <c r="P88" s="225"/>
      <c r="Q88" s="225"/>
      <c r="R88" s="226" t="e">
        <f t="shared" ref="R88" si="67">Q88/P88</f>
        <v>#DIV/0!</v>
      </c>
      <c r="S88" s="224" t="e">
        <f t="shared" ref="S88" si="68">RANK(R88,$R$87:$R$101)</f>
        <v>#DIV/0!</v>
      </c>
      <c r="T88" s="432"/>
      <c r="U88" s="225"/>
      <c r="V88" s="225"/>
      <c r="W88" s="226" t="e">
        <f t="shared" ref="W88:W89" si="69">V88/U88</f>
        <v>#DIV/0!</v>
      </c>
      <c r="X88" s="224" t="e">
        <f t="shared" ref="X88:X89" si="70">RANK(W88,$W$87:$W$90)</f>
        <v>#DIV/0!</v>
      </c>
      <c r="Y88" s="432"/>
      <c r="Z88" s="225"/>
      <c r="AA88" s="225"/>
      <c r="AB88" s="226" t="e">
        <f t="shared" ref="AB88" si="71">AA88/Z88</f>
        <v>#DIV/0!</v>
      </c>
      <c r="AC88" s="224" t="e">
        <f t="shared" ref="AC88" si="72">RANK(AB88,$AB$87:$AB$101)</f>
        <v>#DIV/0!</v>
      </c>
      <c r="AD88" s="432"/>
      <c r="AE88" s="225"/>
      <c r="AF88" s="225"/>
      <c r="AG88" s="226" t="e">
        <f t="shared" ref="AG88" si="73">AF88/AE88</f>
        <v>#DIV/0!</v>
      </c>
      <c r="AH88" s="224" t="e">
        <f t="shared" ref="AH88" si="74">RANK(AG88,$AG$87:$AG$101)</f>
        <v>#DIV/0!</v>
      </c>
      <c r="AI88" s="432"/>
      <c r="AJ88" s="225"/>
      <c r="AK88" s="225"/>
      <c r="AL88" s="226" t="e">
        <f t="shared" ref="AL88" si="75">AK88/AJ88</f>
        <v>#DIV/0!</v>
      </c>
      <c r="AM88" s="224" t="e">
        <f t="shared" ref="AM88" si="76">RANK(AL88,$AL$87:$AL$90)</f>
        <v>#DIV/0!</v>
      </c>
      <c r="AN88" s="432"/>
      <c r="AO88" s="224"/>
      <c r="AP88" s="224"/>
      <c r="AQ88" s="226" t="e">
        <f t="shared" ref="AQ88:AQ89" si="77">AP88/AO88</f>
        <v>#DIV/0!</v>
      </c>
      <c r="AR88" s="224" t="e">
        <f t="shared" ref="AR88:AR89" si="78">RANK(AQ88,$AQ$87:$AQ$101)</f>
        <v>#DIV/0!</v>
      </c>
      <c r="AS88" s="432"/>
      <c r="AT88" s="224"/>
      <c r="AU88" s="224"/>
      <c r="AV88" s="226" t="e">
        <f t="shared" ref="AV88:AV89" si="79">AU88/AT88</f>
        <v>#DIV/0!</v>
      </c>
      <c r="AW88" s="224" t="e">
        <f t="shared" ref="AW88:AW89" si="80">RANK(AV88,$AV$87:$AV$101)</f>
        <v>#DIV/0!</v>
      </c>
      <c r="AX88" s="432"/>
    </row>
    <row r="89" spans="2:50">
      <c r="B89" s="427"/>
      <c r="C89" s="224">
        <v>3</v>
      </c>
      <c r="D89" s="224" t="s">
        <v>463</v>
      </c>
      <c r="E89" s="225">
        <f>VLOOKUP(D89,'10產線配置圖'!$A$2:$C$25,2,0)</f>
        <v>12</v>
      </c>
      <c r="F89" s="225">
        <f>VLOOKUP(D89,'10產線配置圖'!$A$2:$C$25,3,0)</f>
        <v>1565</v>
      </c>
      <c r="G89" s="226">
        <f t="shared" si="65"/>
        <v>130.41666666666666</v>
      </c>
      <c r="H89" s="435"/>
      <c r="I89" s="225" t="e">
        <f t="shared" si="66"/>
        <v>#DIV/0!</v>
      </c>
      <c r="J89" s="225" t="e">
        <f t="shared" si="66"/>
        <v>#DIV/0!</v>
      </c>
      <c r="K89" s="226" t="e">
        <f t="shared" si="66"/>
        <v>#DIV/0!</v>
      </c>
      <c r="L89" s="435"/>
      <c r="M89" s="225" t="e">
        <f>RANK(K89, K$87:$K$101)</f>
        <v>#DIV/0!</v>
      </c>
      <c r="N89" s="419"/>
      <c r="O89" s="419"/>
      <c r="P89" s="225"/>
      <c r="Q89" s="225"/>
      <c r="R89" s="226" t="e">
        <f t="shared" ref="R89" si="81">Q89/P89</f>
        <v>#DIV/0!</v>
      </c>
      <c r="S89" s="224" t="e">
        <f t="shared" ref="S89" si="82">RANK(R89,$R$87:$R$101)</f>
        <v>#DIV/0!</v>
      </c>
      <c r="T89" s="432"/>
      <c r="U89" s="225"/>
      <c r="V89" s="225"/>
      <c r="W89" s="226" t="e">
        <f t="shared" si="69"/>
        <v>#DIV/0!</v>
      </c>
      <c r="X89" s="224" t="e">
        <f t="shared" si="70"/>
        <v>#DIV/0!</v>
      </c>
      <c r="Y89" s="432"/>
      <c r="Z89" s="225"/>
      <c r="AA89" s="225"/>
      <c r="AB89" s="226" t="e">
        <f t="shared" ref="AB89" si="83">AA89/Z89</f>
        <v>#DIV/0!</v>
      </c>
      <c r="AC89" s="224" t="e">
        <f t="shared" ref="AC89" si="84">RANK(AB89,$AB$87:$AB$101)</f>
        <v>#DIV/0!</v>
      </c>
      <c r="AD89" s="432"/>
      <c r="AE89" s="225"/>
      <c r="AF89" s="225"/>
      <c r="AG89" s="226" t="e">
        <f t="shared" ref="AG89" si="85">AF89/AE89</f>
        <v>#DIV/0!</v>
      </c>
      <c r="AH89" s="224" t="e">
        <f t="shared" ref="AH89" si="86">RANK(AG89,$AG$87:$AG$101)</f>
        <v>#DIV/0!</v>
      </c>
      <c r="AI89" s="432"/>
      <c r="AJ89" s="225"/>
      <c r="AK89" s="225"/>
      <c r="AL89" s="226" t="e">
        <f t="shared" ref="AL89" si="87">AK89/AJ89</f>
        <v>#DIV/0!</v>
      </c>
      <c r="AM89" s="224" t="e">
        <f t="shared" ref="AM89" si="88">RANK(AL89,$AL$87:$AL$90)</f>
        <v>#DIV/0!</v>
      </c>
      <c r="AN89" s="432"/>
      <c r="AO89" s="224"/>
      <c r="AP89" s="224"/>
      <c r="AQ89" s="226" t="e">
        <f t="shared" si="77"/>
        <v>#DIV/0!</v>
      </c>
      <c r="AR89" s="224" t="e">
        <f t="shared" si="78"/>
        <v>#DIV/0!</v>
      </c>
      <c r="AS89" s="432"/>
      <c r="AT89" s="224"/>
      <c r="AU89" s="224"/>
      <c r="AV89" s="226" t="e">
        <f t="shared" si="79"/>
        <v>#DIV/0!</v>
      </c>
      <c r="AW89" s="224" t="e">
        <f t="shared" si="80"/>
        <v>#DIV/0!</v>
      </c>
      <c r="AX89" s="432"/>
    </row>
    <row r="90" spans="2:50">
      <c r="B90" s="427"/>
      <c r="C90" s="224">
        <v>4</v>
      </c>
      <c r="D90" s="224"/>
      <c r="E90" s="225"/>
      <c r="F90" s="225"/>
      <c r="G90" s="226"/>
      <c r="H90" s="435"/>
      <c r="I90" s="225"/>
      <c r="J90" s="225"/>
      <c r="K90" s="226"/>
      <c r="L90" s="435"/>
      <c r="M90" s="225"/>
      <c r="N90" s="419"/>
      <c r="O90" s="419"/>
      <c r="P90" s="225"/>
      <c r="Q90" s="225"/>
      <c r="R90" s="226"/>
      <c r="S90" s="224"/>
      <c r="T90" s="432"/>
      <c r="U90" s="225"/>
      <c r="V90" s="225"/>
      <c r="W90" s="226"/>
      <c r="X90" s="224"/>
      <c r="Y90" s="432"/>
      <c r="Z90" s="225"/>
      <c r="AA90" s="225"/>
      <c r="AB90" s="226"/>
      <c r="AC90" s="224"/>
      <c r="AD90" s="432"/>
      <c r="AE90" s="225"/>
      <c r="AF90" s="225"/>
      <c r="AG90" s="226"/>
      <c r="AH90" s="224"/>
      <c r="AI90" s="432"/>
      <c r="AJ90" s="225"/>
      <c r="AK90" s="225"/>
      <c r="AL90" s="226"/>
      <c r="AM90" s="224"/>
      <c r="AN90" s="432"/>
      <c r="AO90" s="224"/>
      <c r="AP90" s="224"/>
      <c r="AQ90" s="224"/>
      <c r="AR90" s="224"/>
      <c r="AS90" s="432"/>
      <c r="AT90" s="224"/>
      <c r="AU90" s="224"/>
      <c r="AV90" s="224"/>
      <c r="AW90" s="224"/>
      <c r="AX90" s="432"/>
    </row>
    <row r="91" spans="2:50">
      <c r="B91" s="427"/>
      <c r="C91" s="224">
        <v>5</v>
      </c>
      <c r="D91" s="224"/>
      <c r="E91" s="225"/>
      <c r="F91" s="225"/>
      <c r="G91" s="226"/>
      <c r="H91" s="435"/>
      <c r="I91" s="225"/>
      <c r="J91" s="225"/>
      <c r="K91" s="226"/>
      <c r="L91" s="435"/>
      <c r="M91" s="225"/>
      <c r="N91" s="419"/>
      <c r="O91" s="419"/>
      <c r="P91" s="225"/>
      <c r="Q91" s="225"/>
      <c r="R91" s="224"/>
      <c r="S91" s="224"/>
      <c r="T91" s="432"/>
      <c r="U91" s="225"/>
      <c r="V91" s="225"/>
      <c r="W91" s="224"/>
      <c r="X91" s="224"/>
      <c r="Y91" s="432"/>
      <c r="Z91" s="225"/>
      <c r="AA91" s="225"/>
      <c r="AB91" s="224"/>
      <c r="AC91" s="224"/>
      <c r="AD91" s="432"/>
      <c r="AE91" s="225"/>
      <c r="AF91" s="225"/>
      <c r="AG91" s="224"/>
      <c r="AH91" s="224"/>
      <c r="AI91" s="432"/>
      <c r="AJ91" s="225"/>
      <c r="AK91" s="225"/>
      <c r="AL91" s="224"/>
      <c r="AM91" s="224"/>
      <c r="AN91" s="432"/>
      <c r="AO91" s="224"/>
      <c r="AP91" s="224"/>
      <c r="AQ91" s="224"/>
      <c r="AR91" s="224"/>
      <c r="AS91" s="432"/>
      <c r="AT91" s="224"/>
      <c r="AU91" s="224"/>
      <c r="AV91" s="224"/>
      <c r="AW91" s="224"/>
      <c r="AX91" s="432"/>
    </row>
    <row r="92" spans="2:50">
      <c r="B92" s="427"/>
      <c r="C92" s="224">
        <v>6</v>
      </c>
      <c r="D92" s="224"/>
      <c r="E92" s="225"/>
      <c r="F92" s="225"/>
      <c r="G92" s="226"/>
      <c r="H92" s="435"/>
      <c r="I92" s="225"/>
      <c r="J92" s="225"/>
      <c r="K92" s="226"/>
      <c r="L92" s="435"/>
      <c r="M92" s="225"/>
      <c r="N92" s="419"/>
      <c r="O92" s="419"/>
      <c r="P92" s="224"/>
      <c r="Q92" s="224"/>
      <c r="R92" s="224"/>
      <c r="S92" s="224"/>
      <c r="T92" s="432"/>
      <c r="U92" s="224"/>
      <c r="V92" s="224"/>
      <c r="W92" s="224"/>
      <c r="X92" s="224"/>
      <c r="Y92" s="432"/>
      <c r="Z92" s="224"/>
      <c r="AA92" s="224"/>
      <c r="AB92" s="224"/>
      <c r="AC92" s="224"/>
      <c r="AD92" s="432"/>
      <c r="AE92" s="224"/>
      <c r="AF92" s="224"/>
      <c r="AG92" s="224"/>
      <c r="AH92" s="224"/>
      <c r="AI92" s="432"/>
      <c r="AJ92" s="224"/>
      <c r="AK92" s="224"/>
      <c r="AL92" s="224"/>
      <c r="AM92" s="224"/>
      <c r="AN92" s="432"/>
      <c r="AO92" s="224"/>
      <c r="AP92" s="224"/>
      <c r="AQ92" s="224"/>
      <c r="AR92" s="224"/>
      <c r="AS92" s="432"/>
      <c r="AT92" s="224"/>
      <c r="AU92" s="224"/>
      <c r="AV92" s="224"/>
      <c r="AW92" s="224"/>
      <c r="AX92" s="432"/>
    </row>
    <row r="93" spans="2:50">
      <c r="B93" s="427"/>
      <c r="C93" s="224">
        <v>7</v>
      </c>
      <c r="D93" s="224"/>
      <c r="E93" s="225"/>
      <c r="F93" s="225"/>
      <c r="G93" s="226"/>
      <c r="H93" s="435"/>
      <c r="I93" s="225"/>
      <c r="J93" s="225"/>
      <c r="K93" s="226"/>
      <c r="L93" s="435"/>
      <c r="M93" s="225"/>
      <c r="N93" s="419"/>
      <c r="O93" s="419"/>
      <c r="P93" s="224"/>
      <c r="Q93" s="224"/>
      <c r="R93" s="224"/>
      <c r="S93" s="224"/>
      <c r="T93" s="432"/>
      <c r="U93" s="224"/>
      <c r="V93" s="224"/>
      <c r="W93" s="224"/>
      <c r="X93" s="224"/>
      <c r="Y93" s="432"/>
      <c r="Z93" s="224"/>
      <c r="AA93" s="224"/>
      <c r="AB93" s="224"/>
      <c r="AC93" s="224"/>
      <c r="AD93" s="432"/>
      <c r="AE93" s="224"/>
      <c r="AF93" s="224"/>
      <c r="AG93" s="224"/>
      <c r="AH93" s="224"/>
      <c r="AI93" s="432"/>
      <c r="AJ93" s="224"/>
      <c r="AK93" s="224"/>
      <c r="AL93" s="224"/>
      <c r="AM93" s="224"/>
      <c r="AN93" s="432"/>
      <c r="AO93" s="224"/>
      <c r="AP93" s="224"/>
      <c r="AQ93" s="224"/>
      <c r="AR93" s="224"/>
      <c r="AS93" s="432"/>
      <c r="AT93" s="224"/>
      <c r="AU93" s="224"/>
      <c r="AV93" s="224"/>
      <c r="AW93" s="224"/>
      <c r="AX93" s="432"/>
    </row>
    <row r="94" spans="2:50">
      <c r="B94" s="427"/>
      <c r="C94" s="224">
        <v>8</v>
      </c>
      <c r="D94" s="224"/>
      <c r="E94" s="224"/>
      <c r="F94" s="224"/>
      <c r="G94" s="224"/>
      <c r="H94" s="435"/>
      <c r="I94" s="225"/>
      <c r="J94" s="225"/>
      <c r="K94" s="226"/>
      <c r="L94" s="435"/>
      <c r="M94" s="225"/>
      <c r="N94" s="419"/>
      <c r="O94" s="419"/>
      <c r="P94" s="224"/>
      <c r="Q94" s="224"/>
      <c r="R94" s="224"/>
      <c r="S94" s="224"/>
      <c r="T94" s="432"/>
      <c r="U94" s="224"/>
      <c r="V94" s="224"/>
      <c r="W94" s="224"/>
      <c r="X94" s="224"/>
      <c r="Y94" s="432"/>
      <c r="Z94" s="224"/>
      <c r="AA94" s="224"/>
      <c r="AB94" s="224"/>
      <c r="AC94" s="224"/>
      <c r="AD94" s="432"/>
      <c r="AE94" s="224"/>
      <c r="AF94" s="224"/>
      <c r="AG94" s="224"/>
      <c r="AH94" s="224"/>
      <c r="AI94" s="432"/>
      <c r="AJ94" s="224"/>
      <c r="AK94" s="224"/>
      <c r="AL94" s="224"/>
      <c r="AM94" s="224"/>
      <c r="AN94" s="432"/>
      <c r="AO94" s="224"/>
      <c r="AP94" s="224"/>
      <c r="AQ94" s="224"/>
      <c r="AR94" s="224"/>
      <c r="AS94" s="432"/>
      <c r="AT94" s="224"/>
      <c r="AU94" s="224"/>
      <c r="AV94" s="224"/>
      <c r="AW94" s="224"/>
      <c r="AX94" s="432"/>
    </row>
    <row r="95" spans="2:50">
      <c r="B95" s="427"/>
      <c r="C95" s="224">
        <v>9</v>
      </c>
      <c r="D95" s="224"/>
      <c r="E95" s="224"/>
      <c r="F95" s="224"/>
      <c r="G95" s="224"/>
      <c r="H95" s="435"/>
      <c r="I95" s="225"/>
      <c r="J95" s="225"/>
      <c r="K95" s="226"/>
      <c r="L95" s="435"/>
      <c r="M95" s="225"/>
      <c r="N95" s="419"/>
      <c r="O95" s="419"/>
      <c r="P95" s="224"/>
      <c r="Q95" s="224"/>
      <c r="R95" s="224"/>
      <c r="S95" s="224"/>
      <c r="T95" s="432"/>
      <c r="U95" s="224"/>
      <c r="V95" s="224"/>
      <c r="W95" s="224"/>
      <c r="X95" s="224"/>
      <c r="Y95" s="432"/>
      <c r="Z95" s="224"/>
      <c r="AA95" s="224"/>
      <c r="AB95" s="224"/>
      <c r="AC95" s="224"/>
      <c r="AD95" s="432"/>
      <c r="AE95" s="224"/>
      <c r="AF95" s="224"/>
      <c r="AG95" s="224"/>
      <c r="AH95" s="224"/>
      <c r="AI95" s="432"/>
      <c r="AJ95" s="224"/>
      <c r="AK95" s="224"/>
      <c r="AL95" s="224"/>
      <c r="AM95" s="224"/>
      <c r="AN95" s="432"/>
      <c r="AO95" s="224"/>
      <c r="AP95" s="224"/>
      <c r="AQ95" s="224"/>
      <c r="AR95" s="224"/>
      <c r="AS95" s="432"/>
      <c r="AT95" s="224"/>
      <c r="AU95" s="224"/>
      <c r="AV95" s="224"/>
      <c r="AW95" s="224"/>
      <c r="AX95" s="432"/>
    </row>
    <row r="96" spans="2:50">
      <c r="B96" s="427"/>
      <c r="C96" s="224">
        <v>10</v>
      </c>
      <c r="D96" s="224"/>
      <c r="E96" s="224"/>
      <c r="F96" s="224"/>
      <c r="G96" s="224"/>
      <c r="H96" s="435"/>
      <c r="I96" s="225"/>
      <c r="J96" s="225"/>
      <c r="K96" s="226"/>
      <c r="L96" s="435"/>
      <c r="M96" s="225"/>
      <c r="N96" s="419"/>
      <c r="O96" s="419"/>
      <c r="P96" s="224"/>
      <c r="Q96" s="224"/>
      <c r="R96" s="224"/>
      <c r="S96" s="224"/>
      <c r="T96" s="432"/>
      <c r="U96" s="224"/>
      <c r="V96" s="224"/>
      <c r="W96" s="224"/>
      <c r="X96" s="224"/>
      <c r="Y96" s="432"/>
      <c r="Z96" s="224"/>
      <c r="AA96" s="224"/>
      <c r="AB96" s="224"/>
      <c r="AC96" s="224"/>
      <c r="AD96" s="432"/>
      <c r="AE96" s="224"/>
      <c r="AF96" s="224"/>
      <c r="AG96" s="224"/>
      <c r="AH96" s="224"/>
      <c r="AI96" s="432"/>
      <c r="AJ96" s="224"/>
      <c r="AK96" s="224"/>
      <c r="AL96" s="224"/>
      <c r="AM96" s="224"/>
      <c r="AN96" s="432"/>
      <c r="AO96" s="224"/>
      <c r="AP96" s="224"/>
      <c r="AQ96" s="224"/>
      <c r="AR96" s="224"/>
      <c r="AS96" s="432"/>
      <c r="AT96" s="224"/>
      <c r="AU96" s="224"/>
      <c r="AV96" s="224"/>
      <c r="AW96" s="224"/>
      <c r="AX96" s="432"/>
    </row>
    <row r="97" spans="2:50">
      <c r="B97" s="427"/>
      <c r="C97" s="224">
        <v>11</v>
      </c>
      <c r="D97" s="224"/>
      <c r="E97" s="224"/>
      <c r="F97" s="224"/>
      <c r="G97" s="224"/>
      <c r="H97" s="435"/>
      <c r="I97" s="225"/>
      <c r="J97" s="225"/>
      <c r="K97" s="226"/>
      <c r="L97" s="435"/>
      <c r="M97" s="225"/>
      <c r="N97" s="419"/>
      <c r="O97" s="419"/>
      <c r="P97" s="224"/>
      <c r="Q97" s="224"/>
      <c r="R97" s="224"/>
      <c r="S97" s="224"/>
      <c r="T97" s="432"/>
      <c r="U97" s="224"/>
      <c r="V97" s="224"/>
      <c r="W97" s="224"/>
      <c r="X97" s="224"/>
      <c r="Y97" s="432"/>
      <c r="Z97" s="224"/>
      <c r="AA97" s="224"/>
      <c r="AB97" s="224"/>
      <c r="AC97" s="224"/>
      <c r="AD97" s="432"/>
      <c r="AE97" s="224"/>
      <c r="AF97" s="224"/>
      <c r="AG97" s="224"/>
      <c r="AH97" s="224"/>
      <c r="AI97" s="432"/>
      <c r="AJ97" s="224"/>
      <c r="AK97" s="224"/>
      <c r="AL97" s="224"/>
      <c r="AM97" s="224"/>
      <c r="AN97" s="432"/>
      <c r="AO97" s="224"/>
      <c r="AP97" s="224"/>
      <c r="AQ97" s="224"/>
      <c r="AR97" s="224"/>
      <c r="AS97" s="432"/>
      <c r="AT97" s="224"/>
      <c r="AU97" s="224"/>
      <c r="AV97" s="224"/>
      <c r="AW97" s="224"/>
      <c r="AX97" s="432"/>
    </row>
    <row r="98" spans="2:50">
      <c r="B98" s="427"/>
      <c r="C98" s="224">
        <v>12</v>
      </c>
      <c r="D98" s="224"/>
      <c r="E98" s="224"/>
      <c r="F98" s="224"/>
      <c r="G98" s="224"/>
      <c r="H98" s="435"/>
      <c r="I98" s="225"/>
      <c r="J98" s="225"/>
      <c r="K98" s="226"/>
      <c r="L98" s="435"/>
      <c r="M98" s="225"/>
      <c r="N98" s="419"/>
      <c r="O98" s="419"/>
      <c r="P98" s="224"/>
      <c r="Q98" s="224"/>
      <c r="R98" s="224"/>
      <c r="S98" s="224"/>
      <c r="T98" s="432"/>
      <c r="U98" s="224"/>
      <c r="V98" s="224"/>
      <c r="W98" s="224"/>
      <c r="X98" s="224"/>
      <c r="Y98" s="432"/>
      <c r="Z98" s="224"/>
      <c r="AA98" s="224"/>
      <c r="AB98" s="224"/>
      <c r="AC98" s="224"/>
      <c r="AD98" s="432"/>
      <c r="AE98" s="224"/>
      <c r="AF98" s="224"/>
      <c r="AG98" s="224"/>
      <c r="AH98" s="224"/>
      <c r="AI98" s="432"/>
      <c r="AJ98" s="224"/>
      <c r="AK98" s="224"/>
      <c r="AL98" s="224"/>
      <c r="AM98" s="224"/>
      <c r="AN98" s="432"/>
      <c r="AO98" s="224"/>
      <c r="AP98" s="224"/>
      <c r="AQ98" s="224"/>
      <c r="AR98" s="224"/>
      <c r="AS98" s="432"/>
      <c r="AT98" s="224"/>
      <c r="AU98" s="224"/>
      <c r="AV98" s="224"/>
      <c r="AW98" s="224"/>
      <c r="AX98" s="432"/>
    </row>
    <row r="99" spans="2:50">
      <c r="B99" s="427"/>
      <c r="C99" s="224">
        <v>13</v>
      </c>
      <c r="D99" s="224"/>
      <c r="E99" s="224"/>
      <c r="F99" s="224"/>
      <c r="G99" s="224"/>
      <c r="H99" s="435"/>
      <c r="I99" s="225"/>
      <c r="J99" s="225"/>
      <c r="K99" s="226"/>
      <c r="L99" s="435"/>
      <c r="M99" s="225"/>
      <c r="N99" s="419"/>
      <c r="O99" s="419"/>
      <c r="P99" s="224"/>
      <c r="Q99" s="224"/>
      <c r="R99" s="224"/>
      <c r="S99" s="224"/>
      <c r="T99" s="432"/>
      <c r="U99" s="224"/>
      <c r="V99" s="224"/>
      <c r="W99" s="224"/>
      <c r="X99" s="224"/>
      <c r="Y99" s="432"/>
      <c r="Z99" s="224"/>
      <c r="AA99" s="224"/>
      <c r="AB99" s="224"/>
      <c r="AC99" s="224"/>
      <c r="AD99" s="432"/>
      <c r="AE99" s="224"/>
      <c r="AF99" s="224"/>
      <c r="AG99" s="224"/>
      <c r="AH99" s="224"/>
      <c r="AI99" s="432"/>
      <c r="AJ99" s="224"/>
      <c r="AK99" s="224"/>
      <c r="AL99" s="224"/>
      <c r="AM99" s="224"/>
      <c r="AN99" s="432"/>
      <c r="AO99" s="224"/>
      <c r="AP99" s="224"/>
      <c r="AQ99" s="224"/>
      <c r="AR99" s="224"/>
      <c r="AS99" s="432"/>
      <c r="AT99" s="224"/>
      <c r="AU99" s="224"/>
      <c r="AV99" s="224"/>
      <c r="AW99" s="224"/>
      <c r="AX99" s="432"/>
    </row>
    <row r="100" spans="2:50">
      <c r="B100" s="427"/>
      <c r="C100" s="224">
        <v>14</v>
      </c>
      <c r="D100" s="224"/>
      <c r="E100" s="224"/>
      <c r="F100" s="224"/>
      <c r="G100" s="224"/>
      <c r="H100" s="435"/>
      <c r="I100" s="225"/>
      <c r="J100" s="225"/>
      <c r="K100" s="226"/>
      <c r="L100" s="435"/>
      <c r="M100" s="225"/>
      <c r="N100" s="419"/>
      <c r="O100" s="419"/>
      <c r="P100" s="224"/>
      <c r="Q100" s="224"/>
      <c r="R100" s="224"/>
      <c r="S100" s="224"/>
      <c r="T100" s="432"/>
      <c r="U100" s="224"/>
      <c r="V100" s="224"/>
      <c r="W100" s="224"/>
      <c r="X100" s="224"/>
      <c r="Y100" s="432"/>
      <c r="Z100" s="224"/>
      <c r="AA100" s="224"/>
      <c r="AB100" s="224"/>
      <c r="AC100" s="224"/>
      <c r="AD100" s="432"/>
      <c r="AE100" s="224"/>
      <c r="AF100" s="224"/>
      <c r="AG100" s="224"/>
      <c r="AH100" s="224"/>
      <c r="AI100" s="432"/>
      <c r="AJ100" s="224"/>
      <c r="AK100" s="224"/>
      <c r="AL100" s="224"/>
      <c r="AM100" s="224"/>
      <c r="AN100" s="432"/>
      <c r="AO100" s="224"/>
      <c r="AP100" s="224"/>
      <c r="AQ100" s="224"/>
      <c r="AR100" s="224"/>
      <c r="AS100" s="432"/>
      <c r="AT100" s="224"/>
      <c r="AU100" s="224"/>
      <c r="AV100" s="224"/>
      <c r="AW100" s="224"/>
      <c r="AX100" s="432"/>
    </row>
    <row r="101" spans="2:50">
      <c r="B101" s="427"/>
      <c r="C101" s="224">
        <v>15</v>
      </c>
      <c r="D101" s="224"/>
      <c r="E101" s="224"/>
      <c r="F101" s="224"/>
      <c r="G101" s="224"/>
      <c r="H101" s="436"/>
      <c r="I101" s="225"/>
      <c r="J101" s="225"/>
      <c r="K101" s="226"/>
      <c r="L101" s="436"/>
      <c r="M101" s="225"/>
      <c r="N101" s="419"/>
      <c r="O101" s="419"/>
      <c r="P101" s="224"/>
      <c r="Q101" s="224"/>
      <c r="R101" s="224"/>
      <c r="S101" s="224"/>
      <c r="T101" s="432"/>
      <c r="U101" s="224"/>
      <c r="V101" s="224"/>
      <c r="W101" s="224"/>
      <c r="X101" s="224"/>
      <c r="Y101" s="432"/>
      <c r="Z101" s="224"/>
      <c r="AA101" s="224"/>
      <c r="AB101" s="224"/>
      <c r="AC101" s="224"/>
      <c r="AD101" s="432"/>
      <c r="AE101" s="224"/>
      <c r="AF101" s="224"/>
      <c r="AG101" s="224"/>
      <c r="AH101" s="224"/>
      <c r="AI101" s="432"/>
      <c r="AJ101" s="224"/>
      <c r="AK101" s="224"/>
      <c r="AL101" s="224"/>
      <c r="AM101" s="224"/>
      <c r="AN101" s="432"/>
      <c r="AO101" s="224"/>
      <c r="AP101" s="224"/>
      <c r="AQ101" s="224"/>
      <c r="AR101" s="224"/>
      <c r="AS101" s="432"/>
      <c r="AT101" s="224"/>
      <c r="AU101" s="224"/>
      <c r="AV101" s="224"/>
      <c r="AW101" s="224"/>
      <c r="AX101" s="432"/>
    </row>
    <row r="102" spans="2:50" ht="15.75">
      <c r="B102" s="423" t="s">
        <v>165</v>
      </c>
      <c r="C102" s="424"/>
      <c r="D102" s="424"/>
      <c r="E102" s="424"/>
      <c r="F102" s="424"/>
      <c r="G102" s="424"/>
      <c r="H102" s="424"/>
      <c r="I102" s="218"/>
      <c r="J102" s="218"/>
      <c r="K102" s="218"/>
      <c r="L102" s="218"/>
      <c r="M102" s="219"/>
      <c r="N102" s="413" t="s">
        <v>157</v>
      </c>
      <c r="O102" s="413" t="s">
        <v>103</v>
      </c>
      <c r="P102" s="426">
        <v>45930</v>
      </c>
      <c r="Q102" s="427"/>
      <c r="R102" s="427"/>
      <c r="S102" s="427"/>
      <c r="T102" s="427"/>
      <c r="U102" s="426"/>
      <c r="V102" s="427"/>
      <c r="W102" s="427"/>
      <c r="X102" s="427"/>
      <c r="Y102" s="427"/>
      <c r="Z102" s="426"/>
      <c r="AA102" s="427"/>
      <c r="AB102" s="427"/>
      <c r="AC102" s="427"/>
      <c r="AD102" s="427"/>
      <c r="AE102" s="426"/>
      <c r="AF102" s="427"/>
      <c r="AG102" s="427"/>
      <c r="AH102" s="427"/>
      <c r="AI102" s="427"/>
      <c r="AJ102" s="426"/>
      <c r="AK102" s="427"/>
      <c r="AL102" s="427"/>
      <c r="AM102" s="427"/>
      <c r="AN102" s="427"/>
      <c r="AO102" s="426"/>
      <c r="AP102" s="427"/>
      <c r="AQ102" s="427"/>
      <c r="AR102" s="427"/>
      <c r="AS102" s="427"/>
      <c r="AT102" s="426"/>
      <c r="AU102" s="427"/>
      <c r="AV102" s="427"/>
      <c r="AW102" s="427"/>
      <c r="AX102" s="427"/>
    </row>
    <row r="103" spans="2:50" ht="15.75">
      <c r="B103" s="425"/>
      <c r="C103" s="425"/>
      <c r="D103" s="425"/>
      <c r="E103" s="425"/>
      <c r="F103" s="425"/>
      <c r="G103" s="425"/>
      <c r="H103" s="425"/>
      <c r="I103" s="220"/>
      <c r="J103" s="220"/>
      <c r="K103" s="220"/>
      <c r="L103" s="220"/>
      <c r="M103" s="221"/>
      <c r="N103" s="415"/>
      <c r="O103" s="415"/>
      <c r="P103" s="426" t="s">
        <v>118</v>
      </c>
      <c r="Q103" s="427"/>
      <c r="R103" s="427"/>
      <c r="S103" s="427"/>
      <c r="T103" s="427"/>
      <c r="U103" s="426" t="s">
        <v>112</v>
      </c>
      <c r="V103" s="427"/>
      <c r="W103" s="427"/>
      <c r="X103" s="427"/>
      <c r="Y103" s="427"/>
      <c r="Z103" s="426" t="s">
        <v>113</v>
      </c>
      <c r="AA103" s="427"/>
      <c r="AB103" s="427"/>
      <c r="AC103" s="427"/>
      <c r="AD103" s="427"/>
      <c r="AE103" s="426" t="s">
        <v>114</v>
      </c>
      <c r="AF103" s="427"/>
      <c r="AG103" s="427"/>
      <c r="AH103" s="427"/>
      <c r="AI103" s="427"/>
      <c r="AJ103" s="426" t="s">
        <v>115</v>
      </c>
      <c r="AK103" s="427"/>
      <c r="AL103" s="427"/>
      <c r="AM103" s="427"/>
      <c r="AN103" s="427"/>
      <c r="AO103" s="426" t="s">
        <v>116</v>
      </c>
      <c r="AP103" s="427"/>
      <c r="AQ103" s="427"/>
      <c r="AR103" s="427"/>
      <c r="AS103" s="427"/>
      <c r="AT103" s="426" t="s">
        <v>117</v>
      </c>
      <c r="AU103" s="427"/>
      <c r="AV103" s="427"/>
      <c r="AW103" s="427"/>
      <c r="AX103" s="427"/>
    </row>
    <row r="104" spans="2:50">
      <c r="B104" s="419" t="s">
        <v>154</v>
      </c>
      <c r="C104" s="419" t="s">
        <v>146</v>
      </c>
      <c r="D104" s="419"/>
      <c r="E104" s="419" t="s">
        <v>148</v>
      </c>
      <c r="F104" s="419"/>
      <c r="G104" s="419"/>
      <c r="H104" s="420" t="s">
        <v>155</v>
      </c>
      <c r="I104" s="419" t="s">
        <v>207</v>
      </c>
      <c r="J104" s="419"/>
      <c r="K104" s="419"/>
      <c r="L104" s="420" t="s">
        <v>155</v>
      </c>
      <c r="M104" s="413" t="s">
        <v>166</v>
      </c>
      <c r="N104" s="419"/>
      <c r="O104" s="419" t="s">
        <v>156</v>
      </c>
      <c r="P104" s="416" t="s">
        <v>151</v>
      </c>
      <c r="Q104" s="417"/>
      <c r="R104" s="417"/>
      <c r="S104" s="418"/>
      <c r="T104" s="419" t="s">
        <v>155</v>
      </c>
      <c r="U104" s="416" t="s">
        <v>151</v>
      </c>
      <c r="V104" s="417"/>
      <c r="W104" s="417"/>
      <c r="X104" s="418"/>
      <c r="Y104" s="419" t="s">
        <v>155</v>
      </c>
      <c r="Z104" s="416" t="s">
        <v>151</v>
      </c>
      <c r="AA104" s="417"/>
      <c r="AB104" s="417"/>
      <c r="AC104" s="418"/>
      <c r="AD104" s="419" t="s">
        <v>155</v>
      </c>
      <c r="AE104" s="416" t="s">
        <v>151</v>
      </c>
      <c r="AF104" s="417"/>
      <c r="AG104" s="417"/>
      <c r="AH104" s="418"/>
      <c r="AI104" s="419" t="s">
        <v>155</v>
      </c>
      <c r="AJ104" s="416" t="s">
        <v>151</v>
      </c>
      <c r="AK104" s="417"/>
      <c r="AL104" s="417"/>
      <c r="AM104" s="418"/>
      <c r="AN104" s="419" t="s">
        <v>155</v>
      </c>
      <c r="AO104" s="416" t="s">
        <v>151</v>
      </c>
      <c r="AP104" s="417"/>
      <c r="AQ104" s="417"/>
      <c r="AR104" s="418"/>
      <c r="AS104" s="419" t="s">
        <v>155</v>
      </c>
      <c r="AT104" s="416" t="s">
        <v>151</v>
      </c>
      <c r="AU104" s="417"/>
      <c r="AV104" s="417"/>
      <c r="AW104" s="418"/>
      <c r="AX104" s="419" t="s">
        <v>155</v>
      </c>
    </row>
    <row r="105" spans="2:50">
      <c r="B105" s="419"/>
      <c r="C105" s="419"/>
      <c r="D105" s="419"/>
      <c r="E105" s="419" t="s">
        <v>147</v>
      </c>
      <c r="F105" s="419"/>
      <c r="G105" s="419"/>
      <c r="H105" s="421"/>
      <c r="I105" s="419" t="s">
        <v>147</v>
      </c>
      <c r="J105" s="419"/>
      <c r="K105" s="419"/>
      <c r="L105" s="421"/>
      <c r="M105" s="414"/>
      <c r="N105" s="419"/>
      <c r="O105" s="419"/>
      <c r="P105" s="416" t="s">
        <v>152</v>
      </c>
      <c r="Q105" s="417"/>
      <c r="R105" s="417"/>
      <c r="S105" s="418"/>
      <c r="T105" s="419"/>
      <c r="U105" s="416" t="s">
        <v>152</v>
      </c>
      <c r="V105" s="417"/>
      <c r="W105" s="417"/>
      <c r="X105" s="418"/>
      <c r="Y105" s="419"/>
      <c r="Z105" s="416" t="s">
        <v>152</v>
      </c>
      <c r="AA105" s="417"/>
      <c r="AB105" s="417"/>
      <c r="AC105" s="418"/>
      <c r="AD105" s="419"/>
      <c r="AE105" s="416" t="s">
        <v>152</v>
      </c>
      <c r="AF105" s="417"/>
      <c r="AG105" s="417"/>
      <c r="AH105" s="418"/>
      <c r="AI105" s="419"/>
      <c r="AJ105" s="416" t="s">
        <v>152</v>
      </c>
      <c r="AK105" s="417"/>
      <c r="AL105" s="417"/>
      <c r="AM105" s="418"/>
      <c r="AN105" s="419"/>
      <c r="AO105" s="416" t="s">
        <v>152</v>
      </c>
      <c r="AP105" s="417"/>
      <c r="AQ105" s="417"/>
      <c r="AR105" s="418"/>
      <c r="AS105" s="419"/>
      <c r="AT105" s="416" t="s">
        <v>152</v>
      </c>
      <c r="AU105" s="417"/>
      <c r="AV105" s="417"/>
      <c r="AW105" s="418"/>
      <c r="AX105" s="419"/>
    </row>
    <row r="106" spans="2:50">
      <c r="B106" s="419"/>
      <c r="C106" s="419"/>
      <c r="D106" s="419"/>
      <c r="E106" s="223" t="s">
        <v>149</v>
      </c>
      <c r="F106" s="223" t="s">
        <v>150</v>
      </c>
      <c r="G106" s="223" t="s">
        <v>153</v>
      </c>
      <c r="H106" s="422"/>
      <c r="I106" s="223" t="s">
        <v>149</v>
      </c>
      <c r="J106" s="223" t="s">
        <v>150</v>
      </c>
      <c r="K106" s="223" t="s">
        <v>153</v>
      </c>
      <c r="L106" s="422"/>
      <c r="M106" s="415"/>
      <c r="N106" s="419"/>
      <c r="O106" s="419"/>
      <c r="P106" s="223" t="s">
        <v>149</v>
      </c>
      <c r="Q106" s="223" t="s">
        <v>150</v>
      </c>
      <c r="R106" s="223" t="s">
        <v>153</v>
      </c>
      <c r="S106" s="223" t="s">
        <v>166</v>
      </c>
      <c r="T106" s="419"/>
      <c r="U106" s="223" t="s">
        <v>149</v>
      </c>
      <c r="V106" s="223" t="s">
        <v>150</v>
      </c>
      <c r="W106" s="223" t="s">
        <v>153</v>
      </c>
      <c r="X106" s="223" t="s">
        <v>166</v>
      </c>
      <c r="Y106" s="419"/>
      <c r="Z106" s="223" t="s">
        <v>149</v>
      </c>
      <c r="AA106" s="223" t="s">
        <v>150</v>
      </c>
      <c r="AB106" s="223" t="s">
        <v>153</v>
      </c>
      <c r="AC106" s="223" t="s">
        <v>166</v>
      </c>
      <c r="AD106" s="419"/>
      <c r="AE106" s="223" t="s">
        <v>149</v>
      </c>
      <c r="AF106" s="223" t="s">
        <v>150</v>
      </c>
      <c r="AG106" s="223" t="s">
        <v>153</v>
      </c>
      <c r="AH106" s="223" t="s">
        <v>166</v>
      </c>
      <c r="AI106" s="419"/>
      <c r="AJ106" s="223" t="s">
        <v>149</v>
      </c>
      <c r="AK106" s="223" t="s">
        <v>150</v>
      </c>
      <c r="AL106" s="223" t="s">
        <v>153</v>
      </c>
      <c r="AM106" s="223" t="s">
        <v>166</v>
      </c>
      <c r="AN106" s="419"/>
      <c r="AO106" s="223" t="s">
        <v>149</v>
      </c>
      <c r="AP106" s="223" t="s">
        <v>150</v>
      </c>
      <c r="AQ106" s="223" t="s">
        <v>153</v>
      </c>
      <c r="AR106" s="223" t="s">
        <v>166</v>
      </c>
      <c r="AS106" s="419"/>
      <c r="AT106" s="223" t="s">
        <v>149</v>
      </c>
      <c r="AU106" s="223" t="s">
        <v>150</v>
      </c>
      <c r="AV106" s="223" t="s">
        <v>153</v>
      </c>
      <c r="AW106" s="223" t="s">
        <v>166</v>
      </c>
      <c r="AX106" s="419"/>
    </row>
    <row r="107" spans="2:50">
      <c r="B107" s="419" t="s">
        <v>139</v>
      </c>
      <c r="C107" s="224">
        <v>1</v>
      </c>
      <c r="D107" s="224" t="s">
        <v>354</v>
      </c>
      <c r="E107" s="225">
        <f>VLOOKUP(D107,'10產線配置圖'!$A$2:$C$25,2,0)</f>
        <v>13</v>
      </c>
      <c r="F107" s="225">
        <f>VLOOKUP(D107,'10產線配置圖'!$A$2:$C$25,3,0)</f>
        <v>1565</v>
      </c>
      <c r="G107" s="226">
        <f t="shared" ref="G107:G109" si="89">F107/E107</f>
        <v>120.38461538461539</v>
      </c>
      <c r="H107" s="434">
        <f>AVERAGE(G107:G121)</f>
        <v>127.07264957264958</v>
      </c>
      <c r="I107" s="225" t="e">
        <f>AVERAGE(P107,U107,Z107,AE107,AJ107,AO107,AT107)</f>
        <v>#DIV/0!</v>
      </c>
      <c r="J107" s="225" t="e">
        <f>AVERAGE(Q107,V107,AA107,AF107,AK107,AP107,AU107)</f>
        <v>#DIV/0!</v>
      </c>
      <c r="K107" s="226" t="e">
        <f>AVERAGE(AG107,AL107,AQ107,AV107)</f>
        <v>#DIV/0!</v>
      </c>
      <c r="L107" s="434" t="str">
        <f>IFERROR(AVERAGE(K107:K121),"-")</f>
        <v>-</v>
      </c>
      <c r="M107" s="227" t="e">
        <f>RANK(K107, K$7:$K$21)</f>
        <v>#DIV/0!</v>
      </c>
      <c r="N107" s="419"/>
      <c r="O107" s="419"/>
      <c r="P107" s="225"/>
      <c r="Q107" s="225"/>
      <c r="R107" s="226" t="e">
        <f>Q107/P107</f>
        <v>#DIV/0!</v>
      </c>
      <c r="S107" s="224" t="e">
        <f>RANK(R107, R$7:R$21)</f>
        <v>#DIV/0!</v>
      </c>
      <c r="T107" s="432" t="e">
        <f>AVERAGE(R107:R121)</f>
        <v>#DIV/0!</v>
      </c>
      <c r="U107" s="225"/>
      <c r="V107" s="225"/>
      <c r="W107" s="226" t="e">
        <f>V107/U107</f>
        <v>#DIV/0!</v>
      </c>
      <c r="X107" s="224" t="e">
        <f>RANK(W107, W$7:W$21)</f>
        <v>#DIV/0!</v>
      </c>
      <c r="Y107" s="432" t="e">
        <f>AVERAGE(W107:W121)</f>
        <v>#DIV/0!</v>
      </c>
      <c r="Z107" s="224"/>
      <c r="AA107" s="225"/>
      <c r="AB107" s="226" t="e">
        <f>AA107/Z107</f>
        <v>#DIV/0!</v>
      </c>
      <c r="AC107" s="224" t="e">
        <f>RANK(AB107, AB$7:AB$21)</f>
        <v>#DIV/0!</v>
      </c>
      <c r="AD107" s="432" t="e">
        <f>AVERAGE(AB107:AB121)</f>
        <v>#DIV/0!</v>
      </c>
      <c r="AE107" s="225"/>
      <c r="AF107" s="225"/>
      <c r="AG107" s="226" t="e">
        <f>AF107/AE107</f>
        <v>#DIV/0!</v>
      </c>
      <c r="AH107" s="224" t="e">
        <f>RANK(AG107, AG$7:AG$21)</f>
        <v>#DIV/0!</v>
      </c>
      <c r="AI107" s="432" t="e">
        <f>AVERAGE(AG107:AG121)</f>
        <v>#DIV/0!</v>
      </c>
      <c r="AJ107" s="225"/>
      <c r="AK107" s="225"/>
      <c r="AL107" s="226" t="e">
        <f>AK107/AJ107</f>
        <v>#DIV/0!</v>
      </c>
      <c r="AM107" s="224" t="e">
        <f>RANK(AL107, AL$7:AL$21)</f>
        <v>#DIV/0!</v>
      </c>
      <c r="AN107" s="432" t="e">
        <f>AVERAGE(AL107:AL121)</f>
        <v>#DIV/0!</v>
      </c>
      <c r="AO107" s="225"/>
      <c r="AP107" s="225"/>
      <c r="AQ107" s="226" t="e">
        <f>AP107/AO107</f>
        <v>#DIV/0!</v>
      </c>
      <c r="AR107" s="224" t="e">
        <f>RANK(AQ107, AQ$7:AQ$21)</f>
        <v>#DIV/0!</v>
      </c>
      <c r="AS107" s="432" t="e">
        <f>AVERAGE(AQ107:AQ121)</f>
        <v>#DIV/0!</v>
      </c>
      <c r="AT107" s="225"/>
      <c r="AU107" s="225"/>
      <c r="AV107" s="226" t="e">
        <f>AU107/AT107</f>
        <v>#DIV/0!</v>
      </c>
      <c r="AW107" s="224" t="e">
        <f>RANK(AV107, AV$7:AV$21)</f>
        <v>#DIV/0!</v>
      </c>
      <c r="AX107" s="432" t="e">
        <f>AVERAGE(AV107:AV121)</f>
        <v>#DIV/0!</v>
      </c>
    </row>
    <row r="108" spans="2:50">
      <c r="B108" s="427"/>
      <c r="C108" s="224">
        <v>2</v>
      </c>
      <c r="D108" s="224" t="s">
        <v>362</v>
      </c>
      <c r="E108" s="225">
        <f>VLOOKUP(D108,'10產線配置圖'!$A$2:$C$25,2,0)</f>
        <v>12</v>
      </c>
      <c r="F108" s="225">
        <f>VLOOKUP(D108,'10產線配置圖'!$A$2:$C$25,3,0)</f>
        <v>1565</v>
      </c>
      <c r="G108" s="226">
        <f t="shared" si="89"/>
        <v>130.41666666666666</v>
      </c>
      <c r="H108" s="435"/>
      <c r="I108" s="225" t="e">
        <f t="shared" ref="I108:I109" si="90">AVERAGE(P108,U108,Z108,AE108,AJ108,AO108,AT108)</f>
        <v>#DIV/0!</v>
      </c>
      <c r="J108" s="225" t="e">
        <f t="shared" ref="J108:J109" si="91">AVERAGE(Q108,V108,AA108,AF108,AK108,AP108,AU108)</f>
        <v>#DIV/0!</v>
      </c>
      <c r="K108" s="226" t="e">
        <f t="shared" ref="K108:K109" si="92">AVERAGE(AG108,AL108,AQ108,AV108)</f>
        <v>#DIV/0!</v>
      </c>
      <c r="L108" s="435"/>
      <c r="M108" s="227" t="e">
        <f>RANK(K108, K$7:$K$21)</f>
        <v>#DIV/0!</v>
      </c>
      <c r="N108" s="419"/>
      <c r="O108" s="419"/>
      <c r="P108" s="225"/>
      <c r="Q108" s="225"/>
      <c r="R108" s="226" t="e">
        <f t="shared" ref="R108:R113" si="93">Q108/P108</f>
        <v>#DIV/0!</v>
      </c>
      <c r="S108" s="224" t="e">
        <f t="shared" ref="S108:S113" si="94">RANK(R108, R$7:R$21)</f>
        <v>#DIV/0!</v>
      </c>
      <c r="T108" s="432"/>
      <c r="U108" s="225"/>
      <c r="V108" s="225"/>
      <c r="W108" s="226" t="e">
        <f t="shared" ref="W108:W113" si="95">V108/U108</f>
        <v>#DIV/0!</v>
      </c>
      <c r="X108" s="224" t="e">
        <f t="shared" ref="X108:X113" si="96">RANK(W108, W$7:W$21)</f>
        <v>#DIV/0!</v>
      </c>
      <c r="Y108" s="432"/>
      <c r="Z108" s="224"/>
      <c r="AA108" s="225"/>
      <c r="AB108" s="226" t="e">
        <f t="shared" ref="AB108:AB113" si="97">AA108/Z108</f>
        <v>#DIV/0!</v>
      </c>
      <c r="AC108" s="224" t="e">
        <f t="shared" ref="AC108:AC113" si="98">RANK(AB108, AB$7:AB$21)</f>
        <v>#DIV/0!</v>
      </c>
      <c r="AD108" s="432"/>
      <c r="AE108" s="225"/>
      <c r="AF108" s="225"/>
      <c r="AG108" s="226" t="e">
        <f t="shared" ref="AG108:AG109" si="99">AF108/AE108</f>
        <v>#DIV/0!</v>
      </c>
      <c r="AH108" s="224" t="e">
        <f t="shared" ref="AH108:AH109" si="100">RANK(AG108, AG$7:AG$21)</f>
        <v>#DIV/0!</v>
      </c>
      <c r="AI108" s="432"/>
      <c r="AJ108" s="225"/>
      <c r="AK108" s="225"/>
      <c r="AL108" s="226" t="e">
        <f t="shared" ref="AL108:AL109" si="101">AK108/AJ108</f>
        <v>#DIV/0!</v>
      </c>
      <c r="AM108" s="224" t="e">
        <f t="shared" ref="AM108:AM109" si="102">RANK(AL108, AL$7:AL$21)</f>
        <v>#DIV/0!</v>
      </c>
      <c r="AN108" s="432"/>
      <c r="AO108" s="225"/>
      <c r="AP108" s="225"/>
      <c r="AQ108" s="226" t="e">
        <f t="shared" ref="AQ108:AQ109" si="103">AP108/AO108</f>
        <v>#DIV/0!</v>
      </c>
      <c r="AR108" s="224" t="e">
        <f t="shared" ref="AR108:AR109" si="104">RANK(AQ108, AQ$7:AQ$21)</f>
        <v>#DIV/0!</v>
      </c>
      <c r="AS108" s="432"/>
      <c r="AT108" s="225"/>
      <c r="AU108" s="225"/>
      <c r="AV108" s="226" t="e">
        <f t="shared" ref="AV108:AV109" si="105">AU108/AT108</f>
        <v>#DIV/0!</v>
      </c>
      <c r="AW108" s="224" t="e">
        <f t="shared" ref="AW108:AW109" si="106">RANK(AV108, AV$7:AV$21)</f>
        <v>#DIV/0!</v>
      </c>
      <c r="AX108" s="432"/>
    </row>
    <row r="109" spans="2:50">
      <c r="B109" s="427"/>
      <c r="C109" s="224">
        <v>3</v>
      </c>
      <c r="D109" s="224" t="s">
        <v>463</v>
      </c>
      <c r="E109" s="225">
        <f>VLOOKUP(D109,'10產線配置圖'!$A$2:$C$25,2,0)</f>
        <v>12</v>
      </c>
      <c r="F109" s="225">
        <f>VLOOKUP(D109,'10產線配置圖'!$A$2:$C$25,3,0)</f>
        <v>1565</v>
      </c>
      <c r="G109" s="226">
        <f t="shared" si="89"/>
        <v>130.41666666666666</v>
      </c>
      <c r="H109" s="435"/>
      <c r="I109" s="225" t="e">
        <f t="shared" si="90"/>
        <v>#DIV/0!</v>
      </c>
      <c r="J109" s="225" t="e">
        <f t="shared" si="91"/>
        <v>#DIV/0!</v>
      </c>
      <c r="K109" s="226" t="e">
        <f t="shared" si="92"/>
        <v>#DIV/0!</v>
      </c>
      <c r="L109" s="435"/>
      <c r="M109" s="227" t="e">
        <f>RANK(K109, K$7:$K$21)</f>
        <v>#DIV/0!</v>
      </c>
      <c r="N109" s="419"/>
      <c r="O109" s="419"/>
      <c r="P109" s="225"/>
      <c r="Q109" s="225"/>
      <c r="R109" s="226" t="e">
        <f t="shared" si="93"/>
        <v>#DIV/0!</v>
      </c>
      <c r="S109" s="224" t="e">
        <f t="shared" si="94"/>
        <v>#DIV/0!</v>
      </c>
      <c r="T109" s="432"/>
      <c r="U109" s="225"/>
      <c r="V109" s="225"/>
      <c r="W109" s="226" t="e">
        <f t="shared" si="95"/>
        <v>#DIV/0!</v>
      </c>
      <c r="X109" s="224" t="e">
        <f t="shared" si="96"/>
        <v>#DIV/0!</v>
      </c>
      <c r="Y109" s="432"/>
      <c r="Z109" s="224"/>
      <c r="AA109" s="225"/>
      <c r="AB109" s="226" t="e">
        <f t="shared" si="97"/>
        <v>#DIV/0!</v>
      </c>
      <c r="AC109" s="224" t="e">
        <f t="shared" si="98"/>
        <v>#DIV/0!</v>
      </c>
      <c r="AD109" s="432"/>
      <c r="AE109" s="225"/>
      <c r="AF109" s="225"/>
      <c r="AG109" s="226" t="e">
        <f t="shared" si="99"/>
        <v>#DIV/0!</v>
      </c>
      <c r="AH109" s="224" t="e">
        <f t="shared" si="100"/>
        <v>#DIV/0!</v>
      </c>
      <c r="AI109" s="432"/>
      <c r="AJ109" s="225"/>
      <c r="AK109" s="225"/>
      <c r="AL109" s="226" t="e">
        <f t="shared" si="101"/>
        <v>#DIV/0!</v>
      </c>
      <c r="AM109" s="224" t="e">
        <f t="shared" si="102"/>
        <v>#DIV/0!</v>
      </c>
      <c r="AN109" s="432"/>
      <c r="AO109" s="225"/>
      <c r="AP109" s="225"/>
      <c r="AQ109" s="226" t="e">
        <f t="shared" si="103"/>
        <v>#DIV/0!</v>
      </c>
      <c r="AR109" s="224" t="e">
        <f t="shared" si="104"/>
        <v>#DIV/0!</v>
      </c>
      <c r="AS109" s="432"/>
      <c r="AT109" s="225"/>
      <c r="AU109" s="225"/>
      <c r="AV109" s="226" t="e">
        <f t="shared" si="105"/>
        <v>#DIV/0!</v>
      </c>
      <c r="AW109" s="224" t="e">
        <f t="shared" si="106"/>
        <v>#DIV/0!</v>
      </c>
      <c r="AX109" s="432"/>
    </row>
    <row r="110" spans="2:50">
      <c r="B110" s="427"/>
      <c r="C110" s="224">
        <v>4</v>
      </c>
      <c r="D110" s="224"/>
      <c r="E110" s="225"/>
      <c r="F110" s="225"/>
      <c r="G110" s="226"/>
      <c r="H110" s="435"/>
      <c r="I110" s="225"/>
      <c r="J110" s="225"/>
      <c r="K110" s="226"/>
      <c r="L110" s="435"/>
      <c r="M110" s="227" t="e">
        <f>RANK(K110, K$7:$K$21)</f>
        <v>#N/A</v>
      </c>
      <c r="N110" s="419"/>
      <c r="O110" s="419"/>
      <c r="P110" s="225"/>
      <c r="Q110" s="225"/>
      <c r="R110" s="226" t="e">
        <f t="shared" si="93"/>
        <v>#DIV/0!</v>
      </c>
      <c r="S110" s="224" t="e">
        <f t="shared" si="94"/>
        <v>#DIV/0!</v>
      </c>
      <c r="T110" s="432"/>
      <c r="U110" s="225"/>
      <c r="V110" s="225"/>
      <c r="W110" s="226" t="e">
        <f t="shared" si="95"/>
        <v>#DIV/0!</v>
      </c>
      <c r="X110" s="224" t="e">
        <f t="shared" si="96"/>
        <v>#DIV/0!</v>
      </c>
      <c r="Y110" s="432"/>
      <c r="Z110" s="224"/>
      <c r="AA110" s="225"/>
      <c r="AB110" s="226" t="e">
        <f t="shared" si="97"/>
        <v>#DIV/0!</v>
      </c>
      <c r="AC110" s="224" t="e">
        <f t="shared" si="98"/>
        <v>#DIV/0!</v>
      </c>
      <c r="AD110" s="432"/>
      <c r="AE110" s="225"/>
      <c r="AF110" s="225"/>
      <c r="AG110" s="226"/>
      <c r="AH110" s="224"/>
      <c r="AI110" s="432"/>
      <c r="AJ110" s="225"/>
      <c r="AK110" s="225"/>
      <c r="AL110" s="226"/>
      <c r="AM110" s="224"/>
      <c r="AN110" s="432"/>
      <c r="AO110" s="225"/>
      <c r="AP110" s="225"/>
      <c r="AQ110" s="226"/>
      <c r="AR110" s="224"/>
      <c r="AS110" s="432"/>
      <c r="AT110" s="225"/>
      <c r="AU110" s="225"/>
      <c r="AV110" s="226"/>
      <c r="AW110" s="224"/>
      <c r="AX110" s="432"/>
    </row>
    <row r="111" spans="2:50">
      <c r="B111" s="427"/>
      <c r="C111" s="224">
        <v>5</v>
      </c>
      <c r="D111" s="224"/>
      <c r="E111" s="225"/>
      <c r="F111" s="225"/>
      <c r="G111" s="226"/>
      <c r="H111" s="435"/>
      <c r="I111" s="225"/>
      <c r="J111" s="225"/>
      <c r="K111" s="226"/>
      <c r="L111" s="435"/>
      <c r="M111" s="227" t="e">
        <f>RANK(K111, K$7:$K$21)</f>
        <v>#N/A</v>
      </c>
      <c r="N111" s="419"/>
      <c r="O111" s="419"/>
      <c r="P111" s="225"/>
      <c r="Q111" s="225"/>
      <c r="R111" s="226" t="e">
        <f t="shared" si="93"/>
        <v>#DIV/0!</v>
      </c>
      <c r="S111" s="224" t="e">
        <f t="shared" si="94"/>
        <v>#DIV/0!</v>
      </c>
      <c r="T111" s="432"/>
      <c r="U111" s="225"/>
      <c r="V111" s="225"/>
      <c r="W111" s="226" t="e">
        <f t="shared" si="95"/>
        <v>#DIV/0!</v>
      </c>
      <c r="X111" s="224" t="e">
        <f t="shared" si="96"/>
        <v>#DIV/0!</v>
      </c>
      <c r="Y111" s="432"/>
      <c r="Z111" s="224"/>
      <c r="AA111" s="225"/>
      <c r="AB111" s="226" t="e">
        <f t="shared" si="97"/>
        <v>#DIV/0!</v>
      </c>
      <c r="AC111" s="224" t="e">
        <f t="shared" si="98"/>
        <v>#DIV/0!</v>
      </c>
      <c r="AD111" s="432"/>
      <c r="AE111" s="225"/>
      <c r="AF111" s="225"/>
      <c r="AG111" s="226"/>
      <c r="AH111" s="224"/>
      <c r="AI111" s="432"/>
      <c r="AJ111" s="225"/>
      <c r="AK111" s="225"/>
      <c r="AL111" s="226"/>
      <c r="AM111" s="224"/>
      <c r="AN111" s="432"/>
      <c r="AO111" s="225"/>
      <c r="AP111" s="225"/>
      <c r="AQ111" s="226"/>
      <c r="AR111" s="224"/>
      <c r="AS111" s="432"/>
      <c r="AT111" s="225"/>
      <c r="AU111" s="225"/>
      <c r="AV111" s="226"/>
      <c r="AW111" s="224"/>
      <c r="AX111" s="432"/>
    </row>
    <row r="112" spans="2:50">
      <c r="B112" s="427"/>
      <c r="C112" s="224">
        <v>6</v>
      </c>
      <c r="D112" s="224"/>
      <c r="E112" s="225"/>
      <c r="F112" s="225"/>
      <c r="G112" s="226"/>
      <c r="H112" s="435"/>
      <c r="I112" s="225"/>
      <c r="J112" s="225"/>
      <c r="K112" s="226"/>
      <c r="L112" s="435"/>
      <c r="M112" s="227" t="e">
        <f>RANK(K112, K$7:$K$21)</f>
        <v>#N/A</v>
      </c>
      <c r="N112" s="419"/>
      <c r="O112" s="419"/>
      <c r="P112" s="225"/>
      <c r="Q112" s="225"/>
      <c r="R112" s="226" t="e">
        <f t="shared" si="93"/>
        <v>#DIV/0!</v>
      </c>
      <c r="S112" s="224" t="e">
        <f t="shared" si="94"/>
        <v>#DIV/0!</v>
      </c>
      <c r="T112" s="432"/>
      <c r="U112" s="225"/>
      <c r="V112" s="225"/>
      <c r="W112" s="226" t="e">
        <f t="shared" si="95"/>
        <v>#DIV/0!</v>
      </c>
      <c r="X112" s="224" t="e">
        <f t="shared" si="96"/>
        <v>#DIV/0!</v>
      </c>
      <c r="Y112" s="432"/>
      <c r="Z112" s="224"/>
      <c r="AA112" s="225"/>
      <c r="AB112" s="226" t="e">
        <f t="shared" si="97"/>
        <v>#DIV/0!</v>
      </c>
      <c r="AC112" s="224" t="e">
        <f t="shared" si="98"/>
        <v>#DIV/0!</v>
      </c>
      <c r="AD112" s="432"/>
      <c r="AE112" s="225"/>
      <c r="AF112" s="225"/>
      <c r="AG112" s="226"/>
      <c r="AH112" s="224"/>
      <c r="AI112" s="432"/>
      <c r="AJ112" s="225"/>
      <c r="AK112" s="225"/>
      <c r="AL112" s="226"/>
      <c r="AM112" s="224"/>
      <c r="AN112" s="432"/>
      <c r="AO112" s="225"/>
      <c r="AP112" s="225"/>
      <c r="AQ112" s="226"/>
      <c r="AR112" s="224"/>
      <c r="AS112" s="432"/>
      <c r="AT112" s="225"/>
      <c r="AU112" s="225"/>
      <c r="AV112" s="226"/>
      <c r="AW112" s="224"/>
      <c r="AX112" s="432"/>
    </row>
    <row r="113" spans="2:50">
      <c r="B113" s="427"/>
      <c r="C113" s="224">
        <v>7</v>
      </c>
      <c r="D113" s="224"/>
      <c r="E113" s="225"/>
      <c r="F113" s="225"/>
      <c r="G113" s="226"/>
      <c r="H113" s="435"/>
      <c r="I113" s="225"/>
      <c r="J113" s="225"/>
      <c r="K113" s="226"/>
      <c r="L113" s="435"/>
      <c r="M113" s="227" t="e">
        <f>RANK(K113, K$7:$K$21)</f>
        <v>#N/A</v>
      </c>
      <c r="N113" s="419"/>
      <c r="O113" s="419"/>
      <c r="P113" s="225"/>
      <c r="Q113" s="225"/>
      <c r="R113" s="226" t="e">
        <f t="shared" si="93"/>
        <v>#DIV/0!</v>
      </c>
      <c r="S113" s="224" t="e">
        <f t="shared" si="94"/>
        <v>#DIV/0!</v>
      </c>
      <c r="T113" s="432"/>
      <c r="U113" s="225"/>
      <c r="V113" s="225"/>
      <c r="W113" s="226" t="e">
        <f t="shared" si="95"/>
        <v>#DIV/0!</v>
      </c>
      <c r="X113" s="224" t="e">
        <f t="shared" si="96"/>
        <v>#DIV/0!</v>
      </c>
      <c r="Y113" s="432"/>
      <c r="Z113" s="224"/>
      <c r="AA113" s="225"/>
      <c r="AB113" s="226" t="e">
        <f t="shared" si="97"/>
        <v>#DIV/0!</v>
      </c>
      <c r="AC113" s="224" t="e">
        <f t="shared" si="98"/>
        <v>#DIV/0!</v>
      </c>
      <c r="AD113" s="432"/>
      <c r="AE113" s="225"/>
      <c r="AF113" s="225"/>
      <c r="AG113" s="226"/>
      <c r="AH113" s="224"/>
      <c r="AI113" s="432"/>
      <c r="AJ113" s="225"/>
      <c r="AK113" s="225"/>
      <c r="AL113" s="226"/>
      <c r="AM113" s="224"/>
      <c r="AN113" s="432"/>
      <c r="AO113" s="225"/>
      <c r="AP113" s="225"/>
      <c r="AQ113" s="226"/>
      <c r="AR113" s="224"/>
      <c r="AS113" s="432"/>
      <c r="AT113" s="225"/>
      <c r="AU113" s="225"/>
      <c r="AV113" s="226"/>
      <c r="AW113" s="224"/>
      <c r="AX113" s="432"/>
    </row>
    <row r="114" spans="2:50">
      <c r="B114" s="427"/>
      <c r="C114" s="224">
        <v>8</v>
      </c>
      <c r="D114" s="224"/>
      <c r="E114" s="225"/>
      <c r="F114" s="225"/>
      <c r="G114" s="226"/>
      <c r="H114" s="435"/>
      <c r="I114" s="225"/>
      <c r="J114" s="225"/>
      <c r="K114" s="226"/>
      <c r="L114" s="435"/>
      <c r="M114" s="227" t="e">
        <f>RANK(K114, K$7:$K$21)</f>
        <v>#N/A</v>
      </c>
      <c r="N114" s="419"/>
      <c r="O114" s="419"/>
      <c r="P114" s="225"/>
      <c r="Q114" s="225"/>
      <c r="R114" s="226"/>
      <c r="S114" s="224"/>
      <c r="T114" s="432"/>
      <c r="U114" s="225"/>
      <c r="V114" s="225"/>
      <c r="W114" s="226"/>
      <c r="X114" s="224"/>
      <c r="Y114" s="432"/>
      <c r="Z114" s="224"/>
      <c r="AA114" s="225"/>
      <c r="AB114" s="226"/>
      <c r="AC114" s="224"/>
      <c r="AD114" s="432"/>
      <c r="AE114" s="225"/>
      <c r="AF114" s="225"/>
      <c r="AG114" s="226"/>
      <c r="AH114" s="224"/>
      <c r="AI114" s="432"/>
      <c r="AJ114" s="225"/>
      <c r="AK114" s="225"/>
      <c r="AL114" s="226"/>
      <c r="AM114" s="224"/>
      <c r="AN114" s="432"/>
      <c r="AO114" s="225"/>
      <c r="AP114" s="225"/>
      <c r="AQ114" s="226"/>
      <c r="AR114" s="224"/>
      <c r="AS114" s="432"/>
      <c r="AT114" s="225"/>
      <c r="AU114" s="225"/>
      <c r="AV114" s="226"/>
      <c r="AW114" s="224"/>
      <c r="AX114" s="432"/>
    </row>
    <row r="115" spans="2:50">
      <c r="B115" s="427"/>
      <c r="C115" s="224">
        <v>9</v>
      </c>
      <c r="D115" s="224"/>
      <c r="E115" s="225"/>
      <c r="F115" s="225"/>
      <c r="G115" s="226"/>
      <c r="H115" s="435"/>
      <c r="I115" s="225"/>
      <c r="J115" s="225"/>
      <c r="K115" s="226"/>
      <c r="L115" s="435"/>
      <c r="M115" s="227" t="e">
        <f>RANK(K115, K$7:$K$21)</f>
        <v>#N/A</v>
      </c>
      <c r="N115" s="419"/>
      <c r="O115" s="419"/>
      <c r="P115" s="225"/>
      <c r="Q115" s="225"/>
      <c r="R115" s="226"/>
      <c r="S115" s="224"/>
      <c r="T115" s="432"/>
      <c r="U115" s="225"/>
      <c r="V115" s="225"/>
      <c r="W115" s="226"/>
      <c r="X115" s="224"/>
      <c r="Y115" s="432"/>
      <c r="Z115" s="224"/>
      <c r="AA115" s="225"/>
      <c r="AB115" s="226"/>
      <c r="AC115" s="224"/>
      <c r="AD115" s="432"/>
      <c r="AE115" s="225"/>
      <c r="AF115" s="225"/>
      <c r="AG115" s="226"/>
      <c r="AH115" s="224"/>
      <c r="AI115" s="432"/>
      <c r="AJ115" s="225"/>
      <c r="AK115" s="225"/>
      <c r="AL115" s="226"/>
      <c r="AM115" s="224"/>
      <c r="AN115" s="432"/>
      <c r="AO115" s="225"/>
      <c r="AP115" s="225"/>
      <c r="AQ115" s="226"/>
      <c r="AR115" s="224"/>
      <c r="AS115" s="432"/>
      <c r="AT115" s="225"/>
      <c r="AU115" s="225"/>
      <c r="AV115" s="226"/>
      <c r="AW115" s="224"/>
      <c r="AX115" s="432"/>
    </row>
    <row r="116" spans="2:50">
      <c r="B116" s="427"/>
      <c r="C116" s="224">
        <v>10</v>
      </c>
      <c r="D116" s="224"/>
      <c r="E116" s="225"/>
      <c r="F116" s="225"/>
      <c r="G116" s="226"/>
      <c r="H116" s="435"/>
      <c r="I116" s="225"/>
      <c r="J116" s="225"/>
      <c r="K116" s="226"/>
      <c r="L116" s="435"/>
      <c r="M116" s="227" t="e">
        <f>RANK(K116, K$7:$K$21)</f>
        <v>#N/A</v>
      </c>
      <c r="N116" s="419"/>
      <c r="O116" s="419"/>
      <c r="P116" s="225"/>
      <c r="Q116" s="225"/>
      <c r="R116" s="226"/>
      <c r="S116" s="224"/>
      <c r="T116" s="432"/>
      <c r="U116" s="225"/>
      <c r="V116" s="225"/>
      <c r="W116" s="226"/>
      <c r="X116" s="224"/>
      <c r="Y116" s="432"/>
      <c r="Z116" s="224"/>
      <c r="AA116" s="225"/>
      <c r="AB116" s="226"/>
      <c r="AC116" s="224"/>
      <c r="AD116" s="432"/>
      <c r="AE116" s="225"/>
      <c r="AF116" s="225"/>
      <c r="AG116" s="226"/>
      <c r="AH116" s="224"/>
      <c r="AI116" s="432"/>
      <c r="AJ116" s="225"/>
      <c r="AK116" s="225"/>
      <c r="AL116" s="226"/>
      <c r="AM116" s="224"/>
      <c r="AN116" s="432"/>
      <c r="AO116" s="225"/>
      <c r="AP116" s="225"/>
      <c r="AQ116" s="226"/>
      <c r="AR116" s="224"/>
      <c r="AS116" s="432"/>
      <c r="AT116" s="225"/>
      <c r="AU116" s="225"/>
      <c r="AV116" s="226"/>
      <c r="AW116" s="224"/>
      <c r="AX116" s="432"/>
    </row>
    <row r="117" spans="2:50">
      <c r="B117" s="427"/>
      <c r="C117" s="224">
        <v>11</v>
      </c>
      <c r="D117" s="224"/>
      <c r="E117" s="225"/>
      <c r="F117" s="225"/>
      <c r="G117" s="226"/>
      <c r="H117" s="435"/>
      <c r="I117" s="225"/>
      <c r="J117" s="225"/>
      <c r="K117" s="226"/>
      <c r="L117" s="435"/>
      <c r="M117" s="227" t="e">
        <f>RANK(K117, K$7:$K$21)</f>
        <v>#N/A</v>
      </c>
      <c r="N117" s="419"/>
      <c r="O117" s="419"/>
      <c r="P117" s="224"/>
      <c r="Q117" s="224"/>
      <c r="R117" s="226"/>
      <c r="S117" s="224"/>
      <c r="T117" s="432"/>
      <c r="U117" s="224"/>
      <c r="V117" s="224"/>
      <c r="W117" s="226"/>
      <c r="X117" s="224"/>
      <c r="Y117" s="432"/>
      <c r="Z117" s="224"/>
      <c r="AA117" s="224"/>
      <c r="AB117" s="226"/>
      <c r="AC117" s="224"/>
      <c r="AD117" s="432"/>
      <c r="AE117" s="224"/>
      <c r="AF117" s="224"/>
      <c r="AG117" s="226"/>
      <c r="AH117" s="224"/>
      <c r="AI117" s="432"/>
      <c r="AJ117" s="224"/>
      <c r="AK117" s="224"/>
      <c r="AL117" s="224"/>
      <c r="AM117" s="224"/>
      <c r="AN117" s="432"/>
      <c r="AO117" s="224"/>
      <c r="AP117" s="224"/>
      <c r="AQ117" s="226"/>
      <c r="AR117" s="224"/>
      <c r="AS117" s="432"/>
      <c r="AT117" s="224"/>
      <c r="AU117" s="224"/>
      <c r="AV117" s="226"/>
      <c r="AW117" s="224"/>
      <c r="AX117" s="432"/>
    </row>
    <row r="118" spans="2:50">
      <c r="B118" s="427"/>
      <c r="C118" s="224">
        <v>12</v>
      </c>
      <c r="D118" s="224"/>
      <c r="E118" s="225"/>
      <c r="F118" s="225"/>
      <c r="G118" s="226"/>
      <c r="H118" s="435"/>
      <c r="I118" s="225"/>
      <c r="J118" s="225"/>
      <c r="K118" s="226"/>
      <c r="L118" s="435"/>
      <c r="M118" s="227" t="e">
        <f>RANK(K118, K$7:$K$21)</f>
        <v>#N/A</v>
      </c>
      <c r="N118" s="419"/>
      <c r="O118" s="419"/>
      <c r="P118" s="224"/>
      <c r="Q118" s="224"/>
      <c r="R118" s="226"/>
      <c r="S118" s="224"/>
      <c r="T118" s="432"/>
      <c r="U118" s="224"/>
      <c r="V118" s="224"/>
      <c r="W118" s="226"/>
      <c r="X118" s="224"/>
      <c r="Y118" s="432"/>
      <c r="Z118" s="224"/>
      <c r="AA118" s="224"/>
      <c r="AB118" s="226"/>
      <c r="AC118" s="224"/>
      <c r="AD118" s="432"/>
      <c r="AE118" s="224"/>
      <c r="AF118" s="224"/>
      <c r="AG118" s="226"/>
      <c r="AH118" s="224"/>
      <c r="AI118" s="432"/>
      <c r="AJ118" s="224"/>
      <c r="AK118" s="224"/>
      <c r="AL118" s="224"/>
      <c r="AM118" s="224"/>
      <c r="AN118" s="432"/>
      <c r="AO118" s="224"/>
      <c r="AP118" s="224"/>
      <c r="AQ118" s="226"/>
      <c r="AR118" s="224"/>
      <c r="AS118" s="432"/>
      <c r="AT118" s="224"/>
      <c r="AU118" s="224"/>
      <c r="AV118" s="226"/>
      <c r="AW118" s="224"/>
      <c r="AX118" s="432"/>
    </row>
    <row r="119" spans="2:50">
      <c r="B119" s="427"/>
      <c r="C119" s="224">
        <v>13</v>
      </c>
      <c r="D119" s="224"/>
      <c r="E119" s="225"/>
      <c r="F119" s="225"/>
      <c r="G119" s="226"/>
      <c r="H119" s="435"/>
      <c r="I119" s="225"/>
      <c r="J119" s="225"/>
      <c r="K119" s="226"/>
      <c r="L119" s="435"/>
      <c r="M119" s="227" t="e">
        <f>RANK(K119, K$7:$K$21)</f>
        <v>#N/A</v>
      </c>
      <c r="N119" s="419"/>
      <c r="O119" s="419"/>
      <c r="P119" s="224"/>
      <c r="Q119" s="224"/>
      <c r="R119" s="226"/>
      <c r="S119" s="224"/>
      <c r="T119" s="432"/>
      <c r="U119" s="224"/>
      <c r="V119" s="224"/>
      <c r="W119" s="226"/>
      <c r="X119" s="224"/>
      <c r="Y119" s="432"/>
      <c r="Z119" s="224"/>
      <c r="AA119" s="224"/>
      <c r="AB119" s="226"/>
      <c r="AC119" s="224"/>
      <c r="AD119" s="432"/>
      <c r="AE119" s="224"/>
      <c r="AF119" s="224"/>
      <c r="AG119" s="226"/>
      <c r="AH119" s="224"/>
      <c r="AI119" s="432"/>
      <c r="AJ119" s="224"/>
      <c r="AK119" s="224"/>
      <c r="AL119" s="224"/>
      <c r="AM119" s="224"/>
      <c r="AN119" s="432"/>
      <c r="AO119" s="224"/>
      <c r="AP119" s="224"/>
      <c r="AQ119" s="226"/>
      <c r="AR119" s="224"/>
      <c r="AS119" s="432"/>
      <c r="AT119" s="224"/>
      <c r="AU119" s="224"/>
      <c r="AV119" s="226"/>
      <c r="AW119" s="224"/>
      <c r="AX119" s="432"/>
    </row>
    <row r="120" spans="2:50">
      <c r="B120" s="427"/>
      <c r="C120" s="224">
        <v>14</v>
      </c>
      <c r="D120" s="224"/>
      <c r="E120" s="225"/>
      <c r="F120" s="225"/>
      <c r="G120" s="226"/>
      <c r="H120" s="435"/>
      <c r="I120" s="225"/>
      <c r="J120" s="225"/>
      <c r="K120" s="226"/>
      <c r="L120" s="435"/>
      <c r="M120" s="227" t="e">
        <f>RANK(K120, K$7:$K$21)</f>
        <v>#N/A</v>
      </c>
      <c r="N120" s="419"/>
      <c r="O120" s="419"/>
      <c r="P120" s="224"/>
      <c r="Q120" s="224"/>
      <c r="R120" s="226"/>
      <c r="S120" s="224"/>
      <c r="T120" s="432"/>
      <c r="U120" s="224"/>
      <c r="V120" s="224"/>
      <c r="W120" s="226"/>
      <c r="X120" s="224"/>
      <c r="Y120" s="432"/>
      <c r="Z120" s="224"/>
      <c r="AA120" s="224"/>
      <c r="AB120" s="226"/>
      <c r="AC120" s="224"/>
      <c r="AD120" s="432"/>
      <c r="AE120" s="224"/>
      <c r="AF120" s="224"/>
      <c r="AG120" s="226"/>
      <c r="AH120" s="224"/>
      <c r="AI120" s="432"/>
      <c r="AJ120" s="224"/>
      <c r="AK120" s="224"/>
      <c r="AL120" s="224"/>
      <c r="AM120" s="224"/>
      <c r="AN120" s="432"/>
      <c r="AO120" s="224"/>
      <c r="AP120" s="224"/>
      <c r="AQ120" s="226"/>
      <c r="AR120" s="224"/>
      <c r="AS120" s="432"/>
      <c r="AT120" s="224"/>
      <c r="AU120" s="224"/>
      <c r="AV120" s="226"/>
      <c r="AW120" s="224"/>
      <c r="AX120" s="432"/>
    </row>
    <row r="121" spans="2:50">
      <c r="B121" s="427"/>
      <c r="C121" s="224">
        <v>15</v>
      </c>
      <c r="D121" s="224"/>
      <c r="E121" s="225"/>
      <c r="F121" s="225"/>
      <c r="G121" s="226"/>
      <c r="H121" s="436"/>
      <c r="I121" s="225"/>
      <c r="J121" s="225"/>
      <c r="K121" s="226"/>
      <c r="L121" s="436"/>
      <c r="M121" s="225" t="e">
        <f>RANK(K121, K$7:$K$21)</f>
        <v>#N/A</v>
      </c>
      <c r="N121" s="419"/>
      <c r="O121" s="419"/>
      <c r="P121" s="224"/>
      <c r="Q121" s="224"/>
      <c r="R121" s="226"/>
      <c r="S121" s="224"/>
      <c r="T121" s="432"/>
      <c r="U121" s="224"/>
      <c r="V121" s="224"/>
      <c r="W121" s="226"/>
      <c r="X121" s="224"/>
      <c r="Y121" s="432"/>
      <c r="Z121" s="224"/>
      <c r="AA121" s="224"/>
      <c r="AB121" s="226"/>
      <c r="AC121" s="224"/>
      <c r="AD121" s="432"/>
      <c r="AE121" s="224"/>
      <c r="AF121" s="224"/>
      <c r="AG121" s="226"/>
      <c r="AH121" s="224"/>
      <c r="AI121" s="432"/>
      <c r="AJ121" s="224"/>
      <c r="AK121" s="224"/>
      <c r="AL121" s="224"/>
      <c r="AM121" s="224"/>
      <c r="AN121" s="432"/>
      <c r="AO121" s="224"/>
      <c r="AP121" s="224"/>
      <c r="AQ121" s="226"/>
      <c r="AR121" s="224"/>
      <c r="AS121" s="432"/>
      <c r="AT121" s="224"/>
      <c r="AU121" s="224"/>
      <c r="AV121" s="226"/>
      <c r="AW121" s="224"/>
      <c r="AX121" s="432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4" sqref="K14:L14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/>
    <col min="14" max="16384" width="12.5703125" style="161"/>
  </cols>
  <sheetData>
    <row r="1" spans="1:13" ht="15.75" customHeight="1">
      <c r="A1" s="358" t="s">
        <v>317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161"/>
    </row>
    <row r="2" spans="1:13" s="162" customFormat="1" ht="15.75" customHeight="1">
      <c r="A2" s="358"/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</row>
    <row r="3" spans="1:13" ht="15.75" customHeight="1">
      <c r="A3" s="480" t="s">
        <v>318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161"/>
    </row>
    <row r="4" spans="1:13" s="162" customFormat="1" ht="15.75" customHeight="1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</row>
    <row r="5" spans="1:13" s="189" customFormat="1" ht="16.350000000000001" customHeight="1">
      <c r="A5" s="470" t="s">
        <v>319</v>
      </c>
      <c r="B5" s="187">
        <v>1</v>
      </c>
      <c r="C5" s="187">
        <v>2</v>
      </c>
      <c r="D5" s="187">
        <v>3</v>
      </c>
      <c r="E5" s="188"/>
      <c r="F5" s="188"/>
      <c r="G5" s="188"/>
    </row>
    <row r="6" spans="1:13" ht="16.350000000000001" customHeight="1">
      <c r="A6" s="470"/>
      <c r="B6" s="190" t="s">
        <v>320</v>
      </c>
      <c r="C6" s="190" t="s">
        <v>321</v>
      </c>
      <c r="D6" s="190" t="s">
        <v>138</v>
      </c>
      <c r="E6" s="191"/>
      <c r="F6" s="191"/>
      <c r="G6" s="162"/>
      <c r="M6" s="161"/>
    </row>
    <row r="7" spans="1:13" s="189" customFormat="1" ht="15.75" customHeight="1">
      <c r="A7" s="474" t="s">
        <v>322</v>
      </c>
      <c r="B7" s="474"/>
      <c r="C7" s="192" t="s">
        <v>323</v>
      </c>
      <c r="D7" s="474" t="s">
        <v>12</v>
      </c>
      <c r="E7" s="482"/>
      <c r="F7" s="482"/>
      <c r="G7" s="192" t="s">
        <v>324</v>
      </c>
      <c r="H7" s="192" t="s">
        <v>325</v>
      </c>
      <c r="I7" s="192" t="s">
        <v>326</v>
      </c>
      <c r="J7" s="193" t="s">
        <v>13</v>
      </c>
      <c r="K7" s="474" t="s">
        <v>327</v>
      </c>
      <c r="L7" s="482"/>
      <c r="M7" s="188"/>
    </row>
    <row r="8" spans="1:13" ht="15.75" customHeight="1">
      <c r="A8" s="470">
        <v>1</v>
      </c>
      <c r="B8" s="474" t="s">
        <v>328</v>
      </c>
      <c r="C8" s="194">
        <v>1</v>
      </c>
      <c r="D8" s="475" t="s">
        <v>363</v>
      </c>
      <c r="E8" s="476"/>
      <c r="F8" s="477"/>
      <c r="G8" s="195">
        <v>12</v>
      </c>
      <c r="H8" s="200">
        <v>1928</v>
      </c>
      <c r="I8" s="201">
        <v>160.66666666666666</v>
      </c>
      <c r="J8" s="238">
        <v>1.0740947075208915</v>
      </c>
      <c r="K8" s="467"/>
      <c r="L8" s="466"/>
    </row>
    <row r="9" spans="1:13" ht="15.75" customHeight="1">
      <c r="A9" s="470"/>
      <c r="B9" s="474"/>
      <c r="C9" s="194">
        <v>2</v>
      </c>
      <c r="D9" s="475" t="s">
        <v>364</v>
      </c>
      <c r="E9" s="476"/>
      <c r="F9" s="477"/>
      <c r="G9" s="195">
        <v>13</v>
      </c>
      <c r="H9" s="200">
        <v>1996</v>
      </c>
      <c r="I9" s="201">
        <v>153.53846153846155</v>
      </c>
      <c r="J9" s="238">
        <v>1.0928004379961676</v>
      </c>
      <c r="K9" s="465"/>
      <c r="L9" s="466"/>
    </row>
    <row r="10" spans="1:13" ht="15.75" customHeight="1">
      <c r="A10" s="470"/>
      <c r="B10" s="474"/>
      <c r="C10" s="194">
        <v>3</v>
      </c>
      <c r="D10" s="475" t="s">
        <v>592</v>
      </c>
      <c r="E10" s="476"/>
      <c r="F10" s="477"/>
      <c r="G10" s="200">
        <v>13</v>
      </c>
      <c r="H10" s="200">
        <v>1828</v>
      </c>
      <c r="I10" s="201">
        <v>140.61538461538461</v>
      </c>
      <c r="J10" s="238">
        <v>1.0422246506166386</v>
      </c>
      <c r="K10" s="473"/>
      <c r="L10" s="466"/>
    </row>
    <row r="11" spans="1:13" ht="15.75" customHeight="1">
      <c r="A11" s="470"/>
      <c r="B11" s="474"/>
      <c r="C11" s="194">
        <v>4</v>
      </c>
      <c r="D11" s="478" t="s">
        <v>471</v>
      </c>
      <c r="E11" s="476"/>
      <c r="F11" s="477"/>
      <c r="G11" s="200">
        <v>14</v>
      </c>
      <c r="H11" s="200">
        <v>1686</v>
      </c>
      <c r="I11" s="201">
        <v>120.42857142857143</v>
      </c>
      <c r="J11" s="238">
        <v>1.0589713169097634</v>
      </c>
      <c r="K11" s="465"/>
      <c r="L11" s="466"/>
    </row>
    <row r="12" spans="1:13" ht="15.75" customHeight="1">
      <c r="A12" s="470"/>
      <c r="B12" s="474"/>
      <c r="C12" s="194">
        <v>5</v>
      </c>
      <c r="D12" s="479" t="s">
        <v>379</v>
      </c>
      <c r="E12" s="476"/>
      <c r="F12" s="477"/>
      <c r="G12" s="200">
        <v>16</v>
      </c>
      <c r="H12" s="200">
        <v>1627</v>
      </c>
      <c r="I12" s="201">
        <v>101.6875</v>
      </c>
      <c r="J12" s="238">
        <v>1.0300728078505856</v>
      </c>
      <c r="K12" s="465"/>
      <c r="L12" s="466"/>
    </row>
    <row r="13" spans="1:13" ht="15.75" customHeight="1">
      <c r="A13" s="470"/>
      <c r="B13" s="474"/>
      <c r="C13" s="196" t="s">
        <v>329</v>
      </c>
      <c r="D13" s="475" t="s">
        <v>380</v>
      </c>
      <c r="E13" s="476"/>
      <c r="F13" s="477"/>
      <c r="G13" s="200">
        <v>15</v>
      </c>
      <c r="H13" s="200">
        <v>1034</v>
      </c>
      <c r="I13" s="201">
        <v>68.900000000000006</v>
      </c>
      <c r="J13" s="238">
        <v>0.99399999999999999</v>
      </c>
      <c r="K13" s="473"/>
      <c r="L13" s="466"/>
    </row>
    <row r="14" spans="1:13" ht="15.75" customHeight="1">
      <c r="A14" s="470"/>
      <c r="B14" s="474"/>
      <c r="C14" s="196" t="s">
        <v>330</v>
      </c>
      <c r="D14" s="475" t="s">
        <v>475</v>
      </c>
      <c r="E14" s="476"/>
      <c r="F14" s="477"/>
      <c r="G14" s="195">
        <v>13</v>
      </c>
      <c r="H14" s="195">
        <v>1001</v>
      </c>
      <c r="I14" s="195">
        <v>77</v>
      </c>
      <c r="J14" s="238">
        <v>0.97399999999999998</v>
      </c>
      <c r="K14" s="473"/>
      <c r="L14" s="466"/>
    </row>
    <row r="15" spans="1:13" ht="15.75" customHeight="1">
      <c r="A15" s="470"/>
      <c r="B15" s="474"/>
      <c r="C15" s="196" t="s">
        <v>331</v>
      </c>
      <c r="D15" s="475" t="s">
        <v>365</v>
      </c>
      <c r="E15" s="476"/>
      <c r="F15" s="477"/>
      <c r="G15" s="195">
        <v>15</v>
      </c>
      <c r="H15" s="195">
        <v>1158</v>
      </c>
      <c r="I15" s="195">
        <v>77.2</v>
      </c>
      <c r="J15" s="238">
        <v>1.1140000000000001</v>
      </c>
      <c r="K15" s="473"/>
      <c r="L15" s="466"/>
    </row>
    <row r="16" spans="1:13" ht="15.75" customHeight="1">
      <c r="A16" s="470"/>
      <c r="B16" s="474"/>
      <c r="C16" s="196" t="s">
        <v>332</v>
      </c>
      <c r="D16" s="475" t="s">
        <v>474</v>
      </c>
      <c r="E16" s="476"/>
      <c r="F16" s="477"/>
      <c r="G16" s="195">
        <v>13</v>
      </c>
      <c r="H16" s="195">
        <v>1097</v>
      </c>
      <c r="I16" s="195">
        <v>84.4</v>
      </c>
      <c r="J16" s="238">
        <v>1.1100000000000001</v>
      </c>
      <c r="K16" s="473"/>
      <c r="L16" s="466"/>
      <c r="M16" s="161"/>
    </row>
    <row r="17" spans="1:13" ht="15.75" customHeight="1">
      <c r="A17" s="470"/>
      <c r="B17" s="474"/>
      <c r="C17" s="196" t="s">
        <v>333</v>
      </c>
      <c r="D17" s="475" t="s">
        <v>593</v>
      </c>
      <c r="E17" s="476"/>
      <c r="F17" s="477"/>
      <c r="G17" s="195">
        <v>17</v>
      </c>
      <c r="H17" s="195">
        <v>1443</v>
      </c>
      <c r="I17" s="201">
        <v>84.9</v>
      </c>
      <c r="J17" s="238">
        <v>1.006</v>
      </c>
      <c r="K17" s="473"/>
      <c r="L17" s="466"/>
      <c r="M17" s="161"/>
    </row>
    <row r="18" spans="1:13" s="199" customFormat="1" ht="15.75" customHeight="1">
      <c r="A18" s="468" t="s">
        <v>322</v>
      </c>
      <c r="B18" s="468"/>
      <c r="C18" s="197" t="s">
        <v>334</v>
      </c>
      <c r="D18" s="468" t="s">
        <v>12</v>
      </c>
      <c r="E18" s="469"/>
      <c r="F18" s="469"/>
      <c r="G18" s="197" t="s">
        <v>324</v>
      </c>
      <c r="H18" s="197" t="s">
        <v>335</v>
      </c>
      <c r="I18" s="197" t="s">
        <v>326</v>
      </c>
      <c r="J18" s="198" t="s">
        <v>13</v>
      </c>
      <c r="K18" s="468" t="s">
        <v>327</v>
      </c>
      <c r="L18" s="469"/>
      <c r="M18" s="191"/>
    </row>
    <row r="19" spans="1:13" ht="15.75" customHeight="1">
      <c r="A19" s="470">
        <v>2</v>
      </c>
      <c r="B19" s="474" t="s">
        <v>336</v>
      </c>
      <c r="C19" s="194">
        <v>1</v>
      </c>
      <c r="D19" s="467"/>
      <c r="E19" s="466"/>
      <c r="F19" s="466"/>
      <c r="G19" s="195"/>
      <c r="H19" s="195"/>
      <c r="I19" s="195"/>
      <c r="J19" s="195"/>
      <c r="K19" s="467"/>
      <c r="L19" s="466"/>
      <c r="M19" s="161"/>
    </row>
    <row r="20" spans="1:13" ht="15.75" customHeight="1">
      <c r="A20" s="470"/>
      <c r="B20" s="474"/>
      <c r="C20" s="194">
        <v>2</v>
      </c>
      <c r="D20" s="465"/>
      <c r="E20" s="466"/>
      <c r="F20" s="466"/>
      <c r="G20" s="195"/>
      <c r="H20" s="195"/>
      <c r="I20" s="195"/>
      <c r="J20" s="195"/>
      <c r="K20" s="465"/>
      <c r="L20" s="466"/>
      <c r="M20" s="161"/>
    </row>
    <row r="21" spans="1:13" ht="15.75" customHeight="1">
      <c r="A21" s="470"/>
      <c r="B21" s="474"/>
      <c r="C21" s="194">
        <v>3</v>
      </c>
      <c r="D21" s="465"/>
      <c r="E21" s="466"/>
      <c r="F21" s="466"/>
      <c r="G21" s="195"/>
      <c r="H21" s="195"/>
      <c r="I21" s="195"/>
      <c r="J21" s="195"/>
      <c r="K21" s="465"/>
      <c r="L21" s="466"/>
      <c r="M21" s="161"/>
    </row>
    <row r="22" spans="1:13" ht="15.75" customHeight="1">
      <c r="A22" s="470"/>
      <c r="B22" s="474"/>
      <c r="C22" s="194">
        <v>4</v>
      </c>
      <c r="D22" s="465"/>
      <c r="E22" s="466"/>
      <c r="F22" s="466"/>
      <c r="G22" s="195"/>
      <c r="H22" s="195"/>
      <c r="I22" s="195"/>
      <c r="J22" s="195"/>
      <c r="K22" s="465"/>
      <c r="L22" s="466"/>
      <c r="M22" s="161"/>
    </row>
    <row r="23" spans="1:13" ht="15.75" customHeight="1">
      <c r="A23" s="470"/>
      <c r="B23" s="474"/>
      <c r="C23" s="194">
        <v>5</v>
      </c>
      <c r="D23" s="465"/>
      <c r="E23" s="466"/>
      <c r="F23" s="466"/>
      <c r="G23" s="195"/>
      <c r="H23" s="195"/>
      <c r="I23" s="195"/>
      <c r="J23" s="195"/>
      <c r="K23" s="465"/>
      <c r="L23" s="466"/>
      <c r="M23" s="161"/>
    </row>
    <row r="24" spans="1:13" ht="15.75" customHeight="1">
      <c r="A24" s="470"/>
      <c r="B24" s="474"/>
      <c r="C24" s="196" t="s">
        <v>329</v>
      </c>
      <c r="D24" s="467"/>
      <c r="E24" s="466"/>
      <c r="F24" s="466"/>
      <c r="G24" s="195"/>
      <c r="H24" s="195"/>
      <c r="I24" s="195"/>
      <c r="J24" s="195"/>
      <c r="K24" s="467"/>
      <c r="L24" s="466"/>
      <c r="M24" s="161"/>
    </row>
    <row r="25" spans="1:13" ht="15.75" customHeight="1">
      <c r="A25" s="470"/>
      <c r="B25" s="474"/>
      <c r="C25" s="196" t="s">
        <v>330</v>
      </c>
      <c r="D25" s="465"/>
      <c r="E25" s="466"/>
      <c r="F25" s="466"/>
      <c r="G25" s="195"/>
      <c r="H25" s="195"/>
      <c r="I25" s="195"/>
      <c r="J25" s="195"/>
      <c r="K25" s="465"/>
      <c r="L25" s="466"/>
      <c r="M25" s="161"/>
    </row>
    <row r="26" spans="1:13" ht="15.75" customHeight="1">
      <c r="A26" s="470"/>
      <c r="B26" s="474"/>
      <c r="C26" s="196" t="s">
        <v>331</v>
      </c>
      <c r="D26" s="465"/>
      <c r="E26" s="466"/>
      <c r="F26" s="466"/>
      <c r="G26" s="195"/>
      <c r="H26" s="195"/>
      <c r="I26" s="195"/>
      <c r="J26" s="195"/>
      <c r="K26" s="465"/>
      <c r="L26" s="466"/>
      <c r="M26" s="161"/>
    </row>
    <row r="27" spans="1:13" ht="15.75" customHeight="1">
      <c r="A27" s="470"/>
      <c r="B27" s="474"/>
      <c r="C27" s="196" t="s">
        <v>332</v>
      </c>
      <c r="D27" s="465"/>
      <c r="E27" s="466"/>
      <c r="F27" s="466"/>
      <c r="G27" s="195"/>
      <c r="H27" s="195"/>
      <c r="I27" s="195"/>
      <c r="J27" s="195"/>
      <c r="K27" s="465"/>
      <c r="L27" s="466"/>
      <c r="M27" s="161"/>
    </row>
    <row r="28" spans="1:13" ht="15.75" customHeight="1">
      <c r="A28" s="470"/>
      <c r="B28" s="474"/>
      <c r="C28" s="196" t="s">
        <v>333</v>
      </c>
      <c r="D28" s="465"/>
      <c r="E28" s="466"/>
      <c r="F28" s="466"/>
      <c r="G28" s="195"/>
      <c r="H28" s="195"/>
      <c r="I28" s="195"/>
      <c r="J28" s="195"/>
      <c r="K28" s="465"/>
      <c r="L28" s="466"/>
      <c r="M28" s="161"/>
    </row>
    <row r="29" spans="1:13" ht="15.75" customHeight="1">
      <c r="A29" s="468" t="s">
        <v>322</v>
      </c>
      <c r="B29" s="468"/>
      <c r="C29" s="197" t="s">
        <v>323</v>
      </c>
      <c r="D29" s="468" t="s">
        <v>12</v>
      </c>
      <c r="E29" s="469"/>
      <c r="F29" s="469"/>
      <c r="G29" s="197" t="s">
        <v>324</v>
      </c>
      <c r="H29" s="197" t="s">
        <v>325</v>
      </c>
      <c r="I29" s="197" t="s">
        <v>326</v>
      </c>
      <c r="J29" s="198" t="s">
        <v>13</v>
      </c>
      <c r="K29" s="468" t="s">
        <v>327</v>
      </c>
      <c r="L29" s="469"/>
    </row>
    <row r="30" spans="1:13" ht="15.75" customHeight="1">
      <c r="A30" s="470">
        <v>3</v>
      </c>
      <c r="B30" s="471" t="s">
        <v>337</v>
      </c>
      <c r="C30" s="194">
        <v>1</v>
      </c>
      <c r="D30" s="467" t="s">
        <v>366</v>
      </c>
      <c r="E30" s="466"/>
      <c r="F30" s="466"/>
      <c r="G30" s="200">
        <v>13</v>
      </c>
      <c r="H30" s="201">
        <v>1456</v>
      </c>
      <c r="I30" s="201">
        <v>112</v>
      </c>
      <c r="J30" s="238">
        <v>0.99299999999999999</v>
      </c>
      <c r="K30" s="472"/>
      <c r="L30" s="466"/>
    </row>
    <row r="31" spans="1:13" ht="15.75" customHeight="1">
      <c r="A31" s="470"/>
      <c r="B31" s="471"/>
      <c r="C31" s="194">
        <v>2</v>
      </c>
      <c r="D31" s="473" t="s">
        <v>378</v>
      </c>
      <c r="E31" s="466"/>
      <c r="F31" s="466"/>
      <c r="G31" s="200">
        <v>12</v>
      </c>
      <c r="H31" s="201">
        <v>1331</v>
      </c>
      <c r="I31" s="201">
        <v>110.9</v>
      </c>
      <c r="J31" s="238">
        <v>0.98199999999999998</v>
      </c>
      <c r="K31" s="467"/>
      <c r="L31" s="466"/>
    </row>
    <row r="32" spans="1:13" ht="15.75" customHeight="1">
      <c r="A32" s="470"/>
      <c r="B32" s="471"/>
      <c r="C32" s="194">
        <v>3</v>
      </c>
      <c r="D32" s="465" t="s">
        <v>470</v>
      </c>
      <c r="E32" s="466"/>
      <c r="F32" s="466"/>
      <c r="G32" s="200">
        <v>12</v>
      </c>
      <c r="H32" s="201">
        <v>1321</v>
      </c>
      <c r="I32" s="201">
        <v>110</v>
      </c>
      <c r="J32" s="238">
        <v>1.0009999999999999</v>
      </c>
      <c r="K32" s="472"/>
      <c r="L32" s="466"/>
    </row>
    <row r="33" spans="1:12" ht="15.75" customHeight="1">
      <c r="A33" s="470"/>
      <c r="B33" s="471"/>
      <c r="C33" s="194">
        <v>4</v>
      </c>
      <c r="D33" s="465"/>
      <c r="E33" s="466"/>
      <c r="F33" s="466"/>
      <c r="G33" s="195"/>
      <c r="H33" s="195"/>
      <c r="I33" s="195"/>
      <c r="J33" s="195"/>
      <c r="K33" s="465"/>
      <c r="L33" s="466"/>
    </row>
    <row r="34" spans="1:12" ht="15.75" customHeight="1">
      <c r="A34" s="470"/>
      <c r="B34" s="471"/>
      <c r="C34" s="194">
        <v>5</v>
      </c>
      <c r="D34" s="465"/>
      <c r="E34" s="466"/>
      <c r="F34" s="466"/>
      <c r="G34" s="195"/>
      <c r="H34" s="195"/>
      <c r="I34" s="195"/>
      <c r="J34" s="195"/>
      <c r="K34" s="465"/>
      <c r="L34" s="466"/>
    </row>
    <row r="35" spans="1:12" ht="15.75" customHeight="1">
      <c r="A35" s="470"/>
      <c r="B35" s="471"/>
      <c r="C35" s="196" t="s">
        <v>329</v>
      </c>
      <c r="D35" s="467"/>
      <c r="E35" s="466"/>
      <c r="F35" s="466"/>
      <c r="G35" s="195"/>
      <c r="H35" s="195"/>
      <c r="I35" s="195"/>
      <c r="J35" s="195"/>
      <c r="K35" s="467"/>
      <c r="L35" s="466"/>
    </row>
    <row r="36" spans="1:12" ht="15.75" customHeight="1">
      <c r="A36" s="470"/>
      <c r="B36" s="471"/>
      <c r="C36" s="196" t="s">
        <v>330</v>
      </c>
      <c r="D36" s="465"/>
      <c r="E36" s="466"/>
      <c r="F36" s="466"/>
      <c r="G36" s="195"/>
      <c r="H36" s="195"/>
      <c r="I36" s="195"/>
      <c r="J36" s="195"/>
      <c r="K36" s="465"/>
      <c r="L36" s="466"/>
    </row>
    <row r="37" spans="1:12" ht="15.75" customHeight="1">
      <c r="A37" s="470"/>
      <c r="B37" s="471"/>
      <c r="C37" s="196" t="s">
        <v>331</v>
      </c>
      <c r="D37" s="465"/>
      <c r="E37" s="466"/>
      <c r="F37" s="466"/>
      <c r="G37" s="195"/>
      <c r="H37" s="195"/>
      <c r="I37" s="195"/>
      <c r="J37" s="195"/>
      <c r="K37" s="465"/>
      <c r="L37" s="466"/>
    </row>
    <row r="38" spans="1:12" ht="15.75" customHeight="1">
      <c r="A38" s="470"/>
      <c r="B38" s="471"/>
      <c r="C38" s="196" t="s">
        <v>332</v>
      </c>
      <c r="D38" s="465"/>
      <c r="E38" s="466"/>
      <c r="F38" s="466"/>
      <c r="G38" s="195"/>
      <c r="H38" s="195"/>
      <c r="I38" s="195"/>
      <c r="J38" s="195"/>
      <c r="K38" s="465"/>
      <c r="L38" s="466"/>
    </row>
    <row r="39" spans="1:12" ht="15.75" customHeight="1">
      <c r="A39" s="470"/>
      <c r="B39" s="471"/>
      <c r="C39" s="196" t="s">
        <v>333</v>
      </c>
      <c r="D39" s="465"/>
      <c r="E39" s="466"/>
      <c r="F39" s="466"/>
      <c r="G39" s="195"/>
      <c r="H39" s="195"/>
      <c r="I39" s="195"/>
      <c r="J39" s="195"/>
      <c r="K39" s="465"/>
      <c r="L39" s="466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G16" sqref="G16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384" width="12.5703125" style="161"/>
  </cols>
  <sheetData>
    <row r="1" spans="1:13" ht="15.75" customHeight="1">
      <c r="A1" s="358" t="s">
        <v>211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</row>
    <row r="2" spans="1:13" s="162" customFormat="1" ht="15.75" customHeight="1">
      <c r="A2" s="358"/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</row>
    <row r="3" spans="1:13" ht="15.75" customHeight="1">
      <c r="A3" s="480" t="s">
        <v>212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</row>
    <row r="4" spans="1:13" s="162" customFormat="1" ht="15.75" customHeight="1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</row>
    <row r="5" spans="1:13" ht="15.75" customHeight="1">
      <c r="A5" s="163" t="s">
        <v>213</v>
      </c>
      <c r="B5" s="164">
        <v>15660761</v>
      </c>
    </row>
    <row r="6" spans="1:13" ht="15.75" customHeight="1">
      <c r="A6" s="486" t="s">
        <v>214</v>
      </c>
      <c r="B6" s="487" t="s">
        <v>10</v>
      </c>
      <c r="C6" s="487"/>
      <c r="D6" s="488"/>
      <c r="E6" s="486" t="s">
        <v>214</v>
      </c>
      <c r="F6" s="470">
        <v>1</v>
      </c>
      <c r="G6" s="470"/>
      <c r="H6" s="470">
        <v>2</v>
      </c>
      <c r="I6" s="470"/>
      <c r="J6" s="470">
        <v>3</v>
      </c>
      <c r="K6" s="470"/>
      <c r="L6" s="470">
        <v>4</v>
      </c>
      <c r="M6" s="470"/>
    </row>
    <row r="7" spans="1:13" ht="31.35" customHeight="1">
      <c r="A7" s="486"/>
      <c r="B7" s="487"/>
      <c r="C7" s="487"/>
      <c r="D7" s="489"/>
      <c r="E7" s="486"/>
      <c r="F7" s="483" t="s">
        <v>235</v>
      </c>
      <c r="G7" s="483"/>
      <c r="H7" s="483" t="s">
        <v>215</v>
      </c>
      <c r="I7" s="483"/>
      <c r="J7" s="483" t="s">
        <v>216</v>
      </c>
      <c r="K7" s="483"/>
      <c r="L7" s="485" t="s">
        <v>478</v>
      </c>
      <c r="M7" s="483"/>
    </row>
    <row r="8" spans="1:13" ht="15.75" customHeight="1">
      <c r="A8" s="486"/>
      <c r="B8" s="184" t="s">
        <v>11</v>
      </c>
      <c r="C8" s="184" t="s">
        <v>217</v>
      </c>
      <c r="D8" s="489"/>
      <c r="E8" s="486"/>
      <c r="F8" s="184" t="s">
        <v>11</v>
      </c>
      <c r="G8" s="184" t="s">
        <v>217</v>
      </c>
      <c r="H8" s="184" t="s">
        <v>11</v>
      </c>
      <c r="I8" s="184" t="s">
        <v>217</v>
      </c>
      <c r="J8" s="184" t="s">
        <v>11</v>
      </c>
      <c r="K8" s="184" t="s">
        <v>217</v>
      </c>
      <c r="L8" s="184" t="s">
        <v>11</v>
      </c>
      <c r="M8" s="184" t="s">
        <v>217</v>
      </c>
    </row>
    <row r="9" spans="1:13" ht="19.350000000000001" customHeight="1">
      <c r="A9" s="165" t="s">
        <v>218</v>
      </c>
      <c r="B9" s="166">
        <v>47024</v>
      </c>
      <c r="C9" s="167">
        <f>B9/$B$5</f>
        <v>3.0026637913700364E-3</v>
      </c>
      <c r="D9" s="489"/>
      <c r="E9" s="165" t="s">
        <v>218</v>
      </c>
      <c r="F9" s="168"/>
      <c r="G9" s="169"/>
      <c r="H9" s="168">
        <v>66</v>
      </c>
      <c r="I9" s="169">
        <f>H9/B9</f>
        <v>1.4035386185777476E-3</v>
      </c>
      <c r="J9" s="168"/>
      <c r="K9" s="169"/>
      <c r="L9" s="168">
        <v>656</v>
      </c>
      <c r="M9" s="169">
        <f>L9/B9</f>
        <v>1.3950323239197007E-2</v>
      </c>
    </row>
    <row r="10" spans="1:13" ht="19.350000000000001" customHeight="1">
      <c r="A10" s="170" t="s">
        <v>219</v>
      </c>
      <c r="B10" s="171">
        <v>59967</v>
      </c>
      <c r="C10" s="167">
        <f>B10/$B$5</f>
        <v>3.829124267971397E-3</v>
      </c>
      <c r="D10" s="489"/>
      <c r="E10" s="170" t="s">
        <v>219</v>
      </c>
      <c r="F10" s="168"/>
      <c r="G10" s="169"/>
      <c r="H10" s="168"/>
      <c r="I10" s="169"/>
      <c r="J10" s="168"/>
      <c r="K10" s="169"/>
      <c r="L10" s="168">
        <v>35138</v>
      </c>
      <c r="M10" s="169">
        <f>L10/B10</f>
        <v>0.58595560891823839</v>
      </c>
    </row>
    <row r="11" spans="1:13" ht="15.75" customHeight="1">
      <c r="D11" s="489"/>
      <c r="E11" s="486" t="s">
        <v>214</v>
      </c>
      <c r="F11" s="470">
        <v>5</v>
      </c>
      <c r="G11" s="470"/>
      <c r="H11" s="470">
        <v>6</v>
      </c>
      <c r="I11" s="470"/>
      <c r="J11" s="470">
        <v>7</v>
      </c>
      <c r="K11" s="470"/>
      <c r="L11" s="490">
        <v>8</v>
      </c>
      <c r="M11" s="490"/>
    </row>
    <row r="12" spans="1:13" ht="31.35" customHeight="1">
      <c r="D12" s="489"/>
      <c r="E12" s="486"/>
      <c r="F12" s="483" t="s">
        <v>220</v>
      </c>
      <c r="G12" s="483"/>
      <c r="H12" s="483" t="s">
        <v>221</v>
      </c>
      <c r="I12" s="483"/>
      <c r="J12" s="483" t="s">
        <v>222</v>
      </c>
      <c r="K12" s="483"/>
      <c r="L12" s="484" t="s">
        <v>223</v>
      </c>
      <c r="M12" s="484"/>
    </row>
    <row r="13" spans="1:13" ht="15.75" customHeight="1">
      <c r="D13" s="489"/>
      <c r="E13" s="486"/>
      <c r="F13" s="184" t="s">
        <v>11</v>
      </c>
      <c r="G13" s="184" t="s">
        <v>217</v>
      </c>
      <c r="H13" s="184" t="s">
        <v>11</v>
      </c>
      <c r="I13" s="184" t="s">
        <v>217</v>
      </c>
      <c r="J13" s="184" t="s">
        <v>11</v>
      </c>
      <c r="K13" s="184" t="s">
        <v>217</v>
      </c>
      <c r="L13" s="184" t="s">
        <v>11</v>
      </c>
      <c r="M13" s="184" t="s">
        <v>217</v>
      </c>
    </row>
    <row r="14" spans="1:13" ht="19.350000000000001" customHeight="1">
      <c r="D14" s="489"/>
      <c r="E14" s="165" t="s">
        <v>218</v>
      </c>
      <c r="F14" s="168">
        <v>900</v>
      </c>
      <c r="G14" s="169">
        <f>F14/B9</f>
        <v>1.9139162980605647E-2</v>
      </c>
      <c r="H14" s="168">
        <v>291.70999999999998</v>
      </c>
      <c r="I14" s="169">
        <f>H14/B9</f>
        <v>6.2034280367471925E-3</v>
      </c>
      <c r="J14" s="168">
        <v>34149</v>
      </c>
      <c r="K14" s="169">
        <f>J14/B9</f>
        <v>0.72620364069411369</v>
      </c>
      <c r="L14" s="168"/>
      <c r="M14" s="169"/>
    </row>
    <row r="15" spans="1:13" ht="19.350000000000001" customHeight="1">
      <c r="D15" s="489"/>
      <c r="E15" s="170" t="s">
        <v>219</v>
      </c>
      <c r="F15" s="168">
        <v>19807</v>
      </c>
      <c r="G15" s="169">
        <f>F15/B10</f>
        <v>0.33029833074857839</v>
      </c>
      <c r="H15" s="168">
        <v>1559</v>
      </c>
      <c r="I15" s="169">
        <f>H15/B10</f>
        <v>2.5997632030950357E-2</v>
      </c>
      <c r="J15" s="168"/>
      <c r="K15" s="169"/>
      <c r="L15" s="168"/>
      <c r="M15" s="169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15" t="s">
        <v>197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23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ht="15.75" customHeight="1">
      <c r="A3" s="516" t="s">
        <v>198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</row>
    <row r="4" spans="1:17" s="123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</row>
    <row r="5" spans="1:17" ht="15.75" customHeight="1">
      <c r="A5" s="399" t="s">
        <v>191</v>
      </c>
      <c r="B5" s="518">
        <v>1</v>
      </c>
      <c r="C5" s="518"/>
      <c r="D5" s="518">
        <v>2</v>
      </c>
      <c r="E5" s="518"/>
      <c r="F5" s="518">
        <v>3</v>
      </c>
      <c r="G5" s="518"/>
      <c r="H5" s="498">
        <v>4</v>
      </c>
      <c r="I5" s="498"/>
      <c r="J5" s="498">
        <v>5</v>
      </c>
      <c r="K5" s="498"/>
      <c r="L5" s="498">
        <v>6</v>
      </c>
      <c r="M5" s="498"/>
      <c r="N5" s="498">
        <v>7</v>
      </c>
      <c r="O5" s="498"/>
      <c r="P5" s="498">
        <v>8</v>
      </c>
      <c r="Q5" s="498"/>
    </row>
    <row r="6" spans="1:17" ht="15.75" customHeight="1">
      <c r="A6" s="399"/>
      <c r="B6" s="519" t="s">
        <v>310</v>
      </c>
      <c r="C6" s="519"/>
      <c r="D6" s="519" t="s">
        <v>199</v>
      </c>
      <c r="E6" s="519"/>
      <c r="F6" s="519" t="s">
        <v>167</v>
      </c>
      <c r="G6" s="519"/>
      <c r="H6" s="514" t="s">
        <v>479</v>
      </c>
      <c r="I6" s="399"/>
      <c r="J6" s="399" t="s">
        <v>189</v>
      </c>
      <c r="K6" s="399"/>
      <c r="L6" s="399" t="s">
        <v>168</v>
      </c>
      <c r="M6" s="399"/>
      <c r="N6" s="399" t="s">
        <v>190</v>
      </c>
      <c r="O6" s="399"/>
      <c r="P6" s="514" t="s">
        <v>203</v>
      </c>
      <c r="Q6" s="399"/>
    </row>
    <row r="8" spans="1:17" s="124" customFormat="1" ht="15.75" customHeight="1">
      <c r="A8" s="498" t="s">
        <v>192</v>
      </c>
      <c r="B8" s="498"/>
      <c r="C8" s="130" t="s">
        <v>46</v>
      </c>
      <c r="D8" s="506" t="s">
        <v>12</v>
      </c>
      <c r="E8" s="507"/>
      <c r="F8" s="508"/>
      <c r="G8" s="131" t="s">
        <v>52</v>
      </c>
      <c r="H8" s="132"/>
      <c r="I8" s="130"/>
      <c r="J8" s="133" t="s">
        <v>53</v>
      </c>
      <c r="K8" s="133" t="s">
        <v>54</v>
      </c>
      <c r="L8" s="133" t="s">
        <v>55</v>
      </c>
      <c r="M8" s="133" t="s">
        <v>11</v>
      </c>
      <c r="N8" s="133" t="s">
        <v>316</v>
      </c>
      <c r="O8" s="509" t="s">
        <v>50</v>
      </c>
      <c r="P8" s="510"/>
    </row>
    <row r="9" spans="1:17" ht="15.75" customHeight="1">
      <c r="A9" s="498">
        <v>1</v>
      </c>
      <c r="B9" s="499" t="s">
        <v>311</v>
      </c>
      <c r="C9" s="134">
        <v>1</v>
      </c>
      <c r="D9" s="500"/>
      <c r="E9" s="501"/>
      <c r="F9" s="502"/>
      <c r="G9" s="500"/>
      <c r="H9" s="501"/>
      <c r="I9" s="502"/>
      <c r="J9" s="135"/>
      <c r="K9" s="136"/>
      <c r="L9" s="135"/>
      <c r="M9" s="202">
        <f t="shared" ref="M9:M11" si="0">L9*J9</f>
        <v>0</v>
      </c>
      <c r="N9" s="135"/>
      <c r="O9" s="511"/>
      <c r="P9" s="513"/>
    </row>
    <row r="10" spans="1:17" ht="15.75" customHeight="1">
      <c r="A10" s="498"/>
      <c r="B10" s="499"/>
      <c r="C10" s="134">
        <v>2</v>
      </c>
      <c r="D10" s="500"/>
      <c r="E10" s="501"/>
      <c r="F10" s="502"/>
      <c r="G10" s="500"/>
      <c r="H10" s="501"/>
      <c r="I10" s="502"/>
      <c r="J10" s="135"/>
      <c r="K10" s="136"/>
      <c r="L10" s="135"/>
      <c r="M10" s="202">
        <f t="shared" si="0"/>
        <v>0</v>
      </c>
      <c r="N10" s="135"/>
      <c r="O10" s="511"/>
      <c r="P10" s="513"/>
    </row>
    <row r="11" spans="1:17" ht="15.75" customHeight="1">
      <c r="A11" s="498"/>
      <c r="B11" s="499"/>
      <c r="C11" s="134">
        <v>3</v>
      </c>
      <c r="D11" s="511"/>
      <c r="E11" s="501"/>
      <c r="F11" s="502"/>
      <c r="G11" s="500"/>
      <c r="H11" s="501"/>
      <c r="I11" s="502"/>
      <c r="J11" s="135"/>
      <c r="K11" s="136"/>
      <c r="L11" s="135"/>
      <c r="M11" s="202">
        <f t="shared" si="0"/>
        <v>0</v>
      </c>
      <c r="N11" s="135"/>
      <c r="O11" s="511"/>
      <c r="P11" s="513"/>
    </row>
    <row r="12" spans="1:17" ht="15.75" customHeight="1">
      <c r="A12" s="498"/>
      <c r="B12" s="499"/>
      <c r="C12" s="134">
        <v>4</v>
      </c>
      <c r="D12" s="500"/>
      <c r="E12" s="501"/>
      <c r="F12" s="502"/>
      <c r="G12" s="500"/>
      <c r="H12" s="501"/>
      <c r="I12" s="502"/>
      <c r="J12" s="135"/>
      <c r="K12" s="136"/>
      <c r="L12" s="135"/>
      <c r="M12" s="202">
        <f t="shared" ref="M12:M13" si="1">L12*J12</f>
        <v>0</v>
      </c>
      <c r="N12" s="135"/>
      <c r="O12" s="138"/>
      <c r="P12" s="139"/>
    </row>
    <row r="13" spans="1:17" ht="15.75" customHeight="1" thickBot="1">
      <c r="A13" s="498"/>
      <c r="B13" s="499"/>
      <c r="C13" s="140">
        <v>5</v>
      </c>
      <c r="D13" s="503"/>
      <c r="E13" s="504"/>
      <c r="F13" s="505"/>
      <c r="G13" s="503"/>
      <c r="H13" s="504"/>
      <c r="I13" s="505"/>
      <c r="J13" s="141"/>
      <c r="K13" s="142"/>
      <c r="L13" s="141"/>
      <c r="M13" s="203">
        <f t="shared" si="1"/>
        <v>0</v>
      </c>
      <c r="N13" s="135"/>
      <c r="O13" s="144"/>
      <c r="P13" s="145"/>
    </row>
    <row r="14" spans="1:17" ht="15.75" customHeight="1" thickTop="1" thickBot="1">
      <c r="A14" s="498"/>
      <c r="B14" s="499"/>
      <c r="C14" s="493"/>
      <c r="D14" s="493"/>
      <c r="E14" s="493"/>
      <c r="F14" s="493"/>
      <c r="G14" s="493"/>
      <c r="H14" s="493"/>
      <c r="I14" s="494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495"/>
      <c r="O14" s="496"/>
      <c r="P14" s="497"/>
    </row>
    <row r="15" spans="1:17" ht="15.75" customHeight="1" thickTop="1"/>
    <row r="16" spans="1:17" ht="15.75" customHeight="1">
      <c r="A16" s="498" t="s">
        <v>192</v>
      </c>
      <c r="B16" s="498"/>
      <c r="C16" s="130" t="s">
        <v>46</v>
      </c>
      <c r="D16" s="506" t="s">
        <v>12</v>
      </c>
      <c r="E16" s="507"/>
      <c r="F16" s="508"/>
      <c r="G16" s="131" t="s">
        <v>52</v>
      </c>
      <c r="H16" s="132"/>
      <c r="I16" s="130"/>
      <c r="J16" s="133" t="s">
        <v>53</v>
      </c>
      <c r="K16" s="133" t="s">
        <v>54</v>
      </c>
      <c r="L16" s="133" t="s">
        <v>55</v>
      </c>
      <c r="M16" s="133" t="s">
        <v>11</v>
      </c>
      <c r="N16" s="133" t="s">
        <v>316</v>
      </c>
      <c r="O16" s="509" t="s">
        <v>50</v>
      </c>
      <c r="P16" s="510"/>
    </row>
    <row r="17" spans="1:16" ht="15.75" customHeight="1">
      <c r="A17" s="498">
        <v>2</v>
      </c>
      <c r="B17" s="499" t="s">
        <v>200</v>
      </c>
      <c r="C17" s="134">
        <v>1</v>
      </c>
      <c r="D17" s="511" t="s">
        <v>474</v>
      </c>
      <c r="E17" s="501"/>
      <c r="F17" s="502"/>
      <c r="G17" s="500" t="s">
        <v>613</v>
      </c>
      <c r="H17" s="501"/>
      <c r="I17" s="502"/>
      <c r="J17" s="135">
        <v>150.19999999999999</v>
      </c>
      <c r="K17" s="136">
        <v>2.1000000000000001E-2</v>
      </c>
      <c r="L17" s="135">
        <v>0.44</v>
      </c>
      <c r="M17" s="202">
        <f>J17*L17</f>
        <v>66.087999999999994</v>
      </c>
      <c r="N17" s="240"/>
      <c r="O17" s="491" t="s">
        <v>614</v>
      </c>
      <c r="P17" s="492"/>
    </row>
    <row r="18" spans="1:16" ht="15.75" customHeight="1">
      <c r="A18" s="498"/>
      <c r="B18" s="499"/>
      <c r="C18" s="134">
        <v>2</v>
      </c>
      <c r="D18" s="511"/>
      <c r="E18" s="501"/>
      <c r="F18" s="502"/>
      <c r="G18" s="511"/>
      <c r="H18" s="501"/>
      <c r="I18" s="502"/>
      <c r="J18" s="135"/>
      <c r="K18" s="136"/>
      <c r="L18" s="135"/>
      <c r="M18" s="202"/>
      <c r="N18" s="240"/>
      <c r="O18" s="491"/>
      <c r="P18" s="492"/>
    </row>
    <row r="19" spans="1:16" ht="15.75" customHeight="1">
      <c r="A19" s="498"/>
      <c r="B19" s="499"/>
      <c r="C19" s="134">
        <v>3</v>
      </c>
      <c r="D19" s="512"/>
      <c r="E19" s="501"/>
      <c r="F19" s="502"/>
      <c r="G19" s="500"/>
      <c r="H19" s="501"/>
      <c r="I19" s="502"/>
      <c r="J19" s="135"/>
      <c r="K19" s="136"/>
      <c r="L19" s="135"/>
      <c r="M19" s="202"/>
      <c r="N19" s="240"/>
      <c r="O19" s="491"/>
      <c r="P19" s="492"/>
    </row>
    <row r="20" spans="1:16" ht="15.75" customHeight="1">
      <c r="A20" s="498"/>
      <c r="B20" s="499"/>
      <c r="C20" s="134">
        <v>4</v>
      </c>
      <c r="D20" s="512"/>
      <c r="E20" s="501"/>
      <c r="F20" s="502"/>
      <c r="G20" s="500"/>
      <c r="H20" s="501"/>
      <c r="I20" s="502"/>
      <c r="J20" s="135"/>
      <c r="K20" s="136"/>
      <c r="L20" s="135"/>
      <c r="M20" s="202"/>
      <c r="N20" s="240"/>
      <c r="O20" s="491"/>
      <c r="P20" s="492"/>
    </row>
    <row r="21" spans="1:16" ht="15.75" customHeight="1" thickBot="1">
      <c r="A21" s="498"/>
      <c r="B21" s="499"/>
      <c r="C21" s="140">
        <v>5</v>
      </c>
      <c r="D21" s="500"/>
      <c r="E21" s="501"/>
      <c r="F21" s="502"/>
      <c r="G21" s="500"/>
      <c r="H21" s="501"/>
      <c r="I21" s="502"/>
      <c r="J21" s="135"/>
      <c r="K21" s="136"/>
      <c r="L21" s="135"/>
      <c r="M21" s="202"/>
      <c r="N21" s="240"/>
      <c r="O21" s="491"/>
      <c r="P21" s="492"/>
    </row>
    <row r="22" spans="1:16" ht="15.75" customHeight="1" thickTop="1" thickBot="1">
      <c r="A22" s="498"/>
      <c r="B22" s="499"/>
      <c r="C22" s="493"/>
      <c r="D22" s="493"/>
      <c r="E22" s="493"/>
      <c r="F22" s="493"/>
      <c r="G22" s="493"/>
      <c r="H22" s="493"/>
      <c r="I22" s="494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66.087999999999994</v>
      </c>
      <c r="N22" s="495"/>
      <c r="O22" s="496"/>
      <c r="P22" s="497"/>
    </row>
    <row r="23" spans="1:16" ht="15.75" customHeight="1" thickTop="1"/>
    <row r="24" spans="1:16" ht="15.75" customHeight="1">
      <c r="A24" s="498" t="s">
        <v>192</v>
      </c>
      <c r="B24" s="498"/>
      <c r="C24" s="130" t="s">
        <v>46</v>
      </c>
      <c r="D24" s="506" t="s">
        <v>12</v>
      </c>
      <c r="E24" s="507"/>
      <c r="F24" s="508"/>
      <c r="G24" s="131" t="s">
        <v>52</v>
      </c>
      <c r="H24" s="132"/>
      <c r="I24" s="130"/>
      <c r="J24" s="133" t="s">
        <v>53</v>
      </c>
      <c r="K24" s="133" t="s">
        <v>54</v>
      </c>
      <c r="L24" s="133" t="s">
        <v>55</v>
      </c>
      <c r="M24" s="133" t="s">
        <v>11</v>
      </c>
      <c r="N24" s="133" t="s">
        <v>13</v>
      </c>
      <c r="O24" s="509" t="s">
        <v>50</v>
      </c>
      <c r="P24" s="510"/>
    </row>
    <row r="25" spans="1:16" ht="15.75" customHeight="1">
      <c r="A25" s="498">
        <v>3</v>
      </c>
      <c r="B25" s="499" t="s">
        <v>193</v>
      </c>
      <c r="C25" s="134">
        <v>1</v>
      </c>
      <c r="D25" s="500"/>
      <c r="E25" s="501"/>
      <c r="F25" s="502"/>
      <c r="G25" s="500"/>
      <c r="H25" s="501"/>
      <c r="I25" s="502"/>
      <c r="J25" s="135"/>
      <c r="K25" s="136"/>
      <c r="L25" s="135"/>
      <c r="M25" s="137">
        <f t="shared" ref="M25:M29" si="2">L25*J25</f>
        <v>0</v>
      </c>
      <c r="N25" s="135"/>
      <c r="O25" s="138"/>
      <c r="P25" s="139"/>
    </row>
    <row r="26" spans="1:16" ht="15.75" customHeight="1">
      <c r="A26" s="498"/>
      <c r="B26" s="499"/>
      <c r="C26" s="134">
        <v>2</v>
      </c>
      <c r="D26" s="500"/>
      <c r="E26" s="501"/>
      <c r="F26" s="502"/>
      <c r="G26" s="500"/>
      <c r="H26" s="501"/>
      <c r="I26" s="502"/>
      <c r="J26" s="135"/>
      <c r="K26" s="136"/>
      <c r="L26" s="135"/>
      <c r="M26" s="137">
        <f t="shared" si="2"/>
        <v>0</v>
      </c>
      <c r="N26" s="135"/>
      <c r="O26" s="138"/>
      <c r="P26" s="139"/>
    </row>
    <row r="27" spans="1:16" ht="15.75" customHeight="1">
      <c r="A27" s="498"/>
      <c r="B27" s="499"/>
      <c r="C27" s="134">
        <v>3</v>
      </c>
      <c r="D27" s="500"/>
      <c r="E27" s="501"/>
      <c r="F27" s="502"/>
      <c r="G27" s="500"/>
      <c r="H27" s="501"/>
      <c r="I27" s="502"/>
      <c r="J27" s="135"/>
      <c r="K27" s="136"/>
      <c r="L27" s="135"/>
      <c r="M27" s="137">
        <f t="shared" si="2"/>
        <v>0</v>
      </c>
      <c r="N27" s="135"/>
      <c r="O27" s="138"/>
      <c r="P27" s="139"/>
    </row>
    <row r="28" spans="1:16" ht="15.75" customHeight="1">
      <c r="A28" s="498"/>
      <c r="B28" s="499"/>
      <c r="C28" s="134">
        <v>4</v>
      </c>
      <c r="D28" s="500"/>
      <c r="E28" s="501"/>
      <c r="F28" s="502"/>
      <c r="G28" s="500"/>
      <c r="H28" s="501"/>
      <c r="I28" s="502"/>
      <c r="J28" s="135"/>
      <c r="K28" s="136"/>
      <c r="L28" s="135"/>
      <c r="M28" s="137">
        <f t="shared" si="2"/>
        <v>0</v>
      </c>
      <c r="N28" s="135"/>
      <c r="O28" s="138"/>
      <c r="P28" s="139"/>
    </row>
    <row r="29" spans="1:16" ht="15.75" customHeight="1" thickBot="1">
      <c r="A29" s="498"/>
      <c r="B29" s="499"/>
      <c r="C29" s="140">
        <v>5</v>
      </c>
      <c r="D29" s="503"/>
      <c r="E29" s="504"/>
      <c r="F29" s="505"/>
      <c r="G29" s="503"/>
      <c r="H29" s="504"/>
      <c r="I29" s="505"/>
      <c r="J29" s="141"/>
      <c r="K29" s="142"/>
      <c r="L29" s="141"/>
      <c r="M29" s="143">
        <f t="shared" si="2"/>
        <v>0</v>
      </c>
      <c r="N29" s="135"/>
      <c r="O29" s="144"/>
      <c r="P29" s="145"/>
    </row>
    <row r="30" spans="1:16" ht="15.75" customHeight="1" thickTop="1" thickBot="1">
      <c r="A30" s="498"/>
      <c r="B30" s="499"/>
      <c r="C30" s="493"/>
      <c r="D30" s="493"/>
      <c r="E30" s="493"/>
      <c r="F30" s="493"/>
      <c r="G30" s="493"/>
      <c r="H30" s="493"/>
      <c r="I30" s="494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5"/>
      <c r="O30" s="496"/>
      <c r="P30" s="497"/>
    </row>
    <row r="31" spans="1:16" ht="15.75" customHeight="1" thickTop="1"/>
  </sheetData>
  <mergeCells count="78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9"/>
  <sheetViews>
    <sheetView tabSelected="1" view="pageBreakPreview" topLeftCell="A7" zoomScale="115" zoomScaleNormal="60" zoomScaleSheetLayoutView="115" workbookViewId="0">
      <selection activeCell="M23" sqref="M2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15" t="s">
        <v>197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23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s="122" customFormat="1" ht="15.75" customHeight="1">
      <c r="A3" s="516" t="s">
        <v>198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</row>
    <row r="4" spans="1:17" s="123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</row>
    <row r="5" spans="1:17" s="122" customFormat="1" ht="15.75" customHeight="1">
      <c r="A5" s="399" t="s">
        <v>191</v>
      </c>
      <c r="B5" s="498">
        <v>1</v>
      </c>
      <c r="C5" s="498"/>
      <c r="D5" s="498">
        <v>2</v>
      </c>
      <c r="E5" s="498"/>
      <c r="F5" s="498">
        <v>3</v>
      </c>
      <c r="G5" s="498"/>
      <c r="H5" s="518">
        <v>4</v>
      </c>
      <c r="I5" s="518"/>
      <c r="J5" s="518">
        <v>5</v>
      </c>
      <c r="K5" s="518"/>
      <c r="L5" s="518">
        <v>6</v>
      </c>
      <c r="M5" s="518"/>
      <c r="N5" s="518">
        <v>7</v>
      </c>
      <c r="O5" s="518"/>
      <c r="P5" s="498">
        <v>8</v>
      </c>
      <c r="Q5" s="498"/>
    </row>
    <row r="6" spans="1:17" s="122" customFormat="1" ht="15.75" customHeight="1">
      <c r="A6" s="399"/>
      <c r="B6" s="399" t="s">
        <v>312</v>
      </c>
      <c r="C6" s="399"/>
      <c r="D6" s="399" t="s">
        <v>199</v>
      </c>
      <c r="E6" s="399"/>
      <c r="F6" s="399" t="s">
        <v>167</v>
      </c>
      <c r="G6" s="399"/>
      <c r="H6" s="548" t="s">
        <v>479</v>
      </c>
      <c r="I6" s="519"/>
      <c r="J6" s="519" t="s">
        <v>189</v>
      </c>
      <c r="K6" s="519"/>
      <c r="L6" s="519" t="s">
        <v>168</v>
      </c>
      <c r="M6" s="519"/>
      <c r="N6" s="519" t="s">
        <v>190</v>
      </c>
      <c r="O6" s="519"/>
      <c r="P6" s="514" t="s">
        <v>203</v>
      </c>
      <c r="Q6" s="399"/>
    </row>
    <row r="7" spans="1:17" s="122" customFormat="1" ht="15.75" customHeight="1">
      <c r="B7" s="149"/>
      <c r="C7" s="128"/>
    </row>
    <row r="8" spans="1:17" s="112" customFormat="1" ht="15.75" customHeight="1">
      <c r="A8" s="527" t="s">
        <v>192</v>
      </c>
      <c r="B8" s="528"/>
      <c r="C8" s="119" t="s">
        <v>46</v>
      </c>
      <c r="D8" s="529" t="s">
        <v>12</v>
      </c>
      <c r="E8" s="530"/>
      <c r="F8" s="531"/>
      <c r="G8" s="117" t="s">
        <v>52</v>
      </c>
      <c r="H8" s="118"/>
      <c r="I8" s="119"/>
      <c r="J8" s="116" t="s">
        <v>53</v>
      </c>
      <c r="K8" s="116" t="s">
        <v>54</v>
      </c>
      <c r="L8" s="116" t="s">
        <v>55</v>
      </c>
      <c r="M8" s="120" t="s">
        <v>11</v>
      </c>
      <c r="N8" s="120" t="s">
        <v>316</v>
      </c>
      <c r="O8" s="532" t="s">
        <v>50</v>
      </c>
      <c r="P8" s="533"/>
    </row>
    <row r="9" spans="1:17" ht="15.75" customHeight="1">
      <c r="A9" s="528">
        <v>4</v>
      </c>
      <c r="B9" s="542" t="s">
        <v>480</v>
      </c>
      <c r="C9" s="114">
        <v>1</v>
      </c>
      <c r="D9" s="545" t="s">
        <v>366</v>
      </c>
      <c r="E9" s="540"/>
      <c r="F9" s="541"/>
      <c r="G9" s="511" t="s">
        <v>615</v>
      </c>
      <c r="H9" s="537"/>
      <c r="I9" s="538"/>
      <c r="J9" s="4">
        <v>85</v>
      </c>
      <c r="K9" s="14">
        <v>0.01</v>
      </c>
      <c r="L9" s="4">
        <v>4.2</v>
      </c>
      <c r="M9" s="205">
        <f t="shared" ref="M9:M12" si="0">L9*J9</f>
        <v>357</v>
      </c>
      <c r="N9" s="237"/>
      <c r="O9" s="520"/>
      <c r="P9" s="521"/>
    </row>
    <row r="10" spans="1:17" ht="15.75" customHeight="1">
      <c r="A10" s="528"/>
      <c r="B10" s="543"/>
      <c r="C10" s="114">
        <v>2</v>
      </c>
      <c r="D10" s="546" t="s">
        <v>611</v>
      </c>
      <c r="E10" s="537"/>
      <c r="F10" s="538"/>
      <c r="G10" s="546" t="s">
        <v>616</v>
      </c>
      <c r="H10" s="537"/>
      <c r="I10" s="538"/>
      <c r="J10" s="4">
        <v>209.6</v>
      </c>
      <c r="K10" s="14">
        <v>6.5000000000000002E-2</v>
      </c>
      <c r="L10" s="4">
        <v>1.35</v>
      </c>
      <c r="M10" s="205">
        <f t="shared" si="0"/>
        <v>282.96000000000004</v>
      </c>
      <c r="N10" s="237"/>
      <c r="O10" s="520"/>
      <c r="P10" s="521"/>
    </row>
    <row r="11" spans="1:17" ht="15.75" customHeight="1">
      <c r="A11" s="528"/>
      <c r="B11" s="543"/>
      <c r="C11" s="114">
        <v>3</v>
      </c>
      <c r="D11" s="546"/>
      <c r="E11" s="537"/>
      <c r="F11" s="538"/>
      <c r="G11" s="546"/>
      <c r="H11" s="537"/>
      <c r="I11" s="538"/>
      <c r="J11" s="4"/>
      <c r="K11" s="14"/>
      <c r="L11" s="4"/>
      <c r="M11" s="205">
        <f t="shared" si="0"/>
        <v>0</v>
      </c>
      <c r="N11" s="237"/>
      <c r="O11" s="520"/>
      <c r="P11" s="521"/>
    </row>
    <row r="12" spans="1:17" ht="15.75" customHeight="1">
      <c r="A12" s="528"/>
      <c r="B12" s="543"/>
      <c r="C12" s="114">
        <v>4</v>
      </c>
      <c r="D12" s="546"/>
      <c r="E12" s="537"/>
      <c r="F12" s="538"/>
      <c r="G12" s="511"/>
      <c r="H12" s="537"/>
      <c r="I12" s="538"/>
      <c r="J12" s="4"/>
      <c r="K12" s="14"/>
      <c r="L12" s="4"/>
      <c r="M12" s="205">
        <f t="shared" si="0"/>
        <v>0</v>
      </c>
      <c r="N12" s="237"/>
      <c r="O12" s="520"/>
      <c r="P12" s="521"/>
    </row>
    <row r="13" spans="1:17" ht="15.75" customHeight="1" thickBot="1">
      <c r="A13" s="528"/>
      <c r="B13" s="543"/>
      <c r="C13" s="115">
        <v>5</v>
      </c>
      <c r="D13" s="545"/>
      <c r="E13" s="540"/>
      <c r="F13" s="541"/>
      <c r="G13" s="545"/>
      <c r="H13" s="540"/>
      <c r="I13" s="541"/>
      <c r="J13" s="27"/>
      <c r="K13" s="30"/>
      <c r="L13" s="27"/>
      <c r="M13" s="205">
        <f t="shared" ref="M13" si="1">L13*J13</f>
        <v>0</v>
      </c>
      <c r="N13" s="237"/>
      <c r="O13" s="520"/>
      <c r="P13" s="521"/>
    </row>
    <row r="14" spans="1:17" ht="15.75" customHeight="1" thickTop="1" thickBot="1">
      <c r="A14" s="528"/>
      <c r="B14" s="543"/>
      <c r="C14" s="534"/>
      <c r="D14" s="534"/>
      <c r="E14" s="534"/>
      <c r="F14" s="534"/>
      <c r="G14" s="534"/>
      <c r="H14" s="534"/>
      <c r="I14" s="535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2"/>
      <c r="O14" s="523"/>
      <c r="P14" s="524"/>
    </row>
    <row r="15" spans="1:17" ht="15.75" customHeight="1" thickTop="1"/>
    <row r="16" spans="1:17" ht="15.75" customHeight="1">
      <c r="A16" s="527" t="s">
        <v>192</v>
      </c>
      <c r="B16" s="528"/>
      <c r="C16" s="119" t="s">
        <v>46</v>
      </c>
      <c r="D16" s="529" t="s">
        <v>12</v>
      </c>
      <c r="E16" s="530"/>
      <c r="F16" s="531"/>
      <c r="G16" s="117" t="s">
        <v>52</v>
      </c>
      <c r="H16" s="118"/>
      <c r="I16" s="119"/>
      <c r="J16" s="116" t="s">
        <v>53</v>
      </c>
      <c r="K16" s="116" t="s">
        <v>54</v>
      </c>
      <c r="L16" s="116" t="s">
        <v>55</v>
      </c>
      <c r="M16" s="120" t="s">
        <v>11</v>
      </c>
      <c r="N16" s="120" t="s">
        <v>316</v>
      </c>
      <c r="O16" s="532" t="s">
        <v>50</v>
      </c>
      <c r="P16" s="533"/>
    </row>
    <row r="17" spans="1:16" ht="15.75" customHeight="1">
      <c r="A17" s="528">
        <v>5</v>
      </c>
      <c r="B17" s="542" t="s">
        <v>201</v>
      </c>
      <c r="C17" s="114">
        <v>1</v>
      </c>
      <c r="D17" s="512" t="s">
        <v>470</v>
      </c>
      <c r="E17" s="537"/>
      <c r="F17" s="538"/>
      <c r="G17" s="544" t="s">
        <v>609</v>
      </c>
      <c r="H17" s="537"/>
      <c r="I17" s="538"/>
      <c r="J17" s="4">
        <v>146.19999999999999</v>
      </c>
      <c r="K17" s="14">
        <v>5.6000000000000001E-2</v>
      </c>
      <c r="L17" s="4">
        <v>3.75</v>
      </c>
      <c r="M17" s="205">
        <f t="shared" ref="M17:M20" si="2">L17*J17</f>
        <v>548.25</v>
      </c>
      <c r="N17" s="4"/>
      <c r="O17" s="520" t="s">
        <v>610</v>
      </c>
      <c r="P17" s="521"/>
    </row>
    <row r="18" spans="1:16" ht="15.75" customHeight="1">
      <c r="A18" s="528"/>
      <c r="B18" s="543"/>
      <c r="C18" s="114">
        <v>2</v>
      </c>
      <c r="D18" s="512" t="s">
        <v>618</v>
      </c>
      <c r="E18" s="537"/>
      <c r="F18" s="538"/>
      <c r="G18" s="544" t="s">
        <v>619</v>
      </c>
      <c r="H18" s="537"/>
      <c r="I18" s="538"/>
      <c r="J18" s="629">
        <v>164</v>
      </c>
      <c r="K18" s="14">
        <v>8.0000000000000002E-3</v>
      </c>
      <c r="L18" s="4">
        <v>1.45</v>
      </c>
      <c r="M18" s="205">
        <f t="shared" si="2"/>
        <v>237.79999999999998</v>
      </c>
      <c r="N18" s="4"/>
      <c r="O18" s="520"/>
      <c r="P18" s="521"/>
    </row>
    <row r="19" spans="1:16" ht="15.75" customHeight="1">
      <c r="A19" s="528"/>
      <c r="B19" s="543"/>
      <c r="C19" s="114">
        <v>3</v>
      </c>
      <c r="D19" s="536" t="s">
        <v>620</v>
      </c>
      <c r="E19" s="537"/>
      <c r="F19" s="538"/>
      <c r="G19" s="536" t="s">
        <v>475</v>
      </c>
      <c r="H19" s="537"/>
      <c r="I19" s="538"/>
      <c r="J19" s="4">
        <v>5.3</v>
      </c>
      <c r="K19" s="14">
        <v>2E-3</v>
      </c>
      <c r="L19" s="4">
        <v>10</v>
      </c>
      <c r="M19" s="205">
        <f t="shared" si="2"/>
        <v>53</v>
      </c>
      <c r="N19" s="4"/>
      <c r="O19" s="520"/>
      <c r="P19" s="521"/>
    </row>
    <row r="20" spans="1:16" ht="15.75" customHeight="1">
      <c r="A20" s="528"/>
      <c r="B20" s="543"/>
      <c r="C20" s="114">
        <v>4</v>
      </c>
      <c r="D20" s="512" t="s">
        <v>470</v>
      </c>
      <c r="E20" s="537"/>
      <c r="F20" s="538"/>
      <c r="G20" s="536" t="s">
        <v>621</v>
      </c>
      <c r="H20" s="537"/>
      <c r="I20" s="538"/>
      <c r="J20" s="4">
        <v>2</v>
      </c>
      <c r="K20" s="14">
        <v>8.0000000000000002E-3</v>
      </c>
      <c r="L20" s="4">
        <v>24</v>
      </c>
      <c r="M20" s="205">
        <f t="shared" si="2"/>
        <v>48</v>
      </c>
      <c r="N20" s="4"/>
      <c r="O20" s="76"/>
      <c r="P20" s="74"/>
    </row>
    <row r="21" spans="1:16" ht="15.75" customHeight="1" thickBot="1">
      <c r="A21" s="528"/>
      <c r="B21" s="543"/>
      <c r="C21" s="115">
        <v>5</v>
      </c>
      <c r="D21" s="512" t="s">
        <v>470</v>
      </c>
      <c r="E21" s="537"/>
      <c r="F21" s="538"/>
      <c r="G21" s="539" t="s">
        <v>622</v>
      </c>
      <c r="H21" s="540"/>
      <c r="I21" s="541"/>
      <c r="J21" s="27">
        <v>4.3</v>
      </c>
      <c r="K21" s="30">
        <v>2E-3</v>
      </c>
      <c r="L21" s="27">
        <v>3</v>
      </c>
      <c r="M21" s="204">
        <f t="shared" ref="M21" si="3">L21*J21</f>
        <v>12.899999999999999</v>
      </c>
      <c r="N21" s="4"/>
      <c r="O21" s="77"/>
      <c r="P21" s="75"/>
    </row>
    <row r="22" spans="1:16" ht="15.75" customHeight="1" thickTop="1" thickBot="1">
      <c r="A22" s="528"/>
      <c r="B22" s="543"/>
      <c r="C22" s="534"/>
      <c r="D22" s="534"/>
      <c r="E22" s="534"/>
      <c r="F22" s="534"/>
      <c r="G22" s="534"/>
      <c r="H22" s="534"/>
      <c r="I22" s="535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2"/>
      <c r="O22" s="523"/>
      <c r="P22" s="524"/>
    </row>
    <row r="23" spans="1:16" ht="15.75" customHeight="1" thickTop="1"/>
    <row r="24" spans="1:16" ht="15.75" customHeight="1">
      <c r="A24" s="527" t="s">
        <v>192</v>
      </c>
      <c r="B24" s="528"/>
      <c r="C24" s="119" t="s">
        <v>46</v>
      </c>
      <c r="D24" s="529" t="s">
        <v>12</v>
      </c>
      <c r="E24" s="530"/>
      <c r="F24" s="531"/>
      <c r="G24" s="117" t="s">
        <v>52</v>
      </c>
      <c r="H24" s="118"/>
      <c r="I24" s="119"/>
      <c r="J24" s="116" t="s">
        <v>53</v>
      </c>
      <c r="K24" s="116" t="s">
        <v>54</v>
      </c>
      <c r="L24" s="116" t="s">
        <v>55</v>
      </c>
      <c r="M24" s="120" t="s">
        <v>11</v>
      </c>
      <c r="N24" s="120" t="s">
        <v>13</v>
      </c>
      <c r="O24" s="532" t="s">
        <v>50</v>
      </c>
      <c r="P24" s="533"/>
    </row>
    <row r="25" spans="1:16" ht="15.75" customHeight="1">
      <c r="A25" s="528">
        <v>6</v>
      </c>
      <c r="B25" s="542" t="s">
        <v>202</v>
      </c>
      <c r="C25" s="114">
        <v>1</v>
      </c>
      <c r="D25" s="500" t="s">
        <v>608</v>
      </c>
      <c r="E25" s="501"/>
      <c r="F25" s="502"/>
      <c r="G25" s="500" t="s">
        <v>607</v>
      </c>
      <c r="H25" s="501"/>
      <c r="I25" s="502"/>
      <c r="J25" s="135">
        <v>335.3</v>
      </c>
      <c r="K25" s="136">
        <v>5.4999999999999997E-3</v>
      </c>
      <c r="L25" s="135">
        <v>0.87</v>
      </c>
      <c r="M25" s="205">
        <f t="shared" ref="M25" si="4">L25*J25</f>
        <v>291.71100000000001</v>
      </c>
      <c r="N25" s="237">
        <v>0.20399999999999999</v>
      </c>
      <c r="O25" s="511"/>
      <c r="P25" s="513"/>
    </row>
    <row r="26" spans="1:16" ht="15.75" customHeight="1">
      <c r="A26" s="528"/>
      <c r="B26" s="543"/>
      <c r="C26" s="114">
        <v>2</v>
      </c>
      <c r="D26" s="511"/>
      <c r="E26" s="537"/>
      <c r="F26" s="538"/>
      <c r="G26" s="511"/>
      <c r="H26" s="537"/>
      <c r="I26" s="538"/>
      <c r="J26" s="4"/>
      <c r="K26" s="14"/>
      <c r="L26" s="4"/>
      <c r="M26" s="202"/>
      <c r="N26" s="237"/>
      <c r="O26" s="511"/>
      <c r="P26" s="513"/>
    </row>
    <row r="27" spans="1:16" ht="15.75" customHeight="1">
      <c r="A27" s="528"/>
      <c r="B27" s="543"/>
      <c r="C27" s="114">
        <v>3</v>
      </c>
      <c r="D27" s="511"/>
      <c r="E27" s="537"/>
      <c r="F27" s="538"/>
      <c r="G27" s="544"/>
      <c r="H27" s="537"/>
      <c r="I27" s="538"/>
      <c r="J27" s="4"/>
      <c r="K27" s="14"/>
      <c r="L27" s="4"/>
      <c r="M27" s="202"/>
      <c r="N27" s="237"/>
      <c r="O27" s="511"/>
      <c r="P27" s="513"/>
    </row>
    <row r="28" spans="1:16" ht="15.75" customHeight="1">
      <c r="A28" s="528"/>
      <c r="B28" s="543"/>
      <c r="C28" s="114">
        <v>4</v>
      </c>
      <c r="D28" s="536"/>
      <c r="E28" s="537"/>
      <c r="F28" s="538"/>
      <c r="G28" s="536"/>
      <c r="H28" s="537"/>
      <c r="I28" s="538"/>
      <c r="J28" s="4"/>
      <c r="K28" s="14"/>
      <c r="L28" s="4"/>
      <c r="M28" s="204"/>
      <c r="N28" s="237"/>
      <c r="O28" s="520"/>
      <c r="P28" s="525"/>
    </row>
    <row r="29" spans="1:16" ht="15.75" customHeight="1" thickBot="1">
      <c r="A29" s="528"/>
      <c r="B29" s="543"/>
      <c r="C29" s="115">
        <v>5</v>
      </c>
      <c r="D29" s="539"/>
      <c r="E29" s="540"/>
      <c r="F29" s="541"/>
      <c r="G29" s="539"/>
      <c r="H29" s="540"/>
      <c r="I29" s="541"/>
      <c r="J29" s="27"/>
      <c r="K29" s="30"/>
      <c r="L29" s="27"/>
      <c r="M29" s="205"/>
      <c r="N29" s="237"/>
      <c r="O29" s="526"/>
      <c r="P29" s="521"/>
    </row>
    <row r="30" spans="1:16" ht="15.75" customHeight="1" thickTop="1" thickBot="1">
      <c r="A30" s="528"/>
      <c r="B30" s="543"/>
      <c r="C30" s="534"/>
      <c r="D30" s="534"/>
      <c r="E30" s="534"/>
      <c r="F30" s="534"/>
      <c r="G30" s="534"/>
      <c r="H30" s="534"/>
      <c r="I30" s="535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2"/>
      <c r="O30" s="523"/>
      <c r="P30" s="524"/>
    </row>
    <row r="31" spans="1:16" ht="15.75" customHeight="1" thickTop="1"/>
    <row r="32" spans="1:16" ht="15.75" customHeight="1">
      <c r="A32" s="527" t="s">
        <v>192</v>
      </c>
      <c r="B32" s="528"/>
      <c r="C32" s="119" t="s">
        <v>46</v>
      </c>
      <c r="D32" s="529" t="s">
        <v>12</v>
      </c>
      <c r="E32" s="530"/>
      <c r="F32" s="531"/>
      <c r="G32" s="117" t="s">
        <v>52</v>
      </c>
      <c r="H32" s="118"/>
      <c r="I32" s="119"/>
      <c r="J32" s="116" t="s">
        <v>53</v>
      </c>
      <c r="K32" s="116" t="s">
        <v>54</v>
      </c>
      <c r="L32" s="116" t="s">
        <v>55</v>
      </c>
      <c r="M32" s="120" t="s">
        <v>11</v>
      </c>
      <c r="N32" s="120" t="s">
        <v>13</v>
      </c>
      <c r="O32" s="532" t="s">
        <v>50</v>
      </c>
      <c r="P32" s="533"/>
    </row>
    <row r="33" spans="1:16" ht="15.75" customHeight="1">
      <c r="A33" s="528">
        <v>7</v>
      </c>
      <c r="B33" s="542" t="s">
        <v>193</v>
      </c>
      <c r="C33" s="114">
        <v>1</v>
      </c>
      <c r="D33" s="536"/>
      <c r="E33" s="537"/>
      <c r="F33" s="538"/>
      <c r="G33" s="536"/>
      <c r="H33" s="537"/>
      <c r="I33" s="53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8"/>
      <c r="B34" s="543"/>
      <c r="C34" s="114">
        <v>2</v>
      </c>
      <c r="D34" s="536"/>
      <c r="E34" s="537"/>
      <c r="F34" s="538"/>
      <c r="G34" s="536"/>
      <c r="H34" s="537"/>
      <c r="I34" s="53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8"/>
      <c r="B35" s="543"/>
      <c r="C35" s="114">
        <v>3</v>
      </c>
      <c r="D35" s="536"/>
      <c r="E35" s="537"/>
      <c r="F35" s="538"/>
      <c r="G35" s="536"/>
      <c r="H35" s="537"/>
      <c r="I35" s="53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8"/>
      <c r="B36" s="543"/>
      <c r="C36" s="114">
        <v>4</v>
      </c>
      <c r="D36" s="536"/>
      <c r="E36" s="537"/>
      <c r="F36" s="538"/>
      <c r="G36" s="536"/>
      <c r="H36" s="537"/>
      <c r="I36" s="53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28"/>
      <c r="B37" s="543"/>
      <c r="C37" s="115">
        <v>5</v>
      </c>
      <c r="D37" s="539"/>
      <c r="E37" s="540"/>
      <c r="F37" s="541"/>
      <c r="G37" s="539"/>
      <c r="H37" s="540"/>
      <c r="I37" s="541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28"/>
      <c r="B38" s="543"/>
      <c r="C38" s="534"/>
      <c r="D38" s="534"/>
      <c r="E38" s="534"/>
      <c r="F38" s="534"/>
      <c r="G38" s="534"/>
      <c r="H38" s="534"/>
      <c r="I38" s="535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2"/>
      <c r="O38" s="523"/>
      <c r="P38" s="524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15" t="s">
        <v>197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23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ht="15.75" customHeight="1">
      <c r="A3" s="516" t="s">
        <v>476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</row>
    <row r="4" spans="1:17" s="123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</row>
    <row r="5" spans="1:17" ht="15.75" customHeight="1">
      <c r="A5" s="399" t="s">
        <v>191</v>
      </c>
      <c r="B5" s="518">
        <v>1</v>
      </c>
      <c r="C5" s="518"/>
      <c r="D5" s="518">
        <v>2</v>
      </c>
      <c r="E5" s="518"/>
      <c r="F5" s="518">
        <v>3</v>
      </c>
      <c r="G5" s="518"/>
      <c r="H5" s="498">
        <v>4</v>
      </c>
      <c r="I5" s="498"/>
      <c r="J5" s="498">
        <v>5</v>
      </c>
      <c r="K5" s="498"/>
      <c r="L5" s="498">
        <v>6</v>
      </c>
      <c r="M5" s="498"/>
      <c r="N5" s="498">
        <v>7</v>
      </c>
      <c r="O5" s="498"/>
      <c r="P5" s="498">
        <v>8</v>
      </c>
      <c r="Q5" s="498"/>
    </row>
    <row r="6" spans="1:17" ht="15.75" customHeight="1">
      <c r="A6" s="399"/>
      <c r="B6" s="519" t="s">
        <v>310</v>
      </c>
      <c r="C6" s="519"/>
      <c r="D6" s="519" t="s">
        <v>199</v>
      </c>
      <c r="E6" s="519"/>
      <c r="F6" s="519" t="s">
        <v>167</v>
      </c>
      <c r="G6" s="519"/>
      <c r="H6" s="514" t="s">
        <v>481</v>
      </c>
      <c r="I6" s="514"/>
      <c r="J6" s="399" t="s">
        <v>189</v>
      </c>
      <c r="K6" s="399"/>
      <c r="L6" s="399" t="s">
        <v>168</v>
      </c>
      <c r="M6" s="399"/>
      <c r="N6" s="399" t="s">
        <v>190</v>
      </c>
      <c r="O6" s="399"/>
      <c r="P6" s="514" t="s">
        <v>203</v>
      </c>
      <c r="Q6" s="399"/>
    </row>
    <row r="8" spans="1:17" s="124" customFormat="1" ht="15.75" customHeight="1">
      <c r="A8" s="498" t="s">
        <v>192</v>
      </c>
      <c r="B8" s="498"/>
      <c r="C8" s="130" t="s">
        <v>46</v>
      </c>
      <c r="D8" s="506" t="s">
        <v>12</v>
      </c>
      <c r="E8" s="507"/>
      <c r="F8" s="508"/>
      <c r="G8" s="131" t="s">
        <v>52</v>
      </c>
      <c r="H8" s="132"/>
      <c r="I8" s="130"/>
      <c r="J8" s="133" t="s">
        <v>53</v>
      </c>
      <c r="K8" s="350" t="s">
        <v>537</v>
      </c>
      <c r="L8" s="133" t="s">
        <v>55</v>
      </c>
      <c r="M8" s="133" t="s">
        <v>11</v>
      </c>
      <c r="N8" s="133" t="s">
        <v>316</v>
      </c>
      <c r="O8" s="509" t="s">
        <v>50</v>
      </c>
      <c r="P8" s="510"/>
    </row>
    <row r="9" spans="1:17" ht="15.75" customHeight="1">
      <c r="A9" s="498">
        <v>1</v>
      </c>
      <c r="B9" s="499" t="s">
        <v>311</v>
      </c>
      <c r="C9" s="134">
        <v>1</v>
      </c>
      <c r="D9" s="500"/>
      <c r="E9" s="501"/>
      <c r="F9" s="502"/>
      <c r="G9" s="500"/>
      <c r="H9" s="501"/>
      <c r="I9" s="502"/>
      <c r="J9" s="135"/>
      <c r="K9" s="136"/>
      <c r="L9" s="135"/>
      <c r="M9" s="202">
        <f>L9*J9</f>
        <v>0</v>
      </c>
      <c r="N9" s="135"/>
      <c r="O9" s="511"/>
      <c r="P9" s="513"/>
    </row>
    <row r="10" spans="1:17" ht="15.75" customHeight="1">
      <c r="A10" s="498"/>
      <c r="B10" s="499"/>
      <c r="C10" s="134">
        <v>2</v>
      </c>
      <c r="D10" s="500"/>
      <c r="E10" s="501"/>
      <c r="F10" s="502"/>
      <c r="G10" s="500"/>
      <c r="H10" s="501"/>
      <c r="I10" s="502"/>
      <c r="J10" s="135"/>
      <c r="K10" s="136"/>
      <c r="L10" s="135"/>
      <c r="M10" s="202">
        <f t="shared" ref="M10:M13" si="0">L10*J10</f>
        <v>0</v>
      </c>
      <c r="N10" s="135"/>
      <c r="O10" s="511"/>
      <c r="P10" s="513"/>
    </row>
    <row r="11" spans="1:17" ht="15.75" customHeight="1">
      <c r="A11" s="498"/>
      <c r="B11" s="499"/>
      <c r="C11" s="134">
        <v>3</v>
      </c>
      <c r="D11" s="511"/>
      <c r="E11" s="501"/>
      <c r="F11" s="502"/>
      <c r="G11" s="500"/>
      <c r="H11" s="501"/>
      <c r="I11" s="502"/>
      <c r="J11" s="135"/>
      <c r="K11" s="136"/>
      <c r="L11" s="135"/>
      <c r="M11" s="202">
        <f t="shared" si="0"/>
        <v>0</v>
      </c>
      <c r="N11" s="135"/>
      <c r="O11" s="511"/>
      <c r="P11" s="513"/>
    </row>
    <row r="12" spans="1:17" ht="15.75" customHeight="1">
      <c r="A12" s="498"/>
      <c r="B12" s="499"/>
      <c r="C12" s="134">
        <v>4</v>
      </c>
      <c r="D12" s="500"/>
      <c r="E12" s="501"/>
      <c r="F12" s="502"/>
      <c r="G12" s="500"/>
      <c r="H12" s="501"/>
      <c r="I12" s="502"/>
      <c r="J12" s="135"/>
      <c r="K12" s="136"/>
      <c r="L12" s="135"/>
      <c r="M12" s="202">
        <f t="shared" si="0"/>
        <v>0</v>
      </c>
      <c r="N12" s="135"/>
      <c r="O12" s="138"/>
      <c r="P12" s="139"/>
    </row>
    <row r="13" spans="1:17" ht="15.75" customHeight="1" thickBot="1">
      <c r="A13" s="498"/>
      <c r="B13" s="499"/>
      <c r="C13" s="140">
        <v>5</v>
      </c>
      <c r="D13" s="503"/>
      <c r="E13" s="504"/>
      <c r="F13" s="505"/>
      <c r="G13" s="503"/>
      <c r="H13" s="504"/>
      <c r="I13" s="505"/>
      <c r="J13" s="141"/>
      <c r="K13" s="142"/>
      <c r="L13" s="141"/>
      <c r="M13" s="203">
        <f t="shared" si="0"/>
        <v>0</v>
      </c>
      <c r="N13" s="135"/>
      <c r="O13" s="144"/>
      <c r="P13" s="145"/>
    </row>
    <row r="14" spans="1:17" ht="15.75" customHeight="1" thickTop="1" thickBot="1">
      <c r="A14" s="498"/>
      <c r="B14" s="499"/>
      <c r="C14" s="493"/>
      <c r="D14" s="493"/>
      <c r="E14" s="493"/>
      <c r="F14" s="493"/>
      <c r="G14" s="493"/>
      <c r="H14" s="493"/>
      <c r="I14" s="494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495"/>
      <c r="O14" s="496"/>
      <c r="P14" s="497"/>
    </row>
    <row r="15" spans="1:17" ht="15.75" customHeight="1" thickTop="1"/>
    <row r="16" spans="1:17" ht="15.75" customHeight="1">
      <c r="A16" s="498" t="s">
        <v>192</v>
      </c>
      <c r="B16" s="498"/>
      <c r="C16" s="130" t="s">
        <v>46</v>
      </c>
      <c r="D16" s="506" t="s">
        <v>12</v>
      </c>
      <c r="E16" s="507"/>
      <c r="F16" s="508"/>
      <c r="G16" s="131" t="s">
        <v>52</v>
      </c>
      <c r="H16" s="132"/>
      <c r="I16" s="130"/>
      <c r="J16" s="133" t="s">
        <v>53</v>
      </c>
      <c r="K16" s="350" t="s">
        <v>537</v>
      </c>
      <c r="L16" s="133" t="s">
        <v>55</v>
      </c>
      <c r="M16" s="133" t="s">
        <v>11</v>
      </c>
      <c r="N16" s="133" t="s">
        <v>316</v>
      </c>
      <c r="O16" s="509" t="s">
        <v>50</v>
      </c>
      <c r="P16" s="510"/>
    </row>
    <row r="17" spans="1:16" ht="15.75" customHeight="1">
      <c r="A17" s="498">
        <v>2</v>
      </c>
      <c r="B17" s="499" t="s">
        <v>200</v>
      </c>
      <c r="C17" s="134">
        <v>1</v>
      </c>
      <c r="D17" s="511"/>
      <c r="E17" s="501"/>
      <c r="F17" s="502"/>
      <c r="G17" s="500"/>
      <c r="H17" s="501"/>
      <c r="I17" s="502"/>
      <c r="J17" s="135"/>
      <c r="K17" s="136"/>
      <c r="L17" s="135"/>
      <c r="M17" s="202"/>
      <c r="N17" s="240"/>
      <c r="O17" s="491"/>
      <c r="P17" s="492"/>
    </row>
    <row r="18" spans="1:16" ht="15.75" customHeight="1">
      <c r="A18" s="498"/>
      <c r="B18" s="499"/>
      <c r="C18" s="134">
        <v>2</v>
      </c>
      <c r="D18" s="511"/>
      <c r="E18" s="501"/>
      <c r="F18" s="502"/>
      <c r="G18" s="511"/>
      <c r="H18" s="501"/>
      <c r="I18" s="502"/>
      <c r="J18" s="135"/>
      <c r="K18" s="136"/>
      <c r="L18" s="135"/>
      <c r="M18" s="202"/>
      <c r="N18" s="240"/>
      <c r="O18" s="491"/>
      <c r="P18" s="492"/>
    </row>
    <row r="19" spans="1:16" ht="15.75" customHeight="1">
      <c r="A19" s="498"/>
      <c r="B19" s="499"/>
      <c r="C19" s="134">
        <v>3</v>
      </c>
      <c r="D19" s="512"/>
      <c r="E19" s="501"/>
      <c r="F19" s="502"/>
      <c r="G19" s="500"/>
      <c r="H19" s="501"/>
      <c r="I19" s="502"/>
      <c r="J19" s="135"/>
      <c r="K19" s="136"/>
      <c r="L19" s="135"/>
      <c r="M19" s="202"/>
      <c r="N19" s="240"/>
      <c r="O19" s="491"/>
      <c r="P19" s="492"/>
    </row>
    <row r="20" spans="1:16" ht="15.75" customHeight="1">
      <c r="A20" s="498"/>
      <c r="B20" s="499"/>
      <c r="C20" s="134">
        <v>4</v>
      </c>
      <c r="D20" s="512"/>
      <c r="E20" s="501"/>
      <c r="F20" s="502"/>
      <c r="G20" s="500"/>
      <c r="H20" s="501"/>
      <c r="I20" s="502"/>
      <c r="J20" s="135"/>
      <c r="K20" s="136"/>
      <c r="L20" s="135"/>
      <c r="M20" s="202"/>
      <c r="N20" s="240"/>
      <c r="O20" s="491"/>
      <c r="P20" s="492"/>
    </row>
    <row r="21" spans="1:16" ht="15.75" customHeight="1" thickBot="1">
      <c r="A21" s="498"/>
      <c r="B21" s="499"/>
      <c r="C21" s="140">
        <v>5</v>
      </c>
      <c r="D21" s="500"/>
      <c r="E21" s="501"/>
      <c r="F21" s="502"/>
      <c r="G21" s="500"/>
      <c r="H21" s="501"/>
      <c r="I21" s="502"/>
      <c r="J21" s="135"/>
      <c r="K21" s="136"/>
      <c r="L21" s="135"/>
      <c r="M21" s="202"/>
      <c r="N21" s="240"/>
      <c r="O21" s="491"/>
      <c r="P21" s="492"/>
    </row>
    <row r="22" spans="1:16" ht="15.75" customHeight="1" thickTop="1" thickBot="1">
      <c r="A22" s="498"/>
      <c r="B22" s="499"/>
      <c r="C22" s="493"/>
      <c r="D22" s="493"/>
      <c r="E22" s="493"/>
      <c r="F22" s="493"/>
      <c r="G22" s="493"/>
      <c r="H22" s="493"/>
      <c r="I22" s="494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0</v>
      </c>
      <c r="N22" s="495"/>
      <c r="O22" s="496"/>
      <c r="P22" s="497"/>
    </row>
    <row r="23" spans="1:16" ht="15.75" customHeight="1" thickTop="1"/>
    <row r="24" spans="1:16" ht="15.75" customHeight="1">
      <c r="A24" s="498" t="s">
        <v>192</v>
      </c>
      <c r="B24" s="498"/>
      <c r="C24" s="130" t="s">
        <v>46</v>
      </c>
      <c r="D24" s="506" t="s">
        <v>12</v>
      </c>
      <c r="E24" s="507"/>
      <c r="F24" s="508"/>
      <c r="G24" s="131" t="s">
        <v>52</v>
      </c>
      <c r="H24" s="132"/>
      <c r="I24" s="130"/>
      <c r="J24" s="133" t="s">
        <v>53</v>
      </c>
      <c r="K24" s="350" t="s">
        <v>537</v>
      </c>
      <c r="L24" s="133" t="s">
        <v>55</v>
      </c>
      <c r="M24" s="133" t="s">
        <v>11</v>
      </c>
      <c r="N24" s="133" t="s">
        <v>13</v>
      </c>
      <c r="O24" s="509" t="s">
        <v>50</v>
      </c>
      <c r="P24" s="510"/>
    </row>
    <row r="25" spans="1:16" ht="15.75" customHeight="1">
      <c r="A25" s="498">
        <v>3</v>
      </c>
      <c r="B25" s="499" t="s">
        <v>193</v>
      </c>
      <c r="C25" s="134">
        <v>1</v>
      </c>
      <c r="D25" s="500"/>
      <c r="E25" s="501"/>
      <c r="F25" s="502"/>
      <c r="G25" s="500"/>
      <c r="H25" s="501"/>
      <c r="I25" s="502"/>
      <c r="J25" s="135"/>
      <c r="K25" s="136"/>
      <c r="L25" s="135"/>
      <c r="M25" s="137">
        <f t="shared" ref="M25:M29" si="1">L25*J25</f>
        <v>0</v>
      </c>
      <c r="N25" s="135"/>
      <c r="O25" s="138"/>
      <c r="P25" s="139"/>
    </row>
    <row r="26" spans="1:16" ht="15.75" customHeight="1">
      <c r="A26" s="498"/>
      <c r="B26" s="499"/>
      <c r="C26" s="134">
        <v>2</v>
      </c>
      <c r="D26" s="500"/>
      <c r="E26" s="501"/>
      <c r="F26" s="502"/>
      <c r="G26" s="500"/>
      <c r="H26" s="501"/>
      <c r="I26" s="502"/>
      <c r="J26" s="135"/>
      <c r="K26" s="136"/>
      <c r="L26" s="135"/>
      <c r="M26" s="137">
        <f t="shared" si="1"/>
        <v>0</v>
      </c>
      <c r="N26" s="135"/>
      <c r="O26" s="138"/>
      <c r="P26" s="139"/>
    </row>
    <row r="27" spans="1:16" ht="15.75" customHeight="1">
      <c r="A27" s="498"/>
      <c r="B27" s="499"/>
      <c r="C27" s="134">
        <v>3</v>
      </c>
      <c r="D27" s="500"/>
      <c r="E27" s="501"/>
      <c r="F27" s="502"/>
      <c r="G27" s="500"/>
      <c r="H27" s="501"/>
      <c r="I27" s="502"/>
      <c r="J27" s="135"/>
      <c r="K27" s="136"/>
      <c r="L27" s="135"/>
      <c r="M27" s="137">
        <f t="shared" si="1"/>
        <v>0</v>
      </c>
      <c r="N27" s="135"/>
      <c r="O27" s="138"/>
      <c r="P27" s="139"/>
    </row>
    <row r="28" spans="1:16" ht="15.75" customHeight="1">
      <c r="A28" s="498"/>
      <c r="B28" s="499"/>
      <c r="C28" s="134">
        <v>4</v>
      </c>
      <c r="D28" s="500"/>
      <c r="E28" s="501"/>
      <c r="F28" s="502"/>
      <c r="G28" s="500"/>
      <c r="H28" s="501"/>
      <c r="I28" s="502"/>
      <c r="J28" s="135"/>
      <c r="K28" s="136"/>
      <c r="L28" s="135"/>
      <c r="M28" s="137">
        <f t="shared" si="1"/>
        <v>0</v>
      </c>
      <c r="N28" s="135"/>
      <c r="O28" s="138"/>
      <c r="P28" s="139"/>
    </row>
    <row r="29" spans="1:16" ht="15.75" customHeight="1" thickBot="1">
      <c r="A29" s="498"/>
      <c r="B29" s="499"/>
      <c r="C29" s="140">
        <v>5</v>
      </c>
      <c r="D29" s="503"/>
      <c r="E29" s="504"/>
      <c r="F29" s="505"/>
      <c r="G29" s="503"/>
      <c r="H29" s="504"/>
      <c r="I29" s="505"/>
      <c r="J29" s="141"/>
      <c r="K29" s="142"/>
      <c r="L29" s="141"/>
      <c r="M29" s="143">
        <f t="shared" si="1"/>
        <v>0</v>
      </c>
      <c r="N29" s="135"/>
      <c r="O29" s="144"/>
      <c r="P29" s="145"/>
    </row>
    <row r="30" spans="1:16" ht="15.75" customHeight="1" thickTop="1" thickBot="1">
      <c r="A30" s="498"/>
      <c r="B30" s="499"/>
      <c r="C30" s="493"/>
      <c r="D30" s="493"/>
      <c r="E30" s="493"/>
      <c r="F30" s="493"/>
      <c r="G30" s="493"/>
      <c r="H30" s="493"/>
      <c r="I30" s="494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5"/>
      <c r="O30" s="496"/>
      <c r="P30" s="497"/>
    </row>
    <row r="31" spans="1:16" ht="15.75" customHeight="1" thickTop="1"/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topLeftCell="A13" zoomScale="115" zoomScaleNormal="60" zoomScaleSheetLayoutView="115" workbookViewId="0">
      <selection activeCell="L26" sqref="L2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15" t="s">
        <v>197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23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s="122" customFormat="1" ht="15.75" customHeight="1">
      <c r="A3" s="516" t="s">
        <v>559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7" s="123" customFormat="1" ht="15.75" customHeight="1">
      <c r="A4" s="516"/>
      <c r="B4" s="516"/>
      <c r="C4" s="516"/>
      <c r="D4" s="516"/>
      <c r="E4" s="516"/>
      <c r="F4" s="516"/>
      <c r="G4" s="516"/>
      <c r="H4" s="516"/>
      <c r="I4" s="516"/>
      <c r="J4" s="516"/>
      <c r="K4" s="516"/>
      <c r="L4" s="516"/>
      <c r="M4" s="516"/>
    </row>
    <row r="5" spans="1:17" s="122" customFormat="1" ht="15.75" customHeight="1">
      <c r="A5" s="399" t="s">
        <v>191</v>
      </c>
      <c r="B5" s="498">
        <v>1</v>
      </c>
      <c r="C5" s="498"/>
      <c r="D5" s="498">
        <v>2</v>
      </c>
      <c r="E5" s="498"/>
      <c r="F5" s="498">
        <v>3</v>
      </c>
      <c r="G5" s="498"/>
      <c r="H5" s="518">
        <v>4</v>
      </c>
      <c r="I5" s="518"/>
      <c r="J5" s="518">
        <v>5</v>
      </c>
      <c r="K5" s="518"/>
      <c r="L5" s="518">
        <v>6</v>
      </c>
      <c r="M5" s="518"/>
      <c r="N5" s="518">
        <v>7</v>
      </c>
      <c r="O5" s="518"/>
      <c r="P5" s="498">
        <v>8</v>
      </c>
      <c r="Q5" s="498"/>
    </row>
    <row r="6" spans="1:17" s="122" customFormat="1" ht="15.75" customHeight="1">
      <c r="A6" s="399"/>
      <c r="B6" s="399" t="s">
        <v>312</v>
      </c>
      <c r="C6" s="399"/>
      <c r="D6" s="399" t="s">
        <v>199</v>
      </c>
      <c r="E6" s="399"/>
      <c r="F6" s="399" t="s">
        <v>167</v>
      </c>
      <c r="G6" s="399"/>
      <c r="H6" s="519" t="s">
        <v>477</v>
      </c>
      <c r="I6" s="519"/>
      <c r="J6" s="519" t="s">
        <v>189</v>
      </c>
      <c r="K6" s="519"/>
      <c r="L6" s="519" t="s">
        <v>168</v>
      </c>
      <c r="M6" s="519"/>
      <c r="N6" s="519" t="s">
        <v>190</v>
      </c>
      <c r="O6" s="519"/>
      <c r="P6" s="514" t="s">
        <v>203</v>
      </c>
      <c r="Q6" s="399"/>
    </row>
    <row r="7" spans="1:17" s="122" customFormat="1" ht="15.75" customHeight="1">
      <c r="B7" s="149"/>
      <c r="C7" s="128"/>
    </row>
    <row r="8" spans="1:17" s="112" customFormat="1" ht="15.75" customHeight="1">
      <c r="A8" s="527" t="s">
        <v>192</v>
      </c>
      <c r="B8" s="528"/>
      <c r="C8" s="119" t="s">
        <v>46</v>
      </c>
      <c r="D8" s="529" t="s">
        <v>12</v>
      </c>
      <c r="E8" s="530"/>
      <c r="F8" s="531"/>
      <c r="G8" s="117" t="s">
        <v>52</v>
      </c>
      <c r="H8" s="118"/>
      <c r="I8" s="119"/>
      <c r="J8" s="116" t="s">
        <v>53</v>
      </c>
      <c r="K8" s="116" t="s">
        <v>558</v>
      </c>
      <c r="L8" s="116" t="s">
        <v>55</v>
      </c>
      <c r="M8" s="120" t="s">
        <v>11</v>
      </c>
      <c r="N8" s="120" t="s">
        <v>316</v>
      </c>
      <c r="O8" s="532" t="s">
        <v>50</v>
      </c>
      <c r="P8" s="533"/>
    </row>
    <row r="9" spans="1:17" ht="15.75" customHeight="1">
      <c r="A9" s="528">
        <v>4</v>
      </c>
      <c r="B9" s="542" t="s">
        <v>486</v>
      </c>
      <c r="C9" s="114">
        <v>1</v>
      </c>
      <c r="D9" s="545" t="s">
        <v>366</v>
      </c>
      <c r="E9" s="540"/>
      <c r="F9" s="541"/>
      <c r="G9" s="511" t="s">
        <v>615</v>
      </c>
      <c r="H9" s="537"/>
      <c r="I9" s="538"/>
      <c r="J9" s="4">
        <v>85</v>
      </c>
      <c r="K9" s="14">
        <v>6.5000000000000002E-2</v>
      </c>
      <c r="L9" s="4">
        <v>105.1</v>
      </c>
      <c r="M9" s="205">
        <f t="shared" ref="M9:M12" si="0">L9*J9</f>
        <v>8933.5</v>
      </c>
      <c r="N9" s="237"/>
      <c r="O9" s="520" t="s">
        <v>612</v>
      </c>
      <c r="P9" s="521"/>
    </row>
    <row r="10" spans="1:17" ht="15.75" customHeight="1">
      <c r="A10" s="528"/>
      <c r="B10" s="543"/>
      <c r="C10" s="114">
        <v>2</v>
      </c>
      <c r="D10" s="546" t="s">
        <v>618</v>
      </c>
      <c r="E10" s="537"/>
      <c r="F10" s="538"/>
      <c r="G10" s="511" t="s">
        <v>617</v>
      </c>
      <c r="H10" s="537"/>
      <c r="I10" s="538"/>
      <c r="J10" s="4">
        <v>206</v>
      </c>
      <c r="K10" s="14">
        <v>0.32100000000000001</v>
      </c>
      <c r="L10" s="4">
        <v>16.5</v>
      </c>
      <c r="M10" s="205">
        <f t="shared" si="0"/>
        <v>3399</v>
      </c>
      <c r="N10" s="237"/>
      <c r="O10" s="520" t="s">
        <v>612</v>
      </c>
      <c r="P10" s="521"/>
    </row>
    <row r="11" spans="1:17" ht="15.75" customHeight="1">
      <c r="A11" s="528"/>
      <c r="B11" s="543"/>
      <c r="C11" s="114">
        <v>3</v>
      </c>
      <c r="D11" s="546" t="s">
        <v>474</v>
      </c>
      <c r="E11" s="537"/>
      <c r="F11" s="538"/>
      <c r="G11" s="547" t="s">
        <v>623</v>
      </c>
      <c r="H11" s="537"/>
      <c r="I11" s="538"/>
      <c r="J11" s="4">
        <v>250.1</v>
      </c>
      <c r="K11" s="14">
        <v>5.5E-2</v>
      </c>
      <c r="L11" s="4">
        <v>12.6</v>
      </c>
      <c r="M11" s="205">
        <f t="shared" si="0"/>
        <v>3151.2599999999998</v>
      </c>
      <c r="N11" s="237"/>
      <c r="O11" s="520" t="s">
        <v>612</v>
      </c>
      <c r="P11" s="521"/>
    </row>
    <row r="12" spans="1:17" ht="15.75" customHeight="1">
      <c r="A12" s="528"/>
      <c r="B12" s="543"/>
      <c r="C12" s="114">
        <v>4</v>
      </c>
      <c r="D12" s="546" t="s">
        <v>365</v>
      </c>
      <c r="E12" s="537"/>
      <c r="F12" s="538"/>
      <c r="G12" s="511" t="s">
        <v>624</v>
      </c>
      <c r="H12" s="537"/>
      <c r="I12" s="538"/>
      <c r="J12" s="4">
        <v>922.7</v>
      </c>
      <c r="K12" s="14">
        <v>0.19700000000000001</v>
      </c>
      <c r="L12" s="4">
        <v>2.6</v>
      </c>
      <c r="M12" s="205">
        <f t="shared" si="0"/>
        <v>2399.02</v>
      </c>
      <c r="N12" s="237"/>
      <c r="O12" s="520" t="s">
        <v>612</v>
      </c>
      <c r="P12" s="521"/>
    </row>
    <row r="13" spans="1:17" ht="15.75" customHeight="1" thickBot="1">
      <c r="A13" s="528"/>
      <c r="B13" s="543"/>
      <c r="C13" s="115">
        <v>5</v>
      </c>
      <c r="D13" s="546" t="s">
        <v>474</v>
      </c>
      <c r="E13" s="537"/>
      <c r="F13" s="538"/>
      <c r="G13" s="545" t="s">
        <v>625</v>
      </c>
      <c r="H13" s="540"/>
      <c r="I13" s="541"/>
      <c r="J13" s="27">
        <v>139</v>
      </c>
      <c r="K13" s="30">
        <v>3.4000000000000002E-2</v>
      </c>
      <c r="L13" s="27">
        <v>11.8</v>
      </c>
      <c r="M13" s="205">
        <f t="shared" ref="M13" si="1">L13*J13</f>
        <v>1640.2</v>
      </c>
      <c r="N13" s="237"/>
      <c r="O13" s="520" t="s">
        <v>612</v>
      </c>
      <c r="P13" s="521"/>
    </row>
    <row r="14" spans="1:17" ht="15.75" customHeight="1" thickTop="1" thickBot="1">
      <c r="A14" s="528"/>
      <c r="B14" s="543"/>
      <c r="C14" s="534"/>
      <c r="D14" s="534"/>
      <c r="E14" s="534"/>
      <c r="F14" s="534"/>
      <c r="G14" s="534"/>
      <c r="H14" s="534"/>
      <c r="I14" s="535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2"/>
      <c r="O14" s="523"/>
      <c r="P14" s="524"/>
    </row>
    <row r="15" spans="1:17" ht="15.75" customHeight="1" thickTop="1"/>
    <row r="16" spans="1:17" ht="15.75" customHeight="1">
      <c r="A16" s="527" t="s">
        <v>192</v>
      </c>
      <c r="B16" s="528"/>
      <c r="C16" s="119" t="s">
        <v>46</v>
      </c>
      <c r="D16" s="529" t="s">
        <v>12</v>
      </c>
      <c r="E16" s="530"/>
      <c r="F16" s="531"/>
      <c r="G16" s="117" t="s">
        <v>52</v>
      </c>
      <c r="H16" s="118"/>
      <c r="I16" s="119"/>
      <c r="J16" s="116" t="s">
        <v>53</v>
      </c>
      <c r="K16" s="116" t="s">
        <v>558</v>
      </c>
      <c r="L16" s="116" t="s">
        <v>55</v>
      </c>
      <c r="M16" s="120" t="s">
        <v>11</v>
      </c>
      <c r="N16" s="120" t="s">
        <v>316</v>
      </c>
      <c r="O16" s="532" t="s">
        <v>50</v>
      </c>
      <c r="P16" s="533"/>
    </row>
    <row r="17" spans="1:16" ht="15.75" customHeight="1">
      <c r="A17" s="528">
        <v>5</v>
      </c>
      <c r="B17" s="542" t="s">
        <v>201</v>
      </c>
      <c r="C17" s="114">
        <v>1</v>
      </c>
      <c r="D17" s="512" t="s">
        <v>618</v>
      </c>
      <c r="E17" s="537"/>
      <c r="F17" s="538"/>
      <c r="G17" s="546" t="s">
        <v>619</v>
      </c>
      <c r="H17" s="537"/>
      <c r="I17" s="538"/>
      <c r="J17" s="4">
        <v>164</v>
      </c>
      <c r="K17" s="14">
        <v>7.0000000000000007E-2</v>
      </c>
      <c r="L17" s="4">
        <v>86.7</v>
      </c>
      <c r="M17" s="204">
        <f t="shared" ref="M17:M20" si="2">L17*J17</f>
        <v>14218.800000000001</v>
      </c>
      <c r="N17" s="4"/>
      <c r="O17" s="520" t="s">
        <v>627</v>
      </c>
      <c r="P17" s="521"/>
    </row>
    <row r="18" spans="1:16" ht="15.75" customHeight="1">
      <c r="A18" s="528"/>
      <c r="B18" s="543"/>
      <c r="C18" s="114">
        <v>2</v>
      </c>
      <c r="D18" s="512" t="s">
        <v>470</v>
      </c>
      <c r="E18" s="537"/>
      <c r="F18" s="538"/>
      <c r="G18" s="544" t="s">
        <v>626</v>
      </c>
      <c r="H18" s="537"/>
      <c r="I18" s="538"/>
      <c r="J18" s="4">
        <v>81.2</v>
      </c>
      <c r="K18" s="14">
        <v>0.34</v>
      </c>
      <c r="L18" s="4">
        <v>68.599999999999994</v>
      </c>
      <c r="M18" s="204">
        <f t="shared" ref="M18" si="3">L18*J18</f>
        <v>5570.32</v>
      </c>
      <c r="N18" s="4"/>
      <c r="O18" s="520"/>
      <c r="P18" s="521"/>
    </row>
    <row r="19" spans="1:16" ht="15.75" customHeight="1">
      <c r="A19" s="528"/>
      <c r="B19" s="543"/>
      <c r="C19" s="114">
        <v>3</v>
      </c>
      <c r="D19" s="536"/>
      <c r="E19" s="537"/>
      <c r="F19" s="538"/>
      <c r="G19" s="536"/>
      <c r="H19" s="537"/>
      <c r="I19" s="538"/>
      <c r="J19" s="4"/>
      <c r="K19" s="14"/>
      <c r="L19" s="4"/>
      <c r="M19" s="204">
        <f t="shared" si="2"/>
        <v>0</v>
      </c>
      <c r="N19" s="4"/>
      <c r="O19" s="520"/>
      <c r="P19" s="521"/>
    </row>
    <row r="20" spans="1:16" ht="15.75" customHeight="1">
      <c r="A20" s="528"/>
      <c r="B20" s="543"/>
      <c r="C20" s="114">
        <v>4</v>
      </c>
      <c r="D20" s="536"/>
      <c r="E20" s="537"/>
      <c r="F20" s="538"/>
      <c r="G20" s="536"/>
      <c r="H20" s="537"/>
      <c r="I20" s="538"/>
      <c r="J20" s="4"/>
      <c r="K20" s="14"/>
      <c r="L20" s="4"/>
      <c r="M20" s="204">
        <f t="shared" si="2"/>
        <v>0</v>
      </c>
      <c r="N20" s="4"/>
      <c r="O20" s="76"/>
      <c r="P20" s="74"/>
    </row>
    <row r="21" spans="1:16" ht="15.75" customHeight="1" thickBot="1">
      <c r="A21" s="528"/>
      <c r="B21" s="543"/>
      <c r="C21" s="115">
        <v>5</v>
      </c>
      <c r="D21" s="539"/>
      <c r="E21" s="540"/>
      <c r="F21" s="541"/>
      <c r="G21" s="539"/>
      <c r="H21" s="540"/>
      <c r="I21" s="541"/>
      <c r="J21" s="27"/>
      <c r="K21" s="30"/>
      <c r="L21" s="27"/>
      <c r="M21" s="204">
        <f t="shared" ref="M21" si="4">L21*J21</f>
        <v>0</v>
      </c>
      <c r="N21" s="4"/>
      <c r="O21" s="77"/>
      <c r="P21" s="75"/>
    </row>
    <row r="22" spans="1:16" ht="15.75" customHeight="1" thickTop="1" thickBot="1">
      <c r="A22" s="528"/>
      <c r="B22" s="543"/>
      <c r="C22" s="534"/>
      <c r="D22" s="534"/>
      <c r="E22" s="534"/>
      <c r="F22" s="534"/>
      <c r="G22" s="534"/>
      <c r="H22" s="534"/>
      <c r="I22" s="535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2"/>
      <c r="O22" s="523"/>
      <c r="P22" s="524"/>
    </row>
    <row r="23" spans="1:16" ht="15.75" customHeight="1" thickTop="1"/>
    <row r="24" spans="1:16" ht="15.75" customHeight="1">
      <c r="A24" s="527" t="s">
        <v>192</v>
      </c>
      <c r="B24" s="528"/>
      <c r="C24" s="119" t="s">
        <v>46</v>
      </c>
      <c r="D24" s="529" t="s">
        <v>12</v>
      </c>
      <c r="E24" s="530"/>
      <c r="F24" s="531"/>
      <c r="G24" s="117" t="s">
        <v>52</v>
      </c>
      <c r="H24" s="118"/>
      <c r="I24" s="119"/>
      <c r="J24" s="116" t="s">
        <v>53</v>
      </c>
      <c r="K24" s="116" t="s">
        <v>558</v>
      </c>
      <c r="L24" s="116" t="s">
        <v>55</v>
      </c>
      <c r="M24" s="120" t="s">
        <v>11</v>
      </c>
      <c r="N24" s="120" t="s">
        <v>13</v>
      </c>
      <c r="O24" s="532" t="s">
        <v>50</v>
      </c>
      <c r="P24" s="533"/>
    </row>
    <row r="25" spans="1:16" ht="15.75" customHeight="1">
      <c r="A25" s="528">
        <v>6</v>
      </c>
      <c r="B25" s="542" t="s">
        <v>202</v>
      </c>
      <c r="C25" s="114">
        <v>1</v>
      </c>
      <c r="D25" s="500" t="s">
        <v>608</v>
      </c>
      <c r="E25" s="501"/>
      <c r="F25" s="502"/>
      <c r="G25" s="500" t="s">
        <v>607</v>
      </c>
      <c r="H25" s="501"/>
      <c r="I25" s="502"/>
      <c r="J25" s="135">
        <v>335.3</v>
      </c>
      <c r="K25" s="136">
        <v>2.9000000000000001E-2</v>
      </c>
      <c r="L25" s="135">
        <v>4.7</v>
      </c>
      <c r="M25" s="204">
        <f t="shared" ref="M25" si="5">L25*J25</f>
        <v>1575.91</v>
      </c>
      <c r="N25" s="237">
        <v>0.53300000000000003</v>
      </c>
      <c r="O25" s="511"/>
      <c r="P25" s="513"/>
    </row>
    <row r="26" spans="1:16" ht="15.75" customHeight="1">
      <c r="A26" s="528"/>
      <c r="B26" s="543"/>
      <c r="C26" s="114">
        <v>2</v>
      </c>
      <c r="D26" s="511"/>
      <c r="E26" s="537"/>
      <c r="F26" s="538"/>
      <c r="G26" s="511"/>
      <c r="H26" s="537"/>
      <c r="I26" s="538"/>
      <c r="J26" s="4"/>
      <c r="K26" s="14"/>
      <c r="L26" s="4"/>
      <c r="M26" s="202"/>
      <c r="N26" s="237"/>
      <c r="O26" s="511"/>
      <c r="P26" s="513"/>
    </row>
    <row r="27" spans="1:16" ht="15.75" customHeight="1">
      <c r="A27" s="528"/>
      <c r="B27" s="543"/>
      <c r="C27" s="114">
        <v>3</v>
      </c>
      <c r="D27" s="511"/>
      <c r="E27" s="537"/>
      <c r="F27" s="538"/>
      <c r="G27" s="544"/>
      <c r="H27" s="537"/>
      <c r="I27" s="538"/>
      <c r="J27" s="4"/>
      <c r="K27" s="14"/>
      <c r="L27" s="4"/>
      <c r="M27" s="202"/>
      <c r="N27" s="237"/>
      <c r="O27" s="511"/>
      <c r="P27" s="513"/>
    </row>
    <row r="28" spans="1:16" ht="15.75" customHeight="1">
      <c r="A28" s="528"/>
      <c r="B28" s="543"/>
      <c r="C28" s="114">
        <v>4</v>
      </c>
      <c r="D28" s="536"/>
      <c r="E28" s="537"/>
      <c r="F28" s="538"/>
      <c r="G28" s="536"/>
      <c r="H28" s="537"/>
      <c r="I28" s="538"/>
      <c r="J28" s="4"/>
      <c r="K28" s="14"/>
      <c r="L28" s="4"/>
      <c r="M28" s="204"/>
      <c r="N28" s="237"/>
      <c r="O28" s="520"/>
      <c r="P28" s="525"/>
    </row>
    <row r="29" spans="1:16" ht="15.75" customHeight="1" thickBot="1">
      <c r="A29" s="528"/>
      <c r="B29" s="543"/>
      <c r="C29" s="115">
        <v>5</v>
      </c>
      <c r="D29" s="539"/>
      <c r="E29" s="540"/>
      <c r="F29" s="541"/>
      <c r="G29" s="539"/>
      <c r="H29" s="540"/>
      <c r="I29" s="541"/>
      <c r="J29" s="27"/>
      <c r="K29" s="30"/>
      <c r="L29" s="27"/>
      <c r="M29" s="205"/>
      <c r="N29" s="237"/>
      <c r="O29" s="526"/>
      <c r="P29" s="521"/>
    </row>
    <row r="30" spans="1:16" ht="15.75" customHeight="1" thickTop="1" thickBot="1">
      <c r="A30" s="528"/>
      <c r="B30" s="543"/>
      <c r="C30" s="534"/>
      <c r="D30" s="534"/>
      <c r="E30" s="534"/>
      <c r="F30" s="534"/>
      <c r="G30" s="534"/>
      <c r="H30" s="534"/>
      <c r="I30" s="535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2"/>
      <c r="O30" s="523"/>
      <c r="P30" s="524"/>
    </row>
    <row r="31" spans="1:16" ht="15.75" customHeight="1" thickTop="1"/>
    <row r="32" spans="1:16" ht="15.75" customHeight="1">
      <c r="A32" s="527" t="s">
        <v>192</v>
      </c>
      <c r="B32" s="528"/>
      <c r="C32" s="119" t="s">
        <v>46</v>
      </c>
      <c r="D32" s="529" t="s">
        <v>12</v>
      </c>
      <c r="E32" s="530"/>
      <c r="F32" s="531"/>
      <c r="G32" s="117" t="s">
        <v>52</v>
      </c>
      <c r="H32" s="118"/>
      <c r="I32" s="119"/>
      <c r="J32" s="116" t="s">
        <v>53</v>
      </c>
      <c r="K32" s="116" t="s">
        <v>558</v>
      </c>
      <c r="L32" s="116" t="s">
        <v>55</v>
      </c>
      <c r="M32" s="120" t="s">
        <v>11</v>
      </c>
      <c r="N32" s="120" t="s">
        <v>13</v>
      </c>
      <c r="O32" s="532" t="s">
        <v>50</v>
      </c>
      <c r="P32" s="533"/>
    </row>
    <row r="33" spans="1:16" ht="15.75" customHeight="1">
      <c r="A33" s="528">
        <v>7</v>
      </c>
      <c r="B33" s="542" t="s">
        <v>193</v>
      </c>
      <c r="C33" s="114">
        <v>1</v>
      </c>
      <c r="D33" s="536"/>
      <c r="E33" s="537"/>
      <c r="F33" s="538"/>
      <c r="G33" s="536"/>
      <c r="H33" s="537"/>
      <c r="I33" s="53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8"/>
      <c r="B34" s="543"/>
      <c r="C34" s="114">
        <v>2</v>
      </c>
      <c r="D34" s="536"/>
      <c r="E34" s="537"/>
      <c r="F34" s="538"/>
      <c r="G34" s="536"/>
      <c r="H34" s="537"/>
      <c r="I34" s="53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8"/>
      <c r="B35" s="543"/>
      <c r="C35" s="114">
        <v>3</v>
      </c>
      <c r="D35" s="536"/>
      <c r="E35" s="537"/>
      <c r="F35" s="538"/>
      <c r="G35" s="536"/>
      <c r="H35" s="537"/>
      <c r="I35" s="53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8"/>
      <c r="B36" s="543"/>
      <c r="C36" s="114">
        <v>4</v>
      </c>
      <c r="D36" s="536"/>
      <c r="E36" s="537"/>
      <c r="F36" s="538"/>
      <c r="G36" s="536"/>
      <c r="H36" s="537"/>
      <c r="I36" s="53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28"/>
      <c r="B37" s="543"/>
      <c r="C37" s="115">
        <v>5</v>
      </c>
      <c r="D37" s="539"/>
      <c r="E37" s="540"/>
      <c r="F37" s="541"/>
      <c r="G37" s="539"/>
      <c r="H37" s="540"/>
      <c r="I37" s="541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28"/>
      <c r="B38" s="543"/>
      <c r="C38" s="534"/>
      <c r="D38" s="534"/>
      <c r="E38" s="534"/>
      <c r="F38" s="534"/>
      <c r="G38" s="534"/>
      <c r="H38" s="534"/>
      <c r="I38" s="535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2"/>
      <c r="O38" s="523"/>
      <c r="P38" s="524"/>
    </row>
    <row r="39" spans="1:16" ht="15.75" customHeight="1" thickTop="1"/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K13" sqref="K13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6384" width="12.5703125" style="122"/>
  </cols>
  <sheetData>
    <row r="1" spans="1:17" ht="15.75" customHeight="1">
      <c r="A1" s="515" t="s">
        <v>197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23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ht="15.75" customHeight="1">
      <c r="A3" s="516" t="s">
        <v>204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</row>
    <row r="4" spans="1:17" s="123" customFormat="1" ht="15.75" customHeight="1">
      <c r="A4" s="556"/>
      <c r="B4" s="556"/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556"/>
      <c r="P4" s="556"/>
      <c r="Q4" s="556"/>
    </row>
    <row r="5" spans="1:17" ht="15.75" customHeight="1">
      <c r="A5" s="399" t="s">
        <v>191</v>
      </c>
      <c r="B5" s="498">
        <v>1</v>
      </c>
      <c r="C5" s="498"/>
      <c r="D5" s="498">
        <v>2</v>
      </c>
      <c r="E5" s="498"/>
      <c r="F5" s="498">
        <v>3</v>
      </c>
      <c r="G5" s="498"/>
      <c r="H5" s="498">
        <v>4</v>
      </c>
      <c r="I5" s="498"/>
      <c r="J5" s="498">
        <v>5</v>
      </c>
      <c r="K5" s="498"/>
      <c r="L5" s="498">
        <v>6</v>
      </c>
      <c r="M5" s="498"/>
      <c r="N5" s="498">
        <v>7</v>
      </c>
      <c r="O5" s="498"/>
      <c r="P5" s="518">
        <v>8</v>
      </c>
      <c r="Q5" s="518"/>
    </row>
    <row r="6" spans="1:17" ht="15.75" customHeight="1">
      <c r="A6" s="399"/>
      <c r="B6" s="399" t="s">
        <v>313</v>
      </c>
      <c r="C6" s="399"/>
      <c r="D6" s="399" t="s">
        <v>205</v>
      </c>
      <c r="E6" s="399"/>
      <c r="F6" s="399" t="s">
        <v>167</v>
      </c>
      <c r="G6" s="399"/>
      <c r="H6" s="514" t="s">
        <v>491</v>
      </c>
      <c r="I6" s="514"/>
      <c r="J6" s="399" t="s">
        <v>189</v>
      </c>
      <c r="K6" s="399"/>
      <c r="L6" s="399" t="s">
        <v>168</v>
      </c>
      <c r="M6" s="399"/>
      <c r="N6" s="399" t="s">
        <v>190</v>
      </c>
      <c r="O6" s="399"/>
      <c r="P6" s="519" t="s">
        <v>206</v>
      </c>
      <c r="Q6" s="519"/>
    </row>
    <row r="8" spans="1:17" s="124" customFormat="1" ht="15.75" customHeight="1">
      <c r="A8" s="129" t="s">
        <v>195</v>
      </c>
      <c r="B8" s="153" t="s">
        <v>18</v>
      </c>
      <c r="C8" s="554" t="s">
        <v>12</v>
      </c>
      <c r="D8" s="554"/>
      <c r="E8" s="554"/>
      <c r="F8" s="554" t="s">
        <v>52</v>
      </c>
      <c r="G8" s="554"/>
      <c r="H8" s="554"/>
      <c r="I8" s="153" t="s">
        <v>53</v>
      </c>
      <c r="J8" s="154" t="s">
        <v>19</v>
      </c>
      <c r="K8" s="153" t="s">
        <v>56</v>
      </c>
      <c r="L8" s="153" t="s">
        <v>2</v>
      </c>
      <c r="M8" s="557" t="s">
        <v>49</v>
      </c>
      <c r="N8" s="493"/>
      <c r="O8" s="493"/>
      <c r="P8" s="493"/>
      <c r="Q8" s="493"/>
    </row>
    <row r="9" spans="1:17" ht="15.75" customHeight="1">
      <c r="A9" s="554" t="s">
        <v>194</v>
      </c>
      <c r="B9" s="127">
        <v>1</v>
      </c>
      <c r="C9" s="549"/>
      <c r="D9" s="550"/>
      <c r="E9" s="550"/>
      <c r="F9" s="549"/>
      <c r="G9" s="550"/>
      <c r="H9" s="550"/>
      <c r="I9" s="125"/>
      <c r="J9" s="126"/>
      <c r="K9" s="126"/>
      <c r="L9" s="152">
        <f t="shared" ref="L9:L13" si="0">K9-J9</f>
        <v>0</v>
      </c>
      <c r="M9" s="549"/>
      <c r="N9" s="549"/>
      <c r="O9" s="549"/>
      <c r="P9" s="549"/>
      <c r="Q9" s="549"/>
    </row>
    <row r="10" spans="1:17" ht="15.75" customHeight="1">
      <c r="A10" s="555"/>
      <c r="B10" s="127">
        <v>2</v>
      </c>
      <c r="C10" s="549"/>
      <c r="D10" s="550"/>
      <c r="E10" s="550"/>
      <c r="F10" s="549"/>
      <c r="G10" s="550"/>
      <c r="H10" s="550"/>
      <c r="I10" s="125"/>
      <c r="J10" s="126"/>
      <c r="K10" s="126"/>
      <c r="L10" s="152">
        <f t="shared" si="0"/>
        <v>0</v>
      </c>
      <c r="M10" s="549"/>
      <c r="N10" s="549"/>
      <c r="O10" s="549"/>
      <c r="P10" s="549"/>
      <c r="Q10" s="549"/>
    </row>
    <row r="11" spans="1:17" ht="15.75" customHeight="1">
      <c r="A11" s="555"/>
      <c r="B11" s="127">
        <v>3</v>
      </c>
      <c r="C11" s="549"/>
      <c r="D11" s="550"/>
      <c r="E11" s="550"/>
      <c r="F11" s="549"/>
      <c r="G11" s="550"/>
      <c r="H11" s="550"/>
      <c r="I11" s="125"/>
      <c r="J11" s="126"/>
      <c r="K11" s="126"/>
      <c r="L11" s="152">
        <f t="shared" si="0"/>
        <v>0</v>
      </c>
      <c r="M11" s="549"/>
      <c r="N11" s="549"/>
      <c r="O11" s="549"/>
      <c r="P11" s="549"/>
      <c r="Q11" s="549"/>
    </row>
    <row r="12" spans="1:17" ht="15.75" customHeight="1">
      <c r="A12" s="555"/>
      <c r="B12" s="127">
        <v>4</v>
      </c>
      <c r="C12" s="549"/>
      <c r="D12" s="550"/>
      <c r="E12" s="550"/>
      <c r="F12" s="549"/>
      <c r="G12" s="550"/>
      <c r="H12" s="550"/>
      <c r="I12" s="125"/>
      <c r="J12" s="126"/>
      <c r="K12" s="126"/>
      <c r="L12" s="152">
        <f t="shared" si="0"/>
        <v>0</v>
      </c>
      <c r="M12" s="549"/>
      <c r="N12" s="549"/>
      <c r="O12" s="549"/>
      <c r="P12" s="549"/>
      <c r="Q12" s="549"/>
    </row>
    <row r="13" spans="1:17" ht="15.75" customHeight="1">
      <c r="A13" s="555"/>
      <c r="B13" s="127">
        <v>5</v>
      </c>
      <c r="C13" s="549"/>
      <c r="D13" s="550"/>
      <c r="E13" s="550"/>
      <c r="F13" s="549"/>
      <c r="G13" s="550"/>
      <c r="H13" s="550"/>
      <c r="I13" s="125"/>
      <c r="J13" s="126"/>
      <c r="K13" s="126"/>
      <c r="L13" s="152">
        <f t="shared" si="0"/>
        <v>0</v>
      </c>
      <c r="M13" s="549"/>
      <c r="N13" s="549"/>
      <c r="O13" s="549"/>
      <c r="P13" s="549"/>
      <c r="Q13" s="549"/>
    </row>
    <row r="14" spans="1:17" ht="15.75" customHeight="1">
      <c r="A14" s="552"/>
      <c r="B14" s="552"/>
      <c r="C14" s="552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  <c r="O14" s="553"/>
    </row>
    <row r="15" spans="1:17" s="124" customFormat="1" ht="15.75" customHeight="1">
      <c r="A15" s="129" t="s">
        <v>195</v>
      </c>
      <c r="B15" s="129" t="s">
        <v>18</v>
      </c>
      <c r="C15" s="551" t="s">
        <v>12</v>
      </c>
      <c r="D15" s="551"/>
      <c r="E15" s="551"/>
      <c r="F15" s="551" t="s">
        <v>52</v>
      </c>
      <c r="G15" s="551"/>
      <c r="H15" s="551"/>
      <c r="I15" s="129" t="s">
        <v>53</v>
      </c>
      <c r="J15" s="151" t="s">
        <v>19</v>
      </c>
      <c r="K15" s="129" t="s">
        <v>56</v>
      </c>
      <c r="L15" s="129" t="s">
        <v>2</v>
      </c>
      <c r="M15" s="551" t="s">
        <v>49</v>
      </c>
      <c r="N15" s="551"/>
      <c r="O15" s="551"/>
      <c r="P15" s="551"/>
      <c r="Q15" s="551"/>
    </row>
    <row r="16" spans="1:17" ht="15.75" customHeight="1">
      <c r="A16" s="551" t="s">
        <v>196</v>
      </c>
      <c r="B16" s="127">
        <v>1</v>
      </c>
      <c r="C16" s="549"/>
      <c r="D16" s="550"/>
      <c r="E16" s="550"/>
      <c r="F16" s="549"/>
      <c r="G16" s="550"/>
      <c r="H16" s="550"/>
      <c r="I16" s="125"/>
      <c r="J16" s="126"/>
      <c r="K16" s="126"/>
      <c r="L16" s="152">
        <f t="shared" ref="L16:L19" si="1">K16-J16</f>
        <v>0</v>
      </c>
      <c r="M16" s="549"/>
      <c r="N16" s="549"/>
      <c r="O16" s="549"/>
      <c r="P16" s="549"/>
      <c r="Q16" s="549"/>
    </row>
    <row r="17" spans="1:17" ht="15.75" customHeight="1">
      <c r="A17" s="551"/>
      <c r="B17" s="127">
        <v>2</v>
      </c>
      <c r="C17" s="549"/>
      <c r="D17" s="550"/>
      <c r="E17" s="550"/>
      <c r="F17" s="549"/>
      <c r="G17" s="550"/>
      <c r="H17" s="550"/>
      <c r="I17" s="125"/>
      <c r="J17" s="126"/>
      <c r="K17" s="126"/>
      <c r="L17" s="152">
        <f t="shared" si="1"/>
        <v>0</v>
      </c>
      <c r="M17" s="549"/>
      <c r="N17" s="549"/>
      <c r="O17" s="549"/>
      <c r="P17" s="549"/>
      <c r="Q17" s="549"/>
    </row>
    <row r="18" spans="1:17" ht="15.75" customHeight="1">
      <c r="A18" s="551"/>
      <c r="B18" s="127">
        <v>3</v>
      </c>
      <c r="C18" s="549"/>
      <c r="D18" s="550"/>
      <c r="E18" s="550"/>
      <c r="F18" s="549"/>
      <c r="G18" s="550"/>
      <c r="H18" s="550"/>
      <c r="I18" s="125"/>
      <c r="J18" s="126"/>
      <c r="K18" s="126"/>
      <c r="L18" s="152">
        <f t="shared" si="1"/>
        <v>0</v>
      </c>
      <c r="M18" s="549"/>
      <c r="N18" s="549"/>
      <c r="O18" s="549"/>
      <c r="P18" s="549"/>
      <c r="Q18" s="549"/>
    </row>
    <row r="19" spans="1:17" ht="15.75" customHeight="1">
      <c r="A19" s="551"/>
      <c r="B19" s="127">
        <v>4</v>
      </c>
      <c r="C19" s="549"/>
      <c r="D19" s="550"/>
      <c r="E19" s="550"/>
      <c r="F19" s="549"/>
      <c r="G19" s="550"/>
      <c r="H19" s="550"/>
      <c r="I19" s="125"/>
      <c r="J19" s="126"/>
      <c r="K19" s="126"/>
      <c r="L19" s="152">
        <f t="shared" si="1"/>
        <v>0</v>
      </c>
      <c r="M19" s="549"/>
      <c r="N19" s="549"/>
      <c r="O19" s="549"/>
      <c r="P19" s="549"/>
      <c r="Q19" s="549"/>
    </row>
    <row r="20" spans="1:17" ht="15.75" customHeight="1">
      <c r="A20" s="551"/>
      <c r="B20" s="127">
        <v>5</v>
      </c>
      <c r="C20" s="549"/>
      <c r="D20" s="550"/>
      <c r="E20" s="550"/>
      <c r="F20" s="549"/>
      <c r="G20" s="550"/>
      <c r="H20" s="550"/>
      <c r="I20" s="125"/>
      <c r="J20" s="126"/>
      <c r="K20" s="126"/>
      <c r="L20" s="152">
        <f>K20-J20</f>
        <v>0</v>
      </c>
      <c r="M20" s="549"/>
      <c r="N20" s="549"/>
      <c r="O20" s="549"/>
      <c r="P20" s="549"/>
      <c r="Q20" s="54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40" zoomScaleNormal="4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E7" sqref="E7:E26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3.285156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8.8554687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4.2851562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58" t="s">
        <v>490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AA2" s="173"/>
      <c r="AB2" s="173"/>
    </row>
    <row r="3" spans="2:35" ht="17.100000000000001" customHeight="1">
      <c r="B3" s="560" t="s">
        <v>555</v>
      </c>
      <c r="C3" s="561"/>
      <c r="D3" s="566" t="s">
        <v>171</v>
      </c>
      <c r="E3" s="566"/>
      <c r="F3" s="566"/>
      <c r="G3" s="566" t="s">
        <v>185</v>
      </c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 t="s">
        <v>172</v>
      </c>
      <c r="U3" s="567" t="s">
        <v>225</v>
      </c>
      <c r="V3" s="570" t="s">
        <v>487</v>
      </c>
      <c r="W3" s="570" t="s">
        <v>488</v>
      </c>
      <c r="X3" s="573" t="s">
        <v>226</v>
      </c>
      <c r="Y3" s="574" t="s">
        <v>173</v>
      </c>
      <c r="AA3" s="566" t="s">
        <v>227</v>
      </c>
      <c r="AB3" s="566"/>
      <c r="AC3" s="566"/>
      <c r="AD3" s="566"/>
      <c r="AE3" s="566"/>
      <c r="AF3" s="566"/>
      <c r="AG3" s="566"/>
      <c r="AH3" s="566"/>
      <c r="AI3" s="566"/>
    </row>
    <row r="4" spans="2:35" ht="17.100000000000001" customHeight="1">
      <c r="B4" s="562"/>
      <c r="C4" s="563"/>
      <c r="D4" s="584" t="s">
        <v>170</v>
      </c>
      <c r="E4" s="566" t="s">
        <v>174</v>
      </c>
      <c r="F4" s="566"/>
      <c r="G4" s="566" t="s">
        <v>186</v>
      </c>
      <c r="H4" s="566"/>
      <c r="I4" s="566"/>
      <c r="J4" s="566"/>
      <c r="K4" s="566"/>
      <c r="L4" s="566"/>
      <c r="M4" s="566"/>
      <c r="N4" s="566"/>
      <c r="O4" s="566" t="s">
        <v>175</v>
      </c>
      <c r="P4" s="566"/>
      <c r="Q4" s="566"/>
      <c r="R4" s="566"/>
      <c r="S4" s="566"/>
      <c r="T4" s="566"/>
      <c r="U4" s="568"/>
      <c r="V4" s="571"/>
      <c r="W4" s="582"/>
      <c r="X4" s="571"/>
      <c r="Y4" s="574"/>
      <c r="AA4" s="566"/>
      <c r="AB4" s="566"/>
      <c r="AC4" s="566"/>
      <c r="AD4" s="566"/>
      <c r="AE4" s="566"/>
      <c r="AF4" s="566"/>
      <c r="AG4" s="566"/>
      <c r="AH4" s="566"/>
      <c r="AI4" s="566"/>
    </row>
    <row r="5" spans="2:35" ht="17.100000000000001" customHeight="1">
      <c r="B5" s="562"/>
      <c r="C5" s="563"/>
      <c r="D5" s="584"/>
      <c r="E5" s="584" t="s">
        <v>176</v>
      </c>
      <c r="F5" s="574" t="s">
        <v>228</v>
      </c>
      <c r="G5" s="585" t="s">
        <v>187</v>
      </c>
      <c r="H5" s="585"/>
      <c r="I5" s="585"/>
      <c r="J5" s="585"/>
      <c r="K5" s="585"/>
      <c r="L5" s="585"/>
      <c r="M5" s="585"/>
      <c r="N5" s="585"/>
      <c r="O5" s="585" t="s">
        <v>169</v>
      </c>
      <c r="P5" s="585"/>
      <c r="Q5" s="585" t="s">
        <v>177</v>
      </c>
      <c r="R5" s="585"/>
      <c r="S5" s="585"/>
      <c r="T5" s="566"/>
      <c r="U5" s="568"/>
      <c r="V5" s="571"/>
      <c r="W5" s="582"/>
      <c r="X5" s="571"/>
      <c r="Y5" s="574"/>
      <c r="AA5" s="566"/>
      <c r="AB5" s="566"/>
      <c r="AC5" s="566"/>
      <c r="AD5" s="566"/>
      <c r="AE5" s="566"/>
      <c r="AF5" s="566"/>
      <c r="AG5" s="566"/>
      <c r="AH5" s="566"/>
      <c r="AI5" s="566"/>
    </row>
    <row r="6" spans="2:35" ht="38.450000000000003" customHeight="1">
      <c r="B6" s="564"/>
      <c r="C6" s="565"/>
      <c r="D6" s="584"/>
      <c r="E6" s="584"/>
      <c r="F6" s="574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6"/>
      <c r="U6" s="569"/>
      <c r="V6" s="572"/>
      <c r="W6" s="583"/>
      <c r="X6" s="572"/>
      <c r="Y6" s="574"/>
      <c r="AA6" s="186" t="s">
        <v>229</v>
      </c>
      <c r="AB6" s="186" t="s">
        <v>483</v>
      </c>
      <c r="AC6" s="248" t="s">
        <v>238</v>
      </c>
      <c r="AD6" s="248" t="s">
        <v>239</v>
      </c>
      <c r="AE6" s="248" t="s">
        <v>485</v>
      </c>
      <c r="AF6" s="248" t="s">
        <v>230</v>
      </c>
      <c r="AG6" s="248" t="s">
        <v>231</v>
      </c>
      <c r="AH6" s="248" t="s">
        <v>232</v>
      </c>
      <c r="AI6" s="248" t="s">
        <v>492</v>
      </c>
    </row>
    <row r="7" spans="2:35" s="250" customFormat="1" ht="27" customHeight="1">
      <c r="B7" s="576" t="s">
        <v>597</v>
      </c>
      <c r="C7" s="577"/>
      <c r="D7" s="246">
        <v>1</v>
      </c>
      <c r="E7" s="265" t="s">
        <v>572</v>
      </c>
      <c r="F7" s="251">
        <v>10679.27</v>
      </c>
      <c r="G7" s="251">
        <v>400.70600000000002</v>
      </c>
      <c r="H7" s="251">
        <v>457.65</v>
      </c>
      <c r="I7" s="252">
        <f>H7/G7</f>
        <v>1.1421091773020617</v>
      </c>
      <c r="J7" s="251"/>
      <c r="K7" s="252">
        <f>J7/G7</f>
        <v>0</v>
      </c>
      <c r="L7" s="251">
        <v>250.09999999999997</v>
      </c>
      <c r="M7" s="253">
        <f>(H7+J7)/G7</f>
        <v>1.1421091773020617</v>
      </c>
      <c r="N7" s="254">
        <v>14241.694400000002</v>
      </c>
      <c r="O7" s="251">
        <v>42.7</v>
      </c>
      <c r="P7" s="252">
        <f>O7/G7</f>
        <v>0.10656191821435167</v>
      </c>
      <c r="Q7" s="255">
        <f>((H7+J7)-G7)-O7</f>
        <v>14.243999999999957</v>
      </c>
      <c r="R7" s="252">
        <f>Q7/G7</f>
        <v>3.554725908771008E-2</v>
      </c>
      <c r="S7" s="251">
        <v>3562.4244000000026</v>
      </c>
      <c r="T7" s="256"/>
      <c r="U7" s="256"/>
      <c r="V7" s="257"/>
      <c r="W7" s="257"/>
      <c r="X7" s="257">
        <v>1</v>
      </c>
      <c r="Y7" s="266" t="s">
        <v>461</v>
      </c>
      <c r="Z7" s="258" t="s">
        <v>556</v>
      </c>
      <c r="AA7" s="259">
        <f>SUM(X7:X26)</f>
        <v>20</v>
      </c>
      <c r="AB7" s="260">
        <f>SUMIF($U$7:$U$26,TRIM(AB6),$X$7:$X$26)</f>
        <v>0</v>
      </c>
      <c r="AC7" s="260">
        <f>SUMIF($U$7:$U$26,TRIM(AC6),$X$7:$X$26)</f>
        <v>0</v>
      </c>
      <c r="AD7" s="260">
        <f t="shared" ref="AD7:AI7" ca="1" si="0">SUMIF($U$7:$U$9710,TRIM(AD6),$X$7:$X$26)</f>
        <v>0</v>
      </c>
      <c r="AE7" s="260">
        <f t="shared" ca="1" si="0"/>
        <v>0</v>
      </c>
      <c r="AF7" s="260">
        <f t="shared" ca="1" si="0"/>
        <v>0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78"/>
      <c r="C8" s="579"/>
      <c r="D8" s="246">
        <v>2</v>
      </c>
      <c r="E8" s="265" t="s">
        <v>573</v>
      </c>
      <c r="F8" s="251">
        <v>7432.8646999999992</v>
      </c>
      <c r="G8" s="251">
        <v>505.23800000000006</v>
      </c>
      <c r="H8" s="251">
        <v>574.25</v>
      </c>
      <c r="I8" s="252">
        <f t="shared" ref="I8:I26" si="1">H8/G8</f>
        <v>1.1365930511956739</v>
      </c>
      <c r="J8" s="251"/>
      <c r="K8" s="252">
        <f t="shared" ref="K8:K26" si="2">J8/G8</f>
        <v>0</v>
      </c>
      <c r="L8" s="251">
        <v>139.01</v>
      </c>
      <c r="M8" s="253">
        <f t="shared" ref="M8:M26" si="3">(H8+J8)/G8</f>
        <v>1.1365930511956739</v>
      </c>
      <c r="N8" s="254">
        <v>9593.3581199999971</v>
      </c>
      <c r="O8" s="251">
        <v>53.47</v>
      </c>
      <c r="P8" s="252">
        <f t="shared" ref="P8:P26" si="4">O8/G8</f>
        <v>0.10583131118403602</v>
      </c>
      <c r="Q8" s="255">
        <f t="shared" ref="Q8:Q26" si="5">((H8+J8)-G8)-O8</f>
        <v>15.541999999999945</v>
      </c>
      <c r="R8" s="252">
        <f t="shared" ref="R8:R26" si="6">Q8/G8</f>
        <v>3.0761740011637968E-2</v>
      </c>
      <c r="S8" s="251">
        <v>2160.493419999998</v>
      </c>
      <c r="T8" s="261"/>
      <c r="U8" s="256"/>
      <c r="V8" s="257"/>
      <c r="W8" s="257"/>
      <c r="X8" s="257">
        <v>1</v>
      </c>
      <c r="Y8" s="266" t="s">
        <v>462</v>
      </c>
      <c r="AA8" s="259"/>
      <c r="AB8" s="262">
        <f>SUMIF($U$7:$U$26,TRIM(AB6),$F$7:$F$26)</f>
        <v>0</v>
      </c>
      <c r="AC8" s="262">
        <f>SUMIF($U$7:$U$26,TRIM(AC6),$F$7:$F$26)</f>
        <v>0</v>
      </c>
      <c r="AD8" s="262">
        <f t="shared" ref="AD8:AI8" ca="1" si="7">SUMIF($U$7:$U$176,TRIM(AD6),$F$7:$F$26)</f>
        <v>0</v>
      </c>
      <c r="AE8" s="262">
        <f t="shared" ca="1" si="7"/>
        <v>0</v>
      </c>
      <c r="AF8" s="262">
        <f t="shared" ca="1" si="7"/>
        <v>0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78"/>
      <c r="C9" s="579"/>
      <c r="D9" s="246">
        <v>3</v>
      </c>
      <c r="E9" s="265" t="s">
        <v>574</v>
      </c>
      <c r="F9" s="251">
        <v>5230.4875000000002</v>
      </c>
      <c r="G9" s="251">
        <v>387.45299999999997</v>
      </c>
      <c r="H9" s="251">
        <v>393.30700000000002</v>
      </c>
      <c r="I9" s="252">
        <f t="shared" si="1"/>
        <v>1.0151089293411073</v>
      </c>
      <c r="J9" s="251"/>
      <c r="K9" s="252">
        <f t="shared" si="2"/>
        <v>0</v>
      </c>
      <c r="L9" s="251">
        <v>925.75</v>
      </c>
      <c r="M9" s="253">
        <f t="shared" si="3"/>
        <v>1.0151089293411073</v>
      </c>
      <c r="N9" s="254">
        <v>5419.3405000000057</v>
      </c>
      <c r="O9" s="251">
        <v>5.65</v>
      </c>
      <c r="P9" s="252">
        <f t="shared" si="4"/>
        <v>1.4582413866972253E-2</v>
      </c>
      <c r="Q9" s="255">
        <f t="shared" si="5"/>
        <v>0.20400000000004148</v>
      </c>
      <c r="R9" s="252">
        <f t="shared" si="6"/>
        <v>5.2651547413503448E-4</v>
      </c>
      <c r="S9" s="251">
        <v>188.85300000000552</v>
      </c>
      <c r="T9" s="246"/>
      <c r="U9" s="256"/>
      <c r="V9" s="257"/>
      <c r="W9" s="257"/>
      <c r="X9" s="257">
        <v>1</v>
      </c>
      <c r="Y9" s="266" t="s">
        <v>473</v>
      </c>
    </row>
    <row r="10" spans="2:35" s="250" customFormat="1" ht="27" customHeight="1">
      <c r="B10" s="578"/>
      <c r="C10" s="579"/>
      <c r="D10" s="246">
        <v>4</v>
      </c>
      <c r="E10" s="265" t="s">
        <v>575</v>
      </c>
      <c r="F10" s="251">
        <v>3728.6309999999999</v>
      </c>
      <c r="G10" s="251">
        <v>715.89</v>
      </c>
      <c r="H10" s="251">
        <v>772.13999999999987</v>
      </c>
      <c r="I10" s="252">
        <f>H10/G10</f>
        <v>1.0785735238653982</v>
      </c>
      <c r="J10" s="251"/>
      <c r="K10" s="252">
        <f t="shared" si="2"/>
        <v>0</v>
      </c>
      <c r="L10" s="251">
        <v>105.17999999999998</v>
      </c>
      <c r="M10" s="253">
        <f t="shared" si="3"/>
        <v>1.0785735238653982</v>
      </c>
      <c r="N10" s="254">
        <v>5916.3749999999982</v>
      </c>
      <c r="O10" s="251">
        <v>35.450000000000003</v>
      </c>
      <c r="P10" s="252">
        <f t="shared" si="4"/>
        <v>4.9518780818282142E-2</v>
      </c>
      <c r="Q10" s="255">
        <f t="shared" si="5"/>
        <v>20.799999999999883</v>
      </c>
      <c r="R10" s="252">
        <f t="shared" si="6"/>
        <v>2.9054743047116013E-2</v>
      </c>
      <c r="S10" s="251">
        <v>2187.7439999999983</v>
      </c>
      <c r="T10" s="256"/>
      <c r="U10" s="256"/>
      <c r="V10" s="257"/>
      <c r="W10" s="257"/>
      <c r="X10" s="257">
        <v>1</v>
      </c>
      <c r="Y10" s="266" t="s">
        <v>472</v>
      </c>
    </row>
    <row r="11" spans="2:35" s="250" customFormat="1" ht="27" customHeight="1">
      <c r="B11" s="578"/>
      <c r="C11" s="579"/>
      <c r="D11" s="246">
        <v>5</v>
      </c>
      <c r="E11" s="265" t="s">
        <v>576</v>
      </c>
      <c r="F11" s="251">
        <v>3397.95</v>
      </c>
      <c r="G11" s="251">
        <v>412.27500000000009</v>
      </c>
      <c r="H11" s="251">
        <v>459.22500000000002</v>
      </c>
      <c r="I11" s="252">
        <f t="shared" si="1"/>
        <v>1.1138802983445515</v>
      </c>
      <c r="J11" s="251"/>
      <c r="K11" s="252">
        <f t="shared" si="2"/>
        <v>0</v>
      </c>
      <c r="L11" s="251">
        <v>81</v>
      </c>
      <c r="M11" s="253">
        <f t="shared" si="3"/>
        <v>1.1138802983445515</v>
      </c>
      <c r="N11" s="254">
        <v>3802.9500000000025</v>
      </c>
      <c r="O11" s="251">
        <v>41.95</v>
      </c>
      <c r="P11" s="252">
        <f t="shared" si="4"/>
        <v>0.1017524710448123</v>
      </c>
      <c r="Q11" s="255">
        <f t="shared" si="5"/>
        <v>4.9999999999999289</v>
      </c>
      <c r="R11" s="252">
        <f t="shared" si="6"/>
        <v>1.2127827299739076E-2</v>
      </c>
      <c r="S11" s="251">
        <v>405.00000000000261</v>
      </c>
      <c r="T11" s="256"/>
      <c r="U11" s="256"/>
      <c r="V11" s="257"/>
      <c r="W11" s="257"/>
      <c r="X11" s="257">
        <v>1</v>
      </c>
      <c r="Y11" s="266" t="s">
        <v>349</v>
      </c>
    </row>
    <row r="12" spans="2:35" s="250" customFormat="1" ht="27" customHeight="1">
      <c r="B12" s="578"/>
      <c r="C12" s="579"/>
      <c r="D12" s="246">
        <v>6</v>
      </c>
      <c r="E12" s="265" t="s">
        <v>577</v>
      </c>
      <c r="F12" s="251">
        <v>1409.2324999999998</v>
      </c>
      <c r="G12" s="251">
        <v>306.81000000000006</v>
      </c>
      <c r="H12" s="251">
        <v>323.15999999999997</v>
      </c>
      <c r="I12" s="252">
        <f t="shared" si="1"/>
        <v>1.0532903099638209</v>
      </c>
      <c r="J12" s="251"/>
      <c r="K12" s="252">
        <f t="shared" si="2"/>
        <v>0</v>
      </c>
      <c r="L12" s="251">
        <v>215.15000000000003</v>
      </c>
      <c r="M12" s="253">
        <f t="shared" si="3"/>
        <v>1.0532903099638209</v>
      </c>
      <c r="N12" s="254">
        <v>3517.7025000000003</v>
      </c>
      <c r="O12" s="251">
        <v>6.55</v>
      </c>
      <c r="P12" s="252">
        <f t="shared" si="4"/>
        <v>2.134871744728007E-2</v>
      </c>
      <c r="Q12" s="255">
        <f t="shared" si="5"/>
        <v>9.7999999999999083</v>
      </c>
      <c r="R12" s="252">
        <f t="shared" si="6"/>
        <v>3.1941592516540877E-2</v>
      </c>
      <c r="S12" s="251">
        <v>2108.4700000000003</v>
      </c>
      <c r="T12" s="256"/>
      <c r="U12" s="256"/>
      <c r="V12" s="257"/>
      <c r="W12" s="257"/>
      <c r="X12" s="257">
        <v>1</v>
      </c>
      <c r="Y12" s="266" t="s">
        <v>473</v>
      </c>
    </row>
    <row r="13" spans="2:35" s="250" customFormat="1" ht="27" customHeight="1">
      <c r="B13" s="578"/>
      <c r="C13" s="579"/>
      <c r="D13" s="246">
        <v>7</v>
      </c>
      <c r="E13" s="265" t="s">
        <v>578</v>
      </c>
      <c r="F13" s="251">
        <v>1234.9440000000002</v>
      </c>
      <c r="G13" s="251">
        <v>26.590199999999999</v>
      </c>
      <c r="H13" s="251">
        <v>29.153199999999998</v>
      </c>
      <c r="I13" s="252">
        <f t="shared" si="1"/>
        <v>1.0963888951568623</v>
      </c>
      <c r="J13" s="251"/>
      <c r="K13" s="252">
        <f t="shared" si="2"/>
        <v>0</v>
      </c>
      <c r="L13" s="251">
        <v>1029.1200000000001</v>
      </c>
      <c r="M13" s="253">
        <f t="shared" si="3"/>
        <v>1.0963888951568623</v>
      </c>
      <c r="N13" s="254">
        <v>2637.63456</v>
      </c>
      <c r="O13" s="251">
        <v>1.2</v>
      </c>
      <c r="P13" s="252">
        <f t="shared" si="4"/>
        <v>4.5129408579100569E-2</v>
      </c>
      <c r="Q13" s="255">
        <f t="shared" si="5"/>
        <v>1.3629999999999989</v>
      </c>
      <c r="R13" s="252">
        <f t="shared" si="6"/>
        <v>5.1259486577761693E-2</v>
      </c>
      <c r="S13" s="251">
        <v>1402.69056</v>
      </c>
      <c r="T13" s="246"/>
      <c r="U13" s="256"/>
      <c r="V13" s="257"/>
      <c r="W13" s="257"/>
      <c r="X13" s="257">
        <v>1</v>
      </c>
      <c r="Y13" s="267" t="s">
        <v>361</v>
      </c>
      <c r="AB13" s="250">
        <v>1</v>
      </c>
      <c r="AC13" s="268" t="s">
        <v>482</v>
      </c>
    </row>
    <row r="14" spans="2:35" s="250" customFormat="1" ht="27" customHeight="1">
      <c r="B14" s="578"/>
      <c r="C14" s="579"/>
      <c r="D14" s="246">
        <v>8</v>
      </c>
      <c r="E14" s="265" t="s">
        <v>579</v>
      </c>
      <c r="F14" s="251">
        <v>1109.25</v>
      </c>
      <c r="G14" s="251">
        <v>2541.7800000000002</v>
      </c>
      <c r="H14" s="251">
        <v>2584.69</v>
      </c>
      <c r="I14" s="252">
        <f t="shared" si="1"/>
        <v>1.0168818701854605</v>
      </c>
      <c r="J14" s="251">
        <v>75.300000000000011</v>
      </c>
      <c r="K14" s="252">
        <f>J14/G14</f>
        <v>2.9624908528668888E-2</v>
      </c>
      <c r="L14" s="251">
        <v>85</v>
      </c>
      <c r="M14" s="253">
        <f>(H14+J14)/G14</f>
        <v>1.0465067787141296</v>
      </c>
      <c r="N14" s="254">
        <v>10047.850000000002</v>
      </c>
      <c r="O14" s="251">
        <v>13.05</v>
      </c>
      <c r="P14" s="252">
        <f t="shared" si="4"/>
        <v>5.1341972948091494E-3</v>
      </c>
      <c r="Q14" s="255">
        <f t="shared" si="5"/>
        <v>105.16000000000004</v>
      </c>
      <c r="R14" s="252">
        <f t="shared" si="6"/>
        <v>4.1372581419320334E-2</v>
      </c>
      <c r="S14" s="251">
        <v>8938.6000000000022</v>
      </c>
      <c r="T14" s="256"/>
      <c r="U14" s="256"/>
      <c r="V14" s="257"/>
      <c r="W14" s="257"/>
      <c r="X14" s="257">
        <v>1</v>
      </c>
      <c r="Y14" s="266" t="s">
        <v>354</v>
      </c>
      <c r="AB14" s="250">
        <v>2</v>
      </c>
      <c r="AC14" s="268" t="s">
        <v>368</v>
      </c>
    </row>
    <row r="15" spans="2:35" s="250" customFormat="1" ht="27" customHeight="1">
      <c r="B15" s="578"/>
      <c r="C15" s="579"/>
      <c r="D15" s="246">
        <v>9</v>
      </c>
      <c r="E15" s="265" t="s">
        <v>580</v>
      </c>
      <c r="F15" s="251">
        <v>844</v>
      </c>
      <c r="G15" s="251">
        <v>20354</v>
      </c>
      <c r="H15" s="251">
        <v>20816</v>
      </c>
      <c r="I15" s="252">
        <f t="shared" si="1"/>
        <v>1.0226982411319643</v>
      </c>
      <c r="J15" s="251"/>
      <c r="K15" s="252">
        <f t="shared" si="2"/>
        <v>0</v>
      </c>
      <c r="L15" s="251">
        <v>2</v>
      </c>
      <c r="M15" s="253">
        <f t="shared" si="3"/>
        <v>1.0226982411319643</v>
      </c>
      <c r="N15" s="254">
        <v>924</v>
      </c>
      <c r="O15" s="251">
        <v>422</v>
      </c>
      <c r="P15" s="252">
        <f t="shared" si="4"/>
        <v>2.0733025449543089E-2</v>
      </c>
      <c r="Q15" s="255">
        <f t="shared" si="5"/>
        <v>40</v>
      </c>
      <c r="R15" s="252">
        <f t="shared" si="6"/>
        <v>1.9652156824211458E-3</v>
      </c>
      <c r="S15" s="251">
        <v>80</v>
      </c>
      <c r="T15" s="256"/>
      <c r="U15" s="256"/>
      <c r="V15" s="257"/>
      <c r="W15" s="257"/>
      <c r="X15" s="257">
        <v>1</v>
      </c>
      <c r="Y15" s="266" t="s">
        <v>356</v>
      </c>
      <c r="AB15" s="250">
        <v>3</v>
      </c>
      <c r="AC15" s="268" t="s">
        <v>372</v>
      </c>
    </row>
    <row r="16" spans="2:35" s="250" customFormat="1" ht="27" customHeight="1">
      <c r="B16" s="578"/>
      <c r="C16" s="579"/>
      <c r="D16" s="246">
        <v>10</v>
      </c>
      <c r="E16" s="265" t="s">
        <v>581</v>
      </c>
      <c r="F16" s="251">
        <v>815.1</v>
      </c>
      <c r="G16" s="251">
        <v>10177</v>
      </c>
      <c r="H16" s="251">
        <v>10412</v>
      </c>
      <c r="I16" s="252">
        <f t="shared" si="1"/>
        <v>1.0230912842684485</v>
      </c>
      <c r="J16" s="251"/>
      <c r="K16" s="252">
        <f t="shared" si="2"/>
        <v>0</v>
      </c>
      <c r="L16" s="251">
        <v>4.29</v>
      </c>
      <c r="M16" s="253">
        <f t="shared" si="3"/>
        <v>1.0230912842684485</v>
      </c>
      <c r="N16" s="254">
        <v>1008.15</v>
      </c>
      <c r="O16" s="251">
        <v>190</v>
      </c>
      <c r="P16" s="252">
        <f t="shared" si="4"/>
        <v>1.8669548983000883E-2</v>
      </c>
      <c r="Q16" s="255">
        <f t="shared" si="5"/>
        <v>45</v>
      </c>
      <c r="R16" s="252">
        <f t="shared" si="6"/>
        <v>4.4217352854475775E-3</v>
      </c>
      <c r="S16" s="251">
        <v>193.05</v>
      </c>
      <c r="T16" s="256"/>
      <c r="U16" s="256"/>
      <c r="V16" s="257"/>
      <c r="W16" s="257"/>
      <c r="X16" s="257">
        <v>1</v>
      </c>
      <c r="Y16" s="266" t="s">
        <v>357</v>
      </c>
      <c r="AB16" s="250">
        <v>4</v>
      </c>
      <c r="AC16" s="268" t="s">
        <v>484</v>
      </c>
    </row>
    <row r="17" spans="2:29" s="250" customFormat="1" ht="27" customHeight="1">
      <c r="B17" s="578"/>
      <c r="C17" s="579"/>
      <c r="D17" s="246">
        <v>11</v>
      </c>
      <c r="E17" s="265" t="s">
        <v>582</v>
      </c>
      <c r="F17" s="251">
        <v>791.20950000000005</v>
      </c>
      <c r="G17" s="251">
        <v>121.95400000000001</v>
      </c>
      <c r="H17" s="251">
        <v>130.85000000000002</v>
      </c>
      <c r="I17" s="252">
        <f t="shared" si="1"/>
        <v>1.0729455368417602</v>
      </c>
      <c r="J17" s="251"/>
      <c r="K17" s="252">
        <f t="shared" si="2"/>
        <v>0</v>
      </c>
      <c r="L17" s="251">
        <v>66.210000000000022</v>
      </c>
      <c r="M17" s="253">
        <f t="shared" si="3"/>
        <v>1.0729455368417602</v>
      </c>
      <c r="N17" s="254">
        <v>641.97216000000003</v>
      </c>
      <c r="O17" s="251">
        <v>11.95</v>
      </c>
      <c r="P17" s="252">
        <f t="shared" si="4"/>
        <v>9.7987765878937955E-2</v>
      </c>
      <c r="Q17" s="255">
        <f t="shared" si="5"/>
        <v>-3.0539999999999843</v>
      </c>
      <c r="R17" s="252">
        <f t="shared" si="6"/>
        <v>-2.5042229037177823E-2</v>
      </c>
      <c r="S17" s="251">
        <v>-202.20533999999986</v>
      </c>
      <c r="T17" s="256"/>
      <c r="U17" s="256"/>
      <c r="V17" s="257"/>
      <c r="W17" s="257"/>
      <c r="X17" s="257">
        <v>1</v>
      </c>
      <c r="Y17" s="266" t="s">
        <v>361</v>
      </c>
      <c r="AB17" s="250">
        <v>5</v>
      </c>
      <c r="AC17" s="268" t="s">
        <v>201</v>
      </c>
    </row>
    <row r="18" spans="2:29" s="250" customFormat="1" ht="27" customHeight="1">
      <c r="B18" s="578"/>
      <c r="C18" s="579"/>
      <c r="D18" s="246">
        <v>12</v>
      </c>
      <c r="E18" s="265" t="s">
        <v>583</v>
      </c>
      <c r="F18" s="251">
        <v>664.43999999999994</v>
      </c>
      <c r="G18" s="251">
        <v>564.83999999999992</v>
      </c>
      <c r="H18" s="251">
        <v>571.17999999999984</v>
      </c>
      <c r="I18" s="252">
        <f t="shared" si="1"/>
        <v>1.0112244175341689</v>
      </c>
      <c r="J18" s="251"/>
      <c r="K18" s="252">
        <f t="shared" si="2"/>
        <v>0</v>
      </c>
      <c r="L18" s="251">
        <v>147</v>
      </c>
      <c r="M18" s="253">
        <f t="shared" si="3"/>
        <v>1.0112244175341689</v>
      </c>
      <c r="N18" s="254">
        <v>931.98000000000047</v>
      </c>
      <c r="O18" s="251">
        <v>4.5199999999999996</v>
      </c>
      <c r="P18" s="252">
        <f t="shared" si="4"/>
        <v>8.0022661284611576E-3</v>
      </c>
      <c r="Q18" s="255">
        <f t="shared" si="5"/>
        <v>1.8199999999999186</v>
      </c>
      <c r="R18" s="252">
        <f t="shared" si="6"/>
        <v>3.2221514057076675E-3</v>
      </c>
      <c r="S18" s="251">
        <v>267.54000000000059</v>
      </c>
      <c r="T18" s="246"/>
      <c r="U18" s="256"/>
      <c r="V18" s="256"/>
      <c r="W18" s="256"/>
      <c r="X18" s="257">
        <v>1</v>
      </c>
      <c r="Y18" s="266" t="s">
        <v>361</v>
      </c>
      <c r="AB18" s="250">
        <v>6</v>
      </c>
      <c r="AC18" s="268" t="s">
        <v>202</v>
      </c>
    </row>
    <row r="19" spans="2:29" s="250" customFormat="1" ht="27" customHeight="1">
      <c r="B19" s="578"/>
      <c r="C19" s="579"/>
      <c r="D19" s="246">
        <v>13</v>
      </c>
      <c r="E19" s="265" t="s">
        <v>584</v>
      </c>
      <c r="F19" s="251">
        <v>588.62720000000002</v>
      </c>
      <c r="G19" s="251">
        <v>121.95400000000001</v>
      </c>
      <c r="H19" s="251">
        <v>127.35</v>
      </c>
      <c r="I19" s="252">
        <f t="shared" si="1"/>
        <v>1.0442461911868408</v>
      </c>
      <c r="J19" s="251"/>
      <c r="K19" s="252">
        <f t="shared" si="2"/>
        <v>0</v>
      </c>
      <c r="L19" s="251">
        <v>150.16</v>
      </c>
      <c r="M19" s="253">
        <f t="shared" si="3"/>
        <v>1.0442461911868408</v>
      </c>
      <c r="N19" s="254">
        <v>908.76832000000081</v>
      </c>
      <c r="O19" s="251">
        <v>3.9200000000000004</v>
      </c>
      <c r="P19" s="252">
        <f t="shared" si="4"/>
        <v>3.2143267133509359E-2</v>
      </c>
      <c r="Q19" s="255">
        <f t="shared" si="5"/>
        <v>1.4759999999999862</v>
      </c>
      <c r="R19" s="252">
        <f t="shared" si="6"/>
        <v>1.210292405333147E-2</v>
      </c>
      <c r="S19" s="251">
        <v>221.63616000000093</v>
      </c>
      <c r="T19" s="256"/>
      <c r="U19" s="256"/>
      <c r="V19" s="256"/>
      <c r="W19" s="256"/>
      <c r="X19" s="257">
        <v>1</v>
      </c>
      <c r="Y19" s="266" t="s">
        <v>359</v>
      </c>
      <c r="AB19" s="250">
        <v>7</v>
      </c>
      <c r="AC19" s="268" t="s">
        <v>373</v>
      </c>
    </row>
    <row r="20" spans="2:29" s="250" customFormat="1" ht="27" customHeight="1">
      <c r="B20" s="578"/>
      <c r="C20" s="579"/>
      <c r="D20" s="246">
        <v>14</v>
      </c>
      <c r="E20" s="265" t="s">
        <v>585</v>
      </c>
      <c r="F20" s="251">
        <v>587.06439999999998</v>
      </c>
      <c r="G20" s="251">
        <v>298.78499999999997</v>
      </c>
      <c r="H20" s="251">
        <v>303.01499999999999</v>
      </c>
      <c r="I20" s="252">
        <f t="shared" si="1"/>
        <v>1.0141573372157238</v>
      </c>
      <c r="J20" s="251"/>
      <c r="K20" s="252">
        <f t="shared" si="2"/>
        <v>0</v>
      </c>
      <c r="L20" s="251">
        <v>155.72</v>
      </c>
      <c r="M20" s="253">
        <f t="shared" si="3"/>
        <v>1.0141573372157238</v>
      </c>
      <c r="N20" s="254">
        <v>658.69559999999956</v>
      </c>
      <c r="O20" s="251">
        <v>3.77</v>
      </c>
      <c r="P20" s="252">
        <f t="shared" si="4"/>
        <v>1.2617768629616615E-2</v>
      </c>
      <c r="Q20" s="255">
        <f t="shared" si="5"/>
        <v>0.46000000000001817</v>
      </c>
      <c r="R20" s="252">
        <f t="shared" si="6"/>
        <v>1.5395685861071279E-3</v>
      </c>
      <c r="S20" s="251">
        <v>71.631199999999509</v>
      </c>
      <c r="T20" s="256"/>
      <c r="U20" s="256"/>
      <c r="V20" s="257"/>
      <c r="W20" s="257"/>
      <c r="X20" s="257">
        <v>1</v>
      </c>
      <c r="Y20" s="266" t="s">
        <v>371</v>
      </c>
      <c r="AB20" s="250">
        <v>8</v>
      </c>
      <c r="AC20" s="269" t="s">
        <v>493</v>
      </c>
    </row>
    <row r="21" spans="2:29" s="250" customFormat="1" ht="27" customHeight="1">
      <c r="B21" s="578"/>
      <c r="C21" s="579"/>
      <c r="D21" s="246">
        <v>15</v>
      </c>
      <c r="E21" s="265" t="s">
        <v>586</v>
      </c>
      <c r="F21" s="251">
        <v>548.10000000000014</v>
      </c>
      <c r="G21" s="251">
        <v>488.49600000000004</v>
      </c>
      <c r="H21" s="251">
        <v>480.11400000000003</v>
      </c>
      <c r="I21" s="252">
        <f t="shared" si="1"/>
        <v>0.98284121057286034</v>
      </c>
      <c r="J21" s="251"/>
      <c r="K21" s="252">
        <f t="shared" si="2"/>
        <v>0</v>
      </c>
      <c r="L21" s="251">
        <v>146.16000000000005</v>
      </c>
      <c r="M21" s="253">
        <f t="shared" si="3"/>
        <v>0.98284121057286034</v>
      </c>
      <c r="N21" s="254">
        <v>0</v>
      </c>
      <c r="O21" s="251">
        <v>3.75</v>
      </c>
      <c r="P21" s="252">
        <f t="shared" si="4"/>
        <v>7.6766237594575997E-3</v>
      </c>
      <c r="Q21" s="255">
        <f t="shared" si="5"/>
        <v>-12.132000000000005</v>
      </c>
      <c r="R21" s="252">
        <f t="shared" si="6"/>
        <v>-2.4835413186597238E-2</v>
      </c>
      <c r="S21" s="251">
        <v>-1773.213119999999</v>
      </c>
      <c r="T21" s="246"/>
      <c r="U21" s="256"/>
      <c r="V21" s="256"/>
      <c r="W21" s="256"/>
      <c r="X21" s="257">
        <v>1</v>
      </c>
      <c r="Y21" s="266" t="s">
        <v>358</v>
      </c>
      <c r="AC21" s="268"/>
    </row>
    <row r="22" spans="2:29" s="250" customFormat="1" ht="27" customHeight="1">
      <c r="B22" s="578"/>
      <c r="C22" s="579"/>
      <c r="D22" s="246">
        <v>16</v>
      </c>
      <c r="E22" s="265" t="s">
        <v>587</v>
      </c>
      <c r="F22" s="251">
        <v>500.22700000000003</v>
      </c>
      <c r="G22" s="251">
        <v>468.14200000000005</v>
      </c>
      <c r="H22" s="251">
        <v>483.84800000000007</v>
      </c>
      <c r="I22" s="252">
        <f t="shared" si="1"/>
        <v>1.0335496494653331</v>
      </c>
      <c r="J22" s="251"/>
      <c r="K22" s="252">
        <f t="shared" si="2"/>
        <v>0</v>
      </c>
      <c r="L22" s="251">
        <v>54.970000000000013</v>
      </c>
      <c r="M22" s="253">
        <f t="shared" si="3"/>
        <v>1.0335496494653331</v>
      </c>
      <c r="N22" s="254">
        <v>863.35882000000095</v>
      </c>
      <c r="O22" s="251">
        <v>9.1</v>
      </c>
      <c r="P22" s="252">
        <f t="shared" si="4"/>
        <v>1.9438546423948287E-2</v>
      </c>
      <c r="Q22" s="255">
        <f t="shared" si="5"/>
        <v>6.6060000000000176</v>
      </c>
      <c r="R22" s="252">
        <f t="shared" si="6"/>
        <v>1.4111103041384914E-2</v>
      </c>
      <c r="S22" s="251">
        <v>363.13182000000091</v>
      </c>
      <c r="T22" s="256"/>
      <c r="U22" s="256"/>
      <c r="V22" s="257"/>
      <c r="W22" s="257"/>
      <c r="X22" s="257">
        <v>1</v>
      </c>
      <c r="Y22" s="266" t="s">
        <v>359</v>
      </c>
      <c r="AC22" s="268"/>
    </row>
    <row r="23" spans="2:29" s="250" customFormat="1" ht="27" customHeight="1">
      <c r="B23" s="578"/>
      <c r="C23" s="579"/>
      <c r="D23" s="246">
        <v>17</v>
      </c>
      <c r="E23" s="265" t="s">
        <v>588</v>
      </c>
      <c r="F23" s="251">
        <v>304.27500000000003</v>
      </c>
      <c r="G23" s="251">
        <v>39.838000000000001</v>
      </c>
      <c r="H23" s="251">
        <v>40.462000000000003</v>
      </c>
      <c r="I23" s="252">
        <f t="shared" si="1"/>
        <v>1.0156634369195241</v>
      </c>
      <c r="J23" s="251"/>
      <c r="K23" s="252">
        <f t="shared" si="2"/>
        <v>0</v>
      </c>
      <c r="L23" s="251">
        <v>405.69999999999993</v>
      </c>
      <c r="M23" s="253">
        <f t="shared" si="3"/>
        <v>1.0156634369195241</v>
      </c>
      <c r="N23" s="254">
        <v>253.15679999999986</v>
      </c>
      <c r="O23" s="251">
        <v>0.75</v>
      </c>
      <c r="P23" s="252">
        <f t="shared" si="4"/>
        <v>1.8826246297504894E-2</v>
      </c>
      <c r="Q23" s="255">
        <f t="shared" si="5"/>
        <v>-0.12599999999999767</v>
      </c>
      <c r="R23" s="252">
        <f t="shared" si="6"/>
        <v>-3.1628093779807638E-3</v>
      </c>
      <c r="S23" s="251">
        <v>-51.118200000000151</v>
      </c>
      <c r="T23" s="256"/>
      <c r="U23" s="256"/>
      <c r="V23" s="257"/>
      <c r="W23" s="257"/>
      <c r="X23" s="257">
        <v>1</v>
      </c>
      <c r="Y23" s="266" t="s">
        <v>354</v>
      </c>
      <c r="AB23" s="263">
        <v>1</v>
      </c>
      <c r="AC23" s="268" t="s">
        <v>374</v>
      </c>
    </row>
    <row r="24" spans="2:29" s="250" customFormat="1" ht="27" customHeight="1">
      <c r="B24" s="578"/>
      <c r="C24" s="579"/>
      <c r="D24" s="246">
        <v>18</v>
      </c>
      <c r="E24" s="265" t="s">
        <v>589</v>
      </c>
      <c r="F24" s="251">
        <v>291.71100000000001</v>
      </c>
      <c r="G24" s="251">
        <v>1100.4000000000001</v>
      </c>
      <c r="H24" s="251">
        <v>1105.92</v>
      </c>
      <c r="I24" s="252">
        <f t="shared" si="1"/>
        <v>1.0050163576881135</v>
      </c>
      <c r="J24" s="251"/>
      <c r="K24" s="252">
        <f t="shared" si="2"/>
        <v>0</v>
      </c>
      <c r="L24" s="251">
        <v>335.3</v>
      </c>
      <c r="M24" s="253">
        <f t="shared" si="3"/>
        <v>1.0050163576881135</v>
      </c>
      <c r="N24" s="254">
        <v>1850.8560000000034</v>
      </c>
      <c r="O24" s="251">
        <v>0.87</v>
      </c>
      <c r="P24" s="252">
        <f t="shared" si="4"/>
        <v>7.9062159214830958E-4</v>
      </c>
      <c r="Q24" s="255">
        <f t="shared" si="5"/>
        <v>4.6499999999999817</v>
      </c>
      <c r="R24" s="252">
        <f t="shared" si="6"/>
        <v>4.2257360959650865E-3</v>
      </c>
      <c r="S24" s="251">
        <v>1559.1450000000034</v>
      </c>
      <c r="T24" s="256"/>
      <c r="U24" s="256"/>
      <c r="V24" s="257"/>
      <c r="W24" s="257"/>
      <c r="X24" s="257">
        <v>1</v>
      </c>
      <c r="Y24" s="266" t="s">
        <v>371</v>
      </c>
      <c r="AB24" s="250">
        <v>2</v>
      </c>
      <c r="AC24" s="268" t="s">
        <v>367</v>
      </c>
    </row>
    <row r="25" spans="2:29" s="250" customFormat="1" ht="27" customHeight="1">
      <c r="B25" s="578"/>
      <c r="C25" s="579"/>
      <c r="D25" s="246">
        <v>19</v>
      </c>
      <c r="E25" s="265" t="s">
        <v>590</v>
      </c>
      <c r="F25" s="251">
        <v>282.90600000000001</v>
      </c>
      <c r="G25" s="251">
        <v>176.11500000000001</v>
      </c>
      <c r="H25" s="251">
        <v>174.03500000000003</v>
      </c>
      <c r="I25" s="252">
        <f t="shared" si="1"/>
        <v>0.98818953524685582</v>
      </c>
      <c r="J25" s="251">
        <v>3.5</v>
      </c>
      <c r="K25" s="252">
        <f t="shared" si="2"/>
        <v>1.9873378190386964E-2</v>
      </c>
      <c r="L25" s="251">
        <v>209.55999999999997</v>
      </c>
      <c r="M25" s="253">
        <f t="shared" si="3"/>
        <v>1.0080629134372427</v>
      </c>
      <c r="N25" s="254">
        <v>297.57520000000034</v>
      </c>
      <c r="O25" s="251">
        <v>1.35</v>
      </c>
      <c r="P25" s="252">
        <f t="shared" si="4"/>
        <v>7.6654458734349718E-3</v>
      </c>
      <c r="Q25" s="255">
        <f t="shared" si="5"/>
        <v>7.0000000000015827E-2</v>
      </c>
      <c r="R25" s="252">
        <f t="shared" si="6"/>
        <v>3.9746756380782913E-4</v>
      </c>
      <c r="S25" s="251">
        <v>14.669200000000339</v>
      </c>
      <c r="T25" s="256"/>
      <c r="U25" s="256"/>
      <c r="V25" s="257"/>
      <c r="W25" s="257"/>
      <c r="X25" s="257">
        <v>1</v>
      </c>
      <c r="Y25" s="266" t="s">
        <v>350</v>
      </c>
      <c r="AB25" s="264">
        <v>3</v>
      </c>
      <c r="AC25" s="268" t="s">
        <v>376</v>
      </c>
    </row>
    <row r="26" spans="2:29" s="250" customFormat="1" ht="27" customHeight="1">
      <c r="B26" s="580"/>
      <c r="C26" s="581"/>
      <c r="D26" s="246">
        <v>20</v>
      </c>
      <c r="E26" s="265" t="s">
        <v>591</v>
      </c>
      <c r="F26" s="251">
        <v>237.79999999999998</v>
      </c>
      <c r="G26" s="251">
        <v>1214.0409999999999</v>
      </c>
      <c r="H26" s="251">
        <v>1308.8999999999999</v>
      </c>
      <c r="I26" s="252">
        <f t="shared" si="1"/>
        <v>1.0781349229556496</v>
      </c>
      <c r="J26" s="251"/>
      <c r="K26" s="252">
        <f t="shared" si="2"/>
        <v>0</v>
      </c>
      <c r="L26" s="251">
        <v>164</v>
      </c>
      <c r="M26" s="253">
        <f t="shared" si="3"/>
        <v>1.0781349229556496</v>
      </c>
      <c r="N26" s="254">
        <v>15556.876000000007</v>
      </c>
      <c r="O26" s="251">
        <v>1.45</v>
      </c>
      <c r="P26" s="252">
        <f t="shared" si="4"/>
        <v>1.1943583453936069E-3</v>
      </c>
      <c r="Q26" s="255">
        <f t="shared" si="5"/>
        <v>93.408999999999921</v>
      </c>
      <c r="R26" s="252">
        <f t="shared" si="6"/>
        <v>7.6940564610256099E-2</v>
      </c>
      <c r="S26" s="251">
        <v>15319.076000000008</v>
      </c>
      <c r="T26" s="256"/>
      <c r="U26" s="256"/>
      <c r="V26" s="257"/>
      <c r="W26" s="257"/>
      <c r="X26" s="257">
        <v>1</v>
      </c>
      <c r="Y26" s="266" t="s">
        <v>360</v>
      </c>
      <c r="AB26" s="264">
        <v>4</v>
      </c>
      <c r="AC26" s="268" t="s">
        <v>377</v>
      </c>
    </row>
    <row r="27" spans="2:29" ht="29.45" customHeight="1">
      <c r="C27" s="575"/>
      <c r="AB27" s="250">
        <v>5</v>
      </c>
      <c r="AC27" s="268" t="s">
        <v>375</v>
      </c>
    </row>
    <row r="28" spans="2:29">
      <c r="C28" s="575"/>
    </row>
    <row r="29" spans="2:29">
      <c r="C29" s="575"/>
    </row>
    <row r="30" spans="2:29">
      <c r="C30" s="575"/>
    </row>
    <row r="31" spans="2:29">
      <c r="C31" s="575"/>
    </row>
    <row r="32" spans="2:29">
      <c r="C32" s="575"/>
    </row>
    <row r="33" spans="3:3">
      <c r="C33" s="575"/>
    </row>
    <row r="34" spans="3:3">
      <c r="C34" s="575"/>
    </row>
    <row r="35" spans="3:3">
      <c r="C35" s="575"/>
    </row>
    <row r="36" spans="3:3">
      <c r="C36" s="575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B27" sqref="B27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1.425781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8.8554687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3.8554687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58" t="s">
        <v>489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AA2" s="173"/>
      <c r="AB2" s="173"/>
    </row>
    <row r="3" spans="2:35" ht="17.100000000000001" customHeight="1">
      <c r="B3" s="560" t="s">
        <v>555</v>
      </c>
      <c r="C3" s="561"/>
      <c r="D3" s="566" t="s">
        <v>171</v>
      </c>
      <c r="E3" s="566"/>
      <c r="F3" s="566"/>
      <c r="G3" s="566" t="s">
        <v>185</v>
      </c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 t="s">
        <v>172</v>
      </c>
      <c r="U3" s="567" t="s">
        <v>225</v>
      </c>
      <c r="V3" s="570" t="s">
        <v>487</v>
      </c>
      <c r="W3" s="570" t="s">
        <v>488</v>
      </c>
      <c r="X3" s="573" t="s">
        <v>226</v>
      </c>
      <c r="Y3" s="574" t="s">
        <v>173</v>
      </c>
      <c r="AA3" s="566" t="s">
        <v>227</v>
      </c>
      <c r="AB3" s="566"/>
      <c r="AC3" s="566"/>
      <c r="AD3" s="566"/>
      <c r="AE3" s="566"/>
      <c r="AF3" s="566"/>
      <c r="AG3" s="566"/>
      <c r="AH3" s="566"/>
      <c r="AI3" s="566"/>
    </row>
    <row r="4" spans="2:35" ht="17.100000000000001" customHeight="1">
      <c r="B4" s="562"/>
      <c r="C4" s="563"/>
      <c r="D4" s="584" t="s">
        <v>170</v>
      </c>
      <c r="E4" s="566" t="s">
        <v>174</v>
      </c>
      <c r="F4" s="566"/>
      <c r="G4" s="566" t="s">
        <v>186</v>
      </c>
      <c r="H4" s="566"/>
      <c r="I4" s="566"/>
      <c r="J4" s="566"/>
      <c r="K4" s="566"/>
      <c r="L4" s="566"/>
      <c r="M4" s="566"/>
      <c r="N4" s="566"/>
      <c r="O4" s="566" t="s">
        <v>175</v>
      </c>
      <c r="P4" s="566"/>
      <c r="Q4" s="566"/>
      <c r="R4" s="566"/>
      <c r="S4" s="566"/>
      <c r="T4" s="566"/>
      <c r="U4" s="568"/>
      <c r="V4" s="571"/>
      <c r="W4" s="582"/>
      <c r="X4" s="571"/>
      <c r="Y4" s="574"/>
      <c r="AA4" s="566"/>
      <c r="AB4" s="566"/>
      <c r="AC4" s="566"/>
      <c r="AD4" s="566"/>
      <c r="AE4" s="566"/>
      <c r="AF4" s="566"/>
      <c r="AG4" s="566"/>
      <c r="AH4" s="566"/>
      <c r="AI4" s="566"/>
    </row>
    <row r="5" spans="2:35" ht="17.100000000000001" customHeight="1">
      <c r="B5" s="562"/>
      <c r="C5" s="563"/>
      <c r="D5" s="584"/>
      <c r="E5" s="584" t="s">
        <v>176</v>
      </c>
      <c r="F5" s="574" t="s">
        <v>594</v>
      </c>
      <c r="G5" s="585" t="s">
        <v>187</v>
      </c>
      <c r="H5" s="585"/>
      <c r="I5" s="585"/>
      <c r="J5" s="585"/>
      <c r="K5" s="585"/>
      <c r="L5" s="585"/>
      <c r="M5" s="585"/>
      <c r="N5" s="585"/>
      <c r="O5" s="586" t="s">
        <v>596</v>
      </c>
      <c r="P5" s="585"/>
      <c r="Q5" s="585" t="s">
        <v>595</v>
      </c>
      <c r="R5" s="585"/>
      <c r="S5" s="585"/>
      <c r="T5" s="566"/>
      <c r="U5" s="568"/>
      <c r="V5" s="571"/>
      <c r="W5" s="582"/>
      <c r="X5" s="571"/>
      <c r="Y5" s="574"/>
      <c r="AA5" s="566"/>
      <c r="AB5" s="566"/>
      <c r="AC5" s="566"/>
      <c r="AD5" s="566"/>
      <c r="AE5" s="566"/>
      <c r="AF5" s="566"/>
      <c r="AG5" s="566"/>
      <c r="AH5" s="566"/>
      <c r="AI5" s="566"/>
    </row>
    <row r="6" spans="2:35" ht="38.450000000000003" customHeight="1">
      <c r="B6" s="564"/>
      <c r="C6" s="565"/>
      <c r="D6" s="584"/>
      <c r="E6" s="584"/>
      <c r="F6" s="574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6"/>
      <c r="U6" s="569"/>
      <c r="V6" s="572"/>
      <c r="W6" s="583"/>
      <c r="X6" s="572"/>
      <c r="Y6" s="574"/>
      <c r="AA6" s="186" t="s">
        <v>229</v>
      </c>
      <c r="AB6" s="186" t="s">
        <v>483</v>
      </c>
      <c r="AC6" s="248" t="s">
        <v>238</v>
      </c>
      <c r="AD6" s="248" t="s">
        <v>239</v>
      </c>
      <c r="AE6" s="248" t="s">
        <v>485</v>
      </c>
      <c r="AF6" s="248" t="s">
        <v>230</v>
      </c>
      <c r="AG6" s="248" t="s">
        <v>231</v>
      </c>
      <c r="AH6" s="248" t="s">
        <v>232</v>
      </c>
      <c r="AI6" s="248" t="s">
        <v>492</v>
      </c>
    </row>
    <row r="7" spans="2:35" s="250" customFormat="1" ht="27" customHeight="1">
      <c r="B7" s="576" t="s">
        <v>597</v>
      </c>
      <c r="C7" s="577"/>
      <c r="D7" s="246">
        <v>1</v>
      </c>
      <c r="E7" s="265" t="s">
        <v>591</v>
      </c>
      <c r="F7" s="251">
        <v>15319.076000000008</v>
      </c>
      <c r="G7" s="251">
        <v>1214.0409999999999</v>
      </c>
      <c r="H7" s="251">
        <v>1308.8999999999999</v>
      </c>
      <c r="I7" s="252">
        <f>H7/G7</f>
        <v>1.0781349229556496</v>
      </c>
      <c r="J7" s="251"/>
      <c r="K7" s="252">
        <f>J7/G7</f>
        <v>0</v>
      </c>
      <c r="L7" s="251">
        <v>164</v>
      </c>
      <c r="M7" s="253">
        <f>(H7+J7)/G7</f>
        <v>1.0781349229556496</v>
      </c>
      <c r="N7" s="254">
        <v>15556.876000000007</v>
      </c>
      <c r="O7" s="251">
        <v>1.45</v>
      </c>
      <c r="P7" s="252">
        <f>O7/G7</f>
        <v>1.1943583453936069E-3</v>
      </c>
      <c r="Q7" s="255">
        <f>((H7+J7)-G7)-O7</f>
        <v>93.408999999999921</v>
      </c>
      <c r="R7" s="252">
        <f>Q7/G7</f>
        <v>7.6940564610256099E-2</v>
      </c>
      <c r="S7" s="251">
        <v>237.79999999999998</v>
      </c>
      <c r="T7" s="256"/>
      <c r="U7" s="256"/>
      <c r="V7" s="257"/>
      <c r="W7" s="257"/>
      <c r="X7" s="257">
        <v>1</v>
      </c>
      <c r="Y7" s="266"/>
      <c r="Z7" s="258" t="s">
        <v>557</v>
      </c>
      <c r="AA7" s="259">
        <f>SUM(X7:X26)</f>
        <v>20</v>
      </c>
      <c r="AB7" s="260">
        <f>SUMIF($U$7:$U$26,TRIM(AB6),$X$7:$X$26)</f>
        <v>0</v>
      </c>
      <c r="AC7" s="260">
        <f>SUMIF($U$7:$U$26,TRIM(AC6),$X$7:$X$26)</f>
        <v>0</v>
      </c>
      <c r="AD7" s="260">
        <f t="shared" ref="AD7:AI7" ca="1" si="0">SUMIF($U$7:$U$9710,TRIM(AD6),$X$7:$X$26)</f>
        <v>0</v>
      </c>
      <c r="AE7" s="260">
        <f t="shared" ca="1" si="0"/>
        <v>0</v>
      </c>
      <c r="AF7" s="260">
        <f t="shared" ca="1" si="0"/>
        <v>0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78"/>
      <c r="C8" s="579"/>
      <c r="D8" s="246">
        <v>2</v>
      </c>
      <c r="E8" s="265" t="s">
        <v>579</v>
      </c>
      <c r="F8" s="251">
        <v>8938.6000000000022</v>
      </c>
      <c r="G8" s="251">
        <v>2541.7800000000002</v>
      </c>
      <c r="H8" s="251">
        <v>2584.69</v>
      </c>
      <c r="I8" s="252">
        <f t="shared" ref="I8:I26" si="1">H8/G8</f>
        <v>1.0168818701854605</v>
      </c>
      <c r="J8" s="251">
        <v>75.300000000000011</v>
      </c>
      <c r="K8" s="252">
        <f t="shared" ref="K8:K26" si="2">J8/G8</f>
        <v>2.9624908528668888E-2</v>
      </c>
      <c r="L8" s="251">
        <v>85</v>
      </c>
      <c r="M8" s="253">
        <f t="shared" ref="M8:M26" si="3">(H8+J8)/G8</f>
        <v>1.0465067787141296</v>
      </c>
      <c r="N8" s="254">
        <v>10047.850000000002</v>
      </c>
      <c r="O8" s="251">
        <v>13.05</v>
      </c>
      <c r="P8" s="252">
        <f t="shared" ref="P8:P26" si="4">O8/G8</f>
        <v>5.1341972948091494E-3</v>
      </c>
      <c r="Q8" s="255">
        <f t="shared" ref="Q8:Q26" si="5">((H8+J8)-G8)-O8</f>
        <v>105.16000000000004</v>
      </c>
      <c r="R8" s="252">
        <f t="shared" ref="R8:R26" si="6">Q8/G8</f>
        <v>4.1372581419320334E-2</v>
      </c>
      <c r="S8" s="251">
        <v>1109.25</v>
      </c>
      <c r="T8" s="261"/>
      <c r="U8" s="256"/>
      <c r="V8" s="257"/>
      <c r="W8" s="257"/>
      <c r="X8" s="257">
        <v>1</v>
      </c>
      <c r="Y8" s="266"/>
      <c r="AA8" s="259"/>
      <c r="AB8" s="262">
        <f>SUMIF($U$7:$U$26,TRIM(AB6),$F$7:$F$26)</f>
        <v>0</v>
      </c>
      <c r="AC8" s="262">
        <f>SUMIF($U$7:$U$26,TRIM(AC6),$F$7:$F$26)</f>
        <v>0</v>
      </c>
      <c r="AD8" s="262">
        <f t="shared" ref="AD8:AI8" ca="1" si="7">SUMIF($U$7:$U$176,TRIM(AD6),$F$7:$F$26)</f>
        <v>0</v>
      </c>
      <c r="AE8" s="262">
        <f t="shared" ca="1" si="7"/>
        <v>0</v>
      </c>
      <c r="AF8" s="262">
        <f t="shared" ca="1" si="7"/>
        <v>0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78"/>
      <c r="C9" s="579"/>
      <c r="D9" s="246">
        <v>3</v>
      </c>
      <c r="E9" s="265" t="s">
        <v>598</v>
      </c>
      <c r="F9" s="251">
        <v>5711.4729299999999</v>
      </c>
      <c r="G9" s="251">
        <v>274.779</v>
      </c>
      <c r="H9" s="251">
        <v>345.12599999999998</v>
      </c>
      <c r="I9" s="252">
        <f t="shared" si="1"/>
        <v>1.2560130140949635</v>
      </c>
      <c r="J9" s="251"/>
      <c r="K9" s="252">
        <f t="shared" si="2"/>
        <v>0</v>
      </c>
      <c r="L9" s="251">
        <v>81.189999999999984</v>
      </c>
      <c r="M9" s="253">
        <f t="shared" si="3"/>
        <v>1.2560130140949635</v>
      </c>
      <c r="N9" s="254">
        <v>6118.9655399999992</v>
      </c>
      <c r="O9" s="251">
        <v>0</v>
      </c>
      <c r="P9" s="252">
        <f t="shared" si="4"/>
        <v>0</v>
      </c>
      <c r="Q9" s="255">
        <f t="shared" si="5"/>
        <v>70.34699999999998</v>
      </c>
      <c r="R9" s="252">
        <f t="shared" si="6"/>
        <v>0.25601301409496352</v>
      </c>
      <c r="S9" s="251">
        <v>0</v>
      </c>
      <c r="T9" s="246"/>
      <c r="U9" s="256"/>
      <c r="V9" s="257"/>
      <c r="W9" s="257"/>
      <c r="X9" s="257">
        <v>1</v>
      </c>
      <c r="Y9" s="266"/>
    </row>
    <row r="10" spans="2:35" s="250" customFormat="1" ht="27" customHeight="1">
      <c r="B10" s="578"/>
      <c r="C10" s="579"/>
      <c r="D10" s="246">
        <v>4</v>
      </c>
      <c r="E10" s="265" t="s">
        <v>599</v>
      </c>
      <c r="F10" s="251">
        <v>3683.592360000001</v>
      </c>
      <c r="G10" s="251">
        <v>3724.8530000000001</v>
      </c>
      <c r="H10" s="251">
        <v>3724.9290000000001</v>
      </c>
      <c r="I10" s="252">
        <f>H10/G10</f>
        <v>1.0000204034897484</v>
      </c>
      <c r="J10" s="251">
        <v>68</v>
      </c>
      <c r="K10" s="252">
        <f t="shared" si="2"/>
        <v>1.825575398545929E-2</v>
      </c>
      <c r="L10" s="251">
        <v>54.110000000000007</v>
      </c>
      <c r="M10" s="253">
        <f t="shared" si="3"/>
        <v>1.0182761574752077</v>
      </c>
      <c r="N10" s="254">
        <v>3683.592360000001</v>
      </c>
      <c r="O10" s="251">
        <v>0</v>
      </c>
      <c r="P10" s="252">
        <f t="shared" si="4"/>
        <v>0</v>
      </c>
      <c r="Q10" s="255">
        <f t="shared" si="5"/>
        <v>68.076000000000022</v>
      </c>
      <c r="R10" s="252">
        <f t="shared" si="6"/>
        <v>1.8276157475207753E-2</v>
      </c>
      <c r="S10" s="251">
        <v>0</v>
      </c>
      <c r="T10" s="256"/>
      <c r="U10" s="256"/>
      <c r="V10" s="257"/>
      <c r="W10" s="257"/>
      <c r="X10" s="257">
        <v>1</v>
      </c>
      <c r="Y10" s="266"/>
    </row>
    <row r="11" spans="2:35" s="250" customFormat="1" ht="27" customHeight="1">
      <c r="B11" s="578"/>
      <c r="C11" s="579"/>
      <c r="D11" s="246">
        <v>5</v>
      </c>
      <c r="E11" s="265" t="s">
        <v>572</v>
      </c>
      <c r="F11" s="251">
        <v>3562.4244000000026</v>
      </c>
      <c r="G11" s="251">
        <v>400.70600000000002</v>
      </c>
      <c r="H11" s="251">
        <v>457.65</v>
      </c>
      <c r="I11" s="252">
        <f t="shared" si="1"/>
        <v>1.1421091773020617</v>
      </c>
      <c r="J11" s="251"/>
      <c r="K11" s="252">
        <f t="shared" si="2"/>
        <v>0</v>
      </c>
      <c r="L11" s="251">
        <v>250.09999999999997</v>
      </c>
      <c r="M11" s="253">
        <f t="shared" si="3"/>
        <v>1.1421091773020617</v>
      </c>
      <c r="N11" s="254">
        <v>14241.694400000002</v>
      </c>
      <c r="O11" s="251">
        <v>42.7</v>
      </c>
      <c r="P11" s="252">
        <f t="shared" si="4"/>
        <v>0.10656191821435167</v>
      </c>
      <c r="Q11" s="255">
        <f t="shared" si="5"/>
        <v>14.243999999999957</v>
      </c>
      <c r="R11" s="252">
        <f t="shared" si="6"/>
        <v>3.554725908771008E-2</v>
      </c>
      <c r="S11" s="251">
        <v>10679.27</v>
      </c>
      <c r="T11" s="256"/>
      <c r="U11" s="256"/>
      <c r="V11" s="257"/>
      <c r="W11" s="257"/>
      <c r="X11" s="257">
        <v>1</v>
      </c>
      <c r="Y11" s="266"/>
    </row>
    <row r="12" spans="2:35" s="250" customFormat="1" ht="27" customHeight="1">
      <c r="B12" s="578"/>
      <c r="C12" s="579"/>
      <c r="D12" s="246">
        <v>6</v>
      </c>
      <c r="E12" s="265" t="s">
        <v>600</v>
      </c>
      <c r="F12" s="251">
        <v>2388.0252399999995</v>
      </c>
      <c r="G12" s="251">
        <v>72.967999999999989</v>
      </c>
      <c r="H12" s="251">
        <v>73.006</v>
      </c>
      <c r="I12" s="252">
        <f t="shared" si="1"/>
        <v>1.0005207762306767</v>
      </c>
      <c r="J12" s="251">
        <v>2.5499999999999998</v>
      </c>
      <c r="K12" s="252">
        <f t="shared" si="2"/>
        <v>3.4946826005920403E-2</v>
      </c>
      <c r="L12" s="251">
        <v>922.72999999999979</v>
      </c>
      <c r="M12" s="253">
        <f t="shared" si="3"/>
        <v>1.035467602236597</v>
      </c>
      <c r="N12" s="254">
        <v>2388.0252399999995</v>
      </c>
      <c r="O12" s="251">
        <v>0</v>
      </c>
      <c r="P12" s="252">
        <f t="shared" si="4"/>
        <v>0</v>
      </c>
      <c r="Q12" s="255">
        <f t="shared" si="5"/>
        <v>2.5880000000000081</v>
      </c>
      <c r="R12" s="252">
        <f t="shared" si="6"/>
        <v>3.5467602236596979E-2</v>
      </c>
      <c r="S12" s="251">
        <v>0</v>
      </c>
      <c r="T12" s="256"/>
      <c r="U12" s="256"/>
      <c r="V12" s="257"/>
      <c r="W12" s="257"/>
      <c r="X12" s="257">
        <v>1</v>
      </c>
      <c r="Y12" s="266"/>
    </row>
    <row r="13" spans="2:35" s="250" customFormat="1" ht="27" customHeight="1">
      <c r="B13" s="578"/>
      <c r="C13" s="579"/>
      <c r="D13" s="246">
        <v>7</v>
      </c>
      <c r="E13" s="265" t="s">
        <v>575</v>
      </c>
      <c r="F13" s="251">
        <v>2187.7439999999983</v>
      </c>
      <c r="G13" s="251">
        <v>715.89</v>
      </c>
      <c r="H13" s="251">
        <v>772.13999999999987</v>
      </c>
      <c r="I13" s="252">
        <f t="shared" si="1"/>
        <v>1.0785735238653982</v>
      </c>
      <c r="J13" s="251"/>
      <c r="K13" s="252">
        <f t="shared" si="2"/>
        <v>0</v>
      </c>
      <c r="L13" s="251">
        <v>105.17999999999998</v>
      </c>
      <c r="M13" s="253">
        <f t="shared" si="3"/>
        <v>1.0785735238653982</v>
      </c>
      <c r="N13" s="254">
        <v>5916.3749999999982</v>
      </c>
      <c r="O13" s="251">
        <v>35.450000000000003</v>
      </c>
      <c r="P13" s="252">
        <f t="shared" si="4"/>
        <v>4.9518780818282142E-2</v>
      </c>
      <c r="Q13" s="255">
        <f t="shared" si="5"/>
        <v>20.799999999999883</v>
      </c>
      <c r="R13" s="252">
        <f t="shared" si="6"/>
        <v>2.9054743047116013E-2</v>
      </c>
      <c r="S13" s="251">
        <v>3728.6309999999999</v>
      </c>
      <c r="T13" s="246"/>
      <c r="U13" s="256"/>
      <c r="V13" s="257"/>
      <c r="W13" s="257"/>
      <c r="X13" s="257">
        <v>1</v>
      </c>
      <c r="Y13" s="267"/>
      <c r="AB13" s="250">
        <v>1</v>
      </c>
      <c r="AC13" s="268" t="s">
        <v>482</v>
      </c>
    </row>
    <row r="14" spans="2:35" s="250" customFormat="1" ht="27" customHeight="1">
      <c r="B14" s="578"/>
      <c r="C14" s="579"/>
      <c r="D14" s="246">
        <v>8</v>
      </c>
      <c r="E14" s="265" t="s">
        <v>573</v>
      </c>
      <c r="F14" s="251">
        <v>2160.493419999998</v>
      </c>
      <c r="G14" s="251">
        <v>505.23800000000006</v>
      </c>
      <c r="H14" s="251">
        <v>574.25</v>
      </c>
      <c r="I14" s="252">
        <f t="shared" si="1"/>
        <v>1.1365930511956739</v>
      </c>
      <c r="J14" s="251"/>
      <c r="K14" s="252">
        <f>J14/G14</f>
        <v>0</v>
      </c>
      <c r="L14" s="251">
        <v>139.01</v>
      </c>
      <c r="M14" s="253">
        <f>(H14+J14)/G14</f>
        <v>1.1365930511956739</v>
      </c>
      <c r="N14" s="254">
        <v>9593.3581199999971</v>
      </c>
      <c r="O14" s="251">
        <v>53.47</v>
      </c>
      <c r="P14" s="252">
        <f t="shared" si="4"/>
        <v>0.10583131118403602</v>
      </c>
      <c r="Q14" s="255">
        <f t="shared" si="5"/>
        <v>15.541999999999945</v>
      </c>
      <c r="R14" s="252">
        <f t="shared" si="6"/>
        <v>3.0761740011637968E-2</v>
      </c>
      <c r="S14" s="251">
        <v>7432.8646999999992</v>
      </c>
      <c r="T14" s="256"/>
      <c r="U14" s="256"/>
      <c r="V14" s="257"/>
      <c r="W14" s="257"/>
      <c r="X14" s="257">
        <v>1</v>
      </c>
      <c r="Y14" s="266"/>
      <c r="AB14" s="250">
        <v>2</v>
      </c>
      <c r="AC14" s="268" t="s">
        <v>368</v>
      </c>
    </row>
    <row r="15" spans="2:35" s="250" customFormat="1" ht="27" customHeight="1">
      <c r="B15" s="578"/>
      <c r="C15" s="579"/>
      <c r="D15" s="246">
        <v>9</v>
      </c>
      <c r="E15" s="265" t="s">
        <v>577</v>
      </c>
      <c r="F15" s="251">
        <v>2108.4700000000003</v>
      </c>
      <c r="G15" s="251">
        <v>306.81000000000006</v>
      </c>
      <c r="H15" s="251">
        <v>323.15999999999997</v>
      </c>
      <c r="I15" s="252">
        <f t="shared" si="1"/>
        <v>1.0532903099638209</v>
      </c>
      <c r="J15" s="251"/>
      <c r="K15" s="252">
        <f t="shared" si="2"/>
        <v>0</v>
      </c>
      <c r="L15" s="251">
        <v>215.15000000000003</v>
      </c>
      <c r="M15" s="253">
        <f t="shared" si="3"/>
        <v>1.0532903099638209</v>
      </c>
      <c r="N15" s="254">
        <v>3517.7025000000003</v>
      </c>
      <c r="O15" s="251">
        <v>6.55</v>
      </c>
      <c r="P15" s="252">
        <f t="shared" si="4"/>
        <v>2.134871744728007E-2</v>
      </c>
      <c r="Q15" s="255">
        <f t="shared" si="5"/>
        <v>9.7999999999999083</v>
      </c>
      <c r="R15" s="252">
        <f t="shared" si="6"/>
        <v>3.1941592516540877E-2</v>
      </c>
      <c r="S15" s="251">
        <v>1409.2324999999998</v>
      </c>
      <c r="T15" s="256"/>
      <c r="U15" s="256"/>
      <c r="V15" s="257"/>
      <c r="W15" s="257"/>
      <c r="X15" s="257">
        <v>1</v>
      </c>
      <c r="Y15" s="266"/>
      <c r="AB15" s="250">
        <v>3</v>
      </c>
      <c r="AC15" s="268" t="s">
        <v>372</v>
      </c>
    </row>
    <row r="16" spans="2:35" s="250" customFormat="1" ht="27" customHeight="1">
      <c r="B16" s="578"/>
      <c r="C16" s="579"/>
      <c r="D16" s="246">
        <v>10</v>
      </c>
      <c r="E16" s="265" t="s">
        <v>589</v>
      </c>
      <c r="F16" s="251">
        <v>1559.1450000000034</v>
      </c>
      <c r="G16" s="251">
        <v>1100.4000000000001</v>
      </c>
      <c r="H16" s="251">
        <v>1105.92</v>
      </c>
      <c r="I16" s="252">
        <f t="shared" si="1"/>
        <v>1.0050163576881135</v>
      </c>
      <c r="J16" s="251"/>
      <c r="K16" s="252">
        <f t="shared" si="2"/>
        <v>0</v>
      </c>
      <c r="L16" s="251">
        <v>335.3</v>
      </c>
      <c r="M16" s="253">
        <f t="shared" si="3"/>
        <v>1.0050163576881135</v>
      </c>
      <c r="N16" s="254">
        <v>1850.8560000000034</v>
      </c>
      <c r="O16" s="251">
        <v>0.87</v>
      </c>
      <c r="P16" s="252">
        <f t="shared" si="4"/>
        <v>7.9062159214830958E-4</v>
      </c>
      <c r="Q16" s="255">
        <f t="shared" si="5"/>
        <v>4.6499999999999817</v>
      </c>
      <c r="R16" s="252">
        <f t="shared" si="6"/>
        <v>4.2257360959650865E-3</v>
      </c>
      <c r="S16" s="251">
        <v>291.71100000000001</v>
      </c>
      <c r="T16" s="256"/>
      <c r="U16" s="256"/>
      <c r="V16" s="257"/>
      <c r="W16" s="257"/>
      <c r="X16" s="257">
        <v>1</v>
      </c>
      <c r="Y16" s="266"/>
      <c r="AB16" s="250">
        <v>4</v>
      </c>
      <c r="AC16" s="268" t="s">
        <v>484</v>
      </c>
    </row>
    <row r="17" spans="2:29" s="250" customFormat="1" ht="27" customHeight="1">
      <c r="B17" s="578"/>
      <c r="C17" s="579"/>
      <c r="D17" s="246">
        <v>11</v>
      </c>
      <c r="E17" s="265" t="s">
        <v>601</v>
      </c>
      <c r="F17" s="251">
        <v>1463.0104799999995</v>
      </c>
      <c r="G17" s="251">
        <v>1778.1999999999998</v>
      </c>
      <c r="H17" s="251">
        <v>1777.5940000000001</v>
      </c>
      <c r="I17" s="252">
        <f t="shared" si="1"/>
        <v>0.9996592059385897</v>
      </c>
      <c r="J17" s="251">
        <v>11.01</v>
      </c>
      <c r="K17" s="252">
        <f t="shared" si="2"/>
        <v>6.1916544820605109E-3</v>
      </c>
      <c r="L17" s="251">
        <v>140.62</v>
      </c>
      <c r="M17" s="253">
        <f t="shared" si="3"/>
        <v>1.0058508604206502</v>
      </c>
      <c r="N17" s="254">
        <v>1463.0104799999995</v>
      </c>
      <c r="O17" s="251">
        <v>0</v>
      </c>
      <c r="P17" s="252">
        <f t="shared" si="4"/>
        <v>0</v>
      </c>
      <c r="Q17" s="255">
        <f t="shared" si="5"/>
        <v>10.404000000000224</v>
      </c>
      <c r="R17" s="252">
        <f t="shared" si="6"/>
        <v>5.8508604206502224E-3</v>
      </c>
      <c r="S17" s="251">
        <v>0</v>
      </c>
      <c r="T17" s="256"/>
      <c r="U17" s="256"/>
      <c r="V17" s="257"/>
      <c r="W17" s="257"/>
      <c r="X17" s="257">
        <v>1</v>
      </c>
      <c r="Y17" s="266"/>
      <c r="AB17" s="250">
        <v>5</v>
      </c>
      <c r="AC17" s="268" t="s">
        <v>201</v>
      </c>
    </row>
    <row r="18" spans="2:29" s="250" customFormat="1" ht="27" customHeight="1">
      <c r="B18" s="578"/>
      <c r="C18" s="579"/>
      <c r="D18" s="246">
        <v>12</v>
      </c>
      <c r="E18" s="265" t="s">
        <v>578</v>
      </c>
      <c r="F18" s="251">
        <v>1402.69056</v>
      </c>
      <c r="G18" s="251">
        <v>26.590199999999999</v>
      </c>
      <c r="H18" s="251">
        <v>29.153199999999998</v>
      </c>
      <c r="I18" s="252">
        <f t="shared" si="1"/>
        <v>1.0963888951568623</v>
      </c>
      <c r="J18" s="251"/>
      <c r="K18" s="252">
        <f t="shared" si="2"/>
        <v>0</v>
      </c>
      <c r="L18" s="251">
        <v>1029.1200000000001</v>
      </c>
      <c r="M18" s="253">
        <f t="shared" si="3"/>
        <v>1.0963888951568623</v>
      </c>
      <c r="N18" s="254">
        <v>2637.63456</v>
      </c>
      <c r="O18" s="251">
        <v>1.2</v>
      </c>
      <c r="P18" s="252">
        <f t="shared" si="4"/>
        <v>4.5129408579100569E-2</v>
      </c>
      <c r="Q18" s="255">
        <f t="shared" si="5"/>
        <v>1.3629999999999989</v>
      </c>
      <c r="R18" s="252">
        <f t="shared" si="6"/>
        <v>5.1259486577761693E-2</v>
      </c>
      <c r="S18" s="251">
        <v>1234.9440000000002</v>
      </c>
      <c r="T18" s="246"/>
      <c r="U18" s="256"/>
      <c r="V18" s="256"/>
      <c r="W18" s="256"/>
      <c r="X18" s="257">
        <v>1</v>
      </c>
      <c r="Y18" s="266"/>
      <c r="AB18" s="250">
        <v>6</v>
      </c>
      <c r="AC18" s="268" t="s">
        <v>202</v>
      </c>
    </row>
    <row r="19" spans="2:29" s="250" customFormat="1" ht="27" customHeight="1">
      <c r="B19" s="578"/>
      <c r="C19" s="579"/>
      <c r="D19" s="246">
        <v>13</v>
      </c>
      <c r="E19" s="265" t="s">
        <v>602</v>
      </c>
      <c r="F19" s="251">
        <v>1279.7600000000002</v>
      </c>
      <c r="G19" s="251">
        <v>20.604000000000003</v>
      </c>
      <c r="H19" s="251">
        <v>24.368000000000002</v>
      </c>
      <c r="I19" s="252">
        <f t="shared" si="1"/>
        <v>1.1826829741797709</v>
      </c>
      <c r="J19" s="251"/>
      <c r="K19" s="252">
        <f t="shared" si="2"/>
        <v>0</v>
      </c>
      <c r="L19" s="251">
        <v>340</v>
      </c>
      <c r="M19" s="253">
        <f t="shared" si="3"/>
        <v>1.1826829741797709</v>
      </c>
      <c r="N19" s="254">
        <v>1279.7600000000002</v>
      </c>
      <c r="O19" s="251">
        <v>0</v>
      </c>
      <c r="P19" s="252">
        <f t="shared" si="4"/>
        <v>0</v>
      </c>
      <c r="Q19" s="255">
        <f t="shared" si="5"/>
        <v>3.7639999999999993</v>
      </c>
      <c r="R19" s="252">
        <f t="shared" si="6"/>
        <v>0.18268297417977086</v>
      </c>
      <c r="S19" s="251">
        <v>0</v>
      </c>
      <c r="T19" s="256"/>
      <c r="U19" s="256"/>
      <c r="V19" s="256"/>
      <c r="W19" s="256"/>
      <c r="X19" s="257">
        <v>1</v>
      </c>
      <c r="Y19" s="266"/>
      <c r="AB19" s="250">
        <v>7</v>
      </c>
      <c r="AC19" s="268" t="s">
        <v>373</v>
      </c>
    </row>
    <row r="20" spans="2:29" s="250" customFormat="1" ht="27" customHeight="1">
      <c r="B20" s="578"/>
      <c r="C20" s="579"/>
      <c r="D20" s="246">
        <v>14</v>
      </c>
      <c r="E20" s="265" t="s">
        <v>603</v>
      </c>
      <c r="F20" s="251">
        <v>1164.4992</v>
      </c>
      <c r="G20" s="251">
        <v>69.688000000000002</v>
      </c>
      <c r="H20" s="251">
        <v>73</v>
      </c>
      <c r="I20" s="252">
        <f t="shared" si="1"/>
        <v>1.047526116404546</v>
      </c>
      <c r="J20" s="251"/>
      <c r="K20" s="252">
        <f t="shared" si="2"/>
        <v>0</v>
      </c>
      <c r="L20" s="251">
        <v>351.59999999999997</v>
      </c>
      <c r="M20" s="253">
        <f t="shared" si="3"/>
        <v>1.047526116404546</v>
      </c>
      <c r="N20" s="254">
        <v>1445.7792000000002</v>
      </c>
      <c r="O20" s="251">
        <v>0</v>
      </c>
      <c r="P20" s="252">
        <f t="shared" si="4"/>
        <v>0</v>
      </c>
      <c r="Q20" s="255">
        <f t="shared" si="5"/>
        <v>3.3119999999999976</v>
      </c>
      <c r="R20" s="252">
        <f t="shared" si="6"/>
        <v>4.7526116404545939E-2</v>
      </c>
      <c r="S20" s="251">
        <v>0</v>
      </c>
      <c r="T20" s="256"/>
      <c r="U20" s="256"/>
      <c r="V20" s="257"/>
      <c r="W20" s="257"/>
      <c r="X20" s="257">
        <v>1</v>
      </c>
      <c r="Y20" s="266"/>
      <c r="AB20" s="250">
        <v>8</v>
      </c>
      <c r="AC20" s="269" t="s">
        <v>493</v>
      </c>
    </row>
    <row r="21" spans="2:29" s="250" customFormat="1" ht="27" customHeight="1">
      <c r="B21" s="578"/>
      <c r="C21" s="579"/>
      <c r="D21" s="246">
        <v>15</v>
      </c>
      <c r="E21" s="265" t="s">
        <v>604</v>
      </c>
      <c r="F21" s="251">
        <v>989.67567567567562</v>
      </c>
      <c r="G21" s="251">
        <v>2541.1600000000003</v>
      </c>
      <c r="H21" s="251">
        <v>2542.56</v>
      </c>
      <c r="I21" s="252">
        <f t="shared" si="1"/>
        <v>1.0005509294967652</v>
      </c>
      <c r="J21" s="251">
        <v>15.6</v>
      </c>
      <c r="K21" s="252">
        <f t="shared" si="2"/>
        <v>6.1389286782414319E-3</v>
      </c>
      <c r="L21" s="251">
        <v>58.21621621621621</v>
      </c>
      <c r="M21" s="253">
        <f t="shared" si="3"/>
        <v>1.0066898581750066</v>
      </c>
      <c r="N21" s="254">
        <v>989.67567567567562</v>
      </c>
      <c r="O21" s="251">
        <v>0</v>
      </c>
      <c r="P21" s="252">
        <f t="shared" si="4"/>
        <v>0</v>
      </c>
      <c r="Q21" s="255">
        <f t="shared" si="5"/>
        <v>16.999999999999545</v>
      </c>
      <c r="R21" s="252">
        <f t="shared" si="6"/>
        <v>6.6898581750065101E-3</v>
      </c>
      <c r="S21" s="251">
        <v>0</v>
      </c>
      <c r="T21" s="246"/>
      <c r="U21" s="256"/>
      <c r="V21" s="256"/>
      <c r="W21" s="256"/>
      <c r="X21" s="257">
        <v>1</v>
      </c>
      <c r="Y21" s="266"/>
      <c r="AC21" s="268"/>
    </row>
    <row r="22" spans="2:29" s="250" customFormat="1" ht="27" customHeight="1">
      <c r="B22" s="578"/>
      <c r="C22" s="579"/>
      <c r="D22" s="246">
        <v>16</v>
      </c>
      <c r="E22" s="265" t="s">
        <v>605</v>
      </c>
      <c r="F22" s="251">
        <v>887.99999999999955</v>
      </c>
      <c r="G22" s="251">
        <v>578.40000000000009</v>
      </c>
      <c r="H22" s="251">
        <v>582.84</v>
      </c>
      <c r="I22" s="252">
        <f t="shared" si="1"/>
        <v>1.0076763485477178</v>
      </c>
      <c r="J22" s="251"/>
      <c r="K22" s="252">
        <f t="shared" si="2"/>
        <v>0</v>
      </c>
      <c r="L22" s="251">
        <v>200</v>
      </c>
      <c r="M22" s="253">
        <f t="shared" si="3"/>
        <v>1.0076763485477178</v>
      </c>
      <c r="N22" s="254">
        <v>1051.2</v>
      </c>
      <c r="O22" s="251">
        <v>0</v>
      </c>
      <c r="P22" s="252">
        <f t="shared" si="4"/>
        <v>0</v>
      </c>
      <c r="Q22" s="255">
        <f t="shared" si="5"/>
        <v>4.4399999999999409</v>
      </c>
      <c r="R22" s="252">
        <f t="shared" si="6"/>
        <v>7.6763485477177387E-3</v>
      </c>
      <c r="S22" s="251">
        <v>0</v>
      </c>
      <c r="T22" s="256"/>
      <c r="U22" s="256"/>
      <c r="V22" s="257"/>
      <c r="W22" s="257"/>
      <c r="X22" s="257">
        <v>1</v>
      </c>
      <c r="Y22" s="266"/>
      <c r="AC22" s="268"/>
    </row>
    <row r="23" spans="2:29" s="250" customFormat="1" ht="27" customHeight="1">
      <c r="B23" s="578"/>
      <c r="C23" s="579"/>
      <c r="D23" s="246">
        <v>17</v>
      </c>
      <c r="E23" s="265" t="s">
        <v>576</v>
      </c>
      <c r="F23" s="251">
        <v>405.00000000000261</v>
      </c>
      <c r="G23" s="251">
        <v>412.27500000000009</v>
      </c>
      <c r="H23" s="251">
        <v>459.22500000000002</v>
      </c>
      <c r="I23" s="252">
        <f t="shared" si="1"/>
        <v>1.1138802983445515</v>
      </c>
      <c r="J23" s="251"/>
      <c r="K23" s="252">
        <f t="shared" si="2"/>
        <v>0</v>
      </c>
      <c r="L23" s="251">
        <v>81</v>
      </c>
      <c r="M23" s="253">
        <f t="shared" si="3"/>
        <v>1.1138802983445515</v>
      </c>
      <c r="N23" s="254">
        <v>3802.9500000000025</v>
      </c>
      <c r="O23" s="251">
        <v>41.95</v>
      </c>
      <c r="P23" s="252">
        <f t="shared" si="4"/>
        <v>0.1017524710448123</v>
      </c>
      <c r="Q23" s="255">
        <f t="shared" si="5"/>
        <v>4.9999999999999289</v>
      </c>
      <c r="R23" s="252">
        <f t="shared" si="6"/>
        <v>1.2127827299739076E-2</v>
      </c>
      <c r="S23" s="251">
        <v>3397.95</v>
      </c>
      <c r="T23" s="256"/>
      <c r="U23" s="256"/>
      <c r="V23" s="257"/>
      <c r="W23" s="257"/>
      <c r="X23" s="257">
        <v>1</v>
      </c>
      <c r="Y23" s="266"/>
      <c r="AB23" s="263">
        <v>1</v>
      </c>
      <c r="AC23" s="268" t="s">
        <v>374</v>
      </c>
    </row>
    <row r="24" spans="2:29" s="250" customFormat="1" ht="27" customHeight="1">
      <c r="B24" s="578"/>
      <c r="C24" s="579"/>
      <c r="D24" s="246">
        <v>18</v>
      </c>
      <c r="E24" s="265" t="s">
        <v>587</v>
      </c>
      <c r="F24" s="251">
        <v>363.13182000000091</v>
      </c>
      <c r="G24" s="251">
        <v>468.14200000000005</v>
      </c>
      <c r="H24" s="251">
        <v>483.84800000000007</v>
      </c>
      <c r="I24" s="252">
        <f t="shared" si="1"/>
        <v>1.0335496494653331</v>
      </c>
      <c r="J24" s="251"/>
      <c r="K24" s="252">
        <f t="shared" si="2"/>
        <v>0</v>
      </c>
      <c r="L24" s="251">
        <v>54.970000000000013</v>
      </c>
      <c r="M24" s="253">
        <f t="shared" si="3"/>
        <v>1.0335496494653331</v>
      </c>
      <c r="N24" s="254">
        <v>863.35882000000095</v>
      </c>
      <c r="O24" s="251">
        <v>9.1</v>
      </c>
      <c r="P24" s="252">
        <f t="shared" si="4"/>
        <v>1.9438546423948287E-2</v>
      </c>
      <c r="Q24" s="255">
        <f t="shared" si="5"/>
        <v>6.6060000000000176</v>
      </c>
      <c r="R24" s="252">
        <f t="shared" si="6"/>
        <v>1.4111103041384914E-2</v>
      </c>
      <c r="S24" s="251">
        <v>500.22700000000003</v>
      </c>
      <c r="T24" s="256"/>
      <c r="U24" s="256"/>
      <c r="V24" s="257"/>
      <c r="W24" s="257"/>
      <c r="X24" s="257">
        <v>1</v>
      </c>
      <c r="Y24" s="266"/>
      <c r="AB24" s="250">
        <v>2</v>
      </c>
      <c r="AC24" s="268" t="s">
        <v>367</v>
      </c>
    </row>
    <row r="25" spans="2:29" s="250" customFormat="1" ht="27" customHeight="1">
      <c r="B25" s="578"/>
      <c r="C25" s="579"/>
      <c r="D25" s="246">
        <v>19</v>
      </c>
      <c r="E25" s="265" t="s">
        <v>606</v>
      </c>
      <c r="F25" s="251">
        <v>350.33599999999973</v>
      </c>
      <c r="G25" s="251">
        <v>3.6680000000000001</v>
      </c>
      <c r="H25" s="251">
        <v>4.0488</v>
      </c>
      <c r="I25" s="252">
        <f t="shared" si="1"/>
        <v>1.1038167938931298</v>
      </c>
      <c r="J25" s="251"/>
      <c r="K25" s="252">
        <f t="shared" si="2"/>
        <v>0</v>
      </c>
      <c r="L25" s="251">
        <v>920</v>
      </c>
      <c r="M25" s="253">
        <f t="shared" si="3"/>
        <v>1.1038167938931298</v>
      </c>
      <c r="N25" s="254">
        <v>425.59199999999987</v>
      </c>
      <c r="O25" s="251">
        <v>0</v>
      </c>
      <c r="P25" s="252">
        <f t="shared" si="4"/>
        <v>0</v>
      </c>
      <c r="Q25" s="255">
        <f t="shared" si="5"/>
        <v>0.38079999999999981</v>
      </c>
      <c r="R25" s="252">
        <f t="shared" si="6"/>
        <v>0.10381679389312971</v>
      </c>
      <c r="S25" s="251">
        <v>0</v>
      </c>
      <c r="T25" s="256"/>
      <c r="U25" s="256"/>
      <c r="V25" s="257"/>
      <c r="W25" s="257"/>
      <c r="X25" s="257">
        <v>1</v>
      </c>
      <c r="Y25" s="266"/>
      <c r="AB25" s="264">
        <v>3</v>
      </c>
      <c r="AC25" s="268" t="s">
        <v>376</v>
      </c>
    </row>
    <row r="26" spans="2:29" s="250" customFormat="1" ht="27" customHeight="1">
      <c r="B26" s="580"/>
      <c r="C26" s="581"/>
      <c r="D26" s="246">
        <v>20</v>
      </c>
      <c r="E26" s="265" t="s">
        <v>583</v>
      </c>
      <c r="F26" s="251">
        <v>267.54000000000059</v>
      </c>
      <c r="G26" s="251">
        <v>564.83999999999992</v>
      </c>
      <c r="H26" s="251">
        <v>571.17999999999984</v>
      </c>
      <c r="I26" s="252">
        <f t="shared" si="1"/>
        <v>1.0112244175341689</v>
      </c>
      <c r="J26" s="251"/>
      <c r="K26" s="252">
        <f t="shared" si="2"/>
        <v>0</v>
      </c>
      <c r="L26" s="251">
        <v>147</v>
      </c>
      <c r="M26" s="253">
        <f t="shared" si="3"/>
        <v>1.0112244175341689</v>
      </c>
      <c r="N26" s="254">
        <v>931.98000000000047</v>
      </c>
      <c r="O26" s="251">
        <v>4.5199999999999996</v>
      </c>
      <c r="P26" s="252">
        <f t="shared" si="4"/>
        <v>8.0022661284611576E-3</v>
      </c>
      <c r="Q26" s="255">
        <f t="shared" si="5"/>
        <v>1.8199999999999186</v>
      </c>
      <c r="R26" s="252">
        <f t="shared" si="6"/>
        <v>3.2221514057076675E-3</v>
      </c>
      <c r="S26" s="251">
        <v>664.43999999999994</v>
      </c>
      <c r="T26" s="256"/>
      <c r="U26" s="256"/>
      <c r="V26" s="257"/>
      <c r="W26" s="257"/>
      <c r="X26" s="257">
        <v>1</v>
      </c>
      <c r="Y26" s="266"/>
      <c r="AB26" s="264">
        <v>4</v>
      </c>
      <c r="AC26" s="268" t="s">
        <v>377</v>
      </c>
    </row>
    <row r="27" spans="2:29" ht="29.45" customHeight="1">
      <c r="C27" s="575"/>
      <c r="AB27" s="250">
        <v>5</v>
      </c>
      <c r="AC27" s="268" t="s">
        <v>375</v>
      </c>
    </row>
    <row r="28" spans="2:29">
      <c r="C28" s="575"/>
    </row>
    <row r="29" spans="2:29">
      <c r="C29" s="575"/>
    </row>
    <row r="30" spans="2:29">
      <c r="C30" s="575"/>
    </row>
    <row r="31" spans="2:29">
      <c r="C31" s="575"/>
    </row>
    <row r="32" spans="2:29">
      <c r="C32" s="575"/>
    </row>
    <row r="33" spans="3:3">
      <c r="C33" s="575"/>
    </row>
    <row r="34" spans="3:3">
      <c r="C34" s="575"/>
    </row>
    <row r="35" spans="3:3">
      <c r="C35" s="575"/>
    </row>
    <row r="36" spans="3:3">
      <c r="C36" s="575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15" sqref="I15"/>
    </sheetView>
  </sheetViews>
  <sheetFormatPr defaultColWidth="8.28515625" defaultRowHeight="15"/>
  <cols>
    <col min="1" max="1" width="18.42578125" style="271" customWidth="1"/>
    <col min="2" max="2" width="18.85546875" style="271" bestFit="1" customWidth="1"/>
    <col min="3" max="4" width="14.28515625" style="271" customWidth="1"/>
    <col min="5" max="5" width="17.140625" style="271" bestFit="1" customWidth="1"/>
    <col min="6" max="6" width="14.28515625" style="271" customWidth="1"/>
    <col min="7" max="10" width="18.42578125" style="271" customWidth="1"/>
    <col min="11" max="11" width="17.140625" style="271" bestFit="1" customWidth="1"/>
    <col min="12" max="12" width="16" style="271" customWidth="1"/>
    <col min="13" max="13" width="17" style="271" bestFit="1" customWidth="1"/>
    <col min="14" max="15" width="12.7109375" style="271" bestFit="1" customWidth="1"/>
    <col min="16" max="16384" width="8.28515625" style="271"/>
  </cols>
  <sheetData>
    <row r="1" spans="1:18" ht="25.5" customHeight="1">
      <c r="A1" s="587" t="s">
        <v>494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</row>
    <row r="2" spans="1:18" ht="16.5" customHeight="1">
      <c r="A2" s="588" t="s">
        <v>495</v>
      </c>
      <c r="B2" s="588" t="s">
        <v>496</v>
      </c>
      <c r="C2" s="588" t="s">
        <v>497</v>
      </c>
      <c r="D2" s="588" t="s">
        <v>498</v>
      </c>
      <c r="E2" s="588" t="s">
        <v>499</v>
      </c>
      <c r="F2" s="588" t="s">
        <v>500</v>
      </c>
      <c r="G2" s="588" t="s">
        <v>501</v>
      </c>
      <c r="H2" s="588"/>
      <c r="I2" s="588" t="s">
        <v>502</v>
      </c>
      <c r="J2" s="588"/>
      <c r="K2" s="588" t="s">
        <v>503</v>
      </c>
      <c r="L2" s="588"/>
      <c r="M2" s="590" t="s">
        <v>504</v>
      </c>
      <c r="N2" s="591"/>
      <c r="O2" s="592"/>
    </row>
    <row r="3" spans="1:18" ht="37.5" customHeight="1" thickBot="1">
      <c r="A3" s="589"/>
      <c r="B3" s="589"/>
      <c r="C3" s="589"/>
      <c r="D3" s="589"/>
      <c r="E3" s="589"/>
      <c r="F3" s="589"/>
      <c r="G3" s="345" t="s">
        <v>505</v>
      </c>
      <c r="H3" s="345" t="s">
        <v>506</v>
      </c>
      <c r="I3" s="345" t="s">
        <v>505</v>
      </c>
      <c r="J3" s="345" t="s">
        <v>506</v>
      </c>
      <c r="K3" s="345" t="s">
        <v>507</v>
      </c>
      <c r="L3" s="345" t="s">
        <v>508</v>
      </c>
      <c r="M3" s="345" t="s">
        <v>509</v>
      </c>
      <c r="N3" s="346" t="s">
        <v>510</v>
      </c>
      <c r="O3" s="346" t="s">
        <v>511</v>
      </c>
    </row>
    <row r="4" spans="1:18" ht="18.75">
      <c r="A4" s="298">
        <v>45930</v>
      </c>
      <c r="B4" s="272">
        <v>3164412</v>
      </c>
      <c r="C4" s="272">
        <v>20449</v>
      </c>
      <c r="D4" s="273">
        <f>C4/B4</f>
        <v>6.4621800195423353E-3</v>
      </c>
      <c r="E4" s="274">
        <v>70411</v>
      </c>
      <c r="F4" s="275">
        <f t="shared" ref="F4:F34" si="0">E4/B4</f>
        <v>2.2250895269010484E-2</v>
      </c>
      <c r="G4" s="272">
        <v>5698</v>
      </c>
      <c r="H4" s="275">
        <f t="shared" ref="H4:H34" si="1">G4/C4</f>
        <v>0.27864443249058635</v>
      </c>
      <c r="I4" s="276">
        <v>5783</v>
      </c>
      <c r="J4" s="275">
        <f>I4/E4</f>
        <v>8.2132053230319121E-2</v>
      </c>
      <c r="K4" s="277">
        <v>0</v>
      </c>
      <c r="L4" s="278">
        <f>K4/C4</f>
        <v>0</v>
      </c>
      <c r="M4" s="593"/>
      <c r="N4" s="596"/>
      <c r="O4" s="599"/>
    </row>
    <row r="5" spans="1:18" ht="18.75">
      <c r="A5" s="287">
        <f>A4+1</f>
        <v>45931</v>
      </c>
      <c r="B5" s="279">
        <v>2824752.9699999997</v>
      </c>
      <c r="C5" s="279">
        <v>4185</v>
      </c>
      <c r="D5" s="280">
        <f t="shared" ref="D5:D34" si="2">C5/B5</f>
        <v>1.481545481833762E-3</v>
      </c>
      <c r="E5" s="281">
        <v>12125</v>
      </c>
      <c r="F5" s="282">
        <f t="shared" si="0"/>
        <v>4.2924107448588681E-3</v>
      </c>
      <c r="G5" s="279">
        <v>3918</v>
      </c>
      <c r="H5" s="282">
        <f t="shared" si="1"/>
        <v>0.93620071684587813</v>
      </c>
      <c r="I5" s="283">
        <v>13876</v>
      </c>
      <c r="J5" s="282">
        <f t="shared" ref="J5:J34" si="3">I5/E5</f>
        <v>1.1444123711340206</v>
      </c>
      <c r="K5" s="284">
        <v>0</v>
      </c>
      <c r="L5" s="285">
        <f t="shared" ref="L5:L34" si="4">K5/C5</f>
        <v>0</v>
      </c>
      <c r="M5" s="594"/>
      <c r="N5" s="597"/>
      <c r="O5" s="600"/>
    </row>
    <row r="6" spans="1:18" ht="18.75">
      <c r="A6" s="287">
        <f t="shared" ref="A6:A34" si="5">A5+1</f>
        <v>45932</v>
      </c>
      <c r="B6" s="279">
        <v>2491478.86</v>
      </c>
      <c r="C6" s="279">
        <v>19707</v>
      </c>
      <c r="D6" s="280">
        <f t="shared" si="2"/>
        <v>7.9097600691663099E-3</v>
      </c>
      <c r="E6" s="281">
        <v>8161</v>
      </c>
      <c r="F6" s="282">
        <f t="shared" si="0"/>
        <v>3.2755646178751845E-3</v>
      </c>
      <c r="G6" s="279">
        <v>17965</v>
      </c>
      <c r="H6" s="282">
        <f t="shared" si="1"/>
        <v>0.91160501344699851</v>
      </c>
      <c r="I6" s="283">
        <v>15202</v>
      </c>
      <c r="J6" s="282">
        <f t="shared" si="3"/>
        <v>1.8627619164318099</v>
      </c>
      <c r="K6" s="284">
        <v>0</v>
      </c>
      <c r="L6" s="285">
        <f t="shared" si="4"/>
        <v>0</v>
      </c>
      <c r="M6" s="594"/>
      <c r="N6" s="597"/>
      <c r="O6" s="600"/>
    </row>
    <row r="7" spans="1:18" ht="18.75">
      <c r="A7" s="287">
        <f t="shared" si="5"/>
        <v>45933</v>
      </c>
      <c r="B7" s="279">
        <v>1927390.0100000002</v>
      </c>
      <c r="C7" s="279">
        <v>16585</v>
      </c>
      <c r="D7" s="280">
        <f t="shared" si="2"/>
        <v>8.6049008835528823E-3</v>
      </c>
      <c r="E7" s="281">
        <v>3790</v>
      </c>
      <c r="F7" s="282">
        <f t="shared" si="0"/>
        <v>1.9663897707968298E-3</v>
      </c>
      <c r="G7" s="279">
        <v>16585</v>
      </c>
      <c r="H7" s="282">
        <f t="shared" si="1"/>
        <v>1</v>
      </c>
      <c r="I7" s="283">
        <v>11671</v>
      </c>
      <c r="J7" s="282">
        <f t="shared" si="3"/>
        <v>3.0794195250659633</v>
      </c>
      <c r="K7" s="284">
        <v>0</v>
      </c>
      <c r="L7" s="285">
        <f t="shared" si="4"/>
        <v>0</v>
      </c>
      <c r="M7" s="594"/>
      <c r="N7" s="597"/>
      <c r="O7" s="600"/>
    </row>
    <row r="8" spans="1:18" ht="18.75">
      <c r="A8" s="287">
        <f t="shared" si="5"/>
        <v>45934</v>
      </c>
      <c r="B8" s="279">
        <v>1927172.27</v>
      </c>
      <c r="C8" s="279">
        <v>9482</v>
      </c>
      <c r="D8" s="280">
        <f t="shared" si="2"/>
        <v>4.9201621191861588E-3</v>
      </c>
      <c r="E8" s="281">
        <v>9102</v>
      </c>
      <c r="F8" s="282">
        <f t="shared" si="0"/>
        <v>4.7229820300392763E-3</v>
      </c>
      <c r="G8" s="279">
        <v>9482</v>
      </c>
      <c r="H8" s="282">
        <f t="shared" si="1"/>
        <v>1</v>
      </c>
      <c r="I8" s="283">
        <v>14859</v>
      </c>
      <c r="J8" s="282">
        <f t="shared" si="3"/>
        <v>1.6324983520105472</v>
      </c>
      <c r="K8" s="284">
        <v>0</v>
      </c>
      <c r="L8" s="285">
        <f t="shared" si="4"/>
        <v>0</v>
      </c>
      <c r="M8" s="594"/>
      <c r="N8" s="597"/>
      <c r="O8" s="600"/>
      <c r="P8" s="286"/>
      <c r="Q8" s="286"/>
    </row>
    <row r="9" spans="1:18" ht="18.75">
      <c r="A9" s="287">
        <f t="shared" si="5"/>
        <v>45935</v>
      </c>
      <c r="B9" s="279">
        <v>2140557.92</v>
      </c>
      <c r="C9" s="279">
        <v>12804</v>
      </c>
      <c r="D9" s="280">
        <f t="shared" si="2"/>
        <v>5.9816181007613196E-3</v>
      </c>
      <c r="E9" s="281">
        <v>12293</v>
      </c>
      <c r="F9" s="282">
        <f t="shared" si="0"/>
        <v>5.7428952915228757E-3</v>
      </c>
      <c r="G9" s="279">
        <v>16508</v>
      </c>
      <c r="H9" s="282">
        <f t="shared" si="1"/>
        <v>1.2892845985629491</v>
      </c>
      <c r="I9" s="283">
        <v>6957</v>
      </c>
      <c r="J9" s="282">
        <f t="shared" si="3"/>
        <v>0.56593183112340362</v>
      </c>
      <c r="K9" s="284">
        <v>0</v>
      </c>
      <c r="L9" s="285">
        <f t="shared" si="4"/>
        <v>0</v>
      </c>
      <c r="M9" s="594"/>
      <c r="N9" s="597"/>
      <c r="O9" s="600"/>
    </row>
    <row r="10" spans="1:18" ht="19.5" thickBot="1">
      <c r="A10" s="288">
        <f t="shared" si="5"/>
        <v>45936</v>
      </c>
      <c r="B10" s="289">
        <v>2670515.5</v>
      </c>
      <c r="C10" s="289">
        <v>79940</v>
      </c>
      <c r="D10" s="290">
        <f t="shared" si="2"/>
        <v>2.9934295457187947E-2</v>
      </c>
      <c r="E10" s="295">
        <v>12673</v>
      </c>
      <c r="F10" s="291">
        <f t="shared" si="0"/>
        <v>4.7455257234043386E-3</v>
      </c>
      <c r="G10" s="289">
        <v>72821</v>
      </c>
      <c r="H10" s="291">
        <f t="shared" si="1"/>
        <v>0.9109457092819615</v>
      </c>
      <c r="I10" s="296">
        <v>19224</v>
      </c>
      <c r="J10" s="291">
        <f t="shared" si="3"/>
        <v>1.5169257476524896</v>
      </c>
      <c r="K10" s="297">
        <v>0</v>
      </c>
      <c r="L10" s="292">
        <f t="shared" si="4"/>
        <v>0</v>
      </c>
      <c r="M10" s="595"/>
      <c r="N10" s="598"/>
      <c r="O10" s="601"/>
    </row>
    <row r="11" spans="1:18" ht="18.75">
      <c r="A11" s="298">
        <f t="shared" si="5"/>
        <v>45937</v>
      </c>
      <c r="B11" s="272">
        <v>2439394</v>
      </c>
      <c r="C11" s="272">
        <v>11847</v>
      </c>
      <c r="D11" s="273">
        <f t="shared" si="2"/>
        <v>4.8565340408314528E-3</v>
      </c>
      <c r="E11" s="272">
        <v>11350</v>
      </c>
      <c r="F11" s="275">
        <f t="shared" si="0"/>
        <v>4.6527949154585111E-3</v>
      </c>
      <c r="G11" s="272">
        <v>11606</v>
      </c>
      <c r="H11" s="275">
        <f t="shared" si="1"/>
        <v>0.97965729720604378</v>
      </c>
      <c r="I11" s="272">
        <v>10074</v>
      </c>
      <c r="J11" s="275">
        <f t="shared" si="3"/>
        <v>0.88757709251101324</v>
      </c>
      <c r="K11" s="272">
        <v>0</v>
      </c>
      <c r="L11" s="278">
        <f t="shared" si="4"/>
        <v>0</v>
      </c>
      <c r="M11" s="593"/>
      <c r="N11" s="596"/>
      <c r="O11" s="599"/>
    </row>
    <row r="12" spans="1:18" ht="18.75">
      <c r="A12" s="287">
        <f t="shared" si="5"/>
        <v>45938</v>
      </c>
      <c r="B12" s="279">
        <v>2377431.23</v>
      </c>
      <c r="C12" s="344">
        <v>12804</v>
      </c>
      <c r="D12" s="280">
        <f t="shared" si="2"/>
        <v>5.3856447406051781E-3</v>
      </c>
      <c r="E12" s="281">
        <v>12293</v>
      </c>
      <c r="F12" s="282">
        <f t="shared" si="0"/>
        <v>5.1707068725600951E-3</v>
      </c>
      <c r="G12" s="279">
        <v>12264</v>
      </c>
      <c r="H12" s="282">
        <f t="shared" si="1"/>
        <v>0.95782567947516406</v>
      </c>
      <c r="I12" s="283">
        <v>10810</v>
      </c>
      <c r="J12" s="282">
        <f t="shared" si="3"/>
        <v>0.87936223867241514</v>
      </c>
      <c r="K12" s="284">
        <v>0</v>
      </c>
      <c r="L12" s="285">
        <f t="shared" si="4"/>
        <v>0</v>
      </c>
      <c r="M12" s="594"/>
      <c r="N12" s="597"/>
      <c r="O12" s="600"/>
    </row>
    <row r="13" spans="1:18" ht="18.75">
      <c r="A13" s="287">
        <f t="shared" si="5"/>
        <v>45939</v>
      </c>
      <c r="B13" s="279">
        <v>1944054.05</v>
      </c>
      <c r="C13" s="279">
        <v>4635</v>
      </c>
      <c r="D13" s="280">
        <f t="shared" si="2"/>
        <v>2.3841929703549139E-3</v>
      </c>
      <c r="E13" s="281">
        <v>7609</v>
      </c>
      <c r="F13" s="282">
        <f t="shared" si="0"/>
        <v>3.9139858277088537E-3</v>
      </c>
      <c r="G13" s="279">
        <v>4635</v>
      </c>
      <c r="H13" s="282">
        <f t="shared" si="1"/>
        <v>1</v>
      </c>
      <c r="I13" s="283">
        <v>7418</v>
      </c>
      <c r="J13" s="282">
        <f t="shared" si="3"/>
        <v>0.97489814693126564</v>
      </c>
      <c r="K13" s="284">
        <v>0</v>
      </c>
      <c r="L13" s="285">
        <f t="shared" si="4"/>
        <v>0</v>
      </c>
      <c r="M13" s="594"/>
      <c r="N13" s="597"/>
      <c r="O13" s="600"/>
    </row>
    <row r="14" spans="1:18" ht="18.75">
      <c r="A14" s="287">
        <f t="shared" si="5"/>
        <v>45940</v>
      </c>
      <c r="B14" s="279">
        <v>1880152.1</v>
      </c>
      <c r="C14" s="279">
        <v>4324</v>
      </c>
      <c r="D14" s="280">
        <f t="shared" si="2"/>
        <v>2.2998139352661947E-3</v>
      </c>
      <c r="E14" s="281">
        <v>8095</v>
      </c>
      <c r="F14" s="282">
        <f t="shared" si="0"/>
        <v>4.3055027303376143E-3</v>
      </c>
      <c r="G14" s="279">
        <v>4324</v>
      </c>
      <c r="H14" s="282">
        <f t="shared" si="1"/>
        <v>1</v>
      </c>
      <c r="I14" s="283">
        <v>7586</v>
      </c>
      <c r="J14" s="282">
        <f t="shared" si="3"/>
        <v>0.93712168004941321</v>
      </c>
      <c r="K14" s="284">
        <v>0</v>
      </c>
      <c r="L14" s="285">
        <f t="shared" si="4"/>
        <v>0</v>
      </c>
      <c r="M14" s="594"/>
      <c r="N14" s="597"/>
      <c r="O14" s="600"/>
    </row>
    <row r="15" spans="1:18" ht="18.75">
      <c r="A15" s="287">
        <f t="shared" si="5"/>
        <v>45941</v>
      </c>
      <c r="B15" s="279">
        <v>1925306.23</v>
      </c>
      <c r="C15" s="279">
        <v>10421</v>
      </c>
      <c r="D15" s="280">
        <f t="shared" si="2"/>
        <v>5.4126454470570119E-3</v>
      </c>
      <c r="E15" s="281">
        <v>2695</v>
      </c>
      <c r="F15" s="282">
        <f t="shared" si="0"/>
        <v>1.3997773226963484E-3</v>
      </c>
      <c r="G15" s="279">
        <v>242</v>
      </c>
      <c r="H15" s="282">
        <f t="shared" si="1"/>
        <v>2.3222339506765187E-2</v>
      </c>
      <c r="I15" s="283">
        <v>2689</v>
      </c>
      <c r="J15" s="282">
        <f t="shared" si="3"/>
        <v>0.99777365491651204</v>
      </c>
      <c r="K15" s="284">
        <v>0</v>
      </c>
      <c r="L15" s="285">
        <f t="shared" si="4"/>
        <v>0</v>
      </c>
      <c r="M15" s="594"/>
      <c r="N15" s="597"/>
      <c r="O15" s="600"/>
      <c r="P15" s="293"/>
      <c r="Q15" s="293"/>
      <c r="R15" s="293"/>
    </row>
    <row r="16" spans="1:18" ht="18.75">
      <c r="A16" s="287">
        <f t="shared" si="5"/>
        <v>45942</v>
      </c>
      <c r="B16" s="279">
        <v>2526042.6900000004</v>
      </c>
      <c r="C16" s="279">
        <v>2456</v>
      </c>
      <c r="D16" s="280">
        <f t="shared" si="2"/>
        <v>9.7227177106812854E-4</v>
      </c>
      <c r="E16" s="281">
        <v>5816</v>
      </c>
      <c r="F16" s="282">
        <f t="shared" si="0"/>
        <v>2.3024155621059589E-3</v>
      </c>
      <c r="G16" s="279">
        <v>2456</v>
      </c>
      <c r="H16" s="282">
        <f t="shared" si="1"/>
        <v>1</v>
      </c>
      <c r="I16" s="283">
        <v>5816</v>
      </c>
      <c r="J16" s="282">
        <f t="shared" si="3"/>
        <v>1</v>
      </c>
      <c r="K16" s="284">
        <v>0</v>
      </c>
      <c r="L16" s="285">
        <f t="shared" si="4"/>
        <v>0</v>
      </c>
      <c r="M16" s="594"/>
      <c r="N16" s="597"/>
      <c r="O16" s="600"/>
    </row>
    <row r="17" spans="1:17" ht="19.5" thickBot="1">
      <c r="A17" s="288">
        <f t="shared" si="5"/>
        <v>45943</v>
      </c>
      <c r="B17" s="289">
        <v>2568380.8199999998</v>
      </c>
      <c r="C17" s="289">
        <v>537</v>
      </c>
      <c r="D17" s="290">
        <f t="shared" si="2"/>
        <v>2.0908114397147695E-4</v>
      </c>
      <c r="E17" s="347">
        <v>12109</v>
      </c>
      <c r="F17" s="291">
        <f t="shared" si="0"/>
        <v>4.714643523930381E-3</v>
      </c>
      <c r="G17" s="289">
        <v>537</v>
      </c>
      <c r="H17" s="291">
        <f t="shared" si="1"/>
        <v>1</v>
      </c>
      <c r="I17" s="296">
        <v>12109</v>
      </c>
      <c r="J17" s="291">
        <f t="shared" si="3"/>
        <v>1</v>
      </c>
      <c r="K17" s="297">
        <v>0</v>
      </c>
      <c r="L17" s="292">
        <f t="shared" si="4"/>
        <v>0</v>
      </c>
      <c r="M17" s="595"/>
      <c r="N17" s="598"/>
      <c r="O17" s="601"/>
      <c r="P17" s="294"/>
      <c r="Q17" s="294"/>
    </row>
    <row r="18" spans="1:17" ht="18.75">
      <c r="A18" s="298">
        <f t="shared" si="5"/>
        <v>45944</v>
      </c>
      <c r="B18" s="272"/>
      <c r="C18" s="272"/>
      <c r="D18" s="273" t="e">
        <f t="shared" si="2"/>
        <v>#DIV/0!</v>
      </c>
      <c r="E18" s="274"/>
      <c r="F18" s="275" t="e">
        <f t="shared" si="0"/>
        <v>#DIV/0!</v>
      </c>
      <c r="G18" s="272"/>
      <c r="H18" s="275" t="e">
        <f t="shared" si="1"/>
        <v>#DIV/0!</v>
      </c>
      <c r="I18" s="276"/>
      <c r="J18" s="275" t="e">
        <f t="shared" si="3"/>
        <v>#DIV/0!</v>
      </c>
      <c r="K18" s="277"/>
      <c r="L18" s="278" t="e">
        <f t="shared" si="4"/>
        <v>#DIV/0!</v>
      </c>
      <c r="M18" s="593"/>
      <c r="N18" s="596"/>
      <c r="O18" s="599"/>
    </row>
    <row r="19" spans="1:17" ht="18.75">
      <c r="A19" s="287">
        <f t="shared" si="5"/>
        <v>45945</v>
      </c>
      <c r="B19" s="279"/>
      <c r="C19" s="279"/>
      <c r="D19" s="280" t="e">
        <f t="shared" si="2"/>
        <v>#DIV/0!</v>
      </c>
      <c r="E19" s="281"/>
      <c r="F19" s="282" t="e">
        <f t="shared" si="0"/>
        <v>#DIV/0!</v>
      </c>
      <c r="G19" s="279"/>
      <c r="H19" s="282" t="e">
        <f t="shared" si="1"/>
        <v>#DIV/0!</v>
      </c>
      <c r="I19" s="283"/>
      <c r="J19" s="282" t="e">
        <f t="shared" si="3"/>
        <v>#DIV/0!</v>
      </c>
      <c r="K19" s="284"/>
      <c r="L19" s="285" t="e">
        <f t="shared" si="4"/>
        <v>#DIV/0!</v>
      </c>
      <c r="M19" s="594"/>
      <c r="N19" s="597"/>
      <c r="O19" s="600"/>
    </row>
    <row r="20" spans="1:17" ht="18.75">
      <c r="A20" s="287">
        <f t="shared" si="5"/>
        <v>45946</v>
      </c>
      <c r="B20" s="279"/>
      <c r="C20" s="279"/>
      <c r="D20" s="280" t="e">
        <f t="shared" si="2"/>
        <v>#DIV/0!</v>
      </c>
      <c r="E20" s="281"/>
      <c r="F20" s="282" t="e">
        <f t="shared" si="0"/>
        <v>#DIV/0!</v>
      </c>
      <c r="G20" s="279"/>
      <c r="H20" s="282" t="e">
        <f t="shared" si="1"/>
        <v>#DIV/0!</v>
      </c>
      <c r="I20" s="283"/>
      <c r="J20" s="282" t="e">
        <f t="shared" si="3"/>
        <v>#DIV/0!</v>
      </c>
      <c r="K20" s="284"/>
      <c r="L20" s="285" t="e">
        <f t="shared" si="4"/>
        <v>#DIV/0!</v>
      </c>
      <c r="M20" s="594"/>
      <c r="N20" s="597"/>
      <c r="O20" s="600"/>
    </row>
    <row r="21" spans="1:17" ht="18.75">
      <c r="A21" s="287">
        <f t="shared" si="5"/>
        <v>45947</v>
      </c>
      <c r="B21" s="279"/>
      <c r="C21" s="279"/>
      <c r="D21" s="280" t="e">
        <f t="shared" si="2"/>
        <v>#DIV/0!</v>
      </c>
      <c r="E21" s="281"/>
      <c r="F21" s="282" t="e">
        <f t="shared" si="0"/>
        <v>#DIV/0!</v>
      </c>
      <c r="G21" s="279"/>
      <c r="H21" s="282" t="e">
        <f t="shared" si="1"/>
        <v>#DIV/0!</v>
      </c>
      <c r="I21" s="283"/>
      <c r="J21" s="282" t="e">
        <f t="shared" si="3"/>
        <v>#DIV/0!</v>
      </c>
      <c r="K21" s="284"/>
      <c r="L21" s="285" t="e">
        <f t="shared" si="4"/>
        <v>#DIV/0!</v>
      </c>
      <c r="M21" s="594"/>
      <c r="N21" s="597"/>
      <c r="O21" s="600"/>
    </row>
    <row r="22" spans="1:17" ht="18.75">
      <c r="A22" s="287">
        <f t="shared" si="5"/>
        <v>45948</v>
      </c>
      <c r="B22" s="279"/>
      <c r="C22" s="279"/>
      <c r="D22" s="280" t="e">
        <f t="shared" si="2"/>
        <v>#DIV/0!</v>
      </c>
      <c r="E22" s="281"/>
      <c r="F22" s="282" t="e">
        <f t="shared" si="0"/>
        <v>#DIV/0!</v>
      </c>
      <c r="G22" s="279"/>
      <c r="H22" s="282" t="e">
        <f t="shared" si="1"/>
        <v>#DIV/0!</v>
      </c>
      <c r="I22" s="283"/>
      <c r="J22" s="282" t="e">
        <f t="shared" si="3"/>
        <v>#DIV/0!</v>
      </c>
      <c r="K22" s="284"/>
      <c r="L22" s="285" t="e">
        <f t="shared" si="4"/>
        <v>#DIV/0!</v>
      </c>
      <c r="M22" s="594"/>
      <c r="N22" s="597"/>
      <c r="O22" s="600"/>
    </row>
    <row r="23" spans="1:17" ht="18.75">
      <c r="A23" s="287">
        <f t="shared" si="5"/>
        <v>45949</v>
      </c>
      <c r="B23" s="279"/>
      <c r="C23" s="279"/>
      <c r="D23" s="280" t="e">
        <f t="shared" si="2"/>
        <v>#DIV/0!</v>
      </c>
      <c r="E23" s="281"/>
      <c r="F23" s="282" t="e">
        <f t="shared" si="0"/>
        <v>#DIV/0!</v>
      </c>
      <c r="G23" s="279"/>
      <c r="H23" s="282" t="e">
        <f t="shared" si="1"/>
        <v>#DIV/0!</v>
      </c>
      <c r="I23" s="283"/>
      <c r="J23" s="282" t="e">
        <f t="shared" si="3"/>
        <v>#DIV/0!</v>
      </c>
      <c r="K23" s="284"/>
      <c r="L23" s="285" t="e">
        <f t="shared" si="4"/>
        <v>#DIV/0!</v>
      </c>
      <c r="M23" s="594"/>
      <c r="N23" s="597"/>
      <c r="O23" s="600"/>
    </row>
    <row r="24" spans="1:17" ht="19.5" thickBot="1">
      <c r="A24" s="288">
        <f t="shared" si="5"/>
        <v>45950</v>
      </c>
      <c r="B24" s="289"/>
      <c r="C24" s="289"/>
      <c r="D24" s="290" t="e">
        <f t="shared" si="2"/>
        <v>#DIV/0!</v>
      </c>
      <c r="E24" s="295"/>
      <c r="F24" s="291" t="e">
        <f t="shared" si="0"/>
        <v>#DIV/0!</v>
      </c>
      <c r="G24" s="289"/>
      <c r="H24" s="291" t="e">
        <f t="shared" si="1"/>
        <v>#DIV/0!</v>
      </c>
      <c r="I24" s="296"/>
      <c r="J24" s="291" t="e">
        <f t="shared" si="3"/>
        <v>#DIV/0!</v>
      </c>
      <c r="K24" s="297"/>
      <c r="L24" s="292" t="e">
        <f t="shared" si="4"/>
        <v>#DIV/0!</v>
      </c>
      <c r="M24" s="595"/>
      <c r="N24" s="598"/>
      <c r="O24" s="601"/>
    </row>
    <row r="25" spans="1:17" ht="18.75">
      <c r="A25" s="298">
        <f t="shared" si="5"/>
        <v>45951</v>
      </c>
      <c r="B25" s="272"/>
      <c r="C25" s="272"/>
      <c r="D25" s="273" t="e">
        <f t="shared" si="2"/>
        <v>#DIV/0!</v>
      </c>
      <c r="E25" s="274"/>
      <c r="F25" s="275" t="e">
        <f t="shared" si="0"/>
        <v>#DIV/0!</v>
      </c>
      <c r="G25" s="272"/>
      <c r="H25" s="275" t="e">
        <f t="shared" si="1"/>
        <v>#DIV/0!</v>
      </c>
      <c r="I25" s="276"/>
      <c r="J25" s="275" t="e">
        <f t="shared" si="3"/>
        <v>#DIV/0!</v>
      </c>
      <c r="K25" s="277"/>
      <c r="L25" s="278" t="e">
        <f t="shared" si="4"/>
        <v>#DIV/0!</v>
      </c>
      <c r="M25" s="593"/>
      <c r="N25" s="596"/>
      <c r="O25" s="599"/>
    </row>
    <row r="26" spans="1:17" ht="18.75">
      <c r="A26" s="287">
        <f t="shared" si="5"/>
        <v>45952</v>
      </c>
      <c r="B26" s="279"/>
      <c r="C26" s="279"/>
      <c r="D26" s="280" t="e">
        <f t="shared" si="2"/>
        <v>#DIV/0!</v>
      </c>
      <c r="E26" s="281"/>
      <c r="F26" s="282" t="e">
        <f t="shared" si="0"/>
        <v>#DIV/0!</v>
      </c>
      <c r="G26" s="279"/>
      <c r="H26" s="282" t="e">
        <f t="shared" si="1"/>
        <v>#DIV/0!</v>
      </c>
      <c r="I26" s="283"/>
      <c r="J26" s="282" t="e">
        <f t="shared" si="3"/>
        <v>#DIV/0!</v>
      </c>
      <c r="K26" s="284"/>
      <c r="L26" s="285" t="e">
        <f t="shared" si="4"/>
        <v>#DIV/0!</v>
      </c>
      <c r="M26" s="594"/>
      <c r="N26" s="597"/>
      <c r="O26" s="600"/>
    </row>
    <row r="27" spans="1:17" ht="18.75">
      <c r="A27" s="287">
        <f t="shared" si="5"/>
        <v>45953</v>
      </c>
      <c r="B27" s="279"/>
      <c r="C27" s="279"/>
      <c r="D27" s="280" t="e">
        <f t="shared" si="2"/>
        <v>#DIV/0!</v>
      </c>
      <c r="E27" s="281"/>
      <c r="F27" s="282" t="e">
        <f t="shared" si="0"/>
        <v>#DIV/0!</v>
      </c>
      <c r="G27" s="279"/>
      <c r="H27" s="282" t="e">
        <f t="shared" si="1"/>
        <v>#DIV/0!</v>
      </c>
      <c r="I27" s="283"/>
      <c r="J27" s="282" t="e">
        <f t="shared" si="3"/>
        <v>#DIV/0!</v>
      </c>
      <c r="K27" s="284"/>
      <c r="L27" s="285" t="e">
        <f t="shared" si="4"/>
        <v>#DIV/0!</v>
      </c>
      <c r="M27" s="594"/>
      <c r="N27" s="597"/>
      <c r="O27" s="600"/>
    </row>
    <row r="28" spans="1:17" ht="18.75">
      <c r="A28" s="287">
        <f t="shared" si="5"/>
        <v>45954</v>
      </c>
      <c r="B28" s="279"/>
      <c r="C28" s="279"/>
      <c r="D28" s="280" t="e">
        <f t="shared" si="2"/>
        <v>#DIV/0!</v>
      </c>
      <c r="E28" s="281"/>
      <c r="F28" s="282" t="e">
        <f t="shared" si="0"/>
        <v>#DIV/0!</v>
      </c>
      <c r="G28" s="279"/>
      <c r="H28" s="282" t="e">
        <f t="shared" si="1"/>
        <v>#DIV/0!</v>
      </c>
      <c r="I28" s="283"/>
      <c r="J28" s="282" t="e">
        <f t="shared" si="3"/>
        <v>#DIV/0!</v>
      </c>
      <c r="K28" s="284"/>
      <c r="L28" s="285" t="e">
        <f t="shared" si="4"/>
        <v>#DIV/0!</v>
      </c>
      <c r="M28" s="594"/>
      <c r="N28" s="597"/>
      <c r="O28" s="600"/>
    </row>
    <row r="29" spans="1:17" ht="18.75">
      <c r="A29" s="287">
        <f t="shared" si="5"/>
        <v>45955</v>
      </c>
      <c r="B29" s="279"/>
      <c r="C29" s="279"/>
      <c r="D29" s="280" t="e">
        <f t="shared" si="2"/>
        <v>#DIV/0!</v>
      </c>
      <c r="E29" s="281"/>
      <c r="F29" s="282" t="e">
        <f t="shared" si="0"/>
        <v>#DIV/0!</v>
      </c>
      <c r="G29" s="279"/>
      <c r="H29" s="282" t="e">
        <f t="shared" si="1"/>
        <v>#DIV/0!</v>
      </c>
      <c r="I29" s="283"/>
      <c r="J29" s="282" t="e">
        <f t="shared" si="3"/>
        <v>#DIV/0!</v>
      </c>
      <c r="K29" s="284"/>
      <c r="L29" s="285" t="e">
        <f t="shared" si="4"/>
        <v>#DIV/0!</v>
      </c>
      <c r="M29" s="594"/>
      <c r="N29" s="597"/>
      <c r="O29" s="600"/>
    </row>
    <row r="30" spans="1:17" ht="18.75">
      <c r="A30" s="287">
        <f t="shared" si="5"/>
        <v>45956</v>
      </c>
      <c r="B30" s="279"/>
      <c r="C30" s="279"/>
      <c r="D30" s="280" t="e">
        <f t="shared" si="2"/>
        <v>#DIV/0!</v>
      </c>
      <c r="E30" s="281"/>
      <c r="F30" s="282" t="e">
        <f t="shared" si="0"/>
        <v>#DIV/0!</v>
      </c>
      <c r="G30" s="279"/>
      <c r="H30" s="282" t="e">
        <f t="shared" si="1"/>
        <v>#DIV/0!</v>
      </c>
      <c r="I30" s="283"/>
      <c r="J30" s="282" t="e">
        <f t="shared" si="3"/>
        <v>#DIV/0!</v>
      </c>
      <c r="K30" s="284"/>
      <c r="L30" s="285" t="e">
        <f t="shared" si="4"/>
        <v>#DIV/0!</v>
      </c>
      <c r="M30" s="594"/>
      <c r="N30" s="597"/>
      <c r="O30" s="600"/>
    </row>
    <row r="31" spans="1:17" ht="19.5" thickBot="1">
      <c r="A31" s="288">
        <f t="shared" si="5"/>
        <v>45957</v>
      </c>
      <c r="B31" s="289"/>
      <c r="C31" s="289"/>
      <c r="D31" s="290" t="e">
        <f t="shared" si="2"/>
        <v>#DIV/0!</v>
      </c>
      <c r="E31" s="295"/>
      <c r="F31" s="291" t="e">
        <f t="shared" si="0"/>
        <v>#DIV/0!</v>
      </c>
      <c r="G31" s="289"/>
      <c r="H31" s="291" t="e">
        <f t="shared" si="1"/>
        <v>#DIV/0!</v>
      </c>
      <c r="I31" s="296"/>
      <c r="J31" s="291" t="e">
        <f t="shared" si="3"/>
        <v>#DIV/0!</v>
      </c>
      <c r="K31" s="297"/>
      <c r="L31" s="292" t="e">
        <f t="shared" si="4"/>
        <v>#DIV/0!</v>
      </c>
      <c r="M31" s="595"/>
      <c r="N31" s="598"/>
      <c r="O31" s="601"/>
    </row>
    <row r="32" spans="1:17" ht="18.75">
      <c r="A32" s="299">
        <f t="shared" si="5"/>
        <v>45958</v>
      </c>
      <c r="B32" s="300"/>
      <c r="C32" s="300"/>
      <c r="D32" s="301" t="e">
        <f t="shared" si="2"/>
        <v>#DIV/0!</v>
      </c>
      <c r="E32" s="302"/>
      <c r="F32" s="303" t="e">
        <f t="shared" si="0"/>
        <v>#DIV/0!</v>
      </c>
      <c r="G32" s="300"/>
      <c r="H32" s="303" t="e">
        <f t="shared" si="1"/>
        <v>#DIV/0!</v>
      </c>
      <c r="I32" s="304"/>
      <c r="J32" s="303" t="e">
        <f t="shared" si="3"/>
        <v>#DIV/0!</v>
      </c>
      <c r="K32" s="305"/>
      <c r="L32" s="306" t="e">
        <f t="shared" si="4"/>
        <v>#DIV/0!</v>
      </c>
      <c r="M32" s="348"/>
      <c r="N32" s="349"/>
      <c r="O32" s="349"/>
    </row>
    <row r="33" spans="1:15" ht="18.75">
      <c r="A33" s="342">
        <f t="shared" si="5"/>
        <v>45959</v>
      </c>
      <c r="B33" s="279"/>
      <c r="C33" s="279"/>
      <c r="D33" s="280" t="e">
        <f t="shared" si="2"/>
        <v>#DIV/0!</v>
      </c>
      <c r="E33" s="281"/>
      <c r="F33" s="282" t="e">
        <f t="shared" si="0"/>
        <v>#DIV/0!</v>
      </c>
      <c r="G33" s="279"/>
      <c r="H33" s="282" t="e">
        <f t="shared" si="1"/>
        <v>#DIV/0!</v>
      </c>
      <c r="I33" s="283"/>
      <c r="J33" s="282" t="e">
        <f t="shared" si="3"/>
        <v>#DIV/0!</v>
      </c>
      <c r="K33" s="284"/>
      <c r="L33" s="285" t="e">
        <f t="shared" si="4"/>
        <v>#DIV/0!</v>
      </c>
      <c r="M33" s="285"/>
      <c r="N33" s="343"/>
      <c r="O33" s="343"/>
    </row>
    <row r="34" spans="1:15" ht="18.75">
      <c r="A34" s="342">
        <f t="shared" si="5"/>
        <v>45960</v>
      </c>
      <c r="B34" s="279"/>
      <c r="C34" s="279"/>
      <c r="D34" s="280" t="e">
        <f t="shared" si="2"/>
        <v>#DIV/0!</v>
      </c>
      <c r="E34" s="281"/>
      <c r="F34" s="282" t="e">
        <f t="shared" si="0"/>
        <v>#DIV/0!</v>
      </c>
      <c r="G34" s="279"/>
      <c r="H34" s="282" t="e">
        <f t="shared" si="1"/>
        <v>#DIV/0!</v>
      </c>
      <c r="I34" s="283"/>
      <c r="J34" s="282" t="e">
        <f t="shared" si="3"/>
        <v>#DIV/0!</v>
      </c>
      <c r="K34" s="284"/>
      <c r="L34" s="285" t="e">
        <f t="shared" si="4"/>
        <v>#DIV/0!</v>
      </c>
      <c r="M34" s="285"/>
      <c r="N34" s="343"/>
      <c r="O34" s="343"/>
    </row>
    <row r="35" spans="1:15" ht="18.75">
      <c r="A35" s="340" t="s">
        <v>512</v>
      </c>
      <c r="B35" s="300">
        <f>AVERAGE(B4:B34)</f>
        <v>2343360.0464285719</v>
      </c>
      <c r="C35" s="300">
        <f>AVERAGE(C4:C34)</f>
        <v>15012.571428571429</v>
      </c>
      <c r="D35" s="301">
        <f>C35/B35</f>
        <v>6.40642971251965E-3</v>
      </c>
      <c r="E35" s="302">
        <f>AVERAGE(E4:E34)</f>
        <v>13465.857142857143</v>
      </c>
      <c r="F35" s="341">
        <f>E35/B35</f>
        <v>5.7463884661599299E-3</v>
      </c>
      <c r="G35" s="300">
        <f>AVERAGE(G4:G34)</f>
        <v>12788.642857142857</v>
      </c>
      <c r="H35" s="303">
        <f>G35/C35</f>
        <v>0.85186224878197314</v>
      </c>
      <c r="I35" s="304">
        <f>AVERAGE(I4:I34)</f>
        <v>10291</v>
      </c>
      <c r="J35" s="303">
        <f>I35/E35</f>
        <v>0.76422910853905646</v>
      </c>
      <c r="K35" s="305">
        <f>AVERAGE(K4:K34)</f>
        <v>0</v>
      </c>
      <c r="L35" s="306">
        <f>K35/C35</f>
        <v>0</v>
      </c>
      <c r="M35" s="307"/>
    </row>
    <row r="36" spans="1:15" ht="18.75">
      <c r="A36" s="308" t="s">
        <v>513</v>
      </c>
      <c r="B36" s="279">
        <f>SUM(B4:B34)</f>
        <v>32807040.650000006</v>
      </c>
      <c r="C36" s="279">
        <f>SUM(C4:C34)</f>
        <v>210176</v>
      </c>
      <c r="D36" s="280">
        <f>C36/B36</f>
        <v>6.40642971251965E-3</v>
      </c>
      <c r="E36" s="281">
        <f>SUM(E4:E34)</f>
        <v>188522</v>
      </c>
      <c r="F36" s="309">
        <f>E36/B36</f>
        <v>5.7463884661599299E-3</v>
      </c>
      <c r="G36" s="279">
        <f>SUM(G4:G34)</f>
        <v>179041</v>
      </c>
      <c r="H36" s="282">
        <f>G36/C36</f>
        <v>0.85186224878197325</v>
      </c>
      <c r="I36" s="283">
        <f>SUM(I4:I34)</f>
        <v>144074</v>
      </c>
      <c r="J36" s="282">
        <f>I36/E36</f>
        <v>0.76422910853905646</v>
      </c>
      <c r="K36" s="284">
        <f>SUM(K4:K34)</f>
        <v>0</v>
      </c>
      <c r="L36" s="285">
        <f>K36/C36</f>
        <v>0</v>
      </c>
      <c r="M36" s="307"/>
    </row>
    <row r="37" spans="1:15" ht="27">
      <c r="A37" s="602"/>
      <c r="B37" s="602"/>
      <c r="C37" s="602"/>
      <c r="D37" s="602"/>
      <c r="E37" s="602"/>
      <c r="F37" s="310"/>
      <c r="G37" s="310"/>
      <c r="H37" s="310"/>
      <c r="I37" s="310"/>
      <c r="J37" s="310"/>
      <c r="K37" s="310"/>
      <c r="L37" s="310"/>
      <c r="M37" s="310"/>
    </row>
    <row r="38" spans="1:15" ht="27">
      <c r="A38" s="602"/>
      <c r="B38" s="602"/>
      <c r="C38" s="602"/>
      <c r="D38" s="602"/>
      <c r="E38" s="602"/>
      <c r="F38" s="310"/>
      <c r="G38" s="310"/>
      <c r="H38" s="310"/>
      <c r="I38" s="310"/>
      <c r="J38" s="310"/>
      <c r="K38" s="310"/>
      <c r="L38" s="310"/>
      <c r="M38" s="310"/>
    </row>
    <row r="39" spans="1:15" ht="18.75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</row>
    <row r="40" spans="1:15" ht="18.75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</row>
    <row r="41" spans="1:15" ht="18.75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</row>
    <row r="42" spans="1:15" ht="18.75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</row>
    <row r="43" spans="1:15" ht="18.75">
      <c r="A43" s="310"/>
      <c r="B43" s="310"/>
      <c r="C43" s="310"/>
      <c r="D43" s="310"/>
      <c r="E43" s="311"/>
      <c r="F43" s="310"/>
      <c r="G43" s="310"/>
      <c r="H43" s="310"/>
      <c r="I43" s="310"/>
      <c r="J43" s="310"/>
      <c r="K43" s="310"/>
      <c r="L43" s="310"/>
      <c r="M43" s="310"/>
    </row>
    <row r="44" spans="1:15" ht="18.75">
      <c r="A44" s="310"/>
      <c r="B44" s="310"/>
      <c r="C44" s="310"/>
      <c r="D44" s="310"/>
      <c r="E44" s="312"/>
      <c r="F44" s="310"/>
      <c r="G44" s="310"/>
      <c r="H44" s="310"/>
      <c r="I44" s="310"/>
      <c r="J44" s="310"/>
      <c r="K44" s="310"/>
      <c r="L44" s="310"/>
      <c r="M44" s="310"/>
    </row>
    <row r="45" spans="1:15" ht="18.7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</row>
    <row r="46" spans="1:15" ht="18.75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</row>
    <row r="47" spans="1:15" ht="18.75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</row>
    <row r="48" spans="1:15" ht="18.75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</row>
    <row r="49" spans="1:13" ht="18.75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</row>
    <row r="50" spans="1:13" ht="18.75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</row>
    <row r="51" spans="1:13" ht="18.75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</row>
    <row r="52" spans="1:13" ht="18.75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</row>
    <row r="53" spans="1:13" ht="18.75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</row>
    <row r="54" spans="1:13" ht="18.75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</row>
    <row r="55" spans="1:13" ht="18.7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</row>
    <row r="56" spans="1:13" ht="18.75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</row>
    <row r="57" spans="1:13" ht="18.75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</row>
    <row r="58" spans="1:13" ht="18.75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</row>
    <row r="59" spans="1:13" ht="18.75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</row>
    <row r="60" spans="1:13" ht="18.75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</row>
    <row r="61" spans="1:13" ht="18.75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</row>
    <row r="62" spans="1:13" ht="18.75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</row>
    <row r="63" spans="1:13" ht="18.75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</row>
    <row r="64" spans="1:13" ht="18.75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</row>
    <row r="65" spans="1:13" ht="18.7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</row>
    <row r="66" spans="1:13" ht="18.75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</row>
    <row r="67" spans="1:13" ht="18.75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</row>
  </sheetData>
  <mergeCells count="25">
    <mergeCell ref="A37:E37"/>
    <mergeCell ref="A38:E38"/>
    <mergeCell ref="M25:M31"/>
    <mergeCell ref="N25:N31"/>
    <mergeCell ref="O25:O31"/>
    <mergeCell ref="M4:M10"/>
    <mergeCell ref="M11:M17"/>
    <mergeCell ref="M18:M24"/>
    <mergeCell ref="N4:N10"/>
    <mergeCell ref="O4:O10"/>
    <mergeCell ref="N11:N17"/>
    <mergeCell ref="O11:O17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4" priority="11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 M11 M18 M25">
    <cfRule type="cellIs" dxfId="1" priority="10" operator="greaterThan">
      <formula>0.15</formula>
    </cfRule>
  </conditionalFormatting>
  <conditionalFormatting sqref="L33:M36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72</v>
      </c>
      <c r="C2" s="47" t="s">
        <v>73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</v>
      </c>
      <c r="B4" s="67"/>
      <c r="C4" s="67"/>
      <c r="D4" s="67"/>
      <c r="E4" s="61" t="s">
        <v>22</v>
      </c>
      <c r="G4" s="60" t="s">
        <v>70</v>
      </c>
      <c r="H4" s="67"/>
      <c r="I4" s="67"/>
      <c r="J4" s="67"/>
      <c r="K4" s="67"/>
      <c r="M4" s="60" t="s">
        <v>31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21</v>
      </c>
      <c r="C5" s="7" t="s">
        <v>1</v>
      </c>
      <c r="D5" s="7" t="s">
        <v>2</v>
      </c>
      <c r="E5" s="7" t="s">
        <v>3</v>
      </c>
      <c r="G5" s="7"/>
      <c r="H5" s="49" t="s">
        <v>68</v>
      </c>
      <c r="I5" s="49" t="s">
        <v>69</v>
      </c>
      <c r="J5" s="49" t="s">
        <v>66</v>
      </c>
      <c r="K5" s="7" t="s">
        <v>3</v>
      </c>
      <c r="L5" s="62" t="s">
        <v>59</v>
      </c>
      <c r="M5" s="7"/>
      <c r="N5" s="49" t="s">
        <v>21</v>
      </c>
      <c r="O5" s="49" t="s">
        <v>65</v>
      </c>
      <c r="P5" s="49" t="s">
        <v>66</v>
      </c>
      <c r="Q5" s="49" t="s">
        <v>67</v>
      </c>
      <c r="R5" s="67"/>
      <c r="S5" s="7"/>
      <c r="T5" s="49" t="s">
        <v>21</v>
      </c>
      <c r="U5" s="49" t="s">
        <v>65</v>
      </c>
      <c r="V5" s="49" t="s">
        <v>66</v>
      </c>
      <c r="W5" s="49" t="s">
        <v>67</v>
      </c>
    </row>
    <row r="6" spans="1:23" ht="15.75" customHeight="1">
      <c r="A6" s="49" t="s">
        <v>23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29</v>
      </c>
      <c r="H6" s="11">
        <v>110</v>
      </c>
      <c r="I6" s="11">
        <v>100</v>
      </c>
      <c r="J6" s="11">
        <v>90</v>
      </c>
      <c r="K6" s="12"/>
      <c r="L6" s="62" t="s">
        <v>60</v>
      </c>
      <c r="M6" s="49" t="s">
        <v>33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33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24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30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54</v>
      </c>
      <c r="M8" s="49" t="s">
        <v>35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35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102</v>
      </c>
      <c r="M9" s="49" t="s">
        <v>43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36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36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64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</v>
      </c>
      <c r="H11" s="14">
        <v>0.8</v>
      </c>
      <c r="I11" s="14">
        <v>0.85</v>
      </c>
      <c r="J11" s="14">
        <v>1</v>
      </c>
      <c r="K11" s="14">
        <v>0.92</v>
      </c>
      <c r="L11" s="62" t="s">
        <v>61</v>
      </c>
      <c r="M11" s="49" t="s">
        <v>37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37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38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38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62</v>
      </c>
      <c r="B13" s="67"/>
      <c r="C13" s="67"/>
      <c r="D13" s="67"/>
      <c r="E13" s="67"/>
      <c r="F13" s="67"/>
      <c r="M13" s="49" t="s">
        <v>39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39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21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21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33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36</v>
      </c>
      <c r="H15" s="4"/>
      <c r="I15" s="4"/>
      <c r="J15" s="16">
        <f t="shared" ref="J15:J18" si="12">H15-I15</f>
        <v>0</v>
      </c>
      <c r="K15" s="17"/>
      <c r="M15" s="60" t="s">
        <v>71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37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41</v>
      </c>
      <c r="Q16" s="19"/>
      <c r="R16" s="51" t="s">
        <v>42</v>
      </c>
      <c r="S16" s="19"/>
    </row>
    <row r="17" spans="1:27" ht="15.75" customHeight="1">
      <c r="A17" s="49" t="s">
        <v>35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38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40</v>
      </c>
      <c r="P17" s="8" t="s">
        <v>11</v>
      </c>
      <c r="Q17" s="50" t="s">
        <v>40</v>
      </c>
      <c r="R17" s="8" t="s">
        <v>11</v>
      </c>
      <c r="S17" s="50" t="s">
        <v>40</v>
      </c>
    </row>
    <row r="18" spans="1:27" ht="15.75" customHeight="1">
      <c r="A18" s="49" t="s">
        <v>43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39</v>
      </c>
      <c r="H18" s="4"/>
      <c r="I18" s="4"/>
      <c r="J18" s="16">
        <f t="shared" si="12"/>
        <v>0</v>
      </c>
      <c r="K18" s="17"/>
      <c r="M18" s="49" t="s">
        <v>25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26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46</v>
      </c>
      <c r="C21" s="626" t="s">
        <v>12</v>
      </c>
      <c r="D21" s="609"/>
      <c r="E21" s="603"/>
      <c r="F21" s="49" t="s">
        <v>45</v>
      </c>
      <c r="G21" s="49" t="s">
        <v>47</v>
      </c>
      <c r="H21" s="49" t="s">
        <v>48</v>
      </c>
      <c r="I21" s="8" t="s">
        <v>13</v>
      </c>
      <c r="J21" s="618" t="s">
        <v>50</v>
      </c>
      <c r="K21" s="603"/>
      <c r="M21" s="60" t="s">
        <v>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</v>
      </c>
      <c r="B22" s="6">
        <v>1</v>
      </c>
      <c r="C22" s="536" t="s">
        <v>14</v>
      </c>
      <c r="D22" s="609"/>
      <c r="E22" s="603"/>
      <c r="F22" s="4">
        <v>3</v>
      </c>
      <c r="G22" s="4">
        <v>3000</v>
      </c>
      <c r="H22" s="4">
        <v>1000</v>
      </c>
      <c r="I22" s="4">
        <v>10</v>
      </c>
      <c r="J22" s="608" t="s">
        <v>75</v>
      </c>
      <c r="K22" s="603"/>
      <c r="M22" s="52" t="s">
        <v>25</v>
      </c>
      <c r="N22" s="57" t="s">
        <v>46</v>
      </c>
      <c r="O22" s="614" t="s">
        <v>12</v>
      </c>
      <c r="P22" s="609"/>
      <c r="Q22" s="603"/>
      <c r="R22" s="620" t="s">
        <v>52</v>
      </c>
      <c r="S22" s="609"/>
      <c r="T22" s="603"/>
      <c r="U22" s="57" t="s">
        <v>53</v>
      </c>
      <c r="V22" s="57" t="s">
        <v>54</v>
      </c>
      <c r="W22" s="57" t="s">
        <v>55</v>
      </c>
      <c r="X22" s="8" t="s">
        <v>11</v>
      </c>
      <c r="Y22" s="8" t="s">
        <v>13</v>
      </c>
      <c r="Z22" s="618" t="s">
        <v>50</v>
      </c>
      <c r="AA22" s="603"/>
    </row>
    <row r="23" spans="1:27" ht="15.75" customHeight="1">
      <c r="A23" s="23"/>
      <c r="B23" s="6">
        <v>2</v>
      </c>
      <c r="C23" s="623"/>
      <c r="D23" s="609"/>
      <c r="E23" s="603"/>
      <c r="F23" s="4"/>
      <c r="G23" s="4"/>
      <c r="H23" s="4"/>
      <c r="I23" s="4"/>
      <c r="J23" s="623"/>
      <c r="K23" s="603"/>
      <c r="M23" s="56" t="s">
        <v>41</v>
      </c>
      <c r="N23" s="24">
        <v>1</v>
      </c>
      <c r="O23" s="608" t="s">
        <v>81</v>
      </c>
      <c r="P23" s="609"/>
      <c r="Q23" s="603"/>
      <c r="R23" s="608" t="s">
        <v>84</v>
      </c>
      <c r="S23" s="609"/>
      <c r="T23" s="60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08" t="s">
        <v>85</v>
      </c>
      <c r="AA23" s="603"/>
    </row>
    <row r="24" spans="1:27" ht="15.75" customHeight="1">
      <c r="A24" s="23"/>
      <c r="B24" s="6">
        <v>3</v>
      </c>
      <c r="C24" s="623"/>
      <c r="D24" s="609"/>
      <c r="E24" s="603"/>
      <c r="F24" s="4"/>
      <c r="G24" s="4"/>
      <c r="H24" s="4"/>
      <c r="I24" s="4"/>
      <c r="J24" s="623"/>
      <c r="K24" s="603"/>
      <c r="M24" s="25"/>
      <c r="N24" s="24">
        <v>2</v>
      </c>
      <c r="O24" s="536"/>
      <c r="P24" s="609"/>
      <c r="Q24" s="603"/>
      <c r="R24" s="536"/>
      <c r="S24" s="609"/>
      <c r="T24" s="603"/>
      <c r="U24" s="4"/>
      <c r="V24" s="14"/>
      <c r="W24" s="4"/>
      <c r="X24" s="16">
        <f t="shared" si="16"/>
        <v>0</v>
      </c>
      <c r="Y24" s="4"/>
      <c r="Z24" s="536"/>
      <c r="AA24" s="603"/>
    </row>
    <row r="25" spans="1:27" ht="15.75" customHeight="1">
      <c r="A25" s="23"/>
      <c r="B25" s="6">
        <v>4</v>
      </c>
      <c r="C25" s="623"/>
      <c r="D25" s="609"/>
      <c r="E25" s="603"/>
      <c r="F25" s="4"/>
      <c r="G25" s="4"/>
      <c r="H25" s="4"/>
      <c r="I25" s="4"/>
      <c r="J25" s="623"/>
      <c r="K25" s="603"/>
      <c r="M25" s="25"/>
      <c r="N25" s="24">
        <v>3</v>
      </c>
      <c r="O25" s="536"/>
      <c r="P25" s="609"/>
      <c r="Q25" s="603"/>
      <c r="R25" s="536"/>
      <c r="S25" s="609"/>
      <c r="T25" s="603"/>
      <c r="U25" s="4"/>
      <c r="V25" s="14"/>
      <c r="W25" s="4"/>
      <c r="X25" s="16">
        <f t="shared" si="16"/>
        <v>0</v>
      </c>
      <c r="Y25" s="4"/>
      <c r="Z25" s="536"/>
      <c r="AA25" s="603"/>
    </row>
    <row r="26" spans="1:27" ht="15.75" customHeight="1">
      <c r="A26" s="23"/>
      <c r="B26" s="26">
        <v>5</v>
      </c>
      <c r="C26" s="627"/>
      <c r="D26" s="610"/>
      <c r="E26" s="604"/>
      <c r="F26" s="27"/>
      <c r="G26" s="27"/>
      <c r="H26" s="27"/>
      <c r="I26" s="27"/>
      <c r="J26" s="627"/>
      <c r="K26" s="604"/>
      <c r="M26" s="25"/>
      <c r="N26" s="24">
        <v>4</v>
      </c>
      <c r="O26" s="536"/>
      <c r="P26" s="609"/>
      <c r="Q26" s="603"/>
      <c r="R26" s="536"/>
      <c r="S26" s="609"/>
      <c r="T26" s="603"/>
      <c r="U26" s="4"/>
      <c r="V26" s="14"/>
      <c r="W26" s="4"/>
      <c r="X26" s="16">
        <f t="shared" si="16"/>
        <v>0</v>
      </c>
      <c r="Y26" s="4"/>
      <c r="Z26" s="536"/>
      <c r="AA26" s="603"/>
    </row>
    <row r="27" spans="1:27" ht="15.75" customHeight="1">
      <c r="A27" s="23"/>
      <c r="B27" s="69" t="s">
        <v>99</v>
      </c>
      <c r="C27" s="611" t="s">
        <v>74</v>
      </c>
      <c r="D27" s="612"/>
      <c r="E27" s="613"/>
      <c r="F27" s="28">
        <v>4</v>
      </c>
      <c r="G27" s="28">
        <v>2800</v>
      </c>
      <c r="H27" s="28">
        <v>700</v>
      </c>
      <c r="I27" s="28" t="s">
        <v>15</v>
      </c>
      <c r="J27" s="611" t="s">
        <v>76</v>
      </c>
      <c r="K27" s="613"/>
      <c r="M27" s="25"/>
      <c r="N27" s="29">
        <v>5</v>
      </c>
      <c r="O27" s="539"/>
      <c r="P27" s="610"/>
      <c r="Q27" s="604"/>
      <c r="R27" s="539"/>
      <c r="S27" s="610"/>
      <c r="T27" s="604"/>
      <c r="U27" s="27"/>
      <c r="V27" s="30"/>
      <c r="W27" s="27"/>
      <c r="X27" s="31">
        <f t="shared" si="16"/>
        <v>0</v>
      </c>
      <c r="Y27" s="4"/>
      <c r="Z27" s="539"/>
      <c r="AA27" s="604"/>
    </row>
    <row r="28" spans="1:27" ht="15.75" customHeight="1">
      <c r="A28" s="23"/>
      <c r="B28" s="70" t="s">
        <v>100</v>
      </c>
      <c r="C28" s="623"/>
      <c r="D28" s="609"/>
      <c r="E28" s="603"/>
      <c r="F28" s="4"/>
      <c r="G28" s="4"/>
      <c r="H28" s="4"/>
      <c r="I28" s="4"/>
      <c r="J28" s="623"/>
      <c r="K28" s="603"/>
      <c r="M28" s="32"/>
      <c r="N28" s="55"/>
      <c r="O28" s="605"/>
      <c r="P28" s="609"/>
      <c r="Q28" s="609"/>
      <c r="R28" s="605"/>
      <c r="S28" s="609"/>
      <c r="T28" s="609"/>
      <c r="U28" s="59" t="s">
        <v>57</v>
      </c>
      <c r="V28" s="33">
        <f>X28/N18</f>
        <v>8.3333333333333329E-2</v>
      </c>
      <c r="W28" s="59" t="s">
        <v>58</v>
      </c>
      <c r="X28" s="34">
        <f>SUM(X23:X27)</f>
        <v>100</v>
      </c>
      <c r="Y28" s="45"/>
      <c r="Z28" s="605"/>
      <c r="AA28" s="603"/>
    </row>
    <row r="29" spans="1:27" ht="15.75" customHeight="1">
      <c r="A29" s="23"/>
      <c r="B29" s="70" t="s">
        <v>98</v>
      </c>
      <c r="C29" s="623"/>
      <c r="D29" s="609"/>
      <c r="E29" s="603"/>
      <c r="F29" s="4"/>
      <c r="G29" s="4"/>
      <c r="H29" s="4"/>
      <c r="I29" s="4"/>
      <c r="J29" s="623"/>
      <c r="K29" s="603"/>
      <c r="M29" s="56" t="s">
        <v>42</v>
      </c>
      <c r="N29" s="24">
        <v>1</v>
      </c>
      <c r="O29" s="624" t="s">
        <v>16</v>
      </c>
      <c r="P29" s="625"/>
      <c r="Q29" s="607"/>
      <c r="R29" s="606" t="s">
        <v>86</v>
      </c>
      <c r="S29" s="625"/>
      <c r="T29" s="60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06" t="s">
        <v>87</v>
      </c>
      <c r="AA29" s="607"/>
    </row>
    <row r="30" spans="1:27" ht="15.75" customHeight="1">
      <c r="A30" s="23"/>
      <c r="B30" s="70" t="s">
        <v>97</v>
      </c>
      <c r="C30" s="623"/>
      <c r="D30" s="609"/>
      <c r="E30" s="603"/>
      <c r="F30" s="4"/>
      <c r="G30" s="4"/>
      <c r="H30" s="4"/>
      <c r="I30" s="4"/>
      <c r="J30" s="623"/>
      <c r="K30" s="603"/>
      <c r="M30" s="25"/>
      <c r="N30" s="24">
        <v>2</v>
      </c>
      <c r="O30" s="536"/>
      <c r="P30" s="609"/>
      <c r="Q30" s="603"/>
      <c r="R30" s="536"/>
      <c r="S30" s="609"/>
      <c r="T30" s="603"/>
      <c r="U30" s="4"/>
      <c r="V30" s="14"/>
      <c r="W30" s="4"/>
      <c r="X30" s="16">
        <f t="shared" si="17"/>
        <v>0</v>
      </c>
      <c r="Y30" s="4"/>
      <c r="Z30" s="536"/>
      <c r="AA30" s="603"/>
    </row>
    <row r="31" spans="1:27" ht="15.75" customHeight="1">
      <c r="A31" s="20"/>
      <c r="B31" s="70" t="s">
        <v>101</v>
      </c>
      <c r="C31" s="623"/>
      <c r="D31" s="609"/>
      <c r="E31" s="603"/>
      <c r="F31" s="4"/>
      <c r="G31" s="4"/>
      <c r="H31" s="4"/>
      <c r="I31" s="4"/>
      <c r="J31" s="623"/>
      <c r="K31" s="603"/>
      <c r="M31" s="25"/>
      <c r="N31" s="24">
        <v>3</v>
      </c>
      <c r="O31" s="536"/>
      <c r="P31" s="609"/>
      <c r="Q31" s="603"/>
      <c r="R31" s="536"/>
      <c r="S31" s="609"/>
      <c r="T31" s="603"/>
      <c r="U31" s="4"/>
      <c r="V31" s="14"/>
      <c r="W31" s="4"/>
      <c r="X31" s="16">
        <f t="shared" si="17"/>
        <v>0</v>
      </c>
      <c r="Y31" s="4"/>
      <c r="Z31" s="536"/>
      <c r="AA31" s="603"/>
    </row>
    <row r="32" spans="1:27" ht="15.75" customHeight="1">
      <c r="A32" s="67"/>
      <c r="M32" s="25"/>
      <c r="N32" s="24">
        <v>4</v>
      </c>
      <c r="O32" s="536"/>
      <c r="P32" s="609"/>
      <c r="Q32" s="603"/>
      <c r="R32" s="536"/>
      <c r="S32" s="609"/>
      <c r="T32" s="603"/>
      <c r="U32" s="4"/>
      <c r="V32" s="14"/>
      <c r="W32" s="4"/>
      <c r="X32" s="16">
        <f t="shared" si="17"/>
        <v>0</v>
      </c>
      <c r="Y32" s="4"/>
      <c r="Z32" s="536"/>
      <c r="AA32" s="603"/>
    </row>
    <row r="33" spans="1:27" ht="15.75" customHeight="1">
      <c r="A33" s="18"/>
      <c r="B33" s="49" t="s">
        <v>46</v>
      </c>
      <c r="C33" s="626" t="s">
        <v>12</v>
      </c>
      <c r="D33" s="609"/>
      <c r="E33" s="603"/>
      <c r="F33" s="49" t="s">
        <v>45</v>
      </c>
      <c r="G33" s="49" t="s">
        <v>47</v>
      </c>
      <c r="H33" s="49" t="s">
        <v>48</v>
      </c>
      <c r="I33" s="8" t="s">
        <v>13</v>
      </c>
      <c r="J33" s="618" t="s">
        <v>50</v>
      </c>
      <c r="K33" s="603"/>
      <c r="M33" s="25"/>
      <c r="N33" s="29">
        <v>5</v>
      </c>
      <c r="O33" s="536"/>
      <c r="P33" s="609"/>
      <c r="Q33" s="603"/>
      <c r="R33" s="536"/>
      <c r="S33" s="609"/>
      <c r="T33" s="603"/>
      <c r="U33" s="27"/>
      <c r="V33" s="30"/>
      <c r="W33" s="27"/>
      <c r="X33" s="31">
        <f t="shared" si="17"/>
        <v>0</v>
      </c>
      <c r="Y33" s="4"/>
      <c r="Z33" s="536"/>
      <c r="AA33" s="603"/>
    </row>
    <row r="34" spans="1:27" ht="15.75" customHeight="1">
      <c r="A34" s="52" t="s">
        <v>34</v>
      </c>
      <c r="B34" s="6">
        <v>1</v>
      </c>
      <c r="C34" s="608" t="s">
        <v>78</v>
      </c>
      <c r="D34" s="609"/>
      <c r="E34" s="603"/>
      <c r="F34" s="4">
        <v>3</v>
      </c>
      <c r="G34" s="4">
        <v>2500</v>
      </c>
      <c r="H34" s="4">
        <v>833.33</v>
      </c>
      <c r="I34" s="4">
        <v>20</v>
      </c>
      <c r="J34" s="608" t="s">
        <v>77</v>
      </c>
      <c r="K34" s="603"/>
      <c r="M34" s="68"/>
      <c r="N34" s="45"/>
      <c r="O34" s="605"/>
      <c r="P34" s="609"/>
      <c r="Q34" s="609"/>
      <c r="R34" s="605"/>
      <c r="S34" s="609"/>
      <c r="T34" s="609"/>
      <c r="U34" s="59" t="s">
        <v>57</v>
      </c>
      <c r="V34" s="33">
        <f>X34/N18</f>
        <v>0.23125000000000001</v>
      </c>
      <c r="W34" s="59" t="s">
        <v>58</v>
      </c>
      <c r="X34" s="34">
        <f>SUM(X29:X33)</f>
        <v>277.5</v>
      </c>
      <c r="Y34" s="45"/>
      <c r="Z34" s="605"/>
      <c r="AA34" s="603"/>
    </row>
    <row r="35" spans="1:27" ht="15.75" customHeight="1">
      <c r="A35" s="23"/>
      <c r="B35" s="6">
        <v>2</v>
      </c>
      <c r="C35" s="536"/>
      <c r="D35" s="609"/>
      <c r="E35" s="603"/>
      <c r="F35" s="4"/>
      <c r="G35" s="4"/>
      <c r="H35" s="4"/>
      <c r="I35" s="4"/>
      <c r="J35" s="536"/>
      <c r="K35" s="603"/>
      <c r="M35" s="1"/>
      <c r="N35" s="1"/>
      <c r="O35" s="616"/>
      <c r="P35" s="617"/>
      <c r="Q35" s="617"/>
      <c r="R35" s="616"/>
      <c r="S35" s="617"/>
      <c r="T35" s="617"/>
      <c r="U35" s="1"/>
      <c r="V35" s="38"/>
      <c r="W35" s="1"/>
      <c r="X35" s="1"/>
      <c r="Y35" s="616"/>
      <c r="Z35" s="617"/>
      <c r="AA35" s="617"/>
    </row>
    <row r="36" spans="1:27" ht="15.75" customHeight="1">
      <c r="A36" s="23"/>
      <c r="B36" s="6">
        <v>3</v>
      </c>
      <c r="C36" s="536"/>
      <c r="D36" s="609"/>
      <c r="E36" s="603"/>
      <c r="F36" s="4"/>
      <c r="G36" s="4"/>
      <c r="H36" s="4"/>
      <c r="I36" s="4"/>
      <c r="J36" s="536"/>
      <c r="K36" s="603"/>
      <c r="M36" s="52" t="s">
        <v>26</v>
      </c>
      <c r="N36" s="57" t="s">
        <v>46</v>
      </c>
      <c r="O36" s="614" t="s">
        <v>12</v>
      </c>
      <c r="P36" s="605"/>
      <c r="Q36" s="615"/>
      <c r="R36" s="620" t="s">
        <v>52</v>
      </c>
      <c r="S36" s="621"/>
      <c r="T36" s="622"/>
      <c r="U36" s="57" t="s">
        <v>53</v>
      </c>
      <c r="V36" s="57" t="s">
        <v>54</v>
      </c>
      <c r="W36" s="57" t="s">
        <v>55</v>
      </c>
      <c r="X36" s="8" t="s">
        <v>11</v>
      </c>
      <c r="Y36" s="8" t="s">
        <v>13</v>
      </c>
      <c r="Z36" s="618" t="s">
        <v>50</v>
      </c>
      <c r="AA36" s="619"/>
    </row>
    <row r="37" spans="1:27" ht="15.75" customHeight="1">
      <c r="A37" s="23"/>
      <c r="B37" s="6">
        <v>4</v>
      </c>
      <c r="C37" s="536"/>
      <c r="D37" s="609"/>
      <c r="E37" s="603"/>
      <c r="F37" s="4"/>
      <c r="G37" s="4"/>
      <c r="H37" s="4"/>
      <c r="I37" s="4"/>
      <c r="J37" s="536"/>
      <c r="K37" s="603"/>
      <c r="M37" s="56" t="s">
        <v>41</v>
      </c>
      <c r="N37" s="24">
        <v>1</v>
      </c>
      <c r="O37" s="608" t="s">
        <v>88</v>
      </c>
      <c r="P37" s="609"/>
      <c r="Q37" s="603"/>
      <c r="R37" s="608" t="s">
        <v>89</v>
      </c>
      <c r="S37" s="609"/>
      <c r="T37" s="60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08" t="s">
        <v>90</v>
      </c>
      <c r="AA37" s="603"/>
    </row>
    <row r="38" spans="1:27" ht="15.75" customHeight="1">
      <c r="A38" s="23"/>
      <c r="B38" s="26">
        <v>5</v>
      </c>
      <c r="C38" s="539"/>
      <c r="D38" s="610"/>
      <c r="E38" s="604"/>
      <c r="F38" s="27"/>
      <c r="G38" s="27"/>
      <c r="H38" s="27"/>
      <c r="I38" s="27"/>
      <c r="J38" s="539"/>
      <c r="K38" s="604"/>
      <c r="M38" s="25"/>
      <c r="N38" s="24">
        <v>2</v>
      </c>
      <c r="O38" s="536"/>
      <c r="P38" s="609"/>
      <c r="Q38" s="603"/>
      <c r="R38" s="536"/>
      <c r="S38" s="609"/>
      <c r="T38" s="603"/>
      <c r="U38" s="4"/>
      <c r="V38" s="14"/>
      <c r="W38" s="4"/>
      <c r="X38" s="16">
        <f t="shared" si="18"/>
        <v>0</v>
      </c>
      <c r="Y38" s="4"/>
      <c r="Z38" s="536"/>
      <c r="AA38" s="603"/>
    </row>
    <row r="39" spans="1:27" ht="14.25">
      <c r="A39" s="23"/>
      <c r="B39" s="69" t="s">
        <v>99</v>
      </c>
      <c r="C39" s="611" t="s">
        <v>79</v>
      </c>
      <c r="D39" s="612"/>
      <c r="E39" s="613"/>
      <c r="F39" s="28">
        <v>7</v>
      </c>
      <c r="G39" s="28">
        <v>2200</v>
      </c>
      <c r="H39" s="28">
        <v>314.29000000000002</v>
      </c>
      <c r="I39" s="28">
        <v>-15</v>
      </c>
      <c r="J39" s="611" t="s">
        <v>80</v>
      </c>
      <c r="K39" s="613"/>
      <c r="M39" s="25"/>
      <c r="N39" s="24">
        <v>3</v>
      </c>
      <c r="O39" s="536"/>
      <c r="P39" s="609"/>
      <c r="Q39" s="603"/>
      <c r="R39" s="536"/>
      <c r="S39" s="609"/>
      <c r="T39" s="603"/>
      <c r="U39" s="4"/>
      <c r="V39" s="14"/>
      <c r="W39" s="4"/>
      <c r="X39" s="16">
        <f t="shared" si="18"/>
        <v>0</v>
      </c>
      <c r="Y39" s="4"/>
      <c r="Z39" s="536"/>
      <c r="AA39" s="603"/>
    </row>
    <row r="40" spans="1:27" ht="14.25">
      <c r="A40" s="23"/>
      <c r="B40" s="70" t="s">
        <v>100</v>
      </c>
      <c r="C40" s="536"/>
      <c r="D40" s="609"/>
      <c r="E40" s="603"/>
      <c r="F40" s="4"/>
      <c r="G40" s="4"/>
      <c r="H40" s="4"/>
      <c r="I40" s="4"/>
      <c r="J40" s="536"/>
      <c r="K40" s="603"/>
      <c r="M40" s="25"/>
      <c r="N40" s="24">
        <v>4</v>
      </c>
      <c r="O40" s="536"/>
      <c r="P40" s="609"/>
      <c r="Q40" s="603"/>
      <c r="R40" s="536"/>
      <c r="S40" s="609"/>
      <c r="T40" s="603"/>
      <c r="U40" s="4"/>
      <c r="V40" s="14"/>
      <c r="W40" s="4"/>
      <c r="X40" s="16">
        <f t="shared" si="18"/>
        <v>0</v>
      </c>
      <c r="Y40" s="4"/>
      <c r="Z40" s="536"/>
      <c r="AA40" s="603"/>
    </row>
    <row r="41" spans="1:27" ht="14.25">
      <c r="A41" s="23"/>
      <c r="B41" s="70" t="s">
        <v>98</v>
      </c>
      <c r="C41" s="536"/>
      <c r="D41" s="609"/>
      <c r="E41" s="603"/>
      <c r="F41" s="4"/>
      <c r="G41" s="4"/>
      <c r="H41" s="4"/>
      <c r="I41" s="4"/>
      <c r="J41" s="536"/>
      <c r="K41" s="603"/>
      <c r="M41" s="25"/>
      <c r="N41" s="29">
        <v>5</v>
      </c>
      <c r="O41" s="539"/>
      <c r="P41" s="610"/>
      <c r="Q41" s="604"/>
      <c r="R41" s="539"/>
      <c r="S41" s="610"/>
      <c r="T41" s="604"/>
      <c r="U41" s="27"/>
      <c r="V41" s="30"/>
      <c r="W41" s="27"/>
      <c r="X41" s="31">
        <f t="shared" si="18"/>
        <v>0</v>
      </c>
      <c r="Y41" s="4"/>
      <c r="Z41" s="536"/>
      <c r="AA41" s="603"/>
    </row>
    <row r="42" spans="1:27" ht="14.25">
      <c r="A42" s="23"/>
      <c r="B42" s="70" t="s">
        <v>97</v>
      </c>
      <c r="C42" s="536"/>
      <c r="D42" s="609"/>
      <c r="E42" s="603"/>
      <c r="F42" s="4"/>
      <c r="G42" s="4"/>
      <c r="H42" s="4"/>
      <c r="I42" s="4"/>
      <c r="J42" s="536"/>
      <c r="K42" s="603"/>
      <c r="M42" s="32"/>
      <c r="N42" s="54"/>
      <c r="O42" s="605"/>
      <c r="P42" s="609"/>
      <c r="Q42" s="609"/>
      <c r="R42" s="605"/>
      <c r="S42" s="609"/>
      <c r="T42" s="609"/>
      <c r="U42" s="59" t="s">
        <v>57</v>
      </c>
      <c r="V42" s="33">
        <f>X42/N19</f>
        <v>5.5555555555555552E-2</v>
      </c>
      <c r="W42" s="59" t="s">
        <v>58</v>
      </c>
      <c r="X42" s="34">
        <f>SUM(X37:X41)</f>
        <v>250</v>
      </c>
      <c r="Y42" s="45"/>
      <c r="Z42" s="605"/>
      <c r="AA42" s="603"/>
    </row>
    <row r="43" spans="1:27" ht="14.25">
      <c r="A43" s="20"/>
      <c r="B43" s="70" t="s">
        <v>101</v>
      </c>
      <c r="C43" s="536"/>
      <c r="D43" s="609"/>
      <c r="E43" s="603"/>
      <c r="F43" s="4"/>
      <c r="G43" s="4"/>
      <c r="H43" s="4"/>
      <c r="I43" s="4"/>
      <c r="J43" s="536"/>
      <c r="K43" s="603"/>
      <c r="M43" s="56" t="s">
        <v>42</v>
      </c>
      <c r="N43" s="24">
        <v>1</v>
      </c>
      <c r="O43" s="608" t="s">
        <v>88</v>
      </c>
      <c r="P43" s="609"/>
      <c r="Q43" s="603"/>
      <c r="R43" s="606" t="s">
        <v>92</v>
      </c>
      <c r="S43" s="625"/>
      <c r="T43" s="60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08" t="s">
        <v>91</v>
      </c>
      <c r="AA43" s="603"/>
    </row>
    <row r="44" spans="1:27" ht="14.25">
      <c r="A44" s="67"/>
      <c r="M44" s="25"/>
      <c r="N44" s="24">
        <v>2</v>
      </c>
      <c r="O44" s="536"/>
      <c r="P44" s="609"/>
      <c r="Q44" s="603"/>
      <c r="R44" s="536"/>
      <c r="S44" s="609"/>
      <c r="T44" s="603"/>
      <c r="U44" s="4"/>
      <c r="V44" s="14"/>
      <c r="W44" s="4"/>
      <c r="X44" s="37">
        <f t="shared" si="19"/>
        <v>0</v>
      </c>
      <c r="Y44" s="4"/>
      <c r="Z44" s="536"/>
      <c r="AA44" s="603"/>
    </row>
    <row r="45" spans="1:27" ht="14.25">
      <c r="A45" s="18"/>
      <c r="B45" s="49" t="s">
        <v>46</v>
      </c>
      <c r="C45" s="626" t="s">
        <v>12</v>
      </c>
      <c r="D45" s="609"/>
      <c r="E45" s="603"/>
      <c r="F45" s="49" t="s">
        <v>45</v>
      </c>
      <c r="G45" s="49" t="s">
        <v>47</v>
      </c>
      <c r="H45" s="49" t="s">
        <v>48</v>
      </c>
      <c r="I45" s="8" t="s">
        <v>13</v>
      </c>
      <c r="J45" s="618" t="s">
        <v>50</v>
      </c>
      <c r="K45" s="603"/>
      <c r="M45" s="25"/>
      <c r="N45" s="24">
        <v>3</v>
      </c>
      <c r="O45" s="536"/>
      <c r="P45" s="609"/>
      <c r="Q45" s="603"/>
      <c r="R45" s="536"/>
      <c r="S45" s="609"/>
      <c r="T45" s="603"/>
      <c r="U45" s="4"/>
      <c r="V45" s="14"/>
      <c r="W45" s="4"/>
      <c r="X45" s="37">
        <f t="shared" si="19"/>
        <v>0</v>
      </c>
      <c r="Y45" s="4"/>
      <c r="Z45" s="536"/>
      <c r="AA45" s="603"/>
    </row>
    <row r="46" spans="1:27" ht="14.25">
      <c r="A46" s="52" t="s">
        <v>35</v>
      </c>
      <c r="B46" s="6">
        <v>1</v>
      </c>
      <c r="C46" s="608" t="s">
        <v>81</v>
      </c>
      <c r="D46" s="609"/>
      <c r="E46" s="603"/>
      <c r="F46" s="4">
        <v>15</v>
      </c>
      <c r="G46" s="4">
        <v>1200</v>
      </c>
      <c r="H46" s="4">
        <v>80</v>
      </c>
      <c r="I46" s="4">
        <v>5</v>
      </c>
      <c r="J46" s="608" t="s">
        <v>82</v>
      </c>
      <c r="K46" s="603"/>
      <c r="M46" s="25"/>
      <c r="N46" s="24">
        <v>4</v>
      </c>
      <c r="O46" s="536"/>
      <c r="P46" s="609"/>
      <c r="Q46" s="603"/>
      <c r="R46" s="536"/>
      <c r="S46" s="609"/>
      <c r="T46" s="603"/>
      <c r="U46" s="4"/>
      <c r="V46" s="14"/>
      <c r="W46" s="4"/>
      <c r="X46" s="37">
        <f t="shared" si="19"/>
        <v>0</v>
      </c>
      <c r="Y46" s="4"/>
      <c r="Z46" s="536"/>
      <c r="AA46" s="603"/>
    </row>
    <row r="47" spans="1:27" ht="14.25">
      <c r="A47" s="23"/>
      <c r="B47" s="6">
        <v>2</v>
      </c>
      <c r="C47" s="536"/>
      <c r="D47" s="609"/>
      <c r="E47" s="603"/>
      <c r="F47" s="4"/>
      <c r="G47" s="4"/>
      <c r="H47" s="4"/>
      <c r="I47" s="4"/>
      <c r="J47" s="536"/>
      <c r="K47" s="603"/>
      <c r="M47" s="25"/>
      <c r="N47" s="29">
        <v>5</v>
      </c>
      <c r="O47" s="536"/>
      <c r="P47" s="609"/>
      <c r="Q47" s="603"/>
      <c r="R47" s="536"/>
      <c r="S47" s="609"/>
      <c r="T47" s="603"/>
      <c r="U47" s="27"/>
      <c r="V47" s="30"/>
      <c r="W47" s="27"/>
      <c r="X47" s="40">
        <f t="shared" si="19"/>
        <v>0</v>
      </c>
      <c r="Y47" s="4"/>
      <c r="Z47" s="536"/>
      <c r="AA47" s="603"/>
    </row>
    <row r="48" spans="1:27" ht="14.25">
      <c r="A48" s="23"/>
      <c r="B48" s="6">
        <v>3</v>
      </c>
      <c r="C48" s="536"/>
      <c r="D48" s="609"/>
      <c r="E48" s="603"/>
      <c r="F48" s="4"/>
      <c r="G48" s="4"/>
      <c r="H48" s="4"/>
      <c r="I48" s="4"/>
      <c r="J48" s="536"/>
      <c r="K48" s="603"/>
      <c r="M48" s="68"/>
      <c r="N48" s="45"/>
      <c r="O48" s="605"/>
      <c r="P48" s="609"/>
      <c r="Q48" s="609"/>
      <c r="R48" s="605"/>
      <c r="S48" s="609"/>
      <c r="T48" s="609"/>
      <c r="U48" s="59" t="s">
        <v>57</v>
      </c>
      <c r="V48" s="33">
        <f>X48/N19</f>
        <v>0.13333333333333333</v>
      </c>
      <c r="W48" s="59" t="s">
        <v>58</v>
      </c>
      <c r="X48" s="34">
        <f>SUM(X43:X47)</f>
        <v>600</v>
      </c>
      <c r="Y48" s="45"/>
      <c r="Z48" s="605"/>
      <c r="AA48" s="603"/>
    </row>
    <row r="49" spans="1:27" ht="14.25">
      <c r="A49" s="23"/>
      <c r="B49" s="6">
        <v>4</v>
      </c>
      <c r="C49" s="536"/>
      <c r="D49" s="609"/>
      <c r="E49" s="603"/>
      <c r="F49" s="4"/>
      <c r="G49" s="4"/>
      <c r="H49" s="4"/>
      <c r="I49" s="4"/>
      <c r="J49" s="536"/>
      <c r="K49" s="60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39"/>
      <c r="D50" s="610"/>
      <c r="E50" s="604"/>
      <c r="F50" s="27"/>
      <c r="G50" s="27"/>
      <c r="H50" s="27"/>
      <c r="I50" s="27"/>
      <c r="J50" s="539"/>
      <c r="K50" s="60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99</v>
      </c>
      <c r="C51" s="611" t="s">
        <v>88</v>
      </c>
      <c r="D51" s="612"/>
      <c r="E51" s="613"/>
      <c r="F51" s="28">
        <v>18</v>
      </c>
      <c r="G51" s="28">
        <v>800</v>
      </c>
      <c r="H51" s="28">
        <v>44.44</v>
      </c>
      <c r="I51" s="28">
        <v>-15</v>
      </c>
      <c r="J51" s="611" t="s">
        <v>83</v>
      </c>
      <c r="K51" s="613"/>
      <c r="M51" s="8"/>
      <c r="N51" s="8" t="s">
        <v>18</v>
      </c>
      <c r="O51" s="614" t="s">
        <v>12</v>
      </c>
      <c r="P51" s="605"/>
      <c r="Q51" s="615"/>
      <c r="R51" s="620" t="s">
        <v>52</v>
      </c>
      <c r="S51" s="621"/>
      <c r="T51" s="622"/>
      <c r="U51" s="57" t="s">
        <v>53</v>
      </c>
      <c r="V51" s="39" t="s">
        <v>19</v>
      </c>
      <c r="W51" s="57" t="s">
        <v>56</v>
      </c>
      <c r="X51" s="8" t="s">
        <v>2</v>
      </c>
      <c r="Y51" s="614" t="s">
        <v>49</v>
      </c>
      <c r="Z51" s="605"/>
      <c r="AA51" s="615"/>
    </row>
    <row r="52" spans="1:27" ht="14.25">
      <c r="A52" s="23"/>
      <c r="B52" s="70" t="s">
        <v>100</v>
      </c>
      <c r="C52" s="536"/>
      <c r="D52" s="609"/>
      <c r="E52" s="603"/>
      <c r="F52" s="4"/>
      <c r="G52" s="4"/>
      <c r="H52" s="4"/>
      <c r="I52" s="4"/>
      <c r="J52" s="536"/>
      <c r="K52" s="603"/>
      <c r="M52" s="56" t="s">
        <v>41</v>
      </c>
      <c r="N52" s="24">
        <v>1</v>
      </c>
      <c r="O52" s="608" t="s">
        <v>88</v>
      </c>
      <c r="P52" s="609"/>
      <c r="Q52" s="603"/>
      <c r="R52" s="606" t="s">
        <v>92</v>
      </c>
      <c r="S52" s="625"/>
      <c r="T52" s="60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08" t="s">
        <v>96</v>
      </c>
      <c r="Z52" s="609"/>
      <c r="AA52" s="603"/>
    </row>
    <row r="53" spans="1:27" ht="14.25">
      <c r="A53" s="23"/>
      <c r="B53" s="70" t="s">
        <v>98</v>
      </c>
      <c r="C53" s="536"/>
      <c r="D53" s="609"/>
      <c r="E53" s="603"/>
      <c r="F53" s="4"/>
      <c r="G53" s="4"/>
      <c r="H53" s="4"/>
      <c r="I53" s="4"/>
      <c r="J53" s="536"/>
      <c r="K53" s="603"/>
      <c r="M53" s="25"/>
      <c r="N53" s="29">
        <v>2</v>
      </c>
      <c r="O53" s="539"/>
      <c r="P53" s="610"/>
      <c r="Q53" s="604"/>
      <c r="R53" s="539"/>
      <c r="S53" s="610"/>
      <c r="T53" s="604"/>
      <c r="U53" s="27"/>
      <c r="V53" s="30"/>
      <c r="W53" s="30"/>
      <c r="X53" s="41">
        <f t="shared" si="20"/>
        <v>0</v>
      </c>
      <c r="Y53" s="539"/>
      <c r="Z53" s="610"/>
      <c r="AA53" s="604"/>
    </row>
    <row r="54" spans="1:27" ht="14.25">
      <c r="A54" s="23"/>
      <c r="B54" s="70" t="s">
        <v>97</v>
      </c>
      <c r="C54" s="536"/>
      <c r="D54" s="609"/>
      <c r="E54" s="603"/>
      <c r="F54" s="4"/>
      <c r="G54" s="4"/>
      <c r="H54" s="4"/>
      <c r="I54" s="4"/>
      <c r="J54" s="536"/>
      <c r="K54" s="603"/>
      <c r="M54" s="56" t="s">
        <v>42</v>
      </c>
      <c r="N54" s="42">
        <v>1</v>
      </c>
      <c r="O54" s="611" t="s">
        <v>93</v>
      </c>
      <c r="P54" s="612"/>
      <c r="Q54" s="613"/>
      <c r="R54" s="611" t="s">
        <v>94</v>
      </c>
      <c r="S54" s="612"/>
      <c r="T54" s="61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11" t="s">
        <v>95</v>
      </c>
      <c r="Z54" s="612"/>
      <c r="AA54" s="613"/>
    </row>
    <row r="55" spans="1:27" ht="14.25">
      <c r="A55" s="20"/>
      <c r="B55" s="70" t="s">
        <v>101</v>
      </c>
      <c r="C55" s="536"/>
      <c r="D55" s="609"/>
      <c r="E55" s="603"/>
      <c r="F55" s="4"/>
      <c r="G55" s="4"/>
      <c r="H55" s="4"/>
      <c r="I55" s="4"/>
      <c r="J55" s="536"/>
      <c r="K55" s="603"/>
      <c r="M55" s="22"/>
      <c r="N55" s="24">
        <v>2</v>
      </c>
      <c r="O55" s="536"/>
      <c r="P55" s="609"/>
      <c r="Q55" s="603"/>
      <c r="R55" s="536"/>
      <c r="S55" s="609"/>
      <c r="T55" s="603"/>
      <c r="U55" s="4"/>
      <c r="V55" s="14"/>
      <c r="W55" s="14"/>
      <c r="X55" s="13">
        <f t="shared" si="20"/>
        <v>0</v>
      </c>
      <c r="Y55" s="536"/>
      <c r="Z55" s="609"/>
      <c r="AA55" s="60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8"/>
    <col min="3" max="3" width="14" style="178" bestFit="1" customWidth="1"/>
    <col min="4" max="4" width="0.28515625" style="178" customWidth="1"/>
    <col min="5" max="5" width="8.7109375" style="178"/>
    <col min="6" max="6" width="16.28515625" style="178" bestFit="1" customWidth="1"/>
    <col min="7" max="16384" width="8.7109375" style="178"/>
  </cols>
  <sheetData>
    <row r="2" spans="2:7" ht="15.75">
      <c r="B2" s="628" t="s">
        <v>241</v>
      </c>
      <c r="C2" s="628"/>
      <c r="D2" s="628"/>
      <c r="E2" s="628"/>
      <c r="F2" s="628"/>
    </row>
    <row r="3" spans="2:7" ht="15">
      <c r="B3" s="179" t="s">
        <v>242</v>
      </c>
      <c r="C3" s="179" t="s">
        <v>243</v>
      </c>
      <c r="D3" s="180"/>
      <c r="E3" s="179" t="s">
        <v>244</v>
      </c>
      <c r="F3" s="179" t="s">
        <v>245</v>
      </c>
      <c r="G3" s="180"/>
    </row>
    <row r="4" spans="2:7" ht="15">
      <c r="B4" s="181" t="s">
        <v>246</v>
      </c>
      <c r="C4" s="181" t="s">
        <v>247</v>
      </c>
      <c r="D4" s="180"/>
      <c r="E4" s="181" t="s">
        <v>248</v>
      </c>
      <c r="F4" s="181" t="s">
        <v>249</v>
      </c>
      <c r="G4" s="180"/>
    </row>
    <row r="5" spans="2:7" ht="15">
      <c r="B5" s="181" t="s">
        <v>250</v>
      </c>
      <c r="C5" s="181" t="s">
        <v>251</v>
      </c>
      <c r="D5" s="180"/>
      <c r="E5" s="181" t="s">
        <v>252</v>
      </c>
      <c r="F5" s="181" t="s">
        <v>253</v>
      </c>
      <c r="G5" s="180"/>
    </row>
    <row r="6" spans="2:7" ht="15">
      <c r="B6" s="181" t="s">
        <v>254</v>
      </c>
      <c r="C6" s="181" t="s">
        <v>255</v>
      </c>
      <c r="D6" s="180"/>
      <c r="E6" s="182" t="s">
        <v>256</v>
      </c>
      <c r="F6" s="182" t="s">
        <v>137</v>
      </c>
      <c r="G6" s="180"/>
    </row>
    <row r="7" spans="2:7" ht="15">
      <c r="B7" s="182" t="s">
        <v>257</v>
      </c>
      <c r="C7" s="182" t="s">
        <v>258</v>
      </c>
      <c r="D7" s="180"/>
      <c r="E7" s="181" t="s">
        <v>259</v>
      </c>
      <c r="F7" s="181" t="s">
        <v>260</v>
      </c>
      <c r="G7" s="180"/>
    </row>
    <row r="8" spans="2:7" ht="15">
      <c r="B8" s="181" t="s">
        <v>261</v>
      </c>
      <c r="C8" s="181" t="s">
        <v>262</v>
      </c>
      <c r="D8" s="180"/>
      <c r="E8" s="181" t="s">
        <v>263</v>
      </c>
      <c r="F8" s="181" t="s">
        <v>264</v>
      </c>
      <c r="G8" s="180"/>
    </row>
    <row r="9" spans="2:7" ht="15">
      <c r="B9" s="181" t="s">
        <v>265</v>
      </c>
      <c r="C9" s="181" t="s">
        <v>266</v>
      </c>
      <c r="D9" s="180"/>
      <c r="E9" s="182" t="s">
        <v>267</v>
      </c>
      <c r="F9" s="182" t="s">
        <v>136</v>
      </c>
      <c r="G9" s="180"/>
    </row>
    <row r="10" spans="2:7" ht="15">
      <c r="B10" s="181" t="s">
        <v>268</v>
      </c>
      <c r="C10" s="181" t="s">
        <v>269</v>
      </c>
      <c r="D10" s="180"/>
      <c r="E10" s="181" t="s">
        <v>270</v>
      </c>
      <c r="F10" s="181" t="s">
        <v>271</v>
      </c>
      <c r="G10" s="180"/>
    </row>
    <row r="11" spans="2:7" ht="15">
      <c r="B11" s="181" t="s">
        <v>272</v>
      </c>
      <c r="C11" s="181" t="s">
        <v>273</v>
      </c>
      <c r="D11" s="180"/>
      <c r="E11" s="181" t="s">
        <v>274</v>
      </c>
      <c r="F11" s="181" t="s">
        <v>264</v>
      </c>
      <c r="G11" s="180"/>
    </row>
    <row r="12" spans="2:7" ht="15">
      <c r="B12" s="181" t="s">
        <v>275</v>
      </c>
      <c r="C12" s="181" t="s">
        <v>276</v>
      </c>
      <c r="D12" s="180"/>
      <c r="E12" s="181" t="s">
        <v>277</v>
      </c>
      <c r="F12" s="181" t="s">
        <v>278</v>
      </c>
      <c r="G12" s="180"/>
    </row>
    <row r="13" spans="2:7" ht="15">
      <c r="B13" s="182" t="s">
        <v>279</v>
      </c>
      <c r="C13" s="182" t="s">
        <v>135</v>
      </c>
      <c r="D13" s="180"/>
      <c r="E13" s="181" t="s">
        <v>280</v>
      </c>
      <c r="F13" s="181" t="s">
        <v>281</v>
      </c>
      <c r="G13" s="180"/>
    </row>
    <row r="14" spans="2:7" ht="15">
      <c r="B14" s="181" t="s">
        <v>282</v>
      </c>
      <c r="C14" s="181" t="s">
        <v>283</v>
      </c>
      <c r="D14" s="180"/>
      <c r="E14" s="182" t="s">
        <v>284</v>
      </c>
      <c r="F14" s="182" t="s">
        <v>285</v>
      </c>
      <c r="G14" s="180"/>
    </row>
    <row r="15" spans="2:7" ht="15">
      <c r="B15" s="182" t="s">
        <v>286</v>
      </c>
      <c r="C15" s="182" t="s">
        <v>287</v>
      </c>
      <c r="D15" s="180"/>
      <c r="E15" s="181" t="s">
        <v>288</v>
      </c>
      <c r="F15" s="181" t="s">
        <v>285</v>
      </c>
      <c r="G15" s="180"/>
    </row>
    <row r="16" spans="2:7" ht="15">
      <c r="B16" s="181" t="s">
        <v>289</v>
      </c>
      <c r="C16" s="181" t="s">
        <v>290</v>
      </c>
      <c r="D16" s="180"/>
      <c r="E16" s="182" t="s">
        <v>291</v>
      </c>
      <c r="F16" s="182" t="s">
        <v>292</v>
      </c>
      <c r="G16" s="180"/>
    </row>
    <row r="17" spans="2:7" ht="15">
      <c r="B17" s="181" t="s">
        <v>293</v>
      </c>
      <c r="C17" s="181" t="s">
        <v>294</v>
      </c>
      <c r="D17" s="180"/>
      <c r="E17" s="181" t="s">
        <v>295</v>
      </c>
      <c r="F17" s="181" t="s">
        <v>296</v>
      </c>
      <c r="G17" s="180"/>
    </row>
    <row r="18" spans="2:7" ht="15">
      <c r="B18" s="181" t="s">
        <v>297</v>
      </c>
      <c r="C18" s="181" t="s">
        <v>298</v>
      </c>
      <c r="D18" s="180"/>
      <c r="E18" s="181" t="s">
        <v>299</v>
      </c>
      <c r="F18" s="181" t="s">
        <v>300</v>
      </c>
      <c r="G18" s="180"/>
    </row>
    <row r="19" spans="2:7" ht="15">
      <c r="B19" s="181" t="s">
        <v>301</v>
      </c>
      <c r="C19" s="181" t="s">
        <v>302</v>
      </c>
      <c r="D19" s="180"/>
      <c r="E19" s="181" t="s">
        <v>303</v>
      </c>
      <c r="F19" s="181" t="s">
        <v>304</v>
      </c>
      <c r="G19" s="180"/>
    </row>
    <row r="20" spans="2:7" ht="15">
      <c r="B20" s="181" t="s">
        <v>305</v>
      </c>
      <c r="C20" s="181" t="s">
        <v>306</v>
      </c>
      <c r="D20" s="180"/>
      <c r="G20" s="180"/>
    </row>
    <row r="21" spans="2:7" ht="15">
      <c r="D21" s="180"/>
      <c r="G21" s="180"/>
    </row>
    <row r="22" spans="2:7" ht="15">
      <c r="D22" s="180"/>
      <c r="G22" s="180"/>
    </row>
    <row r="23" spans="2:7" ht="15">
      <c r="D23" s="180"/>
      <c r="G23" s="180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selection activeCell="C11" sqref="C11"/>
    </sheetView>
  </sheetViews>
  <sheetFormatPr defaultColWidth="9.140625" defaultRowHeight="15"/>
  <cols>
    <col min="1" max="1" width="27.140625" style="208" customWidth="1"/>
    <col min="2" max="6" width="9.140625" style="208"/>
    <col min="7" max="7" width="26" style="208" bestFit="1" customWidth="1"/>
    <col min="8" max="16384" width="9.140625" style="208"/>
  </cols>
  <sheetData>
    <row r="1" spans="1:4" ht="15.75">
      <c r="A1" s="206" t="s">
        <v>339</v>
      </c>
      <c r="B1" s="206" t="s">
        <v>340</v>
      </c>
      <c r="C1" s="206" t="s">
        <v>341</v>
      </c>
      <c r="D1" s="207"/>
    </row>
    <row r="2" spans="1:4" ht="15.75">
      <c r="A2" s="234" t="s">
        <v>342</v>
      </c>
      <c r="B2" s="234">
        <v>13</v>
      </c>
      <c r="C2" s="234">
        <v>2000</v>
      </c>
      <c r="D2" s="209" t="s">
        <v>343</v>
      </c>
    </row>
    <row r="3" spans="1:4" ht="15.75">
      <c r="A3" s="234" t="s">
        <v>464</v>
      </c>
      <c r="B3" s="234">
        <v>15</v>
      </c>
      <c r="C3" s="234">
        <v>1565</v>
      </c>
      <c r="D3" s="209" t="s">
        <v>344</v>
      </c>
    </row>
    <row r="4" spans="1:4" ht="15.75">
      <c r="A4" s="234" t="s">
        <v>345</v>
      </c>
      <c r="B4" s="234">
        <v>16</v>
      </c>
      <c r="C4" s="234">
        <v>1915</v>
      </c>
      <c r="D4" s="207"/>
    </row>
    <row r="5" spans="1:4" ht="15.75">
      <c r="A5" s="234" t="s">
        <v>346</v>
      </c>
      <c r="B5" s="234">
        <v>12</v>
      </c>
      <c r="C5" s="234">
        <v>2000</v>
      </c>
      <c r="D5" s="207"/>
    </row>
    <row r="6" spans="1:4" ht="15.75">
      <c r="A6" s="234" t="s">
        <v>347</v>
      </c>
      <c r="B6" s="234">
        <v>18</v>
      </c>
      <c r="C6" s="234">
        <v>1565</v>
      </c>
      <c r="D6" s="207"/>
    </row>
    <row r="7" spans="1:4" ht="15.75">
      <c r="A7" s="234" t="s">
        <v>348</v>
      </c>
      <c r="B7" s="234">
        <v>13</v>
      </c>
      <c r="C7" s="234">
        <v>2000</v>
      </c>
      <c r="D7" s="207"/>
    </row>
    <row r="8" spans="1:4" ht="15.75">
      <c r="A8" s="234" t="s">
        <v>369</v>
      </c>
      <c r="B8" s="234">
        <v>14</v>
      </c>
      <c r="C8" s="234">
        <v>1895</v>
      </c>
      <c r="D8" s="207"/>
    </row>
    <row r="9" spans="1:4" ht="15.75">
      <c r="A9" s="234" t="s">
        <v>472</v>
      </c>
      <c r="B9" s="234">
        <v>15</v>
      </c>
      <c r="C9" s="234">
        <v>1565</v>
      </c>
      <c r="D9" s="207"/>
    </row>
    <row r="10" spans="1:4" ht="15.75">
      <c r="A10" s="234" t="s">
        <v>560</v>
      </c>
      <c r="B10" s="234">
        <v>19</v>
      </c>
      <c r="C10" s="234">
        <v>1600</v>
      </c>
      <c r="D10" s="207"/>
    </row>
    <row r="11" spans="1:4" ht="15.75">
      <c r="A11" s="234" t="s">
        <v>351</v>
      </c>
      <c r="B11" s="234">
        <v>16</v>
      </c>
      <c r="C11" s="234">
        <v>1429</v>
      </c>
      <c r="D11" s="207"/>
    </row>
    <row r="12" spans="1:4" ht="15.75">
      <c r="A12" s="234" t="s">
        <v>473</v>
      </c>
      <c r="B12" s="234">
        <v>18</v>
      </c>
      <c r="C12" s="234">
        <v>1636</v>
      </c>
      <c r="D12" s="207"/>
    </row>
    <row r="13" spans="1:4" ht="15.75">
      <c r="A13" s="234" t="s">
        <v>561</v>
      </c>
      <c r="B13" s="234">
        <v>16</v>
      </c>
      <c r="C13" s="234">
        <v>1440</v>
      </c>
      <c r="D13" s="207"/>
    </row>
    <row r="14" spans="1:4" ht="15.75">
      <c r="A14" s="234" t="s">
        <v>352</v>
      </c>
      <c r="B14" s="234">
        <v>18</v>
      </c>
      <c r="C14" s="234">
        <v>1500</v>
      </c>
      <c r="D14" s="207"/>
    </row>
    <row r="15" spans="1:4" ht="15.75">
      <c r="A15" s="234" t="s">
        <v>465</v>
      </c>
      <c r="B15" s="234">
        <v>13</v>
      </c>
      <c r="C15" s="234">
        <v>1385</v>
      </c>
      <c r="D15" s="207"/>
    </row>
    <row r="16" spans="1:4" ht="15.75">
      <c r="A16" s="234" t="s">
        <v>381</v>
      </c>
      <c r="B16" s="234">
        <v>17</v>
      </c>
      <c r="C16" s="234">
        <v>1565</v>
      </c>
      <c r="D16" s="207"/>
    </row>
    <row r="17" spans="1:5" ht="15.75">
      <c r="A17" s="234" t="s">
        <v>562</v>
      </c>
      <c r="B17" s="234">
        <v>14</v>
      </c>
      <c r="C17" s="234">
        <v>1385</v>
      </c>
      <c r="D17" s="207"/>
    </row>
    <row r="18" spans="1:5" ht="15.75">
      <c r="A18" s="234" t="s">
        <v>353</v>
      </c>
      <c r="B18" s="234">
        <v>18</v>
      </c>
      <c r="C18" s="234">
        <v>1385</v>
      </c>
      <c r="D18" s="207"/>
    </row>
    <row r="19" spans="1:5" ht="15.75">
      <c r="A19" s="234" t="s">
        <v>467</v>
      </c>
      <c r="B19" s="234">
        <v>16</v>
      </c>
      <c r="C19" s="234">
        <v>1385</v>
      </c>
      <c r="D19" s="207"/>
    </row>
    <row r="20" spans="1:5" ht="15.75">
      <c r="A20" s="234" t="s">
        <v>466</v>
      </c>
      <c r="B20" s="234">
        <v>17</v>
      </c>
      <c r="C20" s="234">
        <v>1636</v>
      </c>
      <c r="D20" s="207"/>
    </row>
    <row r="21" spans="1:5" ht="15.75">
      <c r="A21" s="234" t="s">
        <v>354</v>
      </c>
      <c r="B21" s="234">
        <v>13</v>
      </c>
      <c r="C21" s="234">
        <v>1565</v>
      </c>
      <c r="D21" s="207"/>
    </row>
    <row r="22" spans="1:5" ht="15.75">
      <c r="A22" s="234" t="s">
        <v>355</v>
      </c>
      <c r="B22" s="234">
        <v>12</v>
      </c>
      <c r="C22" s="234">
        <v>1565</v>
      </c>
    </row>
    <row r="23" spans="1:5" ht="15.75">
      <c r="A23" s="234" t="s">
        <v>468</v>
      </c>
      <c r="B23" s="234">
        <v>12</v>
      </c>
      <c r="C23" s="234">
        <v>1565</v>
      </c>
      <c r="E23" s="235" t="s">
        <v>469</v>
      </c>
    </row>
    <row r="24" spans="1:5" ht="15.75">
      <c r="A24" s="234"/>
      <c r="B24" s="234"/>
      <c r="C24" s="234"/>
    </row>
    <row r="25" spans="1:5" ht="15.75">
      <c r="A25" s="234"/>
      <c r="B25" s="234"/>
      <c r="C25" s="234"/>
    </row>
    <row r="26" spans="1:5" ht="15.75">
      <c r="A26" s="234"/>
      <c r="B26" s="234"/>
      <c r="C26" s="234"/>
    </row>
    <row r="27" spans="1:5" ht="15.75">
      <c r="A27" s="234"/>
      <c r="B27" s="234"/>
      <c r="C27" s="234"/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9B83F3-0611-44AE-8FB2-904A2AE76C6E}"/>
</file>

<file path=customXml/itemProps2.xml><?xml version="1.0" encoding="utf-8"?>
<ds:datastoreItem xmlns:ds="http://schemas.openxmlformats.org/officeDocument/2006/customXml" ds:itemID="{AAF98A80-FC25-4839-BDCB-3B9CC689C878}"/>
</file>

<file path=customXml/itemProps3.xml><?xml version="1.0" encoding="utf-8"?>
<ds:datastoreItem xmlns:ds="http://schemas.openxmlformats.org/officeDocument/2006/customXml" ds:itemID="{93FDE713-CA14-46AF-8B05-FFE8953E0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10產線配置圖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2025-10-15T09:13:43Z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