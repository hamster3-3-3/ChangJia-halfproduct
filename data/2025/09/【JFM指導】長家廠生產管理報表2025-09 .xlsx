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xr:revisionPtr revIDLastSave="0" documentId="11_131D4CB2DE40376364DAD61D71372BCBDA19A1F8" xr6:coauthVersionLast="47" xr6:coauthVersionMax="47" xr10:uidLastSave="{00000000-0000-0000-0000-000000000000}"/>
  <bookViews>
    <workbookView xWindow="-19305" yWindow="0" windowWidth="19425" windowHeight="10305" tabRatio="865" firstSheet="13" activeTab="2" xr2:uid="{00000000-000D-0000-FFFF-FFFF00000000}"/>
  </bookViews>
  <sheets>
    <sheet name="生產管理報表(月)" sheetId="13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7-1(月)" sheetId="40" r:id="rId9"/>
    <sheet name="生產管理報表 8-1" sheetId="19" r:id="rId10"/>
    <sheet name="生產管理報表 8-2" sheetId="20" r:id="rId11"/>
    <sheet name="生產管理報表 9" sheetId="21" r:id="rId12"/>
    <sheet name="報廢－原因別分析" sheetId="29" r:id="rId13"/>
    <sheet name="超用－原因別分析" sheetId="43" r:id="rId14"/>
    <sheet name="填寫舉例" sheetId="1" r:id="rId15"/>
    <sheet name="鮮食品群番" sheetId="38" r:id="rId16"/>
    <sheet name="09產線配置圖" sheetId="47" r:id="rId17"/>
  </sheets>
  <externalReferences>
    <externalReference r:id="rId18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2" hidden="1">'報廢－原因別分析'!$U$7:$U$118</definedName>
    <definedName name="_xlnm._FilterDatabase" localSheetId="13" hidden="1">'超用－原因別分析'!$U$7:$U$118</definedName>
    <definedName name="_xlnm.Print_Area" localSheetId="8">'生產管理報表 7-1(月)'!$A$1:$M$15</definedName>
    <definedName name="_xlnm.Print_Area" localSheetId="11">'生產管理報表 9'!#REF!</definedName>
    <definedName name="_xlnm.Print_Area" localSheetId="0">'生產管理報表(月)'!$A$1:$K$24</definedName>
    <definedName name="_xlnm.Print_Area" localSheetId="15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5" l="1"/>
  <c r="AB113" i="49"/>
  <c r="AC113" i="49" s="1"/>
  <c r="W113" i="49"/>
  <c r="X113" i="49" s="1"/>
  <c r="R113" i="49"/>
  <c r="S113" i="49" s="1"/>
  <c r="AB112" i="49"/>
  <c r="AC112" i="49" s="1"/>
  <c r="W112" i="49"/>
  <c r="X112" i="49" s="1"/>
  <c r="R112" i="49"/>
  <c r="S112" i="49" s="1"/>
  <c r="AB111" i="49"/>
  <c r="AC111" i="49" s="1"/>
  <c r="W111" i="49"/>
  <c r="X111" i="49" s="1"/>
  <c r="R111" i="49"/>
  <c r="S111" i="49" s="1"/>
  <c r="AB110" i="49"/>
  <c r="AC110" i="49" s="1"/>
  <c r="W110" i="49"/>
  <c r="X110" i="49" s="1"/>
  <c r="R110" i="49"/>
  <c r="S110" i="49" s="1"/>
  <c r="AV109" i="49"/>
  <c r="AW109" i="49" s="1"/>
  <c r="AQ109" i="49"/>
  <c r="AR109" i="49" s="1"/>
  <c r="AL109" i="49"/>
  <c r="AM109" i="49" s="1"/>
  <c r="AG109" i="49"/>
  <c r="AH109" i="49" s="1"/>
  <c r="AB109" i="49"/>
  <c r="AC109" i="49" s="1"/>
  <c r="W109" i="49"/>
  <c r="X109" i="49" s="1"/>
  <c r="R109" i="49"/>
  <c r="K109" i="49"/>
  <c r="M109" i="49" s="1"/>
  <c r="J109" i="49"/>
  <c r="I109" i="49"/>
  <c r="F109" i="49"/>
  <c r="E109" i="49"/>
  <c r="AV108" i="49"/>
  <c r="AW108" i="49" s="1"/>
  <c r="AQ108" i="49"/>
  <c r="AR108" i="49" s="1"/>
  <c r="AL108" i="49"/>
  <c r="AM108" i="49" s="1"/>
  <c r="AG108" i="49"/>
  <c r="K108" i="49" s="1"/>
  <c r="M108" i="49" s="1"/>
  <c r="AB108" i="49"/>
  <c r="AC108" i="49" s="1"/>
  <c r="W108" i="49"/>
  <c r="X108" i="49" s="1"/>
  <c r="R108" i="49"/>
  <c r="S108" i="49" s="1"/>
  <c r="J108" i="49"/>
  <c r="I108" i="49"/>
  <c r="F108" i="49"/>
  <c r="E108" i="49"/>
  <c r="AV107" i="49"/>
  <c r="AX107" i="49" s="1"/>
  <c r="AQ107" i="49"/>
  <c r="AS107" i="49" s="1"/>
  <c r="AL107" i="49"/>
  <c r="AG107" i="49"/>
  <c r="AH107" i="49" s="1"/>
  <c r="AB107" i="49"/>
  <c r="AD107" i="49" s="1"/>
  <c r="W107" i="49"/>
  <c r="X107" i="49" s="1"/>
  <c r="R107" i="49"/>
  <c r="K107" i="49"/>
  <c r="L107" i="49" s="1"/>
  <c r="J107" i="49"/>
  <c r="I107" i="49"/>
  <c r="F107" i="49"/>
  <c r="E107" i="49"/>
  <c r="F135" i="48"/>
  <c r="E135" i="48"/>
  <c r="F134" i="48"/>
  <c r="E134" i="48"/>
  <c r="H5" i="5"/>
  <c r="G134" i="48" l="1"/>
  <c r="G135" i="48"/>
  <c r="G107" i="49"/>
  <c r="T107" i="49"/>
  <c r="S107" i="49"/>
  <c r="AN107" i="49"/>
  <c r="AM107" i="49"/>
  <c r="G108" i="49"/>
  <c r="G109" i="49"/>
  <c r="H107" i="49"/>
  <c r="Y107" i="49"/>
  <c r="AR107" i="49"/>
  <c r="AC107" i="49"/>
  <c r="AW107" i="49"/>
  <c r="M107" i="49"/>
  <c r="AI107" i="49"/>
  <c r="AH108" i="49"/>
  <c r="AB136" i="48" l="1"/>
  <c r="AC136" i="48" s="1"/>
  <c r="W136" i="48"/>
  <c r="X136" i="48" s="1"/>
  <c r="AB135" i="48"/>
  <c r="AC135" i="48" s="1"/>
  <c r="W135" i="48"/>
  <c r="X135" i="48" s="1"/>
  <c r="R135" i="48"/>
  <c r="J135" i="48"/>
  <c r="I135" i="48"/>
  <c r="AB134" i="48"/>
  <c r="AC134" i="48" s="1"/>
  <c r="W134" i="48"/>
  <c r="X134" i="48" s="1"/>
  <c r="R134" i="48"/>
  <c r="J134" i="48"/>
  <c r="I134" i="48"/>
  <c r="AV133" i="48"/>
  <c r="AW133" i="48" s="1"/>
  <c r="AB133" i="48"/>
  <c r="AC133" i="48" s="1"/>
  <c r="W133" i="48"/>
  <c r="X133" i="48" s="1"/>
  <c r="R133" i="48"/>
  <c r="J133" i="48"/>
  <c r="I133" i="48"/>
  <c r="F133" i="48"/>
  <c r="E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F132" i="48"/>
  <c r="E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J131" i="48"/>
  <c r="I131" i="48"/>
  <c r="F131" i="48"/>
  <c r="E131" i="48"/>
  <c r="AV130" i="48"/>
  <c r="AW130" i="48" s="1"/>
  <c r="AQ130" i="48"/>
  <c r="AR130" i="48" s="1"/>
  <c r="AL130" i="48"/>
  <c r="AM130" i="48" s="1"/>
  <c r="AG130" i="48"/>
  <c r="AB130" i="48"/>
  <c r="AC130" i="48" s="1"/>
  <c r="W130" i="48"/>
  <c r="X130" i="48" s="1"/>
  <c r="R130" i="48"/>
  <c r="J130" i="48"/>
  <c r="I130" i="48"/>
  <c r="F130" i="48"/>
  <c r="E130" i="48"/>
  <c r="AV129" i="48"/>
  <c r="AW129" i="48" s="1"/>
  <c r="AQ129" i="48"/>
  <c r="AR129" i="48" s="1"/>
  <c r="AL129" i="48"/>
  <c r="AM129" i="48" s="1"/>
  <c r="AG129" i="48"/>
  <c r="AB129" i="48"/>
  <c r="AC129" i="48" s="1"/>
  <c r="W129" i="48"/>
  <c r="X129" i="48" s="1"/>
  <c r="R129" i="48"/>
  <c r="J129" i="48"/>
  <c r="I129" i="48"/>
  <c r="F129" i="48"/>
  <c r="E129" i="48"/>
  <c r="AV128" i="48"/>
  <c r="AW128" i="48" s="1"/>
  <c r="AQ128" i="48"/>
  <c r="AR128" i="48" s="1"/>
  <c r="AL128" i="48"/>
  <c r="AM128" i="48" s="1"/>
  <c r="AG128" i="48"/>
  <c r="AB128" i="48"/>
  <c r="AC128" i="48" s="1"/>
  <c r="W128" i="48"/>
  <c r="X128" i="48" s="1"/>
  <c r="F128" i="48"/>
  <c r="E128" i="48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J127" i="48"/>
  <c r="I127" i="48"/>
  <c r="F127" i="48"/>
  <c r="E127" i="48"/>
  <c r="AV126" i="48"/>
  <c r="AW126" i="48" s="1"/>
  <c r="AQ126" i="48"/>
  <c r="AR126" i="48" s="1"/>
  <c r="AL126" i="48"/>
  <c r="AM126" i="48" s="1"/>
  <c r="AG126" i="48"/>
  <c r="AB126" i="48"/>
  <c r="AC126" i="48" s="1"/>
  <c r="W126" i="48"/>
  <c r="X126" i="48" s="1"/>
  <c r="R126" i="48"/>
  <c r="J126" i="48"/>
  <c r="I126" i="48"/>
  <c r="F126" i="48"/>
  <c r="E126" i="48"/>
  <c r="AV125" i="48"/>
  <c r="AW125" i="48" s="1"/>
  <c r="AQ125" i="48"/>
  <c r="AR125" i="48" s="1"/>
  <c r="AL125" i="48"/>
  <c r="AM125" i="48" s="1"/>
  <c r="AG125" i="48"/>
  <c r="AB125" i="48"/>
  <c r="AC125" i="48" s="1"/>
  <c r="W125" i="48"/>
  <c r="X125" i="48" s="1"/>
  <c r="F125" i="48"/>
  <c r="E125" i="48"/>
  <c r="AV124" i="48"/>
  <c r="AW124" i="48" s="1"/>
  <c r="AQ124" i="48"/>
  <c r="AR124" i="48" s="1"/>
  <c r="AL124" i="48"/>
  <c r="AM124" i="48" s="1"/>
  <c r="AG124" i="48"/>
  <c r="AB124" i="48"/>
  <c r="AC124" i="48" s="1"/>
  <c r="W124" i="48"/>
  <c r="X124" i="48" s="1"/>
  <c r="R124" i="48"/>
  <c r="J124" i="48"/>
  <c r="I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J123" i="48"/>
  <c r="I123" i="48"/>
  <c r="F123" i="48"/>
  <c r="E123" i="48"/>
  <c r="AV122" i="48"/>
  <c r="AW122" i="48" s="1"/>
  <c r="AQ122" i="48"/>
  <c r="AR122" i="48" s="1"/>
  <c r="AL122" i="48"/>
  <c r="AM122" i="48" s="1"/>
  <c r="AG122" i="48"/>
  <c r="AB122" i="48"/>
  <c r="AC122" i="48" s="1"/>
  <c r="W122" i="48"/>
  <c r="X122" i="48" s="1"/>
  <c r="R122" i="48"/>
  <c r="J122" i="48"/>
  <c r="I122" i="48"/>
  <c r="F122" i="48"/>
  <c r="E122" i="48"/>
  <c r="AV121" i="48"/>
  <c r="AW121" i="48" s="1"/>
  <c r="AQ121" i="48"/>
  <c r="AR121" i="48" s="1"/>
  <c r="AL121" i="48"/>
  <c r="AM121" i="48" s="1"/>
  <c r="AG121" i="48"/>
  <c r="AB121" i="48"/>
  <c r="AC121" i="48" s="1"/>
  <c r="W121" i="48"/>
  <c r="X121" i="48" s="1"/>
  <c r="R121" i="48"/>
  <c r="J121" i="48"/>
  <c r="I121" i="48"/>
  <c r="F121" i="48"/>
  <c r="E121" i="48"/>
  <c r="AV120" i="48"/>
  <c r="AW120" i="48" s="1"/>
  <c r="AQ120" i="48"/>
  <c r="AR120" i="48" s="1"/>
  <c r="AL120" i="48"/>
  <c r="AM120" i="48" s="1"/>
  <c r="AG120" i="48"/>
  <c r="AB120" i="48"/>
  <c r="AC120" i="48" s="1"/>
  <c r="W120" i="48"/>
  <c r="X120" i="48" s="1"/>
  <c r="R120" i="48"/>
  <c r="J120" i="48"/>
  <c r="I120" i="48"/>
  <c r="F120" i="48"/>
  <c r="E120" i="48"/>
  <c r="AV119" i="48"/>
  <c r="AX119" i="48" s="1"/>
  <c r="AQ119" i="48"/>
  <c r="AS119" i="48" s="1"/>
  <c r="AL119" i="48"/>
  <c r="AN119" i="48" s="1"/>
  <c r="AG119" i="48"/>
  <c r="AI119" i="48" s="1"/>
  <c r="AB119" i="48"/>
  <c r="AD119" i="48" s="1"/>
  <c r="W119" i="48"/>
  <c r="Y119" i="48" s="1"/>
  <c r="R119" i="48"/>
  <c r="J119" i="48"/>
  <c r="I119" i="48"/>
  <c r="F119" i="48"/>
  <c r="E119" i="48"/>
  <c r="D24" i="13"/>
  <c r="D23" i="13"/>
  <c r="D22" i="13"/>
  <c r="G34" i="3"/>
  <c r="M34" i="3"/>
  <c r="G119" i="48" l="1"/>
  <c r="S119" i="48"/>
  <c r="K119" i="48"/>
  <c r="G120" i="48"/>
  <c r="S120" i="48"/>
  <c r="K120" i="48"/>
  <c r="G121" i="48"/>
  <c r="S121" i="48"/>
  <c r="K121" i="48"/>
  <c r="G122" i="48"/>
  <c r="S122" i="48"/>
  <c r="G123" i="48"/>
  <c r="S123" i="48"/>
  <c r="K123" i="48"/>
  <c r="G124" i="48"/>
  <c r="S124" i="48"/>
  <c r="K124" i="48"/>
  <c r="G125" i="48"/>
  <c r="G126" i="48"/>
  <c r="S126" i="48"/>
  <c r="G127" i="48"/>
  <c r="S127" i="48"/>
  <c r="K127" i="48"/>
  <c r="G128" i="48"/>
  <c r="G129" i="48"/>
  <c r="S129" i="48"/>
  <c r="K129" i="48"/>
  <c r="G130" i="48"/>
  <c r="S130" i="48"/>
  <c r="K130" i="48"/>
  <c r="G131" i="48"/>
  <c r="S131" i="48"/>
  <c r="K131" i="48"/>
  <c r="G132" i="48"/>
  <c r="G133" i="48"/>
  <c r="S133" i="48"/>
  <c r="K133" i="48"/>
  <c r="S134" i="48"/>
  <c r="K134" i="48"/>
  <c r="S135" i="48"/>
  <c r="K135" i="48"/>
  <c r="K126" i="48"/>
  <c r="K122" i="48"/>
  <c r="M122" i="48" s="1"/>
  <c r="T119" i="48"/>
  <c r="AM119" i="48"/>
  <c r="X119" i="48"/>
  <c r="AR119" i="48"/>
  <c r="AH122" i="48"/>
  <c r="AH126" i="48"/>
  <c r="AH130" i="48"/>
  <c r="AC119" i="48"/>
  <c r="AW119" i="48"/>
  <c r="AH121" i="48"/>
  <c r="AH125" i="48"/>
  <c r="AH129" i="48"/>
  <c r="AH119" i="48"/>
  <c r="AH120" i="48"/>
  <c r="AH124" i="48"/>
  <c r="AH128" i="48"/>
  <c r="P34" i="3"/>
  <c r="M126" i="48" l="1"/>
  <c r="M135" i="48"/>
  <c r="M134" i="48"/>
  <c r="M133" i="48"/>
  <c r="M131" i="48"/>
  <c r="M130" i="48"/>
  <c r="M129" i="48"/>
  <c r="M127" i="48"/>
  <c r="M124" i="48"/>
  <c r="M123" i="48"/>
  <c r="M121" i="48"/>
  <c r="M120" i="48"/>
  <c r="M119" i="48"/>
  <c r="H119" i="48"/>
  <c r="L119" i="48"/>
  <c r="AL107" i="48"/>
  <c r="AL112" i="48"/>
  <c r="AV88" i="49" l="1"/>
  <c r="AV89" i="49"/>
  <c r="AV87" i="49"/>
  <c r="AQ89" i="49"/>
  <c r="AQ88" i="49"/>
  <c r="AQ87" i="49"/>
  <c r="AR87" i="49" s="1"/>
  <c r="AL89" i="49"/>
  <c r="AG89" i="49"/>
  <c r="AG112" i="48"/>
  <c r="AG107" i="48"/>
  <c r="AR88" i="49" l="1"/>
  <c r="AR89" i="49"/>
  <c r="AW88" i="49"/>
  <c r="AW87" i="49"/>
  <c r="AW89" i="49"/>
  <c r="AB98" i="48" l="1"/>
  <c r="AB107" i="48"/>
  <c r="AB112" i="48"/>
  <c r="AB89" i="49"/>
  <c r="W89" i="49"/>
  <c r="R89" i="49"/>
  <c r="W112" i="48"/>
  <c r="W107" i="48"/>
  <c r="I112" i="48"/>
  <c r="J112" i="48"/>
  <c r="I107" i="48"/>
  <c r="J107" i="48"/>
  <c r="R107" i="48"/>
  <c r="R112" i="48"/>
  <c r="AV84" i="48" l="1"/>
  <c r="AV85" i="48"/>
  <c r="AV86" i="48"/>
  <c r="AV87" i="48"/>
  <c r="AV88" i="48"/>
  <c r="AV89" i="48"/>
  <c r="AQ84" i="48"/>
  <c r="AQ89" i="48"/>
  <c r="AL84" i="48" l="1"/>
  <c r="AL89" i="48"/>
  <c r="AG89" i="48"/>
  <c r="AG84" i="48"/>
  <c r="AB89" i="48"/>
  <c r="W89" i="48"/>
  <c r="R80" i="48" l="1"/>
  <c r="J89" i="48"/>
  <c r="R89" i="48"/>
  <c r="K89" i="48" s="1"/>
  <c r="I89" i="48"/>
  <c r="F112" i="48" l="1"/>
  <c r="E112" i="48"/>
  <c r="F111" i="48"/>
  <c r="E111" i="48"/>
  <c r="E88" i="48"/>
  <c r="F88" i="48"/>
  <c r="G88" i="48" s="1"/>
  <c r="E89" i="48"/>
  <c r="F89" i="48"/>
  <c r="E97" i="48"/>
  <c r="F97" i="48"/>
  <c r="E98" i="48"/>
  <c r="F98" i="48"/>
  <c r="E99" i="48"/>
  <c r="F99" i="48"/>
  <c r="E100" i="48"/>
  <c r="F100" i="48"/>
  <c r="E101" i="48"/>
  <c r="F101" i="48"/>
  <c r="E102" i="48"/>
  <c r="F102" i="48"/>
  <c r="E103" i="48"/>
  <c r="F103" i="48"/>
  <c r="E104" i="48"/>
  <c r="F104" i="48"/>
  <c r="E105" i="48"/>
  <c r="F105" i="48"/>
  <c r="E106" i="48"/>
  <c r="F106" i="48"/>
  <c r="E107" i="48"/>
  <c r="F107" i="48"/>
  <c r="E108" i="48"/>
  <c r="F108" i="48"/>
  <c r="E109" i="48"/>
  <c r="F109" i="48"/>
  <c r="E110" i="48"/>
  <c r="F110" i="48"/>
  <c r="F96" i="48"/>
  <c r="E96" i="48"/>
  <c r="E74" i="48"/>
  <c r="F74" i="48"/>
  <c r="E75" i="48"/>
  <c r="F75" i="48"/>
  <c r="E76" i="48"/>
  <c r="F76" i="48"/>
  <c r="E77" i="48"/>
  <c r="F77" i="48"/>
  <c r="E78" i="48"/>
  <c r="F78" i="48"/>
  <c r="E79" i="48"/>
  <c r="F79" i="48"/>
  <c r="E80" i="48"/>
  <c r="F80" i="48"/>
  <c r="E81" i="48"/>
  <c r="F81" i="48"/>
  <c r="E82" i="48"/>
  <c r="F82" i="48"/>
  <c r="E83" i="48"/>
  <c r="F83" i="48"/>
  <c r="E84" i="48"/>
  <c r="F84" i="48"/>
  <c r="E85" i="48"/>
  <c r="F85" i="48"/>
  <c r="E86" i="48"/>
  <c r="F86" i="48"/>
  <c r="E87" i="48"/>
  <c r="F87" i="48"/>
  <c r="F73" i="48"/>
  <c r="E73" i="48"/>
  <c r="G89" i="48" l="1"/>
  <c r="G111" i="48"/>
  <c r="G112" i="48"/>
  <c r="AV47" i="49"/>
  <c r="AQ67" i="48" l="1"/>
  <c r="AV67" i="48"/>
  <c r="AV66" i="48"/>
  <c r="M117" i="29" l="1"/>
  <c r="M118" i="29"/>
  <c r="M119" i="29"/>
  <c r="M120" i="29"/>
  <c r="M121" i="29"/>
  <c r="M122" i="29"/>
  <c r="M123" i="29"/>
  <c r="M124" i="29"/>
  <c r="M125" i="29"/>
  <c r="M126" i="29"/>
  <c r="K117" i="29"/>
  <c r="K118" i="29"/>
  <c r="K119" i="29"/>
  <c r="K120" i="29"/>
  <c r="K121" i="29"/>
  <c r="K122" i="29"/>
  <c r="K123" i="29"/>
  <c r="K124" i="29"/>
  <c r="K125" i="29"/>
  <c r="K126" i="29"/>
  <c r="I117" i="29"/>
  <c r="I118" i="29"/>
  <c r="I119" i="29"/>
  <c r="I120" i="29"/>
  <c r="I121" i="29"/>
  <c r="I122" i="29"/>
  <c r="I123" i="29"/>
  <c r="I124" i="29"/>
  <c r="I125" i="29"/>
  <c r="I126" i="29"/>
  <c r="AQ66" i="48" l="1"/>
  <c r="AL67" i="48"/>
  <c r="AL66" i="48"/>
  <c r="AG67" i="48"/>
  <c r="AG66" i="48"/>
  <c r="AB67" i="48"/>
  <c r="AB66" i="48"/>
  <c r="W67" i="48"/>
  <c r="W66" i="48"/>
  <c r="J67" i="48" l="1"/>
  <c r="I67" i="48"/>
  <c r="R67" i="48" l="1"/>
  <c r="K67" i="48" l="1"/>
  <c r="AV44" i="48"/>
  <c r="AQ45" i="48"/>
  <c r="AQ44" i="48"/>
  <c r="AL44" i="48"/>
  <c r="AG44" i="48" l="1"/>
  <c r="M27" i="20" l="1"/>
  <c r="AB44" i="48" l="1"/>
  <c r="F9" i="49" l="1"/>
  <c r="E9" i="49"/>
  <c r="F8" i="49"/>
  <c r="E8" i="49"/>
  <c r="F7" i="49"/>
  <c r="E7" i="49"/>
  <c r="F29" i="49"/>
  <c r="E29" i="49"/>
  <c r="F28" i="49"/>
  <c r="E28" i="49"/>
  <c r="F27" i="49"/>
  <c r="E27" i="49"/>
  <c r="F49" i="49"/>
  <c r="E49" i="49"/>
  <c r="F48" i="49"/>
  <c r="E48" i="49"/>
  <c r="F47" i="49"/>
  <c r="E47" i="49"/>
  <c r="F69" i="49"/>
  <c r="E69" i="49"/>
  <c r="F68" i="49"/>
  <c r="E68" i="49"/>
  <c r="F67" i="49"/>
  <c r="E67" i="49"/>
  <c r="F89" i="49"/>
  <c r="E89" i="49"/>
  <c r="F88" i="49"/>
  <c r="E88" i="49"/>
  <c r="F87" i="49"/>
  <c r="E87" i="49"/>
  <c r="F67" i="48"/>
  <c r="E67" i="48"/>
  <c r="F66" i="48"/>
  <c r="E66" i="48"/>
  <c r="F65" i="48"/>
  <c r="E65" i="48"/>
  <c r="F64" i="48"/>
  <c r="E64" i="48"/>
  <c r="F63" i="48"/>
  <c r="E63" i="48"/>
  <c r="F62" i="48"/>
  <c r="E62" i="48"/>
  <c r="F61" i="48"/>
  <c r="E61" i="48"/>
  <c r="F60" i="48"/>
  <c r="E60" i="48"/>
  <c r="F59" i="48"/>
  <c r="E59" i="48"/>
  <c r="F58" i="48"/>
  <c r="E58" i="48"/>
  <c r="F57" i="48"/>
  <c r="E57" i="48"/>
  <c r="F56" i="48"/>
  <c r="E56" i="48"/>
  <c r="F55" i="48"/>
  <c r="E55" i="48"/>
  <c r="F54" i="48"/>
  <c r="E54" i="48"/>
  <c r="F53" i="48"/>
  <c r="E53" i="48"/>
  <c r="F44" i="48"/>
  <c r="E44" i="48"/>
  <c r="F43" i="48"/>
  <c r="E43" i="48"/>
  <c r="F42" i="48"/>
  <c r="E42" i="48"/>
  <c r="F41" i="48"/>
  <c r="E41" i="48"/>
  <c r="F40" i="48"/>
  <c r="E40" i="48"/>
  <c r="F39" i="48"/>
  <c r="E39" i="48"/>
  <c r="F38" i="48"/>
  <c r="E38" i="48"/>
  <c r="F37" i="48"/>
  <c r="E37" i="48"/>
  <c r="F36" i="48"/>
  <c r="E36" i="48"/>
  <c r="F35" i="48"/>
  <c r="E35" i="48"/>
  <c r="F34" i="48"/>
  <c r="E34" i="48"/>
  <c r="F33" i="48"/>
  <c r="E33" i="48"/>
  <c r="F32" i="48"/>
  <c r="E32" i="48"/>
  <c r="F31" i="48"/>
  <c r="E31" i="48"/>
  <c r="F30" i="48"/>
  <c r="E30" i="48"/>
  <c r="E8" i="48"/>
  <c r="F8" i="48"/>
  <c r="G8" i="48" s="1"/>
  <c r="E9" i="48"/>
  <c r="F9" i="48"/>
  <c r="G9" i="48" s="1"/>
  <c r="E10" i="48"/>
  <c r="F10" i="48"/>
  <c r="G10" i="48" s="1"/>
  <c r="E11" i="48"/>
  <c r="F11" i="48"/>
  <c r="G11" i="48"/>
  <c r="E12" i="48"/>
  <c r="F12" i="48"/>
  <c r="G12" i="48" s="1"/>
  <c r="E13" i="48"/>
  <c r="F13" i="48"/>
  <c r="E14" i="48"/>
  <c r="F14" i="48"/>
  <c r="E15" i="48"/>
  <c r="F15" i="48"/>
  <c r="G15" i="48"/>
  <c r="E16" i="48"/>
  <c r="F16" i="48"/>
  <c r="G16" i="48" s="1"/>
  <c r="E17" i="48"/>
  <c r="F17" i="48"/>
  <c r="G17" i="48"/>
  <c r="E18" i="48"/>
  <c r="F18" i="48"/>
  <c r="G18" i="48" s="1"/>
  <c r="E19" i="48"/>
  <c r="F19" i="48"/>
  <c r="G19" i="48"/>
  <c r="E20" i="48"/>
  <c r="F20" i="48"/>
  <c r="G20" i="48" s="1"/>
  <c r="E21" i="48"/>
  <c r="F21" i="48"/>
  <c r="G21" i="48" s="1"/>
  <c r="F7" i="48"/>
  <c r="E7" i="48"/>
  <c r="G14" i="48" l="1"/>
  <c r="G13" i="48"/>
  <c r="G34" i="48"/>
  <c r="G40" i="48"/>
  <c r="G53" i="48"/>
  <c r="G54" i="48"/>
  <c r="G55" i="48"/>
  <c r="G59" i="48"/>
  <c r="G60" i="48"/>
  <c r="G61" i="48"/>
  <c r="G63" i="48"/>
  <c r="G65" i="48"/>
  <c r="G66" i="48"/>
  <c r="G67" i="48"/>
  <c r="G87" i="49"/>
  <c r="G88" i="49"/>
  <c r="G67" i="49"/>
  <c r="G68" i="49"/>
  <c r="G69" i="49"/>
  <c r="G47" i="49"/>
  <c r="G48" i="49"/>
  <c r="G49" i="49"/>
  <c r="G27" i="49"/>
  <c r="G28" i="49"/>
  <c r="G29" i="49"/>
  <c r="G7" i="49"/>
  <c r="G8" i="49"/>
  <c r="G9" i="49"/>
  <c r="G79" i="48"/>
  <c r="G80" i="48"/>
  <c r="G81" i="48"/>
  <c r="G76" i="48"/>
  <c r="G77" i="48"/>
  <c r="G83" i="48"/>
  <c r="G73" i="48"/>
  <c r="G85" i="48"/>
  <c r="G74" i="48"/>
  <c r="G86" i="48"/>
  <c r="G75" i="48"/>
  <c r="G87" i="48"/>
  <c r="G82" i="48"/>
  <c r="G78" i="48"/>
  <c r="G84" i="48"/>
  <c r="G64" i="48"/>
  <c r="G62" i="48"/>
  <c r="G58" i="48"/>
  <c r="G57" i="48"/>
  <c r="G56" i="48"/>
  <c r="G42" i="48"/>
  <c r="G31" i="48"/>
  <c r="G43" i="48"/>
  <c r="G32" i="48"/>
  <c r="G44" i="48"/>
  <c r="G33" i="48"/>
  <c r="G39" i="48"/>
  <c r="G36" i="48"/>
  <c r="G37" i="48"/>
  <c r="G38" i="48"/>
  <c r="G30" i="48"/>
  <c r="G35" i="48"/>
  <c r="G41" i="48"/>
  <c r="G89" i="49"/>
  <c r="G7" i="48"/>
  <c r="W44" i="48"/>
  <c r="R44" i="48" l="1"/>
  <c r="K44" i="48" s="1"/>
  <c r="J44" i="48"/>
  <c r="I44" i="48"/>
  <c r="AV7" i="48"/>
  <c r="K7" i="48" s="1"/>
  <c r="AV21" i="48"/>
  <c r="K21" i="48" s="1"/>
  <c r="AV8" i="48"/>
  <c r="K8" i="48" s="1"/>
  <c r="AV9" i="48"/>
  <c r="K9" i="48" s="1"/>
  <c r="AV10" i="48"/>
  <c r="K10" i="48" s="1"/>
  <c r="AV11" i="48"/>
  <c r="K11" i="48" s="1"/>
  <c r="AV12" i="48"/>
  <c r="K12" i="48" s="1"/>
  <c r="AV13" i="48"/>
  <c r="K13" i="48" s="1"/>
  <c r="AV14" i="48"/>
  <c r="K14" i="48" s="1"/>
  <c r="AV15" i="48"/>
  <c r="K15" i="48" s="1"/>
  <c r="AV16" i="48"/>
  <c r="K16" i="48" s="1"/>
  <c r="AV17" i="48"/>
  <c r="K17" i="48" s="1"/>
  <c r="AV18" i="48"/>
  <c r="K18" i="48" s="1"/>
  <c r="AV19" i="48"/>
  <c r="K19" i="48" s="1"/>
  <c r="AV20" i="48"/>
  <c r="K20" i="48" s="1"/>
  <c r="AB22" i="48"/>
  <c r="AC22" i="48" s="1"/>
  <c r="W22" i="48"/>
  <c r="X22" i="48" s="1"/>
  <c r="R22" i="48"/>
  <c r="S22" i="48" s="1"/>
  <c r="J22" i="48"/>
  <c r="I22" i="48"/>
  <c r="AB21" i="48"/>
  <c r="AC21" i="48" s="1"/>
  <c r="W21" i="48"/>
  <c r="X21" i="48" s="1"/>
  <c r="R21" i="48"/>
  <c r="S21" i="48" s="1"/>
  <c r="J21" i="48"/>
  <c r="I21" i="48"/>
  <c r="AB23" i="48"/>
  <c r="AC23" i="48" s="1"/>
  <c r="W23" i="48"/>
  <c r="X23" i="48" s="1"/>
  <c r="R23" i="48"/>
  <c r="S23" i="48" s="1"/>
  <c r="J23" i="48"/>
  <c r="I23" i="48"/>
  <c r="AW18" i="48" l="1"/>
  <c r="AW17" i="48"/>
  <c r="AW16" i="48"/>
  <c r="AW15" i="48"/>
  <c r="AW14" i="48"/>
  <c r="AW13" i="48"/>
  <c r="AW12" i="48"/>
  <c r="AW11" i="48"/>
  <c r="AW10" i="48"/>
  <c r="AW9" i="48"/>
  <c r="AW19" i="48"/>
  <c r="AW8" i="48"/>
  <c r="AW21" i="48"/>
  <c r="AW7" i="48"/>
  <c r="AW20" i="48"/>
  <c r="I27" i="29" l="1"/>
  <c r="I28" i="29"/>
  <c r="I29" i="29"/>
  <c r="I30" i="29"/>
  <c r="I31" i="29"/>
  <c r="I32" i="29"/>
  <c r="I33" i="29"/>
  <c r="I34" i="29"/>
  <c r="I35" i="29"/>
  <c r="I36" i="29"/>
  <c r="T5" i="3" l="1"/>
  <c r="S27" i="3"/>
  <c r="S20" i="3"/>
  <c r="S13" i="3"/>
  <c r="S6" i="3"/>
  <c r="S5" i="3"/>
  <c r="N5" i="3"/>
  <c r="M27" i="3"/>
  <c r="M20" i="3"/>
  <c r="M13" i="3"/>
  <c r="M6" i="3"/>
  <c r="M5" i="3"/>
  <c r="K5" i="3"/>
  <c r="J27" i="3"/>
  <c r="J20" i="3"/>
  <c r="J13" i="3"/>
  <c r="J6" i="3"/>
  <c r="J5" i="3"/>
  <c r="H5" i="3"/>
  <c r="W5" i="3" s="1"/>
  <c r="G13" i="3"/>
  <c r="G20" i="3"/>
  <c r="G27" i="3"/>
  <c r="G6" i="3"/>
  <c r="G5" i="3"/>
  <c r="V27" i="5"/>
  <c r="V20" i="5"/>
  <c r="V13" i="5"/>
  <c r="V6" i="5"/>
  <c r="V5" i="5"/>
  <c r="W5" i="5"/>
  <c r="T5" i="5"/>
  <c r="S27" i="5"/>
  <c r="S20" i="5"/>
  <c r="S13" i="5"/>
  <c r="S6" i="5"/>
  <c r="S5" i="5"/>
  <c r="P6" i="5"/>
  <c r="N5" i="5"/>
  <c r="P5" i="5"/>
  <c r="P27" i="5"/>
  <c r="P20" i="5"/>
  <c r="P13" i="5"/>
  <c r="M6" i="5"/>
  <c r="M27" i="5"/>
  <c r="M20" i="5"/>
  <c r="M13" i="5"/>
  <c r="M5" i="5"/>
  <c r="G27" i="5"/>
  <c r="G20" i="5"/>
  <c r="G13" i="5"/>
  <c r="G6" i="5"/>
  <c r="G5" i="5"/>
  <c r="F7" i="7"/>
  <c r="F15" i="6"/>
  <c r="F16" i="6"/>
  <c r="F17" i="6"/>
  <c r="AL88" i="49"/>
  <c r="AL87" i="49"/>
  <c r="AL101" i="48"/>
  <c r="AL103" i="48"/>
  <c r="AL104" i="48"/>
  <c r="AL105" i="48"/>
  <c r="AL106" i="48"/>
  <c r="AL108" i="48"/>
  <c r="AL109" i="48"/>
  <c r="AL110" i="48"/>
  <c r="AL111" i="48"/>
  <c r="AG88" i="49"/>
  <c r="AG87" i="49"/>
  <c r="AH89" i="49" s="1"/>
  <c r="AG101" i="48"/>
  <c r="AG103" i="48"/>
  <c r="AG104" i="48"/>
  <c r="AG105" i="48"/>
  <c r="AG106" i="48"/>
  <c r="AG108" i="48"/>
  <c r="AG109" i="48"/>
  <c r="AG110" i="48"/>
  <c r="AG111" i="48"/>
  <c r="AB88" i="49"/>
  <c r="AB87" i="49"/>
  <c r="AC89" i="49" s="1"/>
  <c r="AB111" i="48"/>
  <c r="AB101" i="48"/>
  <c r="AB103" i="48"/>
  <c r="AB104" i="48"/>
  <c r="AB105" i="48"/>
  <c r="AB106" i="48"/>
  <c r="AB108" i="48"/>
  <c r="AB109" i="48"/>
  <c r="AB110" i="48"/>
  <c r="I97" i="48"/>
  <c r="J97" i="48"/>
  <c r="I98" i="48"/>
  <c r="J98" i="48"/>
  <c r="I99" i="48"/>
  <c r="J99" i="48"/>
  <c r="I100" i="48"/>
  <c r="J100" i="48"/>
  <c r="I101" i="48"/>
  <c r="J101" i="48"/>
  <c r="I103" i="48"/>
  <c r="J103" i="48"/>
  <c r="I104" i="48"/>
  <c r="J104" i="48"/>
  <c r="I105" i="48"/>
  <c r="J105" i="48"/>
  <c r="I106" i="48"/>
  <c r="J106" i="48"/>
  <c r="I108" i="48"/>
  <c r="J108" i="48"/>
  <c r="I109" i="48"/>
  <c r="J109" i="48"/>
  <c r="I110" i="48"/>
  <c r="J110" i="48"/>
  <c r="I111" i="48"/>
  <c r="J111" i="48"/>
  <c r="AH88" i="49" l="1"/>
  <c r="P5" i="3"/>
  <c r="P6" i="3"/>
  <c r="P13" i="3"/>
  <c r="P20" i="3"/>
  <c r="P27" i="3"/>
  <c r="Q5" i="3"/>
  <c r="AM88" i="49"/>
  <c r="AM89" i="49"/>
  <c r="AC87" i="49"/>
  <c r="AC88" i="49"/>
  <c r="G7" i="7"/>
  <c r="AM87" i="49"/>
  <c r="AH87" i="49"/>
  <c r="W88" i="49" l="1"/>
  <c r="W87" i="49"/>
  <c r="W111" i="48"/>
  <c r="W97" i="48"/>
  <c r="W98" i="48"/>
  <c r="W99" i="48"/>
  <c r="W100" i="48"/>
  <c r="W101" i="48"/>
  <c r="W103" i="48"/>
  <c r="W104" i="48"/>
  <c r="W105" i="48"/>
  <c r="W106" i="48"/>
  <c r="W108" i="48"/>
  <c r="W109" i="48"/>
  <c r="W110" i="48"/>
  <c r="R88" i="49"/>
  <c r="R87" i="49"/>
  <c r="R111" i="48"/>
  <c r="R97" i="48"/>
  <c r="R98" i="48"/>
  <c r="R99" i="48"/>
  <c r="R100" i="48"/>
  <c r="R101" i="48"/>
  <c r="R103" i="48"/>
  <c r="R104" i="48"/>
  <c r="R105" i="48"/>
  <c r="R106" i="48"/>
  <c r="R108" i="48"/>
  <c r="R109" i="48"/>
  <c r="R110" i="48"/>
  <c r="S89" i="49" l="1"/>
  <c r="S87" i="49"/>
  <c r="S88" i="49"/>
  <c r="X88" i="49"/>
  <c r="X87" i="49"/>
  <c r="X89" i="49"/>
  <c r="I67" i="49" l="1"/>
  <c r="AV69" i="49"/>
  <c r="AV68" i="49"/>
  <c r="AV67" i="49"/>
  <c r="AW67" i="49" s="1"/>
  <c r="AQ69" i="49"/>
  <c r="AQ68" i="49"/>
  <c r="AQ67" i="49"/>
  <c r="AR68" i="49" l="1"/>
  <c r="AR69" i="49"/>
  <c r="AW68" i="49"/>
  <c r="AW69" i="49"/>
  <c r="AR67" i="49"/>
  <c r="M17" i="20" l="1"/>
  <c r="M21" i="20"/>
  <c r="M20" i="20"/>
  <c r="M19" i="20"/>
  <c r="M18" i="20"/>
  <c r="M21" i="19"/>
  <c r="M20" i="19"/>
  <c r="M19" i="19"/>
  <c r="M18" i="19"/>
  <c r="M17" i="19"/>
  <c r="AL69" i="49" l="1"/>
  <c r="AL68" i="49"/>
  <c r="AL67" i="49"/>
  <c r="AM67" i="49" s="1"/>
  <c r="AG69" i="49"/>
  <c r="AG68" i="49"/>
  <c r="AG67" i="49"/>
  <c r="AB88" i="48"/>
  <c r="AB87" i="48"/>
  <c r="R88" i="48"/>
  <c r="AM68" i="49" l="1"/>
  <c r="AM69" i="49"/>
  <c r="AH68" i="49"/>
  <c r="AH67" i="49"/>
  <c r="AH69" i="49"/>
  <c r="W88" i="48" l="1"/>
  <c r="W87" i="48"/>
  <c r="R87" i="48"/>
  <c r="I88" i="48"/>
  <c r="J88" i="48"/>
  <c r="I87" i="48"/>
  <c r="J87" i="48"/>
  <c r="AV112" i="48"/>
  <c r="AQ112" i="48"/>
  <c r="AV111" i="48"/>
  <c r="AQ111" i="48"/>
  <c r="AQ88" i="48"/>
  <c r="AL88" i="48"/>
  <c r="AG88" i="48"/>
  <c r="AB69" i="49"/>
  <c r="AB68" i="49"/>
  <c r="AB67" i="49"/>
  <c r="W69" i="49"/>
  <c r="W68" i="49"/>
  <c r="W67" i="49"/>
  <c r="R69" i="49"/>
  <c r="R68" i="49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R86" i="48"/>
  <c r="I83" i="48"/>
  <c r="J83" i="48"/>
  <c r="I84" i="48"/>
  <c r="J84" i="48"/>
  <c r="I85" i="48"/>
  <c r="J85" i="48"/>
  <c r="I86" i="48"/>
  <c r="J86" i="48"/>
  <c r="R85" i="48"/>
  <c r="R84" i="48"/>
  <c r="R83" i="48"/>
  <c r="R82" i="48"/>
  <c r="R81" i="48"/>
  <c r="R78" i="48"/>
  <c r="R77" i="48"/>
  <c r="R76" i="48"/>
  <c r="R75" i="48"/>
  <c r="R74" i="48"/>
  <c r="R73" i="48"/>
  <c r="S80" i="48" s="1"/>
  <c r="S77" i="48" l="1"/>
  <c r="S69" i="49"/>
  <c r="X68" i="49"/>
  <c r="X69" i="49"/>
  <c r="AC68" i="49"/>
  <c r="K112" i="48"/>
  <c r="K111" i="48"/>
  <c r="S68" i="49"/>
  <c r="S87" i="48"/>
  <c r="S74" i="48"/>
  <c r="S86" i="48"/>
  <c r="S75" i="48"/>
  <c r="S76" i="48"/>
  <c r="S88" i="48"/>
  <c r="S89" i="48"/>
  <c r="S78" i="48"/>
  <c r="S73" i="48"/>
  <c r="S81" i="48"/>
  <c r="S82" i="48"/>
  <c r="S83" i="48"/>
  <c r="S84" i="48"/>
  <c r="S85" i="48"/>
  <c r="K88" i="48"/>
  <c r="T73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89" i="49"/>
  <c r="J89" i="49"/>
  <c r="I89" i="49"/>
  <c r="K88" i="49"/>
  <c r="J88" i="49"/>
  <c r="I88" i="49"/>
  <c r="AX87" i="49"/>
  <c r="AS87" i="49"/>
  <c r="AN87" i="49"/>
  <c r="AI87" i="49"/>
  <c r="AD87" i="49"/>
  <c r="Y87" i="49"/>
  <c r="T87" i="49"/>
  <c r="K87" i="49"/>
  <c r="J87" i="49"/>
  <c r="I87" i="49"/>
  <c r="K69" i="49"/>
  <c r="J69" i="49"/>
  <c r="I69" i="49"/>
  <c r="K68" i="49"/>
  <c r="J68" i="49"/>
  <c r="I68" i="49"/>
  <c r="AX67" i="49"/>
  <c r="AS67" i="49"/>
  <c r="AN67" i="49"/>
  <c r="AI67" i="49"/>
  <c r="AD67" i="49"/>
  <c r="Y67" i="49"/>
  <c r="T67" i="49"/>
  <c r="K67" i="49"/>
  <c r="J67" i="49"/>
  <c r="AV49" i="49"/>
  <c r="AQ49" i="49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J48" i="49"/>
  <c r="I48" i="49"/>
  <c r="AQ47" i="49"/>
  <c r="AR47" i="49" s="1"/>
  <c r="AL47" i="49"/>
  <c r="AG47" i="49"/>
  <c r="AB47" i="49"/>
  <c r="W47" i="49"/>
  <c r="R47" i="49"/>
  <c r="J47" i="49"/>
  <c r="I47" i="49"/>
  <c r="AV29" i="49"/>
  <c r="AQ29" i="49"/>
  <c r="AL29" i="49"/>
  <c r="AG29" i="49"/>
  <c r="AB29" i="49"/>
  <c r="W29" i="49"/>
  <c r="R29" i="49"/>
  <c r="J29" i="49"/>
  <c r="I29" i="49"/>
  <c r="AV28" i="49"/>
  <c r="AQ28" i="49"/>
  <c r="AL28" i="49"/>
  <c r="AG28" i="49"/>
  <c r="AB28" i="49"/>
  <c r="W28" i="49"/>
  <c r="R28" i="49"/>
  <c r="J28" i="49"/>
  <c r="I28" i="49"/>
  <c r="AV27" i="49"/>
  <c r="AQ27" i="49"/>
  <c r="AL27" i="49"/>
  <c r="AG27" i="49"/>
  <c r="AB27" i="49"/>
  <c r="W27" i="49"/>
  <c r="R27" i="49"/>
  <c r="J27" i="49"/>
  <c r="I27" i="49"/>
  <c r="AB13" i="49"/>
  <c r="AC13" i="49" s="1"/>
  <c r="W13" i="49"/>
  <c r="X13" i="49" s="1"/>
  <c r="R13" i="49"/>
  <c r="S13" i="49" s="1"/>
  <c r="AB12" i="49"/>
  <c r="AC12" i="49" s="1"/>
  <c r="W12" i="49"/>
  <c r="X12" i="49" s="1"/>
  <c r="R12" i="49"/>
  <c r="S12" i="49" s="1"/>
  <c r="AB11" i="49"/>
  <c r="AC11" i="49" s="1"/>
  <c r="W11" i="49"/>
  <c r="X11" i="49" s="1"/>
  <c r="R11" i="49"/>
  <c r="S11" i="49" s="1"/>
  <c r="AB10" i="49"/>
  <c r="AC10" i="49" s="1"/>
  <c r="W10" i="49"/>
  <c r="X10" i="49" s="1"/>
  <c r="R10" i="49"/>
  <c r="S10" i="49" s="1"/>
  <c r="AV9" i="49"/>
  <c r="AQ9" i="49"/>
  <c r="AL9" i="49"/>
  <c r="AG9" i="49"/>
  <c r="AB9" i="49"/>
  <c r="AC9" i="49" s="1"/>
  <c r="W9" i="49"/>
  <c r="X9" i="49" s="1"/>
  <c r="R9" i="49"/>
  <c r="S9" i="49" s="1"/>
  <c r="J9" i="49"/>
  <c r="I9" i="49"/>
  <c r="AV8" i="49"/>
  <c r="AQ8" i="49"/>
  <c r="AL8" i="49"/>
  <c r="AG8" i="49"/>
  <c r="AB8" i="49"/>
  <c r="AC8" i="49" s="1"/>
  <c r="W8" i="49"/>
  <c r="X8" i="49" s="1"/>
  <c r="R8" i="49"/>
  <c r="S8" i="49" s="1"/>
  <c r="J8" i="49"/>
  <c r="I8" i="49"/>
  <c r="AV7" i="49"/>
  <c r="AQ7" i="49"/>
  <c r="AL7" i="49"/>
  <c r="AM7" i="49" s="1"/>
  <c r="AG7" i="49"/>
  <c r="AI7" i="49" s="1"/>
  <c r="AB7" i="49"/>
  <c r="AD7" i="49" s="1"/>
  <c r="W7" i="49"/>
  <c r="X7" i="49" s="1"/>
  <c r="R7" i="49"/>
  <c r="J7" i="49"/>
  <c r="I7" i="49"/>
  <c r="F8" i="6"/>
  <c r="F9" i="6"/>
  <c r="F10" i="6"/>
  <c r="F11" i="6"/>
  <c r="F12" i="6"/>
  <c r="F13" i="6"/>
  <c r="F14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G36" i="6" s="1"/>
  <c r="F7" i="6"/>
  <c r="AV110" i="48"/>
  <c r="AQ110" i="48"/>
  <c r="AV109" i="48"/>
  <c r="AQ109" i="48"/>
  <c r="AV108" i="48"/>
  <c r="AQ108" i="48"/>
  <c r="AV107" i="48"/>
  <c r="AQ107" i="48"/>
  <c r="AV106" i="48"/>
  <c r="AQ106" i="48"/>
  <c r="AQ105" i="48"/>
  <c r="AV104" i="48"/>
  <c r="AQ104" i="48"/>
  <c r="AV103" i="48"/>
  <c r="AQ103" i="48"/>
  <c r="AV101" i="48"/>
  <c r="AQ101" i="48"/>
  <c r="AV100" i="48"/>
  <c r="AQ100" i="48"/>
  <c r="AL100" i="48"/>
  <c r="AG100" i="48"/>
  <c r="AB100" i="48"/>
  <c r="AV99" i="48"/>
  <c r="AQ99" i="48"/>
  <c r="AL99" i="48"/>
  <c r="AG99" i="48"/>
  <c r="AB99" i="48"/>
  <c r="AV98" i="48"/>
  <c r="AQ98" i="48"/>
  <c r="AL98" i="48"/>
  <c r="AG98" i="48"/>
  <c r="AV97" i="48"/>
  <c r="AQ97" i="48"/>
  <c r="AL97" i="48"/>
  <c r="AG97" i="48"/>
  <c r="AB97" i="48"/>
  <c r="AV96" i="48"/>
  <c r="AQ96" i="48"/>
  <c r="AL96" i="48"/>
  <c r="AM111" i="48" s="1"/>
  <c r="AG96" i="48"/>
  <c r="AH111" i="48" s="1"/>
  <c r="AB96" i="48"/>
  <c r="W96" i="48"/>
  <c r="R96" i="48"/>
  <c r="J96" i="48"/>
  <c r="I96" i="48"/>
  <c r="AQ87" i="48"/>
  <c r="AL87" i="48"/>
  <c r="AG87" i="48"/>
  <c r="AQ86" i="48"/>
  <c r="AL86" i="48"/>
  <c r="AG86" i="48"/>
  <c r="AB86" i="48"/>
  <c r="W86" i="48"/>
  <c r="AQ85" i="48"/>
  <c r="AL85" i="48"/>
  <c r="AG85" i="48"/>
  <c r="AB85" i="48"/>
  <c r="W85" i="48"/>
  <c r="AB84" i="48"/>
  <c r="W84" i="48"/>
  <c r="AV83" i="48"/>
  <c r="AQ83" i="48"/>
  <c r="AL83" i="48"/>
  <c r="AG83" i="48"/>
  <c r="AB83" i="48"/>
  <c r="W83" i="48"/>
  <c r="AV82" i="48"/>
  <c r="AQ82" i="48"/>
  <c r="AL82" i="48"/>
  <c r="AG82" i="48"/>
  <c r="AB82" i="48"/>
  <c r="W82" i="48"/>
  <c r="J82" i="48"/>
  <c r="I82" i="48"/>
  <c r="AV81" i="48"/>
  <c r="AQ81" i="48"/>
  <c r="AL81" i="48"/>
  <c r="AG81" i="48"/>
  <c r="AB81" i="48"/>
  <c r="W81" i="48"/>
  <c r="J81" i="48"/>
  <c r="I81" i="48"/>
  <c r="AV80" i="48"/>
  <c r="AQ80" i="48"/>
  <c r="AL80" i="48"/>
  <c r="AG80" i="48"/>
  <c r="AB80" i="48"/>
  <c r="W80" i="48"/>
  <c r="J80" i="48"/>
  <c r="I80" i="48"/>
  <c r="AV78" i="48"/>
  <c r="AQ78" i="48"/>
  <c r="AL78" i="48"/>
  <c r="AG78" i="48"/>
  <c r="AB78" i="48"/>
  <c r="W78" i="48"/>
  <c r="J78" i="48"/>
  <c r="I78" i="48"/>
  <c r="AV77" i="48"/>
  <c r="AQ77" i="48"/>
  <c r="AL77" i="48"/>
  <c r="AG77" i="48"/>
  <c r="AB77" i="48"/>
  <c r="W77" i="48"/>
  <c r="J77" i="48"/>
  <c r="I77" i="48"/>
  <c r="AV76" i="48"/>
  <c r="AQ76" i="48"/>
  <c r="AL76" i="48"/>
  <c r="AG76" i="48"/>
  <c r="AB76" i="48"/>
  <c r="W76" i="48"/>
  <c r="J76" i="48"/>
  <c r="I76" i="48"/>
  <c r="AV75" i="48"/>
  <c r="AQ75" i="48"/>
  <c r="AL75" i="48"/>
  <c r="AG75" i="48"/>
  <c r="AB75" i="48"/>
  <c r="W75" i="48"/>
  <c r="J75" i="48"/>
  <c r="I75" i="48"/>
  <c r="AV74" i="48"/>
  <c r="AQ74" i="48"/>
  <c r="AL74" i="48"/>
  <c r="AG74" i="48"/>
  <c r="AB74" i="48"/>
  <c r="W74" i="48"/>
  <c r="J74" i="48"/>
  <c r="I74" i="48"/>
  <c r="AV73" i="48"/>
  <c r="AQ73" i="48"/>
  <c r="AR73" i="48" s="1"/>
  <c r="AL73" i="48"/>
  <c r="AM89" i="48" s="1"/>
  <c r="AG73" i="48"/>
  <c r="AH89" i="48" s="1"/>
  <c r="AB73" i="48"/>
  <c r="W73" i="48"/>
  <c r="J73" i="48"/>
  <c r="I73" i="48"/>
  <c r="R66" i="48"/>
  <c r="J66" i="48"/>
  <c r="I66" i="48"/>
  <c r="AV65" i="48"/>
  <c r="AQ65" i="48"/>
  <c r="AL65" i="48"/>
  <c r="AG65" i="48"/>
  <c r="AB65" i="48"/>
  <c r="W65" i="48"/>
  <c r="R65" i="48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W62" i="48"/>
  <c r="R62" i="48"/>
  <c r="J62" i="48"/>
  <c r="I62" i="48"/>
  <c r="AV61" i="48"/>
  <c r="AQ61" i="48"/>
  <c r="AL61" i="48"/>
  <c r="AG61" i="48"/>
  <c r="AB61" i="48"/>
  <c r="W61" i="48"/>
  <c r="R61" i="48"/>
  <c r="J61" i="48"/>
  <c r="I61" i="48"/>
  <c r="AV60" i="48"/>
  <c r="AQ60" i="48"/>
  <c r="AL60" i="48"/>
  <c r="AG60" i="48"/>
  <c r="AB60" i="48"/>
  <c r="W60" i="48"/>
  <c r="R60" i="48"/>
  <c r="J60" i="48"/>
  <c r="I60" i="48"/>
  <c r="AV58" i="48"/>
  <c r="AQ58" i="48"/>
  <c r="AL58" i="48"/>
  <c r="AG58" i="48"/>
  <c r="AB58" i="48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L56" i="48"/>
  <c r="AG56" i="48"/>
  <c r="AB56" i="48"/>
  <c r="W56" i="48"/>
  <c r="R56" i="48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W54" i="48"/>
  <c r="R54" i="48"/>
  <c r="J54" i="48"/>
  <c r="I54" i="48"/>
  <c r="AV53" i="48"/>
  <c r="AQ53" i="48"/>
  <c r="AL53" i="48"/>
  <c r="AG53" i="48"/>
  <c r="AB53" i="48"/>
  <c r="W53" i="48"/>
  <c r="X67" i="48" s="1"/>
  <c r="R53" i="48"/>
  <c r="J53" i="48"/>
  <c r="I53" i="48"/>
  <c r="AV43" i="48"/>
  <c r="AQ43" i="48"/>
  <c r="AL43" i="48"/>
  <c r="AG43" i="48"/>
  <c r="AB43" i="48"/>
  <c r="W43" i="48"/>
  <c r="R43" i="48"/>
  <c r="J43" i="48"/>
  <c r="I43" i="48"/>
  <c r="AV42" i="48"/>
  <c r="AQ42" i="48"/>
  <c r="AL42" i="48"/>
  <c r="AG42" i="48"/>
  <c r="AB42" i="48"/>
  <c r="W42" i="48"/>
  <c r="R42" i="48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AG40" i="48"/>
  <c r="AB40" i="48"/>
  <c r="W40" i="48"/>
  <c r="R40" i="48"/>
  <c r="J40" i="48"/>
  <c r="I40" i="48"/>
  <c r="AV39" i="48"/>
  <c r="AQ39" i="48"/>
  <c r="AL39" i="48"/>
  <c r="AG39" i="48"/>
  <c r="AB39" i="48"/>
  <c r="W39" i="48"/>
  <c r="R39" i="48"/>
  <c r="J39" i="48"/>
  <c r="I39" i="48"/>
  <c r="AV38" i="48"/>
  <c r="AQ38" i="48"/>
  <c r="AL38" i="48"/>
  <c r="AG38" i="48"/>
  <c r="AB38" i="48"/>
  <c r="W38" i="48"/>
  <c r="R38" i="48"/>
  <c r="J38" i="48"/>
  <c r="I38" i="48"/>
  <c r="AV37" i="48"/>
  <c r="AQ37" i="48"/>
  <c r="AL37" i="48"/>
  <c r="AG37" i="48"/>
  <c r="AB37" i="48"/>
  <c r="W37" i="48"/>
  <c r="R37" i="48"/>
  <c r="J37" i="48"/>
  <c r="I37" i="48"/>
  <c r="AG36" i="48"/>
  <c r="AB36" i="48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G33" i="48"/>
  <c r="AB33" i="48"/>
  <c r="W33" i="48"/>
  <c r="R33" i="48"/>
  <c r="J33" i="48"/>
  <c r="I33" i="48"/>
  <c r="AV32" i="48"/>
  <c r="AQ32" i="48"/>
  <c r="AL32" i="48"/>
  <c r="AG32" i="48"/>
  <c r="AB32" i="48"/>
  <c r="W32" i="48"/>
  <c r="R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W44" i="48" s="1"/>
  <c r="AQ30" i="48"/>
  <c r="AL30" i="48"/>
  <c r="AM44" i="48" s="1"/>
  <c r="AG30" i="48"/>
  <c r="AB30" i="48"/>
  <c r="W30" i="48"/>
  <c r="R30" i="48"/>
  <c r="J30" i="48"/>
  <c r="I30" i="48"/>
  <c r="AB24" i="48"/>
  <c r="AC24" i="48" s="1"/>
  <c r="W24" i="48"/>
  <c r="X24" i="48" s="1"/>
  <c r="R24" i="48"/>
  <c r="S24" i="48" s="1"/>
  <c r="J24" i="48"/>
  <c r="I24" i="48"/>
  <c r="AQ20" i="48"/>
  <c r="AL20" i="48"/>
  <c r="AG20" i="48"/>
  <c r="AB20" i="48"/>
  <c r="AC20" i="48" s="1"/>
  <c r="W20" i="48"/>
  <c r="X20" i="48" s="1"/>
  <c r="R20" i="48"/>
  <c r="S20" i="48" s="1"/>
  <c r="J20" i="48"/>
  <c r="I20" i="48"/>
  <c r="AQ19" i="48"/>
  <c r="AL19" i="48"/>
  <c r="AG19" i="48"/>
  <c r="AB19" i="48"/>
  <c r="AC19" i="48" s="1"/>
  <c r="W19" i="48"/>
  <c r="X19" i="48" s="1"/>
  <c r="R19" i="48"/>
  <c r="S19" i="48" s="1"/>
  <c r="J19" i="48"/>
  <c r="I19" i="48"/>
  <c r="AQ18" i="48"/>
  <c r="AL18" i="48"/>
  <c r="AG18" i="48"/>
  <c r="AB18" i="48"/>
  <c r="AC18" i="48" s="1"/>
  <c r="W18" i="48"/>
  <c r="X18" i="48" s="1"/>
  <c r="R18" i="48"/>
  <c r="S18" i="48" s="1"/>
  <c r="J18" i="48"/>
  <c r="I18" i="48"/>
  <c r="AQ17" i="48"/>
  <c r="AL17" i="48"/>
  <c r="AG17" i="48"/>
  <c r="AB17" i="48"/>
  <c r="AC17" i="48" s="1"/>
  <c r="W17" i="48"/>
  <c r="X17" i="48" s="1"/>
  <c r="R17" i="48"/>
  <c r="S17" i="48" s="1"/>
  <c r="J17" i="48"/>
  <c r="I17" i="48"/>
  <c r="AQ16" i="48"/>
  <c r="AL16" i="48"/>
  <c r="AG16" i="48"/>
  <c r="AB16" i="48"/>
  <c r="AC16" i="48" s="1"/>
  <c r="W16" i="48"/>
  <c r="X16" i="48" s="1"/>
  <c r="R16" i="48"/>
  <c r="S16" i="48" s="1"/>
  <c r="J16" i="48"/>
  <c r="I16" i="48"/>
  <c r="AQ15" i="48"/>
  <c r="AL15" i="48"/>
  <c r="AG15" i="48"/>
  <c r="AB15" i="48"/>
  <c r="AC15" i="48" s="1"/>
  <c r="W15" i="48"/>
  <c r="X15" i="48" s="1"/>
  <c r="R15" i="48"/>
  <c r="S15" i="48" s="1"/>
  <c r="J15" i="48"/>
  <c r="I15" i="48"/>
  <c r="AQ14" i="48"/>
  <c r="AL14" i="48"/>
  <c r="AG14" i="48"/>
  <c r="AB14" i="48"/>
  <c r="AC14" i="48" s="1"/>
  <c r="W14" i="48"/>
  <c r="X14" i="48" s="1"/>
  <c r="R14" i="48"/>
  <c r="S14" i="48" s="1"/>
  <c r="J14" i="48"/>
  <c r="I14" i="48"/>
  <c r="AQ13" i="48"/>
  <c r="AL13" i="48"/>
  <c r="AG13" i="48"/>
  <c r="AB13" i="48"/>
  <c r="AC13" i="48" s="1"/>
  <c r="W13" i="48"/>
  <c r="X13" i="48" s="1"/>
  <c r="R13" i="48"/>
  <c r="S13" i="48" s="1"/>
  <c r="J13" i="48"/>
  <c r="I13" i="48"/>
  <c r="AQ12" i="48"/>
  <c r="AL12" i="48"/>
  <c r="AG12" i="48"/>
  <c r="AB12" i="48"/>
  <c r="AC12" i="48" s="1"/>
  <c r="W12" i="48"/>
  <c r="X12" i="48" s="1"/>
  <c r="R12" i="48"/>
  <c r="S12" i="48" s="1"/>
  <c r="J12" i="48"/>
  <c r="I12" i="48"/>
  <c r="AQ11" i="48"/>
  <c r="AL11" i="48"/>
  <c r="AG11" i="48"/>
  <c r="AB11" i="48"/>
  <c r="AC11" i="48" s="1"/>
  <c r="W11" i="48"/>
  <c r="X11" i="48" s="1"/>
  <c r="R11" i="48"/>
  <c r="S11" i="48" s="1"/>
  <c r="J11" i="48"/>
  <c r="I11" i="48"/>
  <c r="AQ10" i="48"/>
  <c r="AL10" i="48"/>
  <c r="AG10" i="48"/>
  <c r="AB10" i="48"/>
  <c r="AC10" i="48" s="1"/>
  <c r="W10" i="48"/>
  <c r="X10" i="48" s="1"/>
  <c r="R10" i="48"/>
  <c r="S10" i="48" s="1"/>
  <c r="J10" i="48"/>
  <c r="I10" i="48"/>
  <c r="AQ9" i="48"/>
  <c r="AL9" i="48"/>
  <c r="AG9" i="48"/>
  <c r="AB9" i="48"/>
  <c r="AC9" i="48" s="1"/>
  <c r="W9" i="48"/>
  <c r="X9" i="48" s="1"/>
  <c r="R9" i="48"/>
  <c r="S9" i="48" s="1"/>
  <c r="J9" i="48"/>
  <c r="I9" i="48"/>
  <c r="AQ8" i="48"/>
  <c r="AL8" i="48"/>
  <c r="AG8" i="48"/>
  <c r="AB8" i="48"/>
  <c r="AC8" i="48" s="1"/>
  <c r="W8" i="48"/>
  <c r="X8" i="48" s="1"/>
  <c r="R8" i="48"/>
  <c r="S8" i="48" s="1"/>
  <c r="J8" i="48"/>
  <c r="I8" i="48"/>
  <c r="AQ7" i="48"/>
  <c r="AL7" i="48"/>
  <c r="AG7" i="48"/>
  <c r="AB7" i="48"/>
  <c r="AC7" i="48" s="1"/>
  <c r="W7" i="48"/>
  <c r="Y7" i="48" s="1"/>
  <c r="R7" i="48"/>
  <c r="J7" i="48"/>
  <c r="I7" i="48"/>
  <c r="AR136" i="48" l="1"/>
  <c r="AR135" i="48"/>
  <c r="AR134" i="48"/>
  <c r="AR133" i="48"/>
  <c r="AC30" i="48"/>
  <c r="AC44" i="48"/>
  <c r="AC31" i="48"/>
  <c r="AC32" i="48"/>
  <c r="AC33" i="48"/>
  <c r="AM33" i="48"/>
  <c r="AC34" i="48"/>
  <c r="AC35" i="48"/>
  <c r="AC36" i="48"/>
  <c r="AC37" i="48"/>
  <c r="AM37" i="48"/>
  <c r="AW37" i="48"/>
  <c r="AC38" i="48"/>
  <c r="AW38" i="48"/>
  <c r="AC39" i="48"/>
  <c r="AC40" i="48"/>
  <c r="AC41" i="48"/>
  <c r="S44" i="48"/>
  <c r="X44" i="48"/>
  <c r="AC42" i="48"/>
  <c r="AC43" i="48"/>
  <c r="S53" i="48"/>
  <c r="S67" i="48"/>
  <c r="AC54" i="48"/>
  <c r="S56" i="48"/>
  <c r="AM56" i="48"/>
  <c r="AR56" i="48"/>
  <c r="AC58" i="48"/>
  <c r="S60" i="48"/>
  <c r="X60" i="48"/>
  <c r="AC60" i="48"/>
  <c r="AR60" i="48"/>
  <c r="AW60" i="48"/>
  <c r="S61" i="48"/>
  <c r="X61" i="48"/>
  <c r="AC61" i="48"/>
  <c r="AC62" i="48"/>
  <c r="AR63" i="48"/>
  <c r="S65" i="48"/>
  <c r="X65" i="48"/>
  <c r="AC65" i="48"/>
  <c r="X73" i="48"/>
  <c r="X89" i="48"/>
  <c r="X87" i="48"/>
  <c r="X88" i="48"/>
  <c r="X74" i="48"/>
  <c r="X75" i="48"/>
  <c r="X76" i="48"/>
  <c r="X77" i="48"/>
  <c r="AH77" i="48"/>
  <c r="AM77" i="48"/>
  <c r="AR77" i="48"/>
  <c r="X78" i="48"/>
  <c r="X80" i="48"/>
  <c r="AH80" i="48"/>
  <c r="AM80" i="48"/>
  <c r="X81" i="48"/>
  <c r="AW81" i="48"/>
  <c r="X82" i="48"/>
  <c r="X83" i="48"/>
  <c r="X84" i="48"/>
  <c r="X85" i="48"/>
  <c r="X86" i="48"/>
  <c r="AH86" i="48"/>
  <c r="AM86" i="48"/>
  <c r="S99" i="48"/>
  <c r="S96" i="48"/>
  <c r="S107" i="48"/>
  <c r="S100" i="48"/>
  <c r="S110" i="48"/>
  <c r="S109" i="48"/>
  <c r="S108" i="48"/>
  <c r="S106" i="48"/>
  <c r="S105" i="48"/>
  <c r="S104" i="48"/>
  <c r="S103" i="48"/>
  <c r="X100" i="48"/>
  <c r="X103" i="48"/>
  <c r="X106" i="48"/>
  <c r="X110" i="48"/>
  <c r="X105" i="48"/>
  <c r="X108" i="48"/>
  <c r="X99" i="48"/>
  <c r="X107" i="48"/>
  <c r="X109" i="48"/>
  <c r="X104" i="48"/>
  <c r="AR96" i="48"/>
  <c r="AR111" i="48"/>
  <c r="AR112" i="48"/>
  <c r="AR97" i="48"/>
  <c r="AR98" i="48"/>
  <c r="AR99" i="48"/>
  <c r="AC103" i="48"/>
  <c r="AH103" i="48"/>
  <c r="AR100" i="48"/>
  <c r="AW100" i="48"/>
  <c r="AR101" i="48"/>
  <c r="AR103" i="48"/>
  <c r="AW103" i="48"/>
  <c r="AR104" i="48"/>
  <c r="AR105" i="48"/>
  <c r="AR106" i="48"/>
  <c r="AW106" i="48"/>
  <c r="AR107" i="48"/>
  <c r="AW107" i="48"/>
  <c r="AR108" i="48"/>
  <c r="AW108" i="48"/>
  <c r="AR109" i="48"/>
  <c r="AR110" i="48"/>
  <c r="AW110" i="48"/>
  <c r="S7" i="49"/>
  <c r="S109" i="49"/>
  <c r="T7" i="49"/>
  <c r="AH28" i="49"/>
  <c r="AR29" i="49"/>
  <c r="AW29" i="49"/>
  <c r="AR48" i="49"/>
  <c r="AR49" i="49"/>
  <c r="AW104" i="48"/>
  <c r="AW109" i="48"/>
  <c r="AW99" i="48"/>
  <c r="AW112" i="48"/>
  <c r="AW98" i="48"/>
  <c r="AW101" i="48"/>
  <c r="AW96" i="48"/>
  <c r="AW111" i="48"/>
  <c r="AW97" i="48"/>
  <c r="K110" i="48"/>
  <c r="K103" i="48"/>
  <c r="AS96" i="48"/>
  <c r="K104" i="48"/>
  <c r="K109" i="48"/>
  <c r="K108" i="48"/>
  <c r="K105" i="48"/>
  <c r="K106" i="48"/>
  <c r="K101" i="48"/>
  <c r="AM103" i="48"/>
  <c r="AM112" i="48"/>
  <c r="AM107" i="48"/>
  <c r="AM109" i="48"/>
  <c r="AH107" i="48"/>
  <c r="AH112" i="48"/>
  <c r="AH109" i="48"/>
  <c r="AC107" i="48"/>
  <c r="AC112" i="48"/>
  <c r="X96" i="48"/>
  <c r="X101" i="48"/>
  <c r="X98" i="48"/>
  <c r="X97" i="48"/>
  <c r="X111" i="48"/>
  <c r="S98" i="48"/>
  <c r="S97" i="48"/>
  <c r="S101" i="48"/>
  <c r="S111" i="48"/>
  <c r="AW74" i="48"/>
  <c r="AW77" i="48"/>
  <c r="AW87" i="48"/>
  <c r="AW83" i="48"/>
  <c r="AW80" i="48"/>
  <c r="AW76" i="48"/>
  <c r="AW89" i="48"/>
  <c r="AW85" i="48"/>
  <c r="AW86" i="48"/>
  <c r="AW84" i="48"/>
  <c r="AW82" i="48"/>
  <c r="AW73" i="48"/>
  <c r="AW88" i="48"/>
  <c r="AW75" i="48"/>
  <c r="AW78" i="48"/>
  <c r="L67" i="49"/>
  <c r="AR84" i="48"/>
  <c r="AR89" i="48"/>
  <c r="AM82" i="48"/>
  <c r="AM87" i="48"/>
  <c r="AM81" i="48"/>
  <c r="AM85" i="48"/>
  <c r="AM74" i="48"/>
  <c r="AM73" i="48"/>
  <c r="AM75" i="48"/>
  <c r="AM76" i="48"/>
  <c r="AM78" i="48"/>
  <c r="AM83" i="48"/>
  <c r="AM88" i="48"/>
  <c r="AM84" i="48"/>
  <c r="AH87" i="48"/>
  <c r="AH85" i="48"/>
  <c r="AH81" i="48"/>
  <c r="AH74" i="48"/>
  <c r="AH75" i="48"/>
  <c r="AH76" i="48"/>
  <c r="AH73" i="48"/>
  <c r="AH78" i="48"/>
  <c r="AH82" i="48"/>
  <c r="AH83" i="48"/>
  <c r="AH84" i="48"/>
  <c r="AH88" i="48"/>
  <c r="AC77" i="48"/>
  <c r="AC87" i="48"/>
  <c r="AC80" i="48"/>
  <c r="AC85" i="48"/>
  <c r="AC81" i="48"/>
  <c r="AC74" i="48"/>
  <c r="AC89" i="48"/>
  <c r="AC75" i="48"/>
  <c r="AC76" i="48"/>
  <c r="AC73" i="48"/>
  <c r="AC78" i="48"/>
  <c r="AC82" i="48"/>
  <c r="AC83" i="48"/>
  <c r="AC84" i="48"/>
  <c r="AC88" i="48"/>
  <c r="AC86" i="48"/>
  <c r="G15" i="6"/>
  <c r="AW67" i="48"/>
  <c r="AW54" i="48"/>
  <c r="AW53" i="48"/>
  <c r="AW64" i="48"/>
  <c r="AW55" i="48"/>
  <c r="AW56" i="48"/>
  <c r="AW57" i="48"/>
  <c r="AW58" i="48"/>
  <c r="AW62" i="48"/>
  <c r="AW63" i="48"/>
  <c r="AW66" i="48"/>
  <c r="AW61" i="48"/>
  <c r="AW65" i="48"/>
  <c r="AR55" i="48"/>
  <c r="AR61" i="48"/>
  <c r="AR65" i="48"/>
  <c r="AR64" i="48"/>
  <c r="AR62" i="48"/>
  <c r="AR66" i="48"/>
  <c r="AR57" i="48"/>
  <c r="AR58" i="48"/>
  <c r="AR67" i="48"/>
  <c r="AR53" i="48"/>
  <c r="AR54" i="48"/>
  <c r="AM60" i="48"/>
  <c r="AM62" i="48"/>
  <c r="AM61" i="48"/>
  <c r="AM65" i="48"/>
  <c r="AM54" i="48"/>
  <c r="AM64" i="48"/>
  <c r="AM63" i="48"/>
  <c r="AM55" i="48"/>
  <c r="AM58" i="48"/>
  <c r="AM57" i="48"/>
  <c r="AM66" i="48"/>
  <c r="AM67" i="48"/>
  <c r="AM53" i="48"/>
  <c r="AM47" i="49"/>
  <c r="AI47" i="49"/>
  <c r="AH55" i="48"/>
  <c r="AH56" i="48"/>
  <c r="AH57" i="48"/>
  <c r="AH60" i="48"/>
  <c r="AH58" i="48"/>
  <c r="AH64" i="48"/>
  <c r="AH65" i="48"/>
  <c r="AH66" i="48"/>
  <c r="AH61" i="48"/>
  <c r="AH53" i="48"/>
  <c r="AH62" i="48"/>
  <c r="AH63" i="48"/>
  <c r="AH67" i="48"/>
  <c r="AH54" i="48"/>
  <c r="AC64" i="48"/>
  <c r="AC63" i="48"/>
  <c r="AC56" i="48"/>
  <c r="AC66" i="48"/>
  <c r="AC57" i="48"/>
  <c r="AC53" i="48"/>
  <c r="AC67" i="48"/>
  <c r="AC55" i="48"/>
  <c r="AD47" i="49"/>
  <c r="X47" i="49"/>
  <c r="X64" i="48"/>
  <c r="X56" i="48"/>
  <c r="X57" i="48"/>
  <c r="X54" i="48"/>
  <c r="X55" i="48"/>
  <c r="X58" i="48"/>
  <c r="X53" i="48"/>
  <c r="X66" i="48"/>
  <c r="X63" i="48"/>
  <c r="X62" i="48"/>
  <c r="S47" i="49"/>
  <c r="S63" i="48"/>
  <c r="S64" i="48"/>
  <c r="S62" i="48"/>
  <c r="S66" i="48"/>
  <c r="S58" i="48"/>
  <c r="S54" i="48"/>
  <c r="S57" i="48"/>
  <c r="S55" i="48"/>
  <c r="AW28" i="49"/>
  <c r="AW27" i="49"/>
  <c r="AW41" i="48"/>
  <c r="AW42" i="48"/>
  <c r="AW40" i="48"/>
  <c r="AW31" i="48"/>
  <c r="AW32" i="48"/>
  <c r="AW33" i="48"/>
  <c r="AW34" i="48"/>
  <c r="AW30" i="48"/>
  <c r="AW35" i="48"/>
  <c r="AW43" i="48"/>
  <c r="AW39" i="48"/>
  <c r="AR37" i="48"/>
  <c r="AR38" i="48"/>
  <c r="AR45" i="48"/>
  <c r="AR28" i="49"/>
  <c r="AR27" i="49"/>
  <c r="AR43" i="48"/>
  <c r="AR35" i="48"/>
  <c r="AR42" i="48"/>
  <c r="AR39" i="48"/>
  <c r="AR34" i="48"/>
  <c r="AR41" i="48"/>
  <c r="AR40" i="48"/>
  <c r="AR33" i="48"/>
  <c r="AR30" i="48"/>
  <c r="AR31" i="48"/>
  <c r="AR32" i="48"/>
  <c r="AR44" i="48"/>
  <c r="AM27" i="49"/>
  <c r="AM30" i="48"/>
  <c r="AM38" i="48"/>
  <c r="AM40" i="48"/>
  <c r="AM41" i="48"/>
  <c r="AM43" i="48"/>
  <c r="AM39" i="48"/>
  <c r="AM42" i="48"/>
  <c r="AM32" i="48"/>
  <c r="AM35" i="48"/>
  <c r="AM31" i="48"/>
  <c r="AM34" i="48"/>
  <c r="AH27" i="49"/>
  <c r="AH35" i="48"/>
  <c r="AH36" i="48"/>
  <c r="AH38" i="48"/>
  <c r="AH32" i="48"/>
  <c r="AH33" i="48"/>
  <c r="AH37" i="48"/>
  <c r="AH43" i="48"/>
  <c r="AH30" i="48"/>
  <c r="AH31" i="48"/>
  <c r="AH39" i="48"/>
  <c r="AH42" i="48"/>
  <c r="AH44" i="48"/>
  <c r="AH40" i="48"/>
  <c r="AH41" i="48"/>
  <c r="AH34" i="48"/>
  <c r="G7" i="6"/>
  <c r="H7" i="6"/>
  <c r="AX7" i="49"/>
  <c r="X27" i="49"/>
  <c r="S27" i="49"/>
  <c r="AR23" i="48"/>
  <c r="AR22" i="48"/>
  <c r="AR21" i="48"/>
  <c r="AX96" i="48"/>
  <c r="K107" i="48"/>
  <c r="H47" i="49"/>
  <c r="AN47" i="49"/>
  <c r="AR8" i="49"/>
  <c r="X112" i="48"/>
  <c r="S112" i="48"/>
  <c r="Y73" i="48"/>
  <c r="AD73" i="48"/>
  <c r="AI73" i="48"/>
  <c r="K39" i="48"/>
  <c r="G29" i="6"/>
  <c r="G8" i="6"/>
  <c r="G22" i="6"/>
  <c r="AM99" i="48"/>
  <c r="AM110" i="48"/>
  <c r="AM104" i="48"/>
  <c r="AM108" i="48"/>
  <c r="AM106" i="48"/>
  <c r="AM105" i="48"/>
  <c r="AM97" i="48"/>
  <c r="AM98" i="48"/>
  <c r="AM100" i="48"/>
  <c r="AM96" i="48"/>
  <c r="AM101" i="48"/>
  <c r="AN96" i="48"/>
  <c r="AH99" i="48"/>
  <c r="AH105" i="48"/>
  <c r="AH106" i="48"/>
  <c r="AH108" i="48"/>
  <c r="AH104" i="48"/>
  <c r="AH110" i="48"/>
  <c r="AH97" i="48"/>
  <c r="AH98" i="48"/>
  <c r="AH100" i="48"/>
  <c r="AH96" i="48"/>
  <c r="AH101" i="48"/>
  <c r="AI96" i="48"/>
  <c r="K99" i="48"/>
  <c r="AC99" i="48"/>
  <c r="AC106" i="48"/>
  <c r="AC109" i="48"/>
  <c r="AC108" i="48"/>
  <c r="AC104" i="48"/>
  <c r="AC110" i="48"/>
  <c r="AC105" i="48"/>
  <c r="AC111" i="48"/>
  <c r="AC100" i="48"/>
  <c r="AC96" i="48"/>
  <c r="AC101" i="48"/>
  <c r="AD96" i="48"/>
  <c r="AC98" i="48"/>
  <c r="K98" i="48"/>
  <c r="AC97" i="48"/>
  <c r="K97" i="48"/>
  <c r="K100" i="48"/>
  <c r="Y96" i="48"/>
  <c r="L87" i="49"/>
  <c r="M88" i="49"/>
  <c r="M89" i="49"/>
  <c r="T96" i="48"/>
  <c r="AX73" i="48"/>
  <c r="K75" i="48"/>
  <c r="AR86" i="48"/>
  <c r="AR80" i="48"/>
  <c r="AR82" i="48"/>
  <c r="AR76" i="48"/>
  <c r="AR88" i="48"/>
  <c r="AR81" i="48"/>
  <c r="AR85" i="48"/>
  <c r="AR83" i="48"/>
  <c r="K81" i="48"/>
  <c r="AR87" i="48"/>
  <c r="AS73" i="48"/>
  <c r="AR78" i="48"/>
  <c r="AR75" i="48"/>
  <c r="AR74" i="48"/>
  <c r="K78" i="48"/>
  <c r="K76" i="48"/>
  <c r="AN73" i="48"/>
  <c r="M69" i="49"/>
  <c r="K87" i="48"/>
  <c r="K32" i="48"/>
  <c r="K56" i="48"/>
  <c r="K77" i="48"/>
  <c r="K61" i="48"/>
  <c r="AI7" i="48"/>
  <c r="K31" i="48"/>
  <c r="AS53" i="48"/>
  <c r="K35" i="48"/>
  <c r="AI30" i="48"/>
  <c r="S37" i="48"/>
  <c r="K60" i="48"/>
  <c r="K36" i="48"/>
  <c r="S32" i="48"/>
  <c r="X33" i="48"/>
  <c r="AH7" i="48"/>
  <c r="AH9" i="48"/>
  <c r="AM18" i="48"/>
  <c r="AH12" i="48"/>
  <c r="AH17" i="48"/>
  <c r="K62" i="48"/>
  <c r="AM12" i="48"/>
  <c r="AM17" i="48"/>
  <c r="K57" i="48"/>
  <c r="S41" i="48"/>
  <c r="AX7" i="48"/>
  <c r="S40" i="48"/>
  <c r="AM20" i="48"/>
  <c r="S33" i="48"/>
  <c r="S36" i="48"/>
  <c r="S7" i="48"/>
  <c r="K30" i="48"/>
  <c r="AD30" i="48"/>
  <c r="AH8" i="48"/>
  <c r="AM13" i="48"/>
  <c r="AM8" i="48"/>
  <c r="K43" i="48"/>
  <c r="Y53" i="48"/>
  <c r="AD7" i="48"/>
  <c r="K65" i="48"/>
  <c r="K38" i="48"/>
  <c r="K80" i="48"/>
  <c r="K82" i="48"/>
  <c r="K84" i="48"/>
  <c r="K86" i="48"/>
  <c r="K85" i="48"/>
  <c r="K83" i="48"/>
  <c r="K73" i="48"/>
  <c r="K74" i="48"/>
  <c r="M74" i="48" s="1"/>
  <c r="M67" i="49"/>
  <c r="M68" i="49"/>
  <c r="AM8" i="49"/>
  <c r="AN7" i="49"/>
  <c r="S29" i="49"/>
  <c r="K29" i="49"/>
  <c r="AC48" i="49"/>
  <c r="AR14" i="48"/>
  <c r="K41" i="48"/>
  <c r="K66" i="48"/>
  <c r="K96" i="48"/>
  <c r="M111" i="48" s="1"/>
  <c r="AR9" i="49"/>
  <c r="AD27" i="49"/>
  <c r="X28" i="49"/>
  <c r="AC28" i="49"/>
  <c r="AH48" i="49"/>
  <c r="AW9" i="49"/>
  <c r="AI27" i="49"/>
  <c r="AM48" i="49"/>
  <c r="AM49" i="49"/>
  <c r="AR15" i="48"/>
  <c r="AM16" i="48"/>
  <c r="S30" i="48"/>
  <c r="X37" i="48"/>
  <c r="K42" i="48"/>
  <c r="AH18" i="48"/>
  <c r="AM15" i="48"/>
  <c r="T30" i="48"/>
  <c r="K37" i="48"/>
  <c r="S43" i="48"/>
  <c r="K63" i="48"/>
  <c r="K64" i="48"/>
  <c r="AM29" i="49"/>
  <c r="S39" i="48"/>
  <c r="K53" i="48"/>
  <c r="AN27" i="49"/>
  <c r="AX47" i="49"/>
  <c r="AW49" i="49"/>
  <c r="AM19" i="48"/>
  <c r="S42" i="48"/>
  <c r="S35" i="48"/>
  <c r="H67" i="49"/>
  <c r="K40" i="48"/>
  <c r="AX53" i="48"/>
  <c r="AM28" i="49"/>
  <c r="X30" i="48"/>
  <c r="T7" i="48"/>
  <c r="S49" i="49"/>
  <c r="H87" i="49"/>
  <c r="AM11" i="48"/>
  <c r="AD53" i="48"/>
  <c r="K58" i="48"/>
  <c r="AH8" i="49"/>
  <c r="AH9" i="49"/>
  <c r="X48" i="49"/>
  <c r="K49" i="49"/>
  <c r="H7" i="49"/>
  <c r="AM9" i="48"/>
  <c r="AR18" i="48"/>
  <c r="AM7" i="48"/>
  <c r="AH13" i="48"/>
  <c r="AH16" i="48"/>
  <c r="AR19" i="48"/>
  <c r="AR20" i="48"/>
  <c r="H27" i="49"/>
  <c r="K33" i="48"/>
  <c r="X49" i="49"/>
  <c r="AC29" i="49"/>
  <c r="AC49" i="49"/>
  <c r="X29" i="49"/>
  <c r="AS7" i="49"/>
  <c r="AS27" i="49"/>
  <c r="AW48" i="49"/>
  <c r="AC7" i="49"/>
  <c r="AW7" i="49"/>
  <c r="AC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K7" i="49"/>
  <c r="K27" i="49"/>
  <c r="K47" i="49"/>
  <c r="AM9" i="49"/>
  <c r="AH47" i="49"/>
  <c r="AH7" i="49"/>
  <c r="K9" i="49"/>
  <c r="AR7" i="49"/>
  <c r="K8" i="49"/>
  <c r="T27" i="49"/>
  <c r="K28" i="49"/>
  <c r="T47" i="49"/>
  <c r="K48" i="49"/>
  <c r="AR10" i="48"/>
  <c r="AH20" i="48"/>
  <c r="X34" i="48"/>
  <c r="X38" i="48"/>
  <c r="X42" i="48"/>
  <c r="AN30" i="48"/>
  <c r="X32" i="48"/>
  <c r="AR17" i="48"/>
  <c r="AI53" i="48"/>
  <c r="AR8" i="48"/>
  <c r="AR12" i="48"/>
  <c r="AR16" i="48"/>
  <c r="X7" i="48"/>
  <c r="AR7" i="48"/>
  <c r="Y30" i="48"/>
  <c r="AS30" i="48"/>
  <c r="S31" i="48"/>
  <c r="K34" i="48"/>
  <c r="AR9" i="48"/>
  <c r="AH19" i="48"/>
  <c r="AR24" i="48"/>
  <c r="AH11" i="48"/>
  <c r="AH15" i="48"/>
  <c r="AS7" i="48"/>
  <c r="AH10" i="48"/>
  <c r="AH14" i="48"/>
  <c r="T53" i="48"/>
  <c r="AN53" i="48"/>
  <c r="K54" i="48"/>
  <c r="K55" i="48"/>
  <c r="X36" i="48"/>
  <c r="X40" i="48"/>
  <c r="AR11" i="48"/>
  <c r="X31" i="48"/>
  <c r="X35" i="48"/>
  <c r="X39" i="48"/>
  <c r="X43" i="48"/>
  <c r="AR13" i="48"/>
  <c r="X41" i="48"/>
  <c r="AN7" i="48"/>
  <c r="AM10" i="48"/>
  <c r="AM14" i="48"/>
  <c r="AX30" i="48"/>
  <c r="S34" i="48"/>
  <c r="S38" i="48"/>
  <c r="M121" i="49" l="1"/>
  <c r="M120" i="49"/>
  <c r="M119" i="49"/>
  <c r="M118" i="49"/>
  <c r="M117" i="49"/>
  <c r="M116" i="49"/>
  <c r="M115" i="49"/>
  <c r="M114" i="49"/>
  <c r="M113" i="49"/>
  <c r="M112" i="49"/>
  <c r="M111" i="49"/>
  <c r="M110" i="49"/>
  <c r="M53" i="48"/>
  <c r="L53" i="48"/>
  <c r="M67" i="48"/>
  <c r="M73" i="48"/>
  <c r="M89" i="48"/>
  <c r="M88" i="48"/>
  <c r="M83" i="48"/>
  <c r="M85" i="48"/>
  <c r="M86" i="48"/>
  <c r="M84" i="48"/>
  <c r="M82" i="48"/>
  <c r="M80" i="48"/>
  <c r="M77" i="48"/>
  <c r="M87" i="48"/>
  <c r="M76" i="48"/>
  <c r="M78" i="48"/>
  <c r="M81" i="48"/>
  <c r="M75" i="48"/>
  <c r="M105" i="48"/>
  <c r="M109" i="48"/>
  <c r="M104" i="48"/>
  <c r="M103" i="48"/>
  <c r="M110" i="48"/>
  <c r="M99" i="48"/>
  <c r="M112" i="48"/>
  <c r="M107" i="48"/>
  <c r="M106" i="48"/>
  <c r="M108" i="48"/>
  <c r="M100" i="48"/>
  <c r="M101" i="48"/>
  <c r="M97" i="48"/>
  <c r="M98" i="48"/>
  <c r="M96" i="48"/>
  <c r="M44" i="48"/>
  <c r="M21" i="48"/>
  <c r="L96" i="48"/>
  <c r="L73" i="48"/>
  <c r="H73" i="48"/>
  <c r="H30" i="48"/>
  <c r="M33" i="48"/>
  <c r="M58" i="48"/>
  <c r="M54" i="48"/>
  <c r="M66" i="48"/>
  <c r="H7" i="48"/>
  <c r="M57" i="48"/>
  <c r="H53" i="48"/>
  <c r="H96" i="48"/>
  <c r="M60" i="48"/>
  <c r="M64" i="48"/>
  <c r="M65" i="48"/>
  <c r="M34" i="48"/>
  <c r="M62" i="48"/>
  <c r="M48" i="49"/>
  <c r="M56" i="48"/>
  <c r="M9" i="49"/>
  <c r="L27" i="49"/>
  <c r="M27" i="49"/>
  <c r="M47" i="49"/>
  <c r="L47" i="49"/>
  <c r="M21" i="49"/>
  <c r="M20" i="49"/>
  <c r="M19" i="49"/>
  <c r="M13" i="49"/>
  <c r="L7" i="49"/>
  <c r="C1" i="49" s="1"/>
  <c r="M18" i="49"/>
  <c r="M7" i="49"/>
  <c r="M17" i="49"/>
  <c r="M11" i="49"/>
  <c r="M10" i="49"/>
  <c r="M16" i="49"/>
  <c r="M15" i="49"/>
  <c r="M12" i="49"/>
  <c r="M14" i="49"/>
  <c r="M28" i="49"/>
  <c r="M29" i="49"/>
  <c r="M8" i="49"/>
  <c r="M49" i="49"/>
  <c r="M7" i="48"/>
  <c r="L7" i="48"/>
  <c r="M32" i="48"/>
  <c r="M30" i="48"/>
  <c r="M9" i="48"/>
  <c r="M11" i="48"/>
  <c r="M40" i="48"/>
  <c r="M16" i="48"/>
  <c r="M39" i="48"/>
  <c r="M10" i="48"/>
  <c r="M17" i="48"/>
  <c r="M37" i="48"/>
  <c r="M31" i="48"/>
  <c r="M61" i="48"/>
  <c r="M43" i="48"/>
  <c r="M38" i="48"/>
  <c r="M14" i="48"/>
  <c r="L30" i="48"/>
  <c r="M15" i="48"/>
  <c r="M63" i="48"/>
  <c r="M55" i="48"/>
  <c r="M19" i="48"/>
  <c r="M36" i="48"/>
  <c r="M41" i="48"/>
  <c r="M42" i="48"/>
  <c r="M13" i="48"/>
  <c r="M12" i="48"/>
  <c r="M18" i="48"/>
  <c r="M20" i="48"/>
  <c r="M35" i="48"/>
  <c r="M8" i="48"/>
  <c r="C1" i="48" l="1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H7" i="7" l="1"/>
  <c r="G22" i="7"/>
  <c r="G8" i="7"/>
  <c r="G29" i="7"/>
  <c r="G15" i="7"/>
  <c r="M9" i="19" l="1"/>
  <c r="M10" i="19"/>
  <c r="M11" i="19"/>
  <c r="I12" i="5" l="1"/>
  <c r="O5" i="3" l="1"/>
  <c r="O6" i="3"/>
  <c r="Z7" i="29" l="1"/>
  <c r="M26" i="20" l="1"/>
  <c r="M13" i="20"/>
  <c r="M12" i="20"/>
  <c r="M11" i="20"/>
  <c r="M10" i="20"/>
  <c r="M9" i="20"/>
  <c r="M25" i="20"/>
  <c r="AA7" i="29" l="1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I5" i="5" l="1"/>
  <c r="G14" i="40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M8" i="43"/>
  <c r="K8" i="43"/>
  <c r="I8" i="43"/>
  <c r="Z7" i="43"/>
  <c r="M7" i="43"/>
  <c r="K7" i="43"/>
  <c r="I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B8" i="29"/>
  <c r="AC8" i="29"/>
  <c r="AD8" i="29"/>
  <c r="AE8" i="29"/>
  <c r="AF8" i="29"/>
  <c r="AG8" i="29"/>
  <c r="AH8" i="29"/>
  <c r="AA8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Z18" i="29"/>
  <c r="Z15" i="29"/>
  <c r="Z12" i="29"/>
  <c r="Z9" i="29"/>
  <c r="AH7" i="29"/>
  <c r="AG7" i="29"/>
  <c r="AF7" i="29"/>
  <c r="AE7" i="29"/>
  <c r="AD7" i="29"/>
  <c r="AC7" i="29"/>
  <c r="AB7" i="29"/>
  <c r="J5" i="5" l="1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AA22" i="29"/>
  <c r="C15" i="13" l="1"/>
  <c r="I6" i="5"/>
  <c r="I7" i="5"/>
  <c r="I8" i="5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K5" i="5" l="1"/>
  <c r="J27" i="5"/>
  <c r="J13" i="5"/>
  <c r="J20" i="5"/>
  <c r="J6" i="5"/>
  <c r="L20" i="21"/>
  <c r="K38" i="20"/>
  <c r="K30" i="20"/>
  <c r="K22" i="20"/>
  <c r="K14" i="20"/>
  <c r="AB22" i="29" l="1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AH23" i="29"/>
  <c r="AH22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K7" i="29"/>
  <c r="I7" i="29"/>
  <c r="C1" i="36" l="1"/>
  <c r="M14" i="40"/>
  <c r="G9" i="40"/>
  <c r="M15" i="40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I14" i="40" l="1"/>
  <c r="I9" i="40"/>
  <c r="K9" i="40"/>
  <c r="K14" i="40"/>
  <c r="M9" i="40"/>
  <c r="K10" i="40"/>
  <c r="I10" i="40"/>
  <c r="K15" i="40"/>
  <c r="G15" i="40"/>
  <c r="M10" i="40"/>
  <c r="I15" i="40"/>
  <c r="E15" i="13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J26" i="7"/>
  <c r="J16" i="7"/>
  <c r="V37" i="5"/>
  <c r="S37" i="5"/>
  <c r="P37" i="5"/>
  <c r="M37" i="5"/>
  <c r="J37" i="5"/>
  <c r="G37" i="5"/>
  <c r="V37" i="3"/>
  <c r="S37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N26" i="7" l="1"/>
  <c r="L16" i="7"/>
  <c r="L26" i="7"/>
  <c r="N16" i="7"/>
  <c r="M30" i="19"/>
  <c r="K30" i="19" s="1"/>
  <c r="M22" i="19"/>
  <c r="K22" i="19" s="1"/>
  <c r="M14" i="19"/>
  <c r="K14" i="19" s="1"/>
  <c r="C18" i="13"/>
  <c r="I18" i="13"/>
  <c r="L23" i="7" l="1"/>
  <c r="J23" i="7"/>
  <c r="N23" i="7"/>
  <c r="N24" i="6"/>
  <c r="L24" i="6"/>
  <c r="J24" i="6"/>
  <c r="N33" i="6"/>
  <c r="L33" i="6"/>
  <c r="J33" i="6"/>
  <c r="N7" i="7"/>
  <c r="L7" i="7"/>
  <c r="J7" i="7"/>
  <c r="J18" i="6"/>
  <c r="N18" i="6"/>
  <c r="L18" i="6"/>
  <c r="L11" i="6"/>
  <c r="N11" i="6"/>
  <c r="J11" i="6"/>
  <c r="L35" i="7"/>
  <c r="N35" i="7"/>
  <c r="J35" i="7"/>
  <c r="N17" i="7"/>
  <c r="L17" i="7"/>
  <c r="J17" i="7"/>
  <c r="J30" i="6"/>
  <c r="N30" i="6"/>
  <c r="L30" i="6"/>
  <c r="N30" i="7"/>
  <c r="L30" i="7"/>
  <c r="J30" i="7"/>
  <c r="J17" i="6"/>
  <c r="N17" i="6"/>
  <c r="L17" i="6"/>
  <c r="N23" i="6"/>
  <c r="L23" i="6"/>
  <c r="J23" i="6"/>
  <c r="N36" i="6"/>
  <c r="L36" i="6"/>
  <c r="J36" i="6"/>
  <c r="L19" i="6"/>
  <c r="J19" i="6"/>
  <c r="N19" i="6"/>
  <c r="N28" i="7"/>
  <c r="L28" i="7"/>
  <c r="J28" i="7"/>
  <c r="N12" i="7"/>
  <c r="L12" i="7"/>
  <c r="J12" i="7"/>
  <c r="L31" i="6"/>
  <c r="J31" i="6"/>
  <c r="N31" i="6"/>
  <c r="N20" i="6"/>
  <c r="L20" i="6"/>
  <c r="J20" i="6"/>
  <c r="L34" i="7"/>
  <c r="N34" i="7"/>
  <c r="J34" i="7"/>
  <c r="N13" i="7"/>
  <c r="L13" i="7"/>
  <c r="J13" i="7"/>
  <c r="N9" i="6"/>
  <c r="L9" i="6"/>
  <c r="J9" i="6"/>
  <c r="N13" i="6"/>
  <c r="L13" i="6"/>
  <c r="J13" i="6"/>
  <c r="N20" i="7"/>
  <c r="L20" i="7"/>
  <c r="J20" i="7"/>
  <c r="N22" i="7"/>
  <c r="L22" i="7"/>
  <c r="J22" i="7"/>
  <c r="N25" i="6"/>
  <c r="L25" i="6"/>
  <c r="J25" i="6"/>
  <c r="J29" i="6"/>
  <c r="N29" i="6"/>
  <c r="L29" i="6"/>
  <c r="N11" i="7"/>
  <c r="L11" i="7"/>
  <c r="J11" i="7"/>
  <c r="N14" i="6"/>
  <c r="L14" i="6"/>
  <c r="J14" i="6"/>
  <c r="N29" i="7"/>
  <c r="J29" i="7"/>
  <c r="L29" i="7"/>
  <c r="N18" i="7"/>
  <c r="L18" i="7"/>
  <c r="J18" i="7"/>
  <c r="N26" i="6"/>
  <c r="L26" i="6"/>
  <c r="J26" i="6"/>
  <c r="N27" i="6"/>
  <c r="L27" i="6"/>
  <c r="J27" i="6"/>
  <c r="N16" i="6"/>
  <c r="L16" i="6"/>
  <c r="J16" i="6"/>
  <c r="J9" i="7"/>
  <c r="N9" i="7"/>
  <c r="L9" i="7"/>
  <c r="N32" i="6"/>
  <c r="L32" i="6"/>
  <c r="J32" i="6"/>
  <c r="L19" i="7"/>
  <c r="J19" i="7"/>
  <c r="N19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10" i="7"/>
  <c r="L10" i="7"/>
  <c r="J10" i="7"/>
  <c r="N34" i="6"/>
  <c r="L34" i="6"/>
  <c r="J34" i="6"/>
  <c r="N15" i="6"/>
  <c r="L15" i="6"/>
  <c r="J15" i="6"/>
  <c r="N25" i="7"/>
  <c r="L25" i="7"/>
  <c r="J25" i="7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J7" i="6"/>
  <c r="N7" i="6"/>
  <c r="L7" i="6"/>
  <c r="U5" i="3"/>
  <c r="V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V27" i="3" l="1"/>
  <c r="V20" i="3"/>
  <c r="V13" i="3"/>
  <c r="V6" i="3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O14" i="1"/>
  <c r="X28" i="1"/>
  <c r="V28" i="1" s="1"/>
  <c r="X34" i="1"/>
  <c r="V34" i="1" s="1"/>
  <c r="D11" i="1"/>
  <c r="X42" i="1"/>
  <c r="V42" i="1" s="1"/>
  <c r="Q6" i="1"/>
  <c r="D9" i="1"/>
  <c r="U14" i="1"/>
  <c r="AD23" i="43" l="1"/>
  <c r="AD8" i="43"/>
  <c r="AE22" i="43"/>
  <c r="AF23" i="43"/>
  <c r="AG23" i="43"/>
  <c r="AH23" i="43"/>
  <c r="AF22" i="43"/>
  <c r="AF7" i="43"/>
  <c r="AG8" i="43"/>
  <c r="AH22" i="43"/>
  <c r="AE23" i="43"/>
  <c r="AH8" i="43"/>
  <c r="AB8" i="43"/>
  <c r="AD22" i="43"/>
  <c r="AC7" i="43"/>
  <c r="AE8" i="43"/>
  <c r="AE7" i="43"/>
  <c r="AH7" i="43"/>
  <c r="AA23" i="43"/>
  <c r="AF8" i="43"/>
  <c r="AA22" i="43"/>
  <c r="AB23" i="43"/>
  <c r="AC22" i="43"/>
  <c r="AC8" i="43"/>
  <c r="AD7" i="43"/>
  <c r="AG22" i="43"/>
  <c r="AG7" i="43"/>
  <c r="AA7" i="43"/>
  <c r="AA8" i="43"/>
  <c r="AB22" i="43"/>
  <c r="AC23" i="43"/>
  <c r="AB7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E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<sst xmlns="http://schemas.openxmlformats.org/spreadsheetml/2006/main" count="5016" uniqueCount="505">
  <si>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</si>
  <si>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t>月別</t>
    <phoneticPr fontId="14"/>
  </si>
  <si>
    <t>工廠</t>
    <phoneticPr fontId="14"/>
  </si>
  <si>
    <t>長家</t>
    <phoneticPr fontId="17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</si>
  <si>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4"/>
  </si>
  <si>
    <t>※單位：千元</t>
    <phoneticPr fontId="14"/>
  </si>
  <si>
    <t>（２）ＫＰＩ達成進度</t>
    <phoneticPr fontId="14"/>
  </si>
  <si>
    <t>項目</t>
    <phoneticPr fontId="17" type="noConversion"/>
  </si>
  <si>
    <t>當月</t>
    <phoneticPr fontId="14"/>
  </si>
  <si>
    <t>前月</t>
  </si>
  <si>
    <t>差異</t>
  </si>
  <si>
    <t>累計</t>
  </si>
  <si>
    <t>KPI</t>
    <phoneticPr fontId="14"/>
  </si>
  <si>
    <t>前月</t>
    <phoneticPr fontId="14"/>
  </si>
  <si>
    <t>※補充</t>
    <phoneticPr fontId="14"/>
  </si>
  <si>
    <t>業績金額</t>
    <phoneticPr fontId="14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</si>
  <si>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</si>
  <si>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個／MH</t>
    <phoneticPr fontId="14"/>
  </si>
  <si>
    <t>訂單數量</t>
    <phoneticPr fontId="14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</si>
  <si>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</si>
  <si>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達成率</t>
  </si>
  <si>
    <t>材料費</t>
  </si>
  <si>
    <t>半成品-報廢(%)</t>
    <phoneticPr fontId="14"/>
  </si>
  <si>
    <t>報廢率</t>
    <phoneticPr fontId="14"/>
  </si>
  <si>
    <t>材料費率</t>
  </si>
  <si>
    <t>半成品-超用(%)</t>
    <phoneticPr fontId="14"/>
  </si>
  <si>
    <t>超用率</t>
    <phoneticPr fontId="14"/>
  </si>
  <si>
    <t>勞務成本</t>
    <phoneticPr fontId="14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</si>
  <si>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4"/>
  </si>
  <si>
    <t>導入率</t>
  </si>
  <si>
    <t>勞務費率</t>
    <phoneticPr fontId="14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</si>
  <si>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4"/>
  </si>
  <si>
    <t>實施率</t>
    <phoneticPr fontId="14"/>
  </si>
  <si>
    <t>（３）業績構成比</t>
    <phoneticPr fontId="14"/>
  </si>
  <si>
    <t>（４）訂單數量構成比</t>
    <phoneticPr fontId="14"/>
  </si>
  <si>
    <t>比例</t>
    <phoneticPr fontId="14"/>
  </si>
  <si>
    <t>差異</t>
    <phoneticPr fontId="14"/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</si>
  <si>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</si>
  <si>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</si>
  <si>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</si>
  <si>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4"/>
  </si>
  <si>
    <t>品群</t>
    <phoneticPr fontId="14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</si>
  <si>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</si>
  <si>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</si>
  <si>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7" type="noConversion"/>
  </si>
  <si>
    <t>日期</t>
    <phoneticPr fontId="17" type="noConversion"/>
  </si>
  <si>
    <t>營業額(元)</t>
    <phoneticPr fontId="17" type="noConversion"/>
  </si>
  <si>
    <t>訂單數量(個)</t>
    <phoneticPr fontId="17" type="noConversion"/>
  </si>
  <si>
    <t>材料費(元)</t>
    <phoneticPr fontId="17" type="noConversion"/>
  </si>
  <si>
    <t>材料費率（材料費／營業額）</t>
    <phoneticPr fontId="17" type="noConversion"/>
  </si>
  <si>
    <t>勞務成本（全廠人事成本）</t>
    <phoneticPr fontId="17" type="noConversion"/>
  </si>
  <si>
    <t>勞務費率（勞務成本／營業額）</t>
    <phoneticPr fontId="17" type="noConversion"/>
  </si>
  <si>
    <t>日</t>
    <phoneticPr fontId="17" type="noConversion"/>
  </si>
  <si>
    <t>週累積</t>
    <phoneticPr fontId="17" type="noConversion"/>
  </si>
  <si>
    <t>月累積</t>
    <phoneticPr fontId="17" type="noConversion"/>
  </si>
  <si>
    <t>九</t>
    <phoneticPr fontId="17" type="noConversion"/>
  </si>
  <si>
    <t>一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</si>
  <si>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</si>
  <si>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</si>
  <si>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</si>
  <si>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</si>
  <si>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</si>
  <si>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（２）ＫＰＩ達成進度</t>
    <phoneticPr fontId="17" type="noConversion"/>
  </si>
  <si>
    <t xml:space="preserve">人時生產性(個/人) </t>
  </si>
  <si>
    <t xml:space="preserve">人時生產性達成率(%) </t>
  </si>
  <si>
    <t xml:space="preserve">半成品報廢(%) </t>
    <phoneticPr fontId="17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</si>
  <si>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</si>
  <si>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</si>
  <si>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</si>
  <si>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7" type="noConversion"/>
  </si>
  <si>
    <t>月平均</t>
    <phoneticPr fontId="17" type="noConversion"/>
  </si>
  <si>
    <t>（3）業績構成比</t>
    <phoneticPr fontId="17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</si>
  <si>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7" type="noConversion"/>
  </si>
  <si>
    <t>營業額</t>
    <phoneticPr fontId="17" type="noConversion"/>
  </si>
  <si>
    <t>品類業績</t>
    <phoneticPr fontId="17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</si>
  <si>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</si>
  <si>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</si>
  <si>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t>微波小吃</t>
    <phoneticPr fontId="17" type="noConversion"/>
  </si>
  <si>
    <t>一配</t>
    <phoneticPr fontId="17" type="noConversion"/>
  </si>
  <si>
    <t>業績(元)</t>
    <phoneticPr fontId="17" type="noConversion"/>
  </si>
  <si>
    <t>比例(%)</t>
    <phoneticPr fontId="17" type="noConversion"/>
  </si>
  <si>
    <t>（4）訂單數量構成比</t>
    <phoneticPr fontId="17" type="noConversion"/>
  </si>
  <si>
    <t>訂單量</t>
    <phoneticPr fontId="17" type="noConversion"/>
  </si>
  <si>
    <t>品類訂單量</t>
    <phoneticPr fontId="17" type="noConversion"/>
  </si>
  <si>
    <t>訂單數</t>
    <phoneticPr fontId="17" type="noConversion"/>
  </si>
  <si>
    <t>月平均人時性</t>
    <phoneticPr fontId="17" type="noConversion"/>
  </si>
  <si>
    <t>產線配置圖－每週更新</t>
    <phoneticPr fontId="17" type="noConversion"/>
  </si>
  <si>
    <t>資料繳交</t>
    <phoneticPr fontId="17" type="noConversion"/>
  </si>
  <si>
    <t>品群</t>
    <phoneticPr fontId="17" type="noConversion"/>
  </si>
  <si>
    <t>商品名稱</t>
    <phoneticPr fontId="17" type="noConversion"/>
  </si>
  <si>
    <t>計畫</t>
    <phoneticPr fontId="17" type="noConversion"/>
  </si>
  <si>
    <t>平均人時性</t>
    <phoneticPr fontId="17" type="noConversion"/>
  </si>
  <si>
    <t>實績</t>
    <phoneticPr fontId="17" type="noConversion"/>
  </si>
  <si>
    <t>排名</t>
    <phoneticPr fontId="17" type="noConversion"/>
  </si>
  <si>
    <t>日報</t>
    <phoneticPr fontId="17" type="noConversion"/>
  </si>
  <si>
    <t>實際</t>
    <phoneticPr fontId="17" type="noConversion"/>
  </si>
  <si>
    <t>產線配置圖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</si>
  <si>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</si>
  <si>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</si>
  <si>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</si>
  <si>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</si>
  <si>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熱食義麵</t>
  </si>
  <si>
    <t>義式蕃茄起司義大利麵</t>
    <phoneticPr fontId="17" type="noConversion"/>
  </si>
  <si>
    <t>奶油培根義大利麵</t>
  </si>
  <si>
    <t>熱那亞青醬義大利麵</t>
  </si>
  <si>
    <t>焗烤起司雙饗筆尖麵</t>
  </si>
  <si>
    <t>白酒蛤蜊義大利麵</t>
  </si>
  <si>
    <t>韓式起司炸雞義大利麵</t>
  </si>
  <si>
    <t>蒜香蝦蝦義大利麵</t>
  </si>
  <si>
    <t>焗奶油扇貝筆尖麵</t>
  </si>
  <si>
    <t>拿坡里義大利麵</t>
  </si>
  <si>
    <t>奶油明太子細扁麵</t>
  </si>
  <si>
    <t>黑胡椒燻豬腿義大利麵</t>
  </si>
  <si>
    <t>奶油蒜香雞義大利麵</t>
  </si>
  <si>
    <t>青花椒麻雞肉拌麵</t>
  </si>
  <si>
    <t>煙花女義大利麵</t>
  </si>
  <si>
    <t>羊乳起司培根筆尖麵</t>
  </si>
  <si>
    <t>韓式辣醬肉丸義大利麵</t>
  </si>
  <si>
    <t>家傳炸醬麵</t>
  </si>
  <si>
    <t>月平均人時性</t>
  </si>
  <si>
    <t>熱食調理麵</t>
    <phoneticPr fontId="17" type="noConversion"/>
  </si>
  <si>
    <t>季節調理麵</t>
    <phoneticPr fontId="17" type="noConversion"/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</si>
  <si>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</si>
  <si>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</si>
  <si>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</si>
  <si>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</si>
  <si>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7" type="noConversion"/>
  </si>
  <si>
    <t>業績金額</t>
    <phoneticPr fontId="17" type="noConversion"/>
  </si>
  <si>
    <t>合計</t>
  </si>
  <si>
    <t>展開量高於１０5％</t>
    <phoneticPr fontId="14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</si>
  <si>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4"/>
  </si>
  <si>
    <t>製程不穩</t>
    <phoneticPr fontId="14"/>
  </si>
  <si>
    <t>抓樣不穩</t>
    <phoneticPr fontId="14"/>
  </si>
  <si>
    <t>金額</t>
  </si>
  <si>
    <t>報廢</t>
    <phoneticPr fontId="14"/>
  </si>
  <si>
    <t>超用</t>
    <phoneticPr fontId="14"/>
  </si>
  <si>
    <t>原物料規格</t>
    <phoneticPr fontId="14"/>
  </si>
  <si>
    <t>研發設定</t>
    <phoneticPr fontId="14"/>
  </si>
  <si>
    <t>其他原因</t>
    <phoneticPr fontId="14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</si>
  <si>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7" type="noConversion"/>
  </si>
  <si>
    <t>（８）報廢原因別前幾名品項</t>
    <phoneticPr fontId="17" type="noConversion"/>
  </si>
  <si>
    <t>類型</t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</si>
  <si>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</si>
  <si>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</si>
  <si>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t>排名</t>
    <phoneticPr fontId="14"/>
  </si>
  <si>
    <t>商品名</t>
  </si>
  <si>
    <t>半成品名</t>
    <phoneticPr fontId="14"/>
  </si>
  <si>
    <t>單價</t>
    <phoneticPr fontId="14"/>
  </si>
  <si>
    <t>數量</t>
    <phoneticPr fontId="14"/>
  </si>
  <si>
    <t>前週比</t>
  </si>
  <si>
    <t>主要原因&amp;對策</t>
    <phoneticPr fontId="14"/>
  </si>
  <si>
    <t>展開量高於１０5％</t>
    <phoneticPr fontId="17" type="noConversion"/>
  </si>
  <si>
    <t>前幾名合計比例</t>
    <phoneticPr fontId="14"/>
  </si>
  <si>
    <t>前幾名合計金額</t>
    <phoneticPr fontId="14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</si>
  <si>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7" type="noConversion"/>
  </si>
  <si>
    <t>焗烤起司雙饗筆尖麵</t>
    <phoneticPr fontId="17" type="noConversion"/>
  </si>
  <si>
    <t>烤重煙燻培根絲</t>
    <phoneticPr fontId="17" type="noConversion"/>
  </si>
  <si>
    <t>切焗烤起司</t>
    <phoneticPr fontId="17" type="noConversion"/>
  </si>
  <si>
    <t>拿坡里義大利麵</t>
    <phoneticPr fontId="17" type="noConversion"/>
  </si>
  <si>
    <t>拌-蕃茄醬麵</t>
    <phoneticPr fontId="17" type="noConversion"/>
  </si>
  <si>
    <t>蒸蛤蜊-肉(112年)</t>
  </si>
  <si>
    <t>白酒蛤蜊義大利麵</t>
    <phoneticPr fontId="17" type="noConversion"/>
  </si>
  <si>
    <t>煮日製1.4義大利麵</t>
    <phoneticPr fontId="17" type="noConversion"/>
  </si>
  <si>
    <t>前月比</t>
  </si>
  <si>
    <t>製程不穩</t>
    <phoneticPr fontId="17" type="noConversion"/>
  </si>
  <si>
    <t>抓樣不穩</t>
  </si>
  <si>
    <t>奶油明太子細扁麵</t>
    <phoneticPr fontId="17" type="noConversion"/>
  </si>
  <si>
    <t>煮細扁麵</t>
    <phoneticPr fontId="17" type="noConversion"/>
  </si>
  <si>
    <t>抓樣不穩→人員教育訓練</t>
    <phoneticPr fontId="17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</si>
  <si>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</rPr>
      <t>-</t>
    </r>
    <r>
      <rPr>
        <sz val="11"/>
        <color theme="1"/>
        <rFont val="Arial"/>
        <family val="2"/>
        <charset val="136"/>
      </rPr>
      <t>海鮮湯凍</t>
    </r>
    <r>
      <rPr>
        <sz val="11"/>
        <color theme="1"/>
        <rFont val="Arial"/>
        <family val="2"/>
      </rPr>
      <t>(113</t>
    </r>
    <r>
      <rPr>
        <sz val="11"/>
        <color theme="1"/>
        <rFont val="Arial"/>
        <family val="2"/>
        <charset val="136"/>
      </rPr>
      <t>年</t>
    </r>
    <r>
      <rPr>
        <sz val="11"/>
        <color theme="1"/>
        <rFont val="Arial"/>
        <family val="2"/>
      </rPr>
      <t>)</t>
    </r>
    <phoneticPr fontId="17" type="noConversion"/>
  </si>
  <si>
    <r>
      <rPr>
        <sz val="11"/>
        <color theme="1"/>
        <rFont val="細明體"/>
        <family val="2"/>
        <charset val="136"/>
      </rPr>
      <t>蒸蛤蜊</t>
    </r>
    <r>
      <rPr>
        <sz val="11"/>
        <color theme="1"/>
        <rFont val="Arial"/>
        <family val="2"/>
      </rPr>
      <t>-</t>
    </r>
    <r>
      <rPr>
        <sz val="11"/>
        <color theme="1"/>
        <rFont val="Arial"/>
        <family val="2"/>
        <charset val="136"/>
      </rPr>
      <t>肉</t>
    </r>
    <r>
      <rPr>
        <sz val="11"/>
        <color theme="1"/>
        <rFont val="Arial"/>
        <family val="2"/>
      </rPr>
      <t>(112</t>
    </r>
    <r>
      <rPr>
        <sz val="11"/>
        <color theme="1"/>
        <rFont val="Arial"/>
        <family val="2"/>
        <charset val="136"/>
      </rPr>
      <t>年</t>
    </r>
    <r>
      <rPr>
        <sz val="11"/>
        <color theme="1"/>
        <rFont val="Arial"/>
        <family val="2"/>
      </rPr>
      <t>)</t>
    </r>
    <phoneticPr fontId="17" type="noConversion"/>
  </si>
  <si>
    <t>川燙青花菜(N7)</t>
    <phoneticPr fontId="17" type="noConversion"/>
  </si>
  <si>
    <t>原物料規格</t>
  </si>
  <si>
    <t>韓式辣醬肉丸義大利麵</t>
    <phoneticPr fontId="17" type="noConversion"/>
  </si>
  <si>
    <t>煮辣味肉丸子</t>
    <phoneticPr fontId="17" type="noConversion"/>
  </si>
  <si>
    <t>奶油蒜香雞義大利麵</t>
    <phoneticPr fontId="17" type="noConversion"/>
  </si>
  <si>
    <t>20切-烤香蒜腿丁</t>
    <phoneticPr fontId="17" type="noConversion"/>
  </si>
  <si>
    <t>奶油培根義大利麵</t>
    <phoneticPr fontId="17" type="noConversion"/>
  </si>
  <si>
    <t>切-烤重煙燻培根片(湖)15mm</t>
    <phoneticPr fontId="17" type="noConversion"/>
  </si>
  <si>
    <t>青花椒麻雞肉拌麵</t>
    <phoneticPr fontId="17" type="noConversion"/>
  </si>
  <si>
    <t>6切-烤調色青花椒棒腿肉</t>
    <phoneticPr fontId="17" type="noConversion"/>
  </si>
  <si>
    <t>研發設定</t>
  </si>
  <si>
    <t>韓式炸雞義大利麵</t>
    <phoneticPr fontId="17" type="noConversion"/>
  </si>
  <si>
    <t>拌韓式炸雞</t>
    <phoneticPr fontId="17" type="noConversion"/>
  </si>
  <si>
    <t>此半成品須拆兩種半成品混拌→醬減少，包裝55G~60G(現60G~65G)</t>
    <phoneticPr fontId="17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</si>
  <si>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7" type="noConversion"/>
  </si>
  <si>
    <t>No.</t>
  </si>
  <si>
    <t>規格</t>
  </si>
  <si>
    <t>實績</t>
    <phoneticPr fontId="14"/>
  </si>
  <si>
    <t>主要原因&amp;對策</t>
  </si>
  <si>
    <t>作業原因</t>
    <phoneticPr fontId="14"/>
  </si>
  <si>
    <t>原料原因</t>
    <phoneticPr fontId="14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</si>
  <si>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</si>
  <si>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</si>
  <si>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</si>
  <si>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</si>
  <si>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7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</si>
  <si>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7" type="noConversion"/>
  </si>
  <si>
    <t>次數</t>
    <phoneticPr fontId="17" type="noConversion"/>
  </si>
  <si>
    <t>備註-商品名稱</t>
  </si>
  <si>
    <t>分析原因（件）</t>
    <phoneticPr fontId="17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</si>
  <si>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</si>
  <si>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</si>
  <si>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</si>
  <si>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</si>
  <si>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</si>
  <si>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7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</si>
  <si>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</si>
  <si>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</si>
  <si>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</si>
  <si>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</si>
  <si>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7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</si>
  <si>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7" type="noConversion"/>
  </si>
  <si>
    <t>補單
(kg)</t>
  </si>
  <si>
    <t>補單占比</t>
    <phoneticPr fontId="17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</si>
  <si>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</si>
  <si>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</si>
  <si>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</si>
  <si>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</si>
  <si>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</si>
  <si>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</si>
  <si>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7" type="noConversion"/>
  </si>
  <si>
    <t>展開量105%</t>
    <phoneticPr fontId="17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</si>
  <si>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7" type="noConversion"/>
  </si>
  <si>
    <t>抓樣不穩</t>
    <phoneticPr fontId="17" type="noConversion"/>
  </si>
  <si>
    <t>原物料規格</t>
    <phoneticPr fontId="17" type="noConversion"/>
  </si>
  <si>
    <t>研發設定</t>
    <phoneticPr fontId="17" type="noConversion"/>
  </si>
  <si>
    <t>其他原因</t>
    <phoneticPr fontId="17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</si>
  <si>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7" type="noConversion"/>
  </si>
  <si>
    <t>拌韓式炸雞</t>
  </si>
  <si>
    <t>研發</t>
  </si>
  <si>
    <t>此半成品須拆兩種半成品混拌，製成率正常，炸雞為秤重物料55g以上，炸雞一塊9g以上</t>
    <phoneticPr fontId="17" type="noConversion"/>
  </si>
  <si>
    <t>韓式炸雞義大利麵</t>
  </si>
  <si>
    <t>w1</t>
    <phoneticPr fontId="17" type="noConversion"/>
  </si>
  <si>
    <t>義麵-蒜味奶油湯凍</t>
  </si>
  <si>
    <t>調理</t>
  </si>
  <si>
    <t>調理多產</t>
  </si>
  <si>
    <t>切-匈牙利雞胸排</t>
  </si>
  <si>
    <t>設定49g，組裝使用6塊</t>
    <phoneticPr fontId="17" type="noConversion"/>
  </si>
  <si>
    <t>茄豬肉醬</t>
  </si>
  <si>
    <t>w2</t>
  </si>
  <si>
    <t>烤重煙燻培根絲</t>
  </si>
  <si>
    <t>黑胡椒燻火腿義大利麵</t>
  </si>
  <si>
    <t>炒-煮蕃茄牛絞肉</t>
  </si>
  <si>
    <t>義式蕃茄起司義大利麵</t>
  </si>
  <si>
    <t>解凍黑胡椒燻豬肉卷(切片3mm)</t>
  </si>
  <si>
    <t>設定49g，組裝使用2片</t>
    <phoneticPr fontId="17" type="noConversion"/>
  </si>
  <si>
    <t>w3</t>
  </si>
  <si>
    <t>煮日製義大利麵(108)</t>
  </si>
  <si>
    <t>混蒜酥洋香菜(114年)</t>
  </si>
  <si>
    <t>w4</t>
  </si>
  <si>
    <t>生管預估</t>
  </si>
  <si>
    <t>其他原因</t>
  </si>
  <si>
    <t>預估&gt;實際</t>
    <phoneticPr fontId="17" type="noConversion"/>
  </si>
  <si>
    <t>拌-蕃茄醬麵</t>
  </si>
  <si>
    <t>w5</t>
  </si>
  <si>
    <t>義麵-蒜辣黑胡椒湯凍</t>
  </si>
  <si>
    <t>月合計</t>
    <phoneticPr fontId="17" type="noConversion"/>
  </si>
  <si>
    <t>炒蒜味蝦仁(8號)</t>
  </si>
  <si>
    <t>義麵-煙花女紅醬</t>
  </si>
  <si>
    <t>奶香白醬</t>
  </si>
  <si>
    <t>展開量高於１０5％</t>
  </si>
  <si>
    <t>義麵-韓式辣奶油白醬(114年)</t>
  </si>
  <si>
    <t>滷-切片高麗菜</t>
  </si>
  <si>
    <t>製程不穩</t>
  </si>
  <si>
    <t>義麵-海鮮湯凍(113年)</t>
  </si>
  <si>
    <t>切焗烤起司</t>
  </si>
  <si>
    <t>設定12g，組裝使用4片</t>
    <phoneticPr fontId="17" type="noConversion"/>
  </si>
  <si>
    <t>義麵-經典肉醬(114年)</t>
  </si>
  <si>
    <t>步留因素</t>
  </si>
  <si>
    <t>混拌浪花麵</t>
  </si>
  <si>
    <t>義麵-奶油海鮮白醬</t>
  </si>
  <si>
    <t>包裝</t>
  </si>
  <si>
    <t>義麵-拿坡里蕃茄醬</t>
  </si>
  <si>
    <t>原物料</t>
  </si>
  <si>
    <t>義麵-蒜味蝦醬</t>
  </si>
  <si>
    <t>此半成品須拆兩種半成品混拌，製成率正常，炸雞為秤重物料55g以上，炸雞一塊9g以上</t>
  </si>
  <si>
    <t>20切-烤香蒜腿丁</t>
  </si>
  <si>
    <t>解凍黑胡椒燻豬腿肉</t>
  </si>
  <si>
    <t>義麵-蛋黃白醬(113年)</t>
  </si>
  <si>
    <t>義麵-青醬(112)</t>
  </si>
  <si>
    <t>炒蝦仁(9號)</t>
  </si>
  <si>
    <t>預估差異過大，訂單與預估差500份</t>
    <phoneticPr fontId="17" type="noConversion"/>
  </si>
  <si>
    <t>川燙-甜不辣條</t>
  </si>
  <si>
    <t>12切-湖鹽德式香腸</t>
  </si>
  <si>
    <t>川燙青花菜(N7)</t>
  </si>
  <si>
    <t>煮日製1.4義大利麵</t>
  </si>
  <si>
    <t>香濃起司馬鈴薯</t>
  </si>
  <si>
    <t>切-烤重煙燻培根片(湖)15mm</t>
  </si>
  <si>
    <t>占比</t>
    <phoneticPr fontId="17" type="noConversion"/>
  </si>
  <si>
    <t>金額</t>
    <phoneticPr fontId="17" type="noConversion"/>
  </si>
  <si>
    <t>煮細扁麵</t>
  </si>
  <si>
    <t>義麵-韓式辣醬湯凍</t>
  </si>
  <si>
    <t>新品</t>
    <phoneticPr fontId="17" type="noConversion"/>
  </si>
  <si>
    <t>煮家傳炸醬湯凍</t>
  </si>
  <si>
    <t>瀝-煮蕃茄丁</t>
  </si>
  <si>
    <t>炒家傳炸醬肉燥</t>
  </si>
  <si>
    <t>炒芝麻海苔酥</t>
  </si>
  <si>
    <t>新品</t>
  </si>
  <si>
    <t>預估&gt;實際</t>
  </si>
  <si>
    <t>調理包-起司醬</t>
  </si>
  <si>
    <t>煮辣味肉丸子</t>
  </si>
  <si>
    <t>川燙油菜</t>
  </si>
  <si>
    <t>調理包-味噌醬</t>
  </si>
  <si>
    <t>一包72顆以上，組裝3顆</t>
    <phoneticPr fontId="17" type="noConversion"/>
  </si>
  <si>
    <t>一包12塊肉分切後18-20顆，組裝6顆</t>
    <phoneticPr fontId="17" type="noConversion"/>
  </si>
  <si>
    <t>1包6條分切後90-96片，組裝3片</t>
    <phoneticPr fontId="17" type="noConversion"/>
  </si>
  <si>
    <t>6切-烤調色青花椒棒腿肉</t>
  </si>
  <si>
    <t>一包25塊肉分切後45-50，組裝3塊肉</t>
    <phoneticPr fontId="17" type="noConversion"/>
  </si>
  <si>
    <t>清洗小黃瓜絲</t>
  </si>
  <si>
    <t>清洗胡蘿蔔絲</t>
  </si>
  <si>
    <t>滷味-湯凍</t>
  </si>
  <si>
    <t>川燙-切段油菜</t>
  </si>
  <si>
    <t>烤香料馬鈴薯</t>
  </si>
  <si>
    <t>解凍黑胡椒燻豬腿肉(湖)</t>
  </si>
  <si>
    <t>補料未使用完畢</t>
    <phoneticPr fontId="17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</si>
  <si>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</si>
  <si>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7" type="noConversion"/>
  </si>
  <si>
    <t>鮮食雙色起司絲</t>
  </si>
  <si>
    <t>F-生蒜包</t>
  </si>
  <si>
    <t>細切海苔 (2mm*5cm)</t>
  </si>
  <si>
    <t xml:space="preserve">	鮮食雙色起司絲</t>
  </si>
  <si>
    <t>羅馬諾羊乾酪絲</t>
  </si>
  <si>
    <t>煮青花椒湯凍(114年)</t>
  </si>
  <si>
    <t>煮土耳其筆尖麵(113年)</t>
  </si>
  <si>
    <t>紅切達起司絲</t>
  </si>
  <si>
    <t>切-奶油塊</t>
  </si>
  <si>
    <t>分切規格有誤，重新分切</t>
    <phoneticPr fontId="17" type="noConversion"/>
  </si>
  <si>
    <t>川燙-三角油豆腐</t>
  </si>
  <si>
    <t>瀝水-白蘿蔔塊</t>
  </si>
  <si>
    <t>甜不辣條設定4條48G，每條原物料實重10G，以白蘿蔔補量</t>
    <phoneticPr fontId="17" type="noConversion"/>
  </si>
  <si>
    <t xml:space="preserve">	F-生蒜包</t>
  </si>
  <si>
    <t>煮土耳其筆尖麵</t>
  </si>
  <si>
    <t>蒸珍珍蟹味絲CL</t>
  </si>
  <si>
    <t>甜不辣條設定4條48G，每條原物料實重10G，以白蘿蔔補量</t>
  </si>
  <si>
    <t>瀝-玉米粒</t>
  </si>
  <si>
    <t>解凍-YAMAYA明太子</t>
  </si>
  <si>
    <t>調理包二線支援</t>
    <phoneticPr fontId="17" type="noConversion"/>
  </si>
  <si>
    <t>煮白油麵(#2.5)</t>
  </si>
  <si>
    <t>甜不辣條不足重，使用白蘿蔔補重</t>
    <phoneticPr fontId="17" type="noConversion"/>
  </si>
  <si>
    <t>分切規格</t>
    <phoneticPr fontId="17" type="noConversion"/>
  </si>
  <si>
    <t>解凍玉子蛋絲</t>
  </si>
  <si>
    <t xml:space="preserve">	帕瑪森乾酪粉(500g)</t>
  </si>
  <si>
    <t>醬投入注餡機，立體袋掉落補料</t>
    <phoneticPr fontId="17" type="noConversion"/>
  </si>
  <si>
    <t>義麵-辣味奶醬</t>
  </si>
  <si>
    <t>甜不辣條不足重，使用白蘿蔔補重</t>
  </si>
  <si>
    <t>烤蒜味雞腿丁</t>
  </si>
  <si>
    <t>剝皮辣椒雞奶油細扁麵</t>
  </si>
  <si>
    <t>油炒剝皮辣椒段</t>
  </si>
  <si>
    <t>義麵-剝皮辣椒奶醬</t>
  </si>
  <si>
    <t>油炒辣椒糯米椒</t>
  </si>
  <si>
    <t>工廠名</t>
    <phoneticPr fontId="14"/>
  </si>
  <si>
    <t>・・・・・・・・</t>
  </si>
  <si>
    <t>（１）收支狀況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</si>
  <si>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4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</si>
  <si>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4"/>
  </si>
  <si>
    <t>飯糰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</si>
  <si>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4"/>
  </si>
  <si>
    <t>大口飯糰</t>
    <phoneticPr fontId="14"/>
  </si>
  <si>
    <t>半成品報廢</t>
    <phoneticPr fontId="14"/>
  </si>
  <si>
    <t>便當</t>
    <phoneticPr fontId="14"/>
  </si>
  <si>
    <t>半成品超用</t>
    <phoneticPr fontId="14"/>
  </si>
  <si>
    <t>調理麵</t>
    <phoneticPr fontId="14"/>
  </si>
  <si>
    <t>固定產線</t>
    <phoneticPr fontId="14"/>
  </si>
  <si>
    <t>調理麵包</t>
    <phoneticPr fontId="14"/>
  </si>
  <si>
    <t>-</t>
  </si>
  <si>
    <t>-%</t>
  </si>
  <si>
    <t>教育訓練</t>
    <phoneticPr fontId="14"/>
  </si>
  <si>
    <t>袋裝調理麵包</t>
    <phoneticPr fontId="14"/>
  </si>
  <si>
    <t>義大利麵</t>
    <phoneticPr fontId="14"/>
  </si>
  <si>
    <t>（５）品群別人時生產性</t>
    <phoneticPr fontId="14"/>
  </si>
  <si>
    <t>調理包</t>
    <phoneticPr fontId="14"/>
  </si>
  <si>
    <t>（７）原因別分析</t>
    <phoneticPr fontId="14"/>
  </si>
  <si>
    <t>規格原因</t>
    <phoneticPr fontId="14"/>
  </si>
  <si>
    <t>（６）人時生產性前幾名品項</t>
    <phoneticPr fontId="14"/>
  </si>
  <si>
    <t>人數</t>
    <phoneticPr fontId="14"/>
  </si>
  <si>
    <t>產能</t>
    <phoneticPr fontId="14"/>
  </si>
  <si>
    <t>人時生產性</t>
    <phoneticPr fontId="14"/>
  </si>
  <si>
    <t>（８）報廢原因別前幾名品項</t>
    <phoneticPr fontId="14"/>
  </si>
  <si>
    <t>手巻明太子</t>
  </si>
  <si>
    <t>減少暫時停止生產,人時UP</t>
    <phoneticPr fontId="14"/>
  </si>
  <si>
    <t>明太子海苔便當</t>
    <phoneticPr fontId="14"/>
  </si>
  <si>
    <t>油炸白身魚</t>
    <phoneticPr fontId="14"/>
  </si>
  <si>
    <t>油調過多報廢。變更條件。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</si>
  <si>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4"/>
  </si>
  <si>
    <t>手巻卵黄雞絞肉</t>
    <phoneticPr fontId="14"/>
  </si>
  <si>
    <t>6/30新商品</t>
  </si>
  <si>
    <t>因組裝2食材,人員增加,產速減少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</si>
  <si>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</si>
  <si>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4"/>
  </si>
  <si>
    <t>海老炒飯</t>
  </si>
  <si>
    <t>川燙蝦子拌醬</t>
    <phoneticPr fontId="14"/>
  </si>
  <si>
    <t>蝦子入數不足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</si>
  <si>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</si>
  <si>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4"/>
  </si>
  <si>
    <t>直巻明太子美奶茲</t>
    <phoneticPr fontId="14"/>
  </si>
  <si>
    <t>透由調整速度提升。</t>
    <phoneticPr fontId="14"/>
  </si>
  <si>
    <t>特製醬汁炙燒牛五花便當</t>
    <phoneticPr fontId="14"/>
  </si>
  <si>
    <t>牛五花醬汁</t>
    <phoneticPr fontId="14"/>
  </si>
  <si>
    <t>難度有差異。調理指導。</t>
    <phoneticPr fontId="14"/>
  </si>
  <si>
    <t>大口飯糰燒肉美奶滋</t>
    <phoneticPr fontId="14"/>
  </si>
  <si>
    <t>因摺疊增員。實施教育訓練。</t>
    <phoneticPr fontId="14"/>
  </si>
  <si>
    <t>牛五花燒成</t>
    <phoneticPr fontId="14"/>
  </si>
  <si>
    <t>因原料變更。</t>
    <phoneticPr fontId="14"/>
  </si>
  <si>
    <t>指導鋪開炒柴魚片</t>
    <phoneticPr fontId="14"/>
  </si>
  <si>
    <t>（９）歩留</t>
  </si>
  <si>
    <t>肉狀態不良，已連動開發</t>
    <phoneticPr fontId="14"/>
  </si>
  <si>
    <t>燒成過多，調整調理條件。</t>
    <phoneticPr fontId="14"/>
  </si>
  <si>
    <t>大口飯糰三種起司午餐肉</t>
    <phoneticPr fontId="14"/>
  </si>
  <si>
    <t>３種起司燒成</t>
    <phoneticPr fontId="14"/>
  </si>
  <si>
    <t>與燒成範本不同。</t>
    <phoneticPr fontId="14"/>
  </si>
  <si>
    <t>鮮食品群番</t>
    <phoneticPr fontId="17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</si>
  <si>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</si>
  <si>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</si>
  <si>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</si>
  <si>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</si>
  <si>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</si>
  <si>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</si>
  <si>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</si>
  <si>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</si>
  <si>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</si>
  <si>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</si>
  <si>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</si>
  <si>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</si>
  <si>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</si>
  <si>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</si>
  <si>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</si>
  <si>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</si>
  <si>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</si>
  <si>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</si>
  <si>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</si>
  <si>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</si>
  <si>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</si>
  <si>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</si>
  <si>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</si>
  <si>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</si>
  <si>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</si>
  <si>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</si>
  <si>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</si>
  <si>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</si>
  <si>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</si>
  <si>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</si>
  <si>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</si>
  <si>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</si>
  <si>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</si>
  <si>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</si>
  <si>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</si>
  <si>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</si>
  <si>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</si>
  <si>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</si>
  <si>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</si>
  <si>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便當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</si>
  <si>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</si>
  <si>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</si>
  <si>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</si>
  <si>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</si>
  <si>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</si>
  <si>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</si>
  <si>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</si>
  <si>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</si>
  <si>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</si>
  <si>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</si>
  <si>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</si>
  <si>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</si>
  <si>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</si>
  <si>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</si>
  <si>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</si>
  <si>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</si>
  <si>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</si>
  <si>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</si>
  <si>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</si>
  <si>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</si>
  <si>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</si>
  <si>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</si>
  <si>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</si>
  <si>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</si>
  <si>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</si>
  <si>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</si>
  <si>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</si>
  <si>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  <phoneticPr fontId="77" type="noConversion"/>
  </si>
  <si>
    <t>人數</t>
    <phoneticPr fontId="77" type="noConversion"/>
  </si>
  <si>
    <t>產能</t>
    <phoneticPr fontId="77" type="noConversion"/>
  </si>
  <si>
    <t>白酒蛤蜊義大利麵</t>
    <phoneticPr fontId="77" type="noConversion"/>
  </si>
  <si>
    <t>ET-600</t>
    <phoneticPr fontId="77" type="noConversion"/>
  </si>
  <si>
    <t>白酒蛤蜊義大利麵-手</t>
    <phoneticPr fontId="77" type="noConversion"/>
  </si>
  <si>
    <t>ET-55</t>
    <phoneticPr fontId="77" type="noConversion"/>
  </si>
  <si>
    <t>熱那亞青醬義大利麵</t>
    <phoneticPr fontId="77" type="noConversion"/>
  </si>
  <si>
    <t>義式蕃茄起司義大利麵</t>
    <phoneticPr fontId="77" type="noConversion"/>
  </si>
  <si>
    <t>焗烤起司雙饗筆尖麵</t>
    <phoneticPr fontId="77" type="noConversion"/>
  </si>
  <si>
    <t>奶油培根義大利麵</t>
    <phoneticPr fontId="77" type="noConversion"/>
  </si>
  <si>
    <t>韓式起司炸雞義大利麵</t>
    <phoneticPr fontId="77" type="noConversion"/>
  </si>
  <si>
    <t>奶油明太子細扁麵-降速生產</t>
    <phoneticPr fontId="77" type="noConversion"/>
  </si>
  <si>
    <t>黑胡椒燻豬腿義大利麵-降速生產</t>
    <phoneticPr fontId="77" type="noConversion"/>
  </si>
  <si>
    <t>煙花女義大利麵-自動</t>
    <phoneticPr fontId="77" type="noConversion"/>
  </si>
  <si>
    <t>煙花女義大利麵</t>
    <phoneticPr fontId="77" type="noConversion"/>
  </si>
  <si>
    <t>羊乳起司培根筆尖麵</t>
    <phoneticPr fontId="77" type="noConversion"/>
  </si>
  <si>
    <t>青花椒麻雞肉拌麵</t>
    <phoneticPr fontId="77" type="noConversion"/>
  </si>
  <si>
    <t>奶油蒜香雞義大利麵</t>
    <phoneticPr fontId="77" type="noConversion"/>
  </si>
  <si>
    <t>奶油蒜香雞義大利麵-降速生產</t>
    <phoneticPr fontId="77" type="noConversion"/>
  </si>
  <si>
    <t>起司馬鈴薯</t>
    <phoneticPr fontId="77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</si>
  <si>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77" type="noConversion"/>
  </si>
  <si>
    <t>台式綜合甜不辣</t>
    <phoneticPr fontId="77" type="noConversion"/>
  </si>
  <si>
    <t>煙花女義大利麵-手工</t>
    <phoneticPr fontId="77" type="noConversion"/>
  </si>
  <si>
    <t>韓式辣醬肉丸義大利麵</t>
    <phoneticPr fontId="77" type="noConversion"/>
  </si>
  <si>
    <t>家傳炸醬麵</t>
    <phoneticPr fontId="7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</si>
</sst>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_-* #,##0.0_-;\-* #,##0.0_-;_-* &quot;-&quot;??_-;_-@_-"/>
  </numFmts>
  <fonts count="9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5">
    <xf numFmtId="0" fontId="0" fillId="0" borderId="0"/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  <xf numFmtId="9" fontId="13" fillId="0" borderId="0" applyFont="0" applyFill="0" applyBorder="0" applyAlignment="0" applyProtection="0"/>
    <xf numFmtId="0" fontId="28" fillId="0" borderId="0"/>
    <xf numFmtId="0" fontId="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8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25">
    <xf numFmtId="0" fontId="0" fillId="0" borderId="0" xfId="0"/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" xfId="0" applyFont="1" applyBorder="1" applyAlignment="1">
      <alignment horizontal="right" shrinkToFit="1"/>
    </xf>
    <xf numFmtId="0" fontId="11" fillId="0" borderId="1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3" fontId="11" fillId="0" borderId="1" xfId="0" applyNumberFormat="1" applyFont="1" applyBorder="1" applyAlignment="1">
      <alignment shrinkToFit="1"/>
    </xf>
    <xf numFmtId="3" fontId="11" fillId="3" borderId="1" xfId="0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right" shrinkToFit="1"/>
    </xf>
    <xf numFmtId="10" fontId="11" fillId="2" borderId="1" xfId="0" applyNumberFormat="1" applyFont="1" applyFill="1" applyBorder="1" applyAlignment="1">
      <alignment horizontal="right" shrinkToFit="1"/>
    </xf>
    <xf numFmtId="10" fontId="11" fillId="3" borderId="1" xfId="0" applyNumberFormat="1" applyFont="1" applyFill="1" applyBorder="1" applyAlignment="1">
      <alignment shrinkToFit="1"/>
    </xf>
    <xf numFmtId="10" fontId="11" fillId="0" borderId="1" xfId="0" applyNumberFormat="1" applyFont="1" applyBorder="1" applyAlignment="1">
      <alignment shrinkToFit="1"/>
    </xf>
    <xf numFmtId="10" fontId="12" fillId="0" borderId="0" xfId="0" applyNumberFormat="1" applyFont="1" applyAlignment="1">
      <alignment shrinkToFit="1"/>
    </xf>
    <xf numFmtId="0" fontId="11" fillId="3" borderId="1" xfId="0" applyFont="1" applyFill="1" applyBorder="1" applyAlignment="1">
      <alignment shrinkToFit="1"/>
    </xf>
    <xf numFmtId="4" fontId="11" fillId="0" borderId="1" xfId="0" applyNumberFormat="1" applyFont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2" fillId="0" borderId="8" xfId="0" applyFont="1" applyBorder="1" applyAlignment="1">
      <alignment shrinkToFit="1"/>
    </xf>
    <xf numFmtId="0" fontId="11" fillId="0" borderId="5" xfId="0" applyFont="1" applyBorder="1" applyAlignment="1">
      <alignment shrinkToFit="1"/>
    </xf>
    <xf numFmtId="0" fontId="11" fillId="0" borderId="14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10" fontId="11" fillId="0" borderId="5" xfId="0" applyNumberFormat="1" applyFont="1" applyBorder="1" applyAlignment="1">
      <alignment shrinkToFit="1"/>
    </xf>
    <xf numFmtId="0" fontId="11" fillId="3" borderId="5" xfId="0" applyFont="1" applyFill="1" applyBorder="1" applyAlignment="1">
      <alignment shrinkToFit="1"/>
    </xf>
    <xf numFmtId="0" fontId="11" fillId="2" borderId="15" xfId="0" applyFont="1" applyFill="1" applyBorder="1" applyAlignment="1">
      <alignment shrinkToFit="1"/>
    </xf>
    <xf numFmtId="10" fontId="11" fillId="3" borderId="17" xfId="0" applyNumberFormat="1" applyFont="1" applyFill="1" applyBorder="1" applyAlignment="1">
      <alignment shrinkToFit="1"/>
    </xf>
    <xf numFmtId="0" fontId="11" fillId="3" borderId="18" xfId="0" applyFont="1" applyFill="1" applyBorder="1" applyAlignment="1">
      <alignment shrinkToFit="1"/>
    </xf>
    <xf numFmtId="0" fontId="11" fillId="0" borderId="6" xfId="0" applyFont="1" applyBorder="1" applyAlignment="1">
      <alignment shrinkToFit="1"/>
    </xf>
    <xf numFmtId="10" fontId="11" fillId="0" borderId="6" xfId="0" applyNumberFormat="1" applyFont="1" applyBorder="1" applyAlignment="1">
      <alignment shrinkToFit="1"/>
    </xf>
    <xf numFmtId="0" fontId="11" fillId="3" borderId="6" xfId="0" applyFont="1" applyFill="1" applyBorder="1" applyAlignment="1">
      <alignment shrinkToFit="1"/>
    </xf>
    <xf numFmtId="10" fontId="11" fillId="0" borderId="0" xfId="0" applyNumberFormat="1" applyFont="1" applyAlignment="1">
      <alignment shrinkToFit="1"/>
    </xf>
    <xf numFmtId="10" fontId="11" fillId="2" borderId="1" xfId="0" applyNumberFormat="1" applyFont="1" applyFill="1" applyBorder="1" applyAlignment="1">
      <alignment shrinkToFit="1"/>
    </xf>
    <xf numFmtId="0" fontId="11" fillId="3" borderId="7" xfId="0" applyFont="1" applyFill="1" applyBorder="1" applyAlignment="1">
      <alignment shrinkToFit="1"/>
    </xf>
    <xf numFmtId="10" fontId="11" fillId="3" borderId="5" xfId="0" applyNumberFormat="1" applyFont="1" applyFill="1" applyBorder="1" applyAlignment="1">
      <alignment shrinkToFit="1"/>
    </xf>
    <xf numFmtId="0" fontId="11" fillId="0" borderId="11" xfId="0" applyFont="1" applyBorder="1" applyAlignment="1">
      <alignment shrinkToFit="1"/>
    </xf>
    <xf numFmtId="10" fontId="11" fillId="0" borderId="14" xfId="0" applyNumberFormat="1" applyFont="1" applyBorder="1" applyAlignment="1">
      <alignment shrinkToFit="1"/>
    </xf>
    <xf numFmtId="10" fontId="11" fillId="3" borderId="14" xfId="0" applyNumberFormat="1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5" fillId="0" borderId="1" xfId="0" applyFont="1" applyBorder="1" applyAlignment="1">
      <alignment shrinkToFit="1"/>
    </xf>
    <xf numFmtId="0" fontId="15" fillId="2" borderId="1" xfId="0" applyFont="1" applyFill="1" applyBorder="1" applyAlignment="1">
      <alignment horizontal="left" shrinkToFit="1"/>
    </xf>
    <xf numFmtId="0" fontId="16" fillId="2" borderId="1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23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16" xfId="0" applyFont="1" applyFill="1" applyBorder="1" applyAlignment="1">
      <alignment shrinkToFit="1"/>
    </xf>
    <xf numFmtId="0" fontId="15" fillId="4" borderId="0" xfId="0" applyFont="1" applyFill="1"/>
    <xf numFmtId="0" fontId="16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11" fillId="4" borderId="0" xfId="0" applyFont="1" applyFill="1"/>
    <xf numFmtId="10" fontId="11" fillId="4" borderId="0" xfId="0" applyNumberFormat="1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1" fillId="2" borderId="24" xfId="0" applyFont="1" applyFill="1" applyBorder="1" applyAlignment="1">
      <alignment shrinkToFit="1"/>
    </xf>
    <xf numFmtId="0" fontId="16" fillId="0" borderId="11" xfId="0" applyFont="1" applyBorder="1" applyAlignment="1">
      <alignment horizontal="right" shrinkToFit="1"/>
    </xf>
    <xf numFmtId="0" fontId="16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18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5" fillId="0" borderId="0" xfId="0" applyFont="1"/>
    <xf numFmtId="177" fontId="30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2" fillId="0" borderId="0" xfId="0" applyFont="1" applyAlignment="1">
      <alignment shrinkToFit="1"/>
    </xf>
    <xf numFmtId="0" fontId="52" fillId="0" borderId="0" xfId="0" applyFont="1" applyAlignment="1">
      <alignment shrinkToFit="1"/>
    </xf>
    <xf numFmtId="0" fontId="30" fillId="0" borderId="0" xfId="0" applyFont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30" fillId="0" borderId="0" xfId="0" applyFont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4" fontId="32" fillId="0" borderId="22" xfId="0" applyNumberFormat="1" applyFont="1" applyBorder="1" applyAlignment="1">
      <alignment shrinkToFit="1"/>
    </xf>
    <xf numFmtId="0" fontId="32" fillId="4" borderId="0" xfId="0" applyFont="1" applyFill="1" applyAlignment="1">
      <alignment shrinkToFit="1"/>
    </xf>
    <xf numFmtId="0" fontId="55" fillId="0" borderId="0" xfId="0" applyFont="1"/>
    <xf numFmtId="0" fontId="57" fillId="0" borderId="0" xfId="0" applyFont="1"/>
    <xf numFmtId="10" fontId="52" fillId="0" borderId="0" xfId="0" applyNumberFormat="1" applyFont="1" applyAlignment="1">
      <alignment shrinkToFit="1"/>
    </xf>
    <xf numFmtId="0" fontId="53" fillId="0" borderId="0" xfId="0" applyFont="1"/>
    <xf numFmtId="0" fontId="58" fillId="0" borderId="22" xfId="0" applyFont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3" fontId="32" fillId="0" borderId="22" xfId="0" applyNumberFormat="1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4" fontId="32" fillId="0" borderId="22" xfId="0" applyNumberFormat="1" applyFont="1" applyBorder="1" applyAlignment="1">
      <alignment horizontal="right" shrinkToFit="1"/>
    </xf>
    <xf numFmtId="10" fontId="32" fillId="0" borderId="22" xfId="0" applyNumberFormat="1" applyFont="1" applyBorder="1" applyAlignment="1">
      <alignment horizontal="right" shrinkToFit="1"/>
    </xf>
    <xf numFmtId="0" fontId="52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horizontal="center" shrinkToFit="1"/>
    </xf>
    <xf numFmtId="0" fontId="11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1" fillId="0" borderId="0" xfId="0" applyFont="1" applyAlignment="1">
      <alignment horizontal="right" shrinkToFit="1"/>
    </xf>
    <xf numFmtId="0" fontId="15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62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62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40" fillId="0" borderId="34" xfId="0" applyFont="1" applyBorder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40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0" fillId="0" borderId="0" xfId="11" applyFont="1" applyAlignment="1">
      <alignment shrinkToFit="1"/>
    </xf>
    <xf numFmtId="0" fontId="30" fillId="4" borderId="0" xfId="11" applyFont="1" applyFill="1" applyAlignment="1">
      <alignment shrinkToFit="1"/>
    </xf>
    <xf numFmtId="0" fontId="53" fillId="0" borderId="0" xfId="11" applyFont="1" applyAlignment="1">
      <alignment shrinkToFit="1"/>
    </xf>
    <xf numFmtId="184" fontId="67" fillId="0" borderId="0" xfId="11" applyNumberFormat="1" applyFont="1" applyAlignment="1">
      <alignment shrinkToFit="1"/>
    </xf>
    <xf numFmtId="0" fontId="52" fillId="0" borderId="6" xfId="11" applyFont="1" applyBorder="1" applyAlignment="1">
      <alignment horizontal="center" shrinkToFit="1"/>
    </xf>
    <xf numFmtId="3" fontId="41" fillId="0" borderId="6" xfId="11" applyNumberFormat="1" applyFont="1" applyBorder="1" applyAlignment="1">
      <alignment shrinkToFit="1"/>
    </xf>
    <xf numFmtId="10" fontId="41" fillId="0" borderId="6" xfId="11" applyNumberFormat="1" applyFont="1" applyBorder="1" applyAlignment="1">
      <alignment shrinkToFit="1"/>
    </xf>
    <xf numFmtId="3" fontId="32" fillId="0" borderId="22" xfId="11" applyNumberFormat="1" applyFont="1" applyBorder="1" applyAlignment="1">
      <alignment shrinkToFit="1"/>
    </xf>
    <xf numFmtId="10" fontId="32" fillId="0" borderId="22" xfId="11" applyNumberFormat="1" applyFont="1" applyBorder="1" applyAlignment="1">
      <alignment shrinkToFit="1"/>
    </xf>
    <xf numFmtId="0" fontId="52" fillId="0" borderId="1" xfId="11" applyFont="1" applyBorder="1" applyAlignment="1">
      <alignment horizontal="center" shrinkToFit="1"/>
    </xf>
    <xf numFmtId="3" fontId="41" fillId="0" borderId="1" xfId="11" applyNumberFormat="1" applyFont="1" applyBorder="1" applyAlignment="1">
      <alignment shrinkToFit="1"/>
    </xf>
    <xf numFmtId="0" fontId="35" fillId="0" borderId="0" xfId="11" applyFont="1"/>
    <xf numFmtId="0" fontId="35" fillId="0" borderId="0" xfId="11" applyFont="1" applyAlignment="1">
      <alignment vertical="center"/>
    </xf>
    <xf numFmtId="0" fontId="35" fillId="0" borderId="22" xfId="11" applyFont="1" applyBorder="1"/>
    <xf numFmtId="1" fontId="35" fillId="0" borderId="22" xfId="11" applyNumberFormat="1" applyFont="1" applyBorder="1"/>
    <xf numFmtId="185" fontId="35" fillId="0" borderId="22" xfId="13" applyNumberFormat="1" applyFont="1" applyFill="1" applyBorder="1" applyAlignment="1"/>
    <xf numFmtId="0" fontId="35" fillId="0" borderId="0" xfId="11" applyFont="1" applyAlignment="1">
      <alignment horizontal="center"/>
    </xf>
    <xf numFmtId="9" fontId="70" fillId="0" borderId="0" xfId="13" applyFont="1" applyFill="1" applyAlignment="1"/>
    <xf numFmtId="0" fontId="35" fillId="0" borderId="0" xfId="11" applyFont="1" applyAlignment="1">
      <alignment horizontal="center" vertical="center"/>
    </xf>
    <xf numFmtId="1" fontId="41" fillId="0" borderId="22" xfId="11" applyNumberFormat="1" applyFont="1" applyBorder="1"/>
    <xf numFmtId="0" fontId="41" fillId="0" borderId="22" xfId="11" applyFont="1" applyBorder="1"/>
    <xf numFmtId="185" fontId="41" fillId="0" borderId="22" xfId="13" applyNumberFormat="1" applyFont="1" applyFill="1" applyBorder="1" applyAlignment="1"/>
    <xf numFmtId="0" fontId="41" fillId="5" borderId="22" xfId="12" applyFont="1" applyFill="1" applyBorder="1" applyAlignment="1">
      <alignment horizontal="center" vertical="center" wrapText="1"/>
    </xf>
    <xf numFmtId="0" fontId="41" fillId="5" borderId="22" xfId="12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/>
    </xf>
    <xf numFmtId="185" fontId="41" fillId="9" borderId="22" xfId="14" applyNumberFormat="1" applyFont="1" applyFill="1" applyBorder="1" applyAlignment="1"/>
    <xf numFmtId="185" fontId="41" fillId="9" borderId="22" xfId="13" applyNumberFormat="1" applyFont="1" applyFill="1" applyBorder="1" applyAlignment="1"/>
    <xf numFmtId="1" fontId="0" fillId="0" borderId="31" xfId="0" applyNumberFormat="1" applyBorder="1" applyAlignment="1">
      <alignment horizontal="center" vertical="center"/>
    </xf>
    <xf numFmtId="0" fontId="40" fillId="0" borderId="32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11" fillId="0" borderId="0" xfId="5"/>
    <xf numFmtId="0" fontId="73" fillId="9" borderId="30" xfId="5" applyFont="1" applyFill="1" applyBorder="1"/>
    <xf numFmtId="0" fontId="73" fillId="0" borderId="0" xfId="5" applyFont="1"/>
    <xf numFmtId="0" fontId="73" fillId="0" borderId="22" xfId="5" applyFont="1" applyBorder="1"/>
    <xf numFmtId="0" fontId="73" fillId="9" borderId="22" xfId="5" applyFont="1" applyFill="1" applyBorder="1"/>
    <xf numFmtId="185" fontId="30" fillId="0" borderId="0" xfId="0" applyNumberFormat="1" applyFont="1"/>
    <xf numFmtId="0" fontId="32" fillId="0" borderId="22" xfId="11" applyFont="1" applyBorder="1" applyAlignment="1">
      <alignment horizontal="center" vertical="center" shrinkToFit="1"/>
    </xf>
    <xf numFmtId="0" fontId="41" fillId="5" borderId="23" xfId="5" applyFont="1" applyFill="1" applyBorder="1" applyAlignment="1">
      <alignment horizontal="center" vertical="center"/>
    </xf>
    <xf numFmtId="0" fontId="74" fillId="0" borderId="0" xfId="0" applyFont="1" applyAlignment="1">
      <alignment vertical="center"/>
    </xf>
    <xf numFmtId="0" fontId="35" fillId="0" borderId="41" xfId="11" applyFont="1" applyBorder="1"/>
    <xf numFmtId="1" fontId="35" fillId="0" borderId="41" xfId="11" applyNumberFormat="1" applyFont="1" applyBorder="1"/>
    <xf numFmtId="0" fontId="75" fillId="0" borderId="0" xfId="11" applyFont="1"/>
    <xf numFmtId="1" fontId="70" fillId="0" borderId="41" xfId="11" applyNumberFormat="1" applyFont="1" applyBorder="1"/>
    <xf numFmtId="0" fontId="35" fillId="5" borderId="23" xfId="11" applyFont="1" applyFill="1" applyBorder="1" applyAlignment="1">
      <alignment horizontal="center" vertical="center"/>
    </xf>
    <xf numFmtId="0" fontId="81" fillId="0" borderId="22" xfId="11" applyFont="1" applyBorder="1"/>
    <xf numFmtId="2" fontId="41" fillId="0" borderId="22" xfId="11" applyNumberFormat="1" applyFont="1" applyBorder="1"/>
    <xf numFmtId="0" fontId="84" fillId="0" borderId="22" xfId="11" applyFont="1" applyBorder="1"/>
    <xf numFmtId="0" fontId="82" fillId="0" borderId="22" xfId="0" applyFont="1" applyBorder="1" applyAlignment="1">
      <alignment shrinkToFit="1"/>
    </xf>
    <xf numFmtId="183" fontId="41" fillId="0" borderId="22" xfId="11" applyNumberFormat="1" applyFont="1" applyBorder="1"/>
    <xf numFmtId="183" fontId="35" fillId="0" borderId="22" xfId="11" applyNumberFormat="1" applyFont="1" applyBorder="1"/>
    <xf numFmtId="0" fontId="85" fillId="0" borderId="22" xfId="11" applyFont="1" applyBorder="1"/>
    <xf numFmtId="0" fontId="85" fillId="0" borderId="0" xfId="11" applyFont="1"/>
    <xf numFmtId="0" fontId="81" fillId="0" borderId="0" xfId="11" applyFont="1"/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1" fillId="3" borderId="1" xfId="0" applyNumberFormat="1" applyFont="1" applyFill="1" applyBorder="1" applyAlignment="1">
      <alignment shrinkToFit="1"/>
    </xf>
    <xf numFmtId="183" fontId="11" fillId="3" borderId="5" xfId="0" applyNumberFormat="1" applyFont="1" applyFill="1" applyBorder="1" applyAlignment="1">
      <alignment shrinkToFit="1"/>
    </xf>
    <xf numFmtId="0" fontId="42" fillId="0" borderId="22" xfId="42" applyFont="1" applyBorder="1" applyAlignment="1">
      <alignment horizontal="center" vertical="center"/>
    </xf>
    <xf numFmtId="0" fontId="42" fillId="0" borderId="0" xfId="42" applyFont="1" applyAlignment="1">
      <alignment horizontal="center" vertical="center"/>
    </xf>
    <xf numFmtId="0" fontId="4" fillId="0" borderId="0" xfId="42">
      <alignment vertical="center"/>
    </xf>
    <xf numFmtId="0" fontId="78" fillId="0" borderId="0" xfId="42" applyFont="1" applyAlignment="1">
      <alignment horizontal="center" vertical="center"/>
    </xf>
    <xf numFmtId="186" fontId="30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11" applyFont="1" applyAlignment="1">
      <alignment horizontal="left" vertical="center"/>
    </xf>
    <xf numFmtId="0" fontId="74" fillId="0" borderId="0" xfId="11" applyFont="1" applyAlignment="1">
      <alignment vertical="center"/>
    </xf>
    <xf numFmtId="183" fontId="28" fillId="0" borderId="0" xfId="11" applyNumberFormat="1" applyAlignment="1">
      <alignment horizontal="center" vertical="center"/>
    </xf>
    <xf numFmtId="0" fontId="28" fillId="0" borderId="0" xfId="11" applyAlignment="1">
      <alignment horizontal="center" vertical="center"/>
    </xf>
    <xf numFmtId="0" fontId="28" fillId="0" borderId="0" xfId="11" applyAlignment="1">
      <alignment vertical="center"/>
    </xf>
    <xf numFmtId="0" fontId="30" fillId="0" borderId="0" xfId="11" applyFont="1" applyAlignment="1">
      <alignment vertical="center"/>
    </xf>
    <xf numFmtId="0" fontId="40" fillId="0" borderId="0" xfId="11" applyFont="1" applyAlignment="1">
      <alignment horizontal="left" vertical="center"/>
    </xf>
    <xf numFmtId="0" fontId="40" fillId="0" borderId="34" xfId="11" applyFont="1" applyBorder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40" fillId="0" borderId="36" xfId="11" applyFont="1" applyBorder="1" applyAlignment="1">
      <alignment horizontal="left" vertical="center"/>
    </xf>
    <xf numFmtId="0" fontId="30" fillId="0" borderId="0" xfId="11" applyFont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" fontId="28" fillId="0" borderId="22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1" fontId="28" fillId="0" borderId="31" xfId="11" applyNumberFormat="1" applyBorder="1" applyAlignment="1">
      <alignment horizontal="center" vertical="center"/>
    </xf>
    <xf numFmtId="0" fontId="76" fillId="0" borderId="22" xfId="11" applyFon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0" fillId="0" borderId="32" xfId="11" applyFont="1" applyBorder="1" applyAlignment="1">
      <alignment horizontal="left" vertical="center"/>
    </xf>
    <xf numFmtId="0" fontId="76" fillId="0" borderId="22" xfId="0" applyFont="1" applyBorder="1" applyAlignment="1">
      <alignment horizontal="center" vertical="center"/>
    </xf>
    <xf numFmtId="176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/>
    </xf>
    <xf numFmtId="185" fontId="30" fillId="0" borderId="0" xfId="0" applyNumberFormat="1" applyFont="1" applyAlignment="1">
      <alignment horizontal="center"/>
    </xf>
    <xf numFmtId="179" fontId="88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vertical="center"/>
    </xf>
    <xf numFmtId="187" fontId="41" fillId="0" borderId="22" xfId="54" applyNumberFormat="1" applyFont="1" applyBorder="1" applyAlignment="1"/>
    <xf numFmtId="187" fontId="35" fillId="0" borderId="22" xfId="54" applyNumberFormat="1" applyFont="1" applyBorder="1" applyAlignment="1"/>
    <xf numFmtId="0" fontId="42" fillId="0" borderId="22" xfId="0" applyFont="1" applyBorder="1" applyAlignment="1">
      <alignment horizontal="center" vertical="center"/>
    </xf>
    <xf numFmtId="0" fontId="1" fillId="0" borderId="0" xfId="42" applyFont="1">
      <alignment vertical="center"/>
    </xf>
    <xf numFmtId="8" fontId="30" fillId="0" borderId="0" xfId="0" applyNumberFormat="1" applyFont="1" applyAlignment="1">
      <alignment horizontal="center"/>
    </xf>
    <xf numFmtId="185" fontId="11" fillId="0" borderId="1" xfId="14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" fontId="93" fillId="0" borderId="22" xfId="11" applyNumberFormat="1" applyFont="1" applyBorder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10" fontId="73" fillId="0" borderId="22" xfId="0" applyNumberFormat="1" applyFont="1" applyBorder="1" applyAlignment="1">
      <alignment shrinkToFit="1"/>
    </xf>
    <xf numFmtId="10" fontId="30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177" fontId="30" fillId="0" borderId="37" xfId="0" applyNumberFormat="1" applyFont="1" applyBorder="1"/>
    <xf numFmtId="10" fontId="30" fillId="0" borderId="37" xfId="0" applyNumberFormat="1" applyFont="1" applyBorder="1"/>
    <xf numFmtId="185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vertical="center"/>
    </xf>
    <xf numFmtId="183" fontId="82" fillId="0" borderId="22" xfId="0" applyNumberFormat="1" applyFont="1" applyBorder="1" applyAlignment="1">
      <alignment shrinkToFit="1"/>
    </xf>
    <xf numFmtId="186" fontId="30" fillId="0" borderId="22" xfId="0" applyNumberFormat="1" applyFont="1" applyBorder="1"/>
    <xf numFmtId="0" fontId="49" fillId="0" borderId="0" xfId="0" applyFont="1" applyAlignment="1">
      <alignment horizontal="center" vertical="center" shrinkToFit="1"/>
    </xf>
    <xf numFmtId="0" fontId="89" fillId="9" borderId="22" xfId="0" applyFont="1" applyFill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176" fontId="30" fillId="0" borderId="0" xfId="0" applyNumberFormat="1" applyFont="1" applyAlignment="1">
      <alignment horizontal="center"/>
    </xf>
    <xf numFmtId="8" fontId="30" fillId="0" borderId="0" xfId="0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76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86" fontId="30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horizontal="center" vertical="center"/>
    </xf>
    <xf numFmtId="8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/>
    </xf>
    <xf numFmtId="185" fontId="30" fillId="0" borderId="0" xfId="0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182" fontId="31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6" fontId="30" fillId="0" borderId="0" xfId="0" applyNumberFormat="1" applyFont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77" fontId="36" fillId="0" borderId="22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83" fontId="28" fillId="0" borderId="31" xfId="11" applyNumberFormat="1" applyBorder="1" applyAlignment="1">
      <alignment horizontal="center" vertical="center"/>
    </xf>
    <xf numFmtId="183" fontId="28" fillId="0" borderId="33" xfId="11" applyNumberFormat="1" applyBorder="1" applyAlignment="1">
      <alignment horizontal="center" vertical="center"/>
    </xf>
    <xf numFmtId="183" fontId="28" fillId="0" borderId="35" xfId="11" applyNumberForma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38" fillId="0" borderId="27" xfId="11" applyFont="1" applyBorder="1" applyAlignment="1">
      <alignment horizontal="center" vertical="center"/>
    </xf>
    <xf numFmtId="0" fontId="38" fillId="0" borderId="28" xfId="11" applyFont="1" applyBorder="1" applyAlignment="1">
      <alignment horizontal="center" vertical="center"/>
    </xf>
    <xf numFmtId="0" fontId="38" fillId="0" borderId="25" xfId="11" applyFont="1" applyBorder="1" applyAlignment="1">
      <alignment horizontal="center" vertical="center"/>
    </xf>
    <xf numFmtId="179" fontId="38" fillId="0" borderId="22" xfId="11" applyNumberFormat="1" applyFont="1" applyBorder="1" applyAlignment="1">
      <alignment horizontal="center" vertical="center"/>
    </xf>
    <xf numFmtId="0" fontId="76" fillId="0" borderId="22" xfId="11" applyFont="1" applyBorder="1" applyAlignment="1">
      <alignment horizontal="center" vertical="center"/>
    </xf>
    <xf numFmtId="0" fontId="38" fillId="0" borderId="31" xfId="11" applyFont="1" applyBorder="1" applyAlignment="1">
      <alignment horizontal="center" vertical="center"/>
    </xf>
    <xf numFmtId="0" fontId="38" fillId="0" borderId="33" xfId="11" applyFont="1" applyBorder="1" applyAlignment="1">
      <alignment horizontal="center" vertical="center"/>
    </xf>
    <xf numFmtId="0" fontId="38" fillId="0" borderId="35" xfId="11" applyFont="1" applyBorder="1" applyAlignment="1">
      <alignment horizontal="center" vertical="center"/>
    </xf>
    <xf numFmtId="0" fontId="38" fillId="0" borderId="23" xfId="11" applyFont="1" applyBorder="1" applyAlignment="1">
      <alignment horizontal="center" vertical="center"/>
    </xf>
    <xf numFmtId="0" fontId="38" fillId="0" borderId="29" xfId="11" applyFont="1" applyBorder="1" applyAlignment="1">
      <alignment horizontal="center" vertical="center"/>
    </xf>
    <xf numFmtId="0" fontId="38" fillId="0" borderId="30" xfId="11" applyFont="1" applyBorder="1" applyAlignment="1">
      <alignment horizontal="center" vertical="center"/>
    </xf>
    <xf numFmtId="0" fontId="80" fillId="0" borderId="0" xfId="11" applyFont="1" applyAlignment="1">
      <alignment horizontal="left" vertical="center"/>
    </xf>
    <xf numFmtId="0" fontId="40" fillId="0" borderId="0" xfId="11" applyFont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39" fillId="0" borderId="37" xfId="11" applyFont="1" applyBorder="1" applyAlignment="1">
      <alignment horizontal="left" vertical="center"/>
    </xf>
    <xf numFmtId="0" fontId="40" fillId="0" borderId="37" xfId="11" applyFont="1" applyBorder="1" applyAlignment="1">
      <alignment horizontal="left" vertical="center"/>
    </xf>
    <xf numFmtId="0" fontId="39" fillId="0" borderId="0" xfId="11" applyFont="1" applyAlignment="1">
      <alignment horizontal="left" vertical="center"/>
    </xf>
    <xf numFmtId="0" fontId="28" fillId="0" borderId="23" xfId="11" applyBorder="1" applyAlignment="1">
      <alignment horizontal="center" vertical="center"/>
    </xf>
    <xf numFmtId="0" fontId="28" fillId="0" borderId="29" xfId="11" applyBorder="1" applyAlignment="1">
      <alignment horizontal="center" vertical="center"/>
    </xf>
    <xf numFmtId="0" fontId="28" fillId="0" borderId="30" xfId="11" applyBorder="1" applyAlignment="1">
      <alignment horizontal="center" vertical="center"/>
    </xf>
    <xf numFmtId="183" fontId="28" fillId="0" borderId="23" xfId="11" applyNumberFormat="1" applyBorder="1" applyAlignment="1">
      <alignment horizontal="center" vertical="center"/>
    </xf>
    <xf numFmtId="183" fontId="28" fillId="0" borderId="29" xfId="11" applyNumberFormat="1" applyBorder="1" applyAlignment="1">
      <alignment horizontal="center" vertical="center"/>
    </xf>
    <xf numFmtId="183" fontId="28" fillId="0" borderId="30" xfId="11" applyNumberFormat="1" applyBorder="1" applyAlignment="1">
      <alignment horizontal="center" vertical="center"/>
    </xf>
    <xf numFmtId="0" fontId="76" fillId="0" borderId="23" xfId="11" applyFont="1" applyBorder="1" applyAlignment="1">
      <alignment horizontal="center" vertical="center"/>
    </xf>
    <xf numFmtId="0" fontId="28" fillId="0" borderId="32" xfId="11" applyBorder="1" applyAlignment="1">
      <alignment horizontal="center" vertical="center"/>
    </xf>
    <xf numFmtId="0" fontId="28" fillId="0" borderId="34" xfId="11" applyBorder="1" applyAlignment="1">
      <alignment horizontal="center" vertical="center"/>
    </xf>
    <xf numFmtId="179" fontId="38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38" fillId="0" borderId="23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76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9" fillId="0" borderId="37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9" fillId="0" borderId="0" xfId="11" applyFont="1" applyAlignment="1">
      <alignment horizontal="center" vertical="center" shrinkToFit="1"/>
    </xf>
    <xf numFmtId="0" fontId="60" fillId="0" borderId="0" xfId="11" applyFont="1" applyAlignment="1">
      <alignment horizontal="left" vertical="center" shrinkToFit="1"/>
    </xf>
    <xf numFmtId="0" fontId="53" fillId="0" borderId="22" xfId="11" applyFont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 shrinkToFit="1"/>
    </xf>
    <xf numFmtId="0" fontId="3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center" vertical="center" shrinkToFit="1"/>
    </xf>
    <xf numFmtId="0" fontId="36" fillId="0" borderId="22" xfId="11" applyFont="1" applyBorder="1" applyAlignment="1">
      <alignment horizontal="center" vertical="center" shrinkToFit="1"/>
    </xf>
    <xf numFmtId="0" fontId="82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60" fillId="0" borderId="0" xfId="0" applyFont="1" applyAlignment="1">
      <alignment horizontal="left" vertical="center" shrinkToFit="1"/>
    </xf>
    <xf numFmtId="0" fontId="61" fillId="0" borderId="0" xfId="0" applyFont="1" applyAlignment="1">
      <alignment horizontal="left" vertical="center" shrinkToFit="1"/>
    </xf>
    <xf numFmtId="0" fontId="30" fillId="0" borderId="22" xfId="0" applyFont="1" applyBorder="1" applyAlignment="1">
      <alignment horizontal="center" vertical="center" shrinkToFit="1"/>
    </xf>
    <xf numFmtId="0" fontId="66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52" fillId="2" borderId="4" xfId="0" applyFont="1" applyFill="1" applyBorder="1" applyAlignment="1">
      <alignment horizontal="center" vertical="center" shrinkToFit="1"/>
    </xf>
    <xf numFmtId="0" fontId="52" fillId="2" borderId="3" xfId="0" applyFont="1" applyFill="1" applyBorder="1" applyAlignment="1">
      <alignment horizontal="center" vertical="center" shrinkToFit="1"/>
    </xf>
    <xf numFmtId="0" fontId="82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3" fillId="0" borderId="4" xfId="0" applyFont="1" applyBorder="1" applyAlignment="1">
      <alignment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8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82" fillId="0" borderId="9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73" fillId="0" borderId="4" xfId="0" applyFont="1" applyBorder="1" applyAlignment="1">
      <alignment shrinkToFit="1"/>
    </xf>
    <xf numFmtId="0" fontId="92" fillId="0" borderId="4" xfId="0" applyFont="1" applyBorder="1" applyAlignment="1">
      <alignment shrinkToFit="1"/>
    </xf>
    <xf numFmtId="0" fontId="11" fillId="2" borderId="39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83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38" fillId="0" borderId="22" xfId="0" applyFont="1" applyBorder="1" applyAlignment="1">
      <alignment horizontal="center" vertical="center" wrapText="1" shrinkToFit="1"/>
    </xf>
    <xf numFmtId="0" fontId="86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shrinkToFit="1"/>
    </xf>
    <xf numFmtId="0" fontId="83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60" fillId="0" borderId="26" xfId="0" applyFont="1" applyBorder="1" applyAlignment="1">
      <alignment horizontal="left" vertic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0" fontId="62" fillId="0" borderId="22" xfId="0" applyFont="1" applyBorder="1" applyAlignment="1">
      <alignment shrinkToFit="1"/>
    </xf>
    <xf numFmtId="0" fontId="32" fillId="2" borderId="33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43" fillId="5" borderId="22" xfId="12" applyFont="1" applyFill="1" applyBorder="1" applyAlignment="1">
      <alignment horizontal="center"/>
    </xf>
    <xf numFmtId="179" fontId="35" fillId="0" borderId="22" xfId="11" applyNumberFormat="1" applyFont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84" fillId="0" borderId="22" xfId="11" applyFont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/>
    </xf>
    <xf numFmtId="0" fontId="41" fillId="5" borderId="22" xfId="5" applyFont="1" applyFill="1" applyBorder="1" applyAlignment="1">
      <alignment horizontal="center" vertical="center"/>
    </xf>
    <xf numFmtId="0" fontId="45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5" fillId="5" borderId="31" xfId="11" applyFont="1" applyFill="1" applyBorder="1" applyAlignment="1">
      <alignment horizontal="center" vertical="center"/>
    </xf>
    <xf numFmtId="0" fontId="35" fillId="5" borderId="32" xfId="11" applyFont="1" applyFill="1" applyBorder="1" applyAlignment="1">
      <alignment horizontal="center" vertical="center"/>
    </xf>
    <xf numFmtId="0" fontId="35" fillId="5" borderId="33" xfId="11" applyFont="1" applyFill="1" applyBorder="1" applyAlignment="1">
      <alignment horizontal="center" vertical="center"/>
    </xf>
    <xf numFmtId="0" fontId="35" fillId="5" borderId="34" xfId="11" applyFont="1" applyFill="1" applyBorder="1" applyAlignment="1">
      <alignment horizontal="center" vertical="center"/>
    </xf>
    <xf numFmtId="0" fontId="35" fillId="5" borderId="35" xfId="11" applyFont="1" applyFill="1" applyBorder="1" applyAlignment="1">
      <alignment horizontal="center" vertical="center"/>
    </xf>
    <xf numFmtId="0" fontId="35" fillId="5" borderId="36" xfId="11" applyFont="1" applyFill="1" applyBorder="1" applyAlignment="1">
      <alignment horizontal="center" vertical="center"/>
    </xf>
    <xf numFmtId="0" fontId="41" fillId="5" borderId="31" xfId="5" applyFont="1" applyFill="1" applyBorder="1" applyAlignment="1">
      <alignment horizontal="center" vertical="center"/>
    </xf>
    <xf numFmtId="0" fontId="41" fillId="5" borderId="33" xfId="5" applyFont="1" applyFill="1" applyBorder="1" applyAlignment="1">
      <alignment horizontal="center" vertical="center"/>
    </xf>
    <xf numFmtId="0" fontId="41" fillId="5" borderId="35" xfId="5" applyFont="1" applyFill="1" applyBorder="1" applyAlignment="1">
      <alignment horizontal="center" vertical="center"/>
    </xf>
    <xf numFmtId="0" fontId="41" fillId="5" borderId="23" xfId="5" applyFont="1" applyFill="1" applyBorder="1" applyAlignment="1">
      <alignment horizontal="center" vertical="center"/>
    </xf>
    <xf numFmtId="0" fontId="41" fillId="5" borderId="29" xfId="5" applyFont="1" applyFill="1" applyBorder="1" applyAlignment="1">
      <alignment horizontal="center" vertical="center"/>
    </xf>
    <xf numFmtId="0" fontId="41" fillId="5" borderId="30" xfId="5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 wrapText="1"/>
    </xf>
    <xf numFmtId="179" fontId="35" fillId="0" borderId="27" xfId="11" applyNumberFormat="1" applyFont="1" applyBorder="1" applyAlignment="1">
      <alignment horizontal="center" vertical="center"/>
    </xf>
    <xf numFmtId="0" fontId="35" fillId="0" borderId="27" xfId="11" applyFont="1" applyBorder="1" applyAlignment="1">
      <alignment horizontal="center" vertical="center"/>
    </xf>
    <xf numFmtId="0" fontId="35" fillId="0" borderId="0" xfId="11" applyFont="1" applyAlignment="1">
      <alignment horizontal="center" vertical="center"/>
    </xf>
    <xf numFmtId="0" fontId="43" fillId="5" borderId="27" xfId="12" applyFont="1" applyFill="1" applyBorder="1" applyAlignment="1">
      <alignment horizontal="center"/>
    </xf>
    <xf numFmtId="0" fontId="43" fillId="5" borderId="28" xfId="12" applyFont="1" applyFill="1" applyBorder="1" applyAlignment="1">
      <alignment horizontal="center"/>
    </xf>
    <xf numFmtId="0" fontId="43" fillId="5" borderId="25" xfId="12" applyFont="1" applyFill="1" applyBorder="1" applyAlignment="1">
      <alignment horizontal="center"/>
    </xf>
    <xf numFmtId="0" fontId="12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5" fillId="0" borderId="12" xfId="0" applyFont="1" applyBorder="1" applyAlignment="1">
      <alignment shrinkToFit="1"/>
    </xf>
    <xf numFmtId="0" fontId="13" fillId="0" borderId="11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2" fillId="0" borderId="9" xfId="0" applyFont="1" applyBorder="1" applyAlignment="1">
      <alignment shrinkToFit="1"/>
    </xf>
    <xf numFmtId="0" fontId="13" fillId="0" borderId="13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3" fillId="0" borderId="20" xfId="0" applyFont="1" applyBorder="1" applyAlignment="1">
      <alignment shrinkToFit="1"/>
    </xf>
    <xf numFmtId="0" fontId="13" fillId="0" borderId="21" xfId="0" applyFont="1" applyBorder="1" applyAlignment="1">
      <alignment shrinkToFit="1"/>
    </xf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9" xfId="0" applyFont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42" fillId="5" borderId="22" xfId="5" applyFont="1" applyFill="1" applyBorder="1" applyAlignment="1">
      <alignment horizontal="center"/>
    </xf>
  </cellXfs>
  <cellStyles count="65">
    <cellStyle name="一般" xfId="0" builtinId="0"/>
    <cellStyle name="一般 10" xfId="44" xr:uid="{00000000-0005-0000-0000-000001000000}"/>
    <cellStyle name="一般 11" xfId="55" xr:uid="{00000000-0005-0000-0000-000002000000}"/>
    <cellStyle name="一般 2" xfId="1" xr:uid="{00000000-0005-0000-0000-000003000000}"/>
    <cellStyle name="一般 2 2 2" xfId="9" xr:uid="{00000000-0005-0000-0000-000004000000}"/>
    <cellStyle name="一般 2 2 30 2 2 30 2" xfId="4" xr:uid="{00000000-0005-0000-0000-000005000000}"/>
    <cellStyle name="一般 2 2 30 2 2 30 2 2" xfId="12" xr:uid="{00000000-0005-0000-0000-000006000000}"/>
    <cellStyle name="一般 2 2 30 2 2 30 2 3" xfId="25" xr:uid="{00000000-0005-0000-0000-000007000000}"/>
    <cellStyle name="一般 2 2 30 2 2 30 2 4" xfId="29" xr:uid="{00000000-0005-0000-0000-000008000000}"/>
    <cellStyle name="一般 2 2 30 2 2 30 2 4 2" xfId="39" xr:uid="{00000000-0005-0000-0000-000009000000}"/>
    <cellStyle name="一般 2 2 30 2 2 30 2 4 3" xfId="30" xr:uid="{00000000-0005-0000-0000-00000A000000}"/>
    <cellStyle name="一般 2 2 30 2 2 30 2 4 3 2" xfId="40" xr:uid="{00000000-0005-0000-0000-00000B000000}"/>
    <cellStyle name="一般 2 2 30 2 2 30 2 4 3 3" xfId="52" xr:uid="{00000000-0005-0000-0000-00000C000000}"/>
    <cellStyle name="一般 2 2 30 2 2 30 2 4 3 4" xfId="63" xr:uid="{00000000-0005-0000-0000-00000D000000}"/>
    <cellStyle name="一般 2 2 30 2 2 30 2 4 4" xfId="51" xr:uid="{00000000-0005-0000-0000-00000E000000}"/>
    <cellStyle name="一般 2 2 30 2 2 30 2 4 5" xfId="62" xr:uid="{00000000-0005-0000-0000-00000F000000}"/>
    <cellStyle name="一般 2 2 30 2 2 30 2 5" xfId="35" xr:uid="{00000000-0005-0000-0000-000010000000}"/>
    <cellStyle name="一般 2 2 30 2 2 30 2 6" xfId="47" xr:uid="{00000000-0005-0000-0000-000011000000}"/>
    <cellStyle name="一般 2 2 30 2 2 30 2 7" xfId="58" xr:uid="{00000000-0005-0000-0000-000012000000}"/>
    <cellStyle name="一般 2 2 30 2 3 2" xfId="6" xr:uid="{00000000-0005-0000-0000-000013000000}"/>
    <cellStyle name="一般 2 2 30 3 30" xfId="7" xr:uid="{00000000-0005-0000-0000-000014000000}"/>
    <cellStyle name="一般 2 2 30 3 30 4" xfId="21" xr:uid="{00000000-0005-0000-0000-000015000000}"/>
    <cellStyle name="一般 2 2 30 3 30 4 2" xfId="33" xr:uid="{00000000-0005-0000-0000-000016000000}"/>
    <cellStyle name="一般 2 2 30 3 30 4 3" xfId="45" xr:uid="{00000000-0005-0000-0000-000017000000}"/>
    <cellStyle name="一般 2 2 30 3 30 4 4" xfId="56" xr:uid="{00000000-0005-0000-0000-000018000000}"/>
    <cellStyle name="一般 2 2 4" xfId="16" xr:uid="{00000000-0005-0000-0000-000019000000}"/>
    <cellStyle name="一般 2 2 4 2" xfId="19" xr:uid="{00000000-0005-0000-0000-00001A000000}"/>
    <cellStyle name="一般 2 2 4 3" xfId="43" xr:uid="{00000000-0005-0000-0000-00001B000000}"/>
    <cellStyle name="一般 2 4 2" xfId="17" xr:uid="{00000000-0005-0000-0000-00001C000000}"/>
    <cellStyle name="一般 3" xfId="11" xr:uid="{00000000-0005-0000-0000-00001D000000}"/>
    <cellStyle name="一般 3 3 3 2" xfId="27" xr:uid="{00000000-0005-0000-0000-00001E000000}"/>
    <cellStyle name="一般 3 3 3 2 2" xfId="37" xr:uid="{00000000-0005-0000-0000-00001F000000}"/>
    <cellStyle name="一般 3 3 3 2 3" xfId="49" xr:uid="{00000000-0005-0000-0000-000020000000}"/>
    <cellStyle name="一般 3 3 3 2 4" xfId="60" xr:uid="{00000000-0005-0000-0000-000021000000}"/>
    <cellStyle name="一般 4" xfId="5" xr:uid="{00000000-0005-0000-0000-000022000000}"/>
    <cellStyle name="一般 5" xfId="15" xr:uid="{00000000-0005-0000-0000-000023000000}"/>
    <cellStyle name="一般 5 2" xfId="26" xr:uid="{00000000-0005-0000-0000-000024000000}"/>
    <cellStyle name="一般 5 3" xfId="36" xr:uid="{00000000-0005-0000-0000-000025000000}"/>
    <cellStyle name="一般 5 4" xfId="48" xr:uid="{00000000-0005-0000-0000-000026000000}"/>
    <cellStyle name="一般 5 5" xfId="59" xr:uid="{00000000-0005-0000-0000-000027000000}"/>
    <cellStyle name="一般 6" xfId="18" xr:uid="{00000000-0005-0000-0000-000028000000}"/>
    <cellStyle name="一般 7" xfId="20" xr:uid="{00000000-0005-0000-0000-000029000000}"/>
    <cellStyle name="一般 8" xfId="32" xr:uid="{00000000-0005-0000-0000-00002A000000}"/>
    <cellStyle name="一般 9" xfId="42" xr:uid="{00000000-0005-0000-0000-00002B000000}"/>
    <cellStyle name="千分位" xfId="54" builtinId="3"/>
    <cellStyle name="千分位 2" xfId="2" xr:uid="{00000000-0005-0000-0000-00002D000000}"/>
    <cellStyle name="千分位 2 2" xfId="24" xr:uid="{00000000-0005-0000-0000-00002E000000}"/>
    <cellStyle name="千分位 2 3" xfId="34" xr:uid="{00000000-0005-0000-0000-00002F000000}"/>
    <cellStyle name="千分位 2 4" xfId="46" xr:uid="{00000000-0005-0000-0000-000030000000}"/>
    <cellStyle name="千分位 2 5" xfId="57" xr:uid="{00000000-0005-0000-0000-000031000000}"/>
    <cellStyle name="百分比" xfId="14" builtinId="5"/>
    <cellStyle name="百分比 2" xfId="8" xr:uid="{00000000-0005-0000-0000-000033000000}"/>
    <cellStyle name="百分比 2 2" xfId="10" xr:uid="{00000000-0005-0000-0000-000034000000}"/>
    <cellStyle name="百分比 2 2 2" xfId="23" xr:uid="{00000000-0005-0000-0000-000035000000}"/>
    <cellStyle name="百分比 2 3" xfId="22" xr:uid="{00000000-0005-0000-0000-000036000000}"/>
    <cellStyle name="百分比 3" xfId="3" xr:uid="{00000000-0005-0000-0000-000037000000}"/>
    <cellStyle name="百分比 4" xfId="13" xr:uid="{00000000-0005-0000-0000-000038000000}"/>
    <cellStyle name="百分比 5" xfId="31" xr:uid="{00000000-0005-0000-0000-000039000000}"/>
    <cellStyle name="百分比 6" xfId="41" xr:uid="{00000000-0005-0000-0000-00003A000000}"/>
    <cellStyle name="百分比 6 4" xfId="28" xr:uid="{00000000-0005-0000-0000-00003B000000}"/>
    <cellStyle name="百分比 6 4 2" xfId="38" xr:uid="{00000000-0005-0000-0000-00003C000000}"/>
    <cellStyle name="百分比 6 4 3" xfId="50" xr:uid="{00000000-0005-0000-0000-00003D000000}"/>
    <cellStyle name="百分比 6 4 4" xfId="61" xr:uid="{00000000-0005-0000-0000-00003E000000}"/>
    <cellStyle name="百分比 7" xfId="53" xr:uid="{00000000-0005-0000-0000-00003F000000}"/>
    <cellStyle name="百分比 8" xfId="64" xr:uid="{00000000-0005-0000-0000-000040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18產線配置圖"/>
      <sheetName val="0805產線配置圖"/>
      <sheetName val="0801-0804產線配置圖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6"/>
  <sheetViews>
    <sheetView view="pageBreakPreview" zoomScale="90" zoomScaleNormal="60" zoomScaleSheetLayoutView="90" workbookViewId="0">
      <selection activeCell="I9" sqref="I9:J9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292" t="s">
        <v>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122"/>
    </row>
    <row r="2" spans="1:12" s="123" customFormat="1" ht="15.75" customHeight="1">
      <c r="A2" s="292"/>
      <c r="B2" s="292"/>
      <c r="C2" s="292"/>
      <c r="D2" s="292"/>
      <c r="E2" s="292"/>
      <c r="F2" s="292"/>
      <c r="G2" s="292"/>
      <c r="H2" s="292"/>
      <c r="I2" s="292"/>
      <c r="J2" s="292"/>
      <c r="K2" s="292"/>
    </row>
    <row r="3" spans="1:12" ht="21.6" customHeight="1">
      <c r="A3" s="137" t="s">
        <v>1</v>
      </c>
      <c r="B3" s="138">
        <v>9</v>
      </c>
      <c r="C3" s="137" t="s">
        <v>2</v>
      </c>
      <c r="D3" s="293" t="s">
        <v>3</v>
      </c>
      <c r="E3" s="294"/>
      <c r="F3" s="123"/>
      <c r="G3" s="132"/>
      <c r="H3" s="123"/>
      <c r="I3" s="123"/>
      <c r="J3" s="123"/>
      <c r="K3" s="123"/>
    </row>
    <row r="4" spans="1:12" ht="15.75" customHeight="1">
      <c r="A4" s="133" t="s">
        <v>4</v>
      </c>
      <c r="E4" s="125" t="s">
        <v>5</v>
      </c>
      <c r="G4" s="134" t="s">
        <v>6</v>
      </c>
      <c r="L4" s="122"/>
    </row>
    <row r="5" spans="1:12" s="126" customFormat="1" ht="15.75" customHeight="1">
      <c r="A5" s="145" t="s">
        <v>7</v>
      </c>
      <c r="B5" s="139" t="s">
        <v>8</v>
      </c>
      <c r="C5" s="139" t="s">
        <v>9</v>
      </c>
      <c r="D5" s="139" t="s">
        <v>10</v>
      </c>
      <c r="E5" s="139" t="s">
        <v>11</v>
      </c>
      <c r="G5" s="145" t="s">
        <v>7</v>
      </c>
      <c r="H5" s="139" t="s">
        <v>12</v>
      </c>
      <c r="I5" s="139" t="s">
        <v>8</v>
      </c>
      <c r="J5" s="139" t="s">
        <v>13</v>
      </c>
      <c r="K5" s="139" t="s">
        <v>11</v>
      </c>
      <c r="L5" s="127" t="s">
        <v>14</v>
      </c>
    </row>
    <row r="6" spans="1:12" ht="18" customHeight="1">
      <c r="A6" s="129" t="s">
        <v>15</v>
      </c>
      <c r="B6" s="140">
        <v>75756.5</v>
      </c>
      <c r="C6" s="140">
        <v>84284.94</v>
      </c>
      <c r="D6" s="140">
        <f t="shared" ref="D6:D11" si="0">B6-C6</f>
        <v>-8528.4400000000023</v>
      </c>
      <c r="E6" s="130"/>
      <c r="G6" s="129" t="s">
        <v>16</v>
      </c>
      <c r="H6" s="142">
        <v>117.9</v>
      </c>
      <c r="I6" s="142">
        <v>99.6</v>
      </c>
      <c r="J6" s="142">
        <v>99.8</v>
      </c>
      <c r="K6" s="143"/>
      <c r="L6" s="124" t="s">
        <v>17</v>
      </c>
    </row>
    <row r="7" spans="1:12" ht="18" customHeight="1">
      <c r="A7" s="129" t="s">
        <v>18</v>
      </c>
      <c r="B7" s="140">
        <v>1533362</v>
      </c>
      <c r="C7" s="140">
        <v>1717015</v>
      </c>
      <c r="D7" s="140">
        <f t="shared" si="0"/>
        <v>-183653</v>
      </c>
      <c r="E7" s="130"/>
      <c r="G7" s="129" t="s">
        <v>19</v>
      </c>
      <c r="H7" s="141">
        <v>0.8</v>
      </c>
      <c r="I7" s="141">
        <v>0.89100000000000001</v>
      </c>
      <c r="J7" s="141">
        <v>0.91200000000000003</v>
      </c>
      <c r="K7" s="141"/>
      <c r="L7" s="124" t="s">
        <v>20</v>
      </c>
    </row>
    <row r="8" spans="1:12" ht="18" customHeight="1">
      <c r="A8" s="129" t="s">
        <v>21</v>
      </c>
      <c r="B8" s="140">
        <v>47758.42</v>
      </c>
      <c r="C8" s="140">
        <v>53121.599999999999</v>
      </c>
      <c r="D8" s="140">
        <f>B8-C8</f>
        <v>-5363.18</v>
      </c>
      <c r="E8" s="130"/>
      <c r="G8" s="129" t="s">
        <v>22</v>
      </c>
      <c r="H8" s="141">
        <v>2.5000000000000001E-3</v>
      </c>
      <c r="I8" s="141">
        <v>7.0000000000000001E-3</v>
      </c>
      <c r="J8" s="141">
        <v>8.9999999999999993E-3</v>
      </c>
      <c r="K8" s="141"/>
      <c r="L8" s="124" t="s">
        <v>23</v>
      </c>
    </row>
    <row r="9" spans="1:12" ht="18" customHeight="1">
      <c r="A9" s="129" t="s">
        <v>24</v>
      </c>
      <c r="B9" s="141">
        <v>0.63039999999999996</v>
      </c>
      <c r="C9" s="141">
        <v>0.62806824255930926</v>
      </c>
      <c r="D9" s="141">
        <f t="shared" si="0"/>
        <v>2.331757440690696E-3</v>
      </c>
      <c r="E9" s="141"/>
      <c r="G9" s="129" t="s">
        <v>25</v>
      </c>
      <c r="H9" s="141">
        <v>2.5000000000000001E-3</v>
      </c>
      <c r="I9" s="141">
        <v>6.1999999999999998E-3</v>
      </c>
      <c r="J9" s="141">
        <v>1.0999999999999999E-2</v>
      </c>
      <c r="K9" s="141"/>
      <c r="L9" s="124" t="s">
        <v>26</v>
      </c>
    </row>
    <row r="10" spans="1:12" ht="18" customHeight="1">
      <c r="A10" s="129" t="s">
        <v>27</v>
      </c>
      <c r="B10" s="140">
        <v>9772</v>
      </c>
      <c r="C10" s="140">
        <v>9693</v>
      </c>
      <c r="D10" s="140">
        <f t="shared" si="0"/>
        <v>79</v>
      </c>
      <c r="E10" s="130"/>
      <c r="G10" s="129" t="s">
        <v>28</v>
      </c>
      <c r="H10" s="141">
        <v>1</v>
      </c>
      <c r="I10" s="141">
        <v>0.42899999999999999</v>
      </c>
      <c r="J10" s="141">
        <v>0.42899999999999999</v>
      </c>
      <c r="K10" s="141"/>
      <c r="L10" s="124" t="s">
        <v>29</v>
      </c>
    </row>
    <row r="11" spans="1:12" ht="18" customHeight="1">
      <c r="A11" s="129" t="s">
        <v>30</v>
      </c>
      <c r="B11" s="141">
        <v>0.129</v>
      </c>
      <c r="C11" s="141">
        <v>0.1150001411877377</v>
      </c>
      <c r="D11" s="141">
        <f t="shared" si="0"/>
        <v>1.3999858812262303E-2</v>
      </c>
      <c r="E11" s="141"/>
      <c r="G11" s="129" t="s">
        <v>31</v>
      </c>
      <c r="H11" s="141">
        <v>1</v>
      </c>
      <c r="I11" s="141">
        <v>0.28599999999999998</v>
      </c>
      <c r="J11" s="141">
        <v>0.45700000000000002</v>
      </c>
      <c r="K11" s="141"/>
      <c r="L11" s="124" t="s">
        <v>32</v>
      </c>
    </row>
    <row r="12" spans="1:12" ht="9.6" customHeight="1">
      <c r="L12" s="122"/>
    </row>
    <row r="13" spans="1:12" ht="15.75" customHeight="1">
      <c r="A13" s="133" t="s">
        <v>33</v>
      </c>
      <c r="G13" s="133" t="s">
        <v>34</v>
      </c>
      <c r="L13" s="122"/>
    </row>
    <row r="14" spans="1:12" s="128" customFormat="1" ht="12">
      <c r="A14" s="144"/>
      <c r="B14" s="144" t="s">
        <v>8</v>
      </c>
      <c r="C14" s="144" t="s">
        <v>35</v>
      </c>
      <c r="D14" s="144" t="s">
        <v>13</v>
      </c>
      <c r="E14" s="144" t="s">
        <v>36</v>
      </c>
      <c r="G14" s="144"/>
      <c r="H14" s="144" t="s">
        <v>8</v>
      </c>
      <c r="I14" s="144" t="s">
        <v>35</v>
      </c>
      <c r="J14" s="144" t="s">
        <v>13</v>
      </c>
      <c r="K14" s="144" t="s">
        <v>36</v>
      </c>
    </row>
    <row r="15" spans="1:12" ht="18" customHeight="1">
      <c r="A15" s="129" t="s">
        <v>37</v>
      </c>
      <c r="B15" s="140">
        <v>68817.850000000006</v>
      </c>
      <c r="C15" s="141">
        <f>IFERROR(B15/$B$6,"")</f>
        <v>0.90840851940097556</v>
      </c>
      <c r="D15" s="283">
        <v>0.91869999999999996</v>
      </c>
      <c r="E15" s="141">
        <f>IFERROR(C15-D15,"")</f>
        <v>-1.0291480599024405E-2</v>
      </c>
      <c r="G15" s="129" t="s">
        <v>37</v>
      </c>
      <c r="H15" s="140">
        <v>1282561</v>
      </c>
      <c r="I15" s="141">
        <f t="shared" ref="I15:I17" si="1">IFERROR(H15/$B$7,"")</f>
        <v>0.83643718834821779</v>
      </c>
      <c r="J15" s="141">
        <v>0.84940000000000004</v>
      </c>
      <c r="K15" s="141">
        <f t="shared" ref="K15:K17" si="2">IFERROR(I15-J15,"")</f>
        <v>-1.2962811651782258E-2</v>
      </c>
      <c r="L15" s="122"/>
    </row>
    <row r="16" spans="1:12" ht="18" customHeight="1">
      <c r="A16" s="129" t="s">
        <v>38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38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39</v>
      </c>
      <c r="B17" s="140">
        <v>6938.64</v>
      </c>
      <c r="C17" s="141">
        <f t="shared" si="3"/>
        <v>9.1591348597150082E-2</v>
      </c>
      <c r="D17" s="141">
        <v>8.1280000000000005E-2</v>
      </c>
      <c r="E17" s="141">
        <f t="shared" si="4"/>
        <v>1.0311348597150077E-2</v>
      </c>
      <c r="G17" s="129" t="s">
        <v>39</v>
      </c>
      <c r="H17" s="140">
        <v>250801</v>
      </c>
      <c r="I17" s="141">
        <f t="shared" si="1"/>
        <v>0.16356281165178216</v>
      </c>
      <c r="J17" s="141">
        <v>0.15060000000000001</v>
      </c>
      <c r="K17" s="141">
        <f t="shared" si="2"/>
        <v>1.2962811651782147E-2</v>
      </c>
      <c r="L17" s="122"/>
    </row>
    <row r="18" spans="1:17" ht="15.75" customHeight="1">
      <c r="C18" s="135">
        <f>SUM(C15:C17)</f>
        <v>0.99999986799812568</v>
      </c>
      <c r="D18" s="135">
        <f>SUM(D15:D17)</f>
        <v>0.99997999999999998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40</v>
      </c>
      <c r="L20" s="122"/>
    </row>
    <row r="21" spans="1:17" ht="15.75" customHeight="1">
      <c r="A21" s="129" t="s">
        <v>41</v>
      </c>
      <c r="B21" s="129" t="s">
        <v>8</v>
      </c>
      <c r="C21" s="129" t="s">
        <v>9</v>
      </c>
      <c r="D21" s="129" t="s">
        <v>10</v>
      </c>
      <c r="E21" s="129" t="s">
        <v>11</v>
      </c>
      <c r="L21" s="122"/>
    </row>
    <row r="22" spans="1:17" ht="18" customHeight="1">
      <c r="A22" s="129" t="s">
        <v>37</v>
      </c>
      <c r="B22" s="232">
        <v>95.2</v>
      </c>
      <c r="C22" s="130">
        <v>97.6</v>
      </c>
      <c r="D22" s="140">
        <f t="shared" ref="D22:D24" si="5">B22-C22</f>
        <v>-2.3999999999999915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38</v>
      </c>
      <c r="B23" s="130"/>
      <c r="C23" s="130"/>
      <c r="D23" s="140">
        <f t="shared" si="5"/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39</v>
      </c>
      <c r="B24" s="290">
        <v>113</v>
      </c>
      <c r="C24" s="130">
        <v>112.5</v>
      </c>
      <c r="D24" s="140">
        <f t="shared" si="5"/>
        <v>0.5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topLeftCell="A4" zoomScale="85" zoomScaleNormal="85" workbookViewId="0">
      <selection activeCell="N5" sqref="N5:N34"/>
    </sheetView>
  </sheetViews>
  <sheetFormatPr defaultColWidth="8.85546875" defaultRowHeight="12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298" t="s">
        <v>42</v>
      </c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</row>
    <row r="3" spans="2:23" s="82" customFormat="1" ht="23.45" customHeight="1">
      <c r="B3" s="302" t="s">
        <v>43</v>
      </c>
      <c r="C3" s="303" t="s">
        <v>44</v>
      </c>
      <c r="D3" s="304" t="s">
        <v>45</v>
      </c>
      <c r="E3" s="304"/>
      <c r="F3" s="301" t="s">
        <v>46</v>
      </c>
      <c r="G3" s="301"/>
      <c r="H3" s="301"/>
      <c r="I3" s="299" t="s">
        <v>47</v>
      </c>
      <c r="J3" s="299"/>
      <c r="K3" s="299"/>
      <c r="L3" s="300" t="s">
        <v>48</v>
      </c>
      <c r="M3" s="300"/>
      <c r="N3" s="300"/>
      <c r="O3" s="306" t="s">
        <v>49</v>
      </c>
      <c r="P3" s="306"/>
      <c r="Q3" s="306"/>
      <c r="R3" s="305" t="s">
        <v>50</v>
      </c>
      <c r="S3" s="305"/>
      <c r="T3" s="305"/>
      <c r="U3" s="306" t="s">
        <v>51</v>
      </c>
      <c r="V3" s="306"/>
      <c r="W3" s="306"/>
    </row>
    <row r="4" spans="2:23" s="82" customFormat="1" ht="23.45" customHeight="1">
      <c r="B4" s="302"/>
      <c r="C4" s="303"/>
      <c r="D4" s="304"/>
      <c r="E4" s="304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>
      <c r="B5" s="272"/>
      <c r="C5" s="310" t="s">
        <v>55</v>
      </c>
      <c r="D5" s="86">
        <v>45901</v>
      </c>
      <c r="E5" s="86" t="s">
        <v>56</v>
      </c>
      <c r="F5" s="87">
        <v>2893618.9099999997</v>
      </c>
      <c r="G5" s="277">
        <f>SUM(F5)</f>
        <v>2893618.9099999997</v>
      </c>
      <c r="H5" s="296">
        <f>SUM(F5:F34)</f>
        <v>75756497.129999995</v>
      </c>
      <c r="I5" s="246">
        <v>58795</v>
      </c>
      <c r="J5" s="269">
        <f>SUM(I5)</f>
        <v>58795</v>
      </c>
      <c r="K5" s="314">
        <f>SUM(I5:I34)</f>
        <v>1476642</v>
      </c>
      <c r="L5" s="87">
        <v>1819250</v>
      </c>
      <c r="M5" s="268">
        <f>SUM(L5)</f>
        <v>1819250</v>
      </c>
      <c r="N5" s="307">
        <f>SUM(L5:L34)</f>
        <v>47758424</v>
      </c>
      <c r="O5" s="90">
        <f>L5/F5</f>
        <v>0.6287109866862185</v>
      </c>
      <c r="P5" s="284">
        <f>M5/G5</f>
        <v>0.6287109866862185</v>
      </c>
      <c r="Q5" s="308">
        <f>N5/H5</f>
        <v>0.63042017264928951</v>
      </c>
      <c r="S5" s="268">
        <f>SUM(R5)</f>
        <v>0</v>
      </c>
      <c r="T5" s="295">
        <f>SUM(R5:R34)</f>
        <v>0</v>
      </c>
      <c r="U5" s="90">
        <f t="shared" ref="U5:U35" si="0">R5/F5</f>
        <v>0</v>
      </c>
      <c r="V5" s="268">
        <f>SUM(U5)</f>
        <v>0</v>
      </c>
      <c r="W5" s="309">
        <f>T5/H5</f>
        <v>0</v>
      </c>
    </row>
    <row r="6" spans="2:23" ht="14.25">
      <c r="B6" s="312">
        <v>45910</v>
      </c>
      <c r="C6" s="310"/>
      <c r="D6" s="86">
        <v>45902</v>
      </c>
      <c r="E6" s="271" t="s">
        <v>57</v>
      </c>
      <c r="F6" s="87">
        <v>2792067.2</v>
      </c>
      <c r="G6" s="313">
        <f>SUM(F6:F12)</f>
        <v>17039198.780000001</v>
      </c>
      <c r="H6" s="296"/>
      <c r="I6" s="246">
        <v>56974</v>
      </c>
      <c r="J6" s="297">
        <f>SUM(I6:I12)</f>
        <v>350126</v>
      </c>
      <c r="K6" s="314"/>
      <c r="L6" s="87">
        <v>1758759</v>
      </c>
      <c r="M6" s="295">
        <f>SUM(L6:L12)</f>
        <v>10732236</v>
      </c>
      <c r="N6" s="307"/>
      <c r="O6" s="90">
        <f>L6/F6</f>
        <v>0.62991284736986264</v>
      </c>
      <c r="P6" s="308">
        <f>M6/G6</f>
        <v>0.62985567212216065</v>
      </c>
      <c r="Q6" s="308"/>
      <c r="S6" s="295">
        <f>SUM(R6:R12)</f>
        <v>0</v>
      </c>
      <c r="T6" s="295"/>
      <c r="U6" s="90">
        <f t="shared" si="0"/>
        <v>0</v>
      </c>
      <c r="V6" s="295">
        <f>SUM(U6:U12)</f>
        <v>0</v>
      </c>
      <c r="W6" s="295"/>
    </row>
    <row r="7" spans="2:23" ht="14.25">
      <c r="B7" s="312"/>
      <c r="C7" s="310"/>
      <c r="D7" s="86">
        <v>45903</v>
      </c>
      <c r="E7" s="271" t="s">
        <v>58</v>
      </c>
      <c r="F7" s="87">
        <v>2693780.35</v>
      </c>
      <c r="G7" s="313"/>
      <c r="H7" s="296"/>
      <c r="I7" s="246">
        <v>55119</v>
      </c>
      <c r="J7" s="297"/>
      <c r="K7" s="314"/>
      <c r="L7" s="87">
        <v>1698150</v>
      </c>
      <c r="M7" s="295"/>
      <c r="N7" s="307"/>
      <c r="O7" s="90">
        <f t="shared" ref="O7:O34" si="1">L7/F7</f>
        <v>0.63039660973100498</v>
      </c>
      <c r="P7" s="308"/>
      <c r="Q7" s="308"/>
      <c r="S7" s="295"/>
      <c r="T7" s="295"/>
      <c r="U7" s="90">
        <f t="shared" si="0"/>
        <v>0</v>
      </c>
      <c r="V7" s="295"/>
      <c r="W7" s="295"/>
    </row>
    <row r="8" spans="2:23" ht="14.25">
      <c r="B8" s="312"/>
      <c r="C8" s="310"/>
      <c r="D8" s="86">
        <v>45904</v>
      </c>
      <c r="E8" s="271" t="s">
        <v>59</v>
      </c>
      <c r="F8" s="87">
        <v>2413420.2599999998</v>
      </c>
      <c r="G8" s="313"/>
      <c r="H8" s="296"/>
      <c r="I8" s="246">
        <v>49608</v>
      </c>
      <c r="J8" s="297"/>
      <c r="K8" s="314"/>
      <c r="L8" s="87">
        <v>1517843</v>
      </c>
      <c r="M8" s="295"/>
      <c r="N8" s="307"/>
      <c r="O8" s="90">
        <f t="shared" si="1"/>
        <v>0.62891781641047473</v>
      </c>
      <c r="P8" s="308"/>
      <c r="Q8" s="308"/>
      <c r="S8" s="295"/>
      <c r="T8" s="295"/>
      <c r="U8" s="90">
        <f t="shared" si="0"/>
        <v>0</v>
      </c>
      <c r="V8" s="295"/>
      <c r="W8" s="295"/>
    </row>
    <row r="9" spans="2:23" ht="14.25">
      <c r="B9" s="312"/>
      <c r="C9" s="310"/>
      <c r="D9" s="86">
        <v>45905</v>
      </c>
      <c r="E9" s="271" t="s">
        <v>60</v>
      </c>
      <c r="F9" s="87">
        <v>1867882.3</v>
      </c>
      <c r="G9" s="313"/>
      <c r="H9" s="296"/>
      <c r="I9" s="246">
        <v>38609</v>
      </c>
      <c r="J9" s="297"/>
      <c r="K9" s="314"/>
      <c r="L9" s="87">
        <v>1177843</v>
      </c>
      <c r="M9" s="295"/>
      <c r="N9" s="307"/>
      <c r="O9" s="90">
        <f t="shared" si="1"/>
        <v>0.6305766696327707</v>
      </c>
      <c r="P9" s="308"/>
      <c r="Q9" s="308"/>
      <c r="S9" s="295"/>
      <c r="T9" s="295"/>
      <c r="U9" s="90">
        <f t="shared" si="0"/>
        <v>0</v>
      </c>
      <c r="V9" s="295"/>
      <c r="W9" s="295"/>
    </row>
    <row r="10" spans="2:23" ht="14.25">
      <c r="B10" s="312"/>
      <c r="C10" s="310"/>
      <c r="D10" s="86">
        <v>45906</v>
      </c>
      <c r="E10" s="271" t="s">
        <v>61</v>
      </c>
      <c r="F10" s="87">
        <v>1984347.8099999998</v>
      </c>
      <c r="G10" s="313"/>
      <c r="H10" s="296"/>
      <c r="I10" s="246">
        <v>40921</v>
      </c>
      <c r="J10" s="297"/>
      <c r="K10" s="314"/>
      <c r="L10" s="87">
        <v>1247843</v>
      </c>
      <c r="M10" s="295"/>
      <c r="N10" s="307"/>
      <c r="O10" s="90">
        <f t="shared" si="1"/>
        <v>0.62884288415144329</v>
      </c>
      <c r="P10" s="308"/>
      <c r="Q10" s="308"/>
      <c r="S10" s="295"/>
      <c r="T10" s="295"/>
      <c r="U10" s="90">
        <f t="shared" si="0"/>
        <v>0</v>
      </c>
      <c r="V10" s="295"/>
      <c r="W10" s="295"/>
    </row>
    <row r="11" spans="2:23" ht="14.25">
      <c r="B11" s="312"/>
      <c r="C11" s="310"/>
      <c r="D11" s="86">
        <v>45907</v>
      </c>
      <c r="E11" s="271" t="s">
        <v>52</v>
      </c>
      <c r="F11" s="87">
        <v>2634379.2999999998</v>
      </c>
      <c r="G11" s="313"/>
      <c r="H11" s="296"/>
      <c r="I11" s="246">
        <v>54263</v>
      </c>
      <c r="J11" s="297"/>
      <c r="K11" s="314"/>
      <c r="L11" s="87">
        <v>1663039</v>
      </c>
      <c r="M11" s="295"/>
      <c r="N11" s="307"/>
      <c r="O11" s="90">
        <f t="shared" si="1"/>
        <v>0.63128305024261322</v>
      </c>
      <c r="P11" s="308"/>
      <c r="Q11" s="308"/>
      <c r="S11" s="295"/>
      <c r="T11" s="295"/>
      <c r="U11" s="90">
        <f t="shared" si="0"/>
        <v>0</v>
      </c>
      <c r="V11" s="295"/>
      <c r="W11" s="295"/>
    </row>
    <row r="12" spans="2:23">
      <c r="B12" s="312"/>
      <c r="C12" s="310"/>
      <c r="D12" s="86">
        <v>45908</v>
      </c>
      <c r="E12" s="86" t="s">
        <v>56</v>
      </c>
      <c r="F12" s="87">
        <v>2653321.5599999996</v>
      </c>
      <c r="G12" s="313"/>
      <c r="H12" s="296"/>
      <c r="I12" s="246">
        <v>54632</v>
      </c>
      <c r="J12" s="297"/>
      <c r="K12" s="314"/>
      <c r="L12" s="87">
        <v>1668759</v>
      </c>
      <c r="M12" s="295"/>
      <c r="N12" s="307"/>
      <c r="O12" s="90">
        <f t="shared" si="1"/>
        <v>0.6289320620452804</v>
      </c>
      <c r="P12" s="308"/>
      <c r="Q12" s="308"/>
      <c r="S12" s="295"/>
      <c r="T12" s="295"/>
      <c r="U12" s="90">
        <f t="shared" si="0"/>
        <v>0</v>
      </c>
      <c r="V12" s="295"/>
      <c r="W12" s="295"/>
    </row>
    <row r="13" spans="2:23" ht="14.25">
      <c r="B13" s="312">
        <v>45917</v>
      </c>
      <c r="C13" s="310"/>
      <c r="D13" s="86">
        <v>45909</v>
      </c>
      <c r="E13" s="271" t="s">
        <v>57</v>
      </c>
      <c r="F13" s="87">
        <v>2549415.0699999998</v>
      </c>
      <c r="G13" s="313">
        <f>SUM(F13:F19)</f>
        <v>16573496.920000002</v>
      </c>
      <c r="H13" s="296"/>
      <c r="I13" s="246">
        <v>54526</v>
      </c>
      <c r="J13" s="297">
        <f>SUM(I13:I19)</f>
        <v>344404</v>
      </c>
      <c r="K13" s="314"/>
      <c r="L13" s="87">
        <v>1600947</v>
      </c>
      <c r="M13" s="295">
        <f>SUM(L13:L19)</f>
        <v>10437998</v>
      </c>
      <c r="N13" s="307"/>
      <c r="O13" s="90">
        <f t="shared" si="1"/>
        <v>0.62796639858255809</v>
      </c>
      <c r="P13" s="308">
        <f t="shared" ref="P13" si="2">M13/G13</f>
        <v>0.62980058163850672</v>
      </c>
      <c r="Q13" s="308"/>
      <c r="S13" s="295">
        <f>SUM(R13:R19)</f>
        <v>0</v>
      </c>
      <c r="T13" s="295"/>
      <c r="U13" s="90">
        <f t="shared" si="0"/>
        <v>0</v>
      </c>
      <c r="V13" s="295">
        <f>SUM(U13:U19)</f>
        <v>0</v>
      </c>
      <c r="W13" s="295"/>
    </row>
    <row r="14" spans="2:23" ht="14.25">
      <c r="B14" s="310"/>
      <c r="C14" s="310"/>
      <c r="D14" s="86">
        <v>45910</v>
      </c>
      <c r="E14" s="271" t="s">
        <v>58</v>
      </c>
      <c r="F14" s="87">
        <v>2484298.7800000003</v>
      </c>
      <c r="G14" s="313"/>
      <c r="H14" s="296"/>
      <c r="I14" s="246">
        <v>51467</v>
      </c>
      <c r="J14" s="297"/>
      <c r="K14" s="314"/>
      <c r="L14" s="87">
        <v>1569402</v>
      </c>
      <c r="M14" s="295"/>
      <c r="N14" s="307"/>
      <c r="O14" s="90">
        <f t="shared" si="1"/>
        <v>0.63172836239930841</v>
      </c>
      <c r="P14" s="308"/>
      <c r="Q14" s="308"/>
      <c r="S14" s="295"/>
      <c r="T14" s="295"/>
      <c r="U14" s="90">
        <f t="shared" si="0"/>
        <v>0</v>
      </c>
      <c r="V14" s="295"/>
      <c r="W14" s="295"/>
    </row>
    <row r="15" spans="2:23" ht="14.25">
      <c r="B15" s="310"/>
      <c r="C15" s="310"/>
      <c r="D15" s="86">
        <v>45911</v>
      </c>
      <c r="E15" s="271" t="s">
        <v>59</v>
      </c>
      <c r="F15" s="87">
        <v>2285316.17</v>
      </c>
      <c r="G15" s="313"/>
      <c r="H15" s="296"/>
      <c r="I15" s="246">
        <v>47272</v>
      </c>
      <c r="J15" s="297"/>
      <c r="K15" s="314"/>
      <c r="L15" s="87">
        <v>1440666</v>
      </c>
      <c r="M15" s="295"/>
      <c r="N15" s="307"/>
      <c r="O15" s="90">
        <f t="shared" si="1"/>
        <v>0.63040117551874675</v>
      </c>
      <c r="P15" s="308"/>
      <c r="Q15" s="308"/>
      <c r="S15" s="295"/>
      <c r="T15" s="295"/>
      <c r="U15" s="90">
        <f t="shared" si="0"/>
        <v>0</v>
      </c>
      <c r="V15" s="295"/>
      <c r="W15" s="295"/>
    </row>
    <row r="16" spans="2:23" ht="14.25">
      <c r="B16" s="310"/>
      <c r="C16" s="310"/>
      <c r="D16" s="86">
        <v>45912</v>
      </c>
      <c r="E16" s="271" t="s">
        <v>60</v>
      </c>
      <c r="F16" s="87">
        <v>1942536.5799999998</v>
      </c>
      <c r="G16" s="313"/>
      <c r="H16" s="296"/>
      <c r="I16" s="246">
        <v>40144</v>
      </c>
      <c r="J16" s="297"/>
      <c r="K16" s="314"/>
      <c r="L16" s="87">
        <v>1225182</v>
      </c>
      <c r="M16" s="295"/>
      <c r="N16" s="307"/>
      <c r="O16" s="90">
        <f t="shared" si="1"/>
        <v>0.63071244712416175</v>
      </c>
      <c r="P16" s="308"/>
      <c r="Q16" s="308"/>
      <c r="S16" s="295"/>
      <c r="T16" s="295"/>
      <c r="U16" s="90">
        <f t="shared" si="0"/>
        <v>0</v>
      </c>
      <c r="V16" s="295"/>
      <c r="W16" s="295"/>
    </row>
    <row r="17" spans="2:23" ht="14.25">
      <c r="B17" s="310"/>
      <c r="C17" s="310"/>
      <c r="D17" s="86">
        <v>45913</v>
      </c>
      <c r="E17" s="271" t="s">
        <v>61</v>
      </c>
      <c r="F17" s="87">
        <v>2052730.38</v>
      </c>
      <c r="G17" s="313"/>
      <c r="H17" s="296"/>
      <c r="I17" s="246">
        <v>42409</v>
      </c>
      <c r="J17" s="297"/>
      <c r="K17" s="314"/>
      <c r="L17" s="87">
        <v>1289965</v>
      </c>
      <c r="M17" s="295"/>
      <c r="N17" s="307"/>
      <c r="O17" s="90">
        <f t="shared" si="1"/>
        <v>0.62841423918517736</v>
      </c>
      <c r="P17" s="308"/>
      <c r="Q17" s="308"/>
      <c r="S17" s="295"/>
      <c r="T17" s="295"/>
      <c r="U17" s="90">
        <f t="shared" si="0"/>
        <v>0</v>
      </c>
      <c r="V17" s="295"/>
      <c r="W17" s="295"/>
    </row>
    <row r="18" spans="2:23" ht="14.25">
      <c r="B18" s="310"/>
      <c r="C18" s="310"/>
      <c r="D18" s="86">
        <v>45914</v>
      </c>
      <c r="E18" s="271" t="s">
        <v>52</v>
      </c>
      <c r="F18" s="87">
        <v>2615131.31</v>
      </c>
      <c r="G18" s="313"/>
      <c r="H18" s="296"/>
      <c r="I18" s="246">
        <v>54004</v>
      </c>
      <c r="J18" s="297"/>
      <c r="K18" s="314"/>
      <c r="L18" s="87">
        <v>1646918</v>
      </c>
      <c r="M18" s="295"/>
      <c r="N18" s="307"/>
      <c r="O18" s="90">
        <f t="shared" si="1"/>
        <v>0.62976493520702026</v>
      </c>
      <c r="P18" s="308"/>
      <c r="Q18" s="308"/>
      <c r="S18" s="295"/>
      <c r="T18" s="295"/>
      <c r="U18" s="90">
        <f t="shared" si="0"/>
        <v>0</v>
      </c>
      <c r="V18" s="295"/>
      <c r="W18" s="295"/>
    </row>
    <row r="19" spans="2:23">
      <c r="B19" s="310"/>
      <c r="C19" s="310"/>
      <c r="D19" s="86">
        <v>45915</v>
      </c>
      <c r="E19" s="86" t="s">
        <v>56</v>
      </c>
      <c r="F19" s="87">
        <v>2644068.63</v>
      </c>
      <c r="G19" s="313"/>
      <c r="H19" s="296"/>
      <c r="I19" s="246">
        <v>54582</v>
      </c>
      <c r="J19" s="297"/>
      <c r="K19" s="314"/>
      <c r="L19" s="87">
        <v>1664918</v>
      </c>
      <c r="M19" s="295"/>
      <c r="N19" s="307"/>
      <c r="O19" s="90">
        <f t="shared" si="1"/>
        <v>0.62968032717063027</v>
      </c>
      <c r="P19" s="308"/>
      <c r="Q19" s="308"/>
      <c r="S19" s="295"/>
      <c r="T19" s="295"/>
      <c r="U19" s="90">
        <f t="shared" si="0"/>
        <v>0</v>
      </c>
      <c r="V19" s="295"/>
      <c r="W19" s="295"/>
    </row>
    <row r="20" spans="2:23" ht="14.25">
      <c r="B20" s="312">
        <v>45924</v>
      </c>
      <c r="C20" s="310"/>
      <c r="D20" s="86">
        <v>45916</v>
      </c>
      <c r="E20" s="271" t="s">
        <v>57</v>
      </c>
      <c r="F20" s="87">
        <v>3351675.95</v>
      </c>
      <c r="G20" s="313">
        <f t="shared" ref="G20" si="3">SUM(F20:F26)</f>
        <v>19143931.850000001</v>
      </c>
      <c r="H20" s="296"/>
      <c r="I20" s="246">
        <v>52594</v>
      </c>
      <c r="J20" s="297">
        <f t="shared" ref="J20" si="4">SUM(I20:I26)</f>
        <v>376041</v>
      </c>
      <c r="K20" s="314"/>
      <c r="L20" s="87">
        <v>2110250</v>
      </c>
      <c r="M20" s="295">
        <f t="shared" ref="M20" si="5">SUM(L20:L26)</f>
        <v>12097345</v>
      </c>
      <c r="N20" s="307"/>
      <c r="O20" s="90">
        <f t="shared" si="1"/>
        <v>0.62961038939340175</v>
      </c>
      <c r="P20" s="308">
        <f t="shared" ref="P20" si="6">M20/G20</f>
        <v>0.63191538158343363</v>
      </c>
      <c r="Q20" s="308"/>
      <c r="S20" s="295">
        <f t="shared" ref="S20" si="7">SUM(R20:R26)</f>
        <v>0</v>
      </c>
      <c r="T20" s="295"/>
      <c r="U20" s="90">
        <f t="shared" si="0"/>
        <v>0</v>
      </c>
      <c r="V20" s="295">
        <f t="shared" ref="V20" si="8">SUM(U20:U26)</f>
        <v>0</v>
      </c>
      <c r="W20" s="295"/>
    </row>
    <row r="21" spans="2:23" ht="14.25">
      <c r="B21" s="310"/>
      <c r="C21" s="310"/>
      <c r="D21" s="86">
        <v>45917</v>
      </c>
      <c r="E21" s="271" t="s">
        <v>58</v>
      </c>
      <c r="F21" s="87">
        <v>3025640.19</v>
      </c>
      <c r="G21" s="313"/>
      <c r="H21" s="296"/>
      <c r="I21" s="246">
        <v>61614</v>
      </c>
      <c r="J21" s="297"/>
      <c r="K21" s="314"/>
      <c r="L21" s="87">
        <v>1908759</v>
      </c>
      <c r="M21" s="295"/>
      <c r="N21" s="307"/>
      <c r="O21" s="90">
        <f t="shared" si="1"/>
        <v>0.63086119965903809</v>
      </c>
      <c r="P21" s="308"/>
      <c r="Q21" s="308"/>
      <c r="S21" s="295"/>
      <c r="T21" s="295"/>
      <c r="U21" s="90">
        <f t="shared" si="0"/>
        <v>0</v>
      </c>
      <c r="V21" s="295"/>
      <c r="W21" s="295"/>
    </row>
    <row r="22" spans="2:23" ht="14.25">
      <c r="B22" s="310"/>
      <c r="C22" s="310"/>
      <c r="D22" s="86">
        <v>45918</v>
      </c>
      <c r="E22" s="271" t="s">
        <v>59</v>
      </c>
      <c r="F22" s="87">
        <v>2779379.58</v>
      </c>
      <c r="G22" s="313"/>
      <c r="H22" s="296"/>
      <c r="I22" s="246">
        <v>56703</v>
      </c>
      <c r="J22" s="297"/>
      <c r="K22" s="314"/>
      <c r="L22" s="87">
        <v>1752150</v>
      </c>
      <c r="M22" s="295"/>
      <c r="N22" s="307"/>
      <c r="O22" s="90">
        <f t="shared" si="1"/>
        <v>0.63041047455633958</v>
      </c>
      <c r="P22" s="308"/>
      <c r="Q22" s="308"/>
      <c r="S22" s="295"/>
      <c r="T22" s="295"/>
      <c r="U22" s="90">
        <f t="shared" si="0"/>
        <v>0</v>
      </c>
      <c r="V22" s="295"/>
      <c r="W22" s="295"/>
    </row>
    <row r="23" spans="2:23" ht="14.25">
      <c r="B23" s="310"/>
      <c r="C23" s="310"/>
      <c r="D23" s="86">
        <v>45919</v>
      </c>
      <c r="E23" s="271" t="s">
        <v>60</v>
      </c>
      <c r="F23" s="87">
        <v>2046591.6600000001</v>
      </c>
      <c r="G23" s="313"/>
      <c r="H23" s="296"/>
      <c r="I23" s="246">
        <v>42093</v>
      </c>
      <c r="J23" s="297"/>
      <c r="K23" s="314"/>
      <c r="L23" s="87">
        <v>1300843</v>
      </c>
      <c r="M23" s="295"/>
      <c r="N23" s="307"/>
      <c r="O23" s="90">
        <f t="shared" si="1"/>
        <v>0.63561433647198573</v>
      </c>
      <c r="P23" s="308"/>
      <c r="Q23" s="308"/>
      <c r="S23" s="295"/>
      <c r="T23" s="295"/>
      <c r="U23" s="90">
        <f t="shared" si="0"/>
        <v>0</v>
      </c>
      <c r="V23" s="295"/>
      <c r="W23" s="295"/>
    </row>
    <row r="24" spans="2:23" ht="14.25">
      <c r="B24" s="310"/>
      <c r="C24" s="310"/>
      <c r="D24" s="86">
        <v>45920</v>
      </c>
      <c r="E24" s="271" t="s">
        <v>61</v>
      </c>
      <c r="F24" s="87">
        <v>2230582.54</v>
      </c>
      <c r="G24" s="313"/>
      <c r="H24" s="296"/>
      <c r="I24" s="246">
        <v>45817</v>
      </c>
      <c r="J24" s="297"/>
      <c r="K24" s="314"/>
      <c r="L24" s="87">
        <v>1427843</v>
      </c>
      <c r="M24" s="295"/>
      <c r="N24" s="307"/>
      <c r="O24" s="90">
        <f t="shared" si="1"/>
        <v>0.6401211227987107</v>
      </c>
      <c r="P24" s="308"/>
      <c r="Q24" s="308"/>
      <c r="S24" s="295"/>
      <c r="T24" s="295"/>
      <c r="U24" s="90">
        <f t="shared" si="0"/>
        <v>0</v>
      </c>
      <c r="V24" s="295"/>
      <c r="W24" s="295"/>
    </row>
    <row r="25" spans="2:23" ht="14.25">
      <c r="B25" s="310"/>
      <c r="C25" s="310"/>
      <c r="D25" s="86">
        <v>45921</v>
      </c>
      <c r="E25" s="271" t="s">
        <v>52</v>
      </c>
      <c r="F25" s="87">
        <v>2856811.98</v>
      </c>
      <c r="G25" s="313"/>
      <c r="H25" s="296"/>
      <c r="I25" s="246">
        <v>58722</v>
      </c>
      <c r="J25" s="297"/>
      <c r="K25" s="314"/>
      <c r="L25" s="87">
        <v>1799250</v>
      </c>
      <c r="M25" s="295"/>
      <c r="N25" s="307"/>
      <c r="O25" s="90">
        <f t="shared" si="1"/>
        <v>0.6298104364572148</v>
      </c>
      <c r="P25" s="308"/>
      <c r="Q25" s="308"/>
      <c r="S25" s="295"/>
      <c r="T25" s="295"/>
      <c r="U25" s="90">
        <f t="shared" si="0"/>
        <v>0</v>
      </c>
      <c r="V25" s="295"/>
      <c r="W25" s="295"/>
    </row>
    <row r="26" spans="2:23">
      <c r="B26" s="310"/>
      <c r="C26" s="310"/>
      <c r="D26" s="86">
        <v>45922</v>
      </c>
      <c r="E26" s="86" t="s">
        <v>56</v>
      </c>
      <c r="F26" s="87">
        <v>2853249.95</v>
      </c>
      <c r="G26" s="313"/>
      <c r="H26" s="296"/>
      <c r="I26" s="246">
        <v>58498</v>
      </c>
      <c r="J26" s="297"/>
      <c r="K26" s="314"/>
      <c r="L26" s="87">
        <v>1798250</v>
      </c>
      <c r="M26" s="295"/>
      <c r="N26" s="307"/>
      <c r="O26" s="90">
        <f t="shared" si="1"/>
        <v>0.63024622150611087</v>
      </c>
      <c r="P26" s="308"/>
      <c r="Q26" s="308"/>
      <c r="S26" s="295"/>
      <c r="T26" s="295"/>
      <c r="U26" s="90">
        <f t="shared" si="0"/>
        <v>0</v>
      </c>
      <c r="V26" s="295"/>
      <c r="W26" s="295"/>
    </row>
    <row r="27" spans="2:23" ht="14.25">
      <c r="B27" s="312">
        <v>45931</v>
      </c>
      <c r="C27" s="310"/>
      <c r="D27" s="86">
        <v>45923</v>
      </c>
      <c r="E27" s="271" t="s">
        <v>57</v>
      </c>
      <c r="F27" s="87">
        <v>2623577.5700000003</v>
      </c>
      <c r="G27" s="313">
        <f t="shared" ref="G27" si="9">SUM(F27:F33)</f>
        <v>16941838.669999998</v>
      </c>
      <c r="H27" s="296"/>
      <c r="I27" s="246">
        <v>54036</v>
      </c>
      <c r="J27" s="297">
        <f t="shared" ref="J27" si="10">SUM(I27:I33)</f>
        <v>347276</v>
      </c>
      <c r="K27" s="314"/>
      <c r="L27" s="87">
        <v>1650250</v>
      </c>
      <c r="M27" s="295">
        <f t="shared" ref="M27" si="11">SUM(L27:L33)</f>
        <v>10676345</v>
      </c>
      <c r="N27" s="307"/>
      <c r="O27" s="90">
        <f t="shared" si="1"/>
        <v>0.6290075120591917</v>
      </c>
      <c r="P27" s="308">
        <f t="shared" ref="P27" si="12">M27/G27</f>
        <v>0.63017628770750189</v>
      </c>
      <c r="Q27" s="308"/>
      <c r="S27" s="295">
        <f t="shared" ref="S27" si="13">SUM(R27:R33)</f>
        <v>0</v>
      </c>
      <c r="T27" s="295"/>
      <c r="U27" s="90">
        <f t="shared" si="0"/>
        <v>0</v>
      </c>
      <c r="V27" s="295">
        <f t="shared" ref="V27" si="14">SUM(U27:U33)</f>
        <v>0</v>
      </c>
      <c r="W27" s="295"/>
    </row>
    <row r="28" spans="2:23" ht="14.25">
      <c r="B28" s="310"/>
      <c r="C28" s="310"/>
      <c r="D28" s="86">
        <v>45924</v>
      </c>
      <c r="E28" s="271" t="s">
        <v>58</v>
      </c>
      <c r="F28" s="87">
        <v>2681520.52</v>
      </c>
      <c r="G28" s="313"/>
      <c r="H28" s="296"/>
      <c r="I28" s="246">
        <v>55176</v>
      </c>
      <c r="J28" s="297"/>
      <c r="K28" s="314"/>
      <c r="L28" s="87">
        <v>1685759</v>
      </c>
      <c r="M28" s="295"/>
      <c r="N28" s="307"/>
      <c r="O28" s="90">
        <f t="shared" si="1"/>
        <v>0.62865787803108064</v>
      </c>
      <c r="P28" s="308"/>
      <c r="Q28" s="308"/>
      <c r="S28" s="295"/>
      <c r="T28" s="295"/>
      <c r="U28" s="90">
        <f t="shared" si="0"/>
        <v>0</v>
      </c>
      <c r="V28" s="295"/>
      <c r="W28" s="295"/>
    </row>
    <row r="29" spans="2:23" ht="14.25">
      <c r="B29" s="310"/>
      <c r="C29" s="310"/>
      <c r="D29" s="86">
        <v>45925</v>
      </c>
      <c r="E29" s="271" t="s">
        <v>59</v>
      </c>
      <c r="F29" s="87">
        <v>2459851.8899999997</v>
      </c>
      <c r="G29" s="313"/>
      <c r="H29" s="296"/>
      <c r="I29" s="246">
        <v>50523</v>
      </c>
      <c r="J29" s="297"/>
      <c r="K29" s="314"/>
      <c r="L29" s="87">
        <v>1552150</v>
      </c>
      <c r="M29" s="295"/>
      <c r="N29" s="307"/>
      <c r="O29" s="90">
        <f t="shared" si="1"/>
        <v>0.63099327496502244</v>
      </c>
      <c r="P29" s="308"/>
      <c r="Q29" s="308"/>
      <c r="S29" s="295"/>
      <c r="T29" s="295"/>
      <c r="U29" s="90">
        <f t="shared" si="0"/>
        <v>0</v>
      </c>
      <c r="V29" s="295"/>
      <c r="W29" s="295"/>
    </row>
    <row r="30" spans="2:23" ht="14.25">
      <c r="B30" s="310"/>
      <c r="C30" s="310"/>
      <c r="D30" s="86">
        <v>45926</v>
      </c>
      <c r="E30" s="271" t="s">
        <v>60</v>
      </c>
      <c r="F30" s="87">
        <v>1996517.17</v>
      </c>
      <c r="G30" s="313"/>
      <c r="H30" s="296"/>
      <c r="I30" s="246">
        <v>40771</v>
      </c>
      <c r="J30" s="297"/>
      <c r="K30" s="314"/>
      <c r="L30" s="87">
        <v>1259843</v>
      </c>
      <c r="M30" s="295"/>
      <c r="N30" s="307"/>
      <c r="O30" s="90">
        <f t="shared" si="1"/>
        <v>0.63102036833472364</v>
      </c>
      <c r="P30" s="308"/>
      <c r="Q30" s="308"/>
      <c r="S30" s="295"/>
      <c r="T30" s="295"/>
      <c r="U30" s="90">
        <f t="shared" si="0"/>
        <v>0</v>
      </c>
      <c r="V30" s="295"/>
      <c r="W30" s="295"/>
    </row>
    <row r="31" spans="2:23" ht="14.25">
      <c r="B31" s="310"/>
      <c r="C31" s="310"/>
      <c r="D31" s="86">
        <v>45927</v>
      </c>
      <c r="E31" s="271" t="s">
        <v>61</v>
      </c>
      <c r="F31" s="87">
        <v>2053881.9100000001</v>
      </c>
      <c r="G31" s="313"/>
      <c r="H31" s="296"/>
      <c r="I31" s="246">
        <v>41899</v>
      </c>
      <c r="J31" s="297"/>
      <c r="K31" s="314"/>
      <c r="L31" s="87">
        <v>1297843</v>
      </c>
      <c r="M31" s="295"/>
      <c r="N31" s="307"/>
      <c r="O31" s="90">
        <f t="shared" si="1"/>
        <v>0.63189757584456252</v>
      </c>
      <c r="P31" s="308"/>
      <c r="Q31" s="308"/>
      <c r="S31" s="295"/>
      <c r="T31" s="295"/>
      <c r="U31" s="90">
        <f t="shared" si="0"/>
        <v>0</v>
      </c>
      <c r="V31" s="295"/>
      <c r="W31" s="295"/>
    </row>
    <row r="32" spans="2:23" ht="14.25">
      <c r="B32" s="310"/>
      <c r="C32" s="310"/>
      <c r="D32" s="86">
        <v>45928</v>
      </c>
      <c r="E32" s="271" t="s">
        <v>52</v>
      </c>
      <c r="F32" s="87">
        <v>2260837.33</v>
      </c>
      <c r="G32" s="313"/>
      <c r="H32" s="296"/>
      <c r="I32" s="246">
        <v>46083</v>
      </c>
      <c r="J32" s="297"/>
      <c r="K32" s="314"/>
      <c r="L32" s="87">
        <v>1422250</v>
      </c>
      <c r="M32" s="295"/>
      <c r="N32" s="307"/>
      <c r="O32" s="90">
        <f t="shared" si="1"/>
        <v>0.62908108475013547</v>
      </c>
      <c r="P32" s="308"/>
      <c r="Q32" s="308"/>
      <c r="S32" s="295"/>
      <c r="T32" s="295"/>
      <c r="U32" s="90">
        <f t="shared" si="0"/>
        <v>0</v>
      </c>
      <c r="V32" s="295"/>
      <c r="W32" s="295"/>
    </row>
    <row r="33" spans="2:23">
      <c r="B33" s="310"/>
      <c r="C33" s="310"/>
      <c r="D33" s="86">
        <v>45929</v>
      </c>
      <c r="E33" s="86" t="s">
        <v>56</v>
      </c>
      <c r="F33" s="87">
        <v>2865652.2800000003</v>
      </c>
      <c r="G33" s="313"/>
      <c r="H33" s="296"/>
      <c r="I33" s="246">
        <v>58788</v>
      </c>
      <c r="J33" s="297"/>
      <c r="K33" s="314"/>
      <c r="L33" s="87">
        <v>1808250</v>
      </c>
      <c r="M33" s="295"/>
      <c r="N33" s="307"/>
      <c r="O33" s="90">
        <f t="shared" si="1"/>
        <v>0.63100816963040607</v>
      </c>
      <c r="P33" s="308"/>
      <c r="Q33" s="308"/>
      <c r="S33" s="295"/>
      <c r="T33" s="295"/>
      <c r="U33" s="90">
        <f t="shared" si="0"/>
        <v>0</v>
      </c>
      <c r="V33" s="295"/>
      <c r="W33" s="295"/>
    </row>
    <row r="34" spans="2:23" ht="14.25">
      <c r="B34" s="83"/>
      <c r="C34" s="310"/>
      <c r="D34" s="86">
        <v>45930</v>
      </c>
      <c r="E34" s="271" t="s">
        <v>57</v>
      </c>
      <c r="F34" s="87">
        <v>3164412</v>
      </c>
      <c r="G34" s="277">
        <f>SUM(F34)</f>
        <v>3164412</v>
      </c>
      <c r="H34" s="296"/>
      <c r="I34" s="246"/>
      <c r="J34" s="246"/>
      <c r="K34" s="314"/>
      <c r="L34" s="87">
        <v>1995250</v>
      </c>
      <c r="M34" s="268">
        <f>SUM(L34)</f>
        <v>1995250</v>
      </c>
      <c r="N34" s="307"/>
      <c r="O34" s="90">
        <f t="shared" si="1"/>
        <v>0.63052788322127462</v>
      </c>
      <c r="P34" s="284">
        <f>M34/G34</f>
        <v>0.63052788322127462</v>
      </c>
      <c r="Q34" s="308"/>
      <c r="S34" s="87"/>
      <c r="T34" s="295"/>
      <c r="U34" s="90">
        <f t="shared" si="0"/>
        <v>0</v>
      </c>
      <c r="V34" s="87"/>
      <c r="W34" s="295"/>
    </row>
    <row r="35" spans="2:23">
      <c r="B35" s="83"/>
      <c r="C35" s="83"/>
      <c r="D35" s="86"/>
      <c r="E35" s="86"/>
      <c r="I35" s="246"/>
      <c r="J35" s="246"/>
      <c r="K35" s="246"/>
      <c r="L35" s="87"/>
      <c r="M35" s="87"/>
      <c r="N35" s="87"/>
      <c r="P35" s="87"/>
      <c r="Q35" s="87"/>
      <c r="S35" s="87"/>
      <c r="T35" s="87"/>
      <c r="U35" s="90" t="e">
        <f t="shared" si="0"/>
        <v>#DIV/0!</v>
      </c>
      <c r="V35" s="87"/>
      <c r="W35" s="295"/>
    </row>
    <row r="36" spans="2:23">
      <c r="B36" s="83"/>
      <c r="D36" s="86"/>
      <c r="E36" s="86"/>
      <c r="I36" s="246"/>
      <c r="J36" s="246"/>
      <c r="K36" s="246"/>
      <c r="L36" s="87"/>
      <c r="M36" s="87"/>
      <c r="N36" s="87"/>
      <c r="P36" s="87"/>
      <c r="Q36" s="87"/>
      <c r="S36" s="87"/>
      <c r="T36" s="87"/>
      <c r="V36" s="87"/>
      <c r="W36" s="87"/>
    </row>
    <row r="37" spans="2:23">
      <c r="B37" s="310"/>
      <c r="D37" s="86"/>
      <c r="E37" s="86"/>
      <c r="G37" s="295"/>
      <c r="I37" s="246"/>
      <c r="J37" s="311"/>
      <c r="K37" s="246"/>
      <c r="L37" s="87"/>
      <c r="M37" s="295"/>
      <c r="N37" s="87"/>
      <c r="P37" s="295"/>
      <c r="Q37" s="87"/>
      <c r="S37" s="295">
        <f t="shared" ref="S37" si="15">SUM(R37:R43)</f>
        <v>0</v>
      </c>
      <c r="T37" s="87"/>
      <c r="V37" s="295">
        <f t="shared" ref="V37" si="16">SUM(U37:U43)</f>
        <v>0</v>
      </c>
      <c r="W37" s="87"/>
    </row>
    <row r="38" spans="2:23">
      <c r="B38" s="310"/>
      <c r="D38" s="86"/>
      <c r="E38" s="86"/>
      <c r="G38" s="295"/>
      <c r="I38" s="246"/>
      <c r="J38" s="311"/>
      <c r="K38" s="246"/>
      <c r="L38" s="87"/>
      <c r="M38" s="295"/>
      <c r="N38" s="87"/>
      <c r="P38" s="295"/>
      <c r="Q38" s="87"/>
      <c r="S38" s="295"/>
      <c r="T38" s="87"/>
      <c r="V38" s="295"/>
      <c r="W38" s="87"/>
    </row>
    <row r="39" spans="2:23">
      <c r="B39" s="310"/>
      <c r="D39" s="86"/>
      <c r="E39" s="86"/>
      <c r="G39" s="295"/>
      <c r="I39" s="246"/>
      <c r="J39" s="311"/>
      <c r="K39" s="246"/>
      <c r="L39" s="87"/>
      <c r="M39" s="295"/>
      <c r="N39" s="87"/>
      <c r="P39" s="295"/>
      <c r="Q39" s="87"/>
      <c r="S39" s="295"/>
      <c r="T39" s="87"/>
      <c r="V39" s="295"/>
      <c r="W39" s="87"/>
    </row>
    <row r="40" spans="2:23">
      <c r="B40" s="310"/>
      <c r="D40" s="86"/>
      <c r="E40" s="86"/>
      <c r="G40" s="295"/>
      <c r="I40" s="246"/>
      <c r="J40" s="311"/>
      <c r="K40" s="246"/>
      <c r="L40" s="87"/>
      <c r="M40" s="295"/>
      <c r="N40" s="87"/>
      <c r="P40" s="295"/>
      <c r="Q40" s="87"/>
      <c r="S40" s="295"/>
      <c r="T40" s="87"/>
      <c r="V40" s="295"/>
      <c r="W40" s="87"/>
    </row>
    <row r="41" spans="2:23">
      <c r="B41" s="310"/>
      <c r="D41" s="86"/>
      <c r="E41" s="86"/>
      <c r="G41" s="295"/>
      <c r="I41" s="246"/>
      <c r="J41" s="311"/>
      <c r="K41" s="246"/>
      <c r="L41" s="87"/>
      <c r="M41" s="295"/>
      <c r="N41" s="87"/>
      <c r="P41" s="295"/>
      <c r="Q41" s="87"/>
      <c r="S41" s="295"/>
      <c r="T41" s="87"/>
      <c r="V41" s="295"/>
      <c r="W41" s="87"/>
    </row>
    <row r="42" spans="2:23">
      <c r="B42" s="310"/>
      <c r="D42" s="86"/>
      <c r="E42" s="86"/>
      <c r="G42" s="295"/>
      <c r="I42" s="246"/>
      <c r="J42" s="311"/>
      <c r="K42" s="246"/>
      <c r="L42" s="87"/>
      <c r="M42" s="295"/>
      <c r="N42" s="87"/>
      <c r="P42" s="295"/>
      <c r="Q42" s="87"/>
      <c r="S42" s="295"/>
      <c r="T42" s="87"/>
      <c r="V42" s="295"/>
      <c r="W42" s="87"/>
    </row>
    <row r="43" spans="2:23">
      <c r="B43" s="310"/>
      <c r="D43" s="86"/>
      <c r="E43" s="86"/>
      <c r="G43" s="295"/>
      <c r="I43" s="246"/>
      <c r="J43" s="311"/>
      <c r="K43" s="246"/>
      <c r="L43" s="87"/>
      <c r="M43" s="295"/>
      <c r="N43" s="87"/>
      <c r="P43" s="295"/>
      <c r="Q43" s="87"/>
      <c r="S43" s="295"/>
      <c r="T43" s="87"/>
      <c r="V43" s="295"/>
      <c r="W43" s="87"/>
    </row>
  </sheetData>
  <mergeCells count="52">
    <mergeCell ref="B37:B43"/>
    <mergeCell ref="J37:J43"/>
    <mergeCell ref="G37:G43"/>
    <mergeCell ref="M37:M43"/>
    <mergeCell ref="B13:B19"/>
    <mergeCell ref="B20:B26"/>
    <mergeCell ref="B27:B33"/>
    <mergeCell ref="C5:C34"/>
    <mergeCell ref="G6:G12"/>
    <mergeCell ref="G13:G19"/>
    <mergeCell ref="G20:G26"/>
    <mergeCell ref="G27:G33"/>
    <mergeCell ref="B6:B12"/>
    <mergeCell ref="K5:K34"/>
    <mergeCell ref="M6:M12"/>
    <mergeCell ref="M13:M19"/>
    <mergeCell ref="Q5:Q34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N5:N34"/>
    <mergeCell ref="P6:P12"/>
    <mergeCell ref="P13:P19"/>
    <mergeCell ref="P20:P26"/>
    <mergeCell ref="P27:P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M20:M26"/>
    <mergeCell ref="M27:M33"/>
    <mergeCell ref="H5:H34"/>
    <mergeCell ref="J6:J12"/>
    <mergeCell ref="J13:J19"/>
    <mergeCell ref="J20:J26"/>
    <mergeCell ref="J27:J33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abSelected="1" topLeftCell="E8" zoomScale="85" zoomScaleNormal="85" workbookViewId="0">
      <selection activeCell="Q5" sqref="Q5:Q34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111.8</v>
      </c>
    </row>
    <row r="2" spans="2:23" ht="38.1" customHeight="1">
      <c r="B2" s="298" t="s">
        <v>62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</row>
    <row r="3" spans="2:23" s="71" customFormat="1" ht="23.45" customHeight="1">
      <c r="B3" s="302" t="s">
        <v>43</v>
      </c>
      <c r="C3" s="303" t="s">
        <v>44</v>
      </c>
      <c r="D3" s="304" t="s">
        <v>45</v>
      </c>
      <c r="E3" s="304"/>
      <c r="F3" s="319" t="s">
        <v>63</v>
      </c>
      <c r="G3" s="319"/>
      <c r="H3" s="319"/>
      <c r="I3" s="321" t="s">
        <v>64</v>
      </c>
      <c r="J3" s="321"/>
      <c r="K3" s="321"/>
      <c r="L3" s="320" t="s">
        <v>65</v>
      </c>
      <c r="M3" s="320"/>
      <c r="N3" s="320"/>
      <c r="O3" s="320" t="s">
        <v>66</v>
      </c>
      <c r="P3" s="320"/>
      <c r="Q3" s="320"/>
      <c r="R3" s="320" t="s">
        <v>67</v>
      </c>
      <c r="S3" s="320"/>
      <c r="T3" s="320"/>
      <c r="U3" s="320" t="s">
        <v>68</v>
      </c>
      <c r="V3" s="320"/>
      <c r="W3" s="320"/>
    </row>
    <row r="4" spans="2:23" ht="15.75">
      <c r="B4" s="302"/>
      <c r="C4" s="303"/>
      <c r="D4" s="304"/>
      <c r="E4" s="304"/>
      <c r="F4" s="85" t="s">
        <v>52</v>
      </c>
      <c r="G4" s="96" t="s">
        <v>69</v>
      </c>
      <c r="H4" s="96" t="s">
        <v>70</v>
      </c>
      <c r="I4" s="85" t="s">
        <v>52</v>
      </c>
      <c r="J4" s="95" t="s">
        <v>69</v>
      </c>
      <c r="K4" s="95" t="s">
        <v>70</v>
      </c>
      <c r="L4" s="85" t="s">
        <v>52</v>
      </c>
      <c r="M4" s="95" t="s">
        <v>69</v>
      </c>
      <c r="N4" s="95" t="s">
        <v>70</v>
      </c>
      <c r="O4" s="85" t="s">
        <v>52</v>
      </c>
      <c r="P4" s="95" t="s">
        <v>69</v>
      </c>
      <c r="Q4" s="95" t="s">
        <v>70</v>
      </c>
      <c r="R4" s="85" t="s">
        <v>52</v>
      </c>
      <c r="S4" s="95" t="s">
        <v>69</v>
      </c>
      <c r="T4" s="95" t="s">
        <v>70</v>
      </c>
      <c r="U4" s="85" t="s">
        <v>52</v>
      </c>
      <c r="V4" s="95" t="s">
        <v>69</v>
      </c>
      <c r="W4" s="95" t="s">
        <v>70</v>
      </c>
    </row>
    <row r="5" spans="2:23" ht="14.45" customHeight="1">
      <c r="B5" s="272"/>
      <c r="C5" s="317" t="s">
        <v>55</v>
      </c>
      <c r="D5" s="86">
        <v>45901</v>
      </c>
      <c r="E5" s="86" t="s">
        <v>56</v>
      </c>
      <c r="F5" s="93">
        <v>96.8</v>
      </c>
      <c r="G5" s="93">
        <f>AVERAGE(F5)</f>
        <v>96.8</v>
      </c>
      <c r="H5" s="314">
        <f>AVERAGE(F5:F34)</f>
        <v>99.586666666666659</v>
      </c>
      <c r="I5" s="90">
        <f>F5/$C$1</f>
        <v>0.86583184257602863</v>
      </c>
      <c r="J5" s="288">
        <f>AVERAGE(I5)</f>
        <v>0.86583184257602863</v>
      </c>
      <c r="K5" s="316">
        <f>AVERAGE(I5:I34)</f>
        <v>0.89075730471079306</v>
      </c>
      <c r="L5" s="220">
        <v>3.65E-3</v>
      </c>
      <c r="M5" s="270">
        <f>AVERAGE(L5)</f>
        <v>3.65E-3</v>
      </c>
      <c r="N5" s="315">
        <f>AVERAGE(L5:L34)</f>
        <v>7.3326666666666679E-3</v>
      </c>
      <c r="O5" s="220">
        <v>2E-3</v>
      </c>
      <c r="P5" s="270">
        <f>AVERAGE(O5)</f>
        <v>2E-3</v>
      </c>
      <c r="Q5" s="315">
        <f>AVERAGE(O5:O34)</f>
        <v>3.5836666666666669E-3</v>
      </c>
      <c r="R5" s="220">
        <v>0.42899999999999999</v>
      </c>
      <c r="S5" s="270">
        <f>AVERAGE(R5)</f>
        <v>0.42899999999999999</v>
      </c>
      <c r="T5" s="315">
        <f>AVERAGE(R5:R34)</f>
        <v>0.42900000000000016</v>
      </c>
      <c r="U5" s="220">
        <v>0.1</v>
      </c>
      <c r="V5" s="270">
        <f>AVERAGE(U5)</f>
        <v>0.1</v>
      </c>
      <c r="W5" s="315">
        <f>AVERAGE(U5:U34)</f>
        <v>0.45733333333333331</v>
      </c>
    </row>
    <row r="6" spans="2:23" ht="14.45" customHeight="1">
      <c r="B6" s="312">
        <v>45910</v>
      </c>
      <c r="C6" s="310"/>
      <c r="D6" s="86">
        <v>45902</v>
      </c>
      <c r="E6" s="271" t="s">
        <v>57</v>
      </c>
      <c r="F6" s="93">
        <v>99.3</v>
      </c>
      <c r="G6" s="297">
        <f>AVERAGE(F6:F12)</f>
        <v>98.742857142857133</v>
      </c>
      <c r="H6" s="314"/>
      <c r="I6" s="90">
        <f t="shared" ref="I6:I43" si="0">F6/$C$1</f>
        <v>0.88819320214669051</v>
      </c>
      <c r="J6" s="316">
        <f>AVERAGE(I6:I12)</f>
        <v>0.88320981344237148</v>
      </c>
      <c r="K6" s="316"/>
      <c r="L6" s="220">
        <v>5.5300000000000002E-3</v>
      </c>
      <c r="M6" s="315">
        <f>AVERAGE(L6:L12)</f>
        <v>5.6771428571428572E-3</v>
      </c>
      <c r="N6" s="315"/>
      <c r="O6" s="220">
        <v>1.8E-3</v>
      </c>
      <c r="P6" s="315">
        <f>AVERAGE(O6:O12)</f>
        <v>2.8285714285714281E-3</v>
      </c>
      <c r="Q6" s="315"/>
      <c r="R6" s="220">
        <v>0.42899999999999999</v>
      </c>
      <c r="S6" s="315">
        <f>AVERAGE(R6:R12)</f>
        <v>0.42899999999999994</v>
      </c>
      <c r="T6" s="315"/>
      <c r="U6" s="220">
        <v>0.1</v>
      </c>
      <c r="V6" s="315">
        <f>AVERAGE(U6:U12)</f>
        <v>0.27142857142857141</v>
      </c>
      <c r="W6" s="315"/>
    </row>
    <row r="7" spans="2:23" ht="14.45" customHeight="1">
      <c r="B7" s="312"/>
      <c r="C7" s="310"/>
      <c r="D7" s="86">
        <v>45903</v>
      </c>
      <c r="E7" s="271" t="s">
        <v>58</v>
      </c>
      <c r="F7" s="93">
        <v>97.9</v>
      </c>
      <c r="G7" s="297"/>
      <c r="H7" s="314"/>
      <c r="I7" s="90">
        <f t="shared" si="0"/>
        <v>0.87567084078711988</v>
      </c>
      <c r="J7" s="316"/>
      <c r="K7" s="316"/>
      <c r="L7" s="220">
        <v>5.4000000000000003E-3</v>
      </c>
      <c r="M7" s="315"/>
      <c r="N7" s="315"/>
      <c r="O7" s="220">
        <v>1.6000000000000001E-3</v>
      </c>
      <c r="P7" s="315"/>
      <c r="Q7" s="315"/>
      <c r="R7" s="220">
        <v>0.42899999999999999</v>
      </c>
      <c r="S7" s="315"/>
      <c r="T7" s="315"/>
      <c r="U7" s="220">
        <v>0.2</v>
      </c>
      <c r="V7" s="315"/>
      <c r="W7" s="315"/>
    </row>
    <row r="8" spans="2:23" ht="14.45" customHeight="1">
      <c r="B8" s="312"/>
      <c r="C8" s="310"/>
      <c r="D8" s="86">
        <v>45904</v>
      </c>
      <c r="E8" s="271" t="s">
        <v>59</v>
      </c>
      <c r="F8" s="93">
        <v>100.7</v>
      </c>
      <c r="G8" s="297"/>
      <c r="H8" s="314"/>
      <c r="I8" s="90">
        <f t="shared" si="0"/>
        <v>0.90071556350626125</v>
      </c>
      <c r="J8" s="316"/>
      <c r="K8" s="316"/>
      <c r="L8" s="220">
        <v>6.2700000000000004E-3</v>
      </c>
      <c r="M8" s="315"/>
      <c r="N8" s="315"/>
      <c r="O8" s="220">
        <v>3.0000000000000001E-3</v>
      </c>
      <c r="P8" s="315"/>
      <c r="Q8" s="315"/>
      <c r="R8" s="220">
        <v>0.42899999999999999</v>
      </c>
      <c r="S8" s="315"/>
      <c r="T8" s="315"/>
      <c r="U8" s="220">
        <v>0.2</v>
      </c>
      <c r="V8" s="315"/>
      <c r="W8" s="315"/>
    </row>
    <row r="9" spans="2:23" ht="14.45" customHeight="1">
      <c r="B9" s="312"/>
      <c r="C9" s="310"/>
      <c r="D9" s="86">
        <v>45905</v>
      </c>
      <c r="E9" s="271" t="s">
        <v>60</v>
      </c>
      <c r="F9" s="93">
        <v>99.5</v>
      </c>
      <c r="G9" s="297"/>
      <c r="H9" s="314"/>
      <c r="I9" s="90">
        <f t="shared" si="0"/>
        <v>0.88998211091234347</v>
      </c>
      <c r="J9" s="316"/>
      <c r="K9" s="316"/>
      <c r="L9" s="220">
        <v>4.9500000000000004E-3</v>
      </c>
      <c r="M9" s="315"/>
      <c r="N9" s="315"/>
      <c r="O9" s="220">
        <v>2.0999999999999999E-3</v>
      </c>
      <c r="P9" s="315"/>
      <c r="Q9" s="315"/>
      <c r="R9" s="220">
        <v>0.42899999999999999</v>
      </c>
      <c r="S9" s="315"/>
      <c r="T9" s="315"/>
      <c r="U9" s="220">
        <v>0.3</v>
      </c>
      <c r="V9" s="315"/>
      <c r="W9" s="315"/>
    </row>
    <row r="10" spans="2:23" ht="14.45" customHeight="1">
      <c r="B10" s="312"/>
      <c r="C10" s="310"/>
      <c r="D10" s="86">
        <v>45906</v>
      </c>
      <c r="E10" s="271" t="s">
        <v>61</v>
      </c>
      <c r="F10" s="93">
        <v>95.9</v>
      </c>
      <c r="G10" s="297"/>
      <c r="H10" s="314"/>
      <c r="I10" s="90">
        <f t="shared" si="0"/>
        <v>0.85778175313059046</v>
      </c>
      <c r="J10" s="316"/>
      <c r="K10" s="316"/>
      <c r="L10" s="220">
        <v>8.4799999999999997E-3</v>
      </c>
      <c r="M10" s="315"/>
      <c r="N10" s="315"/>
      <c r="O10" s="220">
        <v>5.4999999999999997E-3</v>
      </c>
      <c r="P10" s="315"/>
      <c r="Q10" s="315"/>
      <c r="R10" s="220">
        <v>0.42899999999999999</v>
      </c>
      <c r="S10" s="315"/>
      <c r="T10" s="315"/>
      <c r="U10" s="220">
        <v>0.3</v>
      </c>
      <c r="V10" s="315"/>
      <c r="W10" s="315"/>
    </row>
    <row r="11" spans="2:23" ht="14.45" customHeight="1">
      <c r="B11" s="312"/>
      <c r="C11" s="310"/>
      <c r="D11" s="86">
        <v>45907</v>
      </c>
      <c r="E11" s="271" t="s">
        <v>52</v>
      </c>
      <c r="F11" s="93">
        <v>94.8</v>
      </c>
      <c r="G11" s="297"/>
      <c r="H11" s="314"/>
      <c r="I11" s="90">
        <f t="shared" si="0"/>
        <v>0.84794275491949911</v>
      </c>
      <c r="J11" s="316"/>
      <c r="K11" s="316"/>
      <c r="L11" s="220">
        <v>4.64E-3</v>
      </c>
      <c r="M11" s="315"/>
      <c r="N11" s="315"/>
      <c r="O11" s="220">
        <v>2.0999999999999999E-3</v>
      </c>
      <c r="P11" s="315"/>
      <c r="Q11" s="315"/>
      <c r="R11" s="220">
        <v>0.42899999999999999</v>
      </c>
      <c r="S11" s="315"/>
      <c r="T11" s="315"/>
      <c r="U11" s="220">
        <v>0.4</v>
      </c>
      <c r="V11" s="315"/>
      <c r="W11" s="315"/>
    </row>
    <row r="12" spans="2:23" ht="14.45" customHeight="1">
      <c r="B12" s="312"/>
      <c r="C12" s="310"/>
      <c r="D12" s="86">
        <v>45908</v>
      </c>
      <c r="E12" s="86" t="s">
        <v>56</v>
      </c>
      <c r="F12" s="93">
        <v>103.1</v>
      </c>
      <c r="G12" s="297"/>
      <c r="H12" s="314"/>
      <c r="I12" s="90">
        <f t="shared" si="0"/>
        <v>0.92218246869409659</v>
      </c>
      <c r="J12" s="316"/>
      <c r="K12" s="316"/>
      <c r="L12" s="220">
        <v>4.47E-3</v>
      </c>
      <c r="M12" s="315"/>
      <c r="N12" s="315"/>
      <c r="O12" s="220">
        <v>3.7000000000000002E-3</v>
      </c>
      <c r="P12" s="315"/>
      <c r="Q12" s="315"/>
      <c r="R12" s="220">
        <v>0.42899999999999999</v>
      </c>
      <c r="S12" s="315"/>
      <c r="T12" s="315"/>
      <c r="U12" s="220">
        <v>0.4</v>
      </c>
      <c r="V12" s="315"/>
      <c r="W12" s="315"/>
    </row>
    <row r="13" spans="2:23" ht="14.45" customHeight="1">
      <c r="B13" s="312">
        <v>45917</v>
      </c>
      <c r="C13" s="310"/>
      <c r="D13" s="86">
        <v>45909</v>
      </c>
      <c r="E13" s="271" t="s">
        <v>57</v>
      </c>
      <c r="F13" s="93">
        <v>103.6</v>
      </c>
      <c r="G13" s="297">
        <f>AVERAGE(F13:F19)</f>
        <v>102.05714285714285</v>
      </c>
      <c r="H13" s="314"/>
      <c r="I13" s="90">
        <f t="shared" si="0"/>
        <v>0.92665474060822894</v>
      </c>
      <c r="J13" s="316">
        <f>AVERAGE(I13:I19)</f>
        <v>0.91285458727319202</v>
      </c>
      <c r="K13" s="316"/>
      <c r="L13" s="220">
        <v>9.8799999999999999E-3</v>
      </c>
      <c r="M13" s="315">
        <f>AVERAGE(L13:L19)</f>
        <v>5.2857142857142851E-3</v>
      </c>
      <c r="N13" s="315"/>
      <c r="O13" s="220">
        <v>2.0999999999999999E-3</v>
      </c>
      <c r="P13" s="315">
        <f>AVERAGE(O13:O19)</f>
        <v>4.7714285714285714E-3</v>
      </c>
      <c r="Q13" s="315"/>
      <c r="R13" s="220">
        <v>0.42899999999999999</v>
      </c>
      <c r="S13" s="315">
        <f>AVERAGE(R13:R19)</f>
        <v>0.42899999999999994</v>
      </c>
      <c r="T13" s="315"/>
      <c r="U13" s="220">
        <v>0.45</v>
      </c>
      <c r="V13" s="315">
        <f>AVERAGE(U13:U19)</f>
        <v>0.47142857142857142</v>
      </c>
      <c r="W13" s="315"/>
    </row>
    <row r="14" spans="2:23" ht="14.45" customHeight="1">
      <c r="B14" s="310"/>
      <c r="C14" s="310"/>
      <c r="D14" s="86">
        <v>45910</v>
      </c>
      <c r="E14" s="271" t="s">
        <v>58</v>
      </c>
      <c r="F14" s="93">
        <v>103.3</v>
      </c>
      <c r="G14" s="297"/>
      <c r="H14" s="314"/>
      <c r="I14" s="90">
        <f t="shared" si="0"/>
        <v>0.92397137745974955</v>
      </c>
      <c r="J14" s="316"/>
      <c r="K14" s="316"/>
      <c r="L14" s="220">
        <v>5.1200000000000004E-3</v>
      </c>
      <c r="M14" s="315"/>
      <c r="N14" s="315"/>
      <c r="O14" s="220">
        <v>3.5999999999999999E-3</v>
      </c>
      <c r="P14" s="315"/>
      <c r="Q14" s="315"/>
      <c r="R14" s="220">
        <v>0.42899999999999999</v>
      </c>
      <c r="S14" s="315"/>
      <c r="T14" s="315"/>
      <c r="U14" s="220">
        <v>0.45</v>
      </c>
      <c r="V14" s="315"/>
      <c r="W14" s="315"/>
    </row>
    <row r="15" spans="2:23" ht="14.45" customHeight="1">
      <c r="B15" s="310"/>
      <c r="C15" s="310"/>
      <c r="D15" s="86">
        <v>45911</v>
      </c>
      <c r="E15" s="271" t="s">
        <v>59</v>
      </c>
      <c r="F15" s="93">
        <v>102.4</v>
      </c>
      <c r="G15" s="297"/>
      <c r="H15" s="314"/>
      <c r="I15" s="90">
        <f t="shared" si="0"/>
        <v>0.91592128801431139</v>
      </c>
      <c r="J15" s="316"/>
      <c r="K15" s="316"/>
      <c r="L15" s="220">
        <v>4.8700000000000002E-3</v>
      </c>
      <c r="M15" s="315"/>
      <c r="N15" s="315"/>
      <c r="O15" s="220">
        <v>4.4999999999999997E-3</v>
      </c>
      <c r="P15" s="315"/>
      <c r="Q15" s="315"/>
      <c r="R15" s="220">
        <v>0.42899999999999999</v>
      </c>
      <c r="S15" s="315"/>
      <c r="T15" s="315"/>
      <c r="U15" s="220">
        <v>0.45</v>
      </c>
      <c r="V15" s="315"/>
      <c r="W15" s="315"/>
    </row>
    <row r="16" spans="2:23" ht="14.45" customHeight="1">
      <c r="B16" s="310"/>
      <c r="C16" s="310"/>
      <c r="D16" s="86">
        <v>45912</v>
      </c>
      <c r="E16" s="271" t="s">
        <v>60</v>
      </c>
      <c r="F16" s="93">
        <v>102.2</v>
      </c>
      <c r="G16" s="297"/>
      <c r="H16" s="314"/>
      <c r="I16" s="90">
        <f t="shared" si="0"/>
        <v>0.91413237924865842</v>
      </c>
      <c r="J16" s="316"/>
      <c r="K16" s="316"/>
      <c r="L16" s="220">
        <v>4.5700000000000003E-3</v>
      </c>
      <c r="M16" s="315"/>
      <c r="N16" s="315"/>
      <c r="O16" s="220">
        <v>3.5999999999999999E-3</v>
      </c>
      <c r="P16" s="315"/>
      <c r="Q16" s="315"/>
      <c r="R16" s="220">
        <v>0.42899999999999999</v>
      </c>
      <c r="S16" s="315"/>
      <c r="T16" s="315"/>
      <c r="U16" s="220">
        <v>0.45</v>
      </c>
      <c r="V16" s="315"/>
      <c r="W16" s="315"/>
    </row>
    <row r="17" spans="2:23" ht="14.45" customHeight="1">
      <c r="B17" s="310"/>
      <c r="C17" s="310"/>
      <c r="D17" s="86">
        <v>45913</v>
      </c>
      <c r="E17" s="271" t="s">
        <v>61</v>
      </c>
      <c r="F17" s="93">
        <v>101</v>
      </c>
      <c r="G17" s="297"/>
      <c r="H17" s="314"/>
      <c r="I17" s="90">
        <f t="shared" si="0"/>
        <v>0.90339892665474064</v>
      </c>
      <c r="J17" s="316"/>
      <c r="K17" s="316"/>
      <c r="L17" s="220">
        <v>4.15E-3</v>
      </c>
      <c r="M17" s="315"/>
      <c r="N17" s="315"/>
      <c r="O17" s="220">
        <v>4.8999999999999998E-3</v>
      </c>
      <c r="P17" s="315"/>
      <c r="Q17" s="315"/>
      <c r="R17" s="220">
        <v>0.42899999999999999</v>
      </c>
      <c r="S17" s="315"/>
      <c r="T17" s="315"/>
      <c r="U17" s="220">
        <v>0.5</v>
      </c>
      <c r="V17" s="315"/>
      <c r="W17" s="315"/>
    </row>
    <row r="18" spans="2:23" ht="14.45" customHeight="1">
      <c r="B18" s="310"/>
      <c r="C18" s="310"/>
      <c r="D18" s="86">
        <v>45914</v>
      </c>
      <c r="E18" s="271" t="s">
        <v>52</v>
      </c>
      <c r="F18" s="93">
        <v>100.5</v>
      </c>
      <c r="G18" s="297"/>
      <c r="H18" s="314"/>
      <c r="I18" s="90">
        <f t="shared" si="0"/>
        <v>0.89892665474060829</v>
      </c>
      <c r="J18" s="316"/>
      <c r="K18" s="316"/>
      <c r="L18" s="220">
        <v>4.8599999999999997E-3</v>
      </c>
      <c r="M18" s="315"/>
      <c r="N18" s="315"/>
      <c r="O18" s="220">
        <v>6.8999999999999999E-3</v>
      </c>
      <c r="P18" s="315"/>
      <c r="Q18" s="315"/>
      <c r="R18" s="220">
        <v>0.42899999999999999</v>
      </c>
      <c r="S18" s="315"/>
      <c r="T18" s="315"/>
      <c r="U18" s="220">
        <v>0.5</v>
      </c>
      <c r="V18" s="315"/>
      <c r="W18" s="315"/>
    </row>
    <row r="19" spans="2:23" ht="14.45" customHeight="1">
      <c r="B19" s="310"/>
      <c r="C19" s="310"/>
      <c r="D19" s="86">
        <v>45915</v>
      </c>
      <c r="E19" s="86" t="s">
        <v>56</v>
      </c>
      <c r="F19" s="93">
        <v>101.4</v>
      </c>
      <c r="G19" s="297"/>
      <c r="H19" s="314"/>
      <c r="I19" s="90">
        <f t="shared" si="0"/>
        <v>0.90697674418604657</v>
      </c>
      <c r="J19" s="316"/>
      <c r="K19" s="316"/>
      <c r="L19" s="220">
        <v>3.5500000000000002E-3</v>
      </c>
      <c r="M19" s="315"/>
      <c r="N19" s="315"/>
      <c r="O19" s="220">
        <v>7.7999999999999996E-3</v>
      </c>
      <c r="P19" s="315"/>
      <c r="Q19" s="315"/>
      <c r="R19" s="220">
        <v>0.42899999999999999</v>
      </c>
      <c r="S19" s="315"/>
      <c r="T19" s="315"/>
      <c r="U19" s="220">
        <v>0.5</v>
      </c>
      <c r="V19" s="315"/>
      <c r="W19" s="315"/>
    </row>
    <row r="20" spans="2:23" ht="14.45" customHeight="1">
      <c r="B20" s="312">
        <v>45924</v>
      </c>
      <c r="C20" s="310"/>
      <c r="D20" s="86">
        <v>45916</v>
      </c>
      <c r="E20" s="271" t="s">
        <v>57</v>
      </c>
      <c r="F20" s="93">
        <v>97.1</v>
      </c>
      <c r="G20" s="297">
        <f>AVERAGE(F20:F26)</f>
        <v>98.428571428571431</v>
      </c>
      <c r="H20" s="314"/>
      <c r="I20" s="90">
        <f t="shared" si="0"/>
        <v>0.86851520572450802</v>
      </c>
      <c r="J20" s="316">
        <f t="shared" ref="J20" si="1">AVERAGE(I20:I26)</f>
        <v>0.88039867109634551</v>
      </c>
      <c r="K20" s="316"/>
      <c r="L20" s="220">
        <v>8.5800000000000008E-3</v>
      </c>
      <c r="M20" s="315">
        <f t="shared" ref="M20" si="2">AVERAGE(L20:L26)</f>
        <v>9.3728571428571428E-3</v>
      </c>
      <c r="N20" s="315"/>
      <c r="O20" s="220">
        <v>4.8999999999999998E-3</v>
      </c>
      <c r="P20" s="315">
        <f t="shared" ref="P20" si="3">AVERAGE(O20:O26)</f>
        <v>2.7014285714285712E-3</v>
      </c>
      <c r="Q20" s="315"/>
      <c r="R20" s="220">
        <v>0.42899999999999999</v>
      </c>
      <c r="S20" s="315">
        <f t="shared" ref="S20" si="4">AVERAGE(R20:R26)</f>
        <v>0.42899999999999994</v>
      </c>
      <c r="T20" s="315"/>
      <c r="U20" s="220">
        <v>0.5</v>
      </c>
      <c r="V20" s="315">
        <f t="shared" ref="V20" si="5">AVERAGE(U20:U26)</f>
        <v>0.5</v>
      </c>
      <c r="W20" s="315"/>
    </row>
    <row r="21" spans="2:23" ht="14.45" customHeight="1">
      <c r="B21" s="310"/>
      <c r="C21" s="310"/>
      <c r="D21" s="86">
        <v>45917</v>
      </c>
      <c r="E21" s="271" t="s">
        <v>58</v>
      </c>
      <c r="F21" s="93">
        <v>100.6</v>
      </c>
      <c r="G21" s="297"/>
      <c r="H21" s="314"/>
      <c r="I21" s="90">
        <f t="shared" si="0"/>
        <v>0.89982110912343471</v>
      </c>
      <c r="J21" s="316"/>
      <c r="K21" s="316"/>
      <c r="L21" s="220">
        <v>4.3600000000000002E-3</v>
      </c>
      <c r="M21" s="315"/>
      <c r="N21" s="315"/>
      <c r="O21" s="220">
        <v>3.8999999999999998E-3</v>
      </c>
      <c r="P21" s="315"/>
      <c r="Q21" s="315"/>
      <c r="R21" s="220">
        <v>0.42899999999999999</v>
      </c>
      <c r="S21" s="315"/>
      <c r="T21" s="315"/>
      <c r="U21" s="220">
        <v>0.5</v>
      </c>
      <c r="V21" s="315"/>
      <c r="W21" s="315"/>
    </row>
    <row r="22" spans="2:23" ht="14.45" customHeight="1">
      <c r="B22" s="310"/>
      <c r="C22" s="310"/>
      <c r="D22" s="86">
        <v>45918</v>
      </c>
      <c r="E22" s="271" t="s">
        <v>59</v>
      </c>
      <c r="F22" s="93">
        <v>96.2</v>
      </c>
      <c r="G22" s="297"/>
      <c r="H22" s="314"/>
      <c r="I22" s="90">
        <f t="shared" si="0"/>
        <v>0.86046511627906985</v>
      </c>
      <c r="J22" s="316"/>
      <c r="K22" s="316"/>
      <c r="L22" s="220">
        <v>3.7699999999999999E-3</v>
      </c>
      <c r="M22" s="315"/>
      <c r="N22" s="315"/>
      <c r="O22" s="220">
        <v>3.8999999999999998E-3</v>
      </c>
      <c r="P22" s="315"/>
      <c r="Q22" s="315"/>
      <c r="R22" s="220">
        <v>0.42899999999999999</v>
      </c>
      <c r="S22" s="315"/>
      <c r="T22" s="315"/>
      <c r="U22" s="220">
        <v>0.5</v>
      </c>
      <c r="V22" s="315"/>
      <c r="W22" s="315"/>
    </row>
    <row r="23" spans="2:23" ht="14.45" customHeight="1">
      <c r="B23" s="310"/>
      <c r="C23" s="310"/>
      <c r="D23" s="86">
        <v>45919</v>
      </c>
      <c r="E23" s="271" t="s">
        <v>60</v>
      </c>
      <c r="F23" s="93">
        <v>93.5</v>
      </c>
      <c r="G23" s="297"/>
      <c r="H23" s="314"/>
      <c r="I23" s="90">
        <f t="shared" si="0"/>
        <v>0.8363148479427549</v>
      </c>
      <c r="J23" s="316"/>
      <c r="K23" s="316"/>
      <c r="L23" s="220">
        <v>1.7840000000000002E-2</v>
      </c>
      <c r="M23" s="315"/>
      <c r="N23" s="315"/>
      <c r="O23" s="220">
        <v>1.0000000000000001E-5</v>
      </c>
      <c r="P23" s="315"/>
      <c r="Q23" s="315"/>
      <c r="R23" s="220">
        <v>0.42899999999999999</v>
      </c>
      <c r="S23" s="315"/>
      <c r="T23" s="315"/>
      <c r="U23" s="220">
        <v>0.5</v>
      </c>
      <c r="V23" s="315"/>
      <c r="W23" s="315"/>
    </row>
    <row r="24" spans="2:23" ht="14.45" customHeight="1">
      <c r="B24" s="310"/>
      <c r="C24" s="310"/>
      <c r="D24" s="86">
        <v>45920</v>
      </c>
      <c r="E24" s="271" t="s">
        <v>61</v>
      </c>
      <c r="F24" s="93">
        <v>94.2</v>
      </c>
      <c r="G24" s="297"/>
      <c r="H24" s="314"/>
      <c r="I24" s="90">
        <f t="shared" si="0"/>
        <v>0.84257602862254033</v>
      </c>
      <c r="J24" s="316"/>
      <c r="K24" s="316"/>
      <c r="L24" s="220">
        <v>1.1050000000000001E-2</v>
      </c>
      <c r="M24" s="315"/>
      <c r="N24" s="315"/>
      <c r="O24" s="220">
        <v>3.5999999999999999E-3</v>
      </c>
      <c r="P24" s="315"/>
      <c r="Q24" s="315"/>
      <c r="R24" s="220">
        <v>0.42899999999999999</v>
      </c>
      <c r="S24" s="315"/>
      <c r="T24" s="315"/>
      <c r="U24" s="220">
        <v>0.5</v>
      </c>
      <c r="V24" s="315"/>
      <c r="W24" s="315"/>
    </row>
    <row r="25" spans="2:23" ht="14.45" customHeight="1">
      <c r="B25" s="310"/>
      <c r="C25" s="310"/>
      <c r="D25" s="86">
        <v>45921</v>
      </c>
      <c r="E25" s="271" t="s">
        <v>52</v>
      </c>
      <c r="F25" s="93">
        <v>103.9</v>
      </c>
      <c r="G25" s="297"/>
      <c r="H25" s="314"/>
      <c r="I25" s="90">
        <f t="shared" si="0"/>
        <v>0.92933810375670844</v>
      </c>
      <c r="J25" s="316"/>
      <c r="K25" s="316"/>
      <c r="L25" s="220">
        <v>8.0099999999999998E-3</v>
      </c>
      <c r="M25" s="315"/>
      <c r="N25" s="315"/>
      <c r="O25" s="220">
        <v>2E-3</v>
      </c>
      <c r="P25" s="315"/>
      <c r="Q25" s="315"/>
      <c r="R25" s="220">
        <v>0.42899999999999999</v>
      </c>
      <c r="S25" s="315"/>
      <c r="T25" s="315"/>
      <c r="U25" s="220">
        <v>0.5</v>
      </c>
      <c r="V25" s="315"/>
      <c r="W25" s="315"/>
    </row>
    <row r="26" spans="2:23" ht="14.45" customHeight="1">
      <c r="B26" s="310"/>
      <c r="C26" s="310"/>
      <c r="D26" s="86">
        <v>45922</v>
      </c>
      <c r="E26" s="86" t="s">
        <v>56</v>
      </c>
      <c r="F26" s="93">
        <v>103.5</v>
      </c>
      <c r="G26" s="297"/>
      <c r="H26" s="314"/>
      <c r="I26" s="90">
        <f t="shared" si="0"/>
        <v>0.92576028622540252</v>
      </c>
      <c r="J26" s="316"/>
      <c r="K26" s="316"/>
      <c r="L26" s="220">
        <v>1.2E-2</v>
      </c>
      <c r="M26" s="315"/>
      <c r="N26" s="315"/>
      <c r="O26" s="220">
        <v>5.9999999999999995E-4</v>
      </c>
      <c r="P26" s="315"/>
      <c r="Q26" s="315"/>
      <c r="R26" s="220">
        <v>0.42899999999999999</v>
      </c>
      <c r="S26" s="315"/>
      <c r="T26" s="315"/>
      <c r="U26" s="220">
        <v>0.5</v>
      </c>
      <c r="V26" s="315"/>
      <c r="W26" s="315"/>
    </row>
    <row r="27" spans="2:23" ht="14.45" customHeight="1">
      <c r="B27" s="312">
        <v>45931</v>
      </c>
      <c r="C27" s="310"/>
      <c r="D27" s="86">
        <v>45923</v>
      </c>
      <c r="E27" s="271" t="s">
        <v>57</v>
      </c>
      <c r="F27" s="93">
        <v>103.1</v>
      </c>
      <c r="G27" s="297">
        <f>AVERAGE(F27:F33)</f>
        <v>98.714285714285708</v>
      </c>
      <c r="H27" s="314"/>
      <c r="I27" s="90">
        <f t="shared" si="0"/>
        <v>0.92218246869409659</v>
      </c>
      <c r="J27" s="316">
        <f t="shared" ref="J27" si="6">AVERAGE(I27:I33)</f>
        <v>0.88295425504727842</v>
      </c>
      <c r="K27" s="316"/>
      <c r="L27" s="220">
        <v>7.5900000000000004E-3</v>
      </c>
      <c r="M27" s="315">
        <f t="shared" ref="M27" si="7">AVERAGE(L27:L33)</f>
        <v>9.6399999999999993E-3</v>
      </c>
      <c r="N27" s="315"/>
      <c r="O27" s="220">
        <v>1.9E-3</v>
      </c>
      <c r="P27" s="315">
        <f t="shared" ref="P27" si="8">AVERAGE(O27:O33)</f>
        <v>1.9285714285714286E-3</v>
      </c>
      <c r="Q27" s="315"/>
      <c r="R27" s="220">
        <v>0.42899999999999999</v>
      </c>
      <c r="S27" s="315">
        <f t="shared" ref="S27" si="9">AVERAGE(R27:R33)</f>
        <v>0.42899999999999994</v>
      </c>
      <c r="T27" s="315"/>
      <c r="U27" s="220">
        <v>0.5</v>
      </c>
      <c r="V27" s="315">
        <f t="shared" ref="V27" si="10">AVERAGE(U27:U33)</f>
        <v>0.60285714285714287</v>
      </c>
      <c r="W27" s="315"/>
    </row>
    <row r="28" spans="2:23" ht="14.45" customHeight="1">
      <c r="B28" s="310"/>
      <c r="C28" s="310"/>
      <c r="D28" s="86">
        <v>45924</v>
      </c>
      <c r="E28" s="271" t="s">
        <v>58</v>
      </c>
      <c r="F28" s="93">
        <v>97.5</v>
      </c>
      <c r="G28" s="297"/>
      <c r="H28" s="314"/>
      <c r="I28" s="90">
        <f t="shared" si="0"/>
        <v>0.87209302325581395</v>
      </c>
      <c r="J28" s="316"/>
      <c r="K28" s="316"/>
      <c r="L28" s="220">
        <v>7.1599999999999997E-3</v>
      </c>
      <c r="M28" s="315"/>
      <c r="N28" s="315"/>
      <c r="O28" s="220">
        <v>4.5999999999999999E-3</v>
      </c>
      <c r="P28" s="315"/>
      <c r="Q28" s="315"/>
      <c r="R28" s="220">
        <v>0.42899999999999999</v>
      </c>
      <c r="S28" s="315"/>
      <c r="T28" s="315"/>
      <c r="U28" s="220">
        <v>0.5</v>
      </c>
      <c r="V28" s="315"/>
      <c r="W28" s="315"/>
    </row>
    <row r="29" spans="2:23" ht="14.45" customHeight="1">
      <c r="B29" s="310"/>
      <c r="C29" s="310"/>
      <c r="D29" s="86">
        <v>45925</v>
      </c>
      <c r="E29" s="271" t="s">
        <v>59</v>
      </c>
      <c r="F29" s="93">
        <v>100.8</v>
      </c>
      <c r="G29" s="297"/>
      <c r="H29" s="314"/>
      <c r="I29" s="90">
        <f t="shared" si="0"/>
        <v>0.90161001788908768</v>
      </c>
      <c r="J29" s="316"/>
      <c r="K29" s="316"/>
      <c r="L29" s="220">
        <v>3.9399999999999999E-3</v>
      </c>
      <c r="M29" s="315"/>
      <c r="N29" s="315"/>
      <c r="O29" s="220">
        <v>2.3999999999999998E-3</v>
      </c>
      <c r="P29" s="315"/>
      <c r="Q29" s="315"/>
      <c r="R29" s="220">
        <v>0.42899999999999999</v>
      </c>
      <c r="S29" s="315"/>
      <c r="T29" s="315"/>
      <c r="U29" s="220">
        <v>0.55000000000000004</v>
      </c>
      <c r="V29" s="315"/>
      <c r="W29" s="315"/>
    </row>
    <row r="30" spans="2:23" ht="14.45" customHeight="1">
      <c r="B30" s="310"/>
      <c r="C30" s="310"/>
      <c r="D30" s="86">
        <v>45926</v>
      </c>
      <c r="E30" s="271" t="s">
        <v>60</v>
      </c>
      <c r="F30" s="93">
        <v>97.1</v>
      </c>
      <c r="G30" s="297"/>
      <c r="H30" s="314"/>
      <c r="I30" s="90">
        <f t="shared" si="0"/>
        <v>0.86851520572450802</v>
      </c>
      <c r="J30" s="316"/>
      <c r="K30" s="316"/>
      <c r="L30" s="220">
        <v>7.9600000000000001E-3</v>
      </c>
      <c r="M30" s="315"/>
      <c r="N30" s="315"/>
      <c r="O30" s="220">
        <v>0</v>
      </c>
      <c r="P30" s="315"/>
      <c r="Q30" s="315"/>
      <c r="R30" s="220">
        <v>0.42899999999999999</v>
      </c>
      <c r="S30" s="315"/>
      <c r="T30" s="315"/>
      <c r="U30" s="220">
        <v>0.6</v>
      </c>
      <c r="V30" s="315"/>
      <c r="W30" s="315"/>
    </row>
    <row r="31" spans="2:23" ht="14.45" customHeight="1">
      <c r="B31" s="310"/>
      <c r="C31" s="310"/>
      <c r="D31" s="86">
        <v>45927</v>
      </c>
      <c r="E31" s="271" t="s">
        <v>61</v>
      </c>
      <c r="F31" s="93">
        <v>94.4</v>
      </c>
      <c r="G31" s="297"/>
      <c r="H31" s="314"/>
      <c r="I31" s="90">
        <f t="shared" si="0"/>
        <v>0.84436493738819329</v>
      </c>
      <c r="J31" s="316"/>
      <c r="K31" s="316"/>
      <c r="L31" s="220">
        <v>1.1050000000000001E-2</v>
      </c>
      <c r="M31" s="315"/>
      <c r="N31" s="315"/>
      <c r="O31" s="220">
        <v>2.9999999999999997E-4</v>
      </c>
      <c r="P31" s="315"/>
      <c r="Q31" s="315"/>
      <c r="R31" s="220">
        <v>0.42899999999999999</v>
      </c>
      <c r="S31" s="315"/>
      <c r="T31" s="315"/>
      <c r="U31" s="220">
        <v>0.67</v>
      </c>
      <c r="V31" s="315"/>
      <c r="W31" s="315"/>
    </row>
    <row r="32" spans="2:23" ht="14.45" customHeight="1">
      <c r="B32" s="310"/>
      <c r="C32" s="310"/>
      <c r="D32" s="86">
        <v>45928</v>
      </c>
      <c r="E32" s="271" t="s">
        <v>52</v>
      </c>
      <c r="F32" s="93">
        <v>97.9</v>
      </c>
      <c r="G32" s="297"/>
      <c r="H32" s="314"/>
      <c r="I32" s="90">
        <f t="shared" si="0"/>
        <v>0.87567084078711988</v>
      </c>
      <c r="J32" s="316"/>
      <c r="K32" s="316"/>
      <c r="L32" s="220">
        <v>2.622E-2</v>
      </c>
      <c r="M32" s="315"/>
      <c r="N32" s="315"/>
      <c r="O32" s="220">
        <v>3.2000000000000002E-3</v>
      </c>
      <c r="P32" s="315"/>
      <c r="Q32" s="315"/>
      <c r="R32" s="220">
        <v>0.42899999999999999</v>
      </c>
      <c r="S32" s="315"/>
      <c r="T32" s="315"/>
      <c r="U32" s="220">
        <v>0.7</v>
      </c>
      <c r="V32" s="315"/>
      <c r="W32" s="315"/>
    </row>
    <row r="33" spans="2:23" ht="14.45" customHeight="1">
      <c r="B33" s="310"/>
      <c r="C33" s="310"/>
      <c r="D33" s="86">
        <v>45929</v>
      </c>
      <c r="E33" s="86" t="s">
        <v>56</v>
      </c>
      <c r="F33" s="93">
        <v>100.2</v>
      </c>
      <c r="G33" s="297"/>
      <c r="H33" s="314"/>
      <c r="I33" s="90">
        <f t="shared" si="0"/>
        <v>0.8962432915921289</v>
      </c>
      <c r="J33" s="316"/>
      <c r="K33" s="316"/>
      <c r="L33" s="220">
        <v>3.5599999999999998E-3</v>
      </c>
      <c r="M33" s="315"/>
      <c r="N33" s="315"/>
      <c r="O33" s="220">
        <v>1.1000000000000001E-3</v>
      </c>
      <c r="P33" s="315"/>
      <c r="Q33" s="315"/>
      <c r="R33" s="220">
        <v>0.42899999999999999</v>
      </c>
      <c r="S33" s="315"/>
      <c r="T33" s="315"/>
      <c r="U33" s="220">
        <v>0.7</v>
      </c>
      <c r="V33" s="315"/>
      <c r="W33" s="315"/>
    </row>
    <row r="34" spans="2:23" ht="14.45" customHeight="1">
      <c r="B34" s="83"/>
      <c r="C34" s="310"/>
      <c r="D34" s="86">
        <v>45930</v>
      </c>
      <c r="E34" s="271" t="s">
        <v>57</v>
      </c>
      <c r="F34" s="93">
        <v>105.2</v>
      </c>
      <c r="G34" s="93"/>
      <c r="H34" s="314"/>
      <c r="I34" s="90">
        <f t="shared" si="0"/>
        <v>0.94096601073345265</v>
      </c>
      <c r="J34" s="289"/>
      <c r="K34" s="316"/>
      <c r="L34" s="220">
        <v>6.4999999999999997E-3</v>
      </c>
      <c r="M34" s="220"/>
      <c r="N34" s="315"/>
      <c r="O34" s="220">
        <v>1.9900000000000001E-2</v>
      </c>
      <c r="P34" s="220"/>
      <c r="Q34" s="315"/>
      <c r="R34" s="220"/>
      <c r="S34" s="220">
        <v>0.42899999999999999</v>
      </c>
      <c r="T34" s="315"/>
      <c r="U34" s="220">
        <v>0.7</v>
      </c>
      <c r="V34" s="220"/>
      <c r="W34" s="315"/>
    </row>
    <row r="35" spans="2:23">
      <c r="B35" s="83"/>
      <c r="C35" s="310"/>
      <c r="D35" s="86"/>
      <c r="E35" s="86"/>
      <c r="F35" s="93"/>
      <c r="G35" s="93"/>
      <c r="H35" s="93"/>
      <c r="I35" s="90">
        <f t="shared" si="0"/>
        <v>0</v>
      </c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220"/>
      <c r="K36" s="87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</row>
    <row r="37" spans="2:23">
      <c r="B37" s="310"/>
      <c r="D37" s="86"/>
      <c r="E37" s="86"/>
      <c r="F37" s="93"/>
      <c r="G37" s="297" t="e">
        <f t="shared" ref="G37" si="11">AVERAGE(F37:F43)</f>
        <v>#DIV/0!</v>
      </c>
      <c r="H37" s="93"/>
      <c r="I37" s="90">
        <f t="shared" si="0"/>
        <v>0</v>
      </c>
      <c r="J37" s="315">
        <f t="shared" ref="J37" si="12">AVERAGE(I37:I43)</f>
        <v>0</v>
      </c>
      <c r="K37" s="87"/>
      <c r="L37" s="220"/>
      <c r="M37" s="315" t="e">
        <f t="shared" ref="M37" si="13">AVERAGE(L37:L43)</f>
        <v>#DIV/0!</v>
      </c>
      <c r="N37" s="220"/>
      <c r="O37" s="220"/>
      <c r="P37" s="315" t="e">
        <f t="shared" ref="P37" si="14">AVERAGE(O37:O43)</f>
        <v>#DIV/0!</v>
      </c>
      <c r="Q37" s="220"/>
      <c r="R37" s="220"/>
      <c r="S37" s="315" t="e">
        <f t="shared" ref="S37" si="15">AVERAGE(R37:R43)</f>
        <v>#DIV/0!</v>
      </c>
      <c r="T37" s="220"/>
      <c r="U37" s="220"/>
      <c r="V37" s="315" t="e">
        <f t="shared" ref="V37" si="16">AVERAGE(U37:U43)</f>
        <v>#DIV/0!</v>
      </c>
      <c r="W37" s="220"/>
    </row>
    <row r="38" spans="2:23">
      <c r="B38" s="310"/>
      <c r="D38" s="86"/>
      <c r="E38" s="86"/>
      <c r="F38" s="93"/>
      <c r="G38" s="297"/>
      <c r="H38" s="93"/>
      <c r="I38" s="90">
        <f t="shared" si="0"/>
        <v>0</v>
      </c>
      <c r="J38" s="315"/>
      <c r="K38" s="87"/>
      <c r="L38" s="220"/>
      <c r="M38" s="315"/>
      <c r="N38" s="220"/>
      <c r="O38" s="220"/>
      <c r="P38" s="315"/>
      <c r="Q38" s="220"/>
      <c r="R38" s="220"/>
      <c r="S38" s="315"/>
      <c r="T38" s="220"/>
      <c r="U38" s="220"/>
      <c r="V38" s="315"/>
      <c r="W38" s="220"/>
    </row>
    <row r="39" spans="2:23">
      <c r="B39" s="310"/>
      <c r="D39" s="86"/>
      <c r="E39" s="86"/>
      <c r="F39" s="93"/>
      <c r="G39" s="297"/>
      <c r="H39" s="93"/>
      <c r="I39" s="90">
        <f t="shared" si="0"/>
        <v>0</v>
      </c>
      <c r="J39" s="315"/>
      <c r="K39" s="87"/>
      <c r="L39" s="220"/>
      <c r="M39" s="315"/>
      <c r="N39" s="220"/>
      <c r="O39" s="220"/>
      <c r="P39" s="315"/>
      <c r="Q39" s="220"/>
      <c r="R39" s="220"/>
      <c r="S39" s="315"/>
      <c r="T39" s="220"/>
      <c r="U39" s="220"/>
      <c r="V39" s="315"/>
      <c r="W39" s="220"/>
    </row>
    <row r="40" spans="2:23">
      <c r="B40" s="310"/>
      <c r="D40" s="86"/>
      <c r="E40" s="86"/>
      <c r="F40" s="93"/>
      <c r="G40" s="297"/>
      <c r="H40" s="93"/>
      <c r="I40" s="90">
        <f t="shared" si="0"/>
        <v>0</v>
      </c>
      <c r="J40" s="315"/>
      <c r="K40" s="87"/>
      <c r="L40" s="220"/>
      <c r="M40" s="315"/>
      <c r="N40" s="220"/>
      <c r="O40" s="220"/>
      <c r="P40" s="315"/>
      <c r="Q40" s="220"/>
      <c r="R40" s="220"/>
      <c r="S40" s="315"/>
      <c r="T40" s="220"/>
      <c r="U40" s="220"/>
      <c r="V40" s="315"/>
      <c r="W40" s="220"/>
    </row>
    <row r="41" spans="2:23">
      <c r="B41" s="310"/>
      <c r="D41" s="86"/>
      <c r="E41" s="86"/>
      <c r="F41" s="93"/>
      <c r="G41" s="297"/>
      <c r="H41" s="93"/>
      <c r="I41" s="90">
        <f t="shared" si="0"/>
        <v>0</v>
      </c>
      <c r="J41" s="315"/>
      <c r="K41" s="87"/>
      <c r="L41" s="220"/>
      <c r="M41" s="315"/>
      <c r="N41" s="220"/>
      <c r="O41" s="220"/>
      <c r="P41" s="315"/>
      <c r="Q41" s="220"/>
      <c r="R41" s="220"/>
      <c r="S41" s="315"/>
      <c r="T41" s="220"/>
      <c r="U41" s="220"/>
      <c r="V41" s="315"/>
      <c r="W41" s="220"/>
    </row>
    <row r="42" spans="2:23">
      <c r="B42" s="310"/>
      <c r="D42" s="86"/>
      <c r="E42" s="86"/>
      <c r="F42" s="93"/>
      <c r="G42" s="297"/>
      <c r="H42" s="93"/>
      <c r="I42" s="90">
        <f t="shared" si="0"/>
        <v>0</v>
      </c>
      <c r="J42" s="315"/>
      <c r="K42" s="87"/>
      <c r="L42" s="220"/>
      <c r="M42" s="315"/>
      <c r="N42" s="220"/>
      <c r="O42" s="220"/>
      <c r="P42" s="315"/>
      <c r="Q42" s="220"/>
      <c r="R42" s="220"/>
      <c r="S42" s="315"/>
      <c r="T42" s="220"/>
      <c r="U42" s="220"/>
      <c r="V42" s="315"/>
      <c r="W42" s="220"/>
    </row>
    <row r="43" spans="2:23">
      <c r="B43" s="310"/>
      <c r="D43" s="86"/>
      <c r="E43" s="86"/>
      <c r="F43" s="93"/>
      <c r="G43" s="297"/>
      <c r="H43" s="93"/>
      <c r="I43" s="90">
        <f t="shared" si="0"/>
        <v>0</v>
      </c>
      <c r="J43" s="315"/>
      <c r="K43" s="87"/>
      <c r="L43" s="220"/>
      <c r="M43" s="315"/>
      <c r="N43" s="220"/>
      <c r="O43" s="220"/>
      <c r="P43" s="315"/>
      <c r="Q43" s="220"/>
      <c r="R43" s="220"/>
      <c r="S43" s="315"/>
      <c r="T43" s="220"/>
      <c r="U43" s="220"/>
      <c r="V43" s="315"/>
      <c r="W43" s="220"/>
    </row>
  </sheetData>
  <mergeCells count="52">
    <mergeCell ref="V37:V43"/>
    <mergeCell ref="T5:T34"/>
    <mergeCell ref="J37:J43"/>
    <mergeCell ref="M37:M43"/>
    <mergeCell ref="O3:Q3"/>
    <mergeCell ref="P37:P43"/>
    <mergeCell ref="S37:S43"/>
    <mergeCell ref="M6:M12"/>
    <mergeCell ref="M13:M19"/>
    <mergeCell ref="M20:M26"/>
    <mergeCell ref="M27:M33"/>
    <mergeCell ref="P6:P12"/>
    <mergeCell ref="P13:P19"/>
    <mergeCell ref="P20:P26"/>
    <mergeCell ref="P27:P33"/>
    <mergeCell ref="N5:N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B37:B43"/>
    <mergeCell ref="C5:C35"/>
    <mergeCell ref="G37:G43"/>
    <mergeCell ref="B6:B12"/>
    <mergeCell ref="B13:B19"/>
    <mergeCell ref="B20:B26"/>
    <mergeCell ref="B27:B33"/>
    <mergeCell ref="G6:G12"/>
    <mergeCell ref="G13:G19"/>
    <mergeCell ref="G20:G26"/>
    <mergeCell ref="G27:G33"/>
    <mergeCell ref="H5:H34"/>
    <mergeCell ref="K5:K34"/>
    <mergeCell ref="J6:J12"/>
    <mergeCell ref="J13:J19"/>
    <mergeCell ref="J20:J26"/>
    <mergeCell ref="J27:J33"/>
    <mergeCell ref="Q5:Q34"/>
    <mergeCell ref="S6:S12"/>
    <mergeCell ref="S13:S19"/>
    <mergeCell ref="S20:S26"/>
    <mergeCell ref="S27:S33"/>
    <mergeCell ref="W5:W34"/>
    <mergeCell ref="V6:V12"/>
    <mergeCell ref="V13:V19"/>
    <mergeCell ref="V20:V26"/>
    <mergeCell ref="V27:V33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H48" sqref="H48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98" t="s">
        <v>71</v>
      </c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</row>
    <row r="3" spans="1:14" ht="25.35" customHeight="1">
      <c r="B3" s="328" t="s">
        <v>43</v>
      </c>
      <c r="C3" s="329" t="s">
        <v>72</v>
      </c>
      <c r="D3" s="330" t="s">
        <v>45</v>
      </c>
      <c r="E3" s="330"/>
      <c r="F3" s="331" t="s">
        <v>73</v>
      </c>
      <c r="G3" s="331"/>
      <c r="H3" s="331"/>
      <c r="I3" s="324" t="s">
        <v>74</v>
      </c>
      <c r="J3" s="325"/>
      <c r="K3" s="325"/>
      <c r="L3" s="325"/>
      <c r="M3" s="325"/>
      <c r="N3" s="326"/>
    </row>
    <row r="4" spans="1:14" ht="25.35" customHeight="1">
      <c r="B4" s="328"/>
      <c r="C4" s="329"/>
      <c r="D4" s="330"/>
      <c r="E4" s="330"/>
      <c r="F4" s="331"/>
      <c r="G4" s="331"/>
      <c r="H4" s="331"/>
      <c r="I4" s="327" t="s">
        <v>75</v>
      </c>
      <c r="J4" s="327"/>
      <c r="K4" s="327" t="s">
        <v>76</v>
      </c>
      <c r="L4" s="327"/>
      <c r="M4" s="327" t="s">
        <v>77</v>
      </c>
      <c r="N4" s="327"/>
    </row>
    <row r="5" spans="1:14" ht="25.35" customHeight="1">
      <c r="B5" s="328"/>
      <c r="C5" s="329"/>
      <c r="D5" s="330"/>
      <c r="E5" s="330"/>
      <c r="F5" s="323" t="s">
        <v>52</v>
      </c>
      <c r="G5" s="323" t="s">
        <v>53</v>
      </c>
      <c r="H5" s="323" t="s">
        <v>54</v>
      </c>
      <c r="I5" s="327" t="s">
        <v>78</v>
      </c>
      <c r="J5" s="327"/>
      <c r="K5" s="327" t="s">
        <v>78</v>
      </c>
      <c r="L5" s="327"/>
      <c r="M5" s="327" t="s">
        <v>78</v>
      </c>
      <c r="N5" s="327"/>
    </row>
    <row r="6" spans="1:14" s="82" customFormat="1" ht="23.45" customHeight="1">
      <c r="B6" s="328"/>
      <c r="C6" s="329"/>
      <c r="D6" s="330"/>
      <c r="E6" s="330"/>
      <c r="F6" s="323"/>
      <c r="G6" s="323"/>
      <c r="H6" s="323"/>
      <c r="I6" s="98" t="s">
        <v>79</v>
      </c>
      <c r="J6" s="99" t="s">
        <v>80</v>
      </c>
      <c r="K6" s="98" t="s">
        <v>79</v>
      </c>
      <c r="L6" s="99" t="s">
        <v>80</v>
      </c>
      <c r="M6" s="98" t="s">
        <v>79</v>
      </c>
      <c r="N6" s="99" t="s">
        <v>80</v>
      </c>
    </row>
    <row r="7" spans="1:14" ht="12">
      <c r="B7" s="272"/>
      <c r="C7" s="317" t="s">
        <v>55</v>
      </c>
      <c r="D7" s="86">
        <v>45901</v>
      </c>
      <c r="E7" s="86" t="s">
        <v>56</v>
      </c>
      <c r="F7" s="97">
        <f>SUM(I7,K7,M7)</f>
        <v>2893619.36</v>
      </c>
      <c r="G7" s="282">
        <f>SUM(F7)</f>
        <v>2893619.36</v>
      </c>
      <c r="H7" s="322">
        <f>SUM(F7:F36)</f>
        <v>75756496.269999996</v>
      </c>
      <c r="I7" s="100">
        <v>2647777.36</v>
      </c>
      <c r="J7" s="101">
        <f t="shared" ref="J7:J36" si="0">I7/F7</f>
        <v>0.9150399657265218</v>
      </c>
      <c r="K7" s="100"/>
      <c r="L7" s="101">
        <f t="shared" ref="L7:L36" si="1">K7/F7</f>
        <v>0</v>
      </c>
      <c r="M7" s="100">
        <v>245842</v>
      </c>
      <c r="N7" s="101">
        <f t="shared" ref="N7:N36" si="2">M7/F7</f>
        <v>8.4960034273478188E-2</v>
      </c>
    </row>
    <row r="8" spans="1:14">
      <c r="B8" s="312">
        <v>45910</v>
      </c>
      <c r="C8" s="310"/>
      <c r="D8" s="86">
        <v>45902</v>
      </c>
      <c r="E8" s="271" t="s">
        <v>57</v>
      </c>
      <c r="F8" s="97">
        <f t="shared" ref="F8:F36" si="3">SUM(I8,K8,M8)</f>
        <v>2792067.08</v>
      </c>
      <c r="G8" s="322">
        <f>SUM(F8:F14)</f>
        <v>17039197.469999999</v>
      </c>
      <c r="H8" s="322"/>
      <c r="I8" s="100">
        <v>2539987.08</v>
      </c>
      <c r="J8" s="101">
        <f t="shared" si="0"/>
        <v>0.90971563620169182</v>
      </c>
      <c r="K8" s="100"/>
      <c r="L8" s="101">
        <f t="shared" si="1"/>
        <v>0</v>
      </c>
      <c r="M8" s="100">
        <v>252080</v>
      </c>
      <c r="N8" s="101">
        <f t="shared" si="2"/>
        <v>9.0284363798308162E-2</v>
      </c>
    </row>
    <row r="9" spans="1:14">
      <c r="B9" s="310"/>
      <c r="C9" s="310"/>
      <c r="D9" s="86">
        <v>45903</v>
      </c>
      <c r="E9" s="271" t="s">
        <v>58</v>
      </c>
      <c r="F9" s="97">
        <f t="shared" si="3"/>
        <v>2693780.15</v>
      </c>
      <c r="G9" s="322"/>
      <c r="H9" s="322"/>
      <c r="I9" s="100">
        <v>2435976.15</v>
      </c>
      <c r="J9" s="101">
        <f t="shared" si="0"/>
        <v>0.90429657000776398</v>
      </c>
      <c r="K9" s="100"/>
      <c r="L9" s="101">
        <f t="shared" si="1"/>
        <v>0</v>
      </c>
      <c r="M9" s="100">
        <v>257804</v>
      </c>
      <c r="N9" s="101">
        <f t="shared" si="2"/>
        <v>9.5703429992236008E-2</v>
      </c>
    </row>
    <row r="10" spans="1:14">
      <c r="B10" s="310"/>
      <c r="C10" s="310"/>
      <c r="D10" s="86">
        <v>45904</v>
      </c>
      <c r="E10" s="271" t="s">
        <v>59</v>
      </c>
      <c r="F10" s="97">
        <f t="shared" si="3"/>
        <v>2413419.8199999998</v>
      </c>
      <c r="G10" s="322"/>
      <c r="H10" s="322"/>
      <c r="I10" s="100">
        <v>2170630.8199999998</v>
      </c>
      <c r="J10" s="101">
        <f t="shared" si="0"/>
        <v>0.89940042839293499</v>
      </c>
      <c r="K10" s="100"/>
      <c r="L10" s="101">
        <f t="shared" si="1"/>
        <v>0</v>
      </c>
      <c r="M10" s="100">
        <v>242789</v>
      </c>
      <c r="N10" s="101">
        <f t="shared" si="2"/>
        <v>0.10059957160706504</v>
      </c>
    </row>
    <row r="11" spans="1:14">
      <c r="B11" s="310"/>
      <c r="C11" s="310"/>
      <c r="D11" s="86">
        <v>45905</v>
      </c>
      <c r="E11" s="271" t="s">
        <v>60</v>
      </c>
      <c r="F11" s="97">
        <f t="shared" si="3"/>
        <v>1867882.04</v>
      </c>
      <c r="G11" s="322"/>
      <c r="H11" s="322"/>
      <c r="I11" s="100">
        <v>1668669.04</v>
      </c>
      <c r="J11" s="101">
        <f t="shared" si="0"/>
        <v>0.89334819023154155</v>
      </c>
      <c r="K11" s="100"/>
      <c r="L11" s="101">
        <f t="shared" si="1"/>
        <v>0</v>
      </c>
      <c r="M11" s="100">
        <v>199213</v>
      </c>
      <c r="N11" s="101">
        <f t="shared" si="2"/>
        <v>0.10665180976845839</v>
      </c>
    </row>
    <row r="12" spans="1:14">
      <c r="B12" s="310"/>
      <c r="C12" s="310"/>
      <c r="D12" s="86">
        <v>45906</v>
      </c>
      <c r="E12" s="271" t="s">
        <v>61</v>
      </c>
      <c r="F12" s="97">
        <f t="shared" si="3"/>
        <v>1984347.41</v>
      </c>
      <c r="G12" s="322"/>
      <c r="H12" s="322"/>
      <c r="I12" s="100">
        <v>1778186.41</v>
      </c>
      <c r="J12" s="101">
        <f t="shared" si="0"/>
        <v>0.89610639802230996</v>
      </c>
      <c r="K12" s="100"/>
      <c r="L12" s="101">
        <f t="shared" si="1"/>
        <v>0</v>
      </c>
      <c r="M12" s="100">
        <v>206161</v>
      </c>
      <c r="N12" s="101">
        <f t="shared" si="2"/>
        <v>0.10389360197768999</v>
      </c>
    </row>
    <row r="13" spans="1:14">
      <c r="B13" s="310"/>
      <c r="C13" s="310"/>
      <c r="D13" s="86">
        <v>45907</v>
      </c>
      <c r="E13" s="271" t="s">
        <v>52</v>
      </c>
      <c r="F13" s="97">
        <f t="shared" si="3"/>
        <v>2634378.94</v>
      </c>
      <c r="G13" s="322"/>
      <c r="H13" s="322"/>
      <c r="I13" s="100">
        <v>2375462.94</v>
      </c>
      <c r="J13" s="101">
        <f t="shared" si="0"/>
        <v>0.90171649337585424</v>
      </c>
      <c r="K13" s="100"/>
      <c r="L13" s="101">
        <f t="shared" si="1"/>
        <v>0</v>
      </c>
      <c r="M13" s="100">
        <v>258916</v>
      </c>
      <c r="N13" s="101">
        <f t="shared" si="2"/>
        <v>9.8283506624145728E-2</v>
      </c>
    </row>
    <row r="14" spans="1:14" ht="12">
      <c r="B14" s="310"/>
      <c r="C14" s="310"/>
      <c r="D14" s="86">
        <v>45908</v>
      </c>
      <c r="E14" s="86" t="s">
        <v>56</v>
      </c>
      <c r="F14" s="97">
        <f t="shared" si="3"/>
        <v>2653322.0299999998</v>
      </c>
      <c r="G14" s="322"/>
      <c r="H14" s="322"/>
      <c r="I14" s="100">
        <v>2398288.0299999998</v>
      </c>
      <c r="J14" s="101">
        <f t="shared" si="0"/>
        <v>0.90388124882074716</v>
      </c>
      <c r="K14" s="100"/>
      <c r="L14" s="101">
        <f t="shared" si="1"/>
        <v>0</v>
      </c>
      <c r="M14" s="100">
        <v>255034</v>
      </c>
      <c r="N14" s="101">
        <f t="shared" si="2"/>
        <v>9.6118751179252837E-2</v>
      </c>
    </row>
    <row r="15" spans="1:14">
      <c r="B15" s="312">
        <v>45917</v>
      </c>
      <c r="C15" s="310"/>
      <c r="D15" s="86">
        <v>45909</v>
      </c>
      <c r="E15" s="271" t="s">
        <v>57</v>
      </c>
      <c r="F15" s="97">
        <f t="shared" si="3"/>
        <v>2549415.0699999998</v>
      </c>
      <c r="G15" s="322">
        <f>SUM(F15:F21)</f>
        <v>16573496.920000002</v>
      </c>
      <c r="H15" s="322"/>
      <c r="I15" s="100">
        <v>2296014.19</v>
      </c>
      <c r="J15" s="101">
        <f t="shared" si="0"/>
        <v>0.90060430606931341</v>
      </c>
      <c r="K15" s="100"/>
      <c r="L15" s="101">
        <f t="shared" si="1"/>
        <v>0</v>
      </c>
      <c r="M15" s="100">
        <v>253400.88</v>
      </c>
      <c r="N15" s="101">
        <f t="shared" si="2"/>
        <v>9.9395693930686632E-2</v>
      </c>
    </row>
    <row r="16" spans="1:14">
      <c r="B16" s="310"/>
      <c r="C16" s="310"/>
      <c r="D16" s="86">
        <v>45910</v>
      </c>
      <c r="E16" s="271" t="s">
        <v>58</v>
      </c>
      <c r="F16" s="97">
        <f t="shared" si="3"/>
        <v>2484298.7800000003</v>
      </c>
      <c r="G16" s="322"/>
      <c r="H16" s="322"/>
      <c r="I16" s="100">
        <v>2233792.66</v>
      </c>
      <c r="J16" s="101">
        <f t="shared" si="0"/>
        <v>0.89916425430921798</v>
      </c>
      <c r="K16" s="100"/>
      <c r="L16" s="101">
        <f t="shared" si="1"/>
        <v>0</v>
      </c>
      <c r="M16" s="100">
        <v>250506.12</v>
      </c>
      <c r="N16" s="101">
        <f t="shared" si="2"/>
        <v>0.10083574569078199</v>
      </c>
    </row>
    <row r="17" spans="2:14">
      <c r="B17" s="310"/>
      <c r="C17" s="310"/>
      <c r="D17" s="86">
        <v>45911</v>
      </c>
      <c r="E17" s="271" t="s">
        <v>59</v>
      </c>
      <c r="F17" s="97">
        <f t="shared" si="3"/>
        <v>2285316.17</v>
      </c>
      <c r="G17" s="322"/>
      <c r="H17" s="322"/>
      <c r="I17" s="100">
        <v>2055144.45</v>
      </c>
      <c r="J17" s="101">
        <f t="shared" si="0"/>
        <v>0.89928232993686819</v>
      </c>
      <c r="K17" s="100"/>
      <c r="L17" s="101">
        <f t="shared" si="1"/>
        <v>0</v>
      </c>
      <c r="M17" s="100">
        <v>230171.72</v>
      </c>
      <c r="N17" s="101">
        <f t="shared" si="2"/>
        <v>0.10071767006313179</v>
      </c>
    </row>
    <row r="18" spans="2:14">
      <c r="B18" s="310"/>
      <c r="C18" s="310"/>
      <c r="D18" s="86">
        <v>45912</v>
      </c>
      <c r="E18" s="271" t="s">
        <v>60</v>
      </c>
      <c r="F18" s="97">
        <f t="shared" si="3"/>
        <v>1942536.5799999998</v>
      </c>
      <c r="G18" s="322"/>
      <c r="H18" s="322"/>
      <c r="I18" s="100">
        <v>1741782.65</v>
      </c>
      <c r="J18" s="101">
        <f t="shared" si="0"/>
        <v>0.89665371964321006</v>
      </c>
      <c r="K18" s="100"/>
      <c r="L18" s="101">
        <f t="shared" si="1"/>
        <v>0</v>
      </c>
      <c r="M18" s="100">
        <v>200753.93</v>
      </c>
      <c r="N18" s="101">
        <f t="shared" si="2"/>
        <v>0.10334628035678999</v>
      </c>
    </row>
    <row r="19" spans="2:14">
      <c r="B19" s="310"/>
      <c r="C19" s="310"/>
      <c r="D19" s="86">
        <v>45913</v>
      </c>
      <c r="E19" s="271" t="s">
        <v>61</v>
      </c>
      <c r="F19" s="97">
        <f t="shared" si="3"/>
        <v>2052730.38</v>
      </c>
      <c r="G19" s="322"/>
      <c r="H19" s="322"/>
      <c r="I19" s="100">
        <v>1839342.24</v>
      </c>
      <c r="J19" s="101">
        <f t="shared" si="0"/>
        <v>0.8960466790577728</v>
      </c>
      <c r="K19" s="100"/>
      <c r="L19" s="101">
        <f t="shared" si="1"/>
        <v>0</v>
      </c>
      <c r="M19" s="100">
        <v>213388.14</v>
      </c>
      <c r="N19" s="101">
        <f t="shared" si="2"/>
        <v>0.10395332094222721</v>
      </c>
    </row>
    <row r="20" spans="2:14">
      <c r="B20" s="310"/>
      <c r="C20" s="310"/>
      <c r="D20" s="86">
        <v>45914</v>
      </c>
      <c r="E20" s="271" t="s">
        <v>52</v>
      </c>
      <c r="F20" s="97">
        <f t="shared" si="3"/>
        <v>2615131.31</v>
      </c>
      <c r="G20" s="322"/>
      <c r="H20" s="322"/>
      <c r="I20" s="100">
        <v>2354551.29</v>
      </c>
      <c r="J20" s="101">
        <f t="shared" si="0"/>
        <v>0.90035681229329934</v>
      </c>
      <c r="K20" s="100"/>
      <c r="L20" s="101">
        <f t="shared" si="1"/>
        <v>0</v>
      </c>
      <c r="M20" s="100">
        <v>260580.02</v>
      </c>
      <c r="N20" s="101">
        <f t="shared" si="2"/>
        <v>9.9643187706700651E-2</v>
      </c>
    </row>
    <row r="21" spans="2:14" ht="12">
      <c r="B21" s="310"/>
      <c r="C21" s="310"/>
      <c r="D21" s="86">
        <v>45915</v>
      </c>
      <c r="E21" s="86" t="s">
        <v>56</v>
      </c>
      <c r="F21" s="97">
        <f t="shared" si="3"/>
        <v>2644068.63</v>
      </c>
      <c r="G21" s="322"/>
      <c r="H21" s="322"/>
      <c r="I21" s="100">
        <v>2385129.77</v>
      </c>
      <c r="J21" s="101">
        <f t="shared" si="0"/>
        <v>0.90206802612381509</v>
      </c>
      <c r="K21" s="100"/>
      <c r="L21" s="101">
        <f t="shared" si="1"/>
        <v>0</v>
      </c>
      <c r="M21" s="100">
        <v>258938.86</v>
      </c>
      <c r="N21" s="101">
        <f t="shared" si="2"/>
        <v>9.7931973876184894E-2</v>
      </c>
    </row>
    <row r="22" spans="2:14">
      <c r="B22" s="312">
        <v>45924</v>
      </c>
      <c r="C22" s="310"/>
      <c r="D22" s="86">
        <v>45916</v>
      </c>
      <c r="E22" s="271" t="s">
        <v>57</v>
      </c>
      <c r="F22" s="97">
        <f t="shared" si="3"/>
        <v>3351675.95</v>
      </c>
      <c r="G22" s="322">
        <f>SUM(F22:F28)</f>
        <v>19143931.850000001</v>
      </c>
      <c r="H22" s="322"/>
      <c r="I22" s="100">
        <v>3112818.97</v>
      </c>
      <c r="J22" s="101">
        <f t="shared" si="0"/>
        <v>0.9287350616338671</v>
      </c>
      <c r="K22" s="100"/>
      <c r="L22" s="101">
        <f t="shared" si="1"/>
        <v>0</v>
      </c>
      <c r="M22" s="100">
        <v>238856.98</v>
      </c>
      <c r="N22" s="101">
        <f t="shared" si="2"/>
        <v>7.1264938366132916E-2</v>
      </c>
    </row>
    <row r="23" spans="2:14">
      <c r="B23" s="310"/>
      <c r="C23" s="310"/>
      <c r="D23" s="86">
        <v>45917</v>
      </c>
      <c r="E23" s="271" t="s">
        <v>58</v>
      </c>
      <c r="F23" s="97">
        <f t="shared" si="3"/>
        <v>3025640.19</v>
      </c>
      <c r="G23" s="322"/>
      <c r="H23" s="322"/>
      <c r="I23" s="100">
        <v>2790836.32</v>
      </c>
      <c r="J23" s="101">
        <f t="shared" si="0"/>
        <v>0.92239530966833172</v>
      </c>
      <c r="K23" s="100"/>
      <c r="L23" s="101">
        <f t="shared" si="1"/>
        <v>0</v>
      </c>
      <c r="M23" s="100">
        <v>234803.87</v>
      </c>
      <c r="N23" s="101">
        <f t="shared" si="2"/>
        <v>7.7604690331668294E-2</v>
      </c>
    </row>
    <row r="24" spans="2:14">
      <c r="B24" s="310"/>
      <c r="C24" s="310"/>
      <c r="D24" s="86">
        <v>45918</v>
      </c>
      <c r="E24" s="271" t="s">
        <v>59</v>
      </c>
      <c r="F24" s="97">
        <f t="shared" si="3"/>
        <v>2779379.58</v>
      </c>
      <c r="G24" s="322"/>
      <c r="H24" s="322"/>
      <c r="I24" s="100">
        <v>2559560.6</v>
      </c>
      <c r="J24" s="101">
        <f t="shared" si="0"/>
        <v>0.92091077390731924</v>
      </c>
      <c r="K24" s="100"/>
      <c r="L24" s="101">
        <f t="shared" si="1"/>
        <v>0</v>
      </c>
      <c r="M24" s="100">
        <v>219818.98</v>
      </c>
      <c r="N24" s="101">
        <f t="shared" si="2"/>
        <v>7.9089226092680723E-2</v>
      </c>
    </row>
    <row r="25" spans="2:14">
      <c r="B25" s="310"/>
      <c r="C25" s="310"/>
      <c r="D25" s="86">
        <v>45919</v>
      </c>
      <c r="E25" s="271" t="s">
        <v>60</v>
      </c>
      <c r="F25" s="97">
        <f t="shared" si="3"/>
        <v>2046591.6600000001</v>
      </c>
      <c r="G25" s="322"/>
      <c r="H25" s="322"/>
      <c r="I25" s="100">
        <v>1860368.11</v>
      </c>
      <c r="J25" s="101">
        <f t="shared" si="0"/>
        <v>0.90900796009302609</v>
      </c>
      <c r="K25" s="100"/>
      <c r="L25" s="101">
        <f t="shared" si="1"/>
        <v>0</v>
      </c>
      <c r="M25" s="100">
        <v>186223.55</v>
      </c>
      <c r="N25" s="101">
        <f t="shared" si="2"/>
        <v>9.0992039906973909E-2</v>
      </c>
    </row>
    <row r="26" spans="2:14">
      <c r="B26" s="310"/>
      <c r="C26" s="310"/>
      <c r="D26" s="86">
        <v>45920</v>
      </c>
      <c r="E26" s="271" t="s">
        <v>61</v>
      </c>
      <c r="F26" s="97">
        <f t="shared" si="3"/>
        <v>2230582.54</v>
      </c>
      <c r="G26" s="322"/>
      <c r="H26" s="322"/>
      <c r="I26" s="100">
        <v>2028753.38</v>
      </c>
      <c r="J26" s="101">
        <f t="shared" si="0"/>
        <v>0.90951728690568867</v>
      </c>
      <c r="K26" s="100"/>
      <c r="L26" s="101">
        <f t="shared" si="1"/>
        <v>0</v>
      </c>
      <c r="M26" s="100">
        <v>201829.16</v>
      </c>
      <c r="N26" s="101">
        <f t="shared" si="2"/>
        <v>9.0482713094311232E-2</v>
      </c>
    </row>
    <row r="27" spans="2:14">
      <c r="B27" s="310"/>
      <c r="C27" s="310"/>
      <c r="D27" s="86">
        <v>45921</v>
      </c>
      <c r="E27" s="271" t="s">
        <v>52</v>
      </c>
      <c r="F27" s="97">
        <f t="shared" si="3"/>
        <v>2856811.98</v>
      </c>
      <c r="G27" s="322"/>
      <c r="H27" s="322"/>
      <c r="I27" s="100">
        <v>2603708.12</v>
      </c>
      <c r="J27" s="101">
        <f t="shared" si="0"/>
        <v>0.91140338889225747</v>
      </c>
      <c r="K27" s="100"/>
      <c r="L27" s="101">
        <f t="shared" si="1"/>
        <v>0</v>
      </c>
      <c r="M27" s="100">
        <v>253103.86</v>
      </c>
      <c r="N27" s="101">
        <f t="shared" si="2"/>
        <v>8.8596611107742557E-2</v>
      </c>
    </row>
    <row r="28" spans="2:14" ht="12">
      <c r="B28" s="310"/>
      <c r="C28" s="310"/>
      <c r="D28" s="86">
        <v>45922</v>
      </c>
      <c r="E28" s="86" t="s">
        <v>56</v>
      </c>
      <c r="F28" s="97">
        <f t="shared" si="3"/>
        <v>2853249.95</v>
      </c>
      <c r="G28" s="322"/>
      <c r="H28" s="322"/>
      <c r="I28" s="100">
        <v>2610602.33</v>
      </c>
      <c r="J28" s="101">
        <f t="shared" si="0"/>
        <v>0.91495746105243947</v>
      </c>
      <c r="K28" s="100"/>
      <c r="L28" s="101">
        <f t="shared" si="1"/>
        <v>0</v>
      </c>
      <c r="M28" s="100">
        <v>242647.62</v>
      </c>
      <c r="N28" s="101">
        <f t="shared" si="2"/>
        <v>8.5042538947560475E-2</v>
      </c>
    </row>
    <row r="29" spans="2:14">
      <c r="B29" s="312">
        <v>45931</v>
      </c>
      <c r="C29" s="310"/>
      <c r="D29" s="86">
        <v>45923</v>
      </c>
      <c r="E29" s="271" t="s">
        <v>57</v>
      </c>
      <c r="F29" s="97">
        <f t="shared" si="3"/>
        <v>2623577.5700000003</v>
      </c>
      <c r="G29" s="322">
        <f>SUM(F29:F35)</f>
        <v>16941838.669999998</v>
      </c>
      <c r="H29" s="322"/>
      <c r="I29" s="100">
        <v>2388726.39</v>
      </c>
      <c r="J29" s="101">
        <f t="shared" si="0"/>
        <v>0.91048437725437625</v>
      </c>
      <c r="K29" s="100"/>
      <c r="L29" s="101">
        <f t="shared" si="1"/>
        <v>0</v>
      </c>
      <c r="M29" s="100">
        <v>234851.18</v>
      </c>
      <c r="N29" s="101">
        <f t="shared" si="2"/>
        <v>8.9515622745623621E-2</v>
      </c>
    </row>
    <row r="30" spans="2:14">
      <c r="B30" s="310"/>
      <c r="C30" s="310"/>
      <c r="D30" s="86">
        <v>45924</v>
      </c>
      <c r="E30" s="271" t="s">
        <v>58</v>
      </c>
      <c r="F30" s="97">
        <f t="shared" si="3"/>
        <v>2681520.52</v>
      </c>
      <c r="G30" s="322"/>
      <c r="H30" s="322"/>
      <c r="I30" s="100">
        <v>2442324.5699999998</v>
      </c>
      <c r="J30" s="101">
        <f t="shared" si="0"/>
        <v>0.91079838911693278</v>
      </c>
      <c r="K30" s="100"/>
      <c r="L30" s="101">
        <f t="shared" si="1"/>
        <v>0</v>
      </c>
      <c r="M30" s="100">
        <v>239195.95</v>
      </c>
      <c r="N30" s="101">
        <f t="shared" si="2"/>
        <v>8.9201610883067203E-2</v>
      </c>
    </row>
    <row r="31" spans="2:14">
      <c r="B31" s="310"/>
      <c r="C31" s="310"/>
      <c r="D31" s="86">
        <v>45925</v>
      </c>
      <c r="E31" s="271" t="s">
        <v>59</v>
      </c>
      <c r="F31" s="97">
        <f t="shared" si="3"/>
        <v>2459851.8899999997</v>
      </c>
      <c r="G31" s="322"/>
      <c r="H31" s="322"/>
      <c r="I31" s="100">
        <v>2245202.86</v>
      </c>
      <c r="J31" s="101">
        <f t="shared" si="0"/>
        <v>0.91273904299986131</v>
      </c>
      <c r="K31" s="100"/>
      <c r="L31" s="101">
        <f t="shared" si="1"/>
        <v>0</v>
      </c>
      <c r="M31" s="100">
        <v>214649.03</v>
      </c>
      <c r="N31" s="101">
        <f t="shared" si="2"/>
        <v>8.726095700013875E-2</v>
      </c>
    </row>
    <row r="32" spans="2:14">
      <c r="B32" s="310"/>
      <c r="C32" s="310"/>
      <c r="D32" s="86">
        <v>45926</v>
      </c>
      <c r="E32" s="271" t="s">
        <v>60</v>
      </c>
      <c r="F32" s="97">
        <f t="shared" si="3"/>
        <v>1996517.17</v>
      </c>
      <c r="G32" s="322"/>
      <c r="H32" s="322"/>
      <c r="I32" s="100">
        <v>1833726.4</v>
      </c>
      <c r="J32" s="101">
        <f t="shared" si="0"/>
        <v>0.91846262459140282</v>
      </c>
      <c r="K32" s="100"/>
      <c r="L32" s="101">
        <f t="shared" si="1"/>
        <v>0</v>
      </c>
      <c r="M32" s="100">
        <v>162790.76999999999</v>
      </c>
      <c r="N32" s="101">
        <f t="shared" si="2"/>
        <v>8.1537375408597165E-2</v>
      </c>
    </row>
    <row r="33" spans="2:14">
      <c r="B33" s="310"/>
      <c r="C33" s="310"/>
      <c r="D33" s="86">
        <v>45927</v>
      </c>
      <c r="E33" s="271" t="s">
        <v>61</v>
      </c>
      <c r="F33" s="97">
        <f t="shared" si="3"/>
        <v>2053881.9100000001</v>
      </c>
      <c r="G33" s="322"/>
      <c r="H33" s="322"/>
      <c r="I33" s="100">
        <v>1888471.35</v>
      </c>
      <c r="J33" s="101">
        <f t="shared" si="0"/>
        <v>0.91946442529405203</v>
      </c>
      <c r="K33" s="100"/>
      <c r="L33" s="101">
        <f t="shared" si="1"/>
        <v>0</v>
      </c>
      <c r="M33" s="100">
        <v>165410.56</v>
      </c>
      <c r="N33" s="101">
        <f t="shared" si="2"/>
        <v>8.053557470594791E-2</v>
      </c>
    </row>
    <row r="34" spans="2:14">
      <c r="B34" s="310"/>
      <c r="C34" s="310"/>
      <c r="D34" s="86">
        <v>45928</v>
      </c>
      <c r="E34" s="271" t="s">
        <v>52</v>
      </c>
      <c r="F34" s="97">
        <f t="shared" si="3"/>
        <v>2260837.33</v>
      </c>
      <c r="G34" s="322"/>
      <c r="H34" s="322"/>
      <c r="I34" s="100">
        <v>2086033.06</v>
      </c>
      <c r="J34" s="101">
        <f t="shared" si="0"/>
        <v>0.92268162433429035</v>
      </c>
      <c r="K34" s="100"/>
      <c r="L34" s="101">
        <f t="shared" si="1"/>
        <v>0</v>
      </c>
      <c r="M34" s="100">
        <v>174804.27</v>
      </c>
      <c r="N34" s="101">
        <f t="shared" si="2"/>
        <v>7.7318375665709649E-2</v>
      </c>
    </row>
    <row r="35" spans="2:14" ht="12">
      <c r="B35" s="310"/>
      <c r="C35" s="310"/>
      <c r="D35" s="86">
        <v>45929</v>
      </c>
      <c r="E35" s="86" t="s">
        <v>56</v>
      </c>
      <c r="F35" s="97">
        <f t="shared" si="3"/>
        <v>2865652.2800000003</v>
      </c>
      <c r="G35" s="322"/>
      <c r="H35" s="322"/>
      <c r="I35" s="100">
        <v>2615939.29</v>
      </c>
      <c r="J35" s="101">
        <f t="shared" si="0"/>
        <v>0.91285998244001876</v>
      </c>
      <c r="K35" s="100"/>
      <c r="L35" s="101">
        <f t="shared" si="1"/>
        <v>0</v>
      </c>
      <c r="M35" s="100">
        <v>249712.99</v>
      </c>
      <c r="N35" s="101">
        <f t="shared" si="2"/>
        <v>8.7140017559981131E-2</v>
      </c>
    </row>
    <row r="36" spans="2:14">
      <c r="B36" s="83"/>
      <c r="C36" s="310"/>
      <c r="D36" s="86">
        <v>45930</v>
      </c>
      <c r="E36" s="271" t="s">
        <v>57</v>
      </c>
      <c r="F36" s="97">
        <f t="shared" si="3"/>
        <v>3164412</v>
      </c>
      <c r="G36" s="97"/>
      <c r="H36" s="322"/>
      <c r="I36" s="100">
        <v>2830050</v>
      </c>
      <c r="J36" s="101">
        <f t="shared" si="0"/>
        <v>0.89433676777865845</v>
      </c>
      <c r="K36" s="100"/>
      <c r="L36" s="101">
        <f t="shared" si="1"/>
        <v>0</v>
      </c>
      <c r="M36" s="100">
        <v>334362</v>
      </c>
      <c r="N36" s="101">
        <f t="shared" si="2"/>
        <v>0.10566323222134159</v>
      </c>
    </row>
    <row r="37" spans="2:14" ht="12">
      <c r="B37" s="83"/>
      <c r="C37" s="310"/>
      <c r="D37" s="86"/>
      <c r="E37" s="86"/>
      <c r="F37" s="97"/>
      <c r="G37" s="97"/>
      <c r="H37" s="322"/>
    </row>
    <row r="38" spans="2:14" ht="12">
      <c r="B38" s="83"/>
      <c r="C38" s="79"/>
      <c r="D38" s="86"/>
      <c r="E38" s="86"/>
      <c r="F38" s="97"/>
      <c r="G38" s="97"/>
      <c r="H38" s="97"/>
    </row>
    <row r="39" spans="2:14" ht="12">
      <c r="B39" s="310"/>
      <c r="C39" s="79"/>
      <c r="D39" s="86"/>
      <c r="E39" s="86"/>
      <c r="F39" s="97"/>
      <c r="G39" s="97"/>
      <c r="H39" s="97"/>
    </row>
    <row r="40" spans="2:14" ht="12">
      <c r="B40" s="310"/>
      <c r="C40" s="79"/>
      <c r="D40" s="86"/>
      <c r="E40" s="86"/>
      <c r="F40" s="97"/>
      <c r="G40" s="97"/>
      <c r="H40" s="97"/>
    </row>
    <row r="41" spans="2:14" ht="12">
      <c r="B41" s="310"/>
      <c r="C41" s="79"/>
      <c r="D41" s="86"/>
      <c r="E41" s="86"/>
      <c r="F41" s="97"/>
      <c r="G41" s="97"/>
      <c r="H41" s="97"/>
    </row>
    <row r="42" spans="2:14" ht="12">
      <c r="B42" s="310"/>
      <c r="C42" s="79"/>
      <c r="D42" s="86"/>
      <c r="E42" s="86"/>
      <c r="F42" s="97"/>
      <c r="G42" s="97"/>
      <c r="H42" s="97"/>
    </row>
    <row r="43" spans="2:14" ht="12">
      <c r="B43" s="310"/>
      <c r="C43" s="79"/>
      <c r="D43" s="86"/>
      <c r="E43" s="86"/>
      <c r="F43" s="97"/>
      <c r="G43" s="97"/>
      <c r="H43" s="97"/>
    </row>
    <row r="44" spans="2:14" ht="12">
      <c r="B44" s="310"/>
      <c r="C44" s="79"/>
      <c r="D44" s="86"/>
      <c r="E44" s="86"/>
      <c r="F44" s="97"/>
      <c r="G44" s="97"/>
      <c r="H44" s="97"/>
    </row>
    <row r="45" spans="2:14" ht="12">
      <c r="B45" s="310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B2:N2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H5:H6"/>
    <mergeCell ref="I3:N3"/>
    <mergeCell ref="B8:B14"/>
    <mergeCell ref="B15:B21"/>
    <mergeCell ref="B22:B28"/>
    <mergeCell ref="B29:B35"/>
    <mergeCell ref="G8:G14"/>
    <mergeCell ref="G15:G21"/>
    <mergeCell ref="G22:G28"/>
    <mergeCell ref="G29:G35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topLeftCell="A4" zoomScale="85" zoomScaleNormal="85" workbookViewId="0">
      <selection activeCell="Q30" sqref="Q30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47" t="s">
        <v>81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</row>
    <row r="3" spans="1:14" ht="25.35" customHeight="1">
      <c r="B3" s="328" t="s">
        <v>43</v>
      </c>
      <c r="C3" s="329" t="s">
        <v>72</v>
      </c>
      <c r="D3" s="330" t="s">
        <v>45</v>
      </c>
      <c r="E3" s="330"/>
      <c r="F3" s="334" t="s">
        <v>82</v>
      </c>
      <c r="G3" s="335"/>
      <c r="H3" s="335"/>
      <c r="I3" s="337" t="s">
        <v>83</v>
      </c>
      <c r="J3" s="338"/>
      <c r="K3" s="338"/>
      <c r="L3" s="338"/>
      <c r="M3" s="338"/>
      <c r="N3" s="339"/>
    </row>
    <row r="4" spans="1:14" ht="25.35" customHeight="1">
      <c r="B4" s="328"/>
      <c r="C4" s="329"/>
      <c r="D4" s="330"/>
      <c r="E4" s="330"/>
      <c r="F4" s="335"/>
      <c r="G4" s="335"/>
      <c r="H4" s="335"/>
      <c r="I4" s="336" t="s">
        <v>75</v>
      </c>
      <c r="J4" s="336"/>
      <c r="K4" s="336" t="s">
        <v>76</v>
      </c>
      <c r="L4" s="336"/>
      <c r="M4" s="336" t="s">
        <v>77</v>
      </c>
      <c r="N4" s="336"/>
    </row>
    <row r="5" spans="1:14" ht="25.35" customHeight="1">
      <c r="B5" s="328"/>
      <c r="C5" s="329"/>
      <c r="D5" s="330"/>
      <c r="E5" s="330"/>
      <c r="F5" s="333" t="s">
        <v>52</v>
      </c>
      <c r="G5" s="333" t="s">
        <v>53</v>
      </c>
      <c r="H5" s="333" t="s">
        <v>54</v>
      </c>
      <c r="I5" s="336" t="s">
        <v>78</v>
      </c>
      <c r="J5" s="336"/>
      <c r="K5" s="336" t="s">
        <v>78</v>
      </c>
      <c r="L5" s="336"/>
      <c r="M5" s="336" t="s">
        <v>78</v>
      </c>
      <c r="N5" s="336"/>
    </row>
    <row r="6" spans="1:14" s="82" customFormat="1" ht="23.45" customHeight="1">
      <c r="B6" s="328"/>
      <c r="C6" s="329"/>
      <c r="D6" s="330"/>
      <c r="E6" s="330"/>
      <c r="F6" s="333"/>
      <c r="G6" s="333"/>
      <c r="H6" s="333"/>
      <c r="I6" s="105" t="s">
        <v>84</v>
      </c>
      <c r="J6" s="99" t="s">
        <v>80</v>
      </c>
      <c r="K6" s="105" t="s">
        <v>84</v>
      </c>
      <c r="L6" s="99" t="s">
        <v>80</v>
      </c>
      <c r="M6" s="105" t="s">
        <v>84</v>
      </c>
      <c r="N6" s="99" t="s">
        <v>80</v>
      </c>
    </row>
    <row r="7" spans="1:14" ht="12">
      <c r="B7" s="312">
        <v>45910</v>
      </c>
      <c r="C7" s="317" t="s">
        <v>55</v>
      </c>
      <c r="D7" s="86">
        <v>45901</v>
      </c>
      <c r="E7" s="86" t="s">
        <v>56</v>
      </c>
      <c r="F7" s="246">
        <f>SUM(I7,K7,M7)</f>
        <v>58795</v>
      </c>
      <c r="G7" s="285">
        <f>SUM(F7)</f>
        <v>58795</v>
      </c>
      <c r="H7" s="332">
        <f>SUM(F7:F36)</f>
        <v>1533362</v>
      </c>
      <c r="I7" s="291">
        <v>49909</v>
      </c>
      <c r="J7" s="101">
        <f t="shared" ref="J7:J36" si="0">I7/F7</f>
        <v>0.84886469937919895</v>
      </c>
      <c r="K7" s="106"/>
      <c r="L7" s="101">
        <f t="shared" ref="L7:L36" si="1">K7/F7</f>
        <v>0</v>
      </c>
      <c r="M7" s="291">
        <v>8886</v>
      </c>
      <c r="N7" s="101">
        <f t="shared" ref="N7:N36" si="2">M7/F7</f>
        <v>0.15113530062080108</v>
      </c>
    </row>
    <row r="8" spans="1:14">
      <c r="B8" s="312"/>
      <c r="C8" s="310"/>
      <c r="D8" s="86">
        <v>45902</v>
      </c>
      <c r="E8" s="271" t="s">
        <v>57</v>
      </c>
      <c r="F8" s="246">
        <f t="shared" ref="F8:F36" si="3">SUM(I8,K8,M8)</f>
        <v>56974</v>
      </c>
      <c r="G8" s="332">
        <f>SUM(F8:F14)</f>
        <v>350126</v>
      </c>
      <c r="H8" s="332"/>
      <c r="I8" s="291">
        <v>47868</v>
      </c>
      <c r="J8" s="101">
        <f t="shared" si="0"/>
        <v>0.84017271035911112</v>
      </c>
      <c r="K8" s="106"/>
      <c r="L8" s="101">
        <f t="shared" si="1"/>
        <v>0</v>
      </c>
      <c r="M8" s="291">
        <v>9106</v>
      </c>
      <c r="N8" s="101">
        <f t="shared" si="2"/>
        <v>0.15982728964088883</v>
      </c>
    </row>
    <row r="9" spans="1:14">
      <c r="B9" s="312"/>
      <c r="C9" s="310"/>
      <c r="D9" s="86">
        <v>45903</v>
      </c>
      <c r="E9" s="271" t="s">
        <v>58</v>
      </c>
      <c r="F9" s="246">
        <f t="shared" si="3"/>
        <v>55119</v>
      </c>
      <c r="G9" s="332"/>
      <c r="H9" s="332"/>
      <c r="I9" s="291">
        <v>45818</v>
      </c>
      <c r="J9" s="101">
        <f t="shared" si="0"/>
        <v>0.83125600972441449</v>
      </c>
      <c r="K9" s="106"/>
      <c r="L9" s="101">
        <f t="shared" si="1"/>
        <v>0</v>
      </c>
      <c r="M9" s="291">
        <v>9301</v>
      </c>
      <c r="N9" s="101">
        <f t="shared" si="2"/>
        <v>0.16874399027558556</v>
      </c>
    </row>
    <row r="10" spans="1:14">
      <c r="B10" s="312"/>
      <c r="C10" s="310"/>
      <c r="D10" s="86">
        <v>45904</v>
      </c>
      <c r="E10" s="271" t="s">
        <v>59</v>
      </c>
      <c r="F10" s="246">
        <f t="shared" si="3"/>
        <v>49608</v>
      </c>
      <c r="G10" s="332"/>
      <c r="H10" s="332"/>
      <c r="I10" s="291">
        <v>40852</v>
      </c>
      <c r="J10" s="101">
        <f t="shared" si="0"/>
        <v>0.82349621028866316</v>
      </c>
      <c r="K10" s="106"/>
      <c r="L10" s="101">
        <f t="shared" si="1"/>
        <v>0</v>
      </c>
      <c r="M10" s="291">
        <v>8756</v>
      </c>
      <c r="N10" s="101">
        <f t="shared" si="2"/>
        <v>0.17650378971133687</v>
      </c>
    </row>
    <row r="11" spans="1:14">
      <c r="B11" s="312"/>
      <c r="C11" s="310"/>
      <c r="D11" s="86">
        <v>45905</v>
      </c>
      <c r="E11" s="271" t="s">
        <v>60</v>
      </c>
      <c r="F11" s="246">
        <f t="shared" si="3"/>
        <v>38609</v>
      </c>
      <c r="G11" s="332"/>
      <c r="H11" s="332"/>
      <c r="I11" s="291">
        <v>31431</v>
      </c>
      <c r="J11" s="101">
        <f t="shared" si="0"/>
        <v>0.81408479888108987</v>
      </c>
      <c r="K11" s="106"/>
      <c r="L11" s="101">
        <f t="shared" si="1"/>
        <v>0</v>
      </c>
      <c r="M11" s="291">
        <v>7178</v>
      </c>
      <c r="N11" s="101">
        <f t="shared" si="2"/>
        <v>0.18591520111891011</v>
      </c>
    </row>
    <row r="12" spans="1:14">
      <c r="B12" s="312"/>
      <c r="C12" s="310"/>
      <c r="D12" s="86">
        <v>45906</v>
      </c>
      <c r="E12" s="271" t="s">
        <v>61</v>
      </c>
      <c r="F12" s="246">
        <f t="shared" si="3"/>
        <v>40921</v>
      </c>
      <c r="G12" s="332"/>
      <c r="H12" s="332"/>
      <c r="I12" s="291">
        <v>33483</v>
      </c>
      <c r="J12" s="101">
        <f t="shared" si="0"/>
        <v>0.81823513599374409</v>
      </c>
      <c r="K12" s="106"/>
      <c r="L12" s="101">
        <f t="shared" si="1"/>
        <v>0</v>
      </c>
      <c r="M12" s="291">
        <v>7438</v>
      </c>
      <c r="N12" s="101">
        <f t="shared" si="2"/>
        <v>0.18176486400625597</v>
      </c>
    </row>
    <row r="13" spans="1:14">
      <c r="B13" s="312"/>
      <c r="C13" s="310"/>
      <c r="D13" s="86">
        <v>45907</v>
      </c>
      <c r="E13" s="271" t="s">
        <v>52</v>
      </c>
      <c r="F13" s="246">
        <f t="shared" si="3"/>
        <v>54263</v>
      </c>
      <c r="G13" s="332"/>
      <c r="H13" s="332"/>
      <c r="I13" s="291">
        <v>44907</v>
      </c>
      <c r="J13" s="101">
        <f t="shared" si="0"/>
        <v>0.82758048762508518</v>
      </c>
      <c r="K13" s="106"/>
      <c r="L13" s="101">
        <f t="shared" si="1"/>
        <v>0</v>
      </c>
      <c r="M13" s="291">
        <v>9356</v>
      </c>
      <c r="N13" s="101">
        <f t="shared" si="2"/>
        <v>0.17241951237491476</v>
      </c>
    </row>
    <row r="14" spans="1:14" ht="12">
      <c r="B14" s="312"/>
      <c r="C14" s="310"/>
      <c r="D14" s="86">
        <v>45908</v>
      </c>
      <c r="E14" s="86" t="s">
        <v>56</v>
      </c>
      <c r="F14" s="246">
        <f t="shared" si="3"/>
        <v>54632</v>
      </c>
      <c r="G14" s="332"/>
      <c r="H14" s="332"/>
      <c r="I14" s="291">
        <v>45410</v>
      </c>
      <c r="J14" s="101">
        <f t="shared" si="0"/>
        <v>0.83119783277200177</v>
      </c>
      <c r="K14" s="106"/>
      <c r="L14" s="101">
        <f t="shared" si="1"/>
        <v>0</v>
      </c>
      <c r="M14" s="291">
        <v>9222</v>
      </c>
      <c r="N14" s="101">
        <f t="shared" si="2"/>
        <v>0.16880216722799823</v>
      </c>
    </row>
    <row r="15" spans="1:14">
      <c r="B15" s="312">
        <v>45917</v>
      </c>
      <c r="C15" s="310"/>
      <c r="D15" s="86">
        <v>45909</v>
      </c>
      <c r="E15" s="271" t="s">
        <v>57</v>
      </c>
      <c r="F15" s="246">
        <f t="shared" si="3"/>
        <v>54526</v>
      </c>
      <c r="G15" s="332">
        <f>SUM(F15:F21)</f>
        <v>344404</v>
      </c>
      <c r="H15" s="332"/>
      <c r="I15" s="291">
        <v>45367</v>
      </c>
      <c r="J15" s="101">
        <f t="shared" si="0"/>
        <v>0.83202508894839156</v>
      </c>
      <c r="K15" s="106"/>
      <c r="L15" s="101">
        <f t="shared" si="1"/>
        <v>0</v>
      </c>
      <c r="M15" s="291">
        <v>9159</v>
      </c>
      <c r="N15" s="101">
        <f t="shared" si="2"/>
        <v>0.16797491105160842</v>
      </c>
    </row>
    <row r="16" spans="1:14">
      <c r="B16" s="310"/>
      <c r="C16" s="310"/>
      <c r="D16" s="86">
        <v>45910</v>
      </c>
      <c r="E16" s="271" t="s">
        <v>58</v>
      </c>
      <c r="F16" s="246">
        <f t="shared" si="3"/>
        <v>51467</v>
      </c>
      <c r="G16" s="332"/>
      <c r="H16" s="332"/>
      <c r="I16" s="291">
        <v>42416</v>
      </c>
      <c r="J16" s="101">
        <f t="shared" si="0"/>
        <v>0.82413974002759049</v>
      </c>
      <c r="K16" s="106"/>
      <c r="L16" s="101">
        <f t="shared" si="1"/>
        <v>0</v>
      </c>
      <c r="M16" s="291">
        <v>9051</v>
      </c>
      <c r="N16" s="101">
        <f t="shared" si="2"/>
        <v>0.17586025997240951</v>
      </c>
    </row>
    <row r="17" spans="2:14">
      <c r="B17" s="310"/>
      <c r="C17" s="310"/>
      <c r="D17" s="86">
        <v>45911</v>
      </c>
      <c r="E17" s="271" t="s">
        <v>59</v>
      </c>
      <c r="F17" s="246">
        <f t="shared" si="3"/>
        <v>47272</v>
      </c>
      <c r="G17" s="332"/>
      <c r="H17" s="332"/>
      <c r="I17" s="291">
        <v>38956</v>
      </c>
      <c r="J17" s="101">
        <f t="shared" si="0"/>
        <v>0.82408190895244537</v>
      </c>
      <c r="K17" s="106"/>
      <c r="L17" s="101">
        <f t="shared" si="1"/>
        <v>0</v>
      </c>
      <c r="M17" s="291">
        <v>8316</v>
      </c>
      <c r="N17" s="101">
        <f t="shared" si="2"/>
        <v>0.17591809104755457</v>
      </c>
    </row>
    <row r="18" spans="2:14">
      <c r="B18" s="310"/>
      <c r="C18" s="310"/>
      <c r="D18" s="86">
        <v>45912</v>
      </c>
      <c r="E18" s="271" t="s">
        <v>60</v>
      </c>
      <c r="F18" s="246">
        <f t="shared" si="3"/>
        <v>40144</v>
      </c>
      <c r="G18" s="332"/>
      <c r="H18" s="332"/>
      <c r="I18" s="291">
        <v>32903</v>
      </c>
      <c r="J18" s="101">
        <f t="shared" si="0"/>
        <v>0.81962435233160624</v>
      </c>
      <c r="K18" s="106"/>
      <c r="L18" s="101">
        <f t="shared" si="1"/>
        <v>0</v>
      </c>
      <c r="M18" s="291">
        <v>7241</v>
      </c>
      <c r="N18" s="101">
        <f t="shared" si="2"/>
        <v>0.18037564766839378</v>
      </c>
    </row>
    <row r="19" spans="2:14">
      <c r="B19" s="310"/>
      <c r="C19" s="310"/>
      <c r="D19" s="86">
        <v>45913</v>
      </c>
      <c r="E19" s="271" t="s">
        <v>61</v>
      </c>
      <c r="F19" s="246">
        <f t="shared" si="3"/>
        <v>42409</v>
      </c>
      <c r="G19" s="332"/>
      <c r="H19" s="332"/>
      <c r="I19" s="291">
        <v>34706</v>
      </c>
      <c r="J19" s="101">
        <f t="shared" si="0"/>
        <v>0.81836402650380813</v>
      </c>
      <c r="K19" s="106"/>
      <c r="L19" s="101">
        <f t="shared" si="1"/>
        <v>0</v>
      </c>
      <c r="M19" s="291">
        <v>7703</v>
      </c>
      <c r="N19" s="101">
        <f t="shared" si="2"/>
        <v>0.18163597349619184</v>
      </c>
    </row>
    <row r="20" spans="2:14">
      <c r="B20" s="310"/>
      <c r="C20" s="310"/>
      <c r="D20" s="86">
        <v>45914</v>
      </c>
      <c r="E20" s="271" t="s">
        <v>52</v>
      </c>
      <c r="F20" s="246">
        <f t="shared" si="3"/>
        <v>54004</v>
      </c>
      <c r="G20" s="332"/>
      <c r="H20" s="332"/>
      <c r="I20" s="291">
        <v>44584</v>
      </c>
      <c r="J20" s="101">
        <f t="shared" si="0"/>
        <v>0.82556847640915487</v>
      </c>
      <c r="K20" s="106"/>
      <c r="L20" s="101">
        <f t="shared" si="1"/>
        <v>0</v>
      </c>
      <c r="M20" s="291">
        <v>9420</v>
      </c>
      <c r="N20" s="101">
        <f t="shared" si="2"/>
        <v>0.17443152359084513</v>
      </c>
    </row>
    <row r="21" spans="2:14" ht="12">
      <c r="B21" s="310"/>
      <c r="C21" s="310"/>
      <c r="D21" s="86">
        <v>45915</v>
      </c>
      <c r="E21" s="86" t="s">
        <v>56</v>
      </c>
      <c r="F21" s="246">
        <f t="shared" si="3"/>
        <v>54582</v>
      </c>
      <c r="G21" s="332"/>
      <c r="H21" s="332"/>
      <c r="I21" s="291">
        <v>45217</v>
      </c>
      <c r="J21" s="101">
        <f t="shared" si="0"/>
        <v>0.82842328972921475</v>
      </c>
      <c r="K21" s="106"/>
      <c r="L21" s="101">
        <f t="shared" si="1"/>
        <v>0</v>
      </c>
      <c r="M21" s="291">
        <v>9365</v>
      </c>
      <c r="N21" s="101">
        <f t="shared" si="2"/>
        <v>0.17157671027078525</v>
      </c>
    </row>
    <row r="22" spans="2:14">
      <c r="B22" s="312">
        <v>45924</v>
      </c>
      <c r="C22" s="310"/>
      <c r="D22" s="86">
        <v>45916</v>
      </c>
      <c r="E22" s="271" t="s">
        <v>57</v>
      </c>
      <c r="F22" s="246">
        <f t="shared" si="3"/>
        <v>52594</v>
      </c>
      <c r="G22" s="332">
        <f>SUM(F22:F28)</f>
        <v>376041</v>
      </c>
      <c r="H22" s="332"/>
      <c r="I22" s="291">
        <v>43941</v>
      </c>
      <c r="J22" s="101">
        <f t="shared" si="0"/>
        <v>0.83547552952808302</v>
      </c>
      <c r="K22" s="106"/>
      <c r="L22" s="101">
        <f t="shared" si="1"/>
        <v>0</v>
      </c>
      <c r="M22" s="291">
        <v>8653</v>
      </c>
      <c r="N22" s="101">
        <f t="shared" si="2"/>
        <v>0.16452447047191696</v>
      </c>
    </row>
    <row r="23" spans="2:14">
      <c r="B23" s="310"/>
      <c r="C23" s="310"/>
      <c r="D23" s="86">
        <v>45917</v>
      </c>
      <c r="E23" s="271" t="s">
        <v>58</v>
      </c>
      <c r="F23" s="246">
        <f t="shared" si="3"/>
        <v>61614</v>
      </c>
      <c r="G23" s="332"/>
      <c r="H23" s="332"/>
      <c r="I23" s="291">
        <v>53109</v>
      </c>
      <c r="J23" s="101">
        <f t="shared" si="0"/>
        <v>0.8619631901840491</v>
      </c>
      <c r="K23" s="106"/>
      <c r="L23" s="101">
        <f t="shared" si="1"/>
        <v>0</v>
      </c>
      <c r="M23" s="291">
        <v>8505</v>
      </c>
      <c r="N23" s="101">
        <f t="shared" si="2"/>
        <v>0.13803680981595093</v>
      </c>
    </row>
    <row r="24" spans="2:14">
      <c r="B24" s="310"/>
      <c r="C24" s="310"/>
      <c r="D24" s="86">
        <v>45918</v>
      </c>
      <c r="E24" s="271" t="s">
        <v>59</v>
      </c>
      <c r="F24" s="246">
        <f t="shared" si="3"/>
        <v>56703</v>
      </c>
      <c r="G24" s="332"/>
      <c r="H24" s="332"/>
      <c r="I24" s="291">
        <v>48748</v>
      </c>
      <c r="J24" s="101">
        <f t="shared" si="0"/>
        <v>0.8597075992451898</v>
      </c>
      <c r="K24" s="106"/>
      <c r="L24" s="101">
        <f t="shared" si="1"/>
        <v>0</v>
      </c>
      <c r="M24" s="291">
        <v>7955</v>
      </c>
      <c r="N24" s="101">
        <f t="shared" si="2"/>
        <v>0.14029240075481014</v>
      </c>
    </row>
    <row r="25" spans="2:14">
      <c r="B25" s="310"/>
      <c r="C25" s="310"/>
      <c r="D25" s="86">
        <v>45919</v>
      </c>
      <c r="E25" s="271" t="s">
        <v>60</v>
      </c>
      <c r="F25" s="246">
        <f t="shared" si="3"/>
        <v>42093</v>
      </c>
      <c r="G25" s="332"/>
      <c r="H25" s="332"/>
      <c r="I25" s="291">
        <v>35357</v>
      </c>
      <c r="J25" s="101">
        <f t="shared" si="0"/>
        <v>0.83997339225049295</v>
      </c>
      <c r="K25" s="106"/>
      <c r="L25" s="101">
        <f t="shared" si="1"/>
        <v>0</v>
      </c>
      <c r="M25" s="291">
        <v>6736</v>
      </c>
      <c r="N25" s="101">
        <f t="shared" si="2"/>
        <v>0.16002660774950705</v>
      </c>
    </row>
    <row r="26" spans="2:14">
      <c r="B26" s="310"/>
      <c r="C26" s="310"/>
      <c r="D26" s="86">
        <v>45920</v>
      </c>
      <c r="E26" s="271" t="s">
        <v>61</v>
      </c>
      <c r="F26" s="246">
        <f t="shared" si="3"/>
        <v>45817</v>
      </c>
      <c r="G26" s="332"/>
      <c r="H26" s="332"/>
      <c r="I26" s="291">
        <v>38524</v>
      </c>
      <c r="J26" s="101">
        <f t="shared" si="0"/>
        <v>0.84082327520352707</v>
      </c>
      <c r="K26" s="106"/>
      <c r="L26" s="101">
        <f t="shared" si="1"/>
        <v>0</v>
      </c>
      <c r="M26" s="291">
        <v>7293</v>
      </c>
      <c r="N26" s="101">
        <f t="shared" si="2"/>
        <v>0.15917672479647293</v>
      </c>
    </row>
    <row r="27" spans="2:14">
      <c r="B27" s="310"/>
      <c r="C27" s="310"/>
      <c r="D27" s="86">
        <v>45921</v>
      </c>
      <c r="E27" s="271" t="s">
        <v>52</v>
      </c>
      <c r="F27" s="246">
        <f t="shared" si="3"/>
        <v>58722</v>
      </c>
      <c r="G27" s="332"/>
      <c r="H27" s="332"/>
      <c r="I27" s="291">
        <v>49564</v>
      </c>
      <c r="J27" s="101">
        <f t="shared" si="0"/>
        <v>0.84404482136167025</v>
      </c>
      <c r="K27" s="106"/>
      <c r="L27" s="101">
        <f t="shared" si="1"/>
        <v>0</v>
      </c>
      <c r="M27" s="291">
        <v>9158</v>
      </c>
      <c r="N27" s="101">
        <f t="shared" si="2"/>
        <v>0.15595517863832975</v>
      </c>
    </row>
    <row r="28" spans="2:14" ht="12">
      <c r="B28" s="310"/>
      <c r="C28" s="310"/>
      <c r="D28" s="86">
        <v>45922</v>
      </c>
      <c r="E28" s="86" t="s">
        <v>56</v>
      </c>
      <c r="F28" s="246">
        <f t="shared" si="3"/>
        <v>58498</v>
      </c>
      <c r="G28" s="332"/>
      <c r="H28" s="332"/>
      <c r="I28" s="291">
        <v>49713</v>
      </c>
      <c r="J28" s="101">
        <f t="shared" si="0"/>
        <v>0.84982392560429421</v>
      </c>
      <c r="K28" s="106"/>
      <c r="L28" s="101">
        <f t="shared" si="1"/>
        <v>0</v>
      </c>
      <c r="M28" s="291">
        <v>8785</v>
      </c>
      <c r="N28" s="101">
        <f t="shared" si="2"/>
        <v>0.15017607439570585</v>
      </c>
    </row>
    <row r="29" spans="2:14">
      <c r="B29" s="312">
        <v>45931</v>
      </c>
      <c r="C29" s="310"/>
      <c r="D29" s="86">
        <v>45923</v>
      </c>
      <c r="E29" s="271" t="s">
        <v>57</v>
      </c>
      <c r="F29" s="246">
        <f t="shared" si="3"/>
        <v>54036</v>
      </c>
      <c r="G29" s="332">
        <f>SUM(F29:F35)</f>
        <v>347276</v>
      </c>
      <c r="H29" s="332"/>
      <c r="I29" s="291">
        <v>45526</v>
      </c>
      <c r="J29" s="101">
        <f t="shared" si="0"/>
        <v>0.84251239914131315</v>
      </c>
      <c r="K29" s="106"/>
      <c r="L29" s="101">
        <f t="shared" si="1"/>
        <v>0</v>
      </c>
      <c r="M29" s="291">
        <v>8510</v>
      </c>
      <c r="N29" s="101">
        <f t="shared" si="2"/>
        <v>0.15748760085868679</v>
      </c>
    </row>
    <row r="30" spans="2:14">
      <c r="B30" s="310"/>
      <c r="C30" s="310"/>
      <c r="D30" s="86">
        <v>45924</v>
      </c>
      <c r="E30" s="271" t="s">
        <v>58</v>
      </c>
      <c r="F30" s="246">
        <f t="shared" si="3"/>
        <v>55176</v>
      </c>
      <c r="G30" s="332"/>
      <c r="H30" s="332"/>
      <c r="I30" s="291">
        <v>46509</v>
      </c>
      <c r="J30" s="101">
        <f t="shared" si="0"/>
        <v>0.84292083514571547</v>
      </c>
      <c r="K30" s="106"/>
      <c r="L30" s="101">
        <f t="shared" si="1"/>
        <v>0</v>
      </c>
      <c r="M30" s="291">
        <v>8667</v>
      </c>
      <c r="N30" s="101">
        <f t="shared" si="2"/>
        <v>0.15707916485428447</v>
      </c>
    </row>
    <row r="31" spans="2:14">
      <c r="B31" s="310"/>
      <c r="C31" s="310"/>
      <c r="D31" s="86">
        <v>45925</v>
      </c>
      <c r="E31" s="271" t="s">
        <v>59</v>
      </c>
      <c r="F31" s="246">
        <f t="shared" si="3"/>
        <v>50523</v>
      </c>
      <c r="G31" s="332"/>
      <c r="H31" s="332"/>
      <c r="I31" s="291">
        <v>42752</v>
      </c>
      <c r="J31" s="101">
        <f t="shared" si="0"/>
        <v>0.8461888644775647</v>
      </c>
      <c r="K31" s="106"/>
      <c r="L31" s="101">
        <f t="shared" si="1"/>
        <v>0</v>
      </c>
      <c r="M31" s="291">
        <v>7771</v>
      </c>
      <c r="N31" s="101">
        <f t="shared" si="2"/>
        <v>0.15381113552243533</v>
      </c>
    </row>
    <row r="32" spans="2:14">
      <c r="B32" s="310"/>
      <c r="C32" s="310"/>
      <c r="D32" s="86">
        <v>45926</v>
      </c>
      <c r="E32" s="271" t="s">
        <v>60</v>
      </c>
      <c r="F32" s="246">
        <f t="shared" si="3"/>
        <v>40771</v>
      </c>
      <c r="G32" s="332"/>
      <c r="H32" s="332"/>
      <c r="I32" s="291">
        <v>34877</v>
      </c>
      <c r="J32" s="101">
        <f t="shared" si="0"/>
        <v>0.85543646219126335</v>
      </c>
      <c r="K32" s="106"/>
      <c r="L32" s="101">
        <f t="shared" si="1"/>
        <v>0</v>
      </c>
      <c r="M32" s="291">
        <v>5894</v>
      </c>
      <c r="N32" s="101">
        <f t="shared" si="2"/>
        <v>0.1445635378087366</v>
      </c>
    </row>
    <row r="33" spans="2:14">
      <c r="B33" s="310"/>
      <c r="C33" s="310"/>
      <c r="D33" s="86">
        <v>45927</v>
      </c>
      <c r="E33" s="271" t="s">
        <v>61</v>
      </c>
      <c r="F33" s="246">
        <f t="shared" si="3"/>
        <v>41899</v>
      </c>
      <c r="G33" s="332"/>
      <c r="H33" s="332"/>
      <c r="I33" s="291">
        <v>35916</v>
      </c>
      <c r="J33" s="101">
        <f t="shared" si="0"/>
        <v>0.85720422921788109</v>
      </c>
      <c r="K33" s="106"/>
      <c r="L33" s="101">
        <f t="shared" si="1"/>
        <v>0</v>
      </c>
      <c r="M33" s="291">
        <v>5983</v>
      </c>
      <c r="N33" s="101">
        <f t="shared" si="2"/>
        <v>0.14279577078211891</v>
      </c>
    </row>
    <row r="34" spans="2:14">
      <c r="B34" s="310"/>
      <c r="C34" s="310"/>
      <c r="D34" s="86">
        <v>45928</v>
      </c>
      <c r="E34" s="271" t="s">
        <v>52</v>
      </c>
      <c r="F34" s="246">
        <f t="shared" si="3"/>
        <v>46083</v>
      </c>
      <c r="G34" s="332"/>
      <c r="H34" s="332"/>
      <c r="I34" s="291">
        <v>39755</v>
      </c>
      <c r="J34" s="101">
        <f t="shared" si="0"/>
        <v>0.86268255104919389</v>
      </c>
      <c r="K34" s="106"/>
      <c r="L34" s="101">
        <f t="shared" si="1"/>
        <v>0</v>
      </c>
      <c r="M34" s="291">
        <v>6328</v>
      </c>
      <c r="N34" s="101">
        <f t="shared" si="2"/>
        <v>0.13731744895080616</v>
      </c>
    </row>
    <row r="35" spans="2:14" ht="12">
      <c r="B35" s="310"/>
      <c r="C35" s="310"/>
      <c r="D35" s="86">
        <v>45929</v>
      </c>
      <c r="E35" s="86" t="s">
        <v>56</v>
      </c>
      <c r="F35" s="246">
        <f t="shared" si="3"/>
        <v>58788</v>
      </c>
      <c r="G35" s="332"/>
      <c r="H35" s="332"/>
      <c r="I35" s="291">
        <v>49741</v>
      </c>
      <c r="J35" s="101">
        <f t="shared" si="0"/>
        <v>0.84610804926175409</v>
      </c>
      <c r="K35" s="106"/>
      <c r="L35" s="101">
        <f t="shared" si="1"/>
        <v>0</v>
      </c>
      <c r="M35" s="291">
        <v>9047</v>
      </c>
      <c r="N35" s="101">
        <f t="shared" si="2"/>
        <v>0.15389195073824591</v>
      </c>
    </row>
    <row r="36" spans="2:14">
      <c r="B36" s="310"/>
      <c r="C36" s="310"/>
      <c r="D36" s="86">
        <v>45930</v>
      </c>
      <c r="E36" s="271" t="s">
        <v>57</v>
      </c>
      <c r="F36" s="246">
        <f t="shared" si="3"/>
        <v>56720</v>
      </c>
      <c r="G36" s="332">
        <f>SUM(F36:F42)</f>
        <v>56720</v>
      </c>
      <c r="H36" s="332"/>
      <c r="I36" s="291">
        <v>44702</v>
      </c>
      <c r="J36" s="101">
        <f t="shared" si="0"/>
        <v>0.78811706629055012</v>
      </c>
      <c r="K36" s="106"/>
      <c r="L36" s="101">
        <f t="shared" si="1"/>
        <v>0</v>
      </c>
      <c r="M36" s="291">
        <v>12018</v>
      </c>
      <c r="N36" s="101">
        <f t="shared" si="2"/>
        <v>0.21188293370944994</v>
      </c>
    </row>
    <row r="37" spans="2:14">
      <c r="B37" s="310"/>
      <c r="C37" s="310"/>
      <c r="D37" s="86"/>
      <c r="E37" s="271"/>
      <c r="F37" s="246"/>
      <c r="G37" s="332"/>
      <c r="H37" s="332"/>
      <c r="I37" s="286"/>
      <c r="J37" s="287"/>
      <c r="K37" s="286"/>
      <c r="L37" s="287"/>
      <c r="M37" s="286"/>
      <c r="N37" s="287"/>
    </row>
    <row r="38" spans="2:14">
      <c r="B38" s="310"/>
      <c r="C38" s="79"/>
      <c r="D38" s="86"/>
      <c r="E38" s="271"/>
      <c r="F38" s="246"/>
      <c r="G38" s="332"/>
      <c r="H38" s="246"/>
    </row>
    <row r="39" spans="2:14">
      <c r="B39" s="310"/>
      <c r="C39" s="79"/>
      <c r="D39" s="86"/>
      <c r="E39" s="271"/>
      <c r="F39" s="246"/>
      <c r="G39" s="332"/>
      <c r="H39" s="246"/>
    </row>
    <row r="40" spans="2:14">
      <c r="B40" s="310"/>
      <c r="C40" s="79"/>
      <c r="D40" s="86"/>
      <c r="E40" s="271"/>
      <c r="F40" s="246"/>
      <c r="G40" s="332"/>
      <c r="H40" s="246"/>
    </row>
    <row r="41" spans="2:14">
      <c r="B41" s="310"/>
      <c r="C41" s="79"/>
      <c r="D41" s="86"/>
      <c r="E41" s="271"/>
      <c r="F41" s="246"/>
      <c r="G41" s="332"/>
      <c r="H41" s="246"/>
    </row>
    <row r="42" spans="2:14" ht="12">
      <c r="B42" s="310"/>
      <c r="C42" s="79"/>
      <c r="D42" s="86"/>
      <c r="E42" s="86"/>
      <c r="F42" s="246"/>
      <c r="G42" s="332"/>
      <c r="H42" s="246"/>
    </row>
    <row r="43" spans="2:14">
      <c r="B43" s="83"/>
      <c r="C43" s="79"/>
      <c r="D43" s="86"/>
      <c r="E43" s="271"/>
      <c r="F43" s="246"/>
      <c r="G43" s="246"/>
      <c r="H43" s="246"/>
    </row>
    <row r="44" spans="2:14">
      <c r="B44" s="83"/>
      <c r="C44" s="79"/>
      <c r="D44" s="86"/>
      <c r="E44" s="271"/>
      <c r="F44" s="246"/>
      <c r="G44" s="246"/>
      <c r="H44" s="246"/>
    </row>
    <row r="45" spans="2:14">
      <c r="B45" s="83"/>
      <c r="C45" s="79"/>
      <c r="D45" s="86"/>
      <c r="E45" s="271"/>
      <c r="F45" s="246"/>
      <c r="G45" s="246"/>
      <c r="H45" s="246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6">
    <mergeCell ref="M5:N5"/>
    <mergeCell ref="I5:J5"/>
    <mergeCell ref="I4:J4"/>
    <mergeCell ref="M4:N4"/>
    <mergeCell ref="I3:N3"/>
    <mergeCell ref="K4:L4"/>
    <mergeCell ref="K5:L5"/>
    <mergeCell ref="H7:H37"/>
    <mergeCell ref="F5:F6"/>
    <mergeCell ref="C7:C37"/>
    <mergeCell ref="C3:C6"/>
    <mergeCell ref="G5:G6"/>
    <mergeCell ref="H5:H6"/>
    <mergeCell ref="F3:H4"/>
    <mergeCell ref="G8:G14"/>
    <mergeCell ref="G15:G21"/>
    <mergeCell ref="G22:G28"/>
    <mergeCell ref="G29:G35"/>
    <mergeCell ref="G36:G42"/>
    <mergeCell ref="D3:E6"/>
    <mergeCell ref="B36:B42"/>
    <mergeCell ref="B3:B6"/>
    <mergeCell ref="B7:B14"/>
    <mergeCell ref="B15:B21"/>
    <mergeCell ref="B22:B28"/>
    <mergeCell ref="B29:B35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zoomScale="85" zoomScaleNormal="85" workbookViewId="0">
      <pane xSplit="4" topLeftCell="E1" activePane="topRight" state="frozen"/>
      <selection pane="topRight" activeCell="C1" sqref="C1"/>
    </sheetView>
  </sheetViews>
  <sheetFormatPr defaultColWidth="8.85546875" defaultRowHeight="12.75"/>
  <cols>
    <col min="1" max="1" width="5.5703125" style="252" customWidth="1"/>
    <col min="2" max="2" width="12.42578125" style="252" customWidth="1"/>
    <col min="3" max="3" width="8.85546875" style="251"/>
    <col min="4" max="4" width="26.42578125" style="251" customWidth="1"/>
    <col min="5" max="7" width="8.42578125" style="251" customWidth="1"/>
    <col min="8" max="8" width="11.140625" style="251" bestFit="1" customWidth="1"/>
    <col min="9" max="12" width="11.140625" style="251" customWidth="1"/>
    <col min="13" max="13" width="13.5703125" style="251" customWidth="1"/>
    <col min="14" max="14" width="9.85546875" style="251" customWidth="1"/>
    <col min="15" max="15" width="7.140625" style="251" customWidth="1"/>
    <col min="16" max="18" width="12.85546875" style="251" customWidth="1"/>
    <col min="19" max="19" width="5.42578125" style="251" customWidth="1"/>
    <col min="20" max="20" width="12.85546875" style="251" customWidth="1"/>
    <col min="21" max="23" width="12.85546875" style="252" customWidth="1"/>
    <col min="24" max="24" width="5.42578125" style="251" customWidth="1"/>
    <col min="25" max="28" width="12.85546875" style="252" customWidth="1"/>
    <col min="29" max="29" width="7.7109375" style="251" bestFit="1" customWidth="1"/>
    <col min="30" max="30" width="12.85546875" style="252" customWidth="1"/>
    <col min="31" max="33" width="12.5703125" style="252" customWidth="1"/>
    <col min="34" max="34" width="7.7109375" style="251" bestFit="1" customWidth="1"/>
    <col min="35" max="35" width="13" style="252" customWidth="1"/>
    <col min="36" max="38" width="12.5703125" style="252" customWidth="1"/>
    <col min="39" max="39" width="5.42578125" style="251" customWidth="1"/>
    <col min="40" max="40" width="13" style="252" customWidth="1"/>
    <col min="41" max="43" width="13.140625" style="252" customWidth="1"/>
    <col min="44" max="44" width="5.42578125" style="252" customWidth="1"/>
    <col min="45" max="48" width="13.140625" style="252" customWidth="1"/>
    <col min="49" max="49" width="5.42578125" style="252" customWidth="1"/>
    <col min="50" max="50" width="13.140625" style="252" customWidth="1"/>
    <col min="51" max="16384" width="8.85546875" style="252"/>
  </cols>
  <sheetData>
    <row r="1" spans="1:50" ht="21">
      <c r="A1" s="248"/>
      <c r="B1" s="249" t="s">
        <v>85</v>
      </c>
      <c r="C1" s="250">
        <f>AVERAGE(L7,L30,L53,L73,L96,L119)</f>
        <v>95.245448251137645</v>
      </c>
    </row>
    <row r="2" spans="1:50" ht="15.75">
      <c r="A2" s="253"/>
      <c r="B2" s="357" t="s">
        <v>86</v>
      </c>
      <c r="C2" s="358"/>
      <c r="D2" s="358"/>
      <c r="E2" s="358"/>
      <c r="F2" s="358"/>
      <c r="G2" s="358"/>
      <c r="H2" s="358"/>
      <c r="I2" s="254"/>
      <c r="J2" s="254"/>
      <c r="K2" s="254"/>
      <c r="L2" s="254"/>
      <c r="M2" s="255"/>
      <c r="N2" s="354" t="s">
        <v>87</v>
      </c>
      <c r="O2" s="354" t="s">
        <v>45</v>
      </c>
      <c r="P2" s="349"/>
      <c r="Q2" s="341"/>
      <c r="R2" s="341"/>
      <c r="S2" s="341"/>
      <c r="T2" s="341"/>
      <c r="U2" s="349"/>
      <c r="V2" s="341"/>
      <c r="W2" s="341"/>
      <c r="X2" s="341"/>
      <c r="Y2" s="341"/>
      <c r="Z2" s="349"/>
      <c r="AA2" s="341"/>
      <c r="AB2" s="341"/>
      <c r="AC2" s="341"/>
      <c r="AD2" s="341"/>
      <c r="AE2" s="349"/>
      <c r="AF2" s="341"/>
      <c r="AG2" s="341"/>
      <c r="AH2" s="341"/>
      <c r="AI2" s="341"/>
      <c r="AJ2" s="349"/>
      <c r="AK2" s="341"/>
      <c r="AL2" s="341"/>
      <c r="AM2" s="341"/>
      <c r="AN2" s="341"/>
      <c r="AO2" s="349"/>
      <c r="AP2" s="341"/>
      <c r="AQ2" s="341"/>
      <c r="AR2" s="341"/>
      <c r="AS2" s="341"/>
      <c r="AT2" s="349">
        <v>45901</v>
      </c>
      <c r="AU2" s="341"/>
      <c r="AV2" s="341"/>
      <c r="AW2" s="341"/>
      <c r="AX2" s="341"/>
    </row>
    <row r="3" spans="1:50" ht="15.75">
      <c r="A3" s="253"/>
      <c r="B3" s="359"/>
      <c r="C3" s="359"/>
      <c r="D3" s="359"/>
      <c r="E3" s="359"/>
      <c r="F3" s="359"/>
      <c r="G3" s="359"/>
      <c r="H3" s="359"/>
      <c r="I3" s="256"/>
      <c r="J3" s="256"/>
      <c r="K3" s="256"/>
      <c r="L3" s="256"/>
      <c r="M3" s="257"/>
      <c r="N3" s="356"/>
      <c r="O3" s="356"/>
      <c r="P3" s="349" t="s">
        <v>57</v>
      </c>
      <c r="Q3" s="341"/>
      <c r="R3" s="341"/>
      <c r="S3" s="341"/>
      <c r="T3" s="341"/>
      <c r="U3" s="349" t="s">
        <v>58</v>
      </c>
      <c r="V3" s="341"/>
      <c r="W3" s="341"/>
      <c r="X3" s="341"/>
      <c r="Y3" s="341"/>
      <c r="Z3" s="349" t="s">
        <v>59</v>
      </c>
      <c r="AA3" s="341"/>
      <c r="AB3" s="341"/>
      <c r="AC3" s="341"/>
      <c r="AD3" s="341"/>
      <c r="AE3" s="349" t="s">
        <v>60</v>
      </c>
      <c r="AF3" s="341"/>
      <c r="AG3" s="341"/>
      <c r="AH3" s="341"/>
      <c r="AI3" s="341"/>
      <c r="AJ3" s="349" t="s">
        <v>61</v>
      </c>
      <c r="AK3" s="341"/>
      <c r="AL3" s="341"/>
      <c r="AM3" s="341"/>
      <c r="AN3" s="341"/>
      <c r="AO3" s="349" t="s">
        <v>52</v>
      </c>
      <c r="AP3" s="341"/>
      <c r="AQ3" s="341"/>
      <c r="AR3" s="341"/>
      <c r="AS3" s="341"/>
      <c r="AT3" s="349" t="s">
        <v>56</v>
      </c>
      <c r="AU3" s="341"/>
      <c r="AV3" s="341"/>
      <c r="AW3" s="341"/>
      <c r="AX3" s="341"/>
    </row>
    <row r="4" spans="1:50">
      <c r="A4" s="253"/>
      <c r="B4" s="345" t="s">
        <v>88</v>
      </c>
      <c r="C4" s="350" t="s">
        <v>89</v>
      </c>
      <c r="D4" s="345"/>
      <c r="E4" s="345" t="s">
        <v>90</v>
      </c>
      <c r="F4" s="345"/>
      <c r="G4" s="345"/>
      <c r="H4" s="351" t="s">
        <v>91</v>
      </c>
      <c r="I4" s="345" t="s">
        <v>92</v>
      </c>
      <c r="J4" s="345"/>
      <c r="K4" s="345"/>
      <c r="L4" s="351" t="s">
        <v>91</v>
      </c>
      <c r="M4" s="354" t="s">
        <v>93</v>
      </c>
      <c r="N4" s="345"/>
      <c r="O4" s="345" t="s">
        <v>94</v>
      </c>
      <c r="P4" s="346" t="s">
        <v>95</v>
      </c>
      <c r="Q4" s="347"/>
      <c r="R4" s="347"/>
      <c r="S4" s="348"/>
      <c r="T4" s="345" t="s">
        <v>91</v>
      </c>
      <c r="U4" s="346" t="s">
        <v>95</v>
      </c>
      <c r="V4" s="347"/>
      <c r="W4" s="347"/>
      <c r="X4" s="348"/>
      <c r="Y4" s="345" t="s">
        <v>91</v>
      </c>
      <c r="Z4" s="346" t="s">
        <v>95</v>
      </c>
      <c r="AA4" s="347"/>
      <c r="AB4" s="347"/>
      <c r="AC4" s="348"/>
      <c r="AD4" s="345" t="s">
        <v>91</v>
      </c>
      <c r="AE4" s="346" t="s">
        <v>95</v>
      </c>
      <c r="AF4" s="347"/>
      <c r="AG4" s="347"/>
      <c r="AH4" s="348"/>
      <c r="AI4" s="345" t="s">
        <v>91</v>
      </c>
      <c r="AJ4" s="346" t="s">
        <v>95</v>
      </c>
      <c r="AK4" s="347"/>
      <c r="AL4" s="347"/>
      <c r="AM4" s="348"/>
      <c r="AN4" s="345" t="s">
        <v>91</v>
      </c>
      <c r="AO4" s="346" t="s">
        <v>95</v>
      </c>
      <c r="AP4" s="347"/>
      <c r="AQ4" s="347"/>
      <c r="AR4" s="348"/>
      <c r="AS4" s="345" t="s">
        <v>91</v>
      </c>
      <c r="AT4" s="346" t="s">
        <v>95</v>
      </c>
      <c r="AU4" s="347"/>
      <c r="AV4" s="347"/>
      <c r="AW4" s="348"/>
      <c r="AX4" s="345" t="s">
        <v>91</v>
      </c>
    </row>
    <row r="5" spans="1:50">
      <c r="A5" s="253"/>
      <c r="B5" s="345"/>
      <c r="C5" s="345"/>
      <c r="D5" s="345"/>
      <c r="E5" s="345" t="s">
        <v>96</v>
      </c>
      <c r="F5" s="345"/>
      <c r="G5" s="345"/>
      <c r="H5" s="352"/>
      <c r="I5" s="345" t="s">
        <v>96</v>
      </c>
      <c r="J5" s="345"/>
      <c r="K5" s="345"/>
      <c r="L5" s="352"/>
      <c r="M5" s="355"/>
      <c r="N5" s="345"/>
      <c r="O5" s="345"/>
      <c r="P5" s="346" t="s">
        <v>97</v>
      </c>
      <c r="Q5" s="347"/>
      <c r="R5" s="347"/>
      <c r="S5" s="348"/>
      <c r="T5" s="345"/>
      <c r="U5" s="346" t="s">
        <v>97</v>
      </c>
      <c r="V5" s="347"/>
      <c r="W5" s="347"/>
      <c r="X5" s="348"/>
      <c r="Y5" s="345"/>
      <c r="Z5" s="346" t="s">
        <v>97</v>
      </c>
      <c r="AA5" s="347"/>
      <c r="AB5" s="347"/>
      <c r="AC5" s="348"/>
      <c r="AD5" s="345"/>
      <c r="AE5" s="346" t="s">
        <v>97</v>
      </c>
      <c r="AF5" s="347"/>
      <c r="AG5" s="347"/>
      <c r="AH5" s="348"/>
      <c r="AI5" s="345"/>
      <c r="AJ5" s="346" t="s">
        <v>97</v>
      </c>
      <c r="AK5" s="347"/>
      <c r="AL5" s="347"/>
      <c r="AM5" s="348"/>
      <c r="AN5" s="345"/>
      <c r="AO5" s="346" t="s">
        <v>97</v>
      </c>
      <c r="AP5" s="347"/>
      <c r="AQ5" s="347"/>
      <c r="AR5" s="348"/>
      <c r="AS5" s="345"/>
      <c r="AT5" s="346" t="s">
        <v>97</v>
      </c>
      <c r="AU5" s="347"/>
      <c r="AV5" s="347"/>
      <c r="AW5" s="348"/>
      <c r="AX5" s="345"/>
    </row>
    <row r="6" spans="1:50">
      <c r="A6" s="258"/>
      <c r="B6" s="345"/>
      <c r="C6" s="345"/>
      <c r="D6" s="345"/>
      <c r="E6" s="259" t="s">
        <v>98</v>
      </c>
      <c r="F6" s="259" t="s">
        <v>99</v>
      </c>
      <c r="G6" s="259" t="s">
        <v>100</v>
      </c>
      <c r="H6" s="353"/>
      <c r="I6" s="259" t="s">
        <v>98</v>
      </c>
      <c r="J6" s="259" t="s">
        <v>99</v>
      </c>
      <c r="K6" s="259" t="s">
        <v>100</v>
      </c>
      <c r="L6" s="353"/>
      <c r="M6" s="356"/>
      <c r="N6" s="345"/>
      <c r="O6" s="345"/>
      <c r="P6" s="259" t="s">
        <v>98</v>
      </c>
      <c r="Q6" s="259" t="s">
        <v>99</v>
      </c>
      <c r="R6" s="259" t="s">
        <v>100</v>
      </c>
      <c r="S6" s="259" t="s">
        <v>93</v>
      </c>
      <c r="T6" s="345"/>
      <c r="U6" s="259" t="s">
        <v>98</v>
      </c>
      <c r="V6" s="259" t="s">
        <v>99</v>
      </c>
      <c r="W6" s="259" t="s">
        <v>100</v>
      </c>
      <c r="X6" s="259" t="s">
        <v>93</v>
      </c>
      <c r="Y6" s="345"/>
      <c r="Z6" s="259" t="s">
        <v>98</v>
      </c>
      <c r="AA6" s="259" t="s">
        <v>99</v>
      </c>
      <c r="AB6" s="259" t="s">
        <v>100</v>
      </c>
      <c r="AC6" s="259" t="s">
        <v>93</v>
      </c>
      <c r="AD6" s="345"/>
      <c r="AE6" s="259" t="s">
        <v>98</v>
      </c>
      <c r="AF6" s="259" t="s">
        <v>99</v>
      </c>
      <c r="AG6" s="259" t="s">
        <v>100</v>
      </c>
      <c r="AH6" s="259" t="s">
        <v>93</v>
      </c>
      <c r="AI6" s="345"/>
      <c r="AJ6" s="259" t="s">
        <v>98</v>
      </c>
      <c r="AK6" s="259" t="s">
        <v>99</v>
      </c>
      <c r="AL6" s="259" t="s">
        <v>100</v>
      </c>
      <c r="AM6" s="259" t="s">
        <v>93</v>
      </c>
      <c r="AN6" s="345"/>
      <c r="AO6" s="259" t="s">
        <v>98</v>
      </c>
      <c r="AP6" s="259" t="s">
        <v>99</v>
      </c>
      <c r="AQ6" s="259" t="s">
        <v>100</v>
      </c>
      <c r="AR6" s="259" t="s">
        <v>93</v>
      </c>
      <c r="AS6" s="345"/>
      <c r="AT6" s="259" t="s">
        <v>98</v>
      </c>
      <c r="AU6" s="259" t="s">
        <v>99</v>
      </c>
      <c r="AV6" s="259" t="s">
        <v>100</v>
      </c>
      <c r="AW6" s="259" t="s">
        <v>93</v>
      </c>
      <c r="AX6" s="345"/>
    </row>
    <row r="7" spans="1:50" ht="13.5">
      <c r="A7" s="253"/>
      <c r="B7" s="341" t="s">
        <v>101</v>
      </c>
      <c r="C7" s="260">
        <v>1</v>
      </c>
      <c r="D7" s="264" t="s">
        <v>102</v>
      </c>
      <c r="E7" s="261">
        <f>VLOOKUP(D7,'09產線配置圖'!$A$2:$C$25,2,0)</f>
        <v>12</v>
      </c>
      <c r="F7" s="261">
        <f>VLOOKUP(D7,'09產線配置圖'!$A$2:$C$25,3,0)</f>
        <v>2000</v>
      </c>
      <c r="G7" s="262">
        <f>F7/E7</f>
        <v>166.66666666666666</v>
      </c>
      <c r="H7" s="342">
        <f>AVERAGE(G7:G24)</f>
        <v>107.65415751545781</v>
      </c>
      <c r="I7" s="261">
        <f>AVERAGE(P7,U7,Z7,AE7,AJ7,AO7,AT7)</f>
        <v>12</v>
      </c>
      <c r="J7" s="261">
        <f>AVERAGE(Q7,V7,AA7,AF7,AK7,AP7,AU7)</f>
        <v>1898</v>
      </c>
      <c r="K7" s="262">
        <f>AVERAGE(AV7)</f>
        <v>158.16666666666666</v>
      </c>
      <c r="L7" s="342">
        <f>IFERROR(AVERAGE(K7:K24),"-")</f>
        <v>93.700303095597221</v>
      </c>
      <c r="M7" s="263">
        <f>RANK(K7, K$7:$K$24)</f>
        <v>1</v>
      </c>
      <c r="N7" s="345"/>
      <c r="O7" s="345"/>
      <c r="P7" s="261"/>
      <c r="Q7" s="261"/>
      <c r="R7" s="262" t="e">
        <f>Q7/P7</f>
        <v>#DIV/0!</v>
      </c>
      <c r="S7" s="260" t="e">
        <f>RANK(R7, R$7:R$24)</f>
        <v>#DIV/0!</v>
      </c>
      <c r="T7" s="340" t="e">
        <f>AVERAGE(R7:R24)</f>
        <v>#DIV/0!</v>
      </c>
      <c r="U7" s="261"/>
      <c r="V7" s="261"/>
      <c r="W7" s="262" t="e">
        <f>V7/U7</f>
        <v>#DIV/0!</v>
      </c>
      <c r="X7" s="260" t="e">
        <f>RANK(W7, W$7:W$24)</f>
        <v>#DIV/0!</v>
      </c>
      <c r="Y7" s="340" t="e">
        <f>AVERAGE(W7:W24)</f>
        <v>#DIV/0!</v>
      </c>
      <c r="Z7" s="260"/>
      <c r="AA7" s="261"/>
      <c r="AB7" s="262" t="e">
        <f>AA7/Z7</f>
        <v>#DIV/0!</v>
      </c>
      <c r="AC7" s="260" t="e">
        <f>RANK(AB7, AB$7:AB$24)</f>
        <v>#DIV/0!</v>
      </c>
      <c r="AD7" s="340" t="e">
        <f>AVERAGE(AB7:AB24)</f>
        <v>#DIV/0!</v>
      </c>
      <c r="AE7" s="261"/>
      <c r="AF7" s="261"/>
      <c r="AG7" s="262" t="e">
        <f>AF7/AE7</f>
        <v>#DIV/0!</v>
      </c>
      <c r="AH7" s="260" t="e">
        <f>RANK(AG7, AG$7:AG$24)</f>
        <v>#DIV/0!</v>
      </c>
      <c r="AI7" s="340" t="e">
        <f>AVERAGE(AG7:AG24)</f>
        <v>#DIV/0!</v>
      </c>
      <c r="AJ7" s="261"/>
      <c r="AK7" s="261"/>
      <c r="AL7" s="262" t="e">
        <f>AK7/AJ7</f>
        <v>#DIV/0!</v>
      </c>
      <c r="AM7" s="260" t="e">
        <f>RANK(AL7, AL$7:AL$24)</f>
        <v>#DIV/0!</v>
      </c>
      <c r="AN7" s="340" t="e">
        <f>AVERAGE(AL7:AL24)</f>
        <v>#DIV/0!</v>
      </c>
      <c r="AO7" s="261"/>
      <c r="AP7" s="261"/>
      <c r="AQ7" s="262" t="e">
        <f>AP7/AO7</f>
        <v>#DIV/0!</v>
      </c>
      <c r="AR7" s="260" t="e">
        <f>RANK(AQ7, AQ$7:AQ$24)</f>
        <v>#DIV/0!</v>
      </c>
      <c r="AS7" s="340" t="e">
        <f>AVERAGE(AQ7:AQ24)</f>
        <v>#DIV/0!</v>
      </c>
      <c r="AT7" s="261">
        <v>12</v>
      </c>
      <c r="AU7" s="262">
        <v>1898</v>
      </c>
      <c r="AV7" s="262">
        <f>AU7/AT7</f>
        <v>158.16666666666666</v>
      </c>
      <c r="AW7" s="260">
        <f>RANK(AV7, AV$7:AV$24)</f>
        <v>1</v>
      </c>
      <c r="AX7" s="340">
        <f>AVERAGE(AV7:AV24)</f>
        <v>93.700303095597221</v>
      </c>
    </row>
    <row r="8" spans="1:50" ht="15" customHeight="1">
      <c r="A8" s="253"/>
      <c r="B8" s="341"/>
      <c r="C8" s="260">
        <v>2</v>
      </c>
      <c r="D8" s="260" t="s">
        <v>103</v>
      </c>
      <c r="E8" s="261">
        <f>VLOOKUP(D8,'09產線配置圖'!$A$2:$C$25,2,0)</f>
        <v>13</v>
      </c>
      <c r="F8" s="261">
        <f>VLOOKUP(D8,'09產線配置圖'!$A$2:$C$25,3,0)</f>
        <v>2000</v>
      </c>
      <c r="G8" s="262">
        <f t="shared" ref="G8:G21" si="0">F8/E8</f>
        <v>153.84615384615384</v>
      </c>
      <c r="H8" s="343"/>
      <c r="I8" s="261">
        <f t="shared" ref="I8:J24" si="1">AVERAGE(P8,U8,Z8,AE8,AJ8,AO8,AT8)</f>
        <v>13</v>
      </c>
      <c r="J8" s="261">
        <f t="shared" si="1"/>
        <v>1877</v>
      </c>
      <c r="K8" s="262">
        <f t="shared" ref="K8:K20" si="2">AVERAGE(AV8)</f>
        <v>144.38461538461539</v>
      </c>
      <c r="L8" s="343"/>
      <c r="M8" s="263">
        <f>RANK(K8, K$7:$K$24)</f>
        <v>2</v>
      </c>
      <c r="N8" s="345"/>
      <c r="O8" s="345"/>
      <c r="P8" s="261"/>
      <c r="Q8" s="261"/>
      <c r="R8" s="262" t="e">
        <f t="shared" ref="R8:R24" si="3">Q8/P8</f>
        <v>#DIV/0!</v>
      </c>
      <c r="S8" s="260" t="e">
        <f t="shared" ref="S8:S24" si="4">RANK(R8, R$7:R$24)</f>
        <v>#DIV/0!</v>
      </c>
      <c r="T8" s="340"/>
      <c r="U8" s="261"/>
      <c r="V8" s="261"/>
      <c r="W8" s="262" t="e">
        <f t="shared" ref="W8:W24" si="5">V8/U8</f>
        <v>#DIV/0!</v>
      </c>
      <c r="X8" s="260" t="e">
        <f t="shared" ref="X8:X24" si="6">RANK(W8, W$7:W$24)</f>
        <v>#DIV/0!</v>
      </c>
      <c r="Y8" s="340"/>
      <c r="Z8" s="260"/>
      <c r="AA8" s="261"/>
      <c r="AB8" s="262" t="e">
        <f t="shared" ref="AB8:AB24" si="7">AA8/Z8</f>
        <v>#DIV/0!</v>
      </c>
      <c r="AC8" s="260" t="e">
        <f t="shared" ref="AC8:AC24" si="8">RANK(AB8, AB$7:AB$24)</f>
        <v>#DIV/0!</v>
      </c>
      <c r="AD8" s="340"/>
      <c r="AE8" s="261"/>
      <c r="AF8" s="261"/>
      <c r="AG8" s="262" t="e">
        <f t="shared" ref="AG8:AG16" si="9">AF8/AE8</f>
        <v>#DIV/0!</v>
      </c>
      <c r="AH8" s="260" t="e">
        <f t="shared" ref="AH8:AH20" si="10">RANK(AG8, AG$7:AG$24)</f>
        <v>#DIV/0!</v>
      </c>
      <c r="AI8" s="340"/>
      <c r="AJ8" s="261"/>
      <c r="AK8" s="261"/>
      <c r="AL8" s="262" t="e">
        <f t="shared" ref="AL8:AL16" si="11">AK8/AJ8</f>
        <v>#DIV/0!</v>
      </c>
      <c r="AM8" s="260" t="e">
        <f t="shared" ref="AM8:AM20" si="12">RANK(AL8, AL$7:AL$24)</f>
        <v>#DIV/0!</v>
      </c>
      <c r="AN8" s="340"/>
      <c r="AO8" s="261"/>
      <c r="AP8" s="261"/>
      <c r="AQ8" s="262" t="e">
        <f t="shared" ref="AQ8:AQ16" si="13">AP8/AO8</f>
        <v>#DIV/0!</v>
      </c>
      <c r="AR8" s="260" t="e">
        <f t="shared" ref="AR8:AR24" si="14">RANK(AQ8, AQ$7:AQ$24)</f>
        <v>#DIV/0!</v>
      </c>
      <c r="AS8" s="340"/>
      <c r="AT8" s="261">
        <v>13</v>
      </c>
      <c r="AU8" s="262">
        <v>1877</v>
      </c>
      <c r="AV8" s="262">
        <f t="shared" ref="AV8:AV20" si="15">AU8/AT8</f>
        <v>144.38461538461539</v>
      </c>
      <c r="AW8" s="260">
        <f t="shared" ref="AW8:AW21" si="16">RANK(AV8, AV$7:AV$24)</f>
        <v>2</v>
      </c>
      <c r="AX8" s="340"/>
    </row>
    <row r="9" spans="1:50">
      <c r="A9" s="253"/>
      <c r="B9" s="341"/>
      <c r="C9" s="260">
        <v>3</v>
      </c>
      <c r="D9" s="260" t="s">
        <v>104</v>
      </c>
      <c r="E9" s="261">
        <f>VLOOKUP(D9,'09產線配置圖'!$A$2:$C$25,2,0)</f>
        <v>16</v>
      </c>
      <c r="F9" s="261">
        <f>VLOOKUP(D9,'09產線配置圖'!$A$2:$C$25,3,0)</f>
        <v>1915</v>
      </c>
      <c r="G9" s="262">
        <f t="shared" si="0"/>
        <v>119.6875</v>
      </c>
      <c r="H9" s="343"/>
      <c r="I9" s="261">
        <f t="shared" si="1"/>
        <v>16</v>
      </c>
      <c r="J9" s="261">
        <f t="shared" si="1"/>
        <v>1816</v>
      </c>
      <c r="K9" s="262">
        <f t="shared" si="2"/>
        <v>113.5</v>
      </c>
      <c r="L9" s="343"/>
      <c r="M9" s="263">
        <f>RANK(K9, K$7:$K$24)</f>
        <v>3</v>
      </c>
      <c r="N9" s="345"/>
      <c r="O9" s="345"/>
      <c r="P9" s="261"/>
      <c r="Q9" s="261"/>
      <c r="R9" s="262" t="e">
        <f t="shared" si="3"/>
        <v>#DIV/0!</v>
      </c>
      <c r="S9" s="260" t="e">
        <f t="shared" si="4"/>
        <v>#DIV/0!</v>
      </c>
      <c r="T9" s="340"/>
      <c r="U9" s="261"/>
      <c r="V9" s="261"/>
      <c r="W9" s="262" t="e">
        <f t="shared" si="5"/>
        <v>#DIV/0!</v>
      </c>
      <c r="X9" s="260" t="e">
        <f t="shared" si="6"/>
        <v>#DIV/0!</v>
      </c>
      <c r="Y9" s="340"/>
      <c r="Z9" s="260"/>
      <c r="AA9" s="261"/>
      <c r="AB9" s="262" t="e">
        <f t="shared" si="7"/>
        <v>#DIV/0!</v>
      </c>
      <c r="AC9" s="260" t="e">
        <f t="shared" si="8"/>
        <v>#DIV/0!</v>
      </c>
      <c r="AD9" s="340"/>
      <c r="AE9" s="261"/>
      <c r="AF9" s="261"/>
      <c r="AG9" s="262" t="e">
        <f t="shared" si="9"/>
        <v>#DIV/0!</v>
      </c>
      <c r="AH9" s="260" t="e">
        <f t="shared" si="10"/>
        <v>#DIV/0!</v>
      </c>
      <c r="AI9" s="340"/>
      <c r="AJ9" s="261"/>
      <c r="AK9" s="261"/>
      <c r="AL9" s="262" t="e">
        <f t="shared" si="11"/>
        <v>#DIV/0!</v>
      </c>
      <c r="AM9" s="260" t="e">
        <f t="shared" si="12"/>
        <v>#DIV/0!</v>
      </c>
      <c r="AN9" s="340"/>
      <c r="AO9" s="261"/>
      <c r="AP9" s="261"/>
      <c r="AQ9" s="262" t="e">
        <f t="shared" si="13"/>
        <v>#DIV/0!</v>
      </c>
      <c r="AR9" s="260" t="e">
        <f t="shared" si="14"/>
        <v>#DIV/0!</v>
      </c>
      <c r="AS9" s="340"/>
      <c r="AT9" s="261">
        <v>16</v>
      </c>
      <c r="AU9" s="262">
        <v>1816</v>
      </c>
      <c r="AV9" s="262">
        <f t="shared" si="15"/>
        <v>113.5</v>
      </c>
      <c r="AW9" s="260">
        <f t="shared" si="16"/>
        <v>3</v>
      </c>
      <c r="AX9" s="340"/>
    </row>
    <row r="10" spans="1:50">
      <c r="A10" s="253"/>
      <c r="B10" s="341"/>
      <c r="C10" s="260">
        <v>4</v>
      </c>
      <c r="D10" s="260" t="s">
        <v>105</v>
      </c>
      <c r="E10" s="261">
        <f>VLOOKUP(D10,'09產線配置圖'!$A$2:$C$25,2,0)</f>
        <v>18</v>
      </c>
      <c r="F10" s="261">
        <f>VLOOKUP(D10,'09產線配置圖'!$A$2:$C$25,3,0)</f>
        <v>1565</v>
      </c>
      <c r="G10" s="262">
        <f t="shared" si="0"/>
        <v>86.944444444444443</v>
      </c>
      <c r="H10" s="343"/>
      <c r="I10" s="261">
        <f t="shared" si="1"/>
        <v>17</v>
      </c>
      <c r="J10" s="261">
        <f t="shared" si="1"/>
        <v>1443</v>
      </c>
      <c r="K10" s="262">
        <f t="shared" si="2"/>
        <v>84.882352941176464</v>
      </c>
      <c r="L10" s="343"/>
      <c r="M10" s="263">
        <f>RANK(K10, K$7:$K$24)</f>
        <v>10</v>
      </c>
      <c r="N10" s="345"/>
      <c r="O10" s="345"/>
      <c r="P10" s="261"/>
      <c r="Q10" s="261"/>
      <c r="R10" s="262" t="e">
        <f t="shared" si="3"/>
        <v>#DIV/0!</v>
      </c>
      <c r="S10" s="260" t="e">
        <f t="shared" si="4"/>
        <v>#DIV/0!</v>
      </c>
      <c r="T10" s="340"/>
      <c r="U10" s="261"/>
      <c r="V10" s="261"/>
      <c r="W10" s="262" t="e">
        <f t="shared" si="5"/>
        <v>#DIV/0!</v>
      </c>
      <c r="X10" s="260" t="e">
        <f t="shared" si="6"/>
        <v>#DIV/0!</v>
      </c>
      <c r="Y10" s="340"/>
      <c r="Z10" s="260"/>
      <c r="AA10" s="261"/>
      <c r="AB10" s="262" t="e">
        <f t="shared" si="7"/>
        <v>#DIV/0!</v>
      </c>
      <c r="AC10" s="260" t="e">
        <f t="shared" si="8"/>
        <v>#DIV/0!</v>
      </c>
      <c r="AD10" s="340"/>
      <c r="AE10" s="261"/>
      <c r="AF10" s="261"/>
      <c r="AG10" s="262" t="e">
        <f t="shared" si="9"/>
        <v>#DIV/0!</v>
      </c>
      <c r="AH10" s="260" t="e">
        <f t="shared" si="10"/>
        <v>#DIV/0!</v>
      </c>
      <c r="AI10" s="340"/>
      <c r="AJ10" s="261"/>
      <c r="AK10" s="261"/>
      <c r="AL10" s="262" t="e">
        <f t="shared" si="11"/>
        <v>#DIV/0!</v>
      </c>
      <c r="AM10" s="260" t="e">
        <f t="shared" si="12"/>
        <v>#DIV/0!</v>
      </c>
      <c r="AN10" s="340"/>
      <c r="AO10" s="261"/>
      <c r="AP10" s="261"/>
      <c r="AQ10" s="262" t="e">
        <f t="shared" si="13"/>
        <v>#DIV/0!</v>
      </c>
      <c r="AR10" s="260" t="e">
        <f t="shared" si="14"/>
        <v>#DIV/0!</v>
      </c>
      <c r="AS10" s="340"/>
      <c r="AT10" s="261">
        <v>17</v>
      </c>
      <c r="AU10" s="262">
        <v>1443</v>
      </c>
      <c r="AV10" s="262">
        <f t="shared" si="15"/>
        <v>84.882352941176464</v>
      </c>
      <c r="AW10" s="260">
        <f t="shared" si="16"/>
        <v>10</v>
      </c>
      <c r="AX10" s="340"/>
    </row>
    <row r="11" spans="1:50">
      <c r="A11" s="253"/>
      <c r="B11" s="341"/>
      <c r="C11" s="260">
        <v>5</v>
      </c>
      <c r="D11" s="260" t="s">
        <v>106</v>
      </c>
      <c r="E11" s="261">
        <f>VLOOKUP(D11,'09產線配置圖'!$A$2:$C$25,2,0)</f>
        <v>13</v>
      </c>
      <c r="F11" s="261">
        <f>VLOOKUP(D11,'09產線配置圖'!$A$2:$C$25,3,0)</f>
        <v>2000</v>
      </c>
      <c r="G11" s="262">
        <f t="shared" si="0"/>
        <v>153.84615384615384</v>
      </c>
      <c r="H11" s="343"/>
      <c r="I11" s="261">
        <f t="shared" si="1"/>
        <v>13</v>
      </c>
      <c r="J11" s="261">
        <f t="shared" si="1"/>
        <v>1271</v>
      </c>
      <c r="K11" s="262">
        <f t="shared" si="2"/>
        <v>97.769230769230774</v>
      </c>
      <c r="L11" s="343"/>
      <c r="M11" s="263">
        <f>RANK(K11, K$7:$K$24)</f>
        <v>5</v>
      </c>
      <c r="N11" s="345"/>
      <c r="O11" s="345"/>
      <c r="P11" s="261"/>
      <c r="Q11" s="261"/>
      <c r="R11" s="262" t="e">
        <f t="shared" si="3"/>
        <v>#DIV/0!</v>
      </c>
      <c r="S11" s="260" t="e">
        <f t="shared" si="4"/>
        <v>#DIV/0!</v>
      </c>
      <c r="T11" s="340"/>
      <c r="U11" s="261"/>
      <c r="V11" s="261"/>
      <c r="W11" s="262" t="e">
        <f t="shared" si="5"/>
        <v>#DIV/0!</v>
      </c>
      <c r="X11" s="260" t="e">
        <f t="shared" si="6"/>
        <v>#DIV/0!</v>
      </c>
      <c r="Y11" s="340"/>
      <c r="Z11" s="260"/>
      <c r="AA11" s="261"/>
      <c r="AB11" s="262" t="e">
        <f t="shared" si="7"/>
        <v>#DIV/0!</v>
      </c>
      <c r="AC11" s="260" t="e">
        <f t="shared" si="8"/>
        <v>#DIV/0!</v>
      </c>
      <c r="AD11" s="340"/>
      <c r="AE11" s="261"/>
      <c r="AF11" s="261"/>
      <c r="AG11" s="262" t="e">
        <f t="shared" si="9"/>
        <v>#DIV/0!</v>
      </c>
      <c r="AH11" s="260" t="e">
        <f t="shared" si="10"/>
        <v>#DIV/0!</v>
      </c>
      <c r="AI11" s="340"/>
      <c r="AJ11" s="261"/>
      <c r="AK11" s="261"/>
      <c r="AL11" s="262" t="e">
        <f t="shared" si="11"/>
        <v>#DIV/0!</v>
      </c>
      <c r="AM11" s="260" t="e">
        <f t="shared" si="12"/>
        <v>#DIV/0!</v>
      </c>
      <c r="AN11" s="340"/>
      <c r="AO11" s="261"/>
      <c r="AP11" s="261"/>
      <c r="AQ11" s="262" t="e">
        <f t="shared" si="13"/>
        <v>#DIV/0!</v>
      </c>
      <c r="AR11" s="260" t="e">
        <f t="shared" si="14"/>
        <v>#DIV/0!</v>
      </c>
      <c r="AS11" s="340"/>
      <c r="AT11" s="261">
        <v>13</v>
      </c>
      <c r="AU11" s="262">
        <v>1271</v>
      </c>
      <c r="AV11" s="262">
        <f t="shared" si="15"/>
        <v>97.769230769230774</v>
      </c>
      <c r="AW11" s="260">
        <f t="shared" si="16"/>
        <v>5</v>
      </c>
      <c r="AX11" s="340"/>
    </row>
    <row r="12" spans="1:50">
      <c r="A12" s="253"/>
      <c r="B12" s="341"/>
      <c r="C12" s="260">
        <v>6</v>
      </c>
      <c r="D12" s="260" t="s">
        <v>107</v>
      </c>
      <c r="E12" s="261">
        <f>VLOOKUP(D12,'09產線配置圖'!$A$2:$C$25,2,0)</f>
        <v>16</v>
      </c>
      <c r="F12" s="261">
        <f>VLOOKUP(D12,'09產線配置圖'!$A$2:$C$25,3,0)</f>
        <v>1895</v>
      </c>
      <c r="G12" s="262">
        <f t="shared" si="0"/>
        <v>118.4375</v>
      </c>
      <c r="H12" s="343"/>
      <c r="I12" s="261">
        <f t="shared" si="1"/>
        <v>15</v>
      </c>
      <c r="J12" s="261">
        <f t="shared" si="1"/>
        <v>1529</v>
      </c>
      <c r="K12" s="262">
        <f t="shared" si="2"/>
        <v>101.93333333333334</v>
      </c>
      <c r="L12" s="343"/>
      <c r="M12" s="263">
        <f>RANK(K12, K$7:$K$24)</f>
        <v>4</v>
      </c>
      <c r="N12" s="345"/>
      <c r="O12" s="345"/>
      <c r="P12" s="261"/>
      <c r="Q12" s="261"/>
      <c r="R12" s="262" t="e">
        <f t="shared" si="3"/>
        <v>#DIV/0!</v>
      </c>
      <c r="S12" s="260" t="e">
        <f t="shared" si="4"/>
        <v>#DIV/0!</v>
      </c>
      <c r="T12" s="340"/>
      <c r="U12" s="261"/>
      <c r="V12" s="261"/>
      <c r="W12" s="262" t="e">
        <f t="shared" si="5"/>
        <v>#DIV/0!</v>
      </c>
      <c r="X12" s="260" t="e">
        <f t="shared" si="6"/>
        <v>#DIV/0!</v>
      </c>
      <c r="Y12" s="340"/>
      <c r="Z12" s="260"/>
      <c r="AA12" s="261"/>
      <c r="AB12" s="262" t="e">
        <f t="shared" si="7"/>
        <v>#DIV/0!</v>
      </c>
      <c r="AC12" s="260" t="e">
        <f t="shared" si="8"/>
        <v>#DIV/0!</v>
      </c>
      <c r="AD12" s="340"/>
      <c r="AE12" s="261"/>
      <c r="AF12" s="261"/>
      <c r="AG12" s="262" t="e">
        <f t="shared" si="9"/>
        <v>#DIV/0!</v>
      </c>
      <c r="AH12" s="260" t="e">
        <f t="shared" si="10"/>
        <v>#DIV/0!</v>
      </c>
      <c r="AI12" s="340"/>
      <c r="AJ12" s="261"/>
      <c r="AK12" s="261"/>
      <c r="AL12" s="262" t="e">
        <f t="shared" si="11"/>
        <v>#DIV/0!</v>
      </c>
      <c r="AM12" s="260" t="e">
        <f t="shared" si="12"/>
        <v>#DIV/0!</v>
      </c>
      <c r="AN12" s="340"/>
      <c r="AO12" s="261"/>
      <c r="AP12" s="261"/>
      <c r="AQ12" s="262" t="e">
        <f t="shared" si="13"/>
        <v>#DIV/0!</v>
      </c>
      <c r="AR12" s="260" t="e">
        <f t="shared" si="14"/>
        <v>#DIV/0!</v>
      </c>
      <c r="AS12" s="340"/>
      <c r="AT12" s="261">
        <v>15</v>
      </c>
      <c r="AU12" s="262">
        <v>1529</v>
      </c>
      <c r="AV12" s="262">
        <f t="shared" si="15"/>
        <v>101.93333333333334</v>
      </c>
      <c r="AW12" s="260">
        <f t="shared" si="16"/>
        <v>4</v>
      </c>
      <c r="AX12" s="340"/>
    </row>
    <row r="13" spans="1:50">
      <c r="A13" s="253"/>
      <c r="B13" s="341"/>
      <c r="C13" s="260">
        <v>7</v>
      </c>
      <c r="D13" s="260" t="s">
        <v>108</v>
      </c>
      <c r="E13" s="261">
        <f>VLOOKUP(D13,'09產線配置圖'!$A$2:$C$25,2,0)</f>
        <v>16</v>
      </c>
      <c r="F13" s="261">
        <f>VLOOKUP(D13,'09產線配置圖'!$A$2:$C$25,3,0)</f>
        <v>1552</v>
      </c>
      <c r="G13" s="262">
        <f t="shared" si="0"/>
        <v>97</v>
      </c>
      <c r="H13" s="343"/>
      <c r="I13" s="261">
        <f t="shared" si="1"/>
        <v>15</v>
      </c>
      <c r="J13" s="261">
        <f t="shared" si="1"/>
        <v>1343</v>
      </c>
      <c r="K13" s="262">
        <f t="shared" si="2"/>
        <v>89.533333333333331</v>
      </c>
      <c r="L13" s="343"/>
      <c r="M13" s="263">
        <f>RANK(K13, K$7:$K$24)</f>
        <v>6</v>
      </c>
      <c r="N13" s="345"/>
      <c r="O13" s="345"/>
      <c r="P13" s="261"/>
      <c r="Q13" s="261"/>
      <c r="R13" s="262" t="e">
        <f t="shared" si="3"/>
        <v>#DIV/0!</v>
      </c>
      <c r="S13" s="260" t="e">
        <f t="shared" si="4"/>
        <v>#DIV/0!</v>
      </c>
      <c r="T13" s="340"/>
      <c r="U13" s="261"/>
      <c r="V13" s="261"/>
      <c r="W13" s="262" t="e">
        <f t="shared" si="5"/>
        <v>#DIV/0!</v>
      </c>
      <c r="X13" s="260" t="e">
        <f t="shared" si="6"/>
        <v>#DIV/0!</v>
      </c>
      <c r="Y13" s="340"/>
      <c r="Z13" s="260"/>
      <c r="AA13" s="261"/>
      <c r="AB13" s="262" t="e">
        <f t="shared" si="7"/>
        <v>#DIV/0!</v>
      </c>
      <c r="AC13" s="260" t="e">
        <f t="shared" si="8"/>
        <v>#DIV/0!</v>
      </c>
      <c r="AD13" s="340"/>
      <c r="AE13" s="261"/>
      <c r="AF13" s="261"/>
      <c r="AG13" s="262" t="e">
        <f t="shared" si="9"/>
        <v>#DIV/0!</v>
      </c>
      <c r="AH13" s="260" t="e">
        <f t="shared" si="10"/>
        <v>#DIV/0!</v>
      </c>
      <c r="AI13" s="340"/>
      <c r="AJ13" s="261"/>
      <c r="AK13" s="261"/>
      <c r="AL13" s="262" t="e">
        <f t="shared" si="11"/>
        <v>#DIV/0!</v>
      </c>
      <c r="AM13" s="260" t="e">
        <f t="shared" si="12"/>
        <v>#DIV/0!</v>
      </c>
      <c r="AN13" s="340"/>
      <c r="AO13" s="261"/>
      <c r="AP13" s="261"/>
      <c r="AQ13" s="262" t="e">
        <f t="shared" si="13"/>
        <v>#DIV/0!</v>
      </c>
      <c r="AR13" s="260" t="e">
        <f t="shared" si="14"/>
        <v>#DIV/0!</v>
      </c>
      <c r="AS13" s="340"/>
      <c r="AT13" s="261">
        <v>15</v>
      </c>
      <c r="AU13" s="262">
        <v>1343</v>
      </c>
      <c r="AV13" s="262">
        <f t="shared" si="15"/>
        <v>89.533333333333331</v>
      </c>
      <c r="AW13" s="260">
        <f t="shared" si="16"/>
        <v>6</v>
      </c>
      <c r="AX13" s="340"/>
    </row>
    <row r="14" spans="1:50">
      <c r="A14" s="253"/>
      <c r="B14" s="341"/>
      <c r="C14" s="260">
        <v>8</v>
      </c>
      <c r="D14" s="260" t="s">
        <v>109</v>
      </c>
      <c r="E14" s="261">
        <f>VLOOKUP(D14,'09產線配置圖'!$A$2:$C$25,2,0)</f>
        <v>15</v>
      </c>
      <c r="F14" s="261">
        <f>VLOOKUP(D14,'09產線配置圖'!$A$2:$C$25,3,0)</f>
        <v>1565</v>
      </c>
      <c r="G14" s="262">
        <f t="shared" si="0"/>
        <v>104.33333333333333</v>
      </c>
      <c r="H14" s="343"/>
      <c r="I14" s="261">
        <f t="shared" si="1"/>
        <v>14</v>
      </c>
      <c r="J14" s="261">
        <f t="shared" si="1"/>
        <v>1241</v>
      </c>
      <c r="K14" s="262">
        <f t="shared" si="2"/>
        <v>88.642857142857139</v>
      </c>
      <c r="L14" s="343"/>
      <c r="M14" s="263">
        <f>RANK(K14, K$7:$K$24)</f>
        <v>7</v>
      </c>
      <c r="N14" s="345"/>
      <c r="O14" s="345"/>
      <c r="P14" s="261"/>
      <c r="Q14" s="261"/>
      <c r="R14" s="262" t="e">
        <f t="shared" si="3"/>
        <v>#DIV/0!</v>
      </c>
      <c r="S14" s="260" t="e">
        <f t="shared" si="4"/>
        <v>#DIV/0!</v>
      </c>
      <c r="T14" s="340"/>
      <c r="U14" s="261"/>
      <c r="V14" s="261"/>
      <c r="W14" s="262" t="e">
        <f t="shared" si="5"/>
        <v>#DIV/0!</v>
      </c>
      <c r="X14" s="260" t="e">
        <f t="shared" si="6"/>
        <v>#DIV/0!</v>
      </c>
      <c r="Y14" s="340"/>
      <c r="Z14" s="260"/>
      <c r="AA14" s="261"/>
      <c r="AB14" s="262" t="e">
        <f t="shared" si="7"/>
        <v>#DIV/0!</v>
      </c>
      <c r="AC14" s="260" t="e">
        <f t="shared" si="8"/>
        <v>#DIV/0!</v>
      </c>
      <c r="AD14" s="340"/>
      <c r="AE14" s="261"/>
      <c r="AF14" s="261"/>
      <c r="AG14" s="262" t="e">
        <f t="shared" si="9"/>
        <v>#DIV/0!</v>
      </c>
      <c r="AH14" s="260" t="e">
        <f t="shared" si="10"/>
        <v>#DIV/0!</v>
      </c>
      <c r="AI14" s="340"/>
      <c r="AJ14" s="261"/>
      <c r="AK14" s="261"/>
      <c r="AL14" s="262" t="e">
        <f t="shared" si="11"/>
        <v>#DIV/0!</v>
      </c>
      <c r="AM14" s="260" t="e">
        <f t="shared" si="12"/>
        <v>#DIV/0!</v>
      </c>
      <c r="AN14" s="340"/>
      <c r="AO14" s="261"/>
      <c r="AP14" s="261"/>
      <c r="AQ14" s="262" t="e">
        <f t="shared" si="13"/>
        <v>#DIV/0!</v>
      </c>
      <c r="AR14" s="260" t="e">
        <f t="shared" si="14"/>
        <v>#DIV/0!</v>
      </c>
      <c r="AS14" s="340"/>
      <c r="AT14" s="261">
        <v>14</v>
      </c>
      <c r="AU14" s="262">
        <v>1241</v>
      </c>
      <c r="AV14" s="262">
        <f t="shared" si="15"/>
        <v>88.642857142857139</v>
      </c>
      <c r="AW14" s="260">
        <f t="shared" si="16"/>
        <v>7</v>
      </c>
      <c r="AX14" s="340"/>
    </row>
    <row r="15" spans="1:50">
      <c r="A15" s="253"/>
      <c r="B15" s="341"/>
      <c r="C15" s="260">
        <v>9</v>
      </c>
      <c r="D15" s="260" t="s">
        <v>110</v>
      </c>
      <c r="E15" s="261">
        <f>VLOOKUP(D15,'09產線配置圖'!$A$2:$C$25,2,0)</f>
        <v>16</v>
      </c>
      <c r="F15" s="261">
        <f>VLOOKUP(D15,'09產線配置圖'!$A$2:$C$25,3,0)</f>
        <v>1390</v>
      </c>
      <c r="G15" s="262">
        <f t="shared" si="0"/>
        <v>86.875</v>
      </c>
      <c r="H15" s="343"/>
      <c r="I15" s="261">
        <f t="shared" si="1"/>
        <v>15</v>
      </c>
      <c r="J15" s="261">
        <f t="shared" si="1"/>
        <v>856</v>
      </c>
      <c r="K15" s="262">
        <f t="shared" si="2"/>
        <v>57.06666666666667</v>
      </c>
      <c r="L15" s="343"/>
      <c r="M15" s="263">
        <f>RANK(K15, K$7:$K$24)</f>
        <v>15</v>
      </c>
      <c r="N15" s="345"/>
      <c r="O15" s="345"/>
      <c r="P15" s="261"/>
      <c r="Q15" s="261"/>
      <c r="R15" s="262" t="e">
        <f t="shared" si="3"/>
        <v>#DIV/0!</v>
      </c>
      <c r="S15" s="260" t="e">
        <f t="shared" si="4"/>
        <v>#DIV/0!</v>
      </c>
      <c r="T15" s="340"/>
      <c r="U15" s="261"/>
      <c r="V15" s="261"/>
      <c r="W15" s="262" t="e">
        <f t="shared" si="5"/>
        <v>#DIV/0!</v>
      </c>
      <c r="X15" s="260" t="e">
        <f t="shared" si="6"/>
        <v>#DIV/0!</v>
      </c>
      <c r="Y15" s="340"/>
      <c r="Z15" s="260"/>
      <c r="AA15" s="261"/>
      <c r="AB15" s="262" t="e">
        <f t="shared" si="7"/>
        <v>#DIV/0!</v>
      </c>
      <c r="AC15" s="260" t="e">
        <f t="shared" si="8"/>
        <v>#DIV/0!</v>
      </c>
      <c r="AD15" s="340"/>
      <c r="AE15" s="261"/>
      <c r="AF15" s="261"/>
      <c r="AG15" s="262" t="e">
        <f t="shared" si="9"/>
        <v>#DIV/0!</v>
      </c>
      <c r="AH15" s="260" t="e">
        <f t="shared" si="10"/>
        <v>#DIV/0!</v>
      </c>
      <c r="AI15" s="340"/>
      <c r="AJ15" s="261"/>
      <c r="AK15" s="261"/>
      <c r="AL15" s="262" t="e">
        <f t="shared" si="11"/>
        <v>#DIV/0!</v>
      </c>
      <c r="AM15" s="260" t="e">
        <f t="shared" si="12"/>
        <v>#DIV/0!</v>
      </c>
      <c r="AN15" s="340"/>
      <c r="AO15" s="261"/>
      <c r="AP15" s="261"/>
      <c r="AQ15" s="262" t="e">
        <f t="shared" si="13"/>
        <v>#DIV/0!</v>
      </c>
      <c r="AR15" s="260" t="e">
        <f t="shared" si="14"/>
        <v>#DIV/0!</v>
      </c>
      <c r="AS15" s="340"/>
      <c r="AT15" s="261">
        <v>15</v>
      </c>
      <c r="AU15" s="262">
        <v>856</v>
      </c>
      <c r="AV15" s="262">
        <f t="shared" si="15"/>
        <v>57.06666666666667</v>
      </c>
      <c r="AW15" s="260">
        <f t="shared" si="16"/>
        <v>15</v>
      </c>
      <c r="AX15" s="340"/>
    </row>
    <row r="16" spans="1:50">
      <c r="A16" s="253"/>
      <c r="B16" s="341"/>
      <c r="C16" s="260">
        <v>10</v>
      </c>
      <c r="D16" s="260" t="s">
        <v>111</v>
      </c>
      <c r="E16" s="261">
        <f>VLOOKUP(D16,'09產線配置圖'!$A$2:$C$25,2,0)</f>
        <v>19</v>
      </c>
      <c r="F16" s="261">
        <f>VLOOKUP(D16,'09產線配置圖'!$A$2:$C$25,3,0)</f>
        <v>1565</v>
      </c>
      <c r="G16" s="262">
        <f t="shared" si="0"/>
        <v>82.368421052631575</v>
      </c>
      <c r="H16" s="343"/>
      <c r="I16" s="261">
        <f t="shared" si="1"/>
        <v>15</v>
      </c>
      <c r="J16" s="261">
        <f t="shared" si="1"/>
        <v>1071</v>
      </c>
      <c r="K16" s="262">
        <f t="shared" si="2"/>
        <v>71.400000000000006</v>
      </c>
      <c r="L16" s="343"/>
      <c r="M16" s="263">
        <f>RANK(K16, K$7:$K$24)</f>
        <v>14</v>
      </c>
      <c r="N16" s="345"/>
      <c r="O16" s="345"/>
      <c r="P16" s="261"/>
      <c r="Q16" s="261"/>
      <c r="R16" s="262" t="e">
        <f t="shared" si="3"/>
        <v>#DIV/0!</v>
      </c>
      <c r="S16" s="260" t="e">
        <f t="shared" si="4"/>
        <v>#DIV/0!</v>
      </c>
      <c r="T16" s="340"/>
      <c r="U16" s="261"/>
      <c r="V16" s="261"/>
      <c r="W16" s="262" t="e">
        <f t="shared" si="5"/>
        <v>#DIV/0!</v>
      </c>
      <c r="X16" s="260" t="e">
        <f t="shared" si="6"/>
        <v>#DIV/0!</v>
      </c>
      <c r="Y16" s="340"/>
      <c r="Z16" s="260"/>
      <c r="AA16" s="261"/>
      <c r="AB16" s="262" t="e">
        <f t="shared" si="7"/>
        <v>#DIV/0!</v>
      </c>
      <c r="AC16" s="260" t="e">
        <f t="shared" si="8"/>
        <v>#DIV/0!</v>
      </c>
      <c r="AD16" s="340"/>
      <c r="AE16" s="261"/>
      <c r="AF16" s="261"/>
      <c r="AG16" s="262" t="e">
        <f t="shared" si="9"/>
        <v>#DIV/0!</v>
      </c>
      <c r="AH16" s="260" t="e">
        <f t="shared" si="10"/>
        <v>#DIV/0!</v>
      </c>
      <c r="AI16" s="340"/>
      <c r="AJ16" s="261"/>
      <c r="AK16" s="261"/>
      <c r="AL16" s="262" t="e">
        <f t="shared" si="11"/>
        <v>#DIV/0!</v>
      </c>
      <c r="AM16" s="260" t="e">
        <f t="shared" si="12"/>
        <v>#DIV/0!</v>
      </c>
      <c r="AN16" s="340"/>
      <c r="AO16" s="261"/>
      <c r="AP16" s="261"/>
      <c r="AQ16" s="262" t="e">
        <f t="shared" si="13"/>
        <v>#DIV/0!</v>
      </c>
      <c r="AR16" s="260" t="e">
        <f t="shared" si="14"/>
        <v>#DIV/0!</v>
      </c>
      <c r="AS16" s="340"/>
      <c r="AT16" s="261">
        <v>15</v>
      </c>
      <c r="AU16" s="262">
        <v>1071</v>
      </c>
      <c r="AV16" s="262">
        <f t="shared" si="15"/>
        <v>71.400000000000006</v>
      </c>
      <c r="AW16" s="260">
        <f t="shared" si="16"/>
        <v>14</v>
      </c>
      <c r="AX16" s="340"/>
    </row>
    <row r="17" spans="2:50">
      <c r="B17" s="341"/>
      <c r="C17" s="260">
        <v>11</v>
      </c>
      <c r="D17" s="260" t="s">
        <v>112</v>
      </c>
      <c r="E17" s="261">
        <f>VLOOKUP(D17,'09產線配置圖'!$A$2:$C$25,2,0)</f>
        <v>18</v>
      </c>
      <c r="F17" s="261">
        <f>VLOOKUP(D17,'09產線配置圖'!$A$2:$C$25,3,0)</f>
        <v>1500</v>
      </c>
      <c r="G17" s="262">
        <f t="shared" si="0"/>
        <v>83.333333333333329</v>
      </c>
      <c r="H17" s="343"/>
      <c r="I17" s="261">
        <f t="shared" si="1"/>
        <v>15</v>
      </c>
      <c r="J17" s="261">
        <f t="shared" si="1"/>
        <v>1278</v>
      </c>
      <c r="K17" s="262">
        <f t="shared" si="2"/>
        <v>85.2</v>
      </c>
      <c r="L17" s="343"/>
      <c r="M17" s="263">
        <f>RANK(K17, K$7:$K$24)</f>
        <v>9</v>
      </c>
      <c r="N17" s="345"/>
      <c r="O17" s="345"/>
      <c r="P17" s="260"/>
      <c r="Q17" s="260"/>
      <c r="R17" s="262" t="e">
        <f>Q17/P17</f>
        <v>#DIV/0!</v>
      </c>
      <c r="S17" s="260" t="e">
        <f t="shared" si="4"/>
        <v>#DIV/0!</v>
      </c>
      <c r="T17" s="340"/>
      <c r="U17" s="260"/>
      <c r="V17" s="260"/>
      <c r="W17" s="260" t="e">
        <f>V17/U17</f>
        <v>#DIV/0!</v>
      </c>
      <c r="X17" s="260" t="e">
        <f t="shared" si="6"/>
        <v>#DIV/0!</v>
      </c>
      <c r="Y17" s="340"/>
      <c r="Z17" s="260"/>
      <c r="AA17" s="260"/>
      <c r="AB17" s="260" t="e">
        <f>AA17/Z17</f>
        <v>#DIV/0!</v>
      </c>
      <c r="AC17" s="260" t="e">
        <f t="shared" si="8"/>
        <v>#DIV/0!</v>
      </c>
      <c r="AD17" s="340"/>
      <c r="AE17" s="260"/>
      <c r="AF17" s="260"/>
      <c r="AG17" s="262" t="e">
        <f>AF17/AE17</f>
        <v>#DIV/0!</v>
      </c>
      <c r="AH17" s="260" t="e">
        <f t="shared" si="10"/>
        <v>#DIV/0!</v>
      </c>
      <c r="AI17" s="340"/>
      <c r="AJ17" s="260"/>
      <c r="AK17" s="260"/>
      <c r="AL17" s="262" t="e">
        <f>AK17/AJ17</f>
        <v>#DIV/0!</v>
      </c>
      <c r="AM17" s="260" t="e">
        <f t="shared" si="12"/>
        <v>#DIV/0!</v>
      </c>
      <c r="AN17" s="340"/>
      <c r="AO17" s="260"/>
      <c r="AP17" s="260"/>
      <c r="AQ17" s="262" t="e">
        <f>AP17/AO17</f>
        <v>#DIV/0!</v>
      </c>
      <c r="AR17" s="260" t="e">
        <f t="shared" si="14"/>
        <v>#DIV/0!</v>
      </c>
      <c r="AS17" s="340"/>
      <c r="AT17" s="260">
        <v>15</v>
      </c>
      <c r="AU17" s="262">
        <v>1278</v>
      </c>
      <c r="AV17" s="262">
        <f t="shared" si="15"/>
        <v>85.2</v>
      </c>
      <c r="AW17" s="260">
        <f t="shared" si="16"/>
        <v>9</v>
      </c>
      <c r="AX17" s="340"/>
    </row>
    <row r="18" spans="2:50">
      <c r="B18" s="341"/>
      <c r="C18" s="260">
        <v>12</v>
      </c>
      <c r="D18" s="260" t="s">
        <v>113</v>
      </c>
      <c r="E18" s="261">
        <f>VLOOKUP(D18,'09產線配置圖'!$A$2:$C$25,2,0)</f>
        <v>18</v>
      </c>
      <c r="F18" s="261">
        <f>VLOOKUP(D18,'09產線配置圖'!$A$2:$C$25,3,0)</f>
        <v>1385</v>
      </c>
      <c r="G18" s="262">
        <f t="shared" si="0"/>
        <v>76.944444444444443</v>
      </c>
      <c r="H18" s="343"/>
      <c r="I18" s="260">
        <f t="shared" si="1"/>
        <v>17</v>
      </c>
      <c r="J18" s="261">
        <f t="shared" si="1"/>
        <v>1259</v>
      </c>
      <c r="K18" s="262">
        <f t="shared" si="2"/>
        <v>74.058823529411768</v>
      </c>
      <c r="L18" s="343"/>
      <c r="M18" s="263">
        <f>RANK(K18, K$7:$K$24)</f>
        <v>12</v>
      </c>
      <c r="N18" s="345"/>
      <c r="O18" s="345"/>
      <c r="P18" s="260"/>
      <c r="Q18" s="260"/>
      <c r="R18" s="262" t="e">
        <f t="shared" si="3"/>
        <v>#DIV/0!</v>
      </c>
      <c r="S18" s="260" t="e">
        <f t="shared" si="4"/>
        <v>#DIV/0!</v>
      </c>
      <c r="T18" s="340"/>
      <c r="U18" s="260"/>
      <c r="V18" s="260"/>
      <c r="W18" s="260" t="e">
        <f t="shared" si="5"/>
        <v>#DIV/0!</v>
      </c>
      <c r="X18" s="260" t="e">
        <f t="shared" si="6"/>
        <v>#DIV/0!</v>
      </c>
      <c r="Y18" s="340"/>
      <c r="Z18" s="260"/>
      <c r="AA18" s="260"/>
      <c r="AB18" s="260" t="e">
        <f t="shared" si="7"/>
        <v>#DIV/0!</v>
      </c>
      <c r="AC18" s="260" t="e">
        <f t="shared" si="8"/>
        <v>#DIV/0!</v>
      </c>
      <c r="AD18" s="340"/>
      <c r="AE18" s="260"/>
      <c r="AF18" s="260"/>
      <c r="AG18" s="262" t="e">
        <f t="shared" ref="AG18:AG20" si="17">AF18/AE18</f>
        <v>#DIV/0!</v>
      </c>
      <c r="AH18" s="260" t="e">
        <f t="shared" si="10"/>
        <v>#DIV/0!</v>
      </c>
      <c r="AI18" s="340"/>
      <c r="AJ18" s="260"/>
      <c r="AK18" s="260"/>
      <c r="AL18" s="262" t="e">
        <f t="shared" ref="AL18:AL20" si="18">AK18/AJ18</f>
        <v>#DIV/0!</v>
      </c>
      <c r="AM18" s="260" t="e">
        <f t="shared" si="12"/>
        <v>#DIV/0!</v>
      </c>
      <c r="AN18" s="340"/>
      <c r="AO18" s="260"/>
      <c r="AP18" s="260"/>
      <c r="AQ18" s="262" t="e">
        <f t="shared" ref="AQ18:AQ20" si="19">AP18/AO18</f>
        <v>#DIV/0!</v>
      </c>
      <c r="AR18" s="260" t="e">
        <f t="shared" si="14"/>
        <v>#DIV/0!</v>
      </c>
      <c r="AS18" s="340"/>
      <c r="AT18" s="260">
        <v>17</v>
      </c>
      <c r="AU18" s="260">
        <v>1259</v>
      </c>
      <c r="AV18" s="262">
        <f t="shared" si="15"/>
        <v>74.058823529411768</v>
      </c>
      <c r="AW18" s="260">
        <f>RANK(AV18, AV$7:AV$24)</f>
        <v>12</v>
      </c>
      <c r="AX18" s="340"/>
    </row>
    <row r="19" spans="2:50">
      <c r="B19" s="341"/>
      <c r="C19" s="260">
        <v>13</v>
      </c>
      <c r="D19" s="260" t="s">
        <v>114</v>
      </c>
      <c r="E19" s="261">
        <f>VLOOKUP(D19,'09產線配置圖'!$A$2:$C$25,2,0)</f>
        <v>17</v>
      </c>
      <c r="F19" s="261">
        <f>VLOOKUP(D19,'09產線配置圖'!$A$2:$C$25,3,0)</f>
        <v>1565</v>
      </c>
      <c r="G19" s="262">
        <f t="shared" si="0"/>
        <v>92.058823529411768</v>
      </c>
      <c r="H19" s="343"/>
      <c r="I19" s="260">
        <f t="shared" si="1"/>
        <v>12</v>
      </c>
      <c r="J19" s="261">
        <f t="shared" si="1"/>
        <v>938</v>
      </c>
      <c r="K19" s="262">
        <f t="shared" si="2"/>
        <v>78.166666666666671</v>
      </c>
      <c r="L19" s="343"/>
      <c r="M19" s="263">
        <f>RANK(K19, K$7:$K$24)</f>
        <v>11</v>
      </c>
      <c r="N19" s="345"/>
      <c r="O19" s="345"/>
      <c r="P19" s="260"/>
      <c r="Q19" s="260"/>
      <c r="R19" s="262" t="e">
        <f t="shared" si="3"/>
        <v>#DIV/0!</v>
      </c>
      <c r="S19" s="260" t="e">
        <f t="shared" si="4"/>
        <v>#DIV/0!</v>
      </c>
      <c r="T19" s="340"/>
      <c r="U19" s="260"/>
      <c r="V19" s="260"/>
      <c r="W19" s="260" t="e">
        <f t="shared" si="5"/>
        <v>#DIV/0!</v>
      </c>
      <c r="X19" s="260" t="e">
        <f t="shared" si="6"/>
        <v>#DIV/0!</v>
      </c>
      <c r="Y19" s="340"/>
      <c r="Z19" s="260"/>
      <c r="AA19" s="260"/>
      <c r="AB19" s="260" t="e">
        <f t="shared" si="7"/>
        <v>#DIV/0!</v>
      </c>
      <c r="AC19" s="260" t="e">
        <f t="shared" si="8"/>
        <v>#DIV/0!</v>
      </c>
      <c r="AD19" s="340"/>
      <c r="AE19" s="260"/>
      <c r="AF19" s="260"/>
      <c r="AG19" s="262" t="e">
        <f t="shared" si="17"/>
        <v>#DIV/0!</v>
      </c>
      <c r="AH19" s="260" t="e">
        <f t="shared" si="10"/>
        <v>#DIV/0!</v>
      </c>
      <c r="AI19" s="340"/>
      <c r="AJ19" s="260"/>
      <c r="AK19" s="260"/>
      <c r="AL19" s="262" t="e">
        <f t="shared" si="18"/>
        <v>#DIV/0!</v>
      </c>
      <c r="AM19" s="260" t="e">
        <f t="shared" si="12"/>
        <v>#DIV/0!</v>
      </c>
      <c r="AN19" s="340"/>
      <c r="AO19" s="260"/>
      <c r="AP19" s="260"/>
      <c r="AQ19" s="262" t="e">
        <f t="shared" si="19"/>
        <v>#DIV/0!</v>
      </c>
      <c r="AR19" s="260" t="e">
        <f t="shared" si="14"/>
        <v>#DIV/0!</v>
      </c>
      <c r="AS19" s="340"/>
      <c r="AT19" s="260">
        <v>12</v>
      </c>
      <c r="AU19" s="260">
        <v>938</v>
      </c>
      <c r="AV19" s="262">
        <f t="shared" si="15"/>
        <v>78.166666666666671</v>
      </c>
      <c r="AW19" s="260">
        <f t="shared" si="16"/>
        <v>11</v>
      </c>
      <c r="AX19" s="340"/>
    </row>
    <row r="20" spans="2:50">
      <c r="B20" s="341"/>
      <c r="C20" s="260">
        <v>14</v>
      </c>
      <c r="D20" s="260" t="s">
        <v>115</v>
      </c>
      <c r="E20" s="261">
        <f>VLOOKUP(D20,'09產線配置圖'!$A$2:$C$25,2,0)</f>
        <v>17</v>
      </c>
      <c r="F20" s="261">
        <f>VLOOKUP(D20,'09產線配置圖'!$A$2:$C$25,3,0)</f>
        <v>1636</v>
      </c>
      <c r="G20" s="262">
        <f t="shared" si="0"/>
        <v>96.235294117647058</v>
      </c>
      <c r="H20" s="343"/>
      <c r="I20" s="260">
        <f t="shared" si="1"/>
        <v>15</v>
      </c>
      <c r="J20" s="261">
        <f t="shared" si="1"/>
        <v>1309</v>
      </c>
      <c r="K20" s="262">
        <f t="shared" si="2"/>
        <v>87.266666666666666</v>
      </c>
      <c r="L20" s="343"/>
      <c r="M20" s="263">
        <f>RANK(K20, K$7:$K$24)</f>
        <v>8</v>
      </c>
      <c r="N20" s="345"/>
      <c r="O20" s="345"/>
      <c r="P20" s="260"/>
      <c r="Q20" s="260"/>
      <c r="R20" s="262" t="e">
        <f t="shared" si="3"/>
        <v>#DIV/0!</v>
      </c>
      <c r="S20" s="260" t="e">
        <f t="shared" si="4"/>
        <v>#DIV/0!</v>
      </c>
      <c r="T20" s="340"/>
      <c r="U20" s="260"/>
      <c r="V20" s="260"/>
      <c r="W20" s="260" t="e">
        <f t="shared" si="5"/>
        <v>#DIV/0!</v>
      </c>
      <c r="X20" s="260" t="e">
        <f t="shared" si="6"/>
        <v>#DIV/0!</v>
      </c>
      <c r="Y20" s="340"/>
      <c r="Z20" s="260"/>
      <c r="AA20" s="260"/>
      <c r="AB20" s="260" t="e">
        <f t="shared" si="7"/>
        <v>#DIV/0!</v>
      </c>
      <c r="AC20" s="260" t="e">
        <f t="shared" si="8"/>
        <v>#DIV/0!</v>
      </c>
      <c r="AD20" s="340"/>
      <c r="AE20" s="260"/>
      <c r="AF20" s="260"/>
      <c r="AG20" s="262" t="e">
        <f t="shared" si="17"/>
        <v>#DIV/0!</v>
      </c>
      <c r="AH20" s="260" t="e">
        <f t="shared" si="10"/>
        <v>#DIV/0!</v>
      </c>
      <c r="AI20" s="340"/>
      <c r="AJ20" s="260"/>
      <c r="AK20" s="260"/>
      <c r="AL20" s="262" t="e">
        <f t="shared" si="18"/>
        <v>#DIV/0!</v>
      </c>
      <c r="AM20" s="260" t="e">
        <f t="shared" si="12"/>
        <v>#DIV/0!</v>
      </c>
      <c r="AN20" s="340"/>
      <c r="AO20" s="260"/>
      <c r="AP20" s="260"/>
      <c r="AQ20" s="260" t="e">
        <f t="shared" si="19"/>
        <v>#DIV/0!</v>
      </c>
      <c r="AR20" s="260" t="e">
        <f t="shared" si="14"/>
        <v>#DIV/0!</v>
      </c>
      <c r="AS20" s="340"/>
      <c r="AT20" s="260">
        <v>15</v>
      </c>
      <c r="AU20" s="260">
        <v>1309</v>
      </c>
      <c r="AV20" s="262">
        <f t="shared" si="15"/>
        <v>87.266666666666666</v>
      </c>
      <c r="AW20" s="260">
        <f t="shared" si="16"/>
        <v>8</v>
      </c>
      <c r="AX20" s="340"/>
    </row>
    <row r="21" spans="2:50">
      <c r="B21" s="341"/>
      <c r="C21" s="260">
        <v>15</v>
      </c>
      <c r="D21" s="260" t="s">
        <v>116</v>
      </c>
      <c r="E21" s="261">
        <f>VLOOKUP(D21,'09產線配置圖'!$A$2:$C$25,2,0)</f>
        <v>17</v>
      </c>
      <c r="F21" s="261">
        <f>VLOOKUP(D21,'09產線配置圖'!$A$2:$C$25,3,0)</f>
        <v>1636</v>
      </c>
      <c r="G21" s="262">
        <f t="shared" si="0"/>
        <v>96.235294117647058</v>
      </c>
      <c r="H21" s="343"/>
      <c r="I21" s="260">
        <f t="shared" si="1"/>
        <v>15</v>
      </c>
      <c r="J21" s="260">
        <f t="shared" si="1"/>
        <v>1103</v>
      </c>
      <c r="K21" s="262">
        <f>AVERAGE(AV21)</f>
        <v>73.533333333333331</v>
      </c>
      <c r="L21" s="343"/>
      <c r="M21" s="261">
        <f>RANK(K21, K$7:$K$24)</f>
        <v>13</v>
      </c>
      <c r="N21" s="345"/>
      <c r="O21" s="345"/>
      <c r="P21" s="260"/>
      <c r="Q21" s="260"/>
      <c r="R21" s="262" t="e">
        <f t="shared" si="3"/>
        <v>#DIV/0!</v>
      </c>
      <c r="S21" s="260" t="e">
        <f t="shared" si="4"/>
        <v>#DIV/0!</v>
      </c>
      <c r="T21" s="340"/>
      <c r="U21" s="260"/>
      <c r="V21" s="260"/>
      <c r="W21" s="260" t="e">
        <f t="shared" si="5"/>
        <v>#DIV/0!</v>
      </c>
      <c r="X21" s="260" t="e">
        <f t="shared" si="6"/>
        <v>#DIV/0!</v>
      </c>
      <c r="Y21" s="340"/>
      <c r="Z21" s="260"/>
      <c r="AA21" s="260"/>
      <c r="AB21" s="260" t="e">
        <f t="shared" si="7"/>
        <v>#DIV/0!</v>
      </c>
      <c r="AC21" s="260" t="e">
        <f t="shared" si="8"/>
        <v>#DIV/0!</v>
      </c>
      <c r="AD21" s="340"/>
      <c r="AE21" s="260"/>
      <c r="AF21" s="260"/>
      <c r="AG21" s="262"/>
      <c r="AH21" s="260"/>
      <c r="AI21" s="340"/>
      <c r="AJ21" s="260"/>
      <c r="AK21" s="260"/>
      <c r="AL21" s="260"/>
      <c r="AM21" s="260"/>
      <c r="AN21" s="340"/>
      <c r="AO21" s="260"/>
      <c r="AP21" s="260"/>
      <c r="AQ21" s="260"/>
      <c r="AR21" s="260" t="e">
        <f t="shared" si="14"/>
        <v>#DIV/0!</v>
      </c>
      <c r="AS21" s="340"/>
      <c r="AT21" s="260">
        <v>15</v>
      </c>
      <c r="AU21" s="260">
        <v>1103</v>
      </c>
      <c r="AV21" s="262">
        <f>AU21/AT21</f>
        <v>73.533333333333331</v>
      </c>
      <c r="AW21" s="260">
        <f t="shared" si="16"/>
        <v>13</v>
      </c>
      <c r="AX21" s="340"/>
    </row>
    <row r="22" spans="2:50">
      <c r="B22" s="341"/>
      <c r="C22" s="260">
        <v>16</v>
      </c>
      <c r="D22" s="260"/>
      <c r="E22" s="261"/>
      <c r="F22" s="261"/>
      <c r="G22" s="262"/>
      <c r="H22" s="343"/>
      <c r="I22" s="260" t="e">
        <f t="shared" ref="I22" si="20">AVERAGE(P22,U22,Z22,AE22,AJ22,AO22,AT22)</f>
        <v>#DIV/0!</v>
      </c>
      <c r="J22" s="260" t="e">
        <f t="shared" ref="J22" si="21">AVERAGE(Q22,V22,AA22,AF22,AK22,AP22,AU22)</f>
        <v>#DIV/0!</v>
      </c>
      <c r="K22" s="260"/>
      <c r="L22" s="343"/>
      <c r="M22" s="261"/>
      <c r="N22" s="345"/>
      <c r="O22" s="345"/>
      <c r="P22" s="260"/>
      <c r="Q22" s="260"/>
      <c r="R22" s="262" t="e">
        <f t="shared" ref="R22" si="22">Q22/P22</f>
        <v>#DIV/0!</v>
      </c>
      <c r="S22" s="260" t="e">
        <f t="shared" ref="S22" si="23">RANK(R22, R$7:R$24)</f>
        <v>#DIV/0!</v>
      </c>
      <c r="T22" s="340"/>
      <c r="U22" s="260"/>
      <c r="V22" s="260"/>
      <c r="W22" s="260" t="e">
        <f t="shared" ref="W22" si="24">V22/U22</f>
        <v>#DIV/0!</v>
      </c>
      <c r="X22" s="260" t="e">
        <f t="shared" ref="X22" si="25">RANK(W22, W$7:W$24)</f>
        <v>#DIV/0!</v>
      </c>
      <c r="Y22" s="340"/>
      <c r="Z22" s="260"/>
      <c r="AA22" s="260"/>
      <c r="AB22" s="260" t="e">
        <f t="shared" ref="AB22" si="26">AA22/Z22</f>
        <v>#DIV/0!</v>
      </c>
      <c r="AC22" s="260" t="e">
        <f t="shared" ref="AC22" si="27">RANK(AB22, AB$7:AB$24)</f>
        <v>#DIV/0!</v>
      </c>
      <c r="AD22" s="340"/>
      <c r="AE22" s="260"/>
      <c r="AF22" s="260"/>
      <c r="AG22" s="262"/>
      <c r="AH22" s="260"/>
      <c r="AI22" s="340"/>
      <c r="AJ22" s="260"/>
      <c r="AK22" s="260"/>
      <c r="AL22" s="260"/>
      <c r="AM22" s="260"/>
      <c r="AN22" s="340"/>
      <c r="AO22" s="260"/>
      <c r="AP22" s="260"/>
      <c r="AQ22" s="260"/>
      <c r="AR22" s="260" t="e">
        <f t="shared" ref="AR22" si="28">RANK(AQ22, AQ$7:AQ$24)</f>
        <v>#DIV/0!</v>
      </c>
      <c r="AS22" s="340"/>
      <c r="AT22" s="260"/>
      <c r="AU22" s="260"/>
      <c r="AV22" s="260"/>
      <c r="AW22" s="260"/>
      <c r="AX22" s="340"/>
    </row>
    <row r="23" spans="2:50">
      <c r="B23" s="341"/>
      <c r="C23" s="260">
        <v>17</v>
      </c>
      <c r="D23" s="260"/>
      <c r="E23" s="261"/>
      <c r="F23" s="261"/>
      <c r="G23" s="262"/>
      <c r="H23" s="343"/>
      <c r="I23" s="260" t="e">
        <f t="shared" ref="I23" si="29">AVERAGE(P23,U23,Z23,AE23,AJ23,AO23,AT23)</f>
        <v>#DIV/0!</v>
      </c>
      <c r="J23" s="260" t="e">
        <f t="shared" ref="J23" si="30">AVERAGE(Q23,V23,AA23,AF23,AK23,AP23,AU23)</f>
        <v>#DIV/0!</v>
      </c>
      <c r="K23" s="260"/>
      <c r="L23" s="343"/>
      <c r="M23" s="261"/>
      <c r="N23" s="345"/>
      <c r="O23" s="345"/>
      <c r="P23" s="260"/>
      <c r="Q23" s="260"/>
      <c r="R23" s="262" t="e">
        <f t="shared" ref="R23" si="31">Q23/P23</f>
        <v>#DIV/0!</v>
      </c>
      <c r="S23" s="260" t="e">
        <f t="shared" ref="S23" si="32">RANK(R23, R$7:R$24)</f>
        <v>#DIV/0!</v>
      </c>
      <c r="T23" s="340"/>
      <c r="U23" s="260"/>
      <c r="V23" s="260"/>
      <c r="W23" s="260" t="e">
        <f t="shared" ref="W23" si="33">V23/U23</f>
        <v>#DIV/0!</v>
      </c>
      <c r="X23" s="260" t="e">
        <f t="shared" ref="X23" si="34">RANK(W23, W$7:W$24)</f>
        <v>#DIV/0!</v>
      </c>
      <c r="Y23" s="340"/>
      <c r="Z23" s="260"/>
      <c r="AA23" s="260"/>
      <c r="AB23" s="260" t="e">
        <f t="shared" ref="AB23" si="35">AA23/Z23</f>
        <v>#DIV/0!</v>
      </c>
      <c r="AC23" s="260" t="e">
        <f t="shared" ref="AC23" si="36">RANK(AB23, AB$7:AB$24)</f>
        <v>#DIV/0!</v>
      </c>
      <c r="AD23" s="340"/>
      <c r="AE23" s="260"/>
      <c r="AF23" s="260"/>
      <c r="AG23" s="262"/>
      <c r="AH23" s="260"/>
      <c r="AI23" s="340"/>
      <c r="AJ23" s="260"/>
      <c r="AK23" s="260"/>
      <c r="AL23" s="260"/>
      <c r="AM23" s="260"/>
      <c r="AN23" s="340"/>
      <c r="AO23" s="260"/>
      <c r="AP23" s="260"/>
      <c r="AQ23" s="260"/>
      <c r="AR23" s="260" t="e">
        <f t="shared" ref="AR23" si="37">RANK(AQ23, AQ$7:AQ$24)</f>
        <v>#DIV/0!</v>
      </c>
      <c r="AS23" s="340"/>
      <c r="AT23" s="260"/>
      <c r="AU23" s="260"/>
      <c r="AV23" s="260"/>
      <c r="AW23" s="260"/>
      <c r="AX23" s="340"/>
    </row>
    <row r="24" spans="2:50">
      <c r="B24" s="341"/>
      <c r="C24" s="260">
        <v>18</v>
      </c>
      <c r="D24" s="260"/>
      <c r="E24" s="261"/>
      <c r="F24" s="261"/>
      <c r="G24" s="262"/>
      <c r="H24" s="344"/>
      <c r="I24" s="260" t="e">
        <f t="shared" si="1"/>
        <v>#DIV/0!</v>
      </c>
      <c r="J24" s="260" t="e">
        <f t="shared" si="1"/>
        <v>#DIV/0!</v>
      </c>
      <c r="K24" s="260"/>
      <c r="L24" s="344"/>
      <c r="M24" s="261"/>
      <c r="N24" s="345"/>
      <c r="O24" s="345"/>
      <c r="P24" s="260"/>
      <c r="Q24" s="260"/>
      <c r="R24" s="262" t="e">
        <f t="shared" si="3"/>
        <v>#DIV/0!</v>
      </c>
      <c r="S24" s="260" t="e">
        <f t="shared" si="4"/>
        <v>#DIV/0!</v>
      </c>
      <c r="T24" s="340"/>
      <c r="U24" s="260"/>
      <c r="V24" s="260"/>
      <c r="W24" s="260" t="e">
        <f t="shared" si="5"/>
        <v>#DIV/0!</v>
      </c>
      <c r="X24" s="260" t="e">
        <f t="shared" si="6"/>
        <v>#DIV/0!</v>
      </c>
      <c r="Y24" s="340"/>
      <c r="Z24" s="260"/>
      <c r="AA24" s="260"/>
      <c r="AB24" s="260" t="e">
        <f t="shared" si="7"/>
        <v>#DIV/0!</v>
      </c>
      <c r="AC24" s="260" t="e">
        <f t="shared" si="8"/>
        <v>#DIV/0!</v>
      </c>
      <c r="AD24" s="340"/>
      <c r="AE24" s="260"/>
      <c r="AF24" s="260"/>
      <c r="AG24" s="262"/>
      <c r="AH24" s="260"/>
      <c r="AI24" s="340"/>
      <c r="AJ24" s="260"/>
      <c r="AK24" s="260"/>
      <c r="AL24" s="260"/>
      <c r="AM24" s="260"/>
      <c r="AN24" s="340"/>
      <c r="AO24" s="260"/>
      <c r="AP24" s="260"/>
      <c r="AQ24" s="260"/>
      <c r="AR24" s="260" t="e">
        <f t="shared" si="14"/>
        <v>#DIV/0!</v>
      </c>
      <c r="AS24" s="340"/>
      <c r="AT24" s="260"/>
      <c r="AU24" s="260"/>
      <c r="AV24" s="260"/>
      <c r="AW24" s="260"/>
      <c r="AX24" s="340"/>
    </row>
    <row r="25" spans="2:50" ht="15.75">
      <c r="B25" s="360" t="s">
        <v>86</v>
      </c>
      <c r="C25" s="361"/>
      <c r="D25" s="361"/>
      <c r="E25" s="361"/>
      <c r="F25" s="361"/>
      <c r="G25" s="361"/>
      <c r="H25" s="361"/>
      <c r="I25" s="254"/>
      <c r="J25" s="254"/>
      <c r="K25" s="254"/>
      <c r="L25" s="254"/>
      <c r="M25" s="255"/>
      <c r="N25" s="354" t="s">
        <v>87</v>
      </c>
      <c r="O25" s="354" t="s">
        <v>45</v>
      </c>
      <c r="P25" s="349">
        <v>45902</v>
      </c>
      <c r="Q25" s="341"/>
      <c r="R25" s="341"/>
      <c r="S25" s="341"/>
      <c r="T25" s="341"/>
      <c r="U25" s="349">
        <v>45903</v>
      </c>
      <c r="V25" s="341"/>
      <c r="W25" s="341"/>
      <c r="X25" s="341"/>
      <c r="Y25" s="341"/>
      <c r="Z25" s="349">
        <v>45904</v>
      </c>
      <c r="AA25" s="341"/>
      <c r="AB25" s="341"/>
      <c r="AC25" s="341"/>
      <c r="AD25" s="341"/>
      <c r="AE25" s="349">
        <v>45905</v>
      </c>
      <c r="AF25" s="341"/>
      <c r="AG25" s="341"/>
      <c r="AH25" s="341"/>
      <c r="AI25" s="341"/>
      <c r="AJ25" s="349">
        <v>45906</v>
      </c>
      <c r="AK25" s="341"/>
      <c r="AL25" s="341"/>
      <c r="AM25" s="341"/>
      <c r="AN25" s="341"/>
      <c r="AO25" s="349">
        <v>45907</v>
      </c>
      <c r="AP25" s="341"/>
      <c r="AQ25" s="341"/>
      <c r="AR25" s="341"/>
      <c r="AS25" s="341"/>
      <c r="AT25" s="349">
        <v>45908</v>
      </c>
      <c r="AU25" s="341"/>
      <c r="AV25" s="341"/>
      <c r="AW25" s="341"/>
      <c r="AX25" s="341"/>
    </row>
    <row r="26" spans="2:50" ht="15.75">
      <c r="B26" s="359"/>
      <c r="C26" s="359"/>
      <c r="D26" s="359"/>
      <c r="E26" s="359"/>
      <c r="F26" s="359"/>
      <c r="G26" s="359"/>
      <c r="H26" s="359"/>
      <c r="I26" s="256"/>
      <c r="J26" s="256"/>
      <c r="K26" s="256"/>
      <c r="L26" s="256"/>
      <c r="M26" s="257"/>
      <c r="N26" s="356"/>
      <c r="O26" s="356"/>
      <c r="P26" s="349" t="s">
        <v>57</v>
      </c>
      <c r="Q26" s="341"/>
      <c r="R26" s="341"/>
      <c r="S26" s="341"/>
      <c r="T26" s="341"/>
      <c r="U26" s="349" t="s">
        <v>58</v>
      </c>
      <c r="V26" s="341"/>
      <c r="W26" s="341"/>
      <c r="X26" s="341"/>
      <c r="Y26" s="341"/>
      <c r="Z26" s="349" t="s">
        <v>59</v>
      </c>
      <c r="AA26" s="341"/>
      <c r="AB26" s="341"/>
      <c r="AC26" s="341"/>
      <c r="AD26" s="341"/>
      <c r="AE26" s="349" t="s">
        <v>60</v>
      </c>
      <c r="AF26" s="341"/>
      <c r="AG26" s="341"/>
      <c r="AH26" s="341"/>
      <c r="AI26" s="341"/>
      <c r="AJ26" s="349" t="s">
        <v>61</v>
      </c>
      <c r="AK26" s="341"/>
      <c r="AL26" s="341"/>
      <c r="AM26" s="341"/>
      <c r="AN26" s="341"/>
      <c r="AO26" s="349" t="s">
        <v>52</v>
      </c>
      <c r="AP26" s="341"/>
      <c r="AQ26" s="341"/>
      <c r="AR26" s="341"/>
      <c r="AS26" s="341"/>
      <c r="AT26" s="349" t="s">
        <v>56</v>
      </c>
      <c r="AU26" s="341"/>
      <c r="AV26" s="341"/>
      <c r="AW26" s="341"/>
      <c r="AX26" s="341"/>
    </row>
    <row r="27" spans="2:50">
      <c r="B27" s="345" t="s">
        <v>88</v>
      </c>
      <c r="C27" s="350" t="s">
        <v>89</v>
      </c>
      <c r="D27" s="345"/>
      <c r="E27" s="345" t="s">
        <v>90</v>
      </c>
      <c r="F27" s="345"/>
      <c r="G27" s="345"/>
      <c r="H27" s="351" t="s">
        <v>91</v>
      </c>
      <c r="I27" s="345" t="s">
        <v>92</v>
      </c>
      <c r="J27" s="345"/>
      <c r="K27" s="345"/>
      <c r="L27" s="351" t="s">
        <v>91</v>
      </c>
      <c r="M27" s="354" t="s">
        <v>93</v>
      </c>
      <c r="N27" s="345"/>
      <c r="O27" s="345" t="s">
        <v>94</v>
      </c>
      <c r="P27" s="346" t="s">
        <v>95</v>
      </c>
      <c r="Q27" s="347"/>
      <c r="R27" s="347"/>
      <c r="S27" s="348"/>
      <c r="T27" s="345" t="s">
        <v>91</v>
      </c>
      <c r="U27" s="346" t="s">
        <v>95</v>
      </c>
      <c r="V27" s="347"/>
      <c r="W27" s="347"/>
      <c r="X27" s="348"/>
      <c r="Y27" s="345" t="s">
        <v>91</v>
      </c>
      <c r="Z27" s="346" t="s">
        <v>95</v>
      </c>
      <c r="AA27" s="347"/>
      <c r="AB27" s="347"/>
      <c r="AC27" s="348"/>
      <c r="AD27" s="345" t="s">
        <v>91</v>
      </c>
      <c r="AE27" s="346" t="s">
        <v>95</v>
      </c>
      <c r="AF27" s="347"/>
      <c r="AG27" s="347"/>
      <c r="AH27" s="348"/>
      <c r="AI27" s="345" t="s">
        <v>91</v>
      </c>
      <c r="AJ27" s="346" t="s">
        <v>95</v>
      </c>
      <c r="AK27" s="347"/>
      <c r="AL27" s="347"/>
      <c r="AM27" s="348"/>
      <c r="AN27" s="345" t="s">
        <v>91</v>
      </c>
      <c r="AO27" s="346" t="s">
        <v>95</v>
      </c>
      <c r="AP27" s="347"/>
      <c r="AQ27" s="347"/>
      <c r="AR27" s="348"/>
      <c r="AS27" s="345" t="s">
        <v>91</v>
      </c>
      <c r="AT27" s="346" t="s">
        <v>95</v>
      </c>
      <c r="AU27" s="347"/>
      <c r="AV27" s="347"/>
      <c r="AW27" s="348"/>
      <c r="AX27" s="345" t="s">
        <v>91</v>
      </c>
    </row>
    <row r="28" spans="2:50">
      <c r="B28" s="345"/>
      <c r="C28" s="345"/>
      <c r="D28" s="345"/>
      <c r="E28" s="345" t="s">
        <v>96</v>
      </c>
      <c r="F28" s="345"/>
      <c r="G28" s="345"/>
      <c r="H28" s="352"/>
      <c r="I28" s="345" t="s">
        <v>96</v>
      </c>
      <c r="J28" s="345"/>
      <c r="K28" s="345"/>
      <c r="L28" s="352"/>
      <c r="M28" s="355"/>
      <c r="N28" s="345"/>
      <c r="O28" s="345"/>
      <c r="P28" s="346" t="s">
        <v>97</v>
      </c>
      <c r="Q28" s="347"/>
      <c r="R28" s="347"/>
      <c r="S28" s="348"/>
      <c r="T28" s="345"/>
      <c r="U28" s="346" t="s">
        <v>97</v>
      </c>
      <c r="V28" s="347"/>
      <c r="W28" s="347"/>
      <c r="X28" s="348"/>
      <c r="Y28" s="345"/>
      <c r="Z28" s="346" t="s">
        <v>97</v>
      </c>
      <c r="AA28" s="347"/>
      <c r="AB28" s="347"/>
      <c r="AC28" s="348"/>
      <c r="AD28" s="345"/>
      <c r="AE28" s="346" t="s">
        <v>97</v>
      </c>
      <c r="AF28" s="347"/>
      <c r="AG28" s="347"/>
      <c r="AH28" s="348"/>
      <c r="AI28" s="345"/>
      <c r="AJ28" s="346" t="s">
        <v>97</v>
      </c>
      <c r="AK28" s="347"/>
      <c r="AL28" s="347"/>
      <c r="AM28" s="348"/>
      <c r="AN28" s="345"/>
      <c r="AO28" s="346" t="s">
        <v>97</v>
      </c>
      <c r="AP28" s="347"/>
      <c r="AQ28" s="347"/>
      <c r="AR28" s="348"/>
      <c r="AS28" s="345"/>
      <c r="AT28" s="346" t="s">
        <v>97</v>
      </c>
      <c r="AU28" s="347"/>
      <c r="AV28" s="347"/>
      <c r="AW28" s="348"/>
      <c r="AX28" s="345"/>
    </row>
    <row r="29" spans="2:50">
      <c r="B29" s="345"/>
      <c r="C29" s="345"/>
      <c r="D29" s="345"/>
      <c r="E29" s="259" t="s">
        <v>98</v>
      </c>
      <c r="F29" s="259" t="s">
        <v>99</v>
      </c>
      <c r="G29" s="259" t="s">
        <v>100</v>
      </c>
      <c r="H29" s="353"/>
      <c r="I29" s="259" t="s">
        <v>98</v>
      </c>
      <c r="J29" s="259" t="s">
        <v>99</v>
      </c>
      <c r="K29" s="259" t="s">
        <v>100</v>
      </c>
      <c r="L29" s="353"/>
      <c r="M29" s="356"/>
      <c r="N29" s="345"/>
      <c r="O29" s="345"/>
      <c r="P29" s="259" t="s">
        <v>98</v>
      </c>
      <c r="Q29" s="259" t="s">
        <v>99</v>
      </c>
      <c r="R29" s="259" t="s">
        <v>100</v>
      </c>
      <c r="S29" s="259" t="s">
        <v>93</v>
      </c>
      <c r="T29" s="345"/>
      <c r="U29" s="259" t="s">
        <v>98</v>
      </c>
      <c r="V29" s="259" t="s">
        <v>99</v>
      </c>
      <c r="W29" s="259" t="s">
        <v>100</v>
      </c>
      <c r="X29" s="259" t="s">
        <v>93</v>
      </c>
      <c r="Y29" s="345"/>
      <c r="Z29" s="259" t="s">
        <v>98</v>
      </c>
      <c r="AA29" s="259" t="s">
        <v>99</v>
      </c>
      <c r="AB29" s="259" t="s">
        <v>100</v>
      </c>
      <c r="AC29" s="259" t="s">
        <v>93</v>
      </c>
      <c r="AD29" s="345"/>
      <c r="AE29" s="259" t="s">
        <v>98</v>
      </c>
      <c r="AF29" s="259" t="s">
        <v>99</v>
      </c>
      <c r="AG29" s="259" t="s">
        <v>100</v>
      </c>
      <c r="AH29" s="259" t="s">
        <v>93</v>
      </c>
      <c r="AI29" s="345"/>
      <c r="AJ29" s="259" t="s">
        <v>98</v>
      </c>
      <c r="AK29" s="259" t="s">
        <v>99</v>
      </c>
      <c r="AL29" s="259" t="s">
        <v>100</v>
      </c>
      <c r="AM29" s="259" t="s">
        <v>93</v>
      </c>
      <c r="AN29" s="345"/>
      <c r="AO29" s="259" t="s">
        <v>98</v>
      </c>
      <c r="AP29" s="259" t="s">
        <v>99</v>
      </c>
      <c r="AQ29" s="259" t="s">
        <v>100</v>
      </c>
      <c r="AR29" s="259" t="s">
        <v>93</v>
      </c>
      <c r="AS29" s="345"/>
      <c r="AT29" s="259" t="s">
        <v>98</v>
      </c>
      <c r="AU29" s="259" t="s">
        <v>99</v>
      </c>
      <c r="AV29" s="259" t="s">
        <v>100</v>
      </c>
      <c r="AW29" s="259" t="s">
        <v>93</v>
      </c>
      <c r="AX29" s="345"/>
    </row>
    <row r="30" spans="2:50" ht="13.5">
      <c r="B30" s="341" t="s">
        <v>101</v>
      </c>
      <c r="C30" s="260">
        <v>1</v>
      </c>
      <c r="D30" s="264" t="s">
        <v>102</v>
      </c>
      <c r="E30" s="261">
        <f>VLOOKUP(D30,'09產線配置圖'!$A$2:$C$25,2,0)</f>
        <v>12</v>
      </c>
      <c r="F30" s="261">
        <f>VLOOKUP(D30,'09產線配置圖'!$A$2:$C$25,3,0)</f>
        <v>2000</v>
      </c>
      <c r="G30" s="262">
        <f>F30/E30</f>
        <v>166.66666666666666</v>
      </c>
      <c r="H30" s="342">
        <f>AVERAGE(G30:G47)</f>
        <v>107.65415751545781</v>
      </c>
      <c r="I30" s="261">
        <f>AVERAGE(P30,U30,Z30,AE30,AJ30,AO30,AT30)</f>
        <v>12</v>
      </c>
      <c r="J30" s="261">
        <f>AVERAGE(Q30,V30,AA30,AF30,AK30,AP30,AU30)</f>
        <v>1851.9285714285713</v>
      </c>
      <c r="K30" s="262">
        <f>AVERAGE(R30,W30,AB30,AG30,AL30,AQ30,AV30)</f>
        <v>154.32738095238096</v>
      </c>
      <c r="L30" s="342">
        <f>IFERROR(AVERAGE(K30:K47),"-")</f>
        <v>95.220497761745293</v>
      </c>
      <c r="M30" s="263">
        <f>RANK(K30, K$30:$K$47)</f>
        <v>1</v>
      </c>
      <c r="N30" s="345"/>
      <c r="O30" s="345"/>
      <c r="P30" s="261">
        <v>12</v>
      </c>
      <c r="Q30" s="261">
        <v>1897</v>
      </c>
      <c r="R30" s="262">
        <f>Q30/P30</f>
        <v>158.08333333333334</v>
      </c>
      <c r="S30" s="260">
        <f>RANK(R30,$R$30:$R$47)</f>
        <v>1</v>
      </c>
      <c r="T30" s="340">
        <f>AVERAGE(R30:R47)</f>
        <v>94.995122074920857</v>
      </c>
      <c r="U30" s="261">
        <v>12</v>
      </c>
      <c r="V30" s="261">
        <v>1865</v>
      </c>
      <c r="W30" s="262">
        <f>V30/U30</f>
        <v>155.41666666666666</v>
      </c>
      <c r="X30" s="260">
        <f>RANK(W30, $W$30:$W$47)</f>
        <v>1</v>
      </c>
      <c r="Y30" s="340">
        <f>AVERAGE(W30:W47)</f>
        <v>95.346628899423024</v>
      </c>
      <c r="Z30" s="261">
        <v>12</v>
      </c>
      <c r="AA30" s="261">
        <v>1803</v>
      </c>
      <c r="AB30" s="262">
        <f>AA30/Z30</f>
        <v>150.25</v>
      </c>
      <c r="AC30" s="260">
        <f>RANK(AB30, $AB$30:$AB$47)</f>
        <v>1</v>
      </c>
      <c r="AD30" s="340">
        <f>AVERAGE(AB30:AB47)</f>
        <v>95.838856927386331</v>
      </c>
      <c r="AE30" s="261">
        <v>12</v>
      </c>
      <c r="AF30" s="261">
        <v>1867</v>
      </c>
      <c r="AG30" s="262">
        <f>AF30/AE30</f>
        <v>155.58333333333334</v>
      </c>
      <c r="AH30" s="260">
        <f>RANK(AG30, $AG$30:$AG$47)</f>
        <v>1</v>
      </c>
      <c r="AI30" s="340">
        <f>AVERAGE(AG30:AG47)</f>
        <v>96.043794081735271</v>
      </c>
      <c r="AJ30" s="261">
        <v>12</v>
      </c>
      <c r="AK30" s="261">
        <v>1798</v>
      </c>
      <c r="AL30" s="262">
        <f>AK30/AJ30</f>
        <v>149.83333333333334</v>
      </c>
      <c r="AM30" s="260">
        <f>RANK(AL30, $AL$30:$AL$47)</f>
        <v>1</v>
      </c>
      <c r="AN30" s="340">
        <f>AVERAGE(AL30:AL47)</f>
        <v>94.541482426303872</v>
      </c>
      <c r="AO30" s="261">
        <v>12</v>
      </c>
      <c r="AP30" s="261">
        <v>1932</v>
      </c>
      <c r="AQ30" s="262">
        <f>AP30/AO30</f>
        <v>161</v>
      </c>
      <c r="AR30" s="260">
        <f>RANK(AQ30,$AQ$30:$AQ$47)</f>
        <v>1</v>
      </c>
      <c r="AS30" s="340">
        <f>AVERAGE(AQ30:AQ47)</f>
        <v>94.611444073355827</v>
      </c>
      <c r="AT30" s="261">
        <v>12</v>
      </c>
      <c r="AU30" s="261">
        <v>1801.5</v>
      </c>
      <c r="AV30" s="262">
        <f>AU30/AT30</f>
        <v>150.125</v>
      </c>
      <c r="AW30" s="260">
        <f>RANK(AV30, $AV$30:$AV$47)</f>
        <v>1</v>
      </c>
      <c r="AX30" s="340">
        <f>AVERAGE(AV30:AV47)</f>
        <v>96.71783626912304</v>
      </c>
    </row>
    <row r="31" spans="2:50">
      <c r="B31" s="341"/>
      <c r="C31" s="260">
        <v>2</v>
      </c>
      <c r="D31" s="260" t="s">
        <v>103</v>
      </c>
      <c r="E31" s="261">
        <f>VLOOKUP(D31,'09產線配置圖'!$A$2:$C$25,2,0)</f>
        <v>13</v>
      </c>
      <c r="F31" s="261">
        <f>VLOOKUP(D31,'09產線配置圖'!$A$2:$C$25,3,0)</f>
        <v>2000</v>
      </c>
      <c r="G31" s="262">
        <f t="shared" ref="G31:G44" si="38">F31/E31</f>
        <v>153.84615384615384</v>
      </c>
      <c r="H31" s="343"/>
      <c r="I31" s="261">
        <f t="shared" ref="I31:K44" si="39">AVERAGE(P31,U31,Z31,AE31,AJ31,AO31,AT31)</f>
        <v>13</v>
      </c>
      <c r="J31" s="261">
        <f t="shared" si="39"/>
        <v>1818.3571428571429</v>
      </c>
      <c r="K31" s="262">
        <f t="shared" si="39"/>
        <v>139.87362637362637</v>
      </c>
      <c r="L31" s="343"/>
      <c r="M31" s="263">
        <f>RANK(K31, K$30:$K$47)</f>
        <v>2</v>
      </c>
      <c r="N31" s="345"/>
      <c r="O31" s="345"/>
      <c r="P31" s="261">
        <v>13</v>
      </c>
      <c r="Q31" s="261">
        <v>1854</v>
      </c>
      <c r="R31" s="262">
        <f t="shared" ref="R31:R39" si="40">Q31/P31</f>
        <v>142.61538461538461</v>
      </c>
      <c r="S31" s="260">
        <f t="shared" ref="S31:S44" si="41">RANK(R31,$R$30:$R$47)</f>
        <v>2</v>
      </c>
      <c r="T31" s="340"/>
      <c r="U31" s="261">
        <v>13</v>
      </c>
      <c r="V31" s="261">
        <v>1833</v>
      </c>
      <c r="W31" s="262">
        <f t="shared" ref="W31:W39" si="42">V31/U31</f>
        <v>141</v>
      </c>
      <c r="X31" s="260">
        <f t="shared" ref="X31:X44" si="43">RANK(W31, $W$30:$W$47)</f>
        <v>2</v>
      </c>
      <c r="Y31" s="340"/>
      <c r="Z31" s="261">
        <v>13</v>
      </c>
      <c r="AA31" s="261">
        <v>1872</v>
      </c>
      <c r="AB31" s="262">
        <f t="shared" ref="AB31:AB39" si="44">AA31/Z31</f>
        <v>144</v>
      </c>
      <c r="AC31" s="260">
        <f t="shared" ref="AC31:AC44" si="45">RANK(AB31, $AB$30:$AB$47)</f>
        <v>2</v>
      </c>
      <c r="AD31" s="340"/>
      <c r="AE31" s="261">
        <v>13</v>
      </c>
      <c r="AF31" s="261">
        <v>1932</v>
      </c>
      <c r="AG31" s="262">
        <f t="shared" ref="AG31:AG39" si="46">AF31/AE31</f>
        <v>148.61538461538461</v>
      </c>
      <c r="AH31" s="260">
        <f t="shared" ref="AH31:AH44" si="47">RANK(AG31, $AG$30:$AG$47)</f>
        <v>2</v>
      </c>
      <c r="AI31" s="340"/>
      <c r="AJ31" s="261">
        <v>13</v>
      </c>
      <c r="AK31" s="261">
        <v>1757</v>
      </c>
      <c r="AL31" s="262">
        <f t="shared" ref="AL31:AL39" si="48">AK31/AJ31</f>
        <v>135.15384615384616</v>
      </c>
      <c r="AM31" s="260">
        <f t="shared" ref="AM31:AM44" si="49">RANK(AL31, $AL$30:$AL$47)</f>
        <v>2</v>
      </c>
      <c r="AN31" s="340"/>
      <c r="AO31" s="261">
        <v>13</v>
      </c>
      <c r="AP31" s="261">
        <v>1764</v>
      </c>
      <c r="AQ31" s="262">
        <f t="shared" ref="AQ31:AQ39" si="50">AP31/AO31</f>
        <v>135.69230769230768</v>
      </c>
      <c r="AR31" s="260">
        <f t="shared" ref="AR31:AR45" si="51">RANK(AQ31,$AQ$30:$AQ$47)</f>
        <v>2</v>
      </c>
      <c r="AS31" s="340"/>
      <c r="AT31" s="261">
        <v>13</v>
      </c>
      <c r="AU31" s="261">
        <v>1716.5</v>
      </c>
      <c r="AV31" s="262">
        <f t="shared" ref="AV31:AV39" si="52">AU31/AT31</f>
        <v>132.03846153846155</v>
      </c>
      <c r="AW31" s="260">
        <f t="shared" ref="AW31:AW44" si="53">RANK(AV31, $AV$30:$AV$47)</f>
        <v>3</v>
      </c>
      <c r="AX31" s="340"/>
    </row>
    <row r="32" spans="2:50">
      <c r="B32" s="341"/>
      <c r="C32" s="260">
        <v>3</v>
      </c>
      <c r="D32" s="260" t="s">
        <v>104</v>
      </c>
      <c r="E32" s="261">
        <f>VLOOKUP(D32,'09產線配置圖'!$A$2:$C$25,2,0)</f>
        <v>16</v>
      </c>
      <c r="F32" s="261">
        <f>VLOOKUP(D32,'09產線配置圖'!$A$2:$C$25,3,0)</f>
        <v>1915</v>
      </c>
      <c r="G32" s="262">
        <f t="shared" si="38"/>
        <v>119.6875</v>
      </c>
      <c r="H32" s="343"/>
      <c r="I32" s="261">
        <f t="shared" si="39"/>
        <v>16</v>
      </c>
      <c r="J32" s="261">
        <f t="shared" si="39"/>
        <v>1569.5714285714287</v>
      </c>
      <c r="K32" s="262">
        <f t="shared" si="39"/>
        <v>98.098214285714292</v>
      </c>
      <c r="L32" s="343"/>
      <c r="M32" s="263">
        <f>RANK(K32, K$30:$K$47)</f>
        <v>6</v>
      </c>
      <c r="N32" s="345"/>
      <c r="O32" s="345"/>
      <c r="P32" s="261">
        <v>16</v>
      </c>
      <c r="Q32" s="261">
        <v>1734</v>
      </c>
      <c r="R32" s="262">
        <f t="shared" si="40"/>
        <v>108.375</v>
      </c>
      <c r="S32" s="260">
        <f t="shared" si="41"/>
        <v>5</v>
      </c>
      <c r="T32" s="340"/>
      <c r="U32" s="261">
        <v>16</v>
      </c>
      <c r="V32" s="261">
        <v>1602</v>
      </c>
      <c r="W32" s="262">
        <f t="shared" si="42"/>
        <v>100.125</v>
      </c>
      <c r="X32" s="260">
        <f t="shared" si="43"/>
        <v>5</v>
      </c>
      <c r="Y32" s="340"/>
      <c r="Z32" s="261">
        <v>16</v>
      </c>
      <c r="AA32" s="261">
        <v>1645</v>
      </c>
      <c r="AB32" s="262">
        <f t="shared" si="44"/>
        <v>102.8125</v>
      </c>
      <c r="AC32" s="260">
        <f t="shared" si="45"/>
        <v>5</v>
      </c>
      <c r="AD32" s="340"/>
      <c r="AE32" s="261">
        <v>16</v>
      </c>
      <c r="AF32" s="261">
        <v>1408</v>
      </c>
      <c r="AG32" s="262">
        <f t="shared" si="46"/>
        <v>88</v>
      </c>
      <c r="AH32" s="260">
        <f t="shared" si="47"/>
        <v>7</v>
      </c>
      <c r="AI32" s="340"/>
      <c r="AJ32" s="261">
        <v>16</v>
      </c>
      <c r="AK32" s="261">
        <v>1481</v>
      </c>
      <c r="AL32" s="262">
        <f t="shared" si="48"/>
        <v>92.5625</v>
      </c>
      <c r="AM32" s="260">
        <f t="shared" si="49"/>
        <v>6</v>
      </c>
      <c r="AN32" s="340"/>
      <c r="AO32" s="261">
        <v>16</v>
      </c>
      <c r="AP32" s="261">
        <v>1704</v>
      </c>
      <c r="AQ32" s="262">
        <f t="shared" si="50"/>
        <v>106.5</v>
      </c>
      <c r="AR32" s="260">
        <f t="shared" si="51"/>
        <v>4</v>
      </c>
      <c r="AS32" s="340"/>
      <c r="AT32" s="261">
        <v>16</v>
      </c>
      <c r="AU32" s="261">
        <v>1413</v>
      </c>
      <c r="AV32" s="262">
        <f t="shared" si="52"/>
        <v>88.3125</v>
      </c>
      <c r="AW32" s="260">
        <f t="shared" si="53"/>
        <v>8</v>
      </c>
      <c r="AX32" s="340"/>
    </row>
    <row r="33" spans="2:50">
      <c r="B33" s="341"/>
      <c r="C33" s="260">
        <v>4</v>
      </c>
      <c r="D33" s="260" t="s">
        <v>105</v>
      </c>
      <c r="E33" s="261">
        <f>VLOOKUP(D33,'09產線配置圖'!$A$2:$C$25,2,0)</f>
        <v>18</v>
      </c>
      <c r="F33" s="261">
        <f>VLOOKUP(D33,'09產線配置圖'!$A$2:$C$25,3,0)</f>
        <v>1565</v>
      </c>
      <c r="G33" s="262">
        <f t="shared" si="38"/>
        <v>86.944444444444443</v>
      </c>
      <c r="H33" s="343"/>
      <c r="I33" s="261">
        <f t="shared" si="39"/>
        <v>18.142857142857142</v>
      </c>
      <c r="J33" s="261">
        <f t="shared" si="39"/>
        <v>1478.7142857142858</v>
      </c>
      <c r="K33" s="262">
        <f t="shared" si="39"/>
        <v>81.64612511671335</v>
      </c>
      <c r="L33" s="343"/>
      <c r="M33" s="263">
        <f>RANK(K33, K$30:$K$47)</f>
        <v>10</v>
      </c>
      <c r="N33" s="345"/>
      <c r="O33" s="345"/>
      <c r="P33" s="261">
        <v>20</v>
      </c>
      <c r="Q33" s="261">
        <v>1490</v>
      </c>
      <c r="R33" s="262">
        <f t="shared" si="40"/>
        <v>74.5</v>
      </c>
      <c r="S33" s="260">
        <f t="shared" si="41"/>
        <v>11</v>
      </c>
      <c r="T33" s="340"/>
      <c r="U33" s="261">
        <v>18</v>
      </c>
      <c r="V33" s="261">
        <v>1549</v>
      </c>
      <c r="W33" s="262">
        <f t="shared" si="42"/>
        <v>86.055555555555557</v>
      </c>
      <c r="X33" s="260">
        <f t="shared" si="43"/>
        <v>9</v>
      </c>
      <c r="Y33" s="340"/>
      <c r="Z33" s="261">
        <v>18</v>
      </c>
      <c r="AA33" s="261">
        <v>1413</v>
      </c>
      <c r="AB33" s="262">
        <f t="shared" si="44"/>
        <v>78.5</v>
      </c>
      <c r="AC33" s="260">
        <f t="shared" si="45"/>
        <v>12</v>
      </c>
      <c r="AD33" s="340"/>
      <c r="AE33" s="261">
        <v>17</v>
      </c>
      <c r="AF33" s="261">
        <v>1452</v>
      </c>
      <c r="AG33" s="262">
        <f t="shared" si="46"/>
        <v>85.411764705882348</v>
      </c>
      <c r="AH33" s="260">
        <f t="shared" si="47"/>
        <v>10</v>
      </c>
      <c r="AI33" s="340"/>
      <c r="AJ33" s="261">
        <v>18</v>
      </c>
      <c r="AK33" s="261">
        <v>1382</v>
      </c>
      <c r="AL33" s="262">
        <f t="shared" si="48"/>
        <v>76.777777777777771</v>
      </c>
      <c r="AM33" s="260">
        <f t="shared" si="49"/>
        <v>11</v>
      </c>
      <c r="AN33" s="340"/>
      <c r="AO33" s="261">
        <v>18</v>
      </c>
      <c r="AP33" s="261">
        <v>1536.5</v>
      </c>
      <c r="AQ33" s="262">
        <f t="shared" si="50"/>
        <v>85.361111111111114</v>
      </c>
      <c r="AR33" s="260">
        <f t="shared" si="51"/>
        <v>10</v>
      </c>
      <c r="AS33" s="340"/>
      <c r="AT33" s="261">
        <v>18</v>
      </c>
      <c r="AU33" s="261">
        <v>1528.5</v>
      </c>
      <c r="AV33" s="262">
        <f t="shared" si="52"/>
        <v>84.916666666666671</v>
      </c>
      <c r="AW33" s="260">
        <f t="shared" si="53"/>
        <v>9</v>
      </c>
      <c r="AX33" s="340"/>
    </row>
    <row r="34" spans="2:50">
      <c r="B34" s="341"/>
      <c r="C34" s="260">
        <v>5</v>
      </c>
      <c r="D34" s="260" t="s">
        <v>106</v>
      </c>
      <c r="E34" s="261">
        <f>VLOOKUP(D34,'09產線配置圖'!$A$2:$C$25,2,0)</f>
        <v>13</v>
      </c>
      <c r="F34" s="261">
        <f>VLOOKUP(D34,'09產線配置圖'!$A$2:$C$25,3,0)</f>
        <v>2000</v>
      </c>
      <c r="G34" s="262">
        <f t="shared" si="38"/>
        <v>153.84615384615384</v>
      </c>
      <c r="H34" s="343"/>
      <c r="I34" s="261">
        <f t="shared" si="39"/>
        <v>13.428571428571429</v>
      </c>
      <c r="J34" s="261">
        <f t="shared" si="39"/>
        <v>1759.6428571428571</v>
      </c>
      <c r="K34" s="262">
        <f t="shared" si="39"/>
        <v>131.26569858712716</v>
      </c>
      <c r="L34" s="343"/>
      <c r="M34" s="263">
        <f>RANK(K34, K$30:$K$47)</f>
        <v>3</v>
      </c>
      <c r="N34" s="345"/>
      <c r="O34" s="345"/>
      <c r="P34" s="261">
        <v>15</v>
      </c>
      <c r="Q34" s="261">
        <v>1830</v>
      </c>
      <c r="R34" s="262">
        <f t="shared" si="40"/>
        <v>122</v>
      </c>
      <c r="S34" s="260">
        <f t="shared" si="41"/>
        <v>3</v>
      </c>
      <c r="T34" s="340"/>
      <c r="U34" s="261">
        <v>13</v>
      </c>
      <c r="V34" s="261">
        <v>1792</v>
      </c>
      <c r="W34" s="262">
        <f t="shared" si="42"/>
        <v>137.84615384615384</v>
      </c>
      <c r="X34" s="260">
        <f t="shared" si="43"/>
        <v>3</v>
      </c>
      <c r="Y34" s="340"/>
      <c r="Z34" s="261">
        <v>13</v>
      </c>
      <c r="AA34" s="261">
        <v>1699</v>
      </c>
      <c r="AB34" s="262">
        <f t="shared" si="44"/>
        <v>130.69230769230768</v>
      </c>
      <c r="AC34" s="260">
        <f t="shared" si="45"/>
        <v>3</v>
      </c>
      <c r="AD34" s="340"/>
      <c r="AE34" s="261">
        <v>13</v>
      </c>
      <c r="AF34" s="261">
        <v>1738</v>
      </c>
      <c r="AG34" s="262">
        <f t="shared" si="46"/>
        <v>133.69230769230768</v>
      </c>
      <c r="AH34" s="260">
        <f t="shared" si="47"/>
        <v>3</v>
      </c>
      <c r="AI34" s="340"/>
      <c r="AJ34" s="261">
        <v>13</v>
      </c>
      <c r="AK34" s="261">
        <v>1664</v>
      </c>
      <c r="AL34" s="262">
        <f t="shared" si="48"/>
        <v>128</v>
      </c>
      <c r="AM34" s="260">
        <f t="shared" si="49"/>
        <v>3</v>
      </c>
      <c r="AN34" s="340"/>
      <c r="AO34" s="261">
        <v>14</v>
      </c>
      <c r="AP34" s="261">
        <v>1796.5</v>
      </c>
      <c r="AQ34" s="262">
        <f t="shared" si="50"/>
        <v>128.32142857142858</v>
      </c>
      <c r="AR34" s="260">
        <f t="shared" si="51"/>
        <v>3</v>
      </c>
      <c r="AS34" s="340"/>
      <c r="AT34" s="261">
        <v>13</v>
      </c>
      <c r="AU34" s="261">
        <v>1798</v>
      </c>
      <c r="AV34" s="262">
        <f t="shared" si="52"/>
        <v>138.30769230769232</v>
      </c>
      <c r="AW34" s="260">
        <f t="shared" si="53"/>
        <v>2</v>
      </c>
      <c r="AX34" s="340"/>
    </row>
    <row r="35" spans="2:50">
      <c r="B35" s="341"/>
      <c r="C35" s="260">
        <v>6</v>
      </c>
      <c r="D35" s="260" t="s">
        <v>107</v>
      </c>
      <c r="E35" s="261">
        <f>VLOOKUP(D35,'09產線配置圖'!$A$2:$C$25,2,0)</f>
        <v>16</v>
      </c>
      <c r="F35" s="261">
        <f>VLOOKUP(D35,'09產線配置圖'!$A$2:$C$25,3,0)</f>
        <v>1895</v>
      </c>
      <c r="G35" s="262">
        <f t="shared" si="38"/>
        <v>118.4375</v>
      </c>
      <c r="H35" s="343"/>
      <c r="I35" s="261">
        <f t="shared" si="39"/>
        <v>15.857142857142858</v>
      </c>
      <c r="J35" s="261">
        <f t="shared" si="39"/>
        <v>1629</v>
      </c>
      <c r="K35" s="262">
        <f t="shared" si="39"/>
        <v>102.76785714285714</v>
      </c>
      <c r="L35" s="343"/>
      <c r="M35" s="263">
        <f>RANK(K35, K$30:$K$47)</f>
        <v>4</v>
      </c>
      <c r="N35" s="345"/>
      <c r="O35" s="345"/>
      <c r="P35" s="261">
        <v>16</v>
      </c>
      <c r="Q35" s="261">
        <v>1847</v>
      </c>
      <c r="R35" s="262">
        <f>Q35/P35</f>
        <v>115.4375</v>
      </c>
      <c r="S35" s="260">
        <f t="shared" si="41"/>
        <v>4</v>
      </c>
      <c r="T35" s="340"/>
      <c r="U35" s="261">
        <v>16</v>
      </c>
      <c r="V35" s="261">
        <v>1649</v>
      </c>
      <c r="W35" s="262">
        <f t="shared" si="42"/>
        <v>103.0625</v>
      </c>
      <c r="X35" s="260">
        <f t="shared" si="43"/>
        <v>4</v>
      </c>
      <c r="Y35" s="340"/>
      <c r="Z35" s="261">
        <v>16</v>
      </c>
      <c r="AA35" s="261">
        <v>1623</v>
      </c>
      <c r="AB35" s="262">
        <f t="shared" si="44"/>
        <v>101.4375</v>
      </c>
      <c r="AC35" s="260">
        <f t="shared" si="45"/>
        <v>6</v>
      </c>
      <c r="AD35" s="340"/>
      <c r="AE35" s="261">
        <v>16</v>
      </c>
      <c r="AF35" s="261">
        <v>1547</v>
      </c>
      <c r="AG35" s="262">
        <f t="shared" si="46"/>
        <v>96.6875</v>
      </c>
      <c r="AH35" s="260">
        <f t="shared" si="47"/>
        <v>4</v>
      </c>
      <c r="AI35" s="340"/>
      <c r="AJ35" s="261">
        <v>16</v>
      </c>
      <c r="AK35" s="261">
        <v>1526</v>
      </c>
      <c r="AL35" s="262">
        <f t="shared" si="48"/>
        <v>95.375</v>
      </c>
      <c r="AM35" s="260">
        <f t="shared" si="49"/>
        <v>5</v>
      </c>
      <c r="AN35" s="340"/>
      <c r="AO35" s="261">
        <v>16</v>
      </c>
      <c r="AP35" s="261">
        <v>1606</v>
      </c>
      <c r="AQ35" s="262">
        <f t="shared" si="50"/>
        <v>100.375</v>
      </c>
      <c r="AR35" s="260">
        <f t="shared" si="51"/>
        <v>6</v>
      </c>
      <c r="AS35" s="340"/>
      <c r="AT35" s="261">
        <v>15</v>
      </c>
      <c r="AU35" s="261">
        <v>1605</v>
      </c>
      <c r="AV35" s="262">
        <f t="shared" si="52"/>
        <v>107</v>
      </c>
      <c r="AW35" s="260">
        <f t="shared" si="53"/>
        <v>4</v>
      </c>
      <c r="AX35" s="340"/>
    </row>
    <row r="36" spans="2:50">
      <c r="B36" s="341"/>
      <c r="C36" s="260">
        <v>7</v>
      </c>
      <c r="D36" s="260" t="s">
        <v>108</v>
      </c>
      <c r="E36" s="261">
        <f>VLOOKUP(D36,'09產線配置圖'!$A$2:$C$25,2,0)</f>
        <v>16</v>
      </c>
      <c r="F36" s="261">
        <f>VLOOKUP(D36,'09產線配置圖'!$A$2:$C$25,3,0)</f>
        <v>1552</v>
      </c>
      <c r="G36" s="262">
        <f t="shared" si="38"/>
        <v>97</v>
      </c>
      <c r="H36" s="343"/>
      <c r="I36" s="261">
        <f t="shared" si="39"/>
        <v>15.5</v>
      </c>
      <c r="J36" s="261">
        <f t="shared" si="39"/>
        <v>1313.5</v>
      </c>
      <c r="K36" s="262">
        <f t="shared" si="39"/>
        <v>84.779017857142861</v>
      </c>
      <c r="L36" s="343"/>
      <c r="M36" s="263">
        <f>RANK(K36, K$30:$K$47)</f>
        <v>9</v>
      </c>
      <c r="N36" s="345"/>
      <c r="O36" s="345"/>
      <c r="P36" s="261">
        <v>16</v>
      </c>
      <c r="Q36" s="261">
        <v>1489</v>
      </c>
      <c r="R36" s="262">
        <f t="shared" si="40"/>
        <v>93.0625</v>
      </c>
      <c r="S36" s="260">
        <f t="shared" si="41"/>
        <v>7</v>
      </c>
      <c r="T36" s="340"/>
      <c r="U36" s="261">
        <v>16</v>
      </c>
      <c r="V36" s="261">
        <v>1208</v>
      </c>
      <c r="W36" s="262">
        <f t="shared" si="42"/>
        <v>75.5</v>
      </c>
      <c r="X36" s="260">
        <f t="shared" si="43"/>
        <v>10</v>
      </c>
      <c r="Y36" s="340"/>
      <c r="Z36" s="261">
        <v>16</v>
      </c>
      <c r="AA36" s="261">
        <v>1354</v>
      </c>
      <c r="AB36" s="262">
        <f t="shared" si="44"/>
        <v>84.625</v>
      </c>
      <c r="AC36" s="260">
        <f t="shared" si="45"/>
        <v>10</v>
      </c>
      <c r="AD36" s="340"/>
      <c r="AE36" s="261">
        <v>14</v>
      </c>
      <c r="AF36" s="261">
        <v>1203</v>
      </c>
      <c r="AG36" s="262">
        <f t="shared" si="46"/>
        <v>85.928571428571431</v>
      </c>
      <c r="AH36" s="260">
        <f t="shared" si="47"/>
        <v>9</v>
      </c>
      <c r="AI36" s="340"/>
      <c r="AJ36" s="261"/>
      <c r="AK36" s="261"/>
      <c r="AL36" s="262"/>
      <c r="AM36" s="260"/>
      <c r="AN36" s="340"/>
      <c r="AO36" s="261"/>
      <c r="AP36" s="261"/>
      <c r="AQ36" s="262"/>
      <c r="AR36" s="260"/>
      <c r="AS36" s="340"/>
      <c r="AT36" s="261"/>
      <c r="AU36" s="261"/>
      <c r="AV36" s="262"/>
      <c r="AW36" s="260"/>
      <c r="AX36" s="340"/>
    </row>
    <row r="37" spans="2:50">
      <c r="B37" s="341"/>
      <c r="C37" s="260">
        <v>8</v>
      </c>
      <c r="D37" s="260" t="s">
        <v>109</v>
      </c>
      <c r="E37" s="261">
        <f>VLOOKUP(D37,'09產線配置圖'!$A$2:$C$25,2,0)</f>
        <v>15</v>
      </c>
      <c r="F37" s="261">
        <f>VLOOKUP(D37,'09產線配置圖'!$A$2:$C$25,3,0)</f>
        <v>1565</v>
      </c>
      <c r="G37" s="262">
        <f t="shared" si="38"/>
        <v>104.33333333333333</v>
      </c>
      <c r="H37" s="343"/>
      <c r="I37" s="261">
        <f t="shared" si="39"/>
        <v>16.142857142857142</v>
      </c>
      <c r="J37" s="261">
        <f t="shared" si="39"/>
        <v>1601.5714285714287</v>
      </c>
      <c r="K37" s="262">
        <f t="shared" si="39"/>
        <v>99.464632168656934</v>
      </c>
      <c r="L37" s="343"/>
      <c r="M37" s="263">
        <f>RANK(K37, K$30:$K$47)</f>
        <v>5</v>
      </c>
      <c r="N37" s="345"/>
      <c r="O37" s="345"/>
      <c r="P37" s="261">
        <v>19</v>
      </c>
      <c r="Q37" s="261">
        <v>1718</v>
      </c>
      <c r="R37" s="262">
        <f t="shared" si="40"/>
        <v>90.421052631578945</v>
      </c>
      <c r="S37" s="260">
        <f t="shared" si="41"/>
        <v>8</v>
      </c>
      <c r="T37" s="340"/>
      <c r="U37" s="261">
        <v>17</v>
      </c>
      <c r="V37" s="261">
        <v>1689</v>
      </c>
      <c r="W37" s="262">
        <f t="shared" si="42"/>
        <v>99.352941176470594</v>
      </c>
      <c r="X37" s="260">
        <f t="shared" si="43"/>
        <v>6</v>
      </c>
      <c r="Y37" s="340"/>
      <c r="Z37" s="261">
        <v>17</v>
      </c>
      <c r="AA37" s="261">
        <v>1758</v>
      </c>
      <c r="AB37" s="262">
        <f t="shared" si="44"/>
        <v>103.41176470588235</v>
      </c>
      <c r="AC37" s="260">
        <f t="shared" si="45"/>
        <v>4</v>
      </c>
      <c r="AD37" s="340"/>
      <c r="AE37" s="261">
        <v>15</v>
      </c>
      <c r="AF37" s="261">
        <v>1399</v>
      </c>
      <c r="AG37" s="262">
        <f t="shared" si="46"/>
        <v>93.266666666666666</v>
      </c>
      <c r="AH37" s="260">
        <f t="shared" si="47"/>
        <v>5</v>
      </c>
      <c r="AI37" s="340"/>
      <c r="AJ37" s="261">
        <v>15</v>
      </c>
      <c r="AK37" s="261">
        <v>1543</v>
      </c>
      <c r="AL37" s="262">
        <f t="shared" si="48"/>
        <v>102.86666666666666</v>
      </c>
      <c r="AM37" s="260">
        <f t="shared" si="49"/>
        <v>4</v>
      </c>
      <c r="AN37" s="340"/>
      <c r="AO37" s="261">
        <v>15</v>
      </c>
      <c r="AP37" s="261">
        <v>1540</v>
      </c>
      <c r="AQ37" s="262">
        <f t="shared" si="50"/>
        <v>102.66666666666667</v>
      </c>
      <c r="AR37" s="260">
        <f t="shared" si="51"/>
        <v>5</v>
      </c>
      <c r="AS37" s="340"/>
      <c r="AT37" s="261">
        <v>15</v>
      </c>
      <c r="AU37" s="261">
        <v>1564</v>
      </c>
      <c r="AV37" s="262">
        <f t="shared" si="52"/>
        <v>104.26666666666667</v>
      </c>
      <c r="AW37" s="260">
        <f t="shared" si="53"/>
        <v>5</v>
      </c>
      <c r="AX37" s="340"/>
    </row>
    <row r="38" spans="2:50">
      <c r="B38" s="341"/>
      <c r="C38" s="260">
        <v>9</v>
      </c>
      <c r="D38" s="260" t="s">
        <v>110</v>
      </c>
      <c r="E38" s="261">
        <f>VLOOKUP(D38,'09產線配置圖'!$A$2:$C$25,2,0)</f>
        <v>16</v>
      </c>
      <c r="F38" s="261">
        <f>VLOOKUP(D38,'09產線配置圖'!$A$2:$C$25,3,0)</f>
        <v>1390</v>
      </c>
      <c r="G38" s="262">
        <f t="shared" si="38"/>
        <v>86.875</v>
      </c>
      <c r="H38" s="343"/>
      <c r="I38" s="261">
        <f t="shared" si="39"/>
        <v>16.142857142857142</v>
      </c>
      <c r="J38" s="261">
        <f t="shared" si="39"/>
        <v>1069.5714285714287</v>
      </c>
      <c r="K38" s="262">
        <f t="shared" si="39"/>
        <v>66.282457983193268</v>
      </c>
      <c r="L38" s="343"/>
      <c r="M38" s="263">
        <f>RANK(K38, K$30:$K$47)</f>
        <v>15</v>
      </c>
      <c r="N38" s="345"/>
      <c r="O38" s="345"/>
      <c r="P38" s="261">
        <v>18</v>
      </c>
      <c r="Q38" s="261">
        <v>1197</v>
      </c>
      <c r="R38" s="262">
        <f t="shared" si="40"/>
        <v>66.5</v>
      </c>
      <c r="S38" s="260">
        <f t="shared" si="41"/>
        <v>14</v>
      </c>
      <c r="T38" s="340"/>
      <c r="U38" s="261">
        <v>17</v>
      </c>
      <c r="V38" s="261">
        <v>1120</v>
      </c>
      <c r="W38" s="262">
        <f t="shared" si="42"/>
        <v>65.882352941176464</v>
      </c>
      <c r="X38" s="260">
        <f t="shared" si="43"/>
        <v>15</v>
      </c>
      <c r="Y38" s="340"/>
      <c r="Z38" s="261">
        <v>17</v>
      </c>
      <c r="AA38" s="261">
        <v>1069</v>
      </c>
      <c r="AB38" s="262">
        <f t="shared" si="44"/>
        <v>62.882352941176471</v>
      </c>
      <c r="AC38" s="260">
        <f t="shared" si="45"/>
        <v>15</v>
      </c>
      <c r="AD38" s="340"/>
      <c r="AE38" s="261">
        <v>15</v>
      </c>
      <c r="AF38" s="261">
        <v>1100</v>
      </c>
      <c r="AG38" s="262">
        <f t="shared" si="46"/>
        <v>73.333333333333329</v>
      </c>
      <c r="AH38" s="260">
        <f t="shared" si="47"/>
        <v>14</v>
      </c>
      <c r="AI38" s="340"/>
      <c r="AJ38" s="261">
        <v>15</v>
      </c>
      <c r="AK38" s="261">
        <v>953</v>
      </c>
      <c r="AL38" s="262">
        <f t="shared" si="48"/>
        <v>63.533333333333331</v>
      </c>
      <c r="AM38" s="260">
        <f t="shared" si="49"/>
        <v>14</v>
      </c>
      <c r="AN38" s="340"/>
      <c r="AO38" s="261">
        <v>15</v>
      </c>
      <c r="AP38" s="261">
        <v>923</v>
      </c>
      <c r="AQ38" s="262">
        <f t="shared" si="50"/>
        <v>61.533333333333331</v>
      </c>
      <c r="AR38" s="260">
        <f t="shared" si="51"/>
        <v>14</v>
      </c>
      <c r="AS38" s="340"/>
      <c r="AT38" s="261">
        <v>16</v>
      </c>
      <c r="AU38" s="261">
        <v>1125</v>
      </c>
      <c r="AV38" s="262">
        <f t="shared" si="52"/>
        <v>70.3125</v>
      </c>
      <c r="AW38" s="260">
        <f t="shared" si="53"/>
        <v>12</v>
      </c>
      <c r="AX38" s="340"/>
    </row>
    <row r="39" spans="2:50">
      <c r="B39" s="341"/>
      <c r="C39" s="260">
        <v>10</v>
      </c>
      <c r="D39" s="260" t="s">
        <v>111</v>
      </c>
      <c r="E39" s="261">
        <f>VLOOKUP(D39,'09產線配置圖'!$A$2:$C$25,2,0)</f>
        <v>19</v>
      </c>
      <c r="F39" s="261">
        <f>VLOOKUP(D39,'09產線配置圖'!$A$2:$C$25,3,0)</f>
        <v>1565</v>
      </c>
      <c r="G39" s="262">
        <f t="shared" si="38"/>
        <v>82.368421052631575</v>
      </c>
      <c r="H39" s="343"/>
      <c r="I39" s="261">
        <f t="shared" si="39"/>
        <v>15</v>
      </c>
      <c r="J39" s="261">
        <f t="shared" si="39"/>
        <v>1095.5</v>
      </c>
      <c r="K39" s="262">
        <f t="shared" si="39"/>
        <v>73.415178571428569</v>
      </c>
      <c r="L39" s="343"/>
      <c r="M39" s="263">
        <f>RANK(K39, K$30:$K$47)</f>
        <v>13</v>
      </c>
      <c r="N39" s="345"/>
      <c r="O39" s="345"/>
      <c r="P39" s="261">
        <v>17</v>
      </c>
      <c r="Q39" s="261">
        <v>1156</v>
      </c>
      <c r="R39" s="262">
        <f t="shared" si="40"/>
        <v>68</v>
      </c>
      <c r="S39" s="260">
        <f t="shared" si="41"/>
        <v>13</v>
      </c>
      <c r="T39" s="340"/>
      <c r="U39" s="261">
        <v>14</v>
      </c>
      <c r="V39" s="261">
        <v>1030</v>
      </c>
      <c r="W39" s="262">
        <f t="shared" si="42"/>
        <v>73.571428571428569</v>
      </c>
      <c r="X39" s="260">
        <f t="shared" si="43"/>
        <v>12</v>
      </c>
      <c r="Y39" s="340"/>
      <c r="Z39" s="261">
        <v>14</v>
      </c>
      <c r="AA39" s="261">
        <v>1195</v>
      </c>
      <c r="AB39" s="262">
        <f t="shared" si="44"/>
        <v>85.357142857142861</v>
      </c>
      <c r="AC39" s="260">
        <f t="shared" si="45"/>
        <v>9</v>
      </c>
      <c r="AD39" s="340"/>
      <c r="AE39" s="261">
        <v>14</v>
      </c>
      <c r="AF39" s="261">
        <v>1032</v>
      </c>
      <c r="AG39" s="262">
        <f t="shared" si="46"/>
        <v>73.714285714285708</v>
      </c>
      <c r="AH39" s="260">
        <f t="shared" si="47"/>
        <v>13</v>
      </c>
      <c r="AI39" s="340"/>
      <c r="AJ39" s="261">
        <v>14</v>
      </c>
      <c r="AK39" s="261">
        <v>1097</v>
      </c>
      <c r="AL39" s="262">
        <f t="shared" si="48"/>
        <v>78.357142857142861</v>
      </c>
      <c r="AM39" s="260">
        <f t="shared" si="49"/>
        <v>10</v>
      </c>
      <c r="AN39" s="340"/>
      <c r="AO39" s="261">
        <v>16</v>
      </c>
      <c r="AP39" s="261">
        <v>1134</v>
      </c>
      <c r="AQ39" s="262">
        <f t="shared" si="50"/>
        <v>70.875</v>
      </c>
      <c r="AR39" s="260">
        <f t="shared" si="51"/>
        <v>12</v>
      </c>
      <c r="AS39" s="340"/>
      <c r="AT39" s="261">
        <v>16</v>
      </c>
      <c r="AU39" s="261">
        <v>1024.5</v>
      </c>
      <c r="AV39" s="262">
        <f t="shared" si="52"/>
        <v>64.03125</v>
      </c>
      <c r="AW39" s="260">
        <f t="shared" si="53"/>
        <v>14</v>
      </c>
      <c r="AX39" s="340"/>
    </row>
    <row r="40" spans="2:50">
      <c r="B40" s="341"/>
      <c r="C40" s="260">
        <v>11</v>
      </c>
      <c r="D40" s="260" t="s">
        <v>112</v>
      </c>
      <c r="E40" s="261">
        <f>VLOOKUP(D40,'09產線配置圖'!$A$2:$C$25,2,0)</f>
        <v>18</v>
      </c>
      <c r="F40" s="261">
        <f>VLOOKUP(D40,'09產線配置圖'!$A$2:$C$25,3,0)</f>
        <v>1500</v>
      </c>
      <c r="G40" s="262">
        <f t="shared" si="38"/>
        <v>83.333333333333329</v>
      </c>
      <c r="H40" s="343"/>
      <c r="I40" s="261">
        <f t="shared" si="39"/>
        <v>14</v>
      </c>
      <c r="J40" s="261">
        <f t="shared" si="39"/>
        <v>1054.7142857142858</v>
      </c>
      <c r="K40" s="262">
        <f t="shared" si="39"/>
        <v>76.252064287253361</v>
      </c>
      <c r="L40" s="343"/>
      <c r="M40" s="263">
        <f>RANK(K40, K$30:$K$47)</f>
        <v>11</v>
      </c>
      <c r="N40" s="345"/>
      <c r="O40" s="345"/>
      <c r="P40" s="260">
        <v>17</v>
      </c>
      <c r="Q40" s="260">
        <v>984</v>
      </c>
      <c r="R40" s="262">
        <f>Q40/P40</f>
        <v>57.882352941176471</v>
      </c>
      <c r="S40" s="260">
        <f t="shared" si="41"/>
        <v>15</v>
      </c>
      <c r="T40" s="340"/>
      <c r="U40" s="260">
        <v>14</v>
      </c>
      <c r="V40" s="260">
        <v>1039</v>
      </c>
      <c r="W40" s="262">
        <f>V40/U40</f>
        <v>74.214285714285708</v>
      </c>
      <c r="X40" s="260">
        <f t="shared" si="43"/>
        <v>11</v>
      </c>
      <c r="Y40" s="340"/>
      <c r="Z40" s="260">
        <v>14</v>
      </c>
      <c r="AA40" s="260">
        <v>1207</v>
      </c>
      <c r="AB40" s="262">
        <f>AA40/Z40</f>
        <v>86.214285714285708</v>
      </c>
      <c r="AC40" s="260">
        <f t="shared" si="45"/>
        <v>8</v>
      </c>
      <c r="AD40" s="340"/>
      <c r="AE40" s="260">
        <v>13</v>
      </c>
      <c r="AF40" s="260">
        <v>1122</v>
      </c>
      <c r="AG40" s="262">
        <f>AF40/AE40</f>
        <v>86.307692307692307</v>
      </c>
      <c r="AH40" s="260">
        <f t="shared" si="47"/>
        <v>8</v>
      </c>
      <c r="AI40" s="340"/>
      <c r="AJ40" s="260">
        <v>12</v>
      </c>
      <c r="AK40" s="260">
        <v>973</v>
      </c>
      <c r="AL40" s="262">
        <f>AK40/AJ40</f>
        <v>81.083333333333329</v>
      </c>
      <c r="AM40" s="260">
        <f t="shared" si="49"/>
        <v>9</v>
      </c>
      <c r="AN40" s="340"/>
      <c r="AO40" s="260">
        <v>16</v>
      </c>
      <c r="AP40" s="260">
        <v>1125</v>
      </c>
      <c r="AQ40" s="262">
        <f>AP40/AO40</f>
        <v>70.3125</v>
      </c>
      <c r="AR40" s="260">
        <f t="shared" si="51"/>
        <v>13</v>
      </c>
      <c r="AS40" s="340"/>
      <c r="AT40" s="260">
        <v>12</v>
      </c>
      <c r="AU40" s="260">
        <v>933</v>
      </c>
      <c r="AV40" s="262">
        <f>AU40/AT40</f>
        <v>77.75</v>
      </c>
      <c r="AW40" s="260">
        <f t="shared" si="53"/>
        <v>10</v>
      </c>
      <c r="AX40" s="340"/>
    </row>
    <row r="41" spans="2:50">
      <c r="B41" s="341"/>
      <c r="C41" s="260">
        <v>12</v>
      </c>
      <c r="D41" s="260" t="s">
        <v>113</v>
      </c>
      <c r="E41" s="261">
        <f>VLOOKUP(D41,'09產線配置圖'!$A$2:$C$25,2,0)</f>
        <v>18</v>
      </c>
      <c r="F41" s="261">
        <f>VLOOKUP(D41,'09產線配置圖'!$A$2:$C$25,3,0)</f>
        <v>1385</v>
      </c>
      <c r="G41" s="262">
        <f t="shared" si="38"/>
        <v>76.944444444444443</v>
      </c>
      <c r="H41" s="343"/>
      <c r="I41" s="261">
        <f t="shared" si="39"/>
        <v>16.142857142857142</v>
      </c>
      <c r="J41" s="261">
        <f t="shared" si="39"/>
        <v>1123.9285714285713</v>
      </c>
      <c r="K41" s="262">
        <f t="shared" si="39"/>
        <v>69.710714285714289</v>
      </c>
      <c r="L41" s="343"/>
      <c r="M41" s="263">
        <f>RANK(K41, K$30:$K$47)</f>
        <v>14</v>
      </c>
      <c r="N41" s="345"/>
      <c r="O41" s="345"/>
      <c r="P41" s="260">
        <v>18</v>
      </c>
      <c r="Q41" s="260">
        <v>1353</v>
      </c>
      <c r="R41" s="262">
        <f t="shared" ref="R41:R44" si="54">Q41/P41</f>
        <v>75.166666666666671</v>
      </c>
      <c r="S41" s="260">
        <f t="shared" si="41"/>
        <v>10</v>
      </c>
      <c r="T41" s="340"/>
      <c r="U41" s="260">
        <v>15</v>
      </c>
      <c r="V41" s="260">
        <v>1012</v>
      </c>
      <c r="W41" s="262">
        <f t="shared" ref="W41:W44" si="55">V41/U41</f>
        <v>67.466666666666669</v>
      </c>
      <c r="X41" s="260">
        <f t="shared" si="43"/>
        <v>14</v>
      </c>
      <c r="Y41" s="340"/>
      <c r="Z41" s="260">
        <v>15</v>
      </c>
      <c r="AA41" s="260">
        <v>1093</v>
      </c>
      <c r="AB41" s="262">
        <f t="shared" ref="AB41:AB43" si="56">AA41/Z41</f>
        <v>72.86666666666666</v>
      </c>
      <c r="AC41" s="260">
        <f t="shared" si="45"/>
        <v>13</v>
      </c>
      <c r="AD41" s="340"/>
      <c r="AE41" s="260">
        <v>16</v>
      </c>
      <c r="AF41" s="260">
        <v>1124</v>
      </c>
      <c r="AG41" s="262">
        <f t="shared" ref="AG41:AG44" si="57">AF41/AE41</f>
        <v>70.25</v>
      </c>
      <c r="AH41" s="260">
        <f t="shared" si="47"/>
        <v>15</v>
      </c>
      <c r="AI41" s="340"/>
      <c r="AJ41" s="260">
        <v>15</v>
      </c>
      <c r="AK41" s="260">
        <v>1094</v>
      </c>
      <c r="AL41" s="262">
        <f t="shared" ref="AL41:AL43" si="58">AK41/AJ41</f>
        <v>72.933333333333337</v>
      </c>
      <c r="AM41" s="260">
        <f t="shared" si="49"/>
        <v>13</v>
      </c>
      <c r="AN41" s="340"/>
      <c r="AO41" s="260">
        <v>18</v>
      </c>
      <c r="AP41" s="260">
        <v>1105.5</v>
      </c>
      <c r="AQ41" s="262">
        <f t="shared" ref="AQ41:AQ43" si="59">AP41/AO41</f>
        <v>61.416666666666664</v>
      </c>
      <c r="AR41" s="260">
        <f t="shared" si="51"/>
        <v>15</v>
      </c>
      <c r="AS41" s="340"/>
      <c r="AT41" s="260">
        <v>16</v>
      </c>
      <c r="AU41" s="260">
        <v>1086</v>
      </c>
      <c r="AV41" s="262">
        <f t="shared" ref="AV41:AV43" si="60">AU41/AT41</f>
        <v>67.875</v>
      </c>
      <c r="AW41" s="260">
        <f t="shared" si="53"/>
        <v>13</v>
      </c>
      <c r="AX41" s="340"/>
    </row>
    <row r="42" spans="2:50">
      <c r="B42" s="341"/>
      <c r="C42" s="260">
        <v>13</v>
      </c>
      <c r="D42" s="260" t="s">
        <v>114</v>
      </c>
      <c r="E42" s="261">
        <f>VLOOKUP(D42,'09產線配置圖'!$A$2:$C$25,2,0)</f>
        <v>17</v>
      </c>
      <c r="F42" s="261">
        <f>VLOOKUP(D42,'09產線配置圖'!$A$2:$C$25,3,0)</f>
        <v>1565</v>
      </c>
      <c r="G42" s="262">
        <f t="shared" si="38"/>
        <v>92.058823529411768</v>
      </c>
      <c r="H42" s="343"/>
      <c r="I42" s="261">
        <f t="shared" si="39"/>
        <v>15.857142857142858</v>
      </c>
      <c r="J42" s="261">
        <f t="shared" si="39"/>
        <v>1194.2857142857142</v>
      </c>
      <c r="K42" s="262">
        <f t="shared" si="39"/>
        <v>75.781184909861381</v>
      </c>
      <c r="L42" s="343"/>
      <c r="M42" s="263">
        <f>RANK(K42, K$30:$K$47)</f>
        <v>12</v>
      </c>
      <c r="N42" s="345"/>
      <c r="O42" s="345"/>
      <c r="P42" s="260">
        <v>18</v>
      </c>
      <c r="Q42" s="260">
        <v>1334</v>
      </c>
      <c r="R42" s="262">
        <f t="shared" si="54"/>
        <v>74.111111111111114</v>
      </c>
      <c r="S42" s="260">
        <f t="shared" si="41"/>
        <v>12</v>
      </c>
      <c r="T42" s="340"/>
      <c r="U42" s="260">
        <v>14</v>
      </c>
      <c r="V42" s="260">
        <v>980</v>
      </c>
      <c r="W42" s="262">
        <f t="shared" si="55"/>
        <v>70</v>
      </c>
      <c r="X42" s="260">
        <f t="shared" si="43"/>
        <v>13</v>
      </c>
      <c r="Y42" s="340"/>
      <c r="Z42" s="260">
        <v>17</v>
      </c>
      <c r="AA42" s="260">
        <v>1106</v>
      </c>
      <c r="AB42" s="262">
        <f t="shared" si="56"/>
        <v>65.058823529411768</v>
      </c>
      <c r="AC42" s="260">
        <f t="shared" si="45"/>
        <v>14</v>
      </c>
      <c r="AD42" s="340"/>
      <c r="AE42" s="260">
        <v>16</v>
      </c>
      <c r="AF42" s="260">
        <v>1243</v>
      </c>
      <c r="AG42" s="262">
        <f t="shared" si="57"/>
        <v>77.6875</v>
      </c>
      <c r="AH42" s="260">
        <f t="shared" si="47"/>
        <v>12</v>
      </c>
      <c r="AI42" s="340"/>
      <c r="AJ42" s="260">
        <v>13</v>
      </c>
      <c r="AK42" s="260">
        <v>1194</v>
      </c>
      <c r="AL42" s="262">
        <f t="shared" si="58"/>
        <v>91.84615384615384</v>
      </c>
      <c r="AM42" s="260">
        <f t="shared" si="49"/>
        <v>7</v>
      </c>
      <c r="AN42" s="340"/>
      <c r="AO42" s="260">
        <v>17</v>
      </c>
      <c r="AP42" s="260">
        <v>1271</v>
      </c>
      <c r="AQ42" s="262">
        <f t="shared" si="59"/>
        <v>74.764705882352942</v>
      </c>
      <c r="AR42" s="260">
        <f t="shared" si="51"/>
        <v>11</v>
      </c>
      <c r="AS42" s="340"/>
      <c r="AT42" s="260">
        <v>16</v>
      </c>
      <c r="AU42" s="260">
        <v>1232</v>
      </c>
      <c r="AV42" s="262">
        <f t="shared" si="60"/>
        <v>77</v>
      </c>
      <c r="AW42" s="260">
        <f t="shared" si="53"/>
        <v>11</v>
      </c>
      <c r="AX42" s="340"/>
    </row>
    <row r="43" spans="2:50">
      <c r="B43" s="341"/>
      <c r="C43" s="260">
        <v>14</v>
      </c>
      <c r="D43" s="260" t="s">
        <v>115</v>
      </c>
      <c r="E43" s="261">
        <f>VLOOKUP(D43,'09產線配置圖'!$A$2:$C$25,2,0)</f>
        <v>17</v>
      </c>
      <c r="F43" s="261">
        <f>VLOOKUP(D43,'09產線配置圖'!$A$2:$C$25,3,0)</f>
        <v>1636</v>
      </c>
      <c r="G43" s="262">
        <f t="shared" si="38"/>
        <v>96.235294117647058</v>
      </c>
      <c r="H43" s="343"/>
      <c r="I43" s="261">
        <f t="shared" si="39"/>
        <v>16</v>
      </c>
      <c r="J43" s="261">
        <f t="shared" si="39"/>
        <v>1397.8571428571429</v>
      </c>
      <c r="K43" s="262">
        <f t="shared" si="39"/>
        <v>86.873024209683877</v>
      </c>
      <c r="L43" s="343"/>
      <c r="M43" s="263">
        <f>RANK(K43, K$30:$K$47)</f>
        <v>8</v>
      </c>
      <c r="N43" s="345"/>
      <c r="O43" s="345"/>
      <c r="P43" s="260">
        <v>18</v>
      </c>
      <c r="Q43" s="260">
        <v>1704</v>
      </c>
      <c r="R43" s="262">
        <f t="shared" si="54"/>
        <v>94.666666666666671</v>
      </c>
      <c r="S43" s="260">
        <f t="shared" si="41"/>
        <v>6</v>
      </c>
      <c r="T43" s="340"/>
      <c r="U43" s="260">
        <v>17</v>
      </c>
      <c r="V43" s="260">
        <v>1605</v>
      </c>
      <c r="W43" s="262">
        <f t="shared" si="55"/>
        <v>94.411764705882348</v>
      </c>
      <c r="X43" s="260">
        <f t="shared" si="43"/>
        <v>7</v>
      </c>
      <c r="Y43" s="340"/>
      <c r="Z43" s="260">
        <v>15</v>
      </c>
      <c r="AA43" s="260">
        <v>1238</v>
      </c>
      <c r="AB43" s="262">
        <f t="shared" si="56"/>
        <v>82.533333333333331</v>
      </c>
      <c r="AC43" s="260">
        <f t="shared" si="45"/>
        <v>11</v>
      </c>
      <c r="AD43" s="340"/>
      <c r="AE43" s="260">
        <v>14</v>
      </c>
      <c r="AF43" s="260">
        <v>1112</v>
      </c>
      <c r="AG43" s="262">
        <f t="shared" si="57"/>
        <v>79.428571428571431</v>
      </c>
      <c r="AH43" s="260">
        <f t="shared" si="47"/>
        <v>11</v>
      </c>
      <c r="AI43" s="340"/>
      <c r="AJ43" s="260">
        <v>15</v>
      </c>
      <c r="AK43" s="260">
        <v>1112</v>
      </c>
      <c r="AL43" s="262">
        <f t="shared" si="58"/>
        <v>74.13333333333334</v>
      </c>
      <c r="AM43" s="260">
        <f t="shared" si="49"/>
        <v>12</v>
      </c>
      <c r="AN43" s="340"/>
      <c r="AO43" s="260">
        <v>17</v>
      </c>
      <c r="AP43" s="260">
        <v>1479</v>
      </c>
      <c r="AQ43" s="262">
        <f t="shared" si="59"/>
        <v>87</v>
      </c>
      <c r="AR43" s="260">
        <f t="shared" si="51"/>
        <v>7</v>
      </c>
      <c r="AS43" s="340"/>
      <c r="AT43" s="260">
        <v>16</v>
      </c>
      <c r="AU43" s="260">
        <v>1535</v>
      </c>
      <c r="AV43" s="262">
        <f t="shared" si="60"/>
        <v>95.9375</v>
      </c>
      <c r="AW43" s="260">
        <f t="shared" si="53"/>
        <v>7</v>
      </c>
      <c r="AX43" s="340"/>
    </row>
    <row r="44" spans="2:50">
      <c r="B44" s="341"/>
      <c r="C44" s="260">
        <v>15</v>
      </c>
      <c r="D44" s="260" t="s">
        <v>116</v>
      </c>
      <c r="E44" s="261">
        <f>VLOOKUP(D44,'09產線配置圖'!$A$2:$C$25,2,0)</f>
        <v>17</v>
      </c>
      <c r="F44" s="261">
        <f>VLOOKUP(D44,'09產線配置圖'!$A$2:$C$25,3,0)</f>
        <v>1636</v>
      </c>
      <c r="G44" s="262">
        <f t="shared" si="38"/>
        <v>96.235294117647058</v>
      </c>
      <c r="H44" s="343"/>
      <c r="I44" s="260">
        <f t="shared" si="39"/>
        <v>17</v>
      </c>
      <c r="J44" s="261">
        <f t="shared" si="39"/>
        <v>1491.2857142857142</v>
      </c>
      <c r="K44" s="262">
        <f t="shared" si="39"/>
        <v>87.770289694825308</v>
      </c>
      <c r="L44" s="343"/>
      <c r="M44" s="261">
        <f>RANK(K44, K$30:$K$47)</f>
        <v>7</v>
      </c>
      <c r="N44" s="345"/>
      <c r="O44" s="345"/>
      <c r="P44" s="260">
        <v>19</v>
      </c>
      <c r="Q44" s="260">
        <v>1598</v>
      </c>
      <c r="R44" s="262">
        <f t="shared" si="54"/>
        <v>84.10526315789474</v>
      </c>
      <c r="S44" s="260">
        <f t="shared" si="41"/>
        <v>9</v>
      </c>
      <c r="T44" s="340"/>
      <c r="U44" s="260">
        <v>17</v>
      </c>
      <c r="V44" s="260">
        <v>1467</v>
      </c>
      <c r="W44" s="262">
        <f t="shared" si="55"/>
        <v>86.294117647058826</v>
      </c>
      <c r="X44" s="260">
        <f t="shared" si="43"/>
        <v>8</v>
      </c>
      <c r="Y44" s="340"/>
      <c r="Z44" s="260">
        <v>17</v>
      </c>
      <c r="AA44" s="260">
        <v>1478</v>
      </c>
      <c r="AB44" s="262">
        <f t="shared" ref="AB44" si="61">AA44/Z44</f>
        <v>86.941176470588232</v>
      </c>
      <c r="AC44" s="260">
        <f t="shared" si="45"/>
        <v>7</v>
      </c>
      <c r="AD44" s="340"/>
      <c r="AE44" s="260">
        <v>16</v>
      </c>
      <c r="AF44" s="260">
        <v>1484</v>
      </c>
      <c r="AG44" s="262">
        <f t="shared" si="57"/>
        <v>92.75</v>
      </c>
      <c r="AH44" s="260">
        <f t="shared" si="47"/>
        <v>6</v>
      </c>
      <c r="AI44" s="340"/>
      <c r="AJ44" s="260">
        <v>16</v>
      </c>
      <c r="AK44" s="260">
        <v>1298</v>
      </c>
      <c r="AL44" s="262">
        <f t="shared" ref="AL44" si="62">AK44/AJ44</f>
        <v>81.125</v>
      </c>
      <c r="AM44" s="260">
        <f t="shared" si="49"/>
        <v>8</v>
      </c>
      <c r="AN44" s="340"/>
      <c r="AO44" s="260">
        <v>17</v>
      </c>
      <c r="AP44" s="260">
        <v>1479</v>
      </c>
      <c r="AQ44" s="262">
        <f t="shared" ref="AQ44:AQ45" si="63">AP44/AO44</f>
        <v>87</v>
      </c>
      <c r="AR44" s="260">
        <f t="shared" si="51"/>
        <v>7</v>
      </c>
      <c r="AS44" s="340"/>
      <c r="AT44" s="260">
        <v>17</v>
      </c>
      <c r="AU44" s="260">
        <v>1635</v>
      </c>
      <c r="AV44" s="262">
        <f t="shared" ref="AV44" si="64">AU44/AT44</f>
        <v>96.17647058823529</v>
      </c>
      <c r="AW44" s="260">
        <f t="shared" si="53"/>
        <v>6</v>
      </c>
      <c r="AX44" s="340"/>
    </row>
    <row r="45" spans="2:50">
      <c r="B45" s="341"/>
      <c r="C45" s="260">
        <v>16</v>
      </c>
      <c r="D45" s="260"/>
      <c r="E45" s="261"/>
      <c r="F45" s="261"/>
      <c r="G45" s="262"/>
      <c r="H45" s="343"/>
      <c r="I45" s="260"/>
      <c r="J45" s="260"/>
      <c r="K45" s="260"/>
      <c r="L45" s="343"/>
      <c r="M45" s="261"/>
      <c r="N45" s="345"/>
      <c r="O45" s="345"/>
      <c r="P45" s="260"/>
      <c r="Q45" s="260"/>
      <c r="R45" s="260"/>
      <c r="S45" s="260"/>
      <c r="T45" s="340"/>
      <c r="U45" s="260"/>
      <c r="V45" s="260"/>
      <c r="W45" s="262"/>
      <c r="X45" s="260"/>
      <c r="Y45" s="340"/>
      <c r="Z45" s="260"/>
      <c r="AA45" s="260"/>
      <c r="AB45" s="260"/>
      <c r="AC45" s="260"/>
      <c r="AD45" s="340"/>
      <c r="AE45" s="260"/>
      <c r="AF45" s="260"/>
      <c r="AG45" s="260"/>
      <c r="AH45" s="260"/>
      <c r="AI45" s="340"/>
      <c r="AJ45" s="260"/>
      <c r="AK45" s="260"/>
      <c r="AL45" s="260"/>
      <c r="AM45" s="260"/>
      <c r="AN45" s="340"/>
      <c r="AO45" s="260">
        <v>17</v>
      </c>
      <c r="AP45" s="260">
        <v>1468</v>
      </c>
      <c r="AQ45" s="262">
        <f t="shared" si="63"/>
        <v>86.352941176470594</v>
      </c>
      <c r="AR45" s="260">
        <f t="shared" si="51"/>
        <v>9</v>
      </c>
      <c r="AS45" s="340"/>
      <c r="AT45" s="260"/>
      <c r="AU45" s="260"/>
      <c r="AV45" s="262"/>
      <c r="AW45" s="260"/>
      <c r="AX45" s="340"/>
    </row>
    <row r="46" spans="2:50">
      <c r="B46" s="341"/>
      <c r="C46" s="260">
        <v>17</v>
      </c>
      <c r="D46" s="260"/>
      <c r="E46" s="260"/>
      <c r="F46" s="260"/>
      <c r="G46" s="260"/>
      <c r="H46" s="343"/>
      <c r="I46" s="260"/>
      <c r="J46" s="260"/>
      <c r="K46" s="260"/>
      <c r="L46" s="343"/>
      <c r="M46" s="261"/>
      <c r="N46" s="345"/>
      <c r="O46" s="345"/>
      <c r="P46" s="260"/>
      <c r="Q46" s="260"/>
      <c r="R46" s="260"/>
      <c r="S46" s="260"/>
      <c r="T46" s="340"/>
      <c r="U46" s="260"/>
      <c r="V46" s="260"/>
      <c r="W46" s="262"/>
      <c r="X46" s="260"/>
      <c r="Y46" s="340"/>
      <c r="Z46" s="260"/>
      <c r="AA46" s="260"/>
      <c r="AB46" s="260"/>
      <c r="AC46" s="260"/>
      <c r="AD46" s="340"/>
      <c r="AE46" s="260"/>
      <c r="AF46" s="260"/>
      <c r="AG46" s="260"/>
      <c r="AH46" s="260"/>
      <c r="AI46" s="340"/>
      <c r="AJ46" s="260"/>
      <c r="AK46" s="260"/>
      <c r="AL46" s="260"/>
      <c r="AM46" s="260"/>
      <c r="AN46" s="340"/>
      <c r="AO46" s="260"/>
      <c r="AP46" s="260"/>
      <c r="AQ46" s="260"/>
      <c r="AR46" s="260"/>
      <c r="AS46" s="340"/>
      <c r="AT46" s="260"/>
      <c r="AU46" s="260"/>
      <c r="AV46" s="262"/>
      <c r="AW46" s="260"/>
      <c r="AX46" s="340"/>
    </row>
    <row r="47" spans="2:50">
      <c r="B47" s="341"/>
      <c r="C47" s="260">
        <v>18</v>
      </c>
      <c r="D47" s="260"/>
      <c r="E47" s="260"/>
      <c r="F47" s="260"/>
      <c r="G47" s="260"/>
      <c r="H47" s="344"/>
      <c r="I47" s="260"/>
      <c r="J47" s="260"/>
      <c r="K47" s="260"/>
      <c r="L47" s="344"/>
      <c r="M47" s="261"/>
      <c r="N47" s="345"/>
      <c r="O47" s="345"/>
      <c r="P47" s="260"/>
      <c r="Q47" s="260"/>
      <c r="R47" s="260"/>
      <c r="S47" s="260"/>
      <c r="T47" s="340"/>
      <c r="U47" s="260"/>
      <c r="V47" s="260"/>
      <c r="W47" s="262"/>
      <c r="X47" s="260"/>
      <c r="Y47" s="340"/>
      <c r="Z47" s="260"/>
      <c r="AA47" s="260"/>
      <c r="AB47" s="260"/>
      <c r="AC47" s="260"/>
      <c r="AD47" s="340"/>
      <c r="AE47" s="260"/>
      <c r="AF47" s="260"/>
      <c r="AG47" s="260"/>
      <c r="AH47" s="260"/>
      <c r="AI47" s="340"/>
      <c r="AJ47" s="260"/>
      <c r="AK47" s="260"/>
      <c r="AL47" s="260"/>
      <c r="AM47" s="260"/>
      <c r="AN47" s="340"/>
      <c r="AO47" s="260"/>
      <c r="AP47" s="260"/>
      <c r="AQ47" s="260"/>
      <c r="AR47" s="260"/>
      <c r="AS47" s="340"/>
      <c r="AT47" s="260"/>
      <c r="AU47" s="260"/>
      <c r="AV47" s="262"/>
      <c r="AW47" s="260"/>
      <c r="AX47" s="340"/>
    </row>
    <row r="48" spans="2:50" ht="15.75">
      <c r="B48" s="360" t="s">
        <v>86</v>
      </c>
      <c r="C48" s="361"/>
      <c r="D48" s="361"/>
      <c r="E48" s="361"/>
      <c r="F48" s="361"/>
      <c r="G48" s="361"/>
      <c r="H48" s="361"/>
      <c r="I48" s="265"/>
      <c r="J48" s="254"/>
      <c r="K48" s="265"/>
      <c r="L48" s="265"/>
      <c r="M48" s="255"/>
      <c r="N48" s="354" t="s">
        <v>87</v>
      </c>
      <c r="O48" s="354" t="s">
        <v>45</v>
      </c>
      <c r="P48" s="349">
        <v>45909</v>
      </c>
      <c r="Q48" s="341"/>
      <c r="R48" s="341"/>
      <c r="S48" s="341"/>
      <c r="T48" s="341"/>
      <c r="U48" s="349">
        <v>45910</v>
      </c>
      <c r="V48" s="341"/>
      <c r="W48" s="341"/>
      <c r="X48" s="341"/>
      <c r="Y48" s="341"/>
      <c r="Z48" s="349">
        <v>45911</v>
      </c>
      <c r="AA48" s="341"/>
      <c r="AB48" s="341"/>
      <c r="AC48" s="341"/>
      <c r="AD48" s="341"/>
      <c r="AE48" s="349">
        <v>45912</v>
      </c>
      <c r="AF48" s="341"/>
      <c r="AG48" s="341"/>
      <c r="AH48" s="341"/>
      <c r="AI48" s="341"/>
      <c r="AJ48" s="349">
        <v>45913</v>
      </c>
      <c r="AK48" s="341"/>
      <c r="AL48" s="341"/>
      <c r="AM48" s="341"/>
      <c r="AN48" s="341"/>
      <c r="AO48" s="349">
        <v>45914</v>
      </c>
      <c r="AP48" s="341"/>
      <c r="AQ48" s="341"/>
      <c r="AR48" s="341"/>
      <c r="AS48" s="341"/>
      <c r="AT48" s="349">
        <v>45915</v>
      </c>
      <c r="AU48" s="341"/>
      <c r="AV48" s="341"/>
      <c r="AW48" s="341"/>
      <c r="AX48" s="341"/>
    </row>
    <row r="49" spans="2:50" ht="15.75">
      <c r="B49" s="359"/>
      <c r="C49" s="359"/>
      <c r="D49" s="359"/>
      <c r="E49" s="359"/>
      <c r="F49" s="359"/>
      <c r="G49" s="359"/>
      <c r="H49" s="359"/>
      <c r="I49" s="256"/>
      <c r="J49" s="256"/>
      <c r="K49" s="256"/>
      <c r="L49" s="256"/>
      <c r="M49" s="257"/>
      <c r="N49" s="356"/>
      <c r="O49" s="356"/>
      <c r="P49" s="349" t="s">
        <v>57</v>
      </c>
      <c r="Q49" s="341"/>
      <c r="R49" s="341"/>
      <c r="S49" s="341"/>
      <c r="T49" s="341"/>
      <c r="U49" s="349" t="s">
        <v>58</v>
      </c>
      <c r="V49" s="341"/>
      <c r="W49" s="341"/>
      <c r="X49" s="341"/>
      <c r="Y49" s="341"/>
      <c r="Z49" s="349" t="s">
        <v>59</v>
      </c>
      <c r="AA49" s="341"/>
      <c r="AB49" s="341"/>
      <c r="AC49" s="341"/>
      <c r="AD49" s="341"/>
      <c r="AE49" s="349" t="s">
        <v>60</v>
      </c>
      <c r="AF49" s="341"/>
      <c r="AG49" s="341"/>
      <c r="AH49" s="341"/>
      <c r="AI49" s="341"/>
      <c r="AJ49" s="349" t="s">
        <v>61</v>
      </c>
      <c r="AK49" s="341"/>
      <c r="AL49" s="341"/>
      <c r="AM49" s="341"/>
      <c r="AN49" s="341"/>
      <c r="AO49" s="349" t="s">
        <v>52</v>
      </c>
      <c r="AP49" s="341"/>
      <c r="AQ49" s="341"/>
      <c r="AR49" s="341"/>
      <c r="AS49" s="341"/>
      <c r="AT49" s="349" t="s">
        <v>56</v>
      </c>
      <c r="AU49" s="341"/>
      <c r="AV49" s="341"/>
      <c r="AW49" s="341"/>
      <c r="AX49" s="341"/>
    </row>
    <row r="50" spans="2:50">
      <c r="B50" s="345" t="s">
        <v>88</v>
      </c>
      <c r="C50" s="345" t="s">
        <v>89</v>
      </c>
      <c r="D50" s="345"/>
      <c r="E50" s="345" t="s">
        <v>90</v>
      </c>
      <c r="F50" s="345"/>
      <c r="G50" s="345"/>
      <c r="H50" s="351" t="s">
        <v>91</v>
      </c>
      <c r="I50" s="345" t="s">
        <v>92</v>
      </c>
      <c r="J50" s="345"/>
      <c r="K50" s="345"/>
      <c r="L50" s="351" t="s">
        <v>91</v>
      </c>
      <c r="M50" s="354" t="s">
        <v>93</v>
      </c>
      <c r="N50" s="345"/>
      <c r="O50" s="345" t="s">
        <v>94</v>
      </c>
      <c r="P50" s="346" t="s">
        <v>95</v>
      </c>
      <c r="Q50" s="347"/>
      <c r="R50" s="347"/>
      <c r="S50" s="348"/>
      <c r="T50" s="345" t="s">
        <v>91</v>
      </c>
      <c r="U50" s="346" t="s">
        <v>95</v>
      </c>
      <c r="V50" s="347"/>
      <c r="W50" s="347"/>
      <c r="X50" s="348"/>
      <c r="Y50" s="345" t="s">
        <v>91</v>
      </c>
      <c r="Z50" s="346" t="s">
        <v>95</v>
      </c>
      <c r="AA50" s="347"/>
      <c r="AB50" s="347"/>
      <c r="AC50" s="348"/>
      <c r="AD50" s="345" t="s">
        <v>91</v>
      </c>
      <c r="AE50" s="346" t="s">
        <v>95</v>
      </c>
      <c r="AF50" s="347"/>
      <c r="AG50" s="347"/>
      <c r="AH50" s="348"/>
      <c r="AI50" s="345" t="s">
        <v>91</v>
      </c>
      <c r="AJ50" s="346" t="s">
        <v>95</v>
      </c>
      <c r="AK50" s="347"/>
      <c r="AL50" s="347"/>
      <c r="AM50" s="348"/>
      <c r="AN50" s="345" t="s">
        <v>91</v>
      </c>
      <c r="AO50" s="346" t="s">
        <v>95</v>
      </c>
      <c r="AP50" s="347"/>
      <c r="AQ50" s="347"/>
      <c r="AR50" s="348"/>
      <c r="AS50" s="345" t="s">
        <v>91</v>
      </c>
      <c r="AT50" s="346" t="s">
        <v>95</v>
      </c>
      <c r="AU50" s="347"/>
      <c r="AV50" s="347"/>
      <c r="AW50" s="348"/>
      <c r="AX50" s="345" t="s">
        <v>91</v>
      </c>
    </row>
    <row r="51" spans="2:50">
      <c r="B51" s="345"/>
      <c r="C51" s="345"/>
      <c r="D51" s="345"/>
      <c r="E51" s="345" t="s">
        <v>96</v>
      </c>
      <c r="F51" s="345"/>
      <c r="G51" s="345"/>
      <c r="H51" s="352"/>
      <c r="I51" s="345" t="s">
        <v>96</v>
      </c>
      <c r="J51" s="345"/>
      <c r="K51" s="345"/>
      <c r="L51" s="352"/>
      <c r="M51" s="355"/>
      <c r="N51" s="345"/>
      <c r="O51" s="345"/>
      <c r="P51" s="346" t="s">
        <v>97</v>
      </c>
      <c r="Q51" s="347"/>
      <c r="R51" s="347"/>
      <c r="S51" s="348"/>
      <c r="T51" s="345"/>
      <c r="U51" s="346" t="s">
        <v>97</v>
      </c>
      <c r="V51" s="347"/>
      <c r="W51" s="347"/>
      <c r="X51" s="348"/>
      <c r="Y51" s="345"/>
      <c r="Z51" s="346" t="s">
        <v>97</v>
      </c>
      <c r="AA51" s="347"/>
      <c r="AB51" s="347"/>
      <c r="AC51" s="348"/>
      <c r="AD51" s="345"/>
      <c r="AE51" s="346" t="s">
        <v>97</v>
      </c>
      <c r="AF51" s="347"/>
      <c r="AG51" s="347"/>
      <c r="AH51" s="348"/>
      <c r="AI51" s="345"/>
      <c r="AJ51" s="346" t="s">
        <v>97</v>
      </c>
      <c r="AK51" s="347"/>
      <c r="AL51" s="347"/>
      <c r="AM51" s="348"/>
      <c r="AN51" s="345"/>
      <c r="AO51" s="346" t="s">
        <v>97</v>
      </c>
      <c r="AP51" s="347"/>
      <c r="AQ51" s="347"/>
      <c r="AR51" s="348"/>
      <c r="AS51" s="345"/>
      <c r="AT51" s="346" t="s">
        <v>97</v>
      </c>
      <c r="AU51" s="347"/>
      <c r="AV51" s="347"/>
      <c r="AW51" s="348"/>
      <c r="AX51" s="345"/>
    </row>
    <row r="52" spans="2:50">
      <c r="B52" s="345"/>
      <c r="C52" s="345"/>
      <c r="D52" s="345"/>
      <c r="E52" s="259" t="s">
        <v>98</v>
      </c>
      <c r="F52" s="259" t="s">
        <v>99</v>
      </c>
      <c r="G52" s="259" t="s">
        <v>100</v>
      </c>
      <c r="H52" s="353"/>
      <c r="I52" s="259" t="s">
        <v>98</v>
      </c>
      <c r="J52" s="259" t="s">
        <v>99</v>
      </c>
      <c r="K52" s="259" t="s">
        <v>100</v>
      </c>
      <c r="L52" s="353"/>
      <c r="M52" s="356"/>
      <c r="N52" s="345"/>
      <c r="O52" s="345"/>
      <c r="P52" s="259" t="s">
        <v>98</v>
      </c>
      <c r="Q52" s="259" t="s">
        <v>99</v>
      </c>
      <c r="R52" s="259" t="s">
        <v>100</v>
      </c>
      <c r="S52" s="259" t="s">
        <v>93</v>
      </c>
      <c r="T52" s="345"/>
      <c r="U52" s="259" t="s">
        <v>98</v>
      </c>
      <c r="V52" s="259" t="s">
        <v>99</v>
      </c>
      <c r="W52" s="259" t="s">
        <v>100</v>
      </c>
      <c r="X52" s="259" t="s">
        <v>93</v>
      </c>
      <c r="Y52" s="345"/>
      <c r="Z52" s="259" t="s">
        <v>98</v>
      </c>
      <c r="AA52" s="259" t="s">
        <v>99</v>
      </c>
      <c r="AB52" s="259" t="s">
        <v>100</v>
      </c>
      <c r="AC52" s="259" t="s">
        <v>93</v>
      </c>
      <c r="AD52" s="345"/>
      <c r="AE52" s="259" t="s">
        <v>98</v>
      </c>
      <c r="AF52" s="259" t="s">
        <v>99</v>
      </c>
      <c r="AG52" s="259" t="s">
        <v>100</v>
      </c>
      <c r="AH52" s="259" t="s">
        <v>93</v>
      </c>
      <c r="AI52" s="345"/>
      <c r="AJ52" s="259" t="s">
        <v>98</v>
      </c>
      <c r="AK52" s="259" t="s">
        <v>99</v>
      </c>
      <c r="AL52" s="259" t="s">
        <v>100</v>
      </c>
      <c r="AM52" s="259" t="s">
        <v>93</v>
      </c>
      <c r="AN52" s="345"/>
      <c r="AO52" s="259" t="s">
        <v>98</v>
      </c>
      <c r="AP52" s="259" t="s">
        <v>99</v>
      </c>
      <c r="AQ52" s="259" t="s">
        <v>100</v>
      </c>
      <c r="AR52" s="259" t="s">
        <v>93</v>
      </c>
      <c r="AS52" s="345"/>
      <c r="AT52" s="259" t="s">
        <v>98</v>
      </c>
      <c r="AU52" s="259" t="s">
        <v>99</v>
      </c>
      <c r="AV52" s="259" t="s">
        <v>100</v>
      </c>
      <c r="AW52" s="259" t="s">
        <v>93</v>
      </c>
      <c r="AX52" s="345"/>
    </row>
    <row r="53" spans="2:50" ht="13.5">
      <c r="B53" s="341" t="s">
        <v>101</v>
      </c>
      <c r="C53" s="260">
        <v>1</v>
      </c>
      <c r="D53" s="264" t="s">
        <v>102</v>
      </c>
      <c r="E53" s="261">
        <f>VLOOKUP(D53,'09產線配置圖'!$A$2:$C$25,2,0)</f>
        <v>12</v>
      </c>
      <c r="F53" s="261">
        <f>VLOOKUP(D53,'09產線配置圖'!$A$2:$C$25,3,0)</f>
        <v>2000</v>
      </c>
      <c r="G53" s="262">
        <f>F53/E53</f>
        <v>166.66666666666666</v>
      </c>
      <c r="H53" s="342">
        <f>AVERAGE(G53:G67)</f>
        <v>107.65415751545781</v>
      </c>
      <c r="I53" s="261">
        <f>AVERAGE(P53,U53,Z53,AE53,AJ53,AO53,AT53)</f>
        <v>12</v>
      </c>
      <c r="J53" s="261">
        <f>AVERAGE(Q53,V53,AA53,AF53,AK53,AP53,AU53)</f>
        <v>1785.6428571428571</v>
      </c>
      <c r="K53" s="262">
        <f>AVERAGE(R53,W53,AB53,AG53,AL53,AQ53,AV53)</f>
        <v>148.80357142857142</v>
      </c>
      <c r="L53" s="342">
        <f>IFERROR(AVERAGE(K53:K67),"-")</f>
        <v>96.215654382382326</v>
      </c>
      <c r="M53" s="261">
        <f>RANK(K53, K$53:$K$67)</f>
        <v>1</v>
      </c>
      <c r="N53" s="345"/>
      <c r="O53" s="345"/>
      <c r="P53" s="261">
        <v>12</v>
      </c>
      <c r="Q53" s="261">
        <v>1873</v>
      </c>
      <c r="R53" s="262">
        <f>Q53/P53</f>
        <v>156.08333333333334</v>
      </c>
      <c r="S53" s="260">
        <f>RANK(R53, $R$53:$R$67)</f>
        <v>1</v>
      </c>
      <c r="T53" s="340">
        <f>AVERAGE(R53:R67)</f>
        <v>96.963414853120739</v>
      </c>
      <c r="U53" s="261">
        <v>12</v>
      </c>
      <c r="V53" s="261">
        <v>1787.5</v>
      </c>
      <c r="W53" s="262">
        <f>V53/U53</f>
        <v>148.95833333333334</v>
      </c>
      <c r="X53" s="260">
        <f>RANK(W53,$W$53:$W$67)</f>
        <v>1</v>
      </c>
      <c r="Y53" s="340">
        <f>AVERAGE(W53:W67)</f>
        <v>96.278128110218447</v>
      </c>
      <c r="Z53" s="261">
        <v>12</v>
      </c>
      <c r="AA53" s="261">
        <v>1805</v>
      </c>
      <c r="AB53" s="262">
        <f>AA53/Z53</f>
        <v>150.41666666666666</v>
      </c>
      <c r="AC53" s="260">
        <f>RANK(AB53, $AB$53:$AB$67)</f>
        <v>1</v>
      </c>
      <c r="AD53" s="340">
        <f>AVERAGE(AB53:AB67)</f>
        <v>95.680443331178594</v>
      </c>
      <c r="AE53" s="261">
        <v>12</v>
      </c>
      <c r="AF53" s="261">
        <v>1740</v>
      </c>
      <c r="AG53" s="262">
        <f>AF53/AE53</f>
        <v>145</v>
      </c>
      <c r="AH53" s="260">
        <f>RANK(AG53, $AG$53:$AG$67)</f>
        <v>2</v>
      </c>
      <c r="AI53" s="340">
        <f>AVERAGE(AG53:AG67)</f>
        <v>96.492545881989159</v>
      </c>
      <c r="AJ53" s="261">
        <v>12</v>
      </c>
      <c r="AK53" s="261">
        <v>1814</v>
      </c>
      <c r="AL53" s="262">
        <f>AK53/AJ53</f>
        <v>151.16666666666666</v>
      </c>
      <c r="AM53" s="260">
        <f>RANK(AL53,$AL$53:$AL$67)</f>
        <v>1</v>
      </c>
      <c r="AN53" s="340">
        <f>AVERAGE(AL53:AL67)</f>
        <v>96.599354100614605</v>
      </c>
      <c r="AO53" s="261">
        <v>12</v>
      </c>
      <c r="AP53" s="261">
        <v>1619</v>
      </c>
      <c r="AQ53" s="262">
        <f>AP53/AO53</f>
        <v>134.91666666666666</v>
      </c>
      <c r="AR53" s="260">
        <f>RANK(AQ53,$AQ$53:$AQ$67)</f>
        <v>3</v>
      </c>
      <c r="AS53" s="340">
        <f>AVERAGE(AQ53:AQ67)</f>
        <v>94.717584662069953</v>
      </c>
      <c r="AT53" s="261">
        <v>12</v>
      </c>
      <c r="AU53" s="261">
        <v>1861</v>
      </c>
      <c r="AV53" s="262">
        <f>AU53/AT53</f>
        <v>155.08333333333334</v>
      </c>
      <c r="AW53" s="260">
        <f>RANK(AV53,$AV$53:$AV$67)</f>
        <v>1</v>
      </c>
      <c r="AX53" s="340">
        <f>AVERAGE(AV53:AV67)</f>
        <v>96.778109737484741</v>
      </c>
    </row>
    <row r="54" spans="2:50">
      <c r="B54" s="341"/>
      <c r="C54" s="260">
        <v>2</v>
      </c>
      <c r="D54" s="260" t="s">
        <v>103</v>
      </c>
      <c r="E54" s="261">
        <f>VLOOKUP(D54,'09產線配置圖'!$A$2:$C$25,2,0)</f>
        <v>13</v>
      </c>
      <c r="F54" s="261">
        <f>VLOOKUP(D54,'09產線配置圖'!$A$2:$C$25,3,0)</f>
        <v>2000</v>
      </c>
      <c r="G54" s="262">
        <f t="shared" ref="G54:G67" si="65">F54/E54</f>
        <v>153.84615384615384</v>
      </c>
      <c r="H54" s="343"/>
      <c r="I54" s="261">
        <f t="shared" ref="I54:K67" si="66">AVERAGE(P54,U54,Z54,AE54,AJ54,AO54,AT54)</f>
        <v>13</v>
      </c>
      <c r="J54" s="261">
        <f t="shared" si="66"/>
        <v>1868.7142857142858</v>
      </c>
      <c r="K54" s="262">
        <f t="shared" si="66"/>
        <v>143.74725274725273</v>
      </c>
      <c r="L54" s="343"/>
      <c r="M54" s="261">
        <f>RANK(K54, K$53:$K$67)</f>
        <v>2</v>
      </c>
      <c r="N54" s="345"/>
      <c r="O54" s="345"/>
      <c r="P54" s="261">
        <v>13</v>
      </c>
      <c r="Q54" s="261">
        <v>1914</v>
      </c>
      <c r="R54" s="262">
        <f t="shared" ref="R54:R62" si="67">Q54/P54</f>
        <v>147.23076923076923</v>
      </c>
      <c r="S54" s="260">
        <f t="shared" ref="S54:S66" si="68">RANK(R54, $R$53:$R$67)</f>
        <v>2</v>
      </c>
      <c r="T54" s="340"/>
      <c r="U54" s="261">
        <v>13</v>
      </c>
      <c r="V54" s="261">
        <v>1903</v>
      </c>
      <c r="W54" s="262">
        <f t="shared" ref="W54:W62" si="69">V54/U54</f>
        <v>146.38461538461539</v>
      </c>
      <c r="X54" s="260">
        <f t="shared" ref="X54:X65" si="70">RANK(W54,$W$53:$W$67)</f>
        <v>2</v>
      </c>
      <c r="Y54" s="340"/>
      <c r="Z54" s="261">
        <v>13</v>
      </c>
      <c r="AA54" s="261">
        <v>1889</v>
      </c>
      <c r="AB54" s="262">
        <f t="shared" ref="AB54:AB62" si="71">AA54/Z54</f>
        <v>145.30769230769232</v>
      </c>
      <c r="AC54" s="260">
        <f t="shared" ref="AC54:AC67" si="72">RANK(AB54, $AB$53:$AB$67)</f>
        <v>2</v>
      </c>
      <c r="AD54" s="340"/>
      <c r="AE54" s="261">
        <v>13</v>
      </c>
      <c r="AF54" s="261">
        <v>1911</v>
      </c>
      <c r="AG54" s="262">
        <f t="shared" ref="AG54:AG62" si="73">AF54/AE54</f>
        <v>147</v>
      </c>
      <c r="AH54" s="260">
        <f t="shared" ref="AH54:AH67" si="74">RANK(AG54, $AG$53:$AG$67)</f>
        <v>1</v>
      </c>
      <c r="AI54" s="340"/>
      <c r="AJ54" s="261">
        <v>13</v>
      </c>
      <c r="AK54" s="261">
        <v>1741</v>
      </c>
      <c r="AL54" s="262">
        <f t="shared" ref="AL54:AL62" si="75">AK54/AJ54</f>
        <v>133.92307692307693</v>
      </c>
      <c r="AM54" s="260">
        <f t="shared" ref="AM54:AM67" si="76">RANK(AL54,$AL$53:$AL$67)</f>
        <v>3</v>
      </c>
      <c r="AN54" s="340"/>
      <c r="AO54" s="261">
        <v>13</v>
      </c>
      <c r="AP54" s="261">
        <v>1859</v>
      </c>
      <c r="AQ54" s="262">
        <f t="shared" ref="AQ54:AQ62" si="77">AP54/AO54</f>
        <v>143</v>
      </c>
      <c r="AR54" s="260">
        <f t="shared" ref="AR54:AR67" si="78">RANK(AQ54,$AQ$53:$AQ$67)</f>
        <v>1</v>
      </c>
      <c r="AS54" s="340"/>
      <c r="AT54" s="261">
        <v>13</v>
      </c>
      <c r="AU54" s="261">
        <v>1864</v>
      </c>
      <c r="AV54" s="262">
        <f t="shared" ref="AV54:AV62" si="79">AU54/AT54</f>
        <v>143.38461538461539</v>
      </c>
      <c r="AW54" s="260">
        <f t="shared" ref="AW54:AW67" si="80">RANK(AV54,$AV$53:$AV$67)</f>
        <v>2</v>
      </c>
      <c r="AX54" s="340"/>
    </row>
    <row r="55" spans="2:50">
      <c r="B55" s="341"/>
      <c r="C55" s="260">
        <v>3</v>
      </c>
      <c r="D55" s="260" t="s">
        <v>104</v>
      </c>
      <c r="E55" s="261">
        <f>VLOOKUP(D55,'09產線配置圖'!$A$2:$C$25,2,0)</f>
        <v>16</v>
      </c>
      <c r="F55" s="261">
        <f>VLOOKUP(D55,'09產線配置圖'!$A$2:$C$25,3,0)</f>
        <v>1915</v>
      </c>
      <c r="G55" s="262">
        <f t="shared" si="65"/>
        <v>119.6875</v>
      </c>
      <c r="H55" s="343"/>
      <c r="I55" s="261">
        <f t="shared" si="66"/>
        <v>16</v>
      </c>
      <c r="J55" s="261">
        <f t="shared" si="66"/>
        <v>1677.8571428571429</v>
      </c>
      <c r="K55" s="262">
        <f t="shared" si="66"/>
        <v>104.86607142857143</v>
      </c>
      <c r="L55" s="343"/>
      <c r="M55" s="261">
        <f>RANK(K55, K$53:$K$67)</f>
        <v>5</v>
      </c>
      <c r="N55" s="345"/>
      <c r="O55" s="345"/>
      <c r="P55" s="261">
        <v>16</v>
      </c>
      <c r="Q55" s="261">
        <v>1695</v>
      </c>
      <c r="R55" s="262">
        <f t="shared" si="67"/>
        <v>105.9375</v>
      </c>
      <c r="S55" s="260">
        <f t="shared" si="68"/>
        <v>5</v>
      </c>
      <c r="T55" s="340"/>
      <c r="U55" s="261">
        <v>16</v>
      </c>
      <c r="V55" s="261">
        <v>1620</v>
      </c>
      <c r="W55" s="262">
        <f t="shared" si="69"/>
        <v>101.25</v>
      </c>
      <c r="X55" s="260">
        <f t="shared" si="70"/>
        <v>6</v>
      </c>
      <c r="Y55" s="340"/>
      <c r="Z55" s="261">
        <v>16</v>
      </c>
      <c r="AA55" s="261">
        <v>1685</v>
      </c>
      <c r="AB55" s="262">
        <f t="shared" si="71"/>
        <v>105.3125</v>
      </c>
      <c r="AC55" s="260">
        <f t="shared" si="72"/>
        <v>5</v>
      </c>
      <c r="AD55" s="340"/>
      <c r="AE55" s="261">
        <v>16</v>
      </c>
      <c r="AF55" s="261">
        <v>1679</v>
      </c>
      <c r="AG55" s="262">
        <f t="shared" si="73"/>
        <v>104.9375</v>
      </c>
      <c r="AH55" s="260">
        <f t="shared" si="74"/>
        <v>4</v>
      </c>
      <c r="AI55" s="340"/>
      <c r="AJ55" s="261">
        <v>16</v>
      </c>
      <c r="AK55" s="261">
        <v>1680</v>
      </c>
      <c r="AL55" s="262">
        <f t="shared" si="75"/>
        <v>105</v>
      </c>
      <c r="AM55" s="260">
        <f t="shared" si="76"/>
        <v>4</v>
      </c>
      <c r="AN55" s="340"/>
      <c r="AO55" s="261">
        <v>16</v>
      </c>
      <c r="AP55" s="261">
        <v>1707</v>
      </c>
      <c r="AQ55" s="262">
        <f t="shared" si="77"/>
        <v>106.6875</v>
      </c>
      <c r="AR55" s="260">
        <f t="shared" si="78"/>
        <v>5</v>
      </c>
      <c r="AS55" s="340"/>
      <c r="AT55" s="261">
        <v>16</v>
      </c>
      <c r="AU55" s="261">
        <v>1679</v>
      </c>
      <c r="AV55" s="262">
        <f t="shared" si="79"/>
        <v>104.9375</v>
      </c>
      <c r="AW55" s="260">
        <f t="shared" si="80"/>
        <v>5</v>
      </c>
      <c r="AX55" s="340"/>
    </row>
    <row r="56" spans="2:50">
      <c r="B56" s="341"/>
      <c r="C56" s="260">
        <v>4</v>
      </c>
      <c r="D56" s="260" t="s">
        <v>105</v>
      </c>
      <c r="E56" s="261">
        <f>VLOOKUP(D56,'09產線配置圖'!$A$2:$C$25,2,0)</f>
        <v>18</v>
      </c>
      <c r="F56" s="261">
        <f>VLOOKUP(D56,'09產線配置圖'!$A$2:$C$25,3,0)</f>
        <v>1565</v>
      </c>
      <c r="G56" s="262">
        <f t="shared" si="65"/>
        <v>86.944444444444443</v>
      </c>
      <c r="H56" s="343"/>
      <c r="I56" s="261">
        <f t="shared" si="66"/>
        <v>18</v>
      </c>
      <c r="J56" s="261">
        <f t="shared" si="66"/>
        <v>1531.6428571428571</v>
      </c>
      <c r="K56" s="262">
        <f t="shared" si="66"/>
        <v>85.091269841269835</v>
      </c>
      <c r="L56" s="343"/>
      <c r="M56" s="261">
        <f>RANK(K56, K$53:$K$67)</f>
        <v>9</v>
      </c>
      <c r="N56" s="345"/>
      <c r="O56" s="345"/>
      <c r="P56" s="261">
        <v>18</v>
      </c>
      <c r="Q56" s="261">
        <v>1550</v>
      </c>
      <c r="R56" s="262">
        <f t="shared" si="67"/>
        <v>86.111111111111114</v>
      </c>
      <c r="S56" s="260">
        <f t="shared" si="68"/>
        <v>7</v>
      </c>
      <c r="T56" s="340"/>
      <c r="U56" s="261">
        <v>18</v>
      </c>
      <c r="V56" s="261">
        <v>1524.5</v>
      </c>
      <c r="W56" s="262">
        <f t="shared" si="69"/>
        <v>84.694444444444443</v>
      </c>
      <c r="X56" s="260">
        <f t="shared" si="70"/>
        <v>8</v>
      </c>
      <c r="Y56" s="340"/>
      <c r="Z56" s="261">
        <v>18</v>
      </c>
      <c r="AA56" s="261">
        <v>1558.5</v>
      </c>
      <c r="AB56" s="262">
        <f t="shared" si="71"/>
        <v>86.583333333333329</v>
      </c>
      <c r="AC56" s="260">
        <f t="shared" si="72"/>
        <v>9</v>
      </c>
      <c r="AD56" s="340"/>
      <c r="AE56" s="261">
        <v>18</v>
      </c>
      <c r="AF56" s="261">
        <v>1516.5</v>
      </c>
      <c r="AG56" s="262">
        <f t="shared" si="73"/>
        <v>84.25</v>
      </c>
      <c r="AH56" s="260">
        <f t="shared" si="74"/>
        <v>9</v>
      </c>
      <c r="AI56" s="340"/>
      <c r="AJ56" s="261">
        <v>18</v>
      </c>
      <c r="AK56" s="261">
        <v>1504</v>
      </c>
      <c r="AL56" s="262">
        <f t="shared" si="75"/>
        <v>83.555555555555557</v>
      </c>
      <c r="AM56" s="260">
        <f t="shared" si="76"/>
        <v>8</v>
      </c>
      <c r="AN56" s="340"/>
      <c r="AO56" s="261">
        <v>18</v>
      </c>
      <c r="AP56" s="261">
        <v>1513</v>
      </c>
      <c r="AQ56" s="262">
        <f t="shared" si="77"/>
        <v>84.055555555555557</v>
      </c>
      <c r="AR56" s="260">
        <f t="shared" si="78"/>
        <v>8</v>
      </c>
      <c r="AS56" s="340"/>
      <c r="AT56" s="261">
        <v>18</v>
      </c>
      <c r="AU56" s="261">
        <v>1555</v>
      </c>
      <c r="AV56" s="262">
        <f t="shared" si="79"/>
        <v>86.388888888888886</v>
      </c>
      <c r="AW56" s="260">
        <f t="shared" si="80"/>
        <v>9</v>
      </c>
      <c r="AX56" s="340"/>
    </row>
    <row r="57" spans="2:50">
      <c r="B57" s="341"/>
      <c r="C57" s="260">
        <v>5</v>
      </c>
      <c r="D57" s="260" t="s">
        <v>106</v>
      </c>
      <c r="E57" s="261">
        <f>VLOOKUP(D57,'09產線配置圖'!$A$2:$C$25,2,0)</f>
        <v>13</v>
      </c>
      <c r="F57" s="261">
        <f>VLOOKUP(D57,'09產線配置圖'!$A$2:$C$25,3,0)</f>
        <v>2000</v>
      </c>
      <c r="G57" s="262">
        <f t="shared" si="65"/>
        <v>153.84615384615384</v>
      </c>
      <c r="H57" s="343"/>
      <c r="I57" s="261">
        <f t="shared" si="66"/>
        <v>13</v>
      </c>
      <c r="J57" s="261">
        <f t="shared" si="66"/>
        <v>1782.4285714285713</v>
      </c>
      <c r="K57" s="262">
        <f t="shared" si="66"/>
        <v>137.10989010989013</v>
      </c>
      <c r="L57" s="343"/>
      <c r="M57" s="261">
        <f>RANK(K57, K$53:$K$67)</f>
        <v>3</v>
      </c>
      <c r="N57" s="345"/>
      <c r="O57" s="345"/>
      <c r="P57" s="261">
        <v>13</v>
      </c>
      <c r="Q57" s="261">
        <v>1811</v>
      </c>
      <c r="R57" s="262">
        <f t="shared" si="67"/>
        <v>139.30769230769232</v>
      </c>
      <c r="S57" s="260">
        <f t="shared" si="68"/>
        <v>3</v>
      </c>
      <c r="T57" s="340"/>
      <c r="U57" s="261">
        <v>13</v>
      </c>
      <c r="V57" s="261">
        <v>1762</v>
      </c>
      <c r="W57" s="262">
        <f t="shared" si="69"/>
        <v>135.53846153846155</v>
      </c>
      <c r="X57" s="260">
        <f t="shared" si="70"/>
        <v>3</v>
      </c>
      <c r="Y57" s="340"/>
      <c r="Z57" s="261">
        <v>13</v>
      </c>
      <c r="AA57" s="261">
        <v>1771</v>
      </c>
      <c r="AB57" s="262">
        <f t="shared" si="71"/>
        <v>136.23076923076923</v>
      </c>
      <c r="AC57" s="260">
        <f t="shared" si="72"/>
        <v>3</v>
      </c>
      <c r="AD57" s="340"/>
      <c r="AE57" s="261">
        <v>13</v>
      </c>
      <c r="AF57" s="261">
        <v>1798</v>
      </c>
      <c r="AG57" s="262">
        <f t="shared" si="73"/>
        <v>138.30769230769232</v>
      </c>
      <c r="AH57" s="260">
        <f t="shared" si="74"/>
        <v>3</v>
      </c>
      <c r="AI57" s="340"/>
      <c r="AJ57" s="261">
        <v>13</v>
      </c>
      <c r="AK57" s="261">
        <v>1760</v>
      </c>
      <c r="AL57" s="262">
        <f t="shared" si="75"/>
        <v>135.38461538461539</v>
      </c>
      <c r="AM57" s="260">
        <f t="shared" si="76"/>
        <v>2</v>
      </c>
      <c r="AN57" s="340"/>
      <c r="AO57" s="261">
        <v>13</v>
      </c>
      <c r="AP57" s="261">
        <v>1776</v>
      </c>
      <c r="AQ57" s="262">
        <f t="shared" si="77"/>
        <v>136.61538461538461</v>
      </c>
      <c r="AR57" s="260">
        <f t="shared" si="78"/>
        <v>2</v>
      </c>
      <c r="AS57" s="340"/>
      <c r="AT57" s="261">
        <v>13</v>
      </c>
      <c r="AU57" s="261">
        <v>1799</v>
      </c>
      <c r="AV57" s="262">
        <f t="shared" si="79"/>
        <v>138.38461538461539</v>
      </c>
      <c r="AW57" s="260">
        <f t="shared" si="80"/>
        <v>3</v>
      </c>
      <c r="AX57" s="340"/>
    </row>
    <row r="58" spans="2:50">
      <c r="B58" s="341"/>
      <c r="C58" s="260">
        <v>6</v>
      </c>
      <c r="D58" s="260" t="s">
        <v>107</v>
      </c>
      <c r="E58" s="261">
        <f>VLOOKUP(D58,'09產線配置圖'!$A$2:$C$25,2,0)</f>
        <v>16</v>
      </c>
      <c r="F58" s="261">
        <f>VLOOKUP(D58,'09產線配置圖'!$A$2:$C$25,3,0)</f>
        <v>1895</v>
      </c>
      <c r="G58" s="262">
        <f t="shared" si="65"/>
        <v>118.4375</v>
      </c>
      <c r="H58" s="343"/>
      <c r="I58" s="261">
        <f t="shared" si="66"/>
        <v>15.428571428571429</v>
      </c>
      <c r="J58" s="261">
        <f t="shared" si="66"/>
        <v>1613</v>
      </c>
      <c r="K58" s="262">
        <f t="shared" si="66"/>
        <v>104.96590136054422</v>
      </c>
      <c r="L58" s="343"/>
      <c r="M58" s="261">
        <f>RANK(K58, K$53:$K$67)</f>
        <v>4</v>
      </c>
      <c r="N58" s="345"/>
      <c r="O58" s="345"/>
      <c r="P58" s="261">
        <v>15</v>
      </c>
      <c r="Q58" s="261">
        <v>1731</v>
      </c>
      <c r="R58" s="262">
        <f t="shared" si="67"/>
        <v>115.4</v>
      </c>
      <c r="S58" s="260">
        <f t="shared" si="68"/>
        <v>4</v>
      </c>
      <c r="T58" s="340"/>
      <c r="U58" s="261">
        <v>14</v>
      </c>
      <c r="V58" s="261">
        <v>1650</v>
      </c>
      <c r="W58" s="262">
        <f t="shared" si="69"/>
        <v>117.85714285714286</v>
      </c>
      <c r="X58" s="260">
        <f t="shared" si="70"/>
        <v>4</v>
      </c>
      <c r="Y58" s="340"/>
      <c r="Z58" s="261">
        <v>16</v>
      </c>
      <c r="AA58" s="261">
        <v>1706</v>
      </c>
      <c r="AB58" s="262">
        <f t="shared" si="71"/>
        <v>106.625</v>
      </c>
      <c r="AC58" s="260">
        <f t="shared" si="72"/>
        <v>4</v>
      </c>
      <c r="AD58" s="340"/>
      <c r="AE58" s="261">
        <v>16</v>
      </c>
      <c r="AF58" s="261">
        <v>1628</v>
      </c>
      <c r="AG58" s="262">
        <f t="shared" si="73"/>
        <v>101.75</v>
      </c>
      <c r="AH58" s="260">
        <f t="shared" si="74"/>
        <v>5</v>
      </c>
      <c r="AI58" s="340"/>
      <c r="AJ58" s="261">
        <v>16</v>
      </c>
      <c r="AK58" s="261">
        <v>1168</v>
      </c>
      <c r="AL58" s="262">
        <f t="shared" si="75"/>
        <v>73</v>
      </c>
      <c r="AM58" s="260">
        <f t="shared" si="76"/>
        <v>13</v>
      </c>
      <c r="AN58" s="340"/>
      <c r="AO58" s="261">
        <v>15</v>
      </c>
      <c r="AP58" s="261">
        <v>1711</v>
      </c>
      <c r="AQ58" s="262">
        <f t="shared" si="77"/>
        <v>114.06666666666666</v>
      </c>
      <c r="AR58" s="260">
        <f t="shared" si="78"/>
        <v>4</v>
      </c>
      <c r="AS58" s="340"/>
      <c r="AT58" s="261">
        <v>16</v>
      </c>
      <c r="AU58" s="261">
        <v>1697</v>
      </c>
      <c r="AV58" s="262">
        <f t="shared" si="79"/>
        <v>106.0625</v>
      </c>
      <c r="AW58" s="260">
        <f t="shared" si="80"/>
        <v>4</v>
      </c>
      <c r="AX58" s="340"/>
    </row>
    <row r="59" spans="2:50">
      <c r="B59" s="341"/>
      <c r="C59" s="260">
        <v>7</v>
      </c>
      <c r="D59" s="260" t="s">
        <v>108</v>
      </c>
      <c r="E59" s="261">
        <f>VLOOKUP(D59,'09產線配置圖'!$A$2:$C$25,2,0)</f>
        <v>16</v>
      </c>
      <c r="F59" s="261">
        <f>VLOOKUP(D59,'09產線配置圖'!$A$2:$C$25,3,0)</f>
        <v>1552</v>
      </c>
      <c r="G59" s="262">
        <f t="shared" si="65"/>
        <v>97</v>
      </c>
      <c r="H59" s="343"/>
      <c r="I59" s="261"/>
      <c r="J59" s="261"/>
      <c r="K59" s="262"/>
      <c r="L59" s="343"/>
      <c r="M59" s="261"/>
      <c r="N59" s="345"/>
      <c r="O59" s="345"/>
      <c r="P59" s="261"/>
      <c r="Q59" s="261"/>
      <c r="R59" s="262"/>
      <c r="S59" s="260"/>
      <c r="T59" s="340"/>
      <c r="U59" s="261"/>
      <c r="V59" s="261"/>
      <c r="W59" s="262"/>
      <c r="X59" s="260"/>
      <c r="Y59" s="340"/>
      <c r="Z59" s="261"/>
      <c r="AA59" s="261"/>
      <c r="AB59" s="262"/>
      <c r="AC59" s="260"/>
      <c r="AD59" s="340"/>
      <c r="AE59" s="261"/>
      <c r="AF59" s="261"/>
      <c r="AG59" s="262"/>
      <c r="AH59" s="260"/>
      <c r="AI59" s="340"/>
      <c r="AJ59" s="261"/>
      <c r="AK59" s="261"/>
      <c r="AL59" s="262"/>
      <c r="AM59" s="260"/>
      <c r="AN59" s="340"/>
      <c r="AO59" s="261"/>
      <c r="AP59" s="261"/>
      <c r="AQ59" s="262"/>
      <c r="AR59" s="260"/>
      <c r="AS59" s="340"/>
      <c r="AT59" s="261"/>
      <c r="AU59" s="261"/>
      <c r="AV59" s="262"/>
      <c r="AW59" s="260"/>
      <c r="AX59" s="340"/>
    </row>
    <row r="60" spans="2:50">
      <c r="B60" s="341"/>
      <c r="C60" s="260">
        <v>8</v>
      </c>
      <c r="D60" s="260" t="s">
        <v>109</v>
      </c>
      <c r="E60" s="261">
        <f>VLOOKUP(D60,'09產線配置圖'!$A$2:$C$25,2,0)</f>
        <v>15</v>
      </c>
      <c r="F60" s="261">
        <f>VLOOKUP(D60,'09產線配置圖'!$A$2:$C$25,3,0)</f>
        <v>1565</v>
      </c>
      <c r="G60" s="262">
        <f t="shared" si="65"/>
        <v>104.33333333333333</v>
      </c>
      <c r="H60" s="343"/>
      <c r="I60" s="261">
        <f t="shared" si="66"/>
        <v>15.142857142857142</v>
      </c>
      <c r="J60" s="261">
        <f t="shared" si="66"/>
        <v>1565</v>
      </c>
      <c r="K60" s="262">
        <f t="shared" si="66"/>
        <v>103.34166666666667</v>
      </c>
      <c r="L60" s="343"/>
      <c r="M60" s="261">
        <f>RANK(K60, K$53:$K$67)</f>
        <v>6</v>
      </c>
      <c r="N60" s="345"/>
      <c r="O60" s="345"/>
      <c r="P60" s="261">
        <v>15</v>
      </c>
      <c r="Q60" s="261">
        <v>1564</v>
      </c>
      <c r="R60" s="262">
        <f t="shared" si="67"/>
        <v>104.26666666666667</v>
      </c>
      <c r="S60" s="260">
        <f t="shared" si="68"/>
        <v>6</v>
      </c>
      <c r="T60" s="340"/>
      <c r="U60" s="261">
        <v>16</v>
      </c>
      <c r="V60" s="261">
        <v>1666</v>
      </c>
      <c r="W60" s="262">
        <f t="shared" si="69"/>
        <v>104.125</v>
      </c>
      <c r="X60" s="260">
        <f t="shared" si="70"/>
        <v>5</v>
      </c>
      <c r="Y60" s="340"/>
      <c r="Z60" s="261">
        <v>15</v>
      </c>
      <c r="AA60" s="261">
        <v>1552</v>
      </c>
      <c r="AB60" s="262">
        <f t="shared" si="71"/>
        <v>103.46666666666667</v>
      </c>
      <c r="AC60" s="260">
        <f t="shared" si="72"/>
        <v>6</v>
      </c>
      <c r="AD60" s="340"/>
      <c r="AE60" s="261">
        <v>15</v>
      </c>
      <c r="AF60" s="261">
        <v>1515</v>
      </c>
      <c r="AG60" s="262">
        <f t="shared" si="73"/>
        <v>101</v>
      </c>
      <c r="AH60" s="260">
        <f t="shared" si="74"/>
        <v>6</v>
      </c>
      <c r="AI60" s="340"/>
      <c r="AJ60" s="261">
        <v>15</v>
      </c>
      <c r="AK60" s="261">
        <v>1564</v>
      </c>
      <c r="AL60" s="262">
        <f t="shared" si="75"/>
        <v>104.26666666666667</v>
      </c>
      <c r="AM60" s="260">
        <f t="shared" si="76"/>
        <v>5</v>
      </c>
      <c r="AN60" s="340"/>
      <c r="AO60" s="261">
        <v>15</v>
      </c>
      <c r="AP60" s="261">
        <v>1542</v>
      </c>
      <c r="AQ60" s="262">
        <f t="shared" si="77"/>
        <v>102.8</v>
      </c>
      <c r="AR60" s="260">
        <f t="shared" si="78"/>
        <v>6</v>
      </c>
      <c r="AS60" s="340"/>
      <c r="AT60" s="261">
        <v>15</v>
      </c>
      <c r="AU60" s="261">
        <v>1552</v>
      </c>
      <c r="AV60" s="262">
        <f t="shared" si="79"/>
        <v>103.46666666666667</v>
      </c>
      <c r="AW60" s="260">
        <f t="shared" si="80"/>
        <v>6</v>
      </c>
      <c r="AX60" s="340"/>
    </row>
    <row r="61" spans="2:50">
      <c r="B61" s="341"/>
      <c r="C61" s="260">
        <v>9</v>
      </c>
      <c r="D61" s="260" t="s">
        <v>110</v>
      </c>
      <c r="E61" s="261">
        <f>VLOOKUP(D61,'09產線配置圖'!$A$2:$C$25,2,0)</f>
        <v>16</v>
      </c>
      <c r="F61" s="261">
        <f>VLOOKUP(D61,'09產線配置圖'!$A$2:$C$25,3,0)</f>
        <v>1390</v>
      </c>
      <c r="G61" s="262">
        <f t="shared" si="65"/>
        <v>86.875</v>
      </c>
      <c r="H61" s="343"/>
      <c r="I61" s="261">
        <f t="shared" si="66"/>
        <v>14.857142857142858</v>
      </c>
      <c r="J61" s="261">
        <f t="shared" si="66"/>
        <v>986.42857142857144</v>
      </c>
      <c r="K61" s="262">
        <f t="shared" si="66"/>
        <v>66.825503663003659</v>
      </c>
      <c r="L61" s="343"/>
      <c r="M61" s="261">
        <f>RANK(K61, K$53:$K$67)</f>
        <v>13</v>
      </c>
      <c r="N61" s="345"/>
      <c r="O61" s="345"/>
      <c r="P61" s="261">
        <v>16</v>
      </c>
      <c r="Q61" s="261">
        <v>1085</v>
      </c>
      <c r="R61" s="262">
        <f t="shared" si="67"/>
        <v>67.8125</v>
      </c>
      <c r="S61" s="260">
        <f t="shared" si="68"/>
        <v>10</v>
      </c>
      <c r="T61" s="340"/>
      <c r="U61" s="261">
        <v>16</v>
      </c>
      <c r="V61" s="261">
        <v>969</v>
      </c>
      <c r="W61" s="262">
        <f t="shared" si="69"/>
        <v>60.5625</v>
      </c>
      <c r="X61" s="260">
        <f t="shared" si="70"/>
        <v>13</v>
      </c>
      <c r="Y61" s="340"/>
      <c r="Z61" s="261">
        <v>15</v>
      </c>
      <c r="AA61" s="261">
        <v>968</v>
      </c>
      <c r="AB61" s="262">
        <f t="shared" si="71"/>
        <v>64.533333333333331</v>
      </c>
      <c r="AC61" s="260">
        <f t="shared" si="72"/>
        <v>12</v>
      </c>
      <c r="AD61" s="340"/>
      <c r="AE61" s="261">
        <v>12</v>
      </c>
      <c r="AF61" s="261">
        <v>813</v>
      </c>
      <c r="AG61" s="262">
        <f t="shared" si="73"/>
        <v>67.75</v>
      </c>
      <c r="AH61" s="260">
        <f t="shared" si="74"/>
        <v>13</v>
      </c>
      <c r="AI61" s="340"/>
      <c r="AJ61" s="261">
        <v>13</v>
      </c>
      <c r="AK61" s="261">
        <v>1057</v>
      </c>
      <c r="AL61" s="262">
        <f t="shared" si="75"/>
        <v>81.307692307692307</v>
      </c>
      <c r="AM61" s="260">
        <f t="shared" si="76"/>
        <v>9</v>
      </c>
      <c r="AN61" s="340"/>
      <c r="AO61" s="261">
        <v>16</v>
      </c>
      <c r="AP61" s="261">
        <v>1030</v>
      </c>
      <c r="AQ61" s="262">
        <f t="shared" si="77"/>
        <v>64.375</v>
      </c>
      <c r="AR61" s="260">
        <f t="shared" si="78"/>
        <v>14</v>
      </c>
      <c r="AS61" s="340"/>
      <c r="AT61" s="261">
        <v>16</v>
      </c>
      <c r="AU61" s="261">
        <v>983</v>
      </c>
      <c r="AV61" s="262">
        <f t="shared" si="79"/>
        <v>61.4375</v>
      </c>
      <c r="AW61" s="260">
        <f t="shared" si="80"/>
        <v>13</v>
      </c>
      <c r="AX61" s="340"/>
    </row>
    <row r="62" spans="2:50">
      <c r="B62" s="341"/>
      <c r="C62" s="260">
        <v>10</v>
      </c>
      <c r="D62" s="260" t="s">
        <v>111</v>
      </c>
      <c r="E62" s="261">
        <f>VLOOKUP(D62,'09產線配置圖'!$A$2:$C$25,2,0)</f>
        <v>19</v>
      </c>
      <c r="F62" s="261">
        <f>VLOOKUP(D62,'09產線配置圖'!$A$2:$C$25,3,0)</f>
        <v>1565</v>
      </c>
      <c r="G62" s="262">
        <f t="shared" si="65"/>
        <v>82.368421052631575</v>
      </c>
      <c r="H62" s="343"/>
      <c r="I62" s="261">
        <f t="shared" si="66"/>
        <v>15.285714285714286</v>
      </c>
      <c r="J62" s="261">
        <f t="shared" si="66"/>
        <v>1006.5</v>
      </c>
      <c r="K62" s="262">
        <f t="shared" si="66"/>
        <v>66.165704166281898</v>
      </c>
      <c r="L62" s="343"/>
      <c r="M62" s="261">
        <f>RANK(K62, K$53:$K$67)</f>
        <v>14</v>
      </c>
      <c r="N62" s="345"/>
      <c r="O62" s="345"/>
      <c r="P62" s="261">
        <v>16</v>
      </c>
      <c r="Q62" s="261">
        <v>1062</v>
      </c>
      <c r="R62" s="262">
        <f t="shared" si="67"/>
        <v>66.375</v>
      </c>
      <c r="S62" s="260">
        <f t="shared" si="68"/>
        <v>13</v>
      </c>
      <c r="T62" s="340"/>
      <c r="U62" s="261">
        <v>15</v>
      </c>
      <c r="V62" s="261">
        <v>998</v>
      </c>
      <c r="W62" s="262">
        <f t="shared" si="69"/>
        <v>66.533333333333331</v>
      </c>
      <c r="X62" s="260">
        <f t="shared" si="70"/>
        <v>12</v>
      </c>
      <c r="Y62" s="340"/>
      <c r="Z62" s="261">
        <v>16</v>
      </c>
      <c r="AA62" s="261">
        <v>957</v>
      </c>
      <c r="AB62" s="262">
        <f t="shared" si="71"/>
        <v>59.8125</v>
      </c>
      <c r="AC62" s="260">
        <f t="shared" si="72"/>
        <v>14</v>
      </c>
      <c r="AD62" s="340"/>
      <c r="AE62" s="261">
        <v>14</v>
      </c>
      <c r="AF62" s="261">
        <v>968</v>
      </c>
      <c r="AG62" s="262">
        <f t="shared" si="73"/>
        <v>69.142857142857139</v>
      </c>
      <c r="AH62" s="260">
        <f t="shared" si="74"/>
        <v>12</v>
      </c>
      <c r="AI62" s="340"/>
      <c r="AJ62" s="261">
        <v>13</v>
      </c>
      <c r="AK62" s="261">
        <v>987</v>
      </c>
      <c r="AL62" s="262">
        <f t="shared" si="75"/>
        <v>75.92307692307692</v>
      </c>
      <c r="AM62" s="260">
        <f t="shared" si="76"/>
        <v>10</v>
      </c>
      <c r="AN62" s="340"/>
      <c r="AO62" s="261">
        <v>17</v>
      </c>
      <c r="AP62" s="261">
        <v>1148</v>
      </c>
      <c r="AQ62" s="262">
        <f t="shared" si="77"/>
        <v>67.529411764705884</v>
      </c>
      <c r="AR62" s="260">
        <f t="shared" si="78"/>
        <v>12</v>
      </c>
      <c r="AS62" s="340"/>
      <c r="AT62" s="261">
        <v>16</v>
      </c>
      <c r="AU62" s="261">
        <v>925.5</v>
      </c>
      <c r="AV62" s="262">
        <f t="shared" si="79"/>
        <v>57.84375</v>
      </c>
      <c r="AW62" s="260">
        <f t="shared" si="80"/>
        <v>14</v>
      </c>
      <c r="AX62" s="340"/>
    </row>
    <row r="63" spans="2:50">
      <c r="B63" s="341"/>
      <c r="C63" s="260">
        <v>11</v>
      </c>
      <c r="D63" s="260" t="s">
        <v>112</v>
      </c>
      <c r="E63" s="261">
        <f>VLOOKUP(D63,'09產線配置圖'!$A$2:$C$25,2,0)</f>
        <v>18</v>
      </c>
      <c r="F63" s="261">
        <f>VLOOKUP(D63,'09產線配置圖'!$A$2:$C$25,3,0)</f>
        <v>1500</v>
      </c>
      <c r="G63" s="262">
        <f t="shared" si="65"/>
        <v>83.333333333333329</v>
      </c>
      <c r="H63" s="343"/>
      <c r="I63" s="261">
        <f t="shared" si="66"/>
        <v>14.857142857142858</v>
      </c>
      <c r="J63" s="261">
        <f t="shared" si="66"/>
        <v>998.42857142857144</v>
      </c>
      <c r="K63" s="262">
        <f t="shared" si="66"/>
        <v>66.869926432111313</v>
      </c>
      <c r="L63" s="343"/>
      <c r="M63" s="261">
        <f>RANK(K63, K$53:$K$67)</f>
        <v>12</v>
      </c>
      <c r="N63" s="345"/>
      <c r="O63" s="345"/>
      <c r="P63" s="260">
        <v>16</v>
      </c>
      <c r="Q63" s="260">
        <v>1078</v>
      </c>
      <c r="R63" s="262">
        <f>Q63/P63</f>
        <v>67.375</v>
      </c>
      <c r="S63" s="260">
        <f t="shared" si="68"/>
        <v>11</v>
      </c>
      <c r="T63" s="340"/>
      <c r="U63" s="260">
        <v>14</v>
      </c>
      <c r="V63" s="260">
        <v>837</v>
      </c>
      <c r="W63" s="262">
        <f>V63/U63</f>
        <v>59.785714285714285</v>
      </c>
      <c r="X63" s="260">
        <f t="shared" si="70"/>
        <v>14</v>
      </c>
      <c r="Y63" s="340"/>
      <c r="Z63" s="260">
        <v>16</v>
      </c>
      <c r="AA63" s="260">
        <v>1114</v>
      </c>
      <c r="AB63" s="262">
        <f>AA63/Z63</f>
        <v>69.625</v>
      </c>
      <c r="AC63" s="260">
        <f t="shared" si="72"/>
        <v>10</v>
      </c>
      <c r="AD63" s="340"/>
      <c r="AE63" s="260">
        <v>13</v>
      </c>
      <c r="AF63" s="260">
        <v>748</v>
      </c>
      <c r="AG63" s="262">
        <f>AF63/AE63</f>
        <v>57.53846153846154</v>
      </c>
      <c r="AH63" s="260">
        <f t="shared" si="74"/>
        <v>14</v>
      </c>
      <c r="AI63" s="340"/>
      <c r="AJ63" s="260">
        <v>13</v>
      </c>
      <c r="AK63" s="260">
        <v>881</v>
      </c>
      <c r="AL63" s="262">
        <f>AK63/AJ63</f>
        <v>67.769230769230774</v>
      </c>
      <c r="AM63" s="260">
        <f t="shared" si="76"/>
        <v>14</v>
      </c>
      <c r="AN63" s="340"/>
      <c r="AO63" s="260">
        <v>17</v>
      </c>
      <c r="AP63" s="260">
        <v>1199</v>
      </c>
      <c r="AQ63" s="262">
        <f>AP63/AO63</f>
        <v>70.529411764705884</v>
      </c>
      <c r="AR63" s="260">
        <f t="shared" si="78"/>
        <v>10</v>
      </c>
      <c r="AS63" s="340"/>
      <c r="AT63" s="260">
        <v>15</v>
      </c>
      <c r="AU63" s="260">
        <v>1132</v>
      </c>
      <c r="AV63" s="262">
        <f>AU63/AT63</f>
        <v>75.466666666666669</v>
      </c>
      <c r="AW63" s="260">
        <f t="shared" si="80"/>
        <v>10</v>
      </c>
      <c r="AX63" s="340"/>
    </row>
    <row r="64" spans="2:50">
      <c r="B64" s="341"/>
      <c r="C64" s="260">
        <v>12</v>
      </c>
      <c r="D64" s="260" t="s">
        <v>113</v>
      </c>
      <c r="E64" s="261">
        <f>VLOOKUP(D64,'09產線配置圖'!$A$2:$C$25,2,0)</f>
        <v>18</v>
      </c>
      <c r="F64" s="261">
        <f>VLOOKUP(D64,'09產線配置圖'!$A$2:$C$25,3,0)</f>
        <v>1385</v>
      </c>
      <c r="G64" s="262">
        <f t="shared" si="65"/>
        <v>76.944444444444443</v>
      </c>
      <c r="H64" s="343"/>
      <c r="I64" s="261">
        <f t="shared" si="66"/>
        <v>16.428571428571427</v>
      </c>
      <c r="J64" s="261">
        <f t="shared" si="66"/>
        <v>1099.5714285714287</v>
      </c>
      <c r="K64" s="262">
        <f t="shared" si="66"/>
        <v>67.224525707718982</v>
      </c>
      <c r="L64" s="343"/>
      <c r="M64" s="261">
        <f>RANK(K64, K$53:$K$67)</f>
        <v>11</v>
      </c>
      <c r="N64" s="345"/>
      <c r="O64" s="345"/>
      <c r="P64" s="260">
        <v>18</v>
      </c>
      <c r="Q64" s="260">
        <v>1206</v>
      </c>
      <c r="R64" s="262">
        <f t="shared" ref="R64:R67" si="81">Q64/P64</f>
        <v>67</v>
      </c>
      <c r="S64" s="260">
        <f t="shared" si="68"/>
        <v>12</v>
      </c>
      <c r="T64" s="340"/>
      <c r="U64" s="260">
        <v>18</v>
      </c>
      <c r="V64" s="261">
        <v>1233.5</v>
      </c>
      <c r="W64" s="262">
        <f t="shared" ref="W64:W67" si="82">V64/U64</f>
        <v>68.527777777777771</v>
      </c>
      <c r="X64" s="260">
        <f t="shared" si="70"/>
        <v>11</v>
      </c>
      <c r="Y64" s="340"/>
      <c r="Z64" s="260">
        <v>18</v>
      </c>
      <c r="AA64" s="261">
        <v>1135.5</v>
      </c>
      <c r="AB64" s="262">
        <f t="shared" ref="AB64:AB67" si="83">AA64/Z64</f>
        <v>63.083333333333336</v>
      </c>
      <c r="AC64" s="260">
        <f t="shared" si="72"/>
        <v>13</v>
      </c>
      <c r="AD64" s="340"/>
      <c r="AE64" s="260">
        <v>13</v>
      </c>
      <c r="AF64" s="260">
        <v>912</v>
      </c>
      <c r="AG64" s="262">
        <f t="shared" ref="AG64:AG67" si="84">AF64/AE64</f>
        <v>70.15384615384616</v>
      </c>
      <c r="AH64" s="260">
        <f t="shared" si="74"/>
        <v>11</v>
      </c>
      <c r="AI64" s="340"/>
      <c r="AJ64" s="260">
        <v>14</v>
      </c>
      <c r="AK64" s="260">
        <v>1030</v>
      </c>
      <c r="AL64" s="262">
        <f t="shared" ref="AL64:AL67" si="85">AK64/AJ64</f>
        <v>73.571428571428569</v>
      </c>
      <c r="AM64" s="260">
        <f t="shared" si="76"/>
        <v>12</v>
      </c>
      <c r="AN64" s="340"/>
      <c r="AO64" s="260">
        <v>17</v>
      </c>
      <c r="AP64" s="260">
        <v>1127</v>
      </c>
      <c r="AQ64" s="262">
        <f t="shared" ref="AQ64:AQ67" si="86">AP64/AO64</f>
        <v>66.294117647058826</v>
      </c>
      <c r="AR64" s="260">
        <f t="shared" si="78"/>
        <v>13</v>
      </c>
      <c r="AS64" s="340"/>
      <c r="AT64" s="260">
        <v>17</v>
      </c>
      <c r="AU64" s="260">
        <v>1053</v>
      </c>
      <c r="AV64" s="262">
        <f t="shared" ref="AV64:AV67" si="87">AU64/AT64</f>
        <v>61.941176470588232</v>
      </c>
      <c r="AW64" s="260">
        <f t="shared" si="80"/>
        <v>12</v>
      </c>
      <c r="AX64" s="340"/>
    </row>
    <row r="65" spans="2:50">
      <c r="B65" s="341"/>
      <c r="C65" s="260">
        <v>13</v>
      </c>
      <c r="D65" s="260" t="s">
        <v>114</v>
      </c>
      <c r="E65" s="261">
        <f>VLOOKUP(D65,'09產線配置圖'!$A$2:$C$25,2,0)</f>
        <v>17</v>
      </c>
      <c r="F65" s="261">
        <f>VLOOKUP(D65,'09產線配置圖'!$A$2:$C$25,3,0)</f>
        <v>1565</v>
      </c>
      <c r="G65" s="262">
        <f t="shared" si="65"/>
        <v>92.058823529411768</v>
      </c>
      <c r="H65" s="343"/>
      <c r="I65" s="261">
        <f t="shared" si="66"/>
        <v>15.571428571428571</v>
      </c>
      <c r="J65" s="261">
        <f t="shared" si="66"/>
        <v>1208</v>
      </c>
      <c r="K65" s="262">
        <f t="shared" si="66"/>
        <v>78.070405085110977</v>
      </c>
      <c r="L65" s="343"/>
      <c r="M65" s="261">
        <f>RANK(K65, K$53:$K$67)</f>
        <v>10</v>
      </c>
      <c r="N65" s="345"/>
      <c r="O65" s="345"/>
      <c r="P65" s="260">
        <v>17</v>
      </c>
      <c r="Q65" s="260">
        <v>1127</v>
      </c>
      <c r="R65" s="262">
        <f t="shared" si="81"/>
        <v>66.294117647058826</v>
      </c>
      <c r="S65" s="260">
        <f t="shared" si="68"/>
        <v>14</v>
      </c>
      <c r="T65" s="340"/>
      <c r="U65" s="260">
        <v>17</v>
      </c>
      <c r="V65" s="261">
        <v>1392.5</v>
      </c>
      <c r="W65" s="262">
        <f t="shared" si="82"/>
        <v>81.911764705882348</v>
      </c>
      <c r="X65" s="260">
        <f t="shared" si="70"/>
        <v>10</v>
      </c>
      <c r="Y65" s="340"/>
      <c r="Z65" s="260">
        <v>17</v>
      </c>
      <c r="AA65" s="260">
        <v>1511</v>
      </c>
      <c r="AB65" s="262">
        <f t="shared" si="83"/>
        <v>88.882352941176464</v>
      </c>
      <c r="AC65" s="260">
        <f t="shared" si="72"/>
        <v>8</v>
      </c>
      <c r="AD65" s="340"/>
      <c r="AE65" s="260">
        <v>12</v>
      </c>
      <c r="AF65" s="260">
        <v>1115.5</v>
      </c>
      <c r="AG65" s="262">
        <f t="shared" si="84"/>
        <v>92.958333333333329</v>
      </c>
      <c r="AH65" s="260">
        <f t="shared" si="74"/>
        <v>7</v>
      </c>
      <c r="AI65" s="340"/>
      <c r="AJ65" s="260">
        <v>13</v>
      </c>
      <c r="AK65" s="260">
        <v>957</v>
      </c>
      <c r="AL65" s="262">
        <f t="shared" si="85"/>
        <v>73.615384615384613</v>
      </c>
      <c r="AM65" s="260">
        <f t="shared" si="76"/>
        <v>11</v>
      </c>
      <c r="AN65" s="340"/>
      <c r="AO65" s="260">
        <v>17</v>
      </c>
      <c r="AP65" s="260">
        <v>1151</v>
      </c>
      <c r="AQ65" s="262">
        <f t="shared" si="86"/>
        <v>67.705882352941174</v>
      </c>
      <c r="AR65" s="260">
        <f t="shared" si="78"/>
        <v>11</v>
      </c>
      <c r="AS65" s="340"/>
      <c r="AT65" s="260">
        <v>16</v>
      </c>
      <c r="AU65" s="260">
        <v>1202</v>
      </c>
      <c r="AV65" s="262">
        <f t="shared" si="87"/>
        <v>75.125</v>
      </c>
      <c r="AW65" s="260">
        <f t="shared" si="80"/>
        <v>11</v>
      </c>
      <c r="AX65" s="340"/>
    </row>
    <row r="66" spans="2:50">
      <c r="B66" s="341"/>
      <c r="C66" s="260">
        <v>14</v>
      </c>
      <c r="D66" s="260" t="s">
        <v>115</v>
      </c>
      <c r="E66" s="261">
        <f>VLOOKUP(D66,'09產線配置圖'!$A$2:$C$25,2,0)</f>
        <v>17</v>
      </c>
      <c r="F66" s="261">
        <f>VLOOKUP(D66,'09產線配置圖'!$A$2:$C$25,3,0)</f>
        <v>1636</v>
      </c>
      <c r="G66" s="262">
        <f t="shared" si="65"/>
        <v>96.235294117647058</v>
      </c>
      <c r="H66" s="343"/>
      <c r="I66" s="261">
        <f t="shared" si="66"/>
        <v>15.571428571428571</v>
      </c>
      <c r="J66" s="261">
        <f t="shared" si="66"/>
        <v>1330.8571428571429</v>
      </c>
      <c r="K66" s="262">
        <f t="shared" si="66"/>
        <v>86.265203808796244</v>
      </c>
      <c r="L66" s="343"/>
      <c r="M66" s="261">
        <f>RANK(K66, K$53:$K$67)</f>
        <v>8</v>
      </c>
      <c r="N66" s="345"/>
      <c r="O66" s="345"/>
      <c r="P66" s="260">
        <v>17</v>
      </c>
      <c r="Q66" s="260">
        <v>1400</v>
      </c>
      <c r="R66" s="262">
        <f t="shared" si="81"/>
        <v>82.352941176470594</v>
      </c>
      <c r="S66" s="260">
        <f t="shared" si="68"/>
        <v>9</v>
      </c>
      <c r="T66" s="340"/>
      <c r="U66" s="260">
        <v>17</v>
      </c>
      <c r="V66" s="260">
        <v>1397</v>
      </c>
      <c r="W66" s="262">
        <f t="shared" si="82"/>
        <v>82.17647058823529</v>
      </c>
      <c r="X66" s="260">
        <f>RANK(W66,$W$53:$W$67)</f>
        <v>9</v>
      </c>
      <c r="Y66" s="340"/>
      <c r="Z66" s="260">
        <v>17</v>
      </c>
      <c r="AA66" s="260">
        <v>1106</v>
      </c>
      <c r="AB66" s="262">
        <f t="shared" si="83"/>
        <v>65.058823529411768</v>
      </c>
      <c r="AC66" s="260">
        <f>RANK(AB66, $AB$53:$AB$67)</f>
        <v>11</v>
      </c>
      <c r="AD66" s="340"/>
      <c r="AE66" s="260">
        <v>11</v>
      </c>
      <c r="AF66" s="260">
        <v>1019</v>
      </c>
      <c r="AG66" s="262">
        <f t="shared" si="84"/>
        <v>92.63636363636364</v>
      </c>
      <c r="AH66" s="260">
        <f t="shared" si="74"/>
        <v>8</v>
      </c>
      <c r="AI66" s="340"/>
      <c r="AJ66" s="260">
        <v>14</v>
      </c>
      <c r="AK66" s="260">
        <v>1416</v>
      </c>
      <c r="AL66" s="262">
        <f t="shared" si="85"/>
        <v>101.14285714285714</v>
      </c>
      <c r="AM66" s="260">
        <f t="shared" si="76"/>
        <v>6</v>
      </c>
      <c r="AN66" s="340"/>
      <c r="AO66" s="260">
        <v>17</v>
      </c>
      <c r="AP66" s="260">
        <v>1533</v>
      </c>
      <c r="AQ66" s="262">
        <f t="shared" si="86"/>
        <v>90.17647058823529</v>
      </c>
      <c r="AR66" s="260">
        <f t="shared" si="78"/>
        <v>7</v>
      </c>
      <c r="AS66" s="340"/>
      <c r="AT66" s="260">
        <v>16</v>
      </c>
      <c r="AU66" s="260">
        <v>1445</v>
      </c>
      <c r="AV66" s="262">
        <f t="shared" si="87"/>
        <v>90.3125</v>
      </c>
      <c r="AW66" s="260">
        <f t="shared" si="80"/>
        <v>8</v>
      </c>
      <c r="AX66" s="340"/>
    </row>
    <row r="67" spans="2:50">
      <c r="B67" s="341"/>
      <c r="C67" s="260">
        <v>15</v>
      </c>
      <c r="D67" s="260" t="s">
        <v>116</v>
      </c>
      <c r="E67" s="260">
        <f>VLOOKUP(D67,'09產線配置圖'!$A$2:$C$25,2,0)</f>
        <v>17</v>
      </c>
      <c r="F67" s="260">
        <f>VLOOKUP(D67,'09產線配置圖'!$A$2:$C$25,3,0)</f>
        <v>1636</v>
      </c>
      <c r="G67" s="262">
        <f t="shared" si="65"/>
        <v>96.235294117647058</v>
      </c>
      <c r="H67" s="344"/>
      <c r="I67" s="260">
        <f t="shared" si="66"/>
        <v>17</v>
      </c>
      <c r="J67" s="261">
        <f t="shared" si="66"/>
        <v>1490.4285714285713</v>
      </c>
      <c r="K67" s="262">
        <f t="shared" si="66"/>
        <v>87.672268907563037</v>
      </c>
      <c r="L67" s="344"/>
      <c r="M67" s="261">
        <f>RANK(K67, K$53:$K$67)</f>
        <v>7</v>
      </c>
      <c r="N67" s="345"/>
      <c r="O67" s="345"/>
      <c r="P67" s="260">
        <v>17</v>
      </c>
      <c r="Q67" s="260">
        <v>1461</v>
      </c>
      <c r="R67" s="262">
        <f t="shared" si="81"/>
        <v>85.941176470588232</v>
      </c>
      <c r="S67" s="260">
        <f>RANK(R67, $R$53:$R$67)</f>
        <v>8</v>
      </c>
      <c r="T67" s="340"/>
      <c r="U67" s="260">
        <v>17</v>
      </c>
      <c r="V67" s="260">
        <v>1523</v>
      </c>
      <c r="W67" s="262">
        <f t="shared" si="82"/>
        <v>89.588235294117652</v>
      </c>
      <c r="X67" s="260">
        <f>RANK(W67,$W$53:$W$67)</f>
        <v>7</v>
      </c>
      <c r="Y67" s="340"/>
      <c r="Z67" s="260">
        <v>17</v>
      </c>
      <c r="AA67" s="260">
        <v>1608</v>
      </c>
      <c r="AB67" s="262">
        <f t="shared" si="83"/>
        <v>94.588235294117652</v>
      </c>
      <c r="AC67" s="260">
        <f t="shared" si="72"/>
        <v>7</v>
      </c>
      <c r="AD67" s="340"/>
      <c r="AE67" s="260">
        <v>17</v>
      </c>
      <c r="AF67" s="260">
        <v>1334</v>
      </c>
      <c r="AG67" s="262">
        <f t="shared" si="84"/>
        <v>78.470588235294116</v>
      </c>
      <c r="AH67" s="260">
        <f t="shared" si="74"/>
        <v>10</v>
      </c>
      <c r="AI67" s="340"/>
      <c r="AJ67" s="260">
        <v>17</v>
      </c>
      <c r="AK67" s="260">
        <v>1577</v>
      </c>
      <c r="AL67" s="262">
        <f t="shared" si="85"/>
        <v>92.764705882352942</v>
      </c>
      <c r="AM67" s="260">
        <f t="shared" si="76"/>
        <v>7</v>
      </c>
      <c r="AN67" s="340"/>
      <c r="AO67" s="260">
        <v>17</v>
      </c>
      <c r="AP67" s="260">
        <v>1314</v>
      </c>
      <c r="AQ67" s="262">
        <f t="shared" si="86"/>
        <v>77.294117647058826</v>
      </c>
      <c r="AR67" s="260">
        <f t="shared" si="78"/>
        <v>9</v>
      </c>
      <c r="AS67" s="340"/>
      <c r="AT67" s="260">
        <v>17</v>
      </c>
      <c r="AU67" s="260">
        <v>1616</v>
      </c>
      <c r="AV67" s="262">
        <f t="shared" si="87"/>
        <v>95.058823529411768</v>
      </c>
      <c r="AW67" s="260">
        <f t="shared" si="80"/>
        <v>7</v>
      </c>
      <c r="AX67" s="340"/>
    </row>
    <row r="68" spans="2:50" ht="15.75">
      <c r="B68" s="362" t="s">
        <v>86</v>
      </c>
      <c r="C68" s="358"/>
      <c r="D68" s="358"/>
      <c r="E68" s="358"/>
      <c r="F68" s="358"/>
      <c r="G68" s="358"/>
      <c r="H68" s="358"/>
      <c r="I68" s="265"/>
      <c r="J68" s="265"/>
      <c r="K68" s="265"/>
      <c r="L68" s="265"/>
      <c r="M68" s="266"/>
      <c r="N68" s="354" t="s">
        <v>87</v>
      </c>
      <c r="O68" s="354" t="s">
        <v>45</v>
      </c>
      <c r="P68" s="349">
        <v>45916</v>
      </c>
      <c r="Q68" s="341"/>
      <c r="R68" s="341"/>
      <c r="S68" s="341"/>
      <c r="T68" s="341"/>
      <c r="U68" s="349">
        <v>45917</v>
      </c>
      <c r="V68" s="341"/>
      <c r="W68" s="341"/>
      <c r="X68" s="341"/>
      <c r="Y68" s="341"/>
      <c r="Z68" s="349">
        <v>45918</v>
      </c>
      <c r="AA68" s="341"/>
      <c r="AB68" s="341"/>
      <c r="AC68" s="341"/>
      <c r="AD68" s="341"/>
      <c r="AE68" s="349">
        <v>45919</v>
      </c>
      <c r="AF68" s="341"/>
      <c r="AG68" s="341"/>
      <c r="AH68" s="341"/>
      <c r="AI68" s="341"/>
      <c r="AJ68" s="349">
        <v>45920</v>
      </c>
      <c r="AK68" s="341"/>
      <c r="AL68" s="341"/>
      <c r="AM68" s="341"/>
      <c r="AN68" s="341"/>
      <c r="AO68" s="349">
        <v>45921</v>
      </c>
      <c r="AP68" s="341"/>
      <c r="AQ68" s="341"/>
      <c r="AR68" s="341"/>
      <c r="AS68" s="341"/>
      <c r="AT68" s="349">
        <v>45922</v>
      </c>
      <c r="AU68" s="341"/>
      <c r="AV68" s="341"/>
      <c r="AW68" s="341"/>
      <c r="AX68" s="341"/>
    </row>
    <row r="69" spans="2:50" ht="15.75">
      <c r="B69" s="359"/>
      <c r="C69" s="359"/>
      <c r="D69" s="359"/>
      <c r="E69" s="359"/>
      <c r="F69" s="359"/>
      <c r="G69" s="359"/>
      <c r="H69" s="359"/>
      <c r="I69" s="256"/>
      <c r="J69" s="256"/>
      <c r="K69" s="256"/>
      <c r="L69" s="256"/>
      <c r="M69" s="257"/>
      <c r="N69" s="356"/>
      <c r="O69" s="356"/>
      <c r="P69" s="349" t="s">
        <v>57</v>
      </c>
      <c r="Q69" s="341"/>
      <c r="R69" s="341"/>
      <c r="S69" s="341"/>
      <c r="T69" s="341"/>
      <c r="U69" s="349" t="s">
        <v>58</v>
      </c>
      <c r="V69" s="341"/>
      <c r="W69" s="341"/>
      <c r="X69" s="341"/>
      <c r="Y69" s="341"/>
      <c r="Z69" s="349" t="s">
        <v>59</v>
      </c>
      <c r="AA69" s="341"/>
      <c r="AB69" s="341"/>
      <c r="AC69" s="341"/>
      <c r="AD69" s="341"/>
      <c r="AE69" s="349" t="s">
        <v>60</v>
      </c>
      <c r="AF69" s="341"/>
      <c r="AG69" s="341"/>
      <c r="AH69" s="341"/>
      <c r="AI69" s="341"/>
      <c r="AJ69" s="349" t="s">
        <v>61</v>
      </c>
      <c r="AK69" s="341"/>
      <c r="AL69" s="341"/>
      <c r="AM69" s="341"/>
      <c r="AN69" s="341"/>
      <c r="AO69" s="349" t="s">
        <v>52</v>
      </c>
      <c r="AP69" s="341"/>
      <c r="AQ69" s="341"/>
      <c r="AR69" s="341"/>
      <c r="AS69" s="341"/>
      <c r="AT69" s="349" t="s">
        <v>56</v>
      </c>
      <c r="AU69" s="341"/>
      <c r="AV69" s="341"/>
      <c r="AW69" s="341"/>
      <c r="AX69" s="341"/>
    </row>
    <row r="70" spans="2:50">
      <c r="B70" s="345" t="s">
        <v>88</v>
      </c>
      <c r="C70" s="350" t="s">
        <v>89</v>
      </c>
      <c r="D70" s="345"/>
      <c r="E70" s="345" t="s">
        <v>90</v>
      </c>
      <c r="F70" s="345"/>
      <c r="G70" s="345"/>
      <c r="H70" s="351" t="s">
        <v>91</v>
      </c>
      <c r="I70" s="345" t="s">
        <v>92</v>
      </c>
      <c r="J70" s="345"/>
      <c r="K70" s="345"/>
      <c r="L70" s="351" t="s">
        <v>91</v>
      </c>
      <c r="M70" s="369" t="s">
        <v>93</v>
      </c>
      <c r="N70" s="354"/>
      <c r="O70" s="354" t="s">
        <v>94</v>
      </c>
      <c r="P70" s="346" t="s">
        <v>95</v>
      </c>
      <c r="Q70" s="347"/>
      <c r="R70" s="347"/>
      <c r="S70" s="348"/>
      <c r="T70" s="345" t="s">
        <v>91</v>
      </c>
      <c r="U70" s="346" t="s">
        <v>95</v>
      </c>
      <c r="V70" s="347"/>
      <c r="W70" s="347"/>
      <c r="X70" s="348"/>
      <c r="Y70" s="345" t="s">
        <v>91</v>
      </c>
      <c r="Z70" s="346" t="s">
        <v>95</v>
      </c>
      <c r="AA70" s="347"/>
      <c r="AB70" s="347"/>
      <c r="AC70" s="348"/>
      <c r="AD70" s="345" t="s">
        <v>91</v>
      </c>
      <c r="AE70" s="346" t="s">
        <v>95</v>
      </c>
      <c r="AF70" s="347"/>
      <c r="AG70" s="347"/>
      <c r="AH70" s="348"/>
      <c r="AI70" s="345" t="s">
        <v>91</v>
      </c>
      <c r="AJ70" s="346" t="s">
        <v>95</v>
      </c>
      <c r="AK70" s="347"/>
      <c r="AL70" s="347"/>
      <c r="AM70" s="348"/>
      <c r="AN70" s="345" t="s">
        <v>91</v>
      </c>
      <c r="AO70" s="346" t="s">
        <v>95</v>
      </c>
      <c r="AP70" s="347"/>
      <c r="AQ70" s="347"/>
      <c r="AR70" s="348"/>
      <c r="AS70" s="345" t="s">
        <v>91</v>
      </c>
      <c r="AT70" s="346" t="s">
        <v>95</v>
      </c>
      <c r="AU70" s="347"/>
      <c r="AV70" s="347"/>
      <c r="AW70" s="348"/>
      <c r="AX70" s="345" t="s">
        <v>91</v>
      </c>
    </row>
    <row r="71" spans="2:50">
      <c r="B71" s="345"/>
      <c r="C71" s="345"/>
      <c r="D71" s="345"/>
      <c r="E71" s="345" t="s">
        <v>96</v>
      </c>
      <c r="F71" s="345"/>
      <c r="G71" s="345"/>
      <c r="H71" s="352"/>
      <c r="I71" s="345" t="s">
        <v>96</v>
      </c>
      <c r="J71" s="345"/>
      <c r="K71" s="345"/>
      <c r="L71" s="352"/>
      <c r="M71" s="355"/>
      <c r="N71" s="355"/>
      <c r="O71" s="355"/>
      <c r="P71" s="346" t="s">
        <v>97</v>
      </c>
      <c r="Q71" s="347"/>
      <c r="R71" s="347"/>
      <c r="S71" s="348"/>
      <c r="T71" s="345"/>
      <c r="U71" s="346" t="s">
        <v>97</v>
      </c>
      <c r="V71" s="347"/>
      <c r="W71" s="347"/>
      <c r="X71" s="348"/>
      <c r="Y71" s="345"/>
      <c r="Z71" s="346" t="s">
        <v>97</v>
      </c>
      <c r="AA71" s="347"/>
      <c r="AB71" s="347"/>
      <c r="AC71" s="348"/>
      <c r="AD71" s="345"/>
      <c r="AE71" s="346" t="s">
        <v>97</v>
      </c>
      <c r="AF71" s="347"/>
      <c r="AG71" s="347"/>
      <c r="AH71" s="348"/>
      <c r="AI71" s="345"/>
      <c r="AJ71" s="346" t="s">
        <v>97</v>
      </c>
      <c r="AK71" s="347"/>
      <c r="AL71" s="347"/>
      <c r="AM71" s="348"/>
      <c r="AN71" s="345"/>
      <c r="AO71" s="346" t="s">
        <v>97</v>
      </c>
      <c r="AP71" s="347"/>
      <c r="AQ71" s="347"/>
      <c r="AR71" s="348"/>
      <c r="AS71" s="345"/>
      <c r="AT71" s="346" t="s">
        <v>97</v>
      </c>
      <c r="AU71" s="347"/>
      <c r="AV71" s="347"/>
      <c r="AW71" s="348"/>
      <c r="AX71" s="345"/>
    </row>
    <row r="72" spans="2:50">
      <c r="B72" s="345"/>
      <c r="C72" s="345"/>
      <c r="D72" s="345"/>
      <c r="E72" s="259" t="s">
        <v>98</v>
      </c>
      <c r="F72" s="259" t="s">
        <v>99</v>
      </c>
      <c r="G72" s="259" t="s">
        <v>100</v>
      </c>
      <c r="H72" s="353"/>
      <c r="I72" s="259" t="s">
        <v>98</v>
      </c>
      <c r="J72" s="259" t="s">
        <v>99</v>
      </c>
      <c r="K72" s="259" t="s">
        <v>100</v>
      </c>
      <c r="L72" s="353"/>
      <c r="M72" s="356"/>
      <c r="N72" s="355"/>
      <c r="O72" s="355"/>
      <c r="P72" s="259" t="s">
        <v>98</v>
      </c>
      <c r="Q72" s="259" t="s">
        <v>99</v>
      </c>
      <c r="R72" s="259" t="s">
        <v>100</v>
      </c>
      <c r="S72" s="259" t="s">
        <v>93</v>
      </c>
      <c r="T72" s="345"/>
      <c r="U72" s="259" t="s">
        <v>98</v>
      </c>
      <c r="V72" s="259" t="s">
        <v>99</v>
      </c>
      <c r="W72" s="259" t="s">
        <v>100</v>
      </c>
      <c r="X72" s="259" t="s">
        <v>93</v>
      </c>
      <c r="Y72" s="345"/>
      <c r="Z72" s="259" t="s">
        <v>98</v>
      </c>
      <c r="AA72" s="259" t="s">
        <v>99</v>
      </c>
      <c r="AB72" s="259" t="s">
        <v>100</v>
      </c>
      <c r="AC72" s="259" t="s">
        <v>93</v>
      </c>
      <c r="AD72" s="345"/>
      <c r="AE72" s="259" t="s">
        <v>98</v>
      </c>
      <c r="AF72" s="259" t="s">
        <v>99</v>
      </c>
      <c r="AG72" s="259" t="s">
        <v>100</v>
      </c>
      <c r="AH72" s="259" t="s">
        <v>93</v>
      </c>
      <c r="AI72" s="345"/>
      <c r="AJ72" s="259" t="s">
        <v>98</v>
      </c>
      <c r="AK72" s="259" t="s">
        <v>99</v>
      </c>
      <c r="AL72" s="259" t="s">
        <v>100</v>
      </c>
      <c r="AM72" s="259" t="s">
        <v>93</v>
      </c>
      <c r="AN72" s="345"/>
      <c r="AO72" s="259" t="s">
        <v>98</v>
      </c>
      <c r="AP72" s="259" t="s">
        <v>99</v>
      </c>
      <c r="AQ72" s="259" t="s">
        <v>100</v>
      </c>
      <c r="AR72" s="259" t="s">
        <v>93</v>
      </c>
      <c r="AS72" s="345"/>
      <c r="AT72" s="259" t="s">
        <v>98</v>
      </c>
      <c r="AU72" s="259" t="s">
        <v>99</v>
      </c>
      <c r="AV72" s="259" t="s">
        <v>100</v>
      </c>
      <c r="AW72" s="259" t="s">
        <v>93</v>
      </c>
      <c r="AX72" s="345"/>
    </row>
    <row r="73" spans="2:50" ht="13.5">
      <c r="B73" s="363" t="s">
        <v>101</v>
      </c>
      <c r="C73" s="260">
        <v>1</v>
      </c>
      <c r="D73" s="264" t="s">
        <v>102</v>
      </c>
      <c r="E73" s="261">
        <f>VLOOKUP(D73,'09產線配置圖'!$A$2:$C$30,2,0)</f>
        <v>12</v>
      </c>
      <c r="F73" s="261">
        <f>VLOOKUP(D73,'09產線配置圖'!$A$2:$C$30,3,0)</f>
        <v>2000</v>
      </c>
      <c r="G73" s="262">
        <f>F73/E73</f>
        <v>166.66666666666666</v>
      </c>
      <c r="H73" s="366">
        <f>AVERAGE(G73:G87)</f>
        <v>107.65415751545781</v>
      </c>
      <c r="I73" s="261">
        <f>AVERAGE(P73,U73,Z73,AE73,AJ73,AO73,AT73)</f>
        <v>12</v>
      </c>
      <c r="J73" s="261">
        <f>AVERAGE(Q73,V73,AA73,AF73,AK73,AP73,AU73)</f>
        <v>1809.1428571428571</v>
      </c>
      <c r="K73" s="262">
        <f>AVERAGE(R73,W73,AB73,AG73,AL73,AQ73,AV73)</f>
        <v>150.76190476190479</v>
      </c>
      <c r="L73" s="366">
        <f>IFERROR(AVERAGE(K73:K90),"-")</f>
        <v>92.994926851514464</v>
      </c>
      <c r="M73" s="261">
        <f>RANK(K73, $K$73:$K$90)</f>
        <v>1</v>
      </c>
      <c r="N73" s="355"/>
      <c r="O73" s="355"/>
      <c r="P73" s="261">
        <v>12</v>
      </c>
      <c r="Q73" s="261">
        <v>1897</v>
      </c>
      <c r="R73" s="182">
        <f>Q73/P73</f>
        <v>158.08333333333334</v>
      </c>
      <c r="S73" s="110">
        <f>RANK(R73, $R$73:$R$90)</f>
        <v>1</v>
      </c>
      <c r="T73" s="366">
        <f>AVERAGE(R73:R90)</f>
        <v>93.123669916684619</v>
      </c>
      <c r="U73" s="261">
        <v>12</v>
      </c>
      <c r="V73" s="261">
        <v>1825</v>
      </c>
      <c r="W73" s="262">
        <f>V73/U73</f>
        <v>152.08333333333334</v>
      </c>
      <c r="X73" s="260">
        <f>RANK(W73, $W$73:$W$90)</f>
        <v>1</v>
      </c>
      <c r="Y73" s="366">
        <f>AVERAGE(W73:W90)</f>
        <v>93.217485482300205</v>
      </c>
      <c r="Z73" s="261">
        <v>12</v>
      </c>
      <c r="AA73" s="261">
        <v>1820</v>
      </c>
      <c r="AB73" s="262">
        <f>AA73/Z73</f>
        <v>151.66666666666666</v>
      </c>
      <c r="AC73" s="260">
        <f>RANK(AB73, $AB$73:$AB$90)</f>
        <v>1</v>
      </c>
      <c r="AD73" s="366">
        <f>AVERAGE(AB73:AB90)</f>
        <v>90.378823933419525</v>
      </c>
      <c r="AE73" s="261">
        <v>12</v>
      </c>
      <c r="AF73" s="261">
        <v>1636</v>
      </c>
      <c r="AG73" s="262">
        <f>AF73/AE73</f>
        <v>136.33333333333334</v>
      </c>
      <c r="AH73" s="260">
        <f>RANK(AG73, $AG$73:$AG$90)</f>
        <v>1</v>
      </c>
      <c r="AI73" s="366">
        <f>AVERAGE(AG73:AG90)</f>
        <v>90.59071818194063</v>
      </c>
      <c r="AJ73" s="261">
        <v>12</v>
      </c>
      <c r="AK73" s="261">
        <v>1840</v>
      </c>
      <c r="AL73" s="262">
        <f>AK73/AJ73</f>
        <v>153.33333333333334</v>
      </c>
      <c r="AM73" s="260">
        <f>RANK(AL73, $AL$73:$AL$90)</f>
        <v>1</v>
      </c>
      <c r="AN73" s="366">
        <f>AVERAGE(AL73:AL90)</f>
        <v>89.26227482178767</v>
      </c>
      <c r="AO73" s="261">
        <v>12</v>
      </c>
      <c r="AP73" s="261">
        <v>1857</v>
      </c>
      <c r="AQ73" s="262">
        <f>AP73/AO73</f>
        <v>154.75</v>
      </c>
      <c r="AR73" s="260">
        <f>RANK(AQ73, $AQ$73:$AQ$90)</f>
        <v>1</v>
      </c>
      <c r="AS73" s="366">
        <f>AVERAGE(AQ73:AQ90)</f>
        <v>96.292893290919594</v>
      </c>
      <c r="AT73" s="261">
        <v>12</v>
      </c>
      <c r="AU73" s="261">
        <v>1789</v>
      </c>
      <c r="AV73" s="262">
        <f>AU73/AT73</f>
        <v>149.08333333333334</v>
      </c>
      <c r="AW73" s="260">
        <f>RANK(AV73, $AV$73:$AV$90)</f>
        <v>1</v>
      </c>
      <c r="AX73" s="366">
        <f>AVERAGE(AV73:AV90)</f>
        <v>98.098622333548818</v>
      </c>
    </row>
    <row r="74" spans="2:50">
      <c r="B74" s="364"/>
      <c r="C74" s="260">
        <v>2</v>
      </c>
      <c r="D74" s="260" t="s">
        <v>103</v>
      </c>
      <c r="E74" s="261">
        <f>VLOOKUP(D74,'09產線配置圖'!$A$2:$C$30,2,0)</f>
        <v>13</v>
      </c>
      <c r="F74" s="261">
        <f>VLOOKUP(D74,'09產線配置圖'!$A$2:$C$30,3,0)</f>
        <v>2000</v>
      </c>
      <c r="G74" s="262">
        <f t="shared" ref="G74:G87" si="88">F74/E74</f>
        <v>153.84615384615384</v>
      </c>
      <c r="H74" s="367"/>
      <c r="I74" s="261">
        <f t="shared" ref="I74:K82" si="89">AVERAGE(P74,U74,Z74,AE74,AJ74,AO74,AT74)</f>
        <v>13</v>
      </c>
      <c r="J74" s="261">
        <f t="shared" si="89"/>
        <v>1874.1428571428571</v>
      </c>
      <c r="K74" s="262">
        <f t="shared" si="89"/>
        <v>144.16483516483518</v>
      </c>
      <c r="L74" s="367"/>
      <c r="M74" s="261">
        <f t="shared" ref="M74:M89" si="90">RANK(K74, $K$73:$K$90)</f>
        <v>2</v>
      </c>
      <c r="N74" s="355"/>
      <c r="O74" s="355"/>
      <c r="P74" s="261">
        <v>13</v>
      </c>
      <c r="Q74" s="261">
        <v>1891</v>
      </c>
      <c r="R74" s="182">
        <f t="shared" ref="R74:R82" si="91">Q74/P74</f>
        <v>145.46153846153845</v>
      </c>
      <c r="S74" s="110">
        <f t="shared" ref="S74:S89" si="92">RANK(R74, $R$73:$R$90)</f>
        <v>2</v>
      </c>
      <c r="T74" s="367"/>
      <c r="U74" s="261">
        <v>13</v>
      </c>
      <c r="V74" s="261">
        <v>1889</v>
      </c>
      <c r="W74" s="262">
        <f t="shared" ref="W74:W82" si="93">V74/U74</f>
        <v>145.30769230769232</v>
      </c>
      <c r="X74" s="260">
        <f t="shared" ref="X74:X89" si="94">RANK(W74, $W$73:$W$90)</f>
        <v>2</v>
      </c>
      <c r="Y74" s="367"/>
      <c r="Z74" s="261">
        <v>13</v>
      </c>
      <c r="AA74" s="261">
        <v>1893</v>
      </c>
      <c r="AB74" s="262">
        <f t="shared" ref="AB74:AB82" si="95">AA74/Z74</f>
        <v>145.61538461538461</v>
      </c>
      <c r="AC74" s="260">
        <f t="shared" ref="AC74:AC89" si="96">RANK(AB74, $AB$73:$AB$90)</f>
        <v>2</v>
      </c>
      <c r="AD74" s="367"/>
      <c r="AE74" s="261">
        <v>13</v>
      </c>
      <c r="AF74" s="261">
        <v>1718</v>
      </c>
      <c r="AG74" s="262">
        <f t="shared" ref="AG74:AG82" si="97">AF74/AE74</f>
        <v>132.15384615384616</v>
      </c>
      <c r="AH74" s="260">
        <f t="shared" ref="AH74:AH89" si="98">RANK(AG74, $AG$73:$AG$90)</f>
        <v>2</v>
      </c>
      <c r="AI74" s="367"/>
      <c r="AJ74" s="261">
        <v>13</v>
      </c>
      <c r="AK74" s="261">
        <v>1856</v>
      </c>
      <c r="AL74" s="262">
        <f t="shared" ref="AL74:AL82" si="99">AK74/AJ74</f>
        <v>142.76923076923077</v>
      </c>
      <c r="AM74" s="260">
        <f t="shared" ref="AM74:AM89" si="100">RANK(AL74, $AL$73:$AL$90)</f>
        <v>2</v>
      </c>
      <c r="AN74" s="367"/>
      <c r="AO74" s="261">
        <v>13</v>
      </c>
      <c r="AP74" s="261">
        <v>1946</v>
      </c>
      <c r="AQ74" s="262">
        <f t="shared" ref="AQ74:AQ82" si="101">AP74/AO74</f>
        <v>149.69230769230768</v>
      </c>
      <c r="AR74" s="260">
        <f t="shared" ref="AR74:AR89" si="102">RANK(AQ74, $AQ$73:$AQ$90)</f>
        <v>2</v>
      </c>
      <c r="AS74" s="367"/>
      <c r="AT74" s="261">
        <v>13</v>
      </c>
      <c r="AU74" s="261">
        <v>1926</v>
      </c>
      <c r="AV74" s="262">
        <f t="shared" ref="AV74:AV82" si="103">AU74/AT74</f>
        <v>148.15384615384616</v>
      </c>
      <c r="AW74" s="260">
        <f t="shared" ref="AW74:AW89" si="104">RANK(AV74, $AV$73:$AV$90)</f>
        <v>2</v>
      </c>
      <c r="AX74" s="367"/>
    </row>
    <row r="75" spans="2:50">
      <c r="B75" s="364"/>
      <c r="C75" s="260">
        <v>3</v>
      </c>
      <c r="D75" s="260" t="s">
        <v>104</v>
      </c>
      <c r="E75" s="261">
        <f>VLOOKUP(D75,'09產線配置圖'!$A$2:$C$30,2,0)</f>
        <v>16</v>
      </c>
      <c r="F75" s="261">
        <f>VLOOKUP(D75,'09產線配置圖'!$A$2:$C$30,3,0)</f>
        <v>1915</v>
      </c>
      <c r="G75" s="262">
        <f t="shared" si="88"/>
        <v>119.6875</v>
      </c>
      <c r="H75" s="367"/>
      <c r="I75" s="261">
        <f t="shared" si="89"/>
        <v>15.857142857142858</v>
      </c>
      <c r="J75" s="261">
        <f t="shared" si="89"/>
        <v>1610</v>
      </c>
      <c r="K75" s="262">
        <f t="shared" si="89"/>
        <v>101.56964285714285</v>
      </c>
      <c r="L75" s="367"/>
      <c r="M75" s="261">
        <f t="shared" si="90"/>
        <v>5</v>
      </c>
      <c r="N75" s="355"/>
      <c r="O75" s="355"/>
      <c r="P75" s="261">
        <v>16</v>
      </c>
      <c r="Q75" s="261">
        <v>1611</v>
      </c>
      <c r="R75" s="182">
        <f t="shared" si="91"/>
        <v>100.6875</v>
      </c>
      <c r="S75" s="110">
        <f t="shared" si="92"/>
        <v>5</v>
      </c>
      <c r="T75" s="367"/>
      <c r="U75" s="261">
        <v>16</v>
      </c>
      <c r="V75" s="261">
        <v>1550</v>
      </c>
      <c r="W75" s="262">
        <f t="shared" si="93"/>
        <v>96.875</v>
      </c>
      <c r="X75" s="260">
        <f t="shared" si="94"/>
        <v>7</v>
      </c>
      <c r="Y75" s="367"/>
      <c r="Z75" s="261">
        <v>16</v>
      </c>
      <c r="AA75" s="261">
        <v>1634</v>
      </c>
      <c r="AB75" s="262">
        <f t="shared" si="95"/>
        <v>102.125</v>
      </c>
      <c r="AC75" s="260">
        <f t="shared" si="96"/>
        <v>4</v>
      </c>
      <c r="AD75" s="367"/>
      <c r="AE75" s="261">
        <v>16</v>
      </c>
      <c r="AF75" s="261">
        <v>1617</v>
      </c>
      <c r="AG75" s="262">
        <f t="shared" si="97"/>
        <v>101.0625</v>
      </c>
      <c r="AH75" s="260">
        <f t="shared" si="98"/>
        <v>6</v>
      </c>
      <c r="AI75" s="367"/>
      <c r="AJ75" s="261">
        <v>16</v>
      </c>
      <c r="AK75" s="261">
        <v>1635</v>
      </c>
      <c r="AL75" s="262">
        <f t="shared" si="99"/>
        <v>102.1875</v>
      </c>
      <c r="AM75" s="260">
        <f t="shared" si="100"/>
        <v>4</v>
      </c>
      <c r="AN75" s="367"/>
      <c r="AO75" s="261">
        <v>16</v>
      </c>
      <c r="AP75" s="261">
        <v>1636</v>
      </c>
      <c r="AQ75" s="262">
        <f t="shared" si="101"/>
        <v>102.25</v>
      </c>
      <c r="AR75" s="260">
        <f t="shared" si="102"/>
        <v>5</v>
      </c>
      <c r="AS75" s="367"/>
      <c r="AT75" s="261">
        <v>15</v>
      </c>
      <c r="AU75" s="261">
        <v>1587</v>
      </c>
      <c r="AV75" s="262">
        <f t="shared" si="103"/>
        <v>105.8</v>
      </c>
      <c r="AW75" s="260">
        <f t="shared" si="104"/>
        <v>5</v>
      </c>
      <c r="AX75" s="367"/>
    </row>
    <row r="76" spans="2:50">
      <c r="B76" s="364"/>
      <c r="C76" s="260">
        <v>4</v>
      </c>
      <c r="D76" s="260" t="s">
        <v>105</v>
      </c>
      <c r="E76" s="261">
        <f>VLOOKUP(D76,'09產線配置圖'!$A$2:$C$30,2,0)</f>
        <v>18</v>
      </c>
      <c r="F76" s="261">
        <f>VLOOKUP(D76,'09產線配置圖'!$A$2:$C$30,3,0)</f>
        <v>1565</v>
      </c>
      <c r="G76" s="262">
        <f t="shared" si="88"/>
        <v>86.944444444444443</v>
      </c>
      <c r="H76" s="367"/>
      <c r="I76" s="261">
        <f t="shared" si="89"/>
        <v>17.857142857142858</v>
      </c>
      <c r="J76" s="261">
        <f t="shared" si="89"/>
        <v>1513.5714285714287</v>
      </c>
      <c r="K76" s="262">
        <f t="shared" si="89"/>
        <v>84.739495798319325</v>
      </c>
      <c r="L76" s="367"/>
      <c r="M76" s="261">
        <f t="shared" si="90"/>
        <v>10</v>
      </c>
      <c r="N76" s="355"/>
      <c r="O76" s="355"/>
      <c r="P76" s="261">
        <v>18</v>
      </c>
      <c r="Q76" s="261">
        <v>1558</v>
      </c>
      <c r="R76" s="182">
        <f t="shared" si="91"/>
        <v>86.555555555555557</v>
      </c>
      <c r="S76" s="110">
        <f t="shared" si="92"/>
        <v>10</v>
      </c>
      <c r="T76" s="367"/>
      <c r="U76" s="261">
        <v>18</v>
      </c>
      <c r="V76" s="261">
        <v>1458</v>
      </c>
      <c r="W76" s="262">
        <f t="shared" si="93"/>
        <v>81</v>
      </c>
      <c r="X76" s="260">
        <f t="shared" si="94"/>
        <v>11</v>
      </c>
      <c r="Y76" s="367"/>
      <c r="Z76" s="261">
        <v>18</v>
      </c>
      <c r="AA76" s="261">
        <v>1519</v>
      </c>
      <c r="AB76" s="262">
        <f t="shared" si="95"/>
        <v>84.388888888888886</v>
      </c>
      <c r="AC76" s="260">
        <f t="shared" si="96"/>
        <v>9</v>
      </c>
      <c r="AD76" s="367"/>
      <c r="AE76" s="261">
        <v>17</v>
      </c>
      <c r="AF76" s="261">
        <v>1397</v>
      </c>
      <c r="AG76" s="262">
        <f t="shared" si="97"/>
        <v>82.17647058823529</v>
      </c>
      <c r="AH76" s="260">
        <f t="shared" si="98"/>
        <v>8</v>
      </c>
      <c r="AI76" s="367"/>
      <c r="AJ76" s="261">
        <v>18</v>
      </c>
      <c r="AK76" s="261">
        <v>1544</v>
      </c>
      <c r="AL76" s="262">
        <f t="shared" si="99"/>
        <v>85.777777777777771</v>
      </c>
      <c r="AM76" s="260">
        <f t="shared" si="100"/>
        <v>7</v>
      </c>
      <c r="AN76" s="367"/>
      <c r="AO76" s="261">
        <v>18</v>
      </c>
      <c r="AP76" s="261">
        <v>1562</v>
      </c>
      <c r="AQ76" s="262">
        <f t="shared" si="101"/>
        <v>86.777777777777771</v>
      </c>
      <c r="AR76" s="260">
        <f t="shared" si="102"/>
        <v>10</v>
      </c>
      <c r="AS76" s="367"/>
      <c r="AT76" s="261">
        <v>18</v>
      </c>
      <c r="AU76" s="261">
        <v>1557</v>
      </c>
      <c r="AV76" s="262">
        <f t="shared" si="103"/>
        <v>86.5</v>
      </c>
      <c r="AW76" s="260">
        <f t="shared" si="104"/>
        <v>11</v>
      </c>
      <c r="AX76" s="367"/>
    </row>
    <row r="77" spans="2:50">
      <c r="B77" s="364"/>
      <c r="C77" s="260">
        <v>5</v>
      </c>
      <c r="D77" s="260" t="s">
        <v>106</v>
      </c>
      <c r="E77" s="261">
        <f>VLOOKUP(D77,'09產線配置圖'!$A$2:$C$30,2,0)</f>
        <v>13</v>
      </c>
      <c r="F77" s="261">
        <f>VLOOKUP(D77,'09產線配置圖'!$A$2:$C$30,3,0)</f>
        <v>2000</v>
      </c>
      <c r="G77" s="262">
        <f t="shared" si="88"/>
        <v>153.84615384615384</v>
      </c>
      <c r="H77" s="367"/>
      <c r="I77" s="261">
        <f t="shared" si="89"/>
        <v>13.142857142857142</v>
      </c>
      <c r="J77" s="261">
        <f t="shared" si="89"/>
        <v>1251.7142857142858</v>
      </c>
      <c r="K77" s="262">
        <f t="shared" si="89"/>
        <v>95.893353670139376</v>
      </c>
      <c r="L77" s="367"/>
      <c r="M77" s="261">
        <f t="shared" si="90"/>
        <v>7</v>
      </c>
      <c r="N77" s="355"/>
      <c r="O77" s="355"/>
      <c r="P77" s="261">
        <v>14</v>
      </c>
      <c r="Q77" s="261">
        <v>1212</v>
      </c>
      <c r="R77" s="182">
        <f t="shared" si="91"/>
        <v>86.571428571428569</v>
      </c>
      <c r="S77" s="110">
        <f t="shared" si="92"/>
        <v>9</v>
      </c>
      <c r="T77" s="367"/>
      <c r="U77" s="261">
        <v>14</v>
      </c>
      <c r="V77" s="261">
        <v>1409</v>
      </c>
      <c r="W77" s="262">
        <f t="shared" si="93"/>
        <v>100.64285714285714</v>
      </c>
      <c r="X77" s="260">
        <f t="shared" si="94"/>
        <v>5</v>
      </c>
      <c r="Y77" s="367"/>
      <c r="Z77" s="261">
        <v>12</v>
      </c>
      <c r="AA77" s="261">
        <v>1057</v>
      </c>
      <c r="AB77" s="262">
        <f t="shared" si="95"/>
        <v>88.083333333333329</v>
      </c>
      <c r="AC77" s="260">
        <f t="shared" si="96"/>
        <v>8</v>
      </c>
      <c r="AD77" s="367"/>
      <c r="AE77" s="261">
        <v>11</v>
      </c>
      <c r="AF77" s="261">
        <v>1113</v>
      </c>
      <c r="AG77" s="262">
        <f t="shared" si="97"/>
        <v>101.18181818181819</v>
      </c>
      <c r="AH77" s="260">
        <f t="shared" si="98"/>
        <v>5</v>
      </c>
      <c r="AI77" s="367"/>
      <c r="AJ77" s="261">
        <v>13</v>
      </c>
      <c r="AK77" s="261">
        <v>1059</v>
      </c>
      <c r="AL77" s="262">
        <f t="shared" si="99"/>
        <v>81.461538461538467</v>
      </c>
      <c r="AM77" s="260">
        <f t="shared" si="100"/>
        <v>8</v>
      </c>
      <c r="AN77" s="367"/>
      <c r="AO77" s="261">
        <v>16</v>
      </c>
      <c r="AP77" s="261">
        <v>1409</v>
      </c>
      <c r="AQ77" s="262">
        <f t="shared" si="101"/>
        <v>88.0625</v>
      </c>
      <c r="AR77" s="260">
        <f t="shared" si="102"/>
        <v>8</v>
      </c>
      <c r="AS77" s="367"/>
      <c r="AT77" s="261">
        <v>12</v>
      </c>
      <c r="AU77" s="261">
        <v>1503</v>
      </c>
      <c r="AV77" s="262">
        <f t="shared" si="103"/>
        <v>125.25</v>
      </c>
      <c r="AW77" s="260">
        <f t="shared" si="104"/>
        <v>4</v>
      </c>
      <c r="AX77" s="367"/>
    </row>
    <row r="78" spans="2:50">
      <c r="B78" s="364"/>
      <c r="C78" s="260">
        <v>6</v>
      </c>
      <c r="D78" s="260" t="s">
        <v>107</v>
      </c>
      <c r="E78" s="261">
        <f>VLOOKUP(D78,'09產線配置圖'!$A$2:$C$30,2,0)</f>
        <v>16</v>
      </c>
      <c r="F78" s="261">
        <f>VLOOKUP(D78,'09產線配置圖'!$A$2:$C$30,3,0)</f>
        <v>1895</v>
      </c>
      <c r="G78" s="262">
        <f t="shared" si="88"/>
        <v>118.4375</v>
      </c>
      <c r="H78" s="367"/>
      <c r="I78" s="261">
        <f t="shared" si="89"/>
        <v>15.428571428571429</v>
      </c>
      <c r="J78" s="261">
        <f t="shared" si="89"/>
        <v>1698.8571428571429</v>
      </c>
      <c r="K78" s="262">
        <f t="shared" si="89"/>
        <v>110.44005102040818</v>
      </c>
      <c r="L78" s="367"/>
      <c r="M78" s="261">
        <f t="shared" si="90"/>
        <v>3</v>
      </c>
      <c r="N78" s="355"/>
      <c r="O78" s="355"/>
      <c r="P78" s="261">
        <v>16</v>
      </c>
      <c r="Q78" s="261">
        <v>1887</v>
      </c>
      <c r="R78" s="182">
        <f t="shared" si="91"/>
        <v>117.9375</v>
      </c>
      <c r="S78" s="110">
        <f t="shared" si="92"/>
        <v>3</v>
      </c>
      <c r="T78" s="367"/>
      <c r="U78" s="261">
        <v>16</v>
      </c>
      <c r="V78" s="261">
        <v>1889</v>
      </c>
      <c r="W78" s="262">
        <f t="shared" si="93"/>
        <v>118.0625</v>
      </c>
      <c r="X78" s="260">
        <f t="shared" si="94"/>
        <v>3</v>
      </c>
      <c r="Y78" s="367"/>
      <c r="Z78" s="261">
        <v>16</v>
      </c>
      <c r="AA78" s="261">
        <v>1538</v>
      </c>
      <c r="AB78" s="262">
        <f t="shared" si="95"/>
        <v>96.125</v>
      </c>
      <c r="AC78" s="260">
        <f t="shared" si="96"/>
        <v>5</v>
      </c>
      <c r="AD78" s="367"/>
      <c r="AE78" s="261">
        <v>16</v>
      </c>
      <c r="AF78" s="261">
        <v>1662</v>
      </c>
      <c r="AG78" s="262">
        <f t="shared" si="97"/>
        <v>103.875</v>
      </c>
      <c r="AH78" s="260">
        <f t="shared" si="98"/>
        <v>3</v>
      </c>
      <c r="AI78" s="367"/>
      <c r="AJ78" s="261">
        <v>16</v>
      </c>
      <c r="AK78" s="261">
        <v>1575</v>
      </c>
      <c r="AL78" s="262">
        <f t="shared" si="99"/>
        <v>98.4375</v>
      </c>
      <c r="AM78" s="260">
        <f t="shared" si="100"/>
        <v>5</v>
      </c>
      <c r="AN78" s="367"/>
      <c r="AO78" s="261">
        <v>14</v>
      </c>
      <c r="AP78" s="261">
        <v>1552</v>
      </c>
      <c r="AQ78" s="262">
        <f t="shared" si="101"/>
        <v>110.85714285714286</v>
      </c>
      <c r="AR78" s="260">
        <f t="shared" si="102"/>
        <v>3</v>
      </c>
      <c r="AS78" s="367"/>
      <c r="AT78" s="261">
        <v>14</v>
      </c>
      <c r="AU78" s="261">
        <v>1789</v>
      </c>
      <c r="AV78" s="262">
        <f t="shared" si="103"/>
        <v>127.78571428571429</v>
      </c>
      <c r="AW78" s="260">
        <f t="shared" si="104"/>
        <v>3</v>
      </c>
      <c r="AX78" s="367"/>
    </row>
    <row r="79" spans="2:50">
      <c r="B79" s="364"/>
      <c r="C79" s="260">
        <v>7</v>
      </c>
      <c r="D79" s="260" t="s">
        <v>108</v>
      </c>
      <c r="E79" s="261">
        <f>VLOOKUP(D79,'09產線配置圖'!$A$2:$C$30,2,0)</f>
        <v>16</v>
      </c>
      <c r="F79" s="261">
        <f>VLOOKUP(D79,'09產線配置圖'!$A$2:$C$30,3,0)</f>
        <v>1552</v>
      </c>
      <c r="G79" s="262">
        <f t="shared" si="88"/>
        <v>97</v>
      </c>
      <c r="H79" s="367"/>
      <c r="I79" s="261"/>
      <c r="J79" s="261"/>
      <c r="K79" s="262"/>
      <c r="L79" s="367"/>
      <c r="M79" s="261"/>
      <c r="N79" s="355"/>
      <c r="O79" s="355"/>
      <c r="P79" s="261"/>
      <c r="Q79" s="261"/>
      <c r="R79" s="182"/>
      <c r="S79" s="110"/>
      <c r="T79" s="367"/>
      <c r="U79" s="261"/>
      <c r="V79" s="261"/>
      <c r="W79" s="262"/>
      <c r="X79" s="260"/>
      <c r="Y79" s="367"/>
      <c r="Z79" s="261"/>
      <c r="AA79" s="261"/>
      <c r="AB79" s="262"/>
      <c r="AC79" s="260"/>
      <c r="AD79" s="367"/>
      <c r="AE79" s="261"/>
      <c r="AF79" s="261"/>
      <c r="AG79" s="262"/>
      <c r="AH79" s="260"/>
      <c r="AI79" s="367"/>
      <c r="AJ79" s="261"/>
      <c r="AK79" s="261"/>
      <c r="AL79" s="262"/>
      <c r="AM79" s="260"/>
      <c r="AN79" s="367"/>
      <c r="AO79" s="261"/>
      <c r="AP79" s="261"/>
      <c r="AQ79" s="262"/>
      <c r="AR79" s="260"/>
      <c r="AS79" s="367"/>
      <c r="AT79" s="261"/>
      <c r="AU79" s="261"/>
      <c r="AV79" s="262"/>
      <c r="AW79" s="260"/>
      <c r="AX79" s="367"/>
    </row>
    <row r="80" spans="2:50">
      <c r="B80" s="364"/>
      <c r="C80" s="260">
        <v>8</v>
      </c>
      <c r="D80" s="260" t="s">
        <v>109</v>
      </c>
      <c r="E80" s="261">
        <f>VLOOKUP(D80,'09產線配置圖'!$A$2:$C$30,2,0)</f>
        <v>15</v>
      </c>
      <c r="F80" s="261">
        <f>VLOOKUP(D80,'09產線配置圖'!$A$2:$C$30,3,0)</f>
        <v>1565</v>
      </c>
      <c r="G80" s="262">
        <f t="shared" si="88"/>
        <v>104.33333333333333</v>
      </c>
      <c r="H80" s="367"/>
      <c r="I80" s="261">
        <f t="shared" si="89"/>
        <v>15</v>
      </c>
      <c r="J80" s="261">
        <f t="shared" si="89"/>
        <v>1537</v>
      </c>
      <c r="K80" s="262">
        <f t="shared" si="89"/>
        <v>102.46666666666665</v>
      </c>
      <c r="L80" s="367"/>
      <c r="M80" s="261">
        <f t="shared" si="90"/>
        <v>4</v>
      </c>
      <c r="N80" s="355"/>
      <c r="O80" s="355"/>
      <c r="P80" s="261">
        <v>15</v>
      </c>
      <c r="Q80" s="261">
        <v>1556</v>
      </c>
      <c r="R80" s="182">
        <f t="shared" si="91"/>
        <v>103.73333333333333</v>
      </c>
      <c r="S80" s="110">
        <f t="shared" si="92"/>
        <v>4</v>
      </c>
      <c r="T80" s="367"/>
      <c r="U80" s="261">
        <v>15</v>
      </c>
      <c r="V80" s="261">
        <v>1466</v>
      </c>
      <c r="W80" s="262">
        <f t="shared" si="93"/>
        <v>97.733333333333334</v>
      </c>
      <c r="X80" s="260">
        <f t="shared" si="94"/>
        <v>6</v>
      </c>
      <c r="Y80" s="367"/>
      <c r="Z80" s="261">
        <v>15</v>
      </c>
      <c r="AA80" s="261">
        <v>1561</v>
      </c>
      <c r="AB80" s="262">
        <f t="shared" si="95"/>
        <v>104.06666666666666</v>
      </c>
      <c r="AC80" s="260">
        <f t="shared" si="96"/>
        <v>3</v>
      </c>
      <c r="AD80" s="367"/>
      <c r="AE80" s="261">
        <v>15</v>
      </c>
      <c r="AF80" s="261">
        <v>1554</v>
      </c>
      <c r="AG80" s="262">
        <f t="shared" si="97"/>
        <v>103.6</v>
      </c>
      <c r="AH80" s="260">
        <f t="shared" si="98"/>
        <v>4</v>
      </c>
      <c r="AI80" s="367"/>
      <c r="AJ80" s="261">
        <v>15</v>
      </c>
      <c r="AK80" s="261">
        <v>1536</v>
      </c>
      <c r="AL80" s="262">
        <f t="shared" si="99"/>
        <v>102.4</v>
      </c>
      <c r="AM80" s="260">
        <f t="shared" si="100"/>
        <v>3</v>
      </c>
      <c r="AN80" s="367"/>
      <c r="AO80" s="261">
        <v>15</v>
      </c>
      <c r="AP80" s="261">
        <v>1531</v>
      </c>
      <c r="AQ80" s="262">
        <f t="shared" si="101"/>
        <v>102.06666666666666</v>
      </c>
      <c r="AR80" s="260">
        <f t="shared" si="102"/>
        <v>6</v>
      </c>
      <c r="AS80" s="367"/>
      <c r="AT80" s="261">
        <v>15</v>
      </c>
      <c r="AU80" s="261">
        <v>1555</v>
      </c>
      <c r="AV80" s="262">
        <f t="shared" si="103"/>
        <v>103.66666666666667</v>
      </c>
      <c r="AW80" s="260">
        <f t="shared" si="104"/>
        <v>6</v>
      </c>
      <c r="AX80" s="367"/>
    </row>
    <row r="81" spans="2:50">
      <c r="B81" s="364"/>
      <c r="C81" s="260">
        <v>9</v>
      </c>
      <c r="D81" s="260" t="s">
        <v>110</v>
      </c>
      <c r="E81" s="261">
        <f>VLOOKUP(D81,'09產線配置圖'!$A$2:$C$30,2,0)</f>
        <v>16</v>
      </c>
      <c r="F81" s="261">
        <f>VLOOKUP(D81,'09產線配置圖'!$A$2:$C$30,3,0)</f>
        <v>1390</v>
      </c>
      <c r="G81" s="262">
        <f t="shared" si="88"/>
        <v>86.875</v>
      </c>
      <c r="H81" s="367"/>
      <c r="I81" s="261">
        <f t="shared" si="89"/>
        <v>15</v>
      </c>
      <c r="J81" s="261">
        <f t="shared" si="89"/>
        <v>994.57142857142856</v>
      </c>
      <c r="K81" s="262">
        <f t="shared" si="89"/>
        <v>66.52884615384616</v>
      </c>
      <c r="L81" s="367"/>
      <c r="M81" s="261">
        <f t="shared" si="90"/>
        <v>16</v>
      </c>
      <c r="N81" s="355"/>
      <c r="O81" s="355"/>
      <c r="P81" s="261">
        <v>16</v>
      </c>
      <c r="Q81" s="261">
        <v>926</v>
      </c>
      <c r="R81" s="182">
        <f t="shared" si="91"/>
        <v>57.875</v>
      </c>
      <c r="S81" s="110">
        <f t="shared" si="92"/>
        <v>16</v>
      </c>
      <c r="T81" s="367"/>
      <c r="U81" s="261">
        <v>16</v>
      </c>
      <c r="V81" s="261">
        <v>1072</v>
      </c>
      <c r="W81" s="262">
        <f t="shared" si="93"/>
        <v>67</v>
      </c>
      <c r="X81" s="260">
        <f t="shared" si="94"/>
        <v>15</v>
      </c>
      <c r="Y81" s="367"/>
      <c r="Z81" s="261">
        <v>14</v>
      </c>
      <c r="AA81" s="261">
        <v>974</v>
      </c>
      <c r="AB81" s="262">
        <f t="shared" si="95"/>
        <v>69.571428571428569</v>
      </c>
      <c r="AC81" s="260">
        <f t="shared" si="96"/>
        <v>13</v>
      </c>
      <c r="AD81" s="367"/>
      <c r="AE81" s="261">
        <v>13</v>
      </c>
      <c r="AF81" s="261">
        <v>911</v>
      </c>
      <c r="AG81" s="262">
        <f t="shared" si="97"/>
        <v>70.07692307692308</v>
      </c>
      <c r="AH81" s="260">
        <f t="shared" si="98"/>
        <v>15</v>
      </c>
      <c r="AI81" s="367"/>
      <c r="AJ81" s="261">
        <v>16</v>
      </c>
      <c r="AK81" s="261">
        <v>883</v>
      </c>
      <c r="AL81" s="262">
        <f t="shared" si="99"/>
        <v>55.1875</v>
      </c>
      <c r="AM81" s="260">
        <f t="shared" si="100"/>
        <v>16</v>
      </c>
      <c r="AN81" s="367"/>
      <c r="AO81" s="261">
        <v>16</v>
      </c>
      <c r="AP81" s="261">
        <v>1217</v>
      </c>
      <c r="AQ81" s="262">
        <f t="shared" si="101"/>
        <v>76.0625</v>
      </c>
      <c r="AR81" s="260">
        <f t="shared" si="102"/>
        <v>13</v>
      </c>
      <c r="AS81" s="367"/>
      <c r="AT81" s="261">
        <v>14</v>
      </c>
      <c r="AU81" s="261">
        <v>979</v>
      </c>
      <c r="AV81" s="262">
        <f t="shared" si="103"/>
        <v>69.928571428571431</v>
      </c>
      <c r="AW81" s="260">
        <f t="shared" si="104"/>
        <v>13</v>
      </c>
      <c r="AX81" s="367"/>
    </row>
    <row r="82" spans="2:50">
      <c r="B82" s="364"/>
      <c r="C82" s="260">
        <v>10</v>
      </c>
      <c r="D82" s="260" t="s">
        <v>111</v>
      </c>
      <c r="E82" s="261">
        <f>VLOOKUP(D82,'09產線配置圖'!$A$2:$C$30,2,0)</f>
        <v>19</v>
      </c>
      <c r="F82" s="261">
        <f>VLOOKUP(D82,'09產線配置圖'!$A$2:$C$30,3,0)</f>
        <v>1565</v>
      </c>
      <c r="G82" s="262">
        <f t="shared" si="88"/>
        <v>82.368421052631575</v>
      </c>
      <c r="H82" s="367"/>
      <c r="I82" s="261">
        <f t="shared" si="89"/>
        <v>15</v>
      </c>
      <c r="J82" s="261">
        <f t="shared" si="89"/>
        <v>999.85714285714289</v>
      </c>
      <c r="K82" s="262">
        <f t="shared" si="89"/>
        <v>67.498171252306591</v>
      </c>
      <c r="L82" s="367"/>
      <c r="M82" s="261">
        <f t="shared" si="90"/>
        <v>15</v>
      </c>
      <c r="N82" s="355"/>
      <c r="O82" s="355"/>
      <c r="P82" s="261">
        <v>16</v>
      </c>
      <c r="Q82" s="261">
        <v>1015</v>
      </c>
      <c r="R82" s="182">
        <f t="shared" si="91"/>
        <v>63.4375</v>
      </c>
      <c r="S82" s="110">
        <f t="shared" si="92"/>
        <v>15</v>
      </c>
      <c r="T82" s="367"/>
      <c r="U82" s="261">
        <v>19</v>
      </c>
      <c r="V82" s="261">
        <v>991</v>
      </c>
      <c r="W82" s="262">
        <f t="shared" si="93"/>
        <v>52.157894736842103</v>
      </c>
      <c r="X82" s="260">
        <f t="shared" si="94"/>
        <v>16</v>
      </c>
      <c r="Y82" s="367"/>
      <c r="Z82" s="261">
        <v>15</v>
      </c>
      <c r="AA82" s="261">
        <v>1067</v>
      </c>
      <c r="AB82" s="262">
        <f t="shared" si="95"/>
        <v>71.13333333333334</v>
      </c>
      <c r="AC82" s="260">
        <f t="shared" si="96"/>
        <v>12</v>
      </c>
      <c r="AD82" s="367"/>
      <c r="AE82" s="261">
        <v>12</v>
      </c>
      <c r="AF82" s="261">
        <v>889</v>
      </c>
      <c r="AG82" s="262">
        <f t="shared" si="97"/>
        <v>74.083333333333329</v>
      </c>
      <c r="AH82" s="260">
        <f t="shared" si="98"/>
        <v>12</v>
      </c>
      <c r="AI82" s="367"/>
      <c r="AJ82" s="261">
        <v>14</v>
      </c>
      <c r="AK82" s="261">
        <v>1040</v>
      </c>
      <c r="AL82" s="262">
        <f t="shared" si="99"/>
        <v>74.285714285714292</v>
      </c>
      <c r="AM82" s="260">
        <f t="shared" si="100"/>
        <v>11</v>
      </c>
      <c r="AN82" s="367"/>
      <c r="AO82" s="261">
        <v>16</v>
      </c>
      <c r="AP82" s="261">
        <v>1125</v>
      </c>
      <c r="AQ82" s="262">
        <f t="shared" si="101"/>
        <v>70.3125</v>
      </c>
      <c r="AR82" s="260">
        <f t="shared" si="102"/>
        <v>15</v>
      </c>
      <c r="AS82" s="367"/>
      <c r="AT82" s="261">
        <v>13</v>
      </c>
      <c r="AU82" s="261">
        <v>872</v>
      </c>
      <c r="AV82" s="262">
        <f t="shared" si="103"/>
        <v>67.07692307692308</v>
      </c>
      <c r="AW82" s="260">
        <f t="shared" si="104"/>
        <v>15</v>
      </c>
      <c r="AX82" s="367"/>
    </row>
    <row r="83" spans="2:50">
      <c r="B83" s="364"/>
      <c r="C83" s="260">
        <v>11</v>
      </c>
      <c r="D83" s="260" t="s">
        <v>112</v>
      </c>
      <c r="E83" s="261">
        <f>VLOOKUP(D83,'09產線配置圖'!$A$2:$C$30,2,0)</f>
        <v>18</v>
      </c>
      <c r="F83" s="261">
        <f>VLOOKUP(D83,'09產線配置圖'!$A$2:$C$30,3,0)</f>
        <v>1500</v>
      </c>
      <c r="G83" s="262">
        <f t="shared" si="88"/>
        <v>83.333333333333329</v>
      </c>
      <c r="H83" s="367"/>
      <c r="I83" s="261">
        <f t="shared" ref="I83:I86" si="105">AVERAGE(P83,U83,Z83,AE83,AJ83,AO83,AT83)</f>
        <v>14.428571428571429</v>
      </c>
      <c r="J83" s="261">
        <f t="shared" ref="J83:J86" si="106">AVERAGE(Q83,V83,AA83,AF83,AK83,AP83,AU83)</f>
        <v>1035</v>
      </c>
      <c r="K83" s="262">
        <f t="shared" ref="K83:K86" si="107">AVERAGE(R83,W83,AB83,AG83,AL83,AQ83,AV83)</f>
        <v>71.927218614718612</v>
      </c>
      <c r="L83" s="367"/>
      <c r="M83" s="261">
        <f t="shared" si="90"/>
        <v>13</v>
      </c>
      <c r="N83" s="355"/>
      <c r="O83" s="355"/>
      <c r="P83" s="260">
        <v>16</v>
      </c>
      <c r="Q83" s="260">
        <v>1045</v>
      </c>
      <c r="R83" s="182">
        <f>Q83/P83</f>
        <v>65.3125</v>
      </c>
      <c r="S83" s="110">
        <f t="shared" si="92"/>
        <v>14</v>
      </c>
      <c r="T83" s="367"/>
      <c r="U83" s="260">
        <v>17</v>
      </c>
      <c r="V83" s="260">
        <v>1269</v>
      </c>
      <c r="W83" s="262">
        <f>V83/U83</f>
        <v>74.647058823529406</v>
      </c>
      <c r="X83" s="260">
        <f t="shared" si="94"/>
        <v>12</v>
      </c>
      <c r="Y83" s="367"/>
      <c r="Z83" s="260">
        <v>12</v>
      </c>
      <c r="AA83" s="260">
        <v>957</v>
      </c>
      <c r="AB83" s="262">
        <f>AA83/Z83</f>
        <v>79.75</v>
      </c>
      <c r="AC83" s="260">
        <f t="shared" si="96"/>
        <v>11</v>
      </c>
      <c r="AD83" s="367"/>
      <c r="AE83" s="260">
        <v>11</v>
      </c>
      <c r="AF83" s="260">
        <v>799</v>
      </c>
      <c r="AG83" s="262">
        <f>AF83/AE83</f>
        <v>72.63636363636364</v>
      </c>
      <c r="AH83" s="260">
        <f t="shared" si="98"/>
        <v>13</v>
      </c>
      <c r="AI83" s="367"/>
      <c r="AJ83" s="260">
        <v>12</v>
      </c>
      <c r="AK83" s="260">
        <v>824</v>
      </c>
      <c r="AL83" s="262">
        <f>AK83/AJ83</f>
        <v>68.666666666666671</v>
      </c>
      <c r="AM83" s="260">
        <f t="shared" si="100"/>
        <v>14</v>
      </c>
      <c r="AN83" s="367"/>
      <c r="AO83" s="260">
        <v>16</v>
      </c>
      <c r="AP83" s="260">
        <v>1138</v>
      </c>
      <c r="AQ83" s="262">
        <f>AP83/AO83</f>
        <v>71.125</v>
      </c>
      <c r="AR83" s="260">
        <f t="shared" si="102"/>
        <v>14</v>
      </c>
      <c r="AS83" s="367"/>
      <c r="AT83" s="260">
        <v>17</v>
      </c>
      <c r="AU83" s="260">
        <v>1213</v>
      </c>
      <c r="AV83" s="262">
        <f>AU83/AT83</f>
        <v>71.352941176470594</v>
      </c>
      <c r="AW83" s="260">
        <f t="shared" si="104"/>
        <v>12</v>
      </c>
      <c r="AX83" s="367"/>
    </row>
    <row r="84" spans="2:50">
      <c r="B84" s="364"/>
      <c r="C84" s="260">
        <v>12</v>
      </c>
      <c r="D84" s="260" t="s">
        <v>113</v>
      </c>
      <c r="E84" s="261">
        <f>VLOOKUP(D84,'09產線配置圖'!$A$2:$C$30,2,0)</f>
        <v>18</v>
      </c>
      <c r="F84" s="261">
        <f>VLOOKUP(D84,'09產線配置圖'!$A$2:$C$30,3,0)</f>
        <v>1385</v>
      </c>
      <c r="G84" s="262">
        <f t="shared" si="88"/>
        <v>76.944444444444443</v>
      </c>
      <c r="H84" s="367"/>
      <c r="I84" s="261">
        <f t="shared" si="105"/>
        <v>16.428571428571427</v>
      </c>
      <c r="J84" s="261">
        <f t="shared" si="106"/>
        <v>1124.5714285714287</v>
      </c>
      <c r="K84" s="262">
        <f t="shared" si="107"/>
        <v>68.532381285847677</v>
      </c>
      <c r="L84" s="367"/>
      <c r="M84" s="261">
        <f t="shared" si="90"/>
        <v>14</v>
      </c>
      <c r="N84" s="355"/>
      <c r="O84" s="355"/>
      <c r="P84" s="260">
        <v>16</v>
      </c>
      <c r="Q84" s="260">
        <v>1087</v>
      </c>
      <c r="R84" s="182">
        <f t="shared" ref="R84:R89" si="108">Q84/P84</f>
        <v>67.9375</v>
      </c>
      <c r="S84" s="110">
        <f t="shared" si="92"/>
        <v>13</v>
      </c>
      <c r="T84" s="367"/>
      <c r="U84" s="260">
        <v>18</v>
      </c>
      <c r="V84" s="260">
        <v>1251</v>
      </c>
      <c r="W84" s="262">
        <f t="shared" ref="W84:W89" si="109">V84/U84</f>
        <v>69.5</v>
      </c>
      <c r="X84" s="260">
        <f t="shared" si="94"/>
        <v>14</v>
      </c>
      <c r="Y84" s="367"/>
      <c r="Z84" s="260">
        <v>17</v>
      </c>
      <c r="AA84" s="260">
        <v>1100</v>
      </c>
      <c r="AB84" s="262">
        <f t="shared" ref="AB84:AB89" si="110">AA84/Z84</f>
        <v>64.705882352941174</v>
      </c>
      <c r="AC84" s="260">
        <f t="shared" si="96"/>
        <v>14</v>
      </c>
      <c r="AD84" s="367"/>
      <c r="AE84" s="260">
        <v>15</v>
      </c>
      <c r="AF84" s="260">
        <v>1048</v>
      </c>
      <c r="AG84" s="262">
        <f>AF84/AE84</f>
        <v>69.86666666666666</v>
      </c>
      <c r="AH84" s="260">
        <f t="shared" si="98"/>
        <v>16</v>
      </c>
      <c r="AI84" s="367"/>
      <c r="AJ84" s="260">
        <v>14</v>
      </c>
      <c r="AK84" s="260">
        <v>999</v>
      </c>
      <c r="AL84" s="262">
        <f>AK84/AJ84</f>
        <v>71.357142857142861</v>
      </c>
      <c r="AM84" s="260">
        <f t="shared" si="100"/>
        <v>12</v>
      </c>
      <c r="AN84" s="367"/>
      <c r="AO84" s="260">
        <v>18</v>
      </c>
      <c r="AP84" s="260">
        <v>1240</v>
      </c>
      <c r="AQ84" s="262">
        <f>AP84/AO84</f>
        <v>68.888888888888886</v>
      </c>
      <c r="AR84" s="260">
        <f t="shared" ref="AR84" si="111">RANK(AQ84, $AQ$73:$AQ$90)</f>
        <v>16</v>
      </c>
      <c r="AS84" s="367"/>
      <c r="AT84" s="260">
        <v>17</v>
      </c>
      <c r="AU84" s="260">
        <v>1147</v>
      </c>
      <c r="AV84" s="262">
        <f t="shared" ref="AV84:AV89" si="112">AU84/AT84</f>
        <v>67.470588235294116</v>
      </c>
      <c r="AW84" s="260">
        <f t="shared" si="104"/>
        <v>14</v>
      </c>
      <c r="AX84" s="367"/>
    </row>
    <row r="85" spans="2:50">
      <c r="B85" s="364"/>
      <c r="C85" s="260">
        <v>13</v>
      </c>
      <c r="D85" s="260" t="s">
        <v>114</v>
      </c>
      <c r="E85" s="261">
        <f>VLOOKUP(D85,'09產線配置圖'!$A$2:$C$30,2,0)</f>
        <v>17</v>
      </c>
      <c r="F85" s="261">
        <f>VLOOKUP(D85,'09產線配置圖'!$A$2:$C$30,3,0)</f>
        <v>1565</v>
      </c>
      <c r="G85" s="262">
        <f t="shared" si="88"/>
        <v>92.058823529411768</v>
      </c>
      <c r="H85" s="367"/>
      <c r="I85" s="261">
        <f t="shared" si="105"/>
        <v>14.857142857142858</v>
      </c>
      <c r="J85" s="261">
        <f t="shared" si="106"/>
        <v>1282</v>
      </c>
      <c r="K85" s="262">
        <f t="shared" si="107"/>
        <v>86.339285714285737</v>
      </c>
      <c r="L85" s="367"/>
      <c r="M85" s="261">
        <f t="shared" si="90"/>
        <v>8</v>
      </c>
      <c r="N85" s="355"/>
      <c r="O85" s="355"/>
      <c r="P85" s="260">
        <v>16</v>
      </c>
      <c r="Q85" s="260">
        <v>1353</v>
      </c>
      <c r="R85" s="182">
        <f t="shared" si="108"/>
        <v>84.5625</v>
      </c>
      <c r="S85" s="110">
        <f t="shared" si="92"/>
        <v>11</v>
      </c>
      <c r="T85" s="367"/>
      <c r="U85" s="260">
        <v>16</v>
      </c>
      <c r="V85" s="260">
        <v>1386</v>
      </c>
      <c r="W85" s="262">
        <f t="shared" si="109"/>
        <v>86.625</v>
      </c>
      <c r="X85" s="260">
        <f t="shared" si="94"/>
        <v>10</v>
      </c>
      <c r="Y85" s="367"/>
      <c r="Z85" s="260">
        <v>14</v>
      </c>
      <c r="AA85" s="260">
        <v>1121</v>
      </c>
      <c r="AB85" s="262">
        <f t="shared" si="110"/>
        <v>80.071428571428569</v>
      </c>
      <c r="AC85" s="260">
        <f t="shared" si="96"/>
        <v>10</v>
      </c>
      <c r="AD85" s="367"/>
      <c r="AE85" s="260">
        <v>14</v>
      </c>
      <c r="AF85" s="260">
        <v>1347</v>
      </c>
      <c r="AG85" s="262">
        <f t="shared" ref="AG85:AG87" si="113">AF85/AE85</f>
        <v>96.214285714285708</v>
      </c>
      <c r="AH85" s="260">
        <f t="shared" si="98"/>
        <v>7</v>
      </c>
      <c r="AI85" s="367"/>
      <c r="AJ85" s="260">
        <v>14</v>
      </c>
      <c r="AK85" s="260">
        <v>1119</v>
      </c>
      <c r="AL85" s="262">
        <f t="shared" ref="AL85:AL87" si="114">AK85/AJ85</f>
        <v>79.928571428571431</v>
      </c>
      <c r="AM85" s="260">
        <f t="shared" si="100"/>
        <v>9</v>
      </c>
      <c r="AN85" s="367"/>
      <c r="AO85" s="260">
        <v>16</v>
      </c>
      <c r="AP85" s="260">
        <v>1363</v>
      </c>
      <c r="AQ85" s="262">
        <f t="shared" ref="AQ85:AQ87" si="115">AP85/AO85</f>
        <v>85.1875</v>
      </c>
      <c r="AR85" s="260">
        <f t="shared" si="102"/>
        <v>11</v>
      </c>
      <c r="AS85" s="367"/>
      <c r="AT85" s="260">
        <v>14</v>
      </c>
      <c r="AU85" s="260">
        <v>1285</v>
      </c>
      <c r="AV85" s="262">
        <f t="shared" si="112"/>
        <v>91.785714285714292</v>
      </c>
      <c r="AW85" s="260">
        <f t="shared" si="104"/>
        <v>9</v>
      </c>
      <c r="AX85" s="367"/>
    </row>
    <row r="86" spans="2:50">
      <c r="B86" s="364"/>
      <c r="C86" s="260">
        <v>14</v>
      </c>
      <c r="D86" s="260" t="s">
        <v>115</v>
      </c>
      <c r="E86" s="261">
        <f>VLOOKUP(D86,'09產線配置圖'!$A$2:$C$30,2,0)</f>
        <v>17</v>
      </c>
      <c r="F86" s="261">
        <f>VLOOKUP(D86,'09產線配置圖'!$A$2:$C$30,3,0)</f>
        <v>1636</v>
      </c>
      <c r="G86" s="262">
        <f t="shared" si="88"/>
        <v>96.235294117647058</v>
      </c>
      <c r="H86" s="367"/>
      <c r="I86" s="261">
        <f t="shared" si="105"/>
        <v>14.857142857142858</v>
      </c>
      <c r="J86" s="261">
        <f t="shared" si="106"/>
        <v>1192.5714285714287</v>
      </c>
      <c r="K86" s="262">
        <f t="shared" si="107"/>
        <v>80.22774725274725</v>
      </c>
      <c r="L86" s="367"/>
      <c r="M86" s="261">
        <f t="shared" si="90"/>
        <v>11</v>
      </c>
      <c r="N86" s="355"/>
      <c r="O86" s="355"/>
      <c r="P86" s="260">
        <v>16</v>
      </c>
      <c r="Q86" s="260">
        <v>1494</v>
      </c>
      <c r="R86" s="260">
        <f t="shared" si="108"/>
        <v>93.375</v>
      </c>
      <c r="S86" s="110">
        <f t="shared" si="92"/>
        <v>7</v>
      </c>
      <c r="T86" s="367"/>
      <c r="U86" s="260">
        <v>16</v>
      </c>
      <c r="V86" s="260">
        <v>1160</v>
      </c>
      <c r="W86" s="262">
        <f t="shared" si="109"/>
        <v>72.5</v>
      </c>
      <c r="X86" s="260">
        <f t="shared" si="94"/>
        <v>13</v>
      </c>
      <c r="Y86" s="367"/>
      <c r="Z86" s="260">
        <v>15</v>
      </c>
      <c r="AA86" s="260">
        <v>935</v>
      </c>
      <c r="AB86" s="262">
        <f t="shared" si="110"/>
        <v>62.333333333333336</v>
      </c>
      <c r="AC86" s="260">
        <f t="shared" si="96"/>
        <v>16</v>
      </c>
      <c r="AD86" s="367"/>
      <c r="AE86" s="260">
        <v>13</v>
      </c>
      <c r="AF86" s="260">
        <v>1020</v>
      </c>
      <c r="AG86" s="262">
        <f t="shared" si="113"/>
        <v>78.461538461538467</v>
      </c>
      <c r="AH86" s="260">
        <f t="shared" si="98"/>
        <v>9</v>
      </c>
      <c r="AI86" s="367"/>
      <c r="AJ86" s="260">
        <v>15</v>
      </c>
      <c r="AK86" s="260">
        <v>1033</v>
      </c>
      <c r="AL86" s="262">
        <f t="shared" si="114"/>
        <v>68.86666666666666</v>
      </c>
      <c r="AM86" s="260">
        <f t="shared" si="100"/>
        <v>13</v>
      </c>
      <c r="AN86" s="367"/>
      <c r="AO86" s="260">
        <v>16</v>
      </c>
      <c r="AP86" s="260">
        <v>1532</v>
      </c>
      <c r="AQ86" s="262">
        <f t="shared" si="115"/>
        <v>95.75</v>
      </c>
      <c r="AR86" s="260">
        <f t="shared" si="102"/>
        <v>7</v>
      </c>
      <c r="AS86" s="367"/>
      <c r="AT86" s="260">
        <v>13</v>
      </c>
      <c r="AU86" s="260">
        <v>1174</v>
      </c>
      <c r="AV86" s="262">
        <f t="shared" si="112"/>
        <v>90.307692307692307</v>
      </c>
      <c r="AW86" s="260">
        <f t="shared" si="104"/>
        <v>10</v>
      </c>
      <c r="AX86" s="367"/>
    </row>
    <row r="87" spans="2:50">
      <c r="B87" s="364"/>
      <c r="C87" s="260">
        <v>15</v>
      </c>
      <c r="D87" s="260" t="s">
        <v>116</v>
      </c>
      <c r="E87" s="261">
        <f>VLOOKUP(D87,'09產線配置圖'!$A$2:$C$30,2,0)</f>
        <v>17</v>
      </c>
      <c r="F87" s="261">
        <f>VLOOKUP(D87,'09產線配置圖'!$A$2:$C$30,3,0)</f>
        <v>1636</v>
      </c>
      <c r="G87" s="262">
        <f t="shared" si="88"/>
        <v>96.235294117647058</v>
      </c>
      <c r="H87" s="367"/>
      <c r="I87" s="261">
        <f t="shared" ref="I87" si="116">AVERAGE(P87,U87,Z87,AE87,AJ87,AO87,AT87)</f>
        <v>16.857142857142858</v>
      </c>
      <c r="J87" s="261">
        <f t="shared" ref="J87" si="117">AVERAGE(Q87,V87,AA87,AF87,AK87,AP87,AU87)</f>
        <v>1452.5714285714287</v>
      </c>
      <c r="K87" s="262">
        <f t="shared" ref="K87" si="118">AVERAGE(R87,W87,AB87,AG87,AL87,AQ87,AV87)</f>
        <v>85.930252100840335</v>
      </c>
      <c r="L87" s="367"/>
      <c r="M87" s="261">
        <f t="shared" si="90"/>
        <v>9</v>
      </c>
      <c r="N87" s="355"/>
      <c r="O87" s="355"/>
      <c r="P87" s="260">
        <v>17</v>
      </c>
      <c r="Q87" s="260">
        <v>1527</v>
      </c>
      <c r="R87" s="182">
        <f t="shared" si="108"/>
        <v>89.82352941176471</v>
      </c>
      <c r="S87" s="110">
        <f t="shared" si="92"/>
        <v>8</v>
      </c>
      <c r="T87" s="367"/>
      <c r="U87" s="260">
        <v>17</v>
      </c>
      <c r="V87" s="260">
        <v>1506</v>
      </c>
      <c r="W87" s="262">
        <f t="shared" si="109"/>
        <v>88.588235294117652</v>
      </c>
      <c r="X87" s="260">
        <f t="shared" si="94"/>
        <v>8</v>
      </c>
      <c r="Y87" s="367"/>
      <c r="Z87" s="260">
        <v>17</v>
      </c>
      <c r="AA87" s="260">
        <v>1507</v>
      </c>
      <c r="AB87" s="262">
        <f t="shared" si="110"/>
        <v>88.647058823529406</v>
      </c>
      <c r="AC87" s="260">
        <f t="shared" si="96"/>
        <v>7</v>
      </c>
      <c r="AD87" s="367"/>
      <c r="AE87" s="260">
        <v>15</v>
      </c>
      <c r="AF87" s="260">
        <v>1084</v>
      </c>
      <c r="AG87" s="262">
        <f t="shared" si="113"/>
        <v>72.266666666666666</v>
      </c>
      <c r="AH87" s="260">
        <f t="shared" si="98"/>
        <v>14</v>
      </c>
      <c r="AI87" s="367"/>
      <c r="AJ87" s="260">
        <v>17</v>
      </c>
      <c r="AK87" s="260">
        <v>1355</v>
      </c>
      <c r="AL87" s="262">
        <f t="shared" si="114"/>
        <v>79.705882352941174</v>
      </c>
      <c r="AM87" s="260">
        <f t="shared" si="100"/>
        <v>10</v>
      </c>
      <c r="AN87" s="367"/>
      <c r="AO87" s="260">
        <v>18</v>
      </c>
      <c r="AP87" s="260">
        <v>1563</v>
      </c>
      <c r="AQ87" s="262">
        <f t="shared" si="115"/>
        <v>86.833333333333329</v>
      </c>
      <c r="AR87" s="260">
        <f t="shared" si="102"/>
        <v>9</v>
      </c>
      <c r="AS87" s="367"/>
      <c r="AT87" s="260">
        <v>17</v>
      </c>
      <c r="AU87" s="260">
        <v>1626</v>
      </c>
      <c r="AV87" s="262">
        <f t="shared" si="112"/>
        <v>95.647058823529406</v>
      </c>
      <c r="AW87" s="260">
        <f t="shared" si="104"/>
        <v>8</v>
      </c>
      <c r="AX87" s="367"/>
    </row>
    <row r="88" spans="2:50">
      <c r="B88" s="364"/>
      <c r="C88" s="260">
        <v>16</v>
      </c>
      <c r="D88" s="260" t="s">
        <v>117</v>
      </c>
      <c r="E88" s="261">
        <f>VLOOKUP(D88,'09產線配置圖'!$A$2:$C$30,2,0)</f>
        <v>16</v>
      </c>
      <c r="F88" s="261">
        <f>VLOOKUP(D88,'09產線配置圖'!$A$2:$C$30,3,0)</f>
        <v>1800</v>
      </c>
      <c r="G88" s="262">
        <f t="shared" ref="G88:G89" si="119">F88/E88</f>
        <v>112.5</v>
      </c>
      <c r="H88" s="367"/>
      <c r="I88" s="261">
        <f t="shared" ref="I88:I89" si="120">AVERAGE(P88,U88,Z88,AE88,AJ88,AO88,AT88)</f>
        <v>16.285714285714285</v>
      </c>
      <c r="J88" s="261">
        <f t="shared" ref="J88:J89" si="121">AVERAGE(Q88,V88,AA88,AF88,AK88,AP88,AU88)</f>
        <v>1581.1428571428571</v>
      </c>
      <c r="K88" s="262">
        <f t="shared" ref="K88:K89" si="122">AVERAGE(R88,W88,AB88,AG88,AL88,AQ88,AV88)</f>
        <v>97.484493797519008</v>
      </c>
      <c r="L88" s="367"/>
      <c r="M88" s="261">
        <f t="shared" si="90"/>
        <v>6</v>
      </c>
      <c r="N88" s="355"/>
      <c r="O88" s="355"/>
      <c r="P88" s="260">
        <v>16</v>
      </c>
      <c r="Q88" s="260">
        <v>1556</v>
      </c>
      <c r="R88" s="182">
        <f t="shared" si="108"/>
        <v>97.25</v>
      </c>
      <c r="S88" s="110">
        <f t="shared" si="92"/>
        <v>6</v>
      </c>
      <c r="T88" s="367"/>
      <c r="U88" s="260">
        <v>17</v>
      </c>
      <c r="V88" s="260">
        <v>1731</v>
      </c>
      <c r="W88" s="262">
        <f t="shared" si="109"/>
        <v>101.82352941176471</v>
      </c>
      <c r="X88" s="260">
        <f t="shared" si="94"/>
        <v>4</v>
      </c>
      <c r="Y88" s="367"/>
      <c r="Z88" s="260">
        <v>18</v>
      </c>
      <c r="AA88" s="260">
        <v>1716</v>
      </c>
      <c r="AB88" s="262">
        <f t="shared" si="110"/>
        <v>95.333333333333329</v>
      </c>
      <c r="AC88" s="260">
        <f t="shared" si="96"/>
        <v>6</v>
      </c>
      <c r="AD88" s="367"/>
      <c r="AE88" s="260">
        <v>17</v>
      </c>
      <c r="AF88" s="260">
        <v>1318</v>
      </c>
      <c r="AG88" s="262">
        <f t="shared" ref="AG88:AG89" si="123">AF88/AE88</f>
        <v>77.529411764705884</v>
      </c>
      <c r="AH88" s="260">
        <f t="shared" si="98"/>
        <v>11</v>
      </c>
      <c r="AI88" s="367"/>
      <c r="AJ88" s="260">
        <v>17</v>
      </c>
      <c r="AK88" s="260">
        <v>1645</v>
      </c>
      <c r="AL88" s="262">
        <f t="shared" ref="AL88:AL89" si="124">AK88/AJ88</f>
        <v>96.764705882352942</v>
      </c>
      <c r="AM88" s="260">
        <f t="shared" si="100"/>
        <v>6</v>
      </c>
      <c r="AN88" s="367"/>
      <c r="AO88" s="260">
        <v>15</v>
      </c>
      <c r="AP88" s="260">
        <v>1655</v>
      </c>
      <c r="AQ88" s="262">
        <f t="shared" ref="AQ88:AQ89" si="125">AP88/AO88</f>
        <v>110.33333333333333</v>
      </c>
      <c r="AR88" s="260">
        <f t="shared" si="102"/>
        <v>4</v>
      </c>
      <c r="AS88" s="367"/>
      <c r="AT88" s="260">
        <v>14</v>
      </c>
      <c r="AU88" s="260">
        <v>1447</v>
      </c>
      <c r="AV88" s="262">
        <f t="shared" si="112"/>
        <v>103.35714285714286</v>
      </c>
      <c r="AW88" s="260">
        <f t="shared" si="104"/>
        <v>7</v>
      </c>
      <c r="AX88" s="367"/>
    </row>
    <row r="89" spans="2:50">
      <c r="B89" s="364"/>
      <c r="C89" s="260">
        <v>17</v>
      </c>
      <c r="D89" s="260" t="s">
        <v>118</v>
      </c>
      <c r="E89" s="261">
        <f>VLOOKUP(D89,'09產線配置圖'!$A$2:$C$30,2,0)</f>
        <v>18</v>
      </c>
      <c r="F89" s="261">
        <f>VLOOKUP(D89,'09產線配置圖'!$A$2:$C$30,3,0)</f>
        <v>1636</v>
      </c>
      <c r="G89" s="262">
        <f t="shared" si="119"/>
        <v>90.888888888888886</v>
      </c>
      <c r="H89" s="367"/>
      <c r="I89" s="261">
        <f t="shared" si="120"/>
        <v>16.428571428571427</v>
      </c>
      <c r="J89" s="261">
        <f t="shared" si="121"/>
        <v>1203.8571428571429</v>
      </c>
      <c r="K89" s="262">
        <f t="shared" si="122"/>
        <v>73.414483512703328</v>
      </c>
      <c r="L89" s="367"/>
      <c r="M89" s="261">
        <f t="shared" si="90"/>
        <v>12</v>
      </c>
      <c r="N89" s="355"/>
      <c r="O89" s="355"/>
      <c r="P89" s="260">
        <v>16</v>
      </c>
      <c r="Q89" s="260">
        <v>1142</v>
      </c>
      <c r="R89" s="182">
        <f t="shared" si="108"/>
        <v>71.375</v>
      </c>
      <c r="S89" s="110">
        <f t="shared" si="92"/>
        <v>12</v>
      </c>
      <c r="T89" s="367"/>
      <c r="U89" s="260">
        <v>15</v>
      </c>
      <c r="V89" s="260">
        <v>1304</v>
      </c>
      <c r="W89" s="262">
        <f t="shared" si="109"/>
        <v>86.933333333333337</v>
      </c>
      <c r="X89" s="260">
        <f t="shared" si="94"/>
        <v>9</v>
      </c>
      <c r="Y89" s="367"/>
      <c r="Z89" s="260">
        <v>18</v>
      </c>
      <c r="AA89" s="260">
        <v>1124</v>
      </c>
      <c r="AB89" s="262">
        <f t="shared" si="110"/>
        <v>62.444444444444443</v>
      </c>
      <c r="AC89" s="260">
        <f t="shared" si="96"/>
        <v>15</v>
      </c>
      <c r="AD89" s="367"/>
      <c r="AE89" s="260">
        <v>15</v>
      </c>
      <c r="AF89" s="260">
        <v>1169</v>
      </c>
      <c r="AG89" s="262">
        <f t="shared" si="123"/>
        <v>77.933333333333337</v>
      </c>
      <c r="AH89" s="260">
        <f t="shared" si="98"/>
        <v>10</v>
      </c>
      <c r="AI89" s="367"/>
      <c r="AJ89" s="260">
        <v>15</v>
      </c>
      <c r="AK89" s="260">
        <v>1006</v>
      </c>
      <c r="AL89" s="262">
        <f t="shared" si="124"/>
        <v>67.066666666666663</v>
      </c>
      <c r="AM89" s="260">
        <f t="shared" si="100"/>
        <v>15</v>
      </c>
      <c r="AN89" s="367"/>
      <c r="AO89" s="260">
        <v>19</v>
      </c>
      <c r="AP89" s="260">
        <v>1553</v>
      </c>
      <c r="AQ89" s="262">
        <f t="shared" si="125"/>
        <v>81.736842105263165</v>
      </c>
      <c r="AR89" s="260">
        <f t="shared" si="102"/>
        <v>12</v>
      </c>
      <c r="AS89" s="367"/>
      <c r="AT89" s="260">
        <v>17</v>
      </c>
      <c r="AU89" s="260">
        <v>1129</v>
      </c>
      <c r="AV89" s="262">
        <f t="shared" si="112"/>
        <v>66.411764705882348</v>
      </c>
      <c r="AW89" s="260">
        <f t="shared" si="104"/>
        <v>16</v>
      </c>
      <c r="AX89" s="367"/>
    </row>
    <row r="90" spans="2:50">
      <c r="B90" s="365"/>
      <c r="C90" s="260">
        <v>18</v>
      </c>
      <c r="D90" s="260"/>
      <c r="E90" s="261"/>
      <c r="F90" s="261"/>
      <c r="G90" s="262"/>
      <c r="H90" s="367"/>
      <c r="I90" s="260"/>
      <c r="J90" s="260"/>
      <c r="K90" s="260"/>
      <c r="L90" s="368"/>
      <c r="M90" s="261"/>
      <c r="N90" s="356"/>
      <c r="O90" s="356"/>
      <c r="P90" s="260"/>
      <c r="Q90" s="260"/>
      <c r="R90" s="182"/>
      <c r="S90" s="110"/>
      <c r="T90" s="368"/>
      <c r="U90" s="260"/>
      <c r="V90" s="260"/>
      <c r="W90" s="262"/>
      <c r="X90" s="260"/>
      <c r="Y90" s="368"/>
      <c r="Z90" s="260"/>
      <c r="AA90" s="260"/>
      <c r="AB90" s="262"/>
      <c r="AC90" s="260"/>
      <c r="AD90" s="368"/>
      <c r="AE90" s="260"/>
      <c r="AF90" s="260"/>
      <c r="AG90" s="262"/>
      <c r="AH90" s="260"/>
      <c r="AI90" s="368"/>
      <c r="AJ90" s="260"/>
      <c r="AK90" s="260"/>
      <c r="AL90" s="262"/>
      <c r="AM90" s="260"/>
      <c r="AN90" s="368"/>
      <c r="AO90" s="260"/>
      <c r="AP90" s="260"/>
      <c r="AQ90" s="262"/>
      <c r="AR90" s="260"/>
      <c r="AS90" s="368"/>
      <c r="AT90" s="260"/>
      <c r="AU90" s="260"/>
      <c r="AV90" s="262"/>
      <c r="AW90" s="260"/>
      <c r="AX90" s="368"/>
    </row>
    <row r="91" spans="2:50" ht="15.75">
      <c r="B91" s="362" t="s">
        <v>86</v>
      </c>
      <c r="C91" s="358"/>
      <c r="D91" s="358"/>
      <c r="E91" s="358"/>
      <c r="F91" s="358"/>
      <c r="G91" s="358"/>
      <c r="H91" s="358"/>
      <c r="I91" s="265"/>
      <c r="J91" s="265"/>
      <c r="K91" s="265"/>
      <c r="L91" s="265"/>
      <c r="M91" s="266"/>
      <c r="N91" s="354" t="s">
        <v>87</v>
      </c>
      <c r="O91" s="354" t="s">
        <v>45</v>
      </c>
      <c r="P91" s="349">
        <v>45923</v>
      </c>
      <c r="Q91" s="341"/>
      <c r="R91" s="341"/>
      <c r="S91" s="341"/>
      <c r="T91" s="341"/>
      <c r="U91" s="349">
        <v>45924</v>
      </c>
      <c r="V91" s="341"/>
      <c r="W91" s="341"/>
      <c r="X91" s="341"/>
      <c r="Y91" s="341"/>
      <c r="Z91" s="349">
        <v>45925</v>
      </c>
      <c r="AA91" s="341"/>
      <c r="AB91" s="341"/>
      <c r="AC91" s="341"/>
      <c r="AD91" s="341"/>
      <c r="AE91" s="349">
        <v>45926</v>
      </c>
      <c r="AF91" s="341"/>
      <c r="AG91" s="341"/>
      <c r="AH91" s="341"/>
      <c r="AI91" s="341"/>
      <c r="AJ91" s="349">
        <v>45927</v>
      </c>
      <c r="AK91" s="341"/>
      <c r="AL91" s="341"/>
      <c r="AM91" s="341"/>
      <c r="AN91" s="341"/>
      <c r="AO91" s="349">
        <v>45928</v>
      </c>
      <c r="AP91" s="341"/>
      <c r="AQ91" s="341"/>
      <c r="AR91" s="341"/>
      <c r="AS91" s="341"/>
      <c r="AT91" s="349">
        <v>45929</v>
      </c>
      <c r="AU91" s="341"/>
      <c r="AV91" s="341"/>
      <c r="AW91" s="341"/>
      <c r="AX91" s="341"/>
    </row>
    <row r="92" spans="2:50" ht="15.75">
      <c r="B92" s="359"/>
      <c r="C92" s="359"/>
      <c r="D92" s="359"/>
      <c r="E92" s="359"/>
      <c r="F92" s="359"/>
      <c r="G92" s="359"/>
      <c r="H92" s="359"/>
      <c r="I92" s="256"/>
      <c r="J92" s="256"/>
      <c r="K92" s="256"/>
      <c r="L92" s="256"/>
      <c r="M92" s="257"/>
      <c r="N92" s="356"/>
      <c r="O92" s="356"/>
      <c r="P92" s="349" t="s">
        <v>57</v>
      </c>
      <c r="Q92" s="341"/>
      <c r="R92" s="341"/>
      <c r="S92" s="341"/>
      <c r="T92" s="341"/>
      <c r="U92" s="349" t="s">
        <v>58</v>
      </c>
      <c r="V92" s="341"/>
      <c r="W92" s="341"/>
      <c r="X92" s="341"/>
      <c r="Y92" s="341"/>
      <c r="Z92" s="349" t="s">
        <v>59</v>
      </c>
      <c r="AA92" s="341"/>
      <c r="AB92" s="341"/>
      <c r="AC92" s="341"/>
      <c r="AD92" s="341"/>
      <c r="AE92" s="349" t="s">
        <v>60</v>
      </c>
      <c r="AF92" s="341"/>
      <c r="AG92" s="341"/>
      <c r="AH92" s="341"/>
      <c r="AI92" s="341"/>
      <c r="AJ92" s="349" t="s">
        <v>61</v>
      </c>
      <c r="AK92" s="341"/>
      <c r="AL92" s="341"/>
      <c r="AM92" s="341"/>
      <c r="AN92" s="341"/>
      <c r="AO92" s="349" t="s">
        <v>52</v>
      </c>
      <c r="AP92" s="341"/>
      <c r="AQ92" s="341"/>
      <c r="AR92" s="341"/>
      <c r="AS92" s="341"/>
      <c r="AT92" s="349" t="s">
        <v>56</v>
      </c>
      <c r="AU92" s="341"/>
      <c r="AV92" s="341"/>
      <c r="AW92" s="341"/>
      <c r="AX92" s="341"/>
    </row>
    <row r="93" spans="2:50">
      <c r="B93" s="345" t="s">
        <v>88</v>
      </c>
      <c r="C93" s="345" t="s">
        <v>89</v>
      </c>
      <c r="D93" s="345"/>
      <c r="E93" s="345" t="s">
        <v>90</v>
      </c>
      <c r="F93" s="345"/>
      <c r="G93" s="345"/>
      <c r="H93" s="351" t="s">
        <v>91</v>
      </c>
      <c r="I93" s="345" t="s">
        <v>92</v>
      </c>
      <c r="J93" s="345"/>
      <c r="K93" s="345"/>
      <c r="L93" s="351" t="s">
        <v>91</v>
      </c>
      <c r="M93" s="354" t="s">
        <v>93</v>
      </c>
      <c r="N93" s="354"/>
      <c r="O93" s="354" t="s">
        <v>94</v>
      </c>
      <c r="P93" s="346" t="s">
        <v>95</v>
      </c>
      <c r="Q93" s="347"/>
      <c r="R93" s="347"/>
      <c r="S93" s="348"/>
      <c r="T93" s="345" t="s">
        <v>91</v>
      </c>
      <c r="U93" s="346" t="s">
        <v>95</v>
      </c>
      <c r="V93" s="347"/>
      <c r="W93" s="347"/>
      <c r="X93" s="348"/>
      <c r="Y93" s="345" t="s">
        <v>91</v>
      </c>
      <c r="Z93" s="346" t="s">
        <v>95</v>
      </c>
      <c r="AA93" s="347"/>
      <c r="AB93" s="347"/>
      <c r="AC93" s="348"/>
      <c r="AD93" s="345" t="s">
        <v>91</v>
      </c>
      <c r="AE93" s="346" t="s">
        <v>95</v>
      </c>
      <c r="AF93" s="347"/>
      <c r="AG93" s="347"/>
      <c r="AH93" s="348"/>
      <c r="AI93" s="345" t="s">
        <v>91</v>
      </c>
      <c r="AJ93" s="346" t="s">
        <v>95</v>
      </c>
      <c r="AK93" s="347"/>
      <c r="AL93" s="347"/>
      <c r="AM93" s="348"/>
      <c r="AN93" s="345" t="s">
        <v>91</v>
      </c>
      <c r="AO93" s="346" t="s">
        <v>95</v>
      </c>
      <c r="AP93" s="347"/>
      <c r="AQ93" s="347"/>
      <c r="AR93" s="348"/>
      <c r="AS93" s="345" t="s">
        <v>91</v>
      </c>
      <c r="AT93" s="346" t="s">
        <v>95</v>
      </c>
      <c r="AU93" s="347"/>
      <c r="AV93" s="347"/>
      <c r="AW93" s="348"/>
      <c r="AX93" s="345" t="s">
        <v>91</v>
      </c>
    </row>
    <row r="94" spans="2:50">
      <c r="B94" s="345"/>
      <c r="C94" s="345"/>
      <c r="D94" s="345"/>
      <c r="E94" s="345" t="s">
        <v>96</v>
      </c>
      <c r="F94" s="345"/>
      <c r="G94" s="345"/>
      <c r="H94" s="352"/>
      <c r="I94" s="345" t="s">
        <v>96</v>
      </c>
      <c r="J94" s="345"/>
      <c r="K94" s="345"/>
      <c r="L94" s="352"/>
      <c r="M94" s="355"/>
      <c r="N94" s="355"/>
      <c r="O94" s="355"/>
      <c r="P94" s="346" t="s">
        <v>97</v>
      </c>
      <c r="Q94" s="347"/>
      <c r="R94" s="347"/>
      <c r="S94" s="348"/>
      <c r="T94" s="345"/>
      <c r="U94" s="346" t="s">
        <v>97</v>
      </c>
      <c r="V94" s="347"/>
      <c r="W94" s="347"/>
      <c r="X94" s="348"/>
      <c r="Y94" s="345"/>
      <c r="Z94" s="346" t="s">
        <v>97</v>
      </c>
      <c r="AA94" s="347"/>
      <c r="AB94" s="347"/>
      <c r="AC94" s="348"/>
      <c r="AD94" s="345"/>
      <c r="AE94" s="346" t="s">
        <v>97</v>
      </c>
      <c r="AF94" s="347"/>
      <c r="AG94" s="347"/>
      <c r="AH94" s="348"/>
      <c r="AI94" s="345"/>
      <c r="AJ94" s="346" t="s">
        <v>97</v>
      </c>
      <c r="AK94" s="347"/>
      <c r="AL94" s="347"/>
      <c r="AM94" s="348"/>
      <c r="AN94" s="345"/>
      <c r="AO94" s="346" t="s">
        <v>97</v>
      </c>
      <c r="AP94" s="347"/>
      <c r="AQ94" s="347"/>
      <c r="AR94" s="348"/>
      <c r="AS94" s="345"/>
      <c r="AT94" s="346" t="s">
        <v>97</v>
      </c>
      <c r="AU94" s="347"/>
      <c r="AV94" s="347"/>
      <c r="AW94" s="348"/>
      <c r="AX94" s="345"/>
    </row>
    <row r="95" spans="2:50">
      <c r="B95" s="345"/>
      <c r="C95" s="345"/>
      <c r="D95" s="345"/>
      <c r="E95" s="259" t="s">
        <v>98</v>
      </c>
      <c r="F95" s="259" t="s">
        <v>99</v>
      </c>
      <c r="G95" s="259" t="s">
        <v>100</v>
      </c>
      <c r="H95" s="353"/>
      <c r="I95" s="259" t="s">
        <v>98</v>
      </c>
      <c r="J95" s="259" t="s">
        <v>99</v>
      </c>
      <c r="K95" s="259" t="s">
        <v>100</v>
      </c>
      <c r="L95" s="353"/>
      <c r="M95" s="356"/>
      <c r="N95" s="355"/>
      <c r="O95" s="355"/>
      <c r="P95" s="259" t="s">
        <v>98</v>
      </c>
      <c r="Q95" s="259" t="s">
        <v>99</v>
      </c>
      <c r="R95" s="259" t="s">
        <v>100</v>
      </c>
      <c r="S95" s="259" t="s">
        <v>93</v>
      </c>
      <c r="T95" s="345"/>
      <c r="U95" s="259" t="s">
        <v>98</v>
      </c>
      <c r="V95" s="259" t="s">
        <v>99</v>
      </c>
      <c r="W95" s="259" t="s">
        <v>100</v>
      </c>
      <c r="X95" s="259" t="s">
        <v>93</v>
      </c>
      <c r="Y95" s="345"/>
      <c r="Z95" s="259" t="s">
        <v>98</v>
      </c>
      <c r="AA95" s="259" t="s">
        <v>99</v>
      </c>
      <c r="AB95" s="259" t="s">
        <v>100</v>
      </c>
      <c r="AC95" s="259" t="s">
        <v>93</v>
      </c>
      <c r="AD95" s="345"/>
      <c r="AE95" s="259" t="s">
        <v>98</v>
      </c>
      <c r="AF95" s="259" t="s">
        <v>99</v>
      </c>
      <c r="AG95" s="259" t="s">
        <v>100</v>
      </c>
      <c r="AH95" s="259" t="s">
        <v>93</v>
      </c>
      <c r="AI95" s="345"/>
      <c r="AJ95" s="259" t="s">
        <v>98</v>
      </c>
      <c r="AK95" s="259" t="s">
        <v>99</v>
      </c>
      <c r="AL95" s="259" t="s">
        <v>100</v>
      </c>
      <c r="AM95" s="259" t="s">
        <v>93</v>
      </c>
      <c r="AN95" s="345"/>
      <c r="AO95" s="259" t="s">
        <v>98</v>
      </c>
      <c r="AP95" s="259" t="s">
        <v>99</v>
      </c>
      <c r="AQ95" s="259" t="s">
        <v>100</v>
      </c>
      <c r="AR95" s="259" t="s">
        <v>93</v>
      </c>
      <c r="AS95" s="345"/>
      <c r="AT95" s="259" t="s">
        <v>98</v>
      </c>
      <c r="AU95" s="259" t="s">
        <v>99</v>
      </c>
      <c r="AV95" s="259" t="s">
        <v>100</v>
      </c>
      <c r="AW95" s="259" t="s">
        <v>93</v>
      </c>
      <c r="AX95" s="345"/>
    </row>
    <row r="96" spans="2:50" ht="13.5">
      <c r="B96" s="370" t="s">
        <v>101</v>
      </c>
      <c r="C96" s="260">
        <v>1</v>
      </c>
      <c r="D96" s="264" t="s">
        <v>102</v>
      </c>
      <c r="E96" s="261">
        <f>VLOOKUP(D96,'09產線配置圖'!$A$2:$C$30,2,0)</f>
        <v>12</v>
      </c>
      <c r="F96" s="261">
        <f>VLOOKUP(D96,'09產線配置圖'!$A$2:$C$30,3,0)</f>
        <v>2000</v>
      </c>
      <c r="G96" s="262">
        <v>166.66666666666666</v>
      </c>
      <c r="H96" s="366">
        <f>AVERAGE(G96:G110)</f>
        <v>107.65415751545781</v>
      </c>
      <c r="I96" s="261">
        <f>AVERAGE(P96,U96,Z96,AE96,AJ96,AO96,AT96)</f>
        <v>12</v>
      </c>
      <c r="J96" s="261">
        <f>AVERAGE(Q96,V96,AA96,AF96,AK96,AP96,AU96)</f>
        <v>1746.4285714285713</v>
      </c>
      <c r="K96" s="262">
        <f>AVERAGE(R96,W96,AB96,AG96,AL96,AQ96,AV96)</f>
        <v>145.53571428571428</v>
      </c>
      <c r="L96" s="366">
        <f>IFERROR(AVERAGE(K96:K113),"-")</f>
        <v>94.506625081114393</v>
      </c>
      <c r="M96" s="261">
        <f>RANK(K96, K$96:$K$113)</f>
        <v>1</v>
      </c>
      <c r="N96" s="355"/>
      <c r="O96" s="355"/>
      <c r="P96" s="261">
        <v>12</v>
      </c>
      <c r="Q96" s="261">
        <v>1795</v>
      </c>
      <c r="R96" s="262">
        <f>Q96/P96</f>
        <v>149.58333333333334</v>
      </c>
      <c r="S96" s="260">
        <f>RANK(R96,$R$96:$R$113)</f>
        <v>1</v>
      </c>
      <c r="T96" s="366">
        <f>AVERAGE(R96:R113)</f>
        <v>93.820556222323148</v>
      </c>
      <c r="U96" s="261">
        <v>12</v>
      </c>
      <c r="V96" s="261">
        <v>1681</v>
      </c>
      <c r="W96" s="262">
        <f>V96/U96</f>
        <v>140.08333333333334</v>
      </c>
      <c r="X96" s="260">
        <f>RANK(W96,$W$96:$W$113)</f>
        <v>1</v>
      </c>
      <c r="Y96" s="366">
        <f>AVERAGE(W96:W113)</f>
        <v>94.518335779824739</v>
      </c>
      <c r="Z96" s="261">
        <v>12</v>
      </c>
      <c r="AA96" s="261">
        <v>1878</v>
      </c>
      <c r="AB96" s="262">
        <f>AA96/Z96</f>
        <v>156.5</v>
      </c>
      <c r="AC96" s="260">
        <f>RANK(AB96, $AB$96:$AB$113)</f>
        <v>1</v>
      </c>
      <c r="AD96" s="366">
        <f>AVERAGE(AB96:AB113)</f>
        <v>97.988878865211589</v>
      </c>
      <c r="AE96" s="261">
        <v>12</v>
      </c>
      <c r="AF96" s="261">
        <v>1832</v>
      </c>
      <c r="AG96" s="262">
        <f>AF96/AE96</f>
        <v>152.66666666666666</v>
      </c>
      <c r="AH96" s="260">
        <f>RANK(AG96,$AG$96:$AG$113)</f>
        <v>1</v>
      </c>
      <c r="AI96" s="366">
        <f>AVERAGE(AG96:AG113)</f>
        <v>93.818538737610425</v>
      </c>
      <c r="AJ96" s="261">
        <v>12</v>
      </c>
      <c r="AK96" s="261">
        <v>1698</v>
      </c>
      <c r="AL96" s="262">
        <f>AK96/AJ96</f>
        <v>141.5</v>
      </c>
      <c r="AM96" s="260">
        <f>RANK(AL96,$AL$96:$AL$113)</f>
        <v>1</v>
      </c>
      <c r="AN96" s="366">
        <f>AVERAGE(AL96:AL113)</f>
        <v>92.920217838738054</v>
      </c>
      <c r="AO96" s="260">
        <v>12</v>
      </c>
      <c r="AP96" s="260">
        <v>1823</v>
      </c>
      <c r="AQ96" s="262">
        <f>AP96/AO96</f>
        <v>151.91666666666666</v>
      </c>
      <c r="AR96" s="260">
        <f>RANK(AQ96,$AQ$96:$AQ$113)</f>
        <v>1</v>
      </c>
      <c r="AS96" s="366">
        <f>AVERAGE(AQ96:AQ113)</f>
        <v>94.057388628528344</v>
      </c>
      <c r="AT96" s="260">
        <v>12</v>
      </c>
      <c r="AU96" s="260">
        <v>1518</v>
      </c>
      <c r="AV96" s="262">
        <f>AU96/AT96</f>
        <v>126.5</v>
      </c>
      <c r="AW96" s="260">
        <f>RANK(AV96,$AV$96:$AV$113)</f>
        <v>3</v>
      </c>
      <c r="AX96" s="366">
        <f>AVERAGE(AV96:AV113)</f>
        <v>95.876379375411886</v>
      </c>
    </row>
    <row r="97" spans="1:50">
      <c r="B97" s="371"/>
      <c r="C97" s="260">
        <v>2</v>
      </c>
      <c r="D97" s="260" t="s">
        <v>103</v>
      </c>
      <c r="E97" s="261">
        <f>VLOOKUP(D97,'09產線配置圖'!$A$2:$C$30,2,0)</f>
        <v>13</v>
      </c>
      <c r="F97" s="261">
        <f>VLOOKUP(D97,'09產線配置圖'!$A$2:$C$30,3,0)</f>
        <v>2000</v>
      </c>
      <c r="G97" s="262">
        <v>153.84615384615384</v>
      </c>
      <c r="H97" s="367"/>
      <c r="I97" s="261">
        <f t="shared" ref="I97:I111" si="126">AVERAGE(P97,U97,Z97,AE97,AJ97,AO97,AT97)</f>
        <v>13</v>
      </c>
      <c r="J97" s="261">
        <f t="shared" ref="J97:J111" si="127">AVERAGE(Q97,V97,AA97,AF97,AK97,AP97,AU97)</f>
        <v>1780.2857142857142</v>
      </c>
      <c r="K97" s="262">
        <f t="shared" ref="K97:K112" si="128">AVERAGE(R97,W97,AB97,AG97,AL97,AQ97,AV97)</f>
        <v>136.94505494505495</v>
      </c>
      <c r="L97" s="367"/>
      <c r="M97" s="261">
        <f>RANK(K97, K$96:$K$113)</f>
        <v>2</v>
      </c>
      <c r="N97" s="355"/>
      <c r="O97" s="355"/>
      <c r="P97" s="261">
        <v>13</v>
      </c>
      <c r="Q97" s="261">
        <v>1808</v>
      </c>
      <c r="R97" s="262">
        <f t="shared" ref="R97:R110" si="129">Q97/P97</f>
        <v>139.07692307692307</v>
      </c>
      <c r="S97" s="260">
        <f t="shared" ref="S97:S112" si="130">RANK(R97,$R$96:$R$113)</f>
        <v>2</v>
      </c>
      <c r="T97" s="367"/>
      <c r="U97" s="261">
        <v>13</v>
      </c>
      <c r="V97" s="261">
        <v>1696</v>
      </c>
      <c r="W97" s="262">
        <f t="shared" ref="W97:W112" si="131">V97/U97</f>
        <v>130.46153846153845</v>
      </c>
      <c r="X97" s="260">
        <f t="shared" ref="X97:X112" si="132">RANK(W97,$W$96:$W$113)</f>
        <v>2</v>
      </c>
      <c r="Y97" s="367"/>
      <c r="Z97" s="261">
        <v>13</v>
      </c>
      <c r="AA97" s="261">
        <v>1790</v>
      </c>
      <c r="AB97" s="262">
        <f t="shared" ref="AB97:AB111" si="133">AA97/Z97</f>
        <v>137.69230769230768</v>
      </c>
      <c r="AC97" s="260">
        <f t="shared" ref="AC97:AC111" si="134">RANK(AB97, $AB$96:$AB$113)</f>
        <v>2</v>
      </c>
      <c r="AD97" s="367"/>
      <c r="AE97" s="261">
        <v>13</v>
      </c>
      <c r="AF97" s="261">
        <v>1737</v>
      </c>
      <c r="AG97" s="262">
        <f t="shared" ref="AG97:AG111" si="135">AF97/AE97</f>
        <v>133.61538461538461</v>
      </c>
      <c r="AH97" s="260">
        <f t="shared" ref="AH97:AH111" si="136">RANK(AG97,$AG$96:$AG$113)</f>
        <v>2</v>
      </c>
      <c r="AI97" s="367"/>
      <c r="AJ97" s="261">
        <v>13</v>
      </c>
      <c r="AK97" s="261">
        <v>1698</v>
      </c>
      <c r="AL97" s="262">
        <f t="shared" ref="AL97:AL111" si="137">AK97/AJ97</f>
        <v>130.61538461538461</v>
      </c>
      <c r="AM97" s="260">
        <f t="shared" ref="AM97:AM111" si="138">RANK(AL97,$AL$96:$AL$113)</f>
        <v>2</v>
      </c>
      <c r="AN97" s="367"/>
      <c r="AO97" s="260">
        <v>13</v>
      </c>
      <c r="AP97" s="260">
        <v>1868</v>
      </c>
      <c r="AQ97" s="262">
        <f t="shared" ref="AQ97:AQ105" si="139">AP97/AO97</f>
        <v>143.69230769230768</v>
      </c>
      <c r="AR97" s="260">
        <f t="shared" ref="AR97:AR112" si="140">RANK(AQ97,$AQ$96:$AQ$113)</f>
        <v>2</v>
      </c>
      <c r="AS97" s="367"/>
      <c r="AT97" s="260">
        <v>13</v>
      </c>
      <c r="AU97" s="260">
        <v>1865</v>
      </c>
      <c r="AV97" s="262">
        <f t="shared" ref="AV97:AV104" si="141">AU97/AT97</f>
        <v>143.46153846153845</v>
      </c>
      <c r="AW97" s="260">
        <f t="shared" ref="AW97:AW112" si="142">RANK(AV97,$AV$96:$AV$113)</f>
        <v>1</v>
      </c>
      <c r="AX97" s="367"/>
    </row>
    <row r="98" spans="1:50">
      <c r="B98" s="371"/>
      <c r="C98" s="260">
        <v>3</v>
      </c>
      <c r="D98" s="260" t="s">
        <v>104</v>
      </c>
      <c r="E98" s="261">
        <f>VLOOKUP(D98,'09產線配置圖'!$A$2:$C$30,2,0)</f>
        <v>16</v>
      </c>
      <c r="F98" s="261">
        <f>VLOOKUP(D98,'09產線配置圖'!$A$2:$C$30,3,0)</f>
        <v>1915</v>
      </c>
      <c r="G98" s="262">
        <v>119.6875</v>
      </c>
      <c r="H98" s="367"/>
      <c r="I98" s="261">
        <f t="shared" si="126"/>
        <v>16</v>
      </c>
      <c r="J98" s="261">
        <f t="shared" si="127"/>
        <v>1665.1428571428571</v>
      </c>
      <c r="K98" s="262">
        <f t="shared" si="128"/>
        <v>104.07142857142857</v>
      </c>
      <c r="L98" s="367"/>
      <c r="M98" s="261">
        <f>RANK(K98, K$96:$K$113)</f>
        <v>5</v>
      </c>
      <c r="N98" s="355"/>
      <c r="O98" s="355"/>
      <c r="P98" s="261">
        <v>16</v>
      </c>
      <c r="Q98" s="261">
        <v>1622</v>
      </c>
      <c r="R98" s="262">
        <f t="shared" si="129"/>
        <v>101.375</v>
      </c>
      <c r="S98" s="260">
        <f t="shared" si="130"/>
        <v>6</v>
      </c>
      <c r="T98" s="367"/>
      <c r="U98" s="261">
        <v>16</v>
      </c>
      <c r="V98" s="261">
        <v>1659</v>
      </c>
      <c r="W98" s="262">
        <f t="shared" si="131"/>
        <v>103.6875</v>
      </c>
      <c r="X98" s="260">
        <f t="shared" si="132"/>
        <v>5</v>
      </c>
      <c r="Y98" s="367"/>
      <c r="Z98" s="261">
        <v>16</v>
      </c>
      <c r="AA98" s="261">
        <v>1735</v>
      </c>
      <c r="AB98" s="262">
        <f>AA98/Z98</f>
        <v>108.4375</v>
      </c>
      <c r="AC98" s="260">
        <f t="shared" si="134"/>
        <v>5</v>
      </c>
      <c r="AD98" s="367"/>
      <c r="AE98" s="261">
        <v>16</v>
      </c>
      <c r="AF98" s="261">
        <v>1685</v>
      </c>
      <c r="AG98" s="262">
        <f t="shared" si="135"/>
        <v>105.3125</v>
      </c>
      <c r="AH98" s="260">
        <f t="shared" si="136"/>
        <v>5</v>
      </c>
      <c r="AI98" s="367"/>
      <c r="AJ98" s="261">
        <v>16</v>
      </c>
      <c r="AK98" s="261">
        <v>1601</v>
      </c>
      <c r="AL98" s="262">
        <f t="shared" si="137"/>
        <v>100.0625</v>
      </c>
      <c r="AM98" s="260">
        <f t="shared" si="138"/>
        <v>5</v>
      </c>
      <c r="AN98" s="367"/>
      <c r="AO98" s="260">
        <v>16</v>
      </c>
      <c r="AP98" s="260">
        <v>1691</v>
      </c>
      <c r="AQ98" s="262">
        <f t="shared" si="139"/>
        <v>105.6875</v>
      </c>
      <c r="AR98" s="260">
        <f t="shared" si="140"/>
        <v>5</v>
      </c>
      <c r="AS98" s="367"/>
      <c r="AT98" s="260">
        <v>16</v>
      </c>
      <c r="AU98" s="260">
        <v>1663</v>
      </c>
      <c r="AV98" s="262">
        <f t="shared" si="141"/>
        <v>103.9375</v>
      </c>
      <c r="AW98" s="260">
        <f t="shared" si="142"/>
        <v>5</v>
      </c>
      <c r="AX98" s="367"/>
    </row>
    <row r="99" spans="1:50">
      <c r="A99" s="252">
        <v>18</v>
      </c>
      <c r="B99" s="371"/>
      <c r="C99" s="260">
        <v>4</v>
      </c>
      <c r="D99" s="260" t="s">
        <v>105</v>
      </c>
      <c r="E99" s="261">
        <f>VLOOKUP(D99,'09產線配置圖'!$A$2:$C$30,2,0)</f>
        <v>18</v>
      </c>
      <c r="F99" s="261">
        <f>VLOOKUP(D99,'09產線配置圖'!$A$2:$C$30,3,0)</f>
        <v>1565</v>
      </c>
      <c r="G99" s="262">
        <v>86.944444444444443</v>
      </c>
      <c r="H99" s="367"/>
      <c r="I99" s="261">
        <f t="shared" si="126"/>
        <v>18</v>
      </c>
      <c r="J99" s="261">
        <f t="shared" si="127"/>
        <v>1510</v>
      </c>
      <c r="K99" s="262">
        <f t="shared" si="128"/>
        <v>83.888888888888886</v>
      </c>
      <c r="L99" s="367"/>
      <c r="M99" s="261">
        <f>RANK(K99, K$96:$K$113)</f>
        <v>9</v>
      </c>
      <c r="N99" s="355"/>
      <c r="O99" s="355"/>
      <c r="P99" s="261">
        <v>18</v>
      </c>
      <c r="Q99" s="261">
        <v>1540</v>
      </c>
      <c r="R99" s="262">
        <f t="shared" si="129"/>
        <v>85.555555555555557</v>
      </c>
      <c r="S99" s="260">
        <f t="shared" si="130"/>
        <v>9</v>
      </c>
      <c r="T99" s="367"/>
      <c r="U99" s="261">
        <v>18</v>
      </c>
      <c r="V99" s="261">
        <v>1472</v>
      </c>
      <c r="W99" s="262">
        <f t="shared" si="131"/>
        <v>81.777777777777771</v>
      </c>
      <c r="X99" s="260">
        <f t="shared" si="132"/>
        <v>12</v>
      </c>
      <c r="Y99" s="367"/>
      <c r="Z99" s="261">
        <v>18</v>
      </c>
      <c r="AA99" s="261">
        <v>1531</v>
      </c>
      <c r="AB99" s="262">
        <f t="shared" si="133"/>
        <v>85.055555555555557</v>
      </c>
      <c r="AC99" s="260">
        <f t="shared" si="134"/>
        <v>12</v>
      </c>
      <c r="AD99" s="367"/>
      <c r="AE99" s="261">
        <v>18</v>
      </c>
      <c r="AF99" s="261">
        <v>1411</v>
      </c>
      <c r="AG99" s="262">
        <f t="shared" si="135"/>
        <v>78.388888888888886</v>
      </c>
      <c r="AH99" s="260">
        <f t="shared" si="136"/>
        <v>11</v>
      </c>
      <c r="AI99" s="367"/>
      <c r="AJ99" s="261">
        <v>18</v>
      </c>
      <c r="AK99" s="261">
        <v>1516</v>
      </c>
      <c r="AL99" s="262">
        <f t="shared" si="137"/>
        <v>84.222222222222229</v>
      </c>
      <c r="AM99" s="260">
        <f t="shared" si="138"/>
        <v>10</v>
      </c>
      <c r="AN99" s="367"/>
      <c r="AO99" s="260">
        <v>18</v>
      </c>
      <c r="AP99" s="260">
        <v>1565</v>
      </c>
      <c r="AQ99" s="262">
        <f t="shared" si="139"/>
        <v>86.944444444444443</v>
      </c>
      <c r="AR99" s="260">
        <f t="shared" si="140"/>
        <v>8</v>
      </c>
      <c r="AS99" s="367"/>
      <c r="AT99" s="260">
        <v>18</v>
      </c>
      <c r="AU99" s="260">
        <v>1535</v>
      </c>
      <c r="AV99" s="262">
        <f t="shared" si="141"/>
        <v>85.277777777777771</v>
      </c>
      <c r="AW99" s="260">
        <f t="shared" si="142"/>
        <v>9</v>
      </c>
      <c r="AX99" s="367"/>
    </row>
    <row r="100" spans="1:50">
      <c r="B100" s="371"/>
      <c r="C100" s="260">
        <v>5</v>
      </c>
      <c r="D100" s="260" t="s">
        <v>106</v>
      </c>
      <c r="E100" s="261">
        <f>VLOOKUP(D100,'09產線配置圖'!$A$2:$C$30,2,0)</f>
        <v>13</v>
      </c>
      <c r="F100" s="261">
        <f>VLOOKUP(D100,'09產線配置圖'!$A$2:$C$30,3,0)</f>
        <v>2000</v>
      </c>
      <c r="G100" s="262">
        <v>153.84615384615384</v>
      </c>
      <c r="H100" s="367"/>
      <c r="I100" s="261">
        <f t="shared" si="126"/>
        <v>14.642857142857142</v>
      </c>
      <c r="J100" s="261">
        <f t="shared" si="127"/>
        <v>1434.4285714285713</v>
      </c>
      <c r="K100" s="262">
        <f t="shared" si="128"/>
        <v>98.230729533192587</v>
      </c>
      <c r="L100" s="367"/>
      <c r="M100" s="261">
        <f>RANK(K100, K$96:$K$113)</f>
        <v>7</v>
      </c>
      <c r="N100" s="355"/>
      <c r="O100" s="355"/>
      <c r="P100" s="261">
        <v>14.5</v>
      </c>
      <c r="Q100" s="261">
        <v>1527</v>
      </c>
      <c r="R100" s="262">
        <f t="shared" si="129"/>
        <v>105.31034482758621</v>
      </c>
      <c r="S100" s="260">
        <f t="shared" si="130"/>
        <v>5</v>
      </c>
      <c r="T100" s="367"/>
      <c r="U100" s="261">
        <v>15</v>
      </c>
      <c r="V100" s="261">
        <v>1257</v>
      </c>
      <c r="W100" s="262">
        <f t="shared" si="131"/>
        <v>83.8</v>
      </c>
      <c r="X100" s="260">
        <f t="shared" si="132"/>
        <v>10</v>
      </c>
      <c r="Y100" s="367"/>
      <c r="Z100" s="261">
        <v>14</v>
      </c>
      <c r="AA100" s="261">
        <v>1594</v>
      </c>
      <c r="AB100" s="262">
        <f t="shared" si="133"/>
        <v>113.85714285714286</v>
      </c>
      <c r="AC100" s="260">
        <f t="shared" si="134"/>
        <v>3</v>
      </c>
      <c r="AD100" s="367"/>
      <c r="AE100" s="261">
        <v>14</v>
      </c>
      <c r="AF100" s="261">
        <v>1494</v>
      </c>
      <c r="AG100" s="262">
        <f t="shared" si="135"/>
        <v>106.71428571428571</v>
      </c>
      <c r="AH100" s="260">
        <f t="shared" si="136"/>
        <v>4</v>
      </c>
      <c r="AI100" s="367"/>
      <c r="AJ100" s="261">
        <v>15</v>
      </c>
      <c r="AK100" s="261">
        <v>1361</v>
      </c>
      <c r="AL100" s="262">
        <f t="shared" si="137"/>
        <v>90.733333333333334</v>
      </c>
      <c r="AM100" s="260">
        <f t="shared" si="138"/>
        <v>7</v>
      </c>
      <c r="AN100" s="367"/>
      <c r="AO100" s="260">
        <v>15</v>
      </c>
      <c r="AP100" s="260">
        <v>1399</v>
      </c>
      <c r="AQ100" s="262">
        <f t="shared" si="139"/>
        <v>93.266666666666666</v>
      </c>
      <c r="AR100" s="260">
        <f t="shared" si="140"/>
        <v>7</v>
      </c>
      <c r="AS100" s="367"/>
      <c r="AT100" s="260">
        <v>15</v>
      </c>
      <c r="AU100" s="260">
        <v>1409</v>
      </c>
      <c r="AV100" s="262">
        <f t="shared" si="141"/>
        <v>93.933333333333337</v>
      </c>
      <c r="AW100" s="260">
        <f t="shared" si="142"/>
        <v>7</v>
      </c>
      <c r="AX100" s="367"/>
    </row>
    <row r="101" spans="1:50">
      <c r="B101" s="371"/>
      <c r="C101" s="260">
        <v>6</v>
      </c>
      <c r="D101" s="260" t="s">
        <v>107</v>
      </c>
      <c r="E101" s="261">
        <f>VLOOKUP(D101,'09產線配置圖'!$A$2:$C$30,2,0)</f>
        <v>16</v>
      </c>
      <c r="F101" s="261">
        <f>VLOOKUP(D101,'09產線配置圖'!$A$2:$C$30,3,0)</f>
        <v>1895</v>
      </c>
      <c r="G101" s="262">
        <v>118.4375</v>
      </c>
      <c r="H101" s="367"/>
      <c r="I101" s="261">
        <f t="shared" si="126"/>
        <v>14.285714285714286</v>
      </c>
      <c r="J101" s="261">
        <f t="shared" si="127"/>
        <v>1672.4285714285713</v>
      </c>
      <c r="K101" s="262">
        <f t="shared" si="128"/>
        <v>117.14149659863946</v>
      </c>
      <c r="L101" s="367"/>
      <c r="M101" s="261">
        <f>RANK(K101, K$96:$K$113)</f>
        <v>3</v>
      </c>
      <c r="N101" s="355"/>
      <c r="O101" s="355"/>
      <c r="P101" s="261">
        <v>14</v>
      </c>
      <c r="Q101" s="261">
        <v>1754</v>
      </c>
      <c r="R101" s="262">
        <f t="shared" si="129"/>
        <v>125.28571428571429</v>
      </c>
      <c r="S101" s="260">
        <f t="shared" si="130"/>
        <v>3</v>
      </c>
      <c r="T101" s="367"/>
      <c r="U101" s="261">
        <v>15</v>
      </c>
      <c r="V101" s="261">
        <v>1714</v>
      </c>
      <c r="W101" s="262">
        <f t="shared" si="131"/>
        <v>114.26666666666667</v>
      </c>
      <c r="X101" s="260">
        <f t="shared" si="132"/>
        <v>3</v>
      </c>
      <c r="Y101" s="367"/>
      <c r="Z101" s="261">
        <v>15</v>
      </c>
      <c r="AA101" s="261">
        <v>1693</v>
      </c>
      <c r="AB101" s="262">
        <f t="shared" si="133"/>
        <v>112.86666666666666</v>
      </c>
      <c r="AC101" s="260">
        <f t="shared" si="134"/>
        <v>4</v>
      </c>
      <c r="AD101" s="367"/>
      <c r="AE101" s="261">
        <v>14</v>
      </c>
      <c r="AF101" s="261">
        <v>1346</v>
      </c>
      <c r="AG101" s="262">
        <f t="shared" si="135"/>
        <v>96.142857142857139</v>
      </c>
      <c r="AH101" s="260">
        <f t="shared" si="136"/>
        <v>8</v>
      </c>
      <c r="AI101" s="367"/>
      <c r="AJ101" s="261">
        <v>14</v>
      </c>
      <c r="AK101" s="261">
        <v>1715</v>
      </c>
      <c r="AL101" s="262">
        <f t="shared" si="137"/>
        <v>122.5</v>
      </c>
      <c r="AM101" s="260">
        <f t="shared" si="138"/>
        <v>3</v>
      </c>
      <c r="AN101" s="367"/>
      <c r="AO101" s="260">
        <v>14</v>
      </c>
      <c r="AP101" s="260">
        <v>1712</v>
      </c>
      <c r="AQ101" s="262">
        <f t="shared" si="139"/>
        <v>122.28571428571429</v>
      </c>
      <c r="AR101" s="260">
        <f t="shared" si="140"/>
        <v>3</v>
      </c>
      <c r="AS101" s="367"/>
      <c r="AT101" s="260">
        <v>14</v>
      </c>
      <c r="AU101" s="260">
        <v>1773</v>
      </c>
      <c r="AV101" s="262">
        <f t="shared" si="141"/>
        <v>126.64285714285714</v>
      </c>
      <c r="AW101" s="260">
        <f t="shared" si="142"/>
        <v>2</v>
      </c>
      <c r="AX101" s="367"/>
    </row>
    <row r="102" spans="1:50">
      <c r="B102" s="371"/>
      <c r="C102" s="260">
        <v>7</v>
      </c>
      <c r="D102" s="260" t="s">
        <v>108</v>
      </c>
      <c r="E102" s="261">
        <f>VLOOKUP(D102,'09產線配置圖'!$A$2:$C$30,2,0)</f>
        <v>16</v>
      </c>
      <c r="F102" s="261">
        <f>VLOOKUP(D102,'09產線配置圖'!$A$2:$C$30,3,0)</f>
        <v>1552</v>
      </c>
      <c r="G102" s="262">
        <v>97</v>
      </c>
      <c r="H102" s="367"/>
      <c r="I102" s="261"/>
      <c r="J102" s="261"/>
      <c r="K102" s="262"/>
      <c r="L102" s="367"/>
      <c r="M102" s="261"/>
      <c r="N102" s="355"/>
      <c r="O102" s="355"/>
      <c r="P102" s="261"/>
      <c r="Q102" s="261"/>
      <c r="R102" s="262"/>
      <c r="S102" s="260"/>
      <c r="T102" s="367"/>
      <c r="U102" s="261"/>
      <c r="V102" s="261"/>
      <c r="W102" s="262"/>
      <c r="X102" s="260"/>
      <c r="Y102" s="367"/>
      <c r="Z102" s="261"/>
      <c r="AA102" s="261"/>
      <c r="AB102" s="262"/>
      <c r="AC102" s="260"/>
      <c r="AD102" s="367"/>
      <c r="AE102" s="261"/>
      <c r="AF102" s="261"/>
      <c r="AG102" s="262"/>
      <c r="AH102" s="260"/>
      <c r="AI102" s="367"/>
      <c r="AJ102" s="261"/>
      <c r="AK102" s="261"/>
      <c r="AL102" s="262"/>
      <c r="AM102" s="260"/>
      <c r="AN102" s="367"/>
      <c r="AO102" s="260"/>
      <c r="AP102" s="260"/>
      <c r="AQ102" s="262"/>
      <c r="AR102" s="260"/>
      <c r="AS102" s="367"/>
      <c r="AT102" s="260"/>
      <c r="AU102" s="260"/>
      <c r="AV102" s="262"/>
      <c r="AW102" s="260"/>
      <c r="AX102" s="367"/>
    </row>
    <row r="103" spans="1:50">
      <c r="B103" s="371"/>
      <c r="C103" s="260">
        <v>8</v>
      </c>
      <c r="D103" s="260" t="s">
        <v>109</v>
      </c>
      <c r="E103" s="261">
        <f>VLOOKUP(D103,'09產線配置圖'!$A$2:$C$30,2,0)</f>
        <v>15</v>
      </c>
      <c r="F103" s="261">
        <f>VLOOKUP(D103,'09產線配置圖'!$A$2:$C$30,3,0)</f>
        <v>1565</v>
      </c>
      <c r="G103" s="262">
        <v>104.33333333333333</v>
      </c>
      <c r="H103" s="367"/>
      <c r="I103" s="261">
        <f t="shared" si="126"/>
        <v>15</v>
      </c>
      <c r="J103" s="261">
        <f t="shared" si="127"/>
        <v>1516.5714285714287</v>
      </c>
      <c r="K103" s="262">
        <f t="shared" si="128"/>
        <v>101.1047619047619</v>
      </c>
      <c r="L103" s="367"/>
      <c r="M103" s="261">
        <f>RANK(K103, K$96:$K$113)</f>
        <v>6</v>
      </c>
      <c r="N103" s="355"/>
      <c r="O103" s="355"/>
      <c r="P103" s="261">
        <v>15</v>
      </c>
      <c r="Q103" s="261">
        <v>1473</v>
      </c>
      <c r="R103" s="262">
        <f t="shared" si="129"/>
        <v>98.2</v>
      </c>
      <c r="S103" s="260">
        <f t="shared" si="130"/>
        <v>7</v>
      </c>
      <c r="T103" s="367"/>
      <c r="U103" s="261">
        <v>15</v>
      </c>
      <c r="V103" s="261">
        <v>1444</v>
      </c>
      <c r="W103" s="262">
        <f t="shared" si="131"/>
        <v>96.266666666666666</v>
      </c>
      <c r="X103" s="260">
        <f t="shared" si="132"/>
        <v>6</v>
      </c>
      <c r="Y103" s="367"/>
      <c r="Z103" s="261">
        <v>15</v>
      </c>
      <c r="AA103" s="261">
        <v>1493</v>
      </c>
      <c r="AB103" s="262">
        <f t="shared" si="133"/>
        <v>99.533333333333331</v>
      </c>
      <c r="AC103" s="260">
        <f t="shared" si="134"/>
        <v>7</v>
      </c>
      <c r="AD103" s="367"/>
      <c r="AE103" s="261">
        <v>15</v>
      </c>
      <c r="AF103" s="261">
        <v>1559</v>
      </c>
      <c r="AG103" s="262">
        <f t="shared" si="135"/>
        <v>103.93333333333334</v>
      </c>
      <c r="AH103" s="260">
        <f t="shared" si="136"/>
        <v>6</v>
      </c>
      <c r="AI103" s="367"/>
      <c r="AJ103" s="261">
        <v>15</v>
      </c>
      <c r="AK103" s="261">
        <v>1555</v>
      </c>
      <c r="AL103" s="262">
        <f t="shared" si="137"/>
        <v>103.66666666666667</v>
      </c>
      <c r="AM103" s="260">
        <f t="shared" si="138"/>
        <v>4</v>
      </c>
      <c r="AN103" s="367"/>
      <c r="AO103" s="260">
        <v>15</v>
      </c>
      <c r="AP103" s="260">
        <v>1559</v>
      </c>
      <c r="AQ103" s="262">
        <f t="shared" si="139"/>
        <v>103.93333333333334</v>
      </c>
      <c r="AR103" s="260">
        <f t="shared" si="140"/>
        <v>6</v>
      </c>
      <c r="AS103" s="367"/>
      <c r="AT103" s="260">
        <v>15</v>
      </c>
      <c r="AU103" s="260">
        <v>1533</v>
      </c>
      <c r="AV103" s="262">
        <f t="shared" si="141"/>
        <v>102.2</v>
      </c>
      <c r="AW103" s="260">
        <f t="shared" si="142"/>
        <v>6</v>
      </c>
      <c r="AX103" s="367"/>
    </row>
    <row r="104" spans="1:50">
      <c r="B104" s="371"/>
      <c r="C104" s="260">
        <v>9</v>
      </c>
      <c r="D104" s="260" t="s">
        <v>110</v>
      </c>
      <c r="E104" s="261">
        <f>VLOOKUP(D104,'09產線配置圖'!$A$2:$C$30,2,0)</f>
        <v>16</v>
      </c>
      <c r="F104" s="261">
        <f>VLOOKUP(D104,'09產線配置圖'!$A$2:$C$30,3,0)</f>
        <v>1390</v>
      </c>
      <c r="G104" s="262">
        <v>86.875</v>
      </c>
      <c r="H104" s="367"/>
      <c r="I104" s="261">
        <f t="shared" si="126"/>
        <v>14.142857142857142</v>
      </c>
      <c r="J104" s="261">
        <f t="shared" si="127"/>
        <v>977</v>
      </c>
      <c r="K104" s="262">
        <f t="shared" si="128"/>
        <v>68.660485347985343</v>
      </c>
      <c r="L104" s="367"/>
      <c r="M104" s="261">
        <f>RANK(K104, K$96:$K$113)</f>
        <v>16</v>
      </c>
      <c r="N104" s="355"/>
      <c r="O104" s="355"/>
      <c r="P104" s="261">
        <v>16</v>
      </c>
      <c r="Q104" s="261">
        <v>1175</v>
      </c>
      <c r="R104" s="262">
        <f t="shared" si="129"/>
        <v>73.4375</v>
      </c>
      <c r="S104" s="260">
        <f t="shared" si="130"/>
        <v>11</v>
      </c>
      <c r="T104" s="367"/>
      <c r="U104" s="261">
        <v>13</v>
      </c>
      <c r="V104" s="261">
        <v>908</v>
      </c>
      <c r="W104" s="262">
        <f t="shared" si="131"/>
        <v>69.84615384615384</v>
      </c>
      <c r="X104" s="260">
        <f t="shared" si="132"/>
        <v>16</v>
      </c>
      <c r="Y104" s="367"/>
      <c r="Z104" s="261">
        <v>13</v>
      </c>
      <c r="AA104" s="261">
        <v>745</v>
      </c>
      <c r="AB104" s="262">
        <f t="shared" si="133"/>
        <v>57.307692307692307</v>
      </c>
      <c r="AC104" s="260">
        <f t="shared" si="134"/>
        <v>16</v>
      </c>
      <c r="AD104" s="367"/>
      <c r="AE104" s="261">
        <v>13</v>
      </c>
      <c r="AF104" s="261">
        <v>853</v>
      </c>
      <c r="AG104" s="262">
        <f t="shared" si="135"/>
        <v>65.615384615384613</v>
      </c>
      <c r="AH104" s="260">
        <f t="shared" si="136"/>
        <v>15</v>
      </c>
      <c r="AI104" s="367"/>
      <c r="AJ104" s="261">
        <v>12</v>
      </c>
      <c r="AK104" s="261">
        <v>818</v>
      </c>
      <c r="AL104" s="262">
        <f t="shared" si="137"/>
        <v>68.166666666666671</v>
      </c>
      <c r="AM104" s="260">
        <f t="shared" si="138"/>
        <v>15</v>
      </c>
      <c r="AN104" s="367"/>
      <c r="AO104" s="260">
        <v>16</v>
      </c>
      <c r="AP104" s="260">
        <v>982</v>
      </c>
      <c r="AQ104" s="262">
        <f t="shared" si="139"/>
        <v>61.375</v>
      </c>
      <c r="AR104" s="260">
        <f t="shared" si="140"/>
        <v>16</v>
      </c>
      <c r="AS104" s="367"/>
      <c r="AT104" s="260">
        <v>16</v>
      </c>
      <c r="AU104" s="260">
        <v>1358</v>
      </c>
      <c r="AV104" s="262">
        <f t="shared" si="141"/>
        <v>84.875</v>
      </c>
      <c r="AW104" s="260">
        <f t="shared" si="142"/>
        <v>10</v>
      </c>
      <c r="AX104" s="367"/>
    </row>
    <row r="105" spans="1:50">
      <c r="B105" s="371"/>
      <c r="C105" s="260">
        <v>10</v>
      </c>
      <c r="D105" s="260" t="s">
        <v>111</v>
      </c>
      <c r="E105" s="261">
        <f>VLOOKUP(D105,'09產線配置圖'!$A$2:$C$30,2,0)</f>
        <v>19</v>
      </c>
      <c r="F105" s="261">
        <f>VLOOKUP(D105,'09產線配置圖'!$A$2:$C$30,3,0)</f>
        <v>1565</v>
      </c>
      <c r="G105" s="262">
        <v>82.368421052631575</v>
      </c>
      <c r="H105" s="367"/>
      <c r="I105" s="261">
        <f t="shared" si="126"/>
        <v>15.166666666666666</v>
      </c>
      <c r="J105" s="261">
        <f t="shared" si="127"/>
        <v>1101.8333333333333</v>
      </c>
      <c r="K105" s="262">
        <f t="shared" si="128"/>
        <v>72.61366129785246</v>
      </c>
      <c r="L105" s="367"/>
      <c r="M105" s="261">
        <f>RANK(K105, K$96:$K$113)</f>
        <v>14</v>
      </c>
      <c r="N105" s="355"/>
      <c r="O105" s="355"/>
      <c r="P105" s="261">
        <v>16</v>
      </c>
      <c r="Q105" s="261">
        <v>1077</v>
      </c>
      <c r="R105" s="262">
        <f t="shared" si="129"/>
        <v>67.3125</v>
      </c>
      <c r="S105" s="260">
        <f t="shared" si="130"/>
        <v>15</v>
      </c>
      <c r="T105" s="367"/>
      <c r="U105" s="261">
        <v>15</v>
      </c>
      <c r="V105" s="261">
        <v>1172</v>
      </c>
      <c r="W105" s="262">
        <f t="shared" si="131"/>
        <v>78.13333333333334</v>
      </c>
      <c r="X105" s="260">
        <f t="shared" si="132"/>
        <v>13</v>
      </c>
      <c r="Y105" s="367"/>
      <c r="Z105" s="261">
        <v>14</v>
      </c>
      <c r="AA105" s="261">
        <v>989</v>
      </c>
      <c r="AB105" s="262">
        <f t="shared" si="133"/>
        <v>70.642857142857139</v>
      </c>
      <c r="AC105" s="260">
        <f t="shared" si="134"/>
        <v>15</v>
      </c>
      <c r="AD105" s="367"/>
      <c r="AE105" s="261">
        <v>14</v>
      </c>
      <c r="AF105" s="261">
        <v>902</v>
      </c>
      <c r="AG105" s="262">
        <f t="shared" si="135"/>
        <v>64.428571428571431</v>
      </c>
      <c r="AH105" s="260">
        <f t="shared" si="136"/>
        <v>16</v>
      </c>
      <c r="AI105" s="367"/>
      <c r="AJ105" s="261">
        <v>15</v>
      </c>
      <c r="AK105" s="261">
        <v>1251</v>
      </c>
      <c r="AL105" s="262">
        <f t="shared" si="137"/>
        <v>83.4</v>
      </c>
      <c r="AM105" s="260">
        <f t="shared" si="138"/>
        <v>11</v>
      </c>
      <c r="AN105" s="367"/>
      <c r="AO105" s="260">
        <v>17</v>
      </c>
      <c r="AP105" s="260">
        <v>1220</v>
      </c>
      <c r="AQ105" s="262">
        <f t="shared" si="139"/>
        <v>71.764705882352942</v>
      </c>
      <c r="AR105" s="260">
        <f t="shared" si="140"/>
        <v>13</v>
      </c>
      <c r="AS105" s="367"/>
      <c r="AT105" s="260"/>
      <c r="AU105" s="260"/>
      <c r="AV105" s="262"/>
      <c r="AW105" s="260"/>
      <c r="AX105" s="367"/>
    </row>
    <row r="106" spans="1:50">
      <c r="B106" s="371"/>
      <c r="C106" s="260">
        <v>11</v>
      </c>
      <c r="D106" s="260" t="s">
        <v>112</v>
      </c>
      <c r="E106" s="261">
        <f>VLOOKUP(D106,'09產線配置圖'!$A$2:$C$30,2,0)</f>
        <v>18</v>
      </c>
      <c r="F106" s="261">
        <f>VLOOKUP(D106,'09產線配置圖'!$A$2:$C$30,3,0)</f>
        <v>1500</v>
      </c>
      <c r="G106" s="262">
        <v>83.333333333333329</v>
      </c>
      <c r="H106" s="367"/>
      <c r="I106" s="261">
        <f t="shared" si="126"/>
        <v>13.857142857142858</v>
      </c>
      <c r="J106" s="261">
        <f t="shared" si="127"/>
        <v>1070.4285714285713</v>
      </c>
      <c r="K106" s="262">
        <f t="shared" si="128"/>
        <v>78.315168165168174</v>
      </c>
      <c r="L106" s="367"/>
      <c r="M106" s="261">
        <f>RANK(K106, K$96:$K$113)</f>
        <v>12</v>
      </c>
      <c r="N106" s="355"/>
      <c r="O106" s="355"/>
      <c r="P106" s="260">
        <v>16</v>
      </c>
      <c r="Q106" s="260">
        <v>1004</v>
      </c>
      <c r="R106" s="262">
        <f t="shared" si="129"/>
        <v>62.75</v>
      </c>
      <c r="S106" s="260">
        <f t="shared" si="130"/>
        <v>16</v>
      </c>
      <c r="T106" s="367"/>
      <c r="U106" s="260">
        <v>13</v>
      </c>
      <c r="V106" s="260">
        <v>1226</v>
      </c>
      <c r="W106" s="262">
        <f t="shared" si="131"/>
        <v>94.307692307692307</v>
      </c>
      <c r="X106" s="260">
        <f t="shared" si="132"/>
        <v>7</v>
      </c>
      <c r="Y106" s="367"/>
      <c r="Z106" s="260">
        <v>11</v>
      </c>
      <c r="AA106" s="260">
        <v>970</v>
      </c>
      <c r="AB106" s="262">
        <f t="shared" si="133"/>
        <v>88.181818181818187</v>
      </c>
      <c r="AC106" s="260">
        <f t="shared" si="134"/>
        <v>10</v>
      </c>
      <c r="AD106" s="367"/>
      <c r="AE106" s="260">
        <v>12</v>
      </c>
      <c r="AF106" s="260">
        <v>1030</v>
      </c>
      <c r="AG106" s="262">
        <f t="shared" si="135"/>
        <v>85.833333333333329</v>
      </c>
      <c r="AH106" s="260">
        <f t="shared" si="136"/>
        <v>9</v>
      </c>
      <c r="AI106" s="367"/>
      <c r="AJ106" s="260">
        <v>13</v>
      </c>
      <c r="AK106" s="260">
        <v>884</v>
      </c>
      <c r="AL106" s="262">
        <f t="shared" si="137"/>
        <v>68</v>
      </c>
      <c r="AM106" s="260">
        <f t="shared" si="138"/>
        <v>16</v>
      </c>
      <c r="AN106" s="367"/>
      <c r="AO106" s="260">
        <v>17</v>
      </c>
      <c r="AP106" s="260">
        <v>1207</v>
      </c>
      <c r="AQ106" s="262">
        <f>AP106/AO106</f>
        <v>71</v>
      </c>
      <c r="AR106" s="260">
        <f t="shared" si="140"/>
        <v>14</v>
      </c>
      <c r="AS106" s="367"/>
      <c r="AT106" s="260">
        <v>15</v>
      </c>
      <c r="AU106" s="260">
        <v>1172</v>
      </c>
      <c r="AV106" s="262">
        <f>AU106/AT106</f>
        <v>78.13333333333334</v>
      </c>
      <c r="AW106" s="260">
        <f t="shared" si="142"/>
        <v>13</v>
      </c>
      <c r="AX106" s="367"/>
    </row>
    <row r="107" spans="1:50">
      <c r="B107" s="371"/>
      <c r="C107" s="260">
        <v>12</v>
      </c>
      <c r="D107" s="260" t="s">
        <v>113</v>
      </c>
      <c r="E107" s="261">
        <f>VLOOKUP(D107,'09產線配置圖'!$A$2:$C$30,2,0)</f>
        <v>18</v>
      </c>
      <c r="F107" s="261">
        <f>VLOOKUP(D107,'09產線配置圖'!$A$2:$C$30,3,0)</f>
        <v>1385</v>
      </c>
      <c r="G107" s="262">
        <v>76.944444444444443</v>
      </c>
      <c r="H107" s="367"/>
      <c r="I107" s="261">
        <f t="shared" ref="I107" si="143">AVERAGE(P107,U107,Z107,AE107,AJ107,AO107,AT107)</f>
        <v>17.285714285714285</v>
      </c>
      <c r="J107" s="261">
        <f t="shared" ref="J107" si="144">AVERAGE(Q107,V107,AA107,AF107,AK107,AP107,AU107)</f>
        <v>1247.7142857142858</v>
      </c>
      <c r="K107" s="262">
        <f t="shared" si="128"/>
        <v>72.325918964076862</v>
      </c>
      <c r="L107" s="367"/>
      <c r="M107" s="261">
        <f>RANK(K107, K$96:$K$113)</f>
        <v>15</v>
      </c>
      <c r="N107" s="355"/>
      <c r="O107" s="355"/>
      <c r="P107" s="260">
        <v>18</v>
      </c>
      <c r="Q107" s="260">
        <v>1306</v>
      </c>
      <c r="R107" s="262">
        <f t="shared" ref="R107" si="145">Q107/P107</f>
        <v>72.555555555555557</v>
      </c>
      <c r="S107" s="260">
        <f t="shared" ref="S107" si="146">RANK(R107,$R$96:$R$113)</f>
        <v>12</v>
      </c>
      <c r="T107" s="367"/>
      <c r="U107" s="260">
        <v>16</v>
      </c>
      <c r="V107" s="260">
        <v>1207</v>
      </c>
      <c r="W107" s="262">
        <f t="shared" ref="W107" si="147">V107/U107</f>
        <v>75.4375</v>
      </c>
      <c r="X107" s="260">
        <f t="shared" ref="X107" si="148">RANK(W107,$W$96:$W$113)</f>
        <v>15</v>
      </c>
      <c r="Y107" s="367"/>
      <c r="Z107" s="260">
        <v>16</v>
      </c>
      <c r="AA107" s="260">
        <v>1210</v>
      </c>
      <c r="AB107" s="262">
        <f t="shared" ref="AB107" si="149">AA107/Z107</f>
        <v>75.625</v>
      </c>
      <c r="AC107" s="260">
        <f t="shared" ref="AC107" si="150">RANK(AB107, $AB$96:$AB$113)</f>
        <v>13</v>
      </c>
      <c r="AD107" s="367"/>
      <c r="AE107" s="260">
        <v>18</v>
      </c>
      <c r="AF107" s="260">
        <v>1268</v>
      </c>
      <c r="AG107" s="262">
        <f t="shared" ref="AG107" si="151">AF107/AE107</f>
        <v>70.444444444444443</v>
      </c>
      <c r="AH107" s="260">
        <f t="shared" ref="AH107" si="152">RANK(AG107,$AG$96:$AG$113)</f>
        <v>13</v>
      </c>
      <c r="AI107" s="367"/>
      <c r="AJ107" s="260">
        <v>16</v>
      </c>
      <c r="AK107" s="260">
        <v>1173</v>
      </c>
      <c r="AL107" s="262">
        <f t="shared" ref="AL107" si="153">AK107/AJ107</f>
        <v>73.3125</v>
      </c>
      <c r="AM107" s="260">
        <f t="shared" ref="AM107" si="154">RANK(AL107,$AL$96:$AL$113)</f>
        <v>13</v>
      </c>
      <c r="AN107" s="367"/>
      <c r="AO107" s="260">
        <v>18</v>
      </c>
      <c r="AP107" s="260">
        <v>1246</v>
      </c>
      <c r="AQ107" s="262">
        <f t="shared" ref="AQ107:AQ112" si="155">AP107/AO107</f>
        <v>69.222222222222229</v>
      </c>
      <c r="AR107" s="260">
        <f t="shared" si="140"/>
        <v>15</v>
      </c>
      <c r="AS107" s="367"/>
      <c r="AT107" s="260">
        <v>19</v>
      </c>
      <c r="AU107" s="260">
        <v>1324</v>
      </c>
      <c r="AV107" s="262">
        <f t="shared" ref="AV107:AV112" si="156">AU107/AT107</f>
        <v>69.684210526315795</v>
      </c>
      <c r="AW107" s="260">
        <f t="shared" si="142"/>
        <v>14</v>
      </c>
      <c r="AX107" s="367"/>
    </row>
    <row r="108" spans="1:50">
      <c r="B108" s="371"/>
      <c r="C108" s="260">
        <v>13</v>
      </c>
      <c r="D108" s="260" t="s">
        <v>114</v>
      </c>
      <c r="E108" s="261">
        <f>VLOOKUP(D108,'09產線配置圖'!$A$2:$C$30,2,0)</f>
        <v>17</v>
      </c>
      <c r="F108" s="261">
        <f>VLOOKUP(D108,'09產線配置圖'!$A$2:$C$30,3,0)</f>
        <v>1565</v>
      </c>
      <c r="G108" s="262">
        <v>92.058823529411768</v>
      </c>
      <c r="H108" s="367"/>
      <c r="I108" s="261">
        <f t="shared" si="126"/>
        <v>14.571428571428571</v>
      </c>
      <c r="J108" s="261">
        <f t="shared" si="127"/>
        <v>1315.5714285714287</v>
      </c>
      <c r="K108" s="262">
        <f t="shared" si="128"/>
        <v>90.494413919413901</v>
      </c>
      <c r="L108" s="367"/>
      <c r="M108" s="261">
        <f>RANK(K108, K$96:$K$113)</f>
        <v>8</v>
      </c>
      <c r="N108" s="355"/>
      <c r="O108" s="355"/>
      <c r="P108" s="260">
        <v>16</v>
      </c>
      <c r="Q108" s="260">
        <v>1403</v>
      </c>
      <c r="R108" s="262">
        <f t="shared" si="129"/>
        <v>87.6875</v>
      </c>
      <c r="S108" s="260">
        <f t="shared" si="130"/>
        <v>8</v>
      </c>
      <c r="T108" s="367"/>
      <c r="U108" s="260">
        <v>14</v>
      </c>
      <c r="V108" s="260">
        <v>1251</v>
      </c>
      <c r="W108" s="262">
        <f t="shared" si="131"/>
        <v>89.357142857142861</v>
      </c>
      <c r="X108" s="260">
        <f t="shared" si="132"/>
        <v>8</v>
      </c>
      <c r="Y108" s="367"/>
      <c r="Z108" s="260">
        <v>14</v>
      </c>
      <c r="AA108" s="260">
        <v>1384</v>
      </c>
      <c r="AB108" s="262">
        <f t="shared" si="133"/>
        <v>98.857142857142861</v>
      </c>
      <c r="AC108" s="260">
        <f t="shared" si="134"/>
        <v>8</v>
      </c>
      <c r="AD108" s="367"/>
      <c r="AE108" s="260">
        <v>14</v>
      </c>
      <c r="AF108" s="260">
        <v>1376</v>
      </c>
      <c r="AG108" s="262">
        <f t="shared" si="135"/>
        <v>98.285714285714292</v>
      </c>
      <c r="AH108" s="260">
        <f t="shared" si="136"/>
        <v>7</v>
      </c>
      <c r="AI108" s="367"/>
      <c r="AJ108" s="260">
        <v>13</v>
      </c>
      <c r="AK108" s="260">
        <v>1167</v>
      </c>
      <c r="AL108" s="262">
        <f t="shared" si="137"/>
        <v>89.769230769230774</v>
      </c>
      <c r="AM108" s="260">
        <f t="shared" si="138"/>
        <v>8</v>
      </c>
      <c r="AN108" s="367"/>
      <c r="AO108" s="260">
        <v>16</v>
      </c>
      <c r="AP108" s="260">
        <v>1367</v>
      </c>
      <c r="AQ108" s="262">
        <f t="shared" si="155"/>
        <v>85.4375</v>
      </c>
      <c r="AR108" s="260">
        <f t="shared" si="140"/>
        <v>9</v>
      </c>
      <c r="AS108" s="367"/>
      <c r="AT108" s="260">
        <v>15</v>
      </c>
      <c r="AU108" s="260">
        <v>1261</v>
      </c>
      <c r="AV108" s="262">
        <f t="shared" si="156"/>
        <v>84.066666666666663</v>
      </c>
      <c r="AW108" s="260">
        <f t="shared" si="142"/>
        <v>11</v>
      </c>
      <c r="AX108" s="367"/>
    </row>
    <row r="109" spans="1:50">
      <c r="B109" s="371"/>
      <c r="C109" s="260">
        <v>14</v>
      </c>
      <c r="D109" s="260" t="s">
        <v>115</v>
      </c>
      <c r="E109" s="261">
        <f>VLOOKUP(D109,'09產線配置圖'!$A$2:$C$30,2,0)</f>
        <v>17</v>
      </c>
      <c r="F109" s="261">
        <f>VLOOKUP(D109,'09產線配置圖'!$A$2:$C$30,3,0)</f>
        <v>1636</v>
      </c>
      <c r="G109" s="262">
        <v>96.235294117647058</v>
      </c>
      <c r="H109" s="367"/>
      <c r="I109" s="261">
        <f t="shared" si="126"/>
        <v>14</v>
      </c>
      <c r="J109" s="261">
        <f t="shared" si="127"/>
        <v>1131.8571428571429</v>
      </c>
      <c r="K109" s="262">
        <f t="shared" si="128"/>
        <v>80.771677901930019</v>
      </c>
      <c r="L109" s="367"/>
      <c r="M109" s="261">
        <f>RANK(K109, K$96:$K$113)</f>
        <v>11</v>
      </c>
      <c r="N109" s="355"/>
      <c r="O109" s="355"/>
      <c r="P109" s="260">
        <v>14</v>
      </c>
      <c r="Q109" s="260">
        <v>992</v>
      </c>
      <c r="R109" s="262">
        <f t="shared" si="129"/>
        <v>70.857142857142861</v>
      </c>
      <c r="S109" s="260">
        <f t="shared" si="130"/>
        <v>13</v>
      </c>
      <c r="T109" s="367"/>
      <c r="U109" s="260">
        <v>14</v>
      </c>
      <c r="V109" s="260">
        <v>1215</v>
      </c>
      <c r="W109" s="262">
        <f t="shared" si="131"/>
        <v>86.785714285714292</v>
      </c>
      <c r="X109" s="260">
        <f t="shared" si="132"/>
        <v>9</v>
      </c>
      <c r="Y109" s="367"/>
      <c r="Z109" s="260">
        <v>13</v>
      </c>
      <c r="AA109" s="260">
        <v>1135</v>
      </c>
      <c r="AB109" s="262">
        <f t="shared" si="133"/>
        <v>87.307692307692307</v>
      </c>
      <c r="AC109" s="260">
        <f t="shared" si="134"/>
        <v>11</v>
      </c>
      <c r="AD109" s="367"/>
      <c r="AE109" s="260">
        <v>13</v>
      </c>
      <c r="AF109" s="260">
        <v>914</v>
      </c>
      <c r="AG109" s="262">
        <f t="shared" si="135"/>
        <v>70.307692307692307</v>
      </c>
      <c r="AH109" s="260">
        <f t="shared" si="136"/>
        <v>14</v>
      </c>
      <c r="AI109" s="367"/>
      <c r="AJ109" s="260">
        <v>13</v>
      </c>
      <c r="AK109" s="260">
        <v>1138</v>
      </c>
      <c r="AL109" s="262">
        <f t="shared" si="137"/>
        <v>87.538461538461533</v>
      </c>
      <c r="AM109" s="260">
        <f t="shared" si="138"/>
        <v>9</v>
      </c>
      <c r="AN109" s="367"/>
      <c r="AO109" s="260">
        <v>17</v>
      </c>
      <c r="AP109" s="260">
        <v>1431</v>
      </c>
      <c r="AQ109" s="262">
        <f t="shared" si="155"/>
        <v>84.17647058823529</v>
      </c>
      <c r="AR109" s="260">
        <f t="shared" si="140"/>
        <v>10</v>
      </c>
      <c r="AS109" s="367"/>
      <c r="AT109" s="260">
        <v>14</v>
      </c>
      <c r="AU109" s="260">
        <v>1098</v>
      </c>
      <c r="AV109" s="262">
        <f t="shared" si="156"/>
        <v>78.428571428571431</v>
      </c>
      <c r="AW109" s="260">
        <f t="shared" si="142"/>
        <v>12</v>
      </c>
      <c r="AX109" s="367"/>
    </row>
    <row r="110" spans="1:50">
      <c r="B110" s="371"/>
      <c r="C110" s="260">
        <v>15</v>
      </c>
      <c r="D110" s="260" t="s">
        <v>116</v>
      </c>
      <c r="E110" s="261">
        <f>VLOOKUP(D110,'09產線配置圖'!$A$2:$C$30,2,0)</f>
        <v>17</v>
      </c>
      <c r="F110" s="261">
        <f>VLOOKUP(D110,'09產線配置圖'!$A$2:$C$30,3,0)</f>
        <v>1636</v>
      </c>
      <c r="G110" s="262">
        <v>96.235294117647058</v>
      </c>
      <c r="H110" s="367"/>
      <c r="I110" s="261">
        <f t="shared" si="126"/>
        <v>17</v>
      </c>
      <c r="J110" s="261">
        <f t="shared" si="127"/>
        <v>1380.2857142857142</v>
      </c>
      <c r="K110" s="262">
        <f t="shared" si="128"/>
        <v>81.193277310924373</v>
      </c>
      <c r="L110" s="367"/>
      <c r="M110" s="261">
        <f>RANK(K110, K$96:$K$113)</f>
        <v>10</v>
      </c>
      <c r="N110" s="355"/>
      <c r="O110" s="355"/>
      <c r="P110" s="260">
        <v>17</v>
      </c>
      <c r="Q110" s="260">
        <v>1366</v>
      </c>
      <c r="R110" s="262">
        <f t="shared" si="129"/>
        <v>80.352941176470594</v>
      </c>
      <c r="S110" s="260">
        <f t="shared" si="130"/>
        <v>10</v>
      </c>
      <c r="T110" s="367"/>
      <c r="U110" s="260">
        <v>17</v>
      </c>
      <c r="V110" s="260">
        <v>1392</v>
      </c>
      <c r="W110" s="262">
        <f t="shared" si="131"/>
        <v>81.882352941176464</v>
      </c>
      <c r="X110" s="260">
        <f t="shared" si="132"/>
        <v>11</v>
      </c>
      <c r="Y110" s="367"/>
      <c r="Z110" s="260">
        <v>17</v>
      </c>
      <c r="AA110" s="260">
        <v>1613</v>
      </c>
      <c r="AB110" s="262">
        <f t="shared" si="133"/>
        <v>94.882352941176464</v>
      </c>
      <c r="AC110" s="260">
        <f t="shared" si="134"/>
        <v>9</v>
      </c>
      <c r="AD110" s="367"/>
      <c r="AE110" s="260">
        <v>17</v>
      </c>
      <c r="AF110" s="260">
        <v>1375</v>
      </c>
      <c r="AG110" s="262">
        <f t="shared" si="135"/>
        <v>80.882352941176464</v>
      </c>
      <c r="AH110" s="260">
        <f t="shared" si="136"/>
        <v>10</v>
      </c>
      <c r="AI110" s="367"/>
      <c r="AJ110" s="260">
        <v>17</v>
      </c>
      <c r="AK110" s="260">
        <v>1222</v>
      </c>
      <c r="AL110" s="262">
        <f t="shared" si="137"/>
        <v>71.882352941176464</v>
      </c>
      <c r="AM110" s="260">
        <f t="shared" si="138"/>
        <v>14</v>
      </c>
      <c r="AN110" s="367"/>
      <c r="AO110" s="260">
        <v>17</v>
      </c>
      <c r="AP110" s="260">
        <v>1239</v>
      </c>
      <c r="AQ110" s="262">
        <f t="shared" si="155"/>
        <v>72.882352941176464</v>
      </c>
      <c r="AR110" s="260">
        <f t="shared" si="140"/>
        <v>12</v>
      </c>
      <c r="AS110" s="367"/>
      <c r="AT110" s="260">
        <v>17</v>
      </c>
      <c r="AU110" s="260">
        <v>1455</v>
      </c>
      <c r="AV110" s="262">
        <f t="shared" si="156"/>
        <v>85.588235294117652</v>
      </c>
      <c r="AW110" s="260">
        <f t="shared" si="142"/>
        <v>8</v>
      </c>
      <c r="AX110" s="367"/>
    </row>
    <row r="111" spans="1:50">
      <c r="B111" s="371"/>
      <c r="C111" s="260">
        <v>16</v>
      </c>
      <c r="D111" s="260" t="s">
        <v>117</v>
      </c>
      <c r="E111" s="261">
        <f>VLOOKUP(D111,'09產線配置圖'!$A$2:$C$30,2,0)</f>
        <v>16</v>
      </c>
      <c r="F111" s="261">
        <f>VLOOKUP(D111,'09產線配置圖'!$A$2:$C$30,3,0)</f>
        <v>1800</v>
      </c>
      <c r="G111" s="262">
        <f t="shared" ref="G111:G112" si="157">F111/E111</f>
        <v>112.5</v>
      </c>
      <c r="H111" s="367"/>
      <c r="I111" s="261">
        <f t="shared" si="126"/>
        <v>14.857142857142858</v>
      </c>
      <c r="J111" s="261">
        <f t="shared" si="127"/>
        <v>1598.5714285714287</v>
      </c>
      <c r="K111" s="262">
        <f t="shared" si="128"/>
        <v>107.66326530612243</v>
      </c>
      <c r="L111" s="367"/>
      <c r="M111" s="261">
        <f>RANK(K111, K$96:$K$113)</f>
        <v>4</v>
      </c>
      <c r="N111" s="355"/>
      <c r="O111" s="355"/>
      <c r="P111" s="260">
        <v>15</v>
      </c>
      <c r="Q111" s="260">
        <v>1696</v>
      </c>
      <c r="R111" s="262">
        <f>Q111/P111</f>
        <v>113.06666666666666</v>
      </c>
      <c r="S111" s="260">
        <f t="shared" si="130"/>
        <v>4</v>
      </c>
      <c r="T111" s="367"/>
      <c r="U111" s="260">
        <v>15</v>
      </c>
      <c r="V111" s="260">
        <v>1631</v>
      </c>
      <c r="W111" s="262">
        <f t="shared" si="131"/>
        <v>108.73333333333333</v>
      </c>
      <c r="X111" s="260">
        <f t="shared" si="132"/>
        <v>4</v>
      </c>
      <c r="Y111" s="367"/>
      <c r="Z111" s="260">
        <v>15</v>
      </c>
      <c r="AA111" s="260">
        <v>1593</v>
      </c>
      <c r="AB111" s="262">
        <f t="shared" si="133"/>
        <v>106.2</v>
      </c>
      <c r="AC111" s="260">
        <f t="shared" si="134"/>
        <v>6</v>
      </c>
      <c r="AD111" s="367"/>
      <c r="AE111" s="260">
        <v>14</v>
      </c>
      <c r="AF111" s="260">
        <v>1605</v>
      </c>
      <c r="AG111" s="262">
        <f t="shared" si="135"/>
        <v>114.64285714285714</v>
      </c>
      <c r="AH111" s="260">
        <f t="shared" si="136"/>
        <v>3</v>
      </c>
      <c r="AI111" s="367"/>
      <c r="AJ111" s="260">
        <v>15</v>
      </c>
      <c r="AK111" s="260">
        <v>1465</v>
      </c>
      <c r="AL111" s="262">
        <f t="shared" si="137"/>
        <v>97.666666666666671</v>
      </c>
      <c r="AM111" s="260">
        <f t="shared" si="138"/>
        <v>6</v>
      </c>
      <c r="AN111" s="367"/>
      <c r="AO111" s="260">
        <v>15</v>
      </c>
      <c r="AP111" s="260">
        <v>1600</v>
      </c>
      <c r="AQ111" s="262">
        <f t="shared" si="155"/>
        <v>106.66666666666667</v>
      </c>
      <c r="AR111" s="260">
        <f t="shared" si="140"/>
        <v>4</v>
      </c>
      <c r="AS111" s="367"/>
      <c r="AT111" s="260">
        <v>15</v>
      </c>
      <c r="AU111" s="260">
        <v>1600</v>
      </c>
      <c r="AV111" s="262">
        <f t="shared" si="156"/>
        <v>106.66666666666667</v>
      </c>
      <c r="AW111" s="260">
        <f t="shared" si="142"/>
        <v>4</v>
      </c>
      <c r="AX111" s="367"/>
    </row>
    <row r="112" spans="1:50">
      <c r="B112" s="371"/>
      <c r="C112" s="260">
        <v>17</v>
      </c>
      <c r="D112" s="260" t="s">
        <v>118</v>
      </c>
      <c r="E112" s="261">
        <f>VLOOKUP(D112,'09產線配置圖'!$A$2:$C$30,2,0)</f>
        <v>18</v>
      </c>
      <c r="F112" s="261">
        <f>VLOOKUP(D112,'09產線配置圖'!$A$2:$C$30,3,0)</f>
        <v>1636</v>
      </c>
      <c r="G112" s="262">
        <f t="shared" si="157"/>
        <v>90.888888888888886</v>
      </c>
      <c r="H112" s="367"/>
      <c r="I112" s="261">
        <f t="shared" ref="I112" si="158">AVERAGE(P112,U112,Z112,AE112,AJ112,AO112,AT112)</f>
        <v>16.571428571428573</v>
      </c>
      <c r="J112" s="261">
        <f t="shared" ref="J112" si="159">AVERAGE(Q112,V112,AA112,AF112,AK112,AP112,AU112)</f>
        <v>1210.8571428571429</v>
      </c>
      <c r="K112" s="262">
        <f t="shared" si="128"/>
        <v>73.150058356675999</v>
      </c>
      <c r="L112" s="367"/>
      <c r="M112" s="261">
        <f>RANK(K112, K$96:$K$113)</f>
        <v>13</v>
      </c>
      <c r="N112" s="355"/>
      <c r="O112" s="355"/>
      <c r="P112" s="260">
        <v>18</v>
      </c>
      <c r="Q112" s="260">
        <v>1237</v>
      </c>
      <c r="R112" s="262">
        <f>Q112/P112</f>
        <v>68.722222222222229</v>
      </c>
      <c r="S112" s="260">
        <f t="shared" si="130"/>
        <v>14</v>
      </c>
      <c r="T112" s="367"/>
      <c r="U112" s="260">
        <v>15</v>
      </c>
      <c r="V112" s="260">
        <v>1162</v>
      </c>
      <c r="W112" s="262">
        <f t="shared" si="131"/>
        <v>77.466666666666669</v>
      </c>
      <c r="X112" s="260">
        <f t="shared" si="132"/>
        <v>14</v>
      </c>
      <c r="Y112" s="367"/>
      <c r="Z112" s="260">
        <v>16</v>
      </c>
      <c r="AA112" s="260">
        <v>1198</v>
      </c>
      <c r="AB112" s="262">
        <f t="shared" ref="AB112" si="160">AA112/Z112</f>
        <v>74.875</v>
      </c>
      <c r="AC112" s="260">
        <f t="shared" ref="AC112" si="161">RANK(AB112, $AB$96:$AB$113)</f>
        <v>14</v>
      </c>
      <c r="AD112" s="367"/>
      <c r="AE112" s="260">
        <v>17</v>
      </c>
      <c r="AF112" s="260">
        <v>1256</v>
      </c>
      <c r="AG112" s="262">
        <f t="shared" ref="AG112" si="162">AF112/AE112</f>
        <v>73.882352941176464</v>
      </c>
      <c r="AH112" s="260">
        <f t="shared" ref="AH112" si="163">RANK(AG112,$AG$96:$AG$113)</f>
        <v>12</v>
      </c>
      <c r="AI112" s="367"/>
      <c r="AJ112" s="260">
        <v>16</v>
      </c>
      <c r="AK112" s="260">
        <v>1179</v>
      </c>
      <c r="AL112" s="262">
        <f t="shared" ref="AL112" si="164">AK112/AJ112</f>
        <v>73.6875</v>
      </c>
      <c r="AM112" s="260">
        <f t="shared" ref="AM112" si="165">RANK(AL112,$AL$96:$AL$113)</f>
        <v>12</v>
      </c>
      <c r="AN112" s="367"/>
      <c r="AO112" s="260">
        <v>18</v>
      </c>
      <c r="AP112" s="260">
        <v>1344</v>
      </c>
      <c r="AQ112" s="262">
        <f t="shared" si="155"/>
        <v>74.666666666666671</v>
      </c>
      <c r="AR112" s="260">
        <f t="shared" si="140"/>
        <v>11</v>
      </c>
      <c r="AS112" s="367"/>
      <c r="AT112" s="260">
        <v>16</v>
      </c>
      <c r="AU112" s="260">
        <v>1100</v>
      </c>
      <c r="AV112" s="262">
        <f t="shared" si="156"/>
        <v>68.75</v>
      </c>
      <c r="AW112" s="260">
        <f t="shared" si="142"/>
        <v>15</v>
      </c>
      <c r="AX112" s="367"/>
    </row>
    <row r="113" spans="2:50">
      <c r="B113" s="371"/>
      <c r="C113" s="260">
        <v>18</v>
      </c>
      <c r="D113" s="260"/>
      <c r="E113" s="260"/>
      <c r="F113" s="260"/>
      <c r="G113" s="260"/>
      <c r="H113" s="367"/>
      <c r="I113" s="260"/>
      <c r="J113" s="260"/>
      <c r="K113" s="260"/>
      <c r="L113" s="368"/>
      <c r="M113" s="261"/>
      <c r="N113" s="356"/>
      <c r="O113" s="356"/>
      <c r="P113" s="260"/>
      <c r="Q113" s="260"/>
      <c r="R113" s="260"/>
      <c r="S113" s="260"/>
      <c r="T113" s="368"/>
      <c r="U113" s="260"/>
      <c r="V113" s="260"/>
      <c r="W113" s="262"/>
      <c r="X113" s="260"/>
      <c r="Y113" s="368"/>
      <c r="Z113" s="260"/>
      <c r="AA113" s="260"/>
      <c r="AB113" s="262"/>
      <c r="AC113" s="260"/>
      <c r="AD113" s="368"/>
      <c r="AE113" s="260"/>
      <c r="AF113" s="260"/>
      <c r="AG113" s="262"/>
      <c r="AH113" s="260"/>
      <c r="AI113" s="368"/>
      <c r="AJ113" s="260"/>
      <c r="AK113" s="260"/>
      <c r="AL113" s="262"/>
      <c r="AM113" s="260"/>
      <c r="AN113" s="368"/>
      <c r="AO113" s="260"/>
      <c r="AP113" s="260"/>
      <c r="AQ113" s="262"/>
      <c r="AR113" s="260"/>
      <c r="AS113" s="368"/>
      <c r="AT113" s="260"/>
      <c r="AU113" s="260"/>
      <c r="AV113" s="262"/>
      <c r="AW113" s="260"/>
      <c r="AX113" s="368"/>
    </row>
    <row r="114" spans="2:50" ht="15.75">
      <c r="B114" s="357" t="s">
        <v>86</v>
      </c>
      <c r="C114" s="358"/>
      <c r="D114" s="358"/>
      <c r="E114" s="358"/>
      <c r="F114" s="358"/>
      <c r="G114" s="358"/>
      <c r="H114" s="358"/>
      <c r="I114" s="254"/>
      <c r="J114" s="254"/>
      <c r="K114" s="254"/>
      <c r="L114" s="254"/>
      <c r="M114" s="255"/>
      <c r="N114" s="354" t="s">
        <v>87</v>
      </c>
      <c r="O114" s="354" t="s">
        <v>45</v>
      </c>
      <c r="P114" s="349">
        <v>45930</v>
      </c>
      <c r="Q114" s="341"/>
      <c r="R114" s="341"/>
      <c r="S114" s="341"/>
      <c r="T114" s="341"/>
      <c r="U114" s="349"/>
      <c r="V114" s="341"/>
      <c r="W114" s="341"/>
      <c r="X114" s="341"/>
      <c r="Y114" s="341"/>
      <c r="Z114" s="349"/>
      <c r="AA114" s="341"/>
      <c r="AB114" s="341"/>
      <c r="AC114" s="341"/>
      <c r="AD114" s="341"/>
      <c r="AE114" s="349"/>
      <c r="AF114" s="341"/>
      <c r="AG114" s="341"/>
      <c r="AH114" s="341"/>
      <c r="AI114" s="341"/>
      <c r="AJ114" s="349"/>
      <c r="AK114" s="341"/>
      <c r="AL114" s="341"/>
      <c r="AM114" s="341"/>
      <c r="AN114" s="341"/>
      <c r="AO114" s="349"/>
      <c r="AP114" s="341"/>
      <c r="AQ114" s="341"/>
      <c r="AR114" s="341"/>
      <c r="AS114" s="341"/>
      <c r="AT114" s="349"/>
      <c r="AU114" s="341"/>
      <c r="AV114" s="341"/>
      <c r="AW114" s="341"/>
      <c r="AX114" s="341"/>
    </row>
    <row r="115" spans="2:50" ht="15.75">
      <c r="B115" s="359"/>
      <c r="C115" s="359"/>
      <c r="D115" s="359"/>
      <c r="E115" s="359"/>
      <c r="F115" s="359"/>
      <c r="G115" s="359"/>
      <c r="H115" s="359"/>
      <c r="I115" s="256"/>
      <c r="J115" s="256"/>
      <c r="K115" s="256"/>
      <c r="L115" s="256"/>
      <c r="M115" s="257"/>
      <c r="N115" s="356"/>
      <c r="O115" s="356"/>
      <c r="P115" s="349" t="s">
        <v>57</v>
      </c>
      <c r="Q115" s="341"/>
      <c r="R115" s="341"/>
      <c r="S115" s="341"/>
      <c r="T115" s="341"/>
      <c r="U115" s="349" t="s">
        <v>58</v>
      </c>
      <c r="V115" s="341"/>
      <c r="W115" s="341"/>
      <c r="X115" s="341"/>
      <c r="Y115" s="341"/>
      <c r="Z115" s="349" t="s">
        <v>59</v>
      </c>
      <c r="AA115" s="341"/>
      <c r="AB115" s="341"/>
      <c r="AC115" s="341"/>
      <c r="AD115" s="341"/>
      <c r="AE115" s="349" t="s">
        <v>60</v>
      </c>
      <c r="AF115" s="341"/>
      <c r="AG115" s="341"/>
      <c r="AH115" s="341"/>
      <c r="AI115" s="341"/>
      <c r="AJ115" s="349" t="s">
        <v>61</v>
      </c>
      <c r="AK115" s="341"/>
      <c r="AL115" s="341"/>
      <c r="AM115" s="341"/>
      <c r="AN115" s="341"/>
      <c r="AO115" s="349" t="s">
        <v>52</v>
      </c>
      <c r="AP115" s="341"/>
      <c r="AQ115" s="341"/>
      <c r="AR115" s="341"/>
      <c r="AS115" s="341"/>
      <c r="AT115" s="349" t="s">
        <v>56</v>
      </c>
      <c r="AU115" s="341"/>
      <c r="AV115" s="341"/>
      <c r="AW115" s="341"/>
      <c r="AX115" s="341"/>
    </row>
    <row r="116" spans="2:50">
      <c r="B116" s="345" t="s">
        <v>88</v>
      </c>
      <c r="C116" s="350" t="s">
        <v>89</v>
      </c>
      <c r="D116" s="345"/>
      <c r="E116" s="345" t="s">
        <v>90</v>
      </c>
      <c r="F116" s="345"/>
      <c r="G116" s="345"/>
      <c r="H116" s="351" t="s">
        <v>91</v>
      </c>
      <c r="I116" s="345" t="s">
        <v>92</v>
      </c>
      <c r="J116" s="345"/>
      <c r="K116" s="345"/>
      <c r="L116" s="351" t="s">
        <v>91</v>
      </c>
      <c r="M116" s="354" t="s">
        <v>93</v>
      </c>
      <c r="N116" s="345"/>
      <c r="O116" s="345" t="s">
        <v>94</v>
      </c>
      <c r="P116" s="346" t="s">
        <v>95</v>
      </c>
      <c r="Q116" s="347"/>
      <c r="R116" s="347"/>
      <c r="S116" s="348"/>
      <c r="T116" s="345" t="s">
        <v>91</v>
      </c>
      <c r="U116" s="346" t="s">
        <v>95</v>
      </c>
      <c r="V116" s="347"/>
      <c r="W116" s="347"/>
      <c r="X116" s="348"/>
      <c r="Y116" s="345" t="s">
        <v>91</v>
      </c>
      <c r="Z116" s="346" t="s">
        <v>95</v>
      </c>
      <c r="AA116" s="347"/>
      <c r="AB116" s="347"/>
      <c r="AC116" s="348"/>
      <c r="AD116" s="345" t="s">
        <v>91</v>
      </c>
      <c r="AE116" s="346" t="s">
        <v>95</v>
      </c>
      <c r="AF116" s="347"/>
      <c r="AG116" s="347"/>
      <c r="AH116" s="348"/>
      <c r="AI116" s="345" t="s">
        <v>91</v>
      </c>
      <c r="AJ116" s="346" t="s">
        <v>95</v>
      </c>
      <c r="AK116" s="347"/>
      <c r="AL116" s="347"/>
      <c r="AM116" s="348"/>
      <c r="AN116" s="345" t="s">
        <v>91</v>
      </c>
      <c r="AO116" s="346" t="s">
        <v>95</v>
      </c>
      <c r="AP116" s="347"/>
      <c r="AQ116" s="347"/>
      <c r="AR116" s="348"/>
      <c r="AS116" s="345" t="s">
        <v>91</v>
      </c>
      <c r="AT116" s="346" t="s">
        <v>95</v>
      </c>
      <c r="AU116" s="347"/>
      <c r="AV116" s="347"/>
      <c r="AW116" s="348"/>
      <c r="AX116" s="345" t="s">
        <v>91</v>
      </c>
    </row>
    <row r="117" spans="2:50">
      <c r="B117" s="345"/>
      <c r="C117" s="345"/>
      <c r="D117" s="345"/>
      <c r="E117" s="345" t="s">
        <v>96</v>
      </c>
      <c r="F117" s="345"/>
      <c r="G117" s="345"/>
      <c r="H117" s="352"/>
      <c r="I117" s="345" t="s">
        <v>96</v>
      </c>
      <c r="J117" s="345"/>
      <c r="K117" s="345"/>
      <c r="L117" s="352"/>
      <c r="M117" s="355"/>
      <c r="N117" s="345"/>
      <c r="O117" s="345"/>
      <c r="P117" s="346" t="s">
        <v>97</v>
      </c>
      <c r="Q117" s="347"/>
      <c r="R117" s="347"/>
      <c r="S117" s="348"/>
      <c r="T117" s="345"/>
      <c r="U117" s="346" t="s">
        <v>97</v>
      </c>
      <c r="V117" s="347"/>
      <c r="W117" s="347"/>
      <c r="X117" s="348"/>
      <c r="Y117" s="345"/>
      <c r="Z117" s="346" t="s">
        <v>97</v>
      </c>
      <c r="AA117" s="347"/>
      <c r="AB117" s="347"/>
      <c r="AC117" s="348"/>
      <c r="AD117" s="345"/>
      <c r="AE117" s="346" t="s">
        <v>97</v>
      </c>
      <c r="AF117" s="347"/>
      <c r="AG117" s="347"/>
      <c r="AH117" s="348"/>
      <c r="AI117" s="345"/>
      <c r="AJ117" s="346" t="s">
        <v>97</v>
      </c>
      <c r="AK117" s="347"/>
      <c r="AL117" s="347"/>
      <c r="AM117" s="348"/>
      <c r="AN117" s="345"/>
      <c r="AO117" s="346" t="s">
        <v>97</v>
      </c>
      <c r="AP117" s="347"/>
      <c r="AQ117" s="347"/>
      <c r="AR117" s="348"/>
      <c r="AS117" s="345"/>
      <c r="AT117" s="346" t="s">
        <v>97</v>
      </c>
      <c r="AU117" s="347"/>
      <c r="AV117" s="347"/>
      <c r="AW117" s="348"/>
      <c r="AX117" s="345"/>
    </row>
    <row r="118" spans="2:50">
      <c r="B118" s="345"/>
      <c r="C118" s="345"/>
      <c r="D118" s="345"/>
      <c r="E118" s="259" t="s">
        <v>98</v>
      </c>
      <c r="F118" s="259" t="s">
        <v>99</v>
      </c>
      <c r="G118" s="259" t="s">
        <v>100</v>
      </c>
      <c r="H118" s="353"/>
      <c r="I118" s="259" t="s">
        <v>98</v>
      </c>
      <c r="J118" s="259" t="s">
        <v>99</v>
      </c>
      <c r="K118" s="259" t="s">
        <v>100</v>
      </c>
      <c r="L118" s="353"/>
      <c r="M118" s="356"/>
      <c r="N118" s="345"/>
      <c r="O118" s="345"/>
      <c r="P118" s="259" t="s">
        <v>98</v>
      </c>
      <c r="Q118" s="259" t="s">
        <v>99</v>
      </c>
      <c r="R118" s="259" t="s">
        <v>100</v>
      </c>
      <c r="S118" s="259" t="s">
        <v>93</v>
      </c>
      <c r="T118" s="345"/>
      <c r="U118" s="259" t="s">
        <v>98</v>
      </c>
      <c r="V118" s="259" t="s">
        <v>99</v>
      </c>
      <c r="W118" s="259" t="s">
        <v>100</v>
      </c>
      <c r="X118" s="259" t="s">
        <v>93</v>
      </c>
      <c r="Y118" s="345"/>
      <c r="Z118" s="259" t="s">
        <v>98</v>
      </c>
      <c r="AA118" s="259" t="s">
        <v>99</v>
      </c>
      <c r="AB118" s="259" t="s">
        <v>100</v>
      </c>
      <c r="AC118" s="259" t="s">
        <v>93</v>
      </c>
      <c r="AD118" s="345"/>
      <c r="AE118" s="259" t="s">
        <v>98</v>
      </c>
      <c r="AF118" s="259" t="s">
        <v>99</v>
      </c>
      <c r="AG118" s="259" t="s">
        <v>100</v>
      </c>
      <c r="AH118" s="259" t="s">
        <v>93</v>
      </c>
      <c r="AI118" s="345"/>
      <c r="AJ118" s="259" t="s">
        <v>98</v>
      </c>
      <c r="AK118" s="259" t="s">
        <v>99</v>
      </c>
      <c r="AL118" s="259" t="s">
        <v>100</v>
      </c>
      <c r="AM118" s="259" t="s">
        <v>93</v>
      </c>
      <c r="AN118" s="345"/>
      <c r="AO118" s="259" t="s">
        <v>98</v>
      </c>
      <c r="AP118" s="259" t="s">
        <v>99</v>
      </c>
      <c r="AQ118" s="259" t="s">
        <v>100</v>
      </c>
      <c r="AR118" s="259" t="s">
        <v>93</v>
      </c>
      <c r="AS118" s="345"/>
      <c r="AT118" s="259" t="s">
        <v>98</v>
      </c>
      <c r="AU118" s="259" t="s">
        <v>99</v>
      </c>
      <c r="AV118" s="259" t="s">
        <v>100</v>
      </c>
      <c r="AW118" s="259" t="s">
        <v>93</v>
      </c>
      <c r="AX118" s="345"/>
    </row>
    <row r="119" spans="2:50" ht="13.5">
      <c r="B119" s="341" t="s">
        <v>101</v>
      </c>
      <c r="C119" s="260">
        <v>1</v>
      </c>
      <c r="D119" s="264" t="s">
        <v>102</v>
      </c>
      <c r="E119" s="261">
        <f>VLOOKUP(D119,'09產線配置圖'!$A$2:$C$25,2,0)</f>
        <v>12</v>
      </c>
      <c r="F119" s="261">
        <f>VLOOKUP(D119,'09產線配置圖'!$A$2:$C$25,3,0)</f>
        <v>2000</v>
      </c>
      <c r="G119" s="262">
        <f>F119/E119</f>
        <v>166.66666666666666</v>
      </c>
      <c r="H119" s="342">
        <f>AVERAGE(G119:G136)</f>
        <v>106.95301480122095</v>
      </c>
      <c r="I119" s="261">
        <f>AVERAGE(P119,U119,Z119,AE119,AJ119,AO119,AT119)</f>
        <v>12</v>
      </c>
      <c r="J119" s="261">
        <f>AVERAGE(Q119,V119,AA119,AF119,AK119,AP119,AU119)</f>
        <v>1883</v>
      </c>
      <c r="K119" s="262">
        <f>AVERAGE(R119)</f>
        <v>156.91666666666666</v>
      </c>
      <c r="L119" s="342">
        <f>IFERROR(AVERAGE(K119:K136),"-")</f>
        <v>98.83468233447222</v>
      </c>
      <c r="M119" s="263">
        <f>RANK(K119,$K$119:$K$136)</f>
        <v>1</v>
      </c>
      <c r="N119" s="345"/>
      <c r="O119" s="345"/>
      <c r="P119" s="261">
        <v>12</v>
      </c>
      <c r="Q119" s="261">
        <v>1883</v>
      </c>
      <c r="R119" s="262">
        <f>Q119/P119</f>
        <v>156.91666666666666</v>
      </c>
      <c r="S119" s="260">
        <f>RANK(R119,$R$119:$R$136)</f>
        <v>1</v>
      </c>
      <c r="T119" s="340">
        <f>AVERAGE(R119:R136)</f>
        <v>98.83468233447222</v>
      </c>
      <c r="U119" s="261"/>
      <c r="V119" s="261"/>
      <c r="W119" s="262" t="e">
        <f>V119/U119</f>
        <v>#DIV/0!</v>
      </c>
      <c r="X119" s="260" t="e">
        <f>RANK(W119, W$7:W$24)</f>
        <v>#DIV/0!</v>
      </c>
      <c r="Y119" s="340" t="e">
        <f>AVERAGE(W119:W136)</f>
        <v>#DIV/0!</v>
      </c>
      <c r="Z119" s="260"/>
      <c r="AA119" s="261"/>
      <c r="AB119" s="262" t="e">
        <f>AA119/Z119</f>
        <v>#DIV/0!</v>
      </c>
      <c r="AC119" s="260" t="e">
        <f>RANK(AB119, AB$7:AB$24)</f>
        <v>#DIV/0!</v>
      </c>
      <c r="AD119" s="340" t="e">
        <f>AVERAGE(AB119:AB136)</f>
        <v>#DIV/0!</v>
      </c>
      <c r="AE119" s="261"/>
      <c r="AF119" s="261"/>
      <c r="AG119" s="262" t="e">
        <f>AF119/AE119</f>
        <v>#DIV/0!</v>
      </c>
      <c r="AH119" s="260" t="e">
        <f>RANK(AG119, AG$7:AG$24)</f>
        <v>#DIV/0!</v>
      </c>
      <c r="AI119" s="340" t="e">
        <f>AVERAGE(AG119:AG136)</f>
        <v>#DIV/0!</v>
      </c>
      <c r="AJ119" s="261"/>
      <c r="AK119" s="261"/>
      <c r="AL119" s="262" t="e">
        <f>AK119/AJ119</f>
        <v>#DIV/0!</v>
      </c>
      <c r="AM119" s="260" t="e">
        <f>RANK(AL119, AL$7:AL$24)</f>
        <v>#DIV/0!</v>
      </c>
      <c r="AN119" s="340" t="e">
        <f>AVERAGE(AL119:AL136)</f>
        <v>#DIV/0!</v>
      </c>
      <c r="AO119" s="261"/>
      <c r="AP119" s="261"/>
      <c r="AQ119" s="262" t="e">
        <f>AP119/AO119</f>
        <v>#DIV/0!</v>
      </c>
      <c r="AR119" s="260" t="e">
        <f>RANK(AQ119, AQ$7:AQ$24)</f>
        <v>#DIV/0!</v>
      </c>
      <c r="AS119" s="340" t="e">
        <f>AVERAGE(AQ119:AQ136)</f>
        <v>#DIV/0!</v>
      </c>
      <c r="AT119" s="261"/>
      <c r="AU119" s="262"/>
      <c r="AV119" s="262" t="e">
        <f>AU119/AT119</f>
        <v>#DIV/0!</v>
      </c>
      <c r="AW119" s="260" t="e">
        <f>RANK(AV119, AV$7:AV$24)</f>
        <v>#DIV/0!</v>
      </c>
      <c r="AX119" s="340" t="e">
        <f>AVERAGE(AV119:AV136)</f>
        <v>#DIV/0!</v>
      </c>
    </row>
    <row r="120" spans="2:50">
      <c r="B120" s="341"/>
      <c r="C120" s="260">
        <v>2</v>
      </c>
      <c r="D120" s="260" t="s">
        <v>103</v>
      </c>
      <c r="E120" s="261">
        <f>VLOOKUP(D120,'09產線配置圖'!$A$2:$C$25,2,0)</f>
        <v>13</v>
      </c>
      <c r="F120" s="261">
        <f>VLOOKUP(D120,'09產線配置圖'!$A$2:$C$25,3,0)</f>
        <v>2000</v>
      </c>
      <c r="G120" s="262">
        <f t="shared" ref="G120:G135" si="166">F120/E120</f>
        <v>153.84615384615384</v>
      </c>
      <c r="H120" s="343"/>
      <c r="I120" s="261">
        <f t="shared" ref="I120:I135" si="167">AVERAGE(P120,U120,Z120,AE120,AJ120,AO120,AT120)</f>
        <v>13</v>
      </c>
      <c r="J120" s="261">
        <f t="shared" ref="J120:J135" si="168">AVERAGE(Q120,V120,AA120,AF120,AK120,AP120,AU120)</f>
        <v>1912</v>
      </c>
      <c r="K120" s="262">
        <f t="shared" ref="K120:K135" si="169">AVERAGE(R120)</f>
        <v>147.07692307692307</v>
      </c>
      <c r="L120" s="343"/>
      <c r="M120" s="263">
        <f t="shared" ref="M120:M135" si="170">RANK(K120,$K$119:$K$136)</f>
        <v>2</v>
      </c>
      <c r="N120" s="345"/>
      <c r="O120" s="345"/>
      <c r="P120" s="261">
        <v>13</v>
      </c>
      <c r="Q120" s="261">
        <v>1912</v>
      </c>
      <c r="R120" s="262">
        <f t="shared" ref="R120:R127" si="171">Q120/P120</f>
        <v>147.07692307692307</v>
      </c>
      <c r="S120" s="260">
        <f t="shared" ref="S120:S135" si="172">RANK(R120,$R$119:$R$136)</f>
        <v>2</v>
      </c>
      <c r="T120" s="340"/>
      <c r="U120" s="261"/>
      <c r="V120" s="261"/>
      <c r="W120" s="262" t="e">
        <f t="shared" ref="W120:W128" si="173">V120/U120</f>
        <v>#DIV/0!</v>
      </c>
      <c r="X120" s="260" t="e">
        <f t="shared" ref="X120:X136" si="174">RANK(W120, W$7:W$24)</f>
        <v>#DIV/0!</v>
      </c>
      <c r="Y120" s="340"/>
      <c r="Z120" s="260"/>
      <c r="AA120" s="261"/>
      <c r="AB120" s="262" t="e">
        <f t="shared" ref="AB120:AB128" si="175">AA120/Z120</f>
        <v>#DIV/0!</v>
      </c>
      <c r="AC120" s="260" t="e">
        <f t="shared" ref="AC120:AC136" si="176">RANK(AB120, AB$7:AB$24)</f>
        <v>#DIV/0!</v>
      </c>
      <c r="AD120" s="340"/>
      <c r="AE120" s="261"/>
      <c r="AF120" s="261"/>
      <c r="AG120" s="262" t="e">
        <f t="shared" ref="AG120:AG128" si="177">AF120/AE120</f>
        <v>#DIV/0!</v>
      </c>
      <c r="AH120" s="260" t="e">
        <f t="shared" ref="AH120:AH132" si="178">RANK(AG120, AG$7:AG$24)</f>
        <v>#DIV/0!</v>
      </c>
      <c r="AI120" s="340"/>
      <c r="AJ120" s="261"/>
      <c r="AK120" s="261"/>
      <c r="AL120" s="262" t="e">
        <f t="shared" ref="AL120:AL128" si="179">AK120/AJ120</f>
        <v>#DIV/0!</v>
      </c>
      <c r="AM120" s="260" t="e">
        <f t="shared" ref="AM120:AM132" si="180">RANK(AL120, AL$7:AL$24)</f>
        <v>#DIV/0!</v>
      </c>
      <c r="AN120" s="340"/>
      <c r="AO120" s="261"/>
      <c r="AP120" s="261"/>
      <c r="AQ120" s="262" t="e">
        <f t="shared" ref="AQ120:AQ128" si="181">AP120/AO120</f>
        <v>#DIV/0!</v>
      </c>
      <c r="AR120" s="260" t="e">
        <f t="shared" ref="AR120:AR136" si="182">RANK(AQ120, AQ$7:AQ$24)</f>
        <v>#DIV/0!</v>
      </c>
      <c r="AS120" s="340"/>
      <c r="AT120" s="261"/>
      <c r="AU120" s="262"/>
      <c r="AV120" s="262" t="e">
        <f t="shared" ref="AV120:AV132" si="183">AU120/AT120</f>
        <v>#DIV/0!</v>
      </c>
      <c r="AW120" s="260" t="e">
        <f t="shared" ref="AW120:AW129" si="184">RANK(AV120, AV$7:AV$24)</f>
        <v>#DIV/0!</v>
      </c>
      <c r="AX120" s="340"/>
    </row>
    <row r="121" spans="2:50">
      <c r="B121" s="341"/>
      <c r="C121" s="260">
        <v>3</v>
      </c>
      <c r="D121" s="260" t="s">
        <v>104</v>
      </c>
      <c r="E121" s="261">
        <f>VLOOKUP(D121,'09產線配置圖'!$A$2:$C$25,2,0)</f>
        <v>16</v>
      </c>
      <c r="F121" s="261">
        <f>VLOOKUP(D121,'09產線配置圖'!$A$2:$C$25,3,0)</f>
        <v>1915</v>
      </c>
      <c r="G121" s="262">
        <f t="shared" si="166"/>
        <v>119.6875</v>
      </c>
      <c r="H121" s="343"/>
      <c r="I121" s="261">
        <f t="shared" si="167"/>
        <v>16</v>
      </c>
      <c r="J121" s="261">
        <f t="shared" si="168"/>
        <v>1561</v>
      </c>
      <c r="K121" s="262">
        <f t="shared" si="169"/>
        <v>97.5625</v>
      </c>
      <c r="L121" s="343"/>
      <c r="M121" s="263">
        <f t="shared" si="170"/>
        <v>6</v>
      </c>
      <c r="N121" s="345"/>
      <c r="O121" s="345"/>
      <c r="P121" s="261">
        <v>16</v>
      </c>
      <c r="Q121" s="261">
        <v>1561</v>
      </c>
      <c r="R121" s="262">
        <f t="shared" si="171"/>
        <v>97.5625</v>
      </c>
      <c r="S121" s="260">
        <f t="shared" si="172"/>
        <v>6</v>
      </c>
      <c r="T121" s="340"/>
      <c r="U121" s="261"/>
      <c r="V121" s="261"/>
      <c r="W121" s="262" t="e">
        <f t="shared" si="173"/>
        <v>#DIV/0!</v>
      </c>
      <c r="X121" s="260" t="e">
        <f t="shared" si="174"/>
        <v>#DIV/0!</v>
      </c>
      <c r="Y121" s="340"/>
      <c r="Z121" s="260"/>
      <c r="AA121" s="261"/>
      <c r="AB121" s="262" t="e">
        <f t="shared" si="175"/>
        <v>#DIV/0!</v>
      </c>
      <c r="AC121" s="260" t="e">
        <f t="shared" si="176"/>
        <v>#DIV/0!</v>
      </c>
      <c r="AD121" s="340"/>
      <c r="AE121" s="261"/>
      <c r="AF121" s="261"/>
      <c r="AG121" s="262" t="e">
        <f t="shared" si="177"/>
        <v>#DIV/0!</v>
      </c>
      <c r="AH121" s="260" t="e">
        <f t="shared" si="178"/>
        <v>#DIV/0!</v>
      </c>
      <c r="AI121" s="340"/>
      <c r="AJ121" s="261"/>
      <c r="AK121" s="261"/>
      <c r="AL121" s="262" t="e">
        <f t="shared" si="179"/>
        <v>#DIV/0!</v>
      </c>
      <c r="AM121" s="260" t="e">
        <f t="shared" si="180"/>
        <v>#DIV/0!</v>
      </c>
      <c r="AN121" s="340"/>
      <c r="AO121" s="261"/>
      <c r="AP121" s="261"/>
      <c r="AQ121" s="262" t="e">
        <f t="shared" si="181"/>
        <v>#DIV/0!</v>
      </c>
      <c r="AR121" s="260" t="e">
        <f t="shared" si="182"/>
        <v>#DIV/0!</v>
      </c>
      <c r="AS121" s="340"/>
      <c r="AT121" s="261"/>
      <c r="AU121" s="262"/>
      <c r="AV121" s="262" t="e">
        <f t="shared" si="183"/>
        <v>#DIV/0!</v>
      </c>
      <c r="AW121" s="260" t="e">
        <f t="shared" si="184"/>
        <v>#DIV/0!</v>
      </c>
      <c r="AX121" s="340"/>
    </row>
    <row r="122" spans="2:50">
      <c r="B122" s="341"/>
      <c r="C122" s="260">
        <v>4</v>
      </c>
      <c r="D122" s="260" t="s">
        <v>105</v>
      </c>
      <c r="E122" s="261">
        <f>VLOOKUP(D122,'09產線配置圖'!$A$2:$C$25,2,0)</f>
        <v>18</v>
      </c>
      <c r="F122" s="261">
        <f>VLOOKUP(D122,'09產線配置圖'!$A$2:$C$25,3,0)</f>
        <v>1565</v>
      </c>
      <c r="G122" s="262">
        <f t="shared" si="166"/>
        <v>86.944444444444443</v>
      </c>
      <c r="H122" s="343"/>
      <c r="I122" s="261">
        <f t="shared" si="167"/>
        <v>18</v>
      </c>
      <c r="J122" s="261">
        <f t="shared" si="168"/>
        <v>1536</v>
      </c>
      <c r="K122" s="262">
        <f t="shared" si="169"/>
        <v>85.333333333333329</v>
      </c>
      <c r="L122" s="343"/>
      <c r="M122" s="263">
        <f t="shared" si="170"/>
        <v>9</v>
      </c>
      <c r="N122" s="345"/>
      <c r="O122" s="345"/>
      <c r="P122" s="261">
        <v>18</v>
      </c>
      <c r="Q122" s="261">
        <v>1536</v>
      </c>
      <c r="R122" s="262">
        <f t="shared" si="171"/>
        <v>85.333333333333329</v>
      </c>
      <c r="S122" s="260">
        <f t="shared" si="172"/>
        <v>9</v>
      </c>
      <c r="T122" s="340"/>
      <c r="U122" s="261"/>
      <c r="V122" s="261"/>
      <c r="W122" s="262" t="e">
        <f t="shared" si="173"/>
        <v>#DIV/0!</v>
      </c>
      <c r="X122" s="260" t="e">
        <f t="shared" si="174"/>
        <v>#DIV/0!</v>
      </c>
      <c r="Y122" s="340"/>
      <c r="Z122" s="260"/>
      <c r="AA122" s="261"/>
      <c r="AB122" s="262" t="e">
        <f t="shared" si="175"/>
        <v>#DIV/0!</v>
      </c>
      <c r="AC122" s="260" t="e">
        <f t="shared" si="176"/>
        <v>#DIV/0!</v>
      </c>
      <c r="AD122" s="340"/>
      <c r="AE122" s="261"/>
      <c r="AF122" s="261"/>
      <c r="AG122" s="262" t="e">
        <f t="shared" si="177"/>
        <v>#DIV/0!</v>
      </c>
      <c r="AH122" s="260" t="e">
        <f t="shared" si="178"/>
        <v>#DIV/0!</v>
      </c>
      <c r="AI122" s="340"/>
      <c r="AJ122" s="261"/>
      <c r="AK122" s="261"/>
      <c r="AL122" s="262" t="e">
        <f t="shared" si="179"/>
        <v>#DIV/0!</v>
      </c>
      <c r="AM122" s="260" t="e">
        <f t="shared" si="180"/>
        <v>#DIV/0!</v>
      </c>
      <c r="AN122" s="340"/>
      <c r="AO122" s="261"/>
      <c r="AP122" s="261"/>
      <c r="AQ122" s="262" t="e">
        <f t="shared" si="181"/>
        <v>#DIV/0!</v>
      </c>
      <c r="AR122" s="260" t="e">
        <f t="shared" si="182"/>
        <v>#DIV/0!</v>
      </c>
      <c r="AS122" s="340"/>
      <c r="AT122" s="261"/>
      <c r="AU122" s="262"/>
      <c r="AV122" s="262" t="e">
        <f t="shared" si="183"/>
        <v>#DIV/0!</v>
      </c>
      <c r="AW122" s="260" t="e">
        <f t="shared" si="184"/>
        <v>#DIV/0!</v>
      </c>
      <c r="AX122" s="340"/>
    </row>
    <row r="123" spans="2:50">
      <c r="B123" s="341"/>
      <c r="C123" s="260">
        <v>5</v>
      </c>
      <c r="D123" s="260" t="s">
        <v>106</v>
      </c>
      <c r="E123" s="261">
        <f>VLOOKUP(D123,'09產線配置圖'!$A$2:$C$25,2,0)</f>
        <v>13</v>
      </c>
      <c r="F123" s="261">
        <f>VLOOKUP(D123,'09產線配置圖'!$A$2:$C$25,3,0)</f>
        <v>2000</v>
      </c>
      <c r="G123" s="262">
        <f t="shared" si="166"/>
        <v>153.84615384615384</v>
      </c>
      <c r="H123" s="343"/>
      <c r="I123" s="261">
        <f t="shared" si="167"/>
        <v>13</v>
      </c>
      <c r="J123" s="261">
        <f t="shared" si="168"/>
        <v>1606</v>
      </c>
      <c r="K123" s="262">
        <f t="shared" si="169"/>
        <v>123.53846153846153</v>
      </c>
      <c r="L123" s="343"/>
      <c r="M123" s="263">
        <f t="shared" si="170"/>
        <v>3</v>
      </c>
      <c r="N123" s="345"/>
      <c r="O123" s="345"/>
      <c r="P123" s="261">
        <v>13</v>
      </c>
      <c r="Q123" s="261">
        <v>1606</v>
      </c>
      <c r="R123" s="262">
        <f t="shared" si="171"/>
        <v>123.53846153846153</v>
      </c>
      <c r="S123" s="260">
        <f t="shared" si="172"/>
        <v>3</v>
      </c>
      <c r="T123" s="340"/>
      <c r="U123" s="261"/>
      <c r="V123" s="261"/>
      <c r="W123" s="262" t="e">
        <f t="shared" si="173"/>
        <v>#DIV/0!</v>
      </c>
      <c r="X123" s="260" t="e">
        <f t="shared" si="174"/>
        <v>#DIV/0!</v>
      </c>
      <c r="Y123" s="340"/>
      <c r="Z123" s="260"/>
      <c r="AA123" s="261"/>
      <c r="AB123" s="262" t="e">
        <f t="shared" si="175"/>
        <v>#DIV/0!</v>
      </c>
      <c r="AC123" s="260" t="e">
        <f t="shared" si="176"/>
        <v>#DIV/0!</v>
      </c>
      <c r="AD123" s="340"/>
      <c r="AE123" s="261"/>
      <c r="AF123" s="261"/>
      <c r="AG123" s="262" t="e">
        <f t="shared" si="177"/>
        <v>#DIV/0!</v>
      </c>
      <c r="AH123" s="260" t="e">
        <f t="shared" si="178"/>
        <v>#DIV/0!</v>
      </c>
      <c r="AI123" s="340"/>
      <c r="AJ123" s="261"/>
      <c r="AK123" s="261"/>
      <c r="AL123" s="262" t="e">
        <f t="shared" si="179"/>
        <v>#DIV/0!</v>
      </c>
      <c r="AM123" s="260" t="e">
        <f t="shared" si="180"/>
        <v>#DIV/0!</v>
      </c>
      <c r="AN123" s="340"/>
      <c r="AO123" s="261"/>
      <c r="AP123" s="261"/>
      <c r="AQ123" s="262" t="e">
        <f t="shared" si="181"/>
        <v>#DIV/0!</v>
      </c>
      <c r="AR123" s="260" t="e">
        <f t="shared" si="182"/>
        <v>#DIV/0!</v>
      </c>
      <c r="AS123" s="340"/>
      <c r="AT123" s="261"/>
      <c r="AU123" s="262"/>
      <c r="AV123" s="262" t="e">
        <f t="shared" si="183"/>
        <v>#DIV/0!</v>
      </c>
      <c r="AW123" s="260" t="e">
        <f t="shared" si="184"/>
        <v>#DIV/0!</v>
      </c>
      <c r="AX123" s="340"/>
    </row>
    <row r="124" spans="2:50">
      <c r="B124" s="341"/>
      <c r="C124" s="260">
        <v>6</v>
      </c>
      <c r="D124" s="260" t="s">
        <v>107</v>
      </c>
      <c r="E124" s="261">
        <f>VLOOKUP(D124,'09產線配置圖'!$A$2:$C$25,2,0)</f>
        <v>16</v>
      </c>
      <c r="F124" s="261">
        <f>VLOOKUP(D124,'09產線配置圖'!$A$2:$C$25,3,0)</f>
        <v>1895</v>
      </c>
      <c r="G124" s="262">
        <f t="shared" si="166"/>
        <v>118.4375</v>
      </c>
      <c r="H124" s="343"/>
      <c r="I124" s="261">
        <f t="shared" si="167"/>
        <v>14</v>
      </c>
      <c r="J124" s="261">
        <f t="shared" si="168"/>
        <v>1647</v>
      </c>
      <c r="K124" s="262">
        <f t="shared" si="169"/>
        <v>117.64285714285714</v>
      </c>
      <c r="L124" s="343"/>
      <c r="M124" s="263">
        <f t="shared" si="170"/>
        <v>4</v>
      </c>
      <c r="N124" s="345"/>
      <c r="O124" s="345"/>
      <c r="P124" s="261">
        <v>14</v>
      </c>
      <c r="Q124" s="261">
        <v>1647</v>
      </c>
      <c r="R124" s="262">
        <f t="shared" si="171"/>
        <v>117.64285714285714</v>
      </c>
      <c r="S124" s="260">
        <f t="shared" si="172"/>
        <v>4</v>
      </c>
      <c r="T124" s="340"/>
      <c r="U124" s="261"/>
      <c r="V124" s="261"/>
      <c r="W124" s="262" t="e">
        <f t="shared" si="173"/>
        <v>#DIV/0!</v>
      </c>
      <c r="X124" s="260" t="e">
        <f t="shared" si="174"/>
        <v>#DIV/0!</v>
      </c>
      <c r="Y124" s="340"/>
      <c r="Z124" s="260"/>
      <c r="AA124" s="261"/>
      <c r="AB124" s="262" t="e">
        <f t="shared" si="175"/>
        <v>#DIV/0!</v>
      </c>
      <c r="AC124" s="260" t="e">
        <f t="shared" si="176"/>
        <v>#DIV/0!</v>
      </c>
      <c r="AD124" s="340"/>
      <c r="AE124" s="261"/>
      <c r="AF124" s="261"/>
      <c r="AG124" s="262" t="e">
        <f t="shared" si="177"/>
        <v>#DIV/0!</v>
      </c>
      <c r="AH124" s="260" t="e">
        <f t="shared" si="178"/>
        <v>#DIV/0!</v>
      </c>
      <c r="AI124" s="340"/>
      <c r="AJ124" s="261"/>
      <c r="AK124" s="261"/>
      <c r="AL124" s="262" t="e">
        <f t="shared" si="179"/>
        <v>#DIV/0!</v>
      </c>
      <c r="AM124" s="260" t="e">
        <f t="shared" si="180"/>
        <v>#DIV/0!</v>
      </c>
      <c r="AN124" s="340"/>
      <c r="AO124" s="261"/>
      <c r="AP124" s="261"/>
      <c r="AQ124" s="262" t="e">
        <f t="shared" si="181"/>
        <v>#DIV/0!</v>
      </c>
      <c r="AR124" s="260" t="e">
        <f t="shared" si="182"/>
        <v>#DIV/0!</v>
      </c>
      <c r="AS124" s="340"/>
      <c r="AT124" s="261"/>
      <c r="AU124" s="262"/>
      <c r="AV124" s="262" t="e">
        <f t="shared" si="183"/>
        <v>#DIV/0!</v>
      </c>
      <c r="AW124" s="260" t="e">
        <f t="shared" si="184"/>
        <v>#DIV/0!</v>
      </c>
      <c r="AX124" s="340"/>
    </row>
    <row r="125" spans="2:50">
      <c r="B125" s="341"/>
      <c r="C125" s="260">
        <v>7</v>
      </c>
      <c r="D125" s="260" t="s">
        <v>108</v>
      </c>
      <c r="E125" s="261">
        <f>VLOOKUP(D125,'09產線配置圖'!$A$2:$C$25,2,0)</f>
        <v>16</v>
      </c>
      <c r="F125" s="261">
        <f>VLOOKUP(D125,'09產線配置圖'!$A$2:$C$25,3,0)</f>
        <v>1552</v>
      </c>
      <c r="G125" s="262">
        <f t="shared" si="166"/>
        <v>97</v>
      </c>
      <c r="H125" s="343"/>
      <c r="I125" s="261"/>
      <c r="J125" s="261"/>
      <c r="K125" s="262"/>
      <c r="L125" s="343"/>
      <c r="M125" s="263"/>
      <c r="N125" s="345"/>
      <c r="O125" s="345"/>
      <c r="P125" s="261"/>
      <c r="Q125" s="261"/>
      <c r="R125" s="262"/>
      <c r="S125" s="260"/>
      <c r="T125" s="340"/>
      <c r="U125" s="261"/>
      <c r="V125" s="261"/>
      <c r="W125" s="262" t="e">
        <f t="shared" si="173"/>
        <v>#DIV/0!</v>
      </c>
      <c r="X125" s="260" t="e">
        <f t="shared" si="174"/>
        <v>#DIV/0!</v>
      </c>
      <c r="Y125" s="340"/>
      <c r="Z125" s="260"/>
      <c r="AA125" s="261"/>
      <c r="AB125" s="262" t="e">
        <f t="shared" si="175"/>
        <v>#DIV/0!</v>
      </c>
      <c r="AC125" s="260" t="e">
        <f t="shared" si="176"/>
        <v>#DIV/0!</v>
      </c>
      <c r="AD125" s="340"/>
      <c r="AE125" s="261"/>
      <c r="AF125" s="261"/>
      <c r="AG125" s="262" t="e">
        <f t="shared" si="177"/>
        <v>#DIV/0!</v>
      </c>
      <c r="AH125" s="260" t="e">
        <f t="shared" si="178"/>
        <v>#DIV/0!</v>
      </c>
      <c r="AI125" s="340"/>
      <c r="AJ125" s="261"/>
      <c r="AK125" s="261"/>
      <c r="AL125" s="262" t="e">
        <f t="shared" si="179"/>
        <v>#DIV/0!</v>
      </c>
      <c r="AM125" s="260" t="e">
        <f t="shared" si="180"/>
        <v>#DIV/0!</v>
      </c>
      <c r="AN125" s="340"/>
      <c r="AO125" s="261"/>
      <c r="AP125" s="261"/>
      <c r="AQ125" s="262" t="e">
        <f t="shared" si="181"/>
        <v>#DIV/0!</v>
      </c>
      <c r="AR125" s="260" t="e">
        <f t="shared" si="182"/>
        <v>#DIV/0!</v>
      </c>
      <c r="AS125" s="340"/>
      <c r="AT125" s="261"/>
      <c r="AU125" s="262"/>
      <c r="AV125" s="262" t="e">
        <f t="shared" si="183"/>
        <v>#DIV/0!</v>
      </c>
      <c r="AW125" s="260" t="e">
        <f t="shared" si="184"/>
        <v>#DIV/0!</v>
      </c>
      <c r="AX125" s="340"/>
    </row>
    <row r="126" spans="2:50">
      <c r="B126" s="341"/>
      <c r="C126" s="260">
        <v>8</v>
      </c>
      <c r="D126" s="260" t="s">
        <v>109</v>
      </c>
      <c r="E126" s="261">
        <f>VLOOKUP(D126,'09產線配置圖'!$A$2:$C$25,2,0)</f>
        <v>15</v>
      </c>
      <c r="F126" s="261">
        <f>VLOOKUP(D126,'09產線配置圖'!$A$2:$C$25,3,0)</f>
        <v>1565</v>
      </c>
      <c r="G126" s="262">
        <f t="shared" si="166"/>
        <v>104.33333333333333</v>
      </c>
      <c r="H126" s="343"/>
      <c r="I126" s="261">
        <f t="shared" si="167"/>
        <v>15</v>
      </c>
      <c r="J126" s="261">
        <f t="shared" si="168"/>
        <v>1556</v>
      </c>
      <c r="K126" s="262">
        <f t="shared" si="169"/>
        <v>103.73333333333333</v>
      </c>
      <c r="L126" s="343"/>
      <c r="M126" s="263">
        <f t="shared" si="170"/>
        <v>5</v>
      </c>
      <c r="N126" s="345"/>
      <c r="O126" s="345"/>
      <c r="P126" s="261">
        <v>15</v>
      </c>
      <c r="Q126" s="261">
        <v>1556</v>
      </c>
      <c r="R126" s="262">
        <f t="shared" si="171"/>
        <v>103.73333333333333</v>
      </c>
      <c r="S126" s="260">
        <f t="shared" si="172"/>
        <v>5</v>
      </c>
      <c r="T126" s="340"/>
      <c r="U126" s="261"/>
      <c r="V126" s="261"/>
      <c r="W126" s="262" t="e">
        <f t="shared" si="173"/>
        <v>#DIV/0!</v>
      </c>
      <c r="X126" s="260" t="e">
        <f t="shared" si="174"/>
        <v>#DIV/0!</v>
      </c>
      <c r="Y126" s="340"/>
      <c r="Z126" s="260"/>
      <c r="AA126" s="261"/>
      <c r="AB126" s="262" t="e">
        <f t="shared" si="175"/>
        <v>#DIV/0!</v>
      </c>
      <c r="AC126" s="260" t="e">
        <f t="shared" si="176"/>
        <v>#DIV/0!</v>
      </c>
      <c r="AD126" s="340"/>
      <c r="AE126" s="261"/>
      <c r="AF126" s="261"/>
      <c r="AG126" s="262" t="e">
        <f t="shared" si="177"/>
        <v>#DIV/0!</v>
      </c>
      <c r="AH126" s="260" t="e">
        <f t="shared" si="178"/>
        <v>#DIV/0!</v>
      </c>
      <c r="AI126" s="340"/>
      <c r="AJ126" s="261"/>
      <c r="AK126" s="261"/>
      <c r="AL126" s="262" t="e">
        <f t="shared" si="179"/>
        <v>#DIV/0!</v>
      </c>
      <c r="AM126" s="260" t="e">
        <f t="shared" si="180"/>
        <v>#DIV/0!</v>
      </c>
      <c r="AN126" s="340"/>
      <c r="AO126" s="261"/>
      <c r="AP126" s="261"/>
      <c r="AQ126" s="262" t="e">
        <f t="shared" si="181"/>
        <v>#DIV/0!</v>
      </c>
      <c r="AR126" s="260" t="e">
        <f t="shared" si="182"/>
        <v>#DIV/0!</v>
      </c>
      <c r="AS126" s="340"/>
      <c r="AT126" s="261"/>
      <c r="AU126" s="262"/>
      <c r="AV126" s="262" t="e">
        <f t="shared" si="183"/>
        <v>#DIV/0!</v>
      </c>
      <c r="AW126" s="260" t="e">
        <f t="shared" si="184"/>
        <v>#DIV/0!</v>
      </c>
      <c r="AX126" s="340"/>
    </row>
    <row r="127" spans="2:50">
      <c r="B127" s="341"/>
      <c r="C127" s="260">
        <v>9</v>
      </c>
      <c r="D127" s="260" t="s">
        <v>110</v>
      </c>
      <c r="E127" s="261">
        <f>VLOOKUP(D127,'09產線配置圖'!$A$2:$C$25,2,0)</f>
        <v>16</v>
      </c>
      <c r="F127" s="261">
        <f>VLOOKUP(D127,'09產線配置圖'!$A$2:$C$25,3,0)</f>
        <v>1390</v>
      </c>
      <c r="G127" s="262">
        <f t="shared" si="166"/>
        <v>86.875</v>
      </c>
      <c r="H127" s="343"/>
      <c r="I127" s="261">
        <f t="shared" si="167"/>
        <v>14</v>
      </c>
      <c r="J127" s="261">
        <f t="shared" si="168"/>
        <v>1121</v>
      </c>
      <c r="K127" s="262">
        <f t="shared" si="169"/>
        <v>80.071428571428569</v>
      </c>
      <c r="L127" s="343"/>
      <c r="M127" s="263">
        <f t="shared" si="170"/>
        <v>10</v>
      </c>
      <c r="N127" s="345"/>
      <c r="O127" s="345"/>
      <c r="P127" s="261">
        <v>14</v>
      </c>
      <c r="Q127" s="261">
        <v>1121</v>
      </c>
      <c r="R127" s="262">
        <f t="shared" si="171"/>
        <v>80.071428571428569</v>
      </c>
      <c r="S127" s="260">
        <f t="shared" si="172"/>
        <v>10</v>
      </c>
      <c r="T127" s="340"/>
      <c r="U127" s="261"/>
      <c r="V127" s="261"/>
      <c r="W127" s="262" t="e">
        <f t="shared" si="173"/>
        <v>#DIV/0!</v>
      </c>
      <c r="X127" s="260" t="e">
        <f t="shared" si="174"/>
        <v>#DIV/0!</v>
      </c>
      <c r="Y127" s="340"/>
      <c r="Z127" s="260"/>
      <c r="AA127" s="261"/>
      <c r="AB127" s="262" t="e">
        <f t="shared" si="175"/>
        <v>#DIV/0!</v>
      </c>
      <c r="AC127" s="260" t="e">
        <f t="shared" si="176"/>
        <v>#DIV/0!</v>
      </c>
      <c r="AD127" s="340"/>
      <c r="AE127" s="261"/>
      <c r="AF127" s="261"/>
      <c r="AG127" s="262" t="e">
        <f t="shared" si="177"/>
        <v>#DIV/0!</v>
      </c>
      <c r="AH127" s="260" t="e">
        <f t="shared" si="178"/>
        <v>#DIV/0!</v>
      </c>
      <c r="AI127" s="340"/>
      <c r="AJ127" s="261"/>
      <c r="AK127" s="261"/>
      <c r="AL127" s="262" t="e">
        <f t="shared" si="179"/>
        <v>#DIV/0!</v>
      </c>
      <c r="AM127" s="260" t="e">
        <f t="shared" si="180"/>
        <v>#DIV/0!</v>
      </c>
      <c r="AN127" s="340"/>
      <c r="AO127" s="261"/>
      <c r="AP127" s="261"/>
      <c r="AQ127" s="262" t="e">
        <f t="shared" si="181"/>
        <v>#DIV/0!</v>
      </c>
      <c r="AR127" s="260" t="e">
        <f t="shared" si="182"/>
        <v>#DIV/0!</v>
      </c>
      <c r="AS127" s="340"/>
      <c r="AT127" s="261"/>
      <c r="AU127" s="262"/>
      <c r="AV127" s="262" t="e">
        <f t="shared" si="183"/>
        <v>#DIV/0!</v>
      </c>
      <c r="AW127" s="260" t="e">
        <f t="shared" si="184"/>
        <v>#DIV/0!</v>
      </c>
      <c r="AX127" s="340"/>
    </row>
    <row r="128" spans="2:50">
      <c r="B128" s="341"/>
      <c r="C128" s="260">
        <v>10</v>
      </c>
      <c r="D128" s="260" t="s">
        <v>111</v>
      </c>
      <c r="E128" s="261">
        <f>VLOOKUP(D128,'09產線配置圖'!$A$2:$C$25,2,0)</f>
        <v>19</v>
      </c>
      <c r="F128" s="261">
        <f>VLOOKUP(D128,'09產線配置圖'!$A$2:$C$25,3,0)</f>
        <v>1565</v>
      </c>
      <c r="G128" s="262">
        <f t="shared" si="166"/>
        <v>82.368421052631575</v>
      </c>
      <c r="H128" s="343"/>
      <c r="I128" s="261"/>
      <c r="J128" s="261"/>
      <c r="K128" s="262"/>
      <c r="L128" s="343"/>
      <c r="M128" s="263"/>
      <c r="N128" s="345"/>
      <c r="O128" s="345"/>
      <c r="P128" s="261"/>
      <c r="Q128" s="261"/>
      <c r="R128" s="262"/>
      <c r="S128" s="260"/>
      <c r="T128" s="340"/>
      <c r="U128" s="261"/>
      <c r="V128" s="261"/>
      <c r="W128" s="262" t="e">
        <f t="shared" si="173"/>
        <v>#DIV/0!</v>
      </c>
      <c r="X128" s="260" t="e">
        <f t="shared" si="174"/>
        <v>#DIV/0!</v>
      </c>
      <c r="Y128" s="340"/>
      <c r="Z128" s="260"/>
      <c r="AA128" s="261"/>
      <c r="AB128" s="262" t="e">
        <f t="shared" si="175"/>
        <v>#DIV/0!</v>
      </c>
      <c r="AC128" s="260" t="e">
        <f t="shared" si="176"/>
        <v>#DIV/0!</v>
      </c>
      <c r="AD128" s="340"/>
      <c r="AE128" s="261"/>
      <c r="AF128" s="261"/>
      <c r="AG128" s="262" t="e">
        <f t="shared" si="177"/>
        <v>#DIV/0!</v>
      </c>
      <c r="AH128" s="260" t="e">
        <f t="shared" si="178"/>
        <v>#DIV/0!</v>
      </c>
      <c r="AI128" s="340"/>
      <c r="AJ128" s="261"/>
      <c r="AK128" s="261"/>
      <c r="AL128" s="262" t="e">
        <f t="shared" si="179"/>
        <v>#DIV/0!</v>
      </c>
      <c r="AM128" s="260" t="e">
        <f t="shared" si="180"/>
        <v>#DIV/0!</v>
      </c>
      <c r="AN128" s="340"/>
      <c r="AO128" s="261"/>
      <c r="AP128" s="261"/>
      <c r="AQ128" s="262" t="e">
        <f t="shared" si="181"/>
        <v>#DIV/0!</v>
      </c>
      <c r="AR128" s="260" t="e">
        <f t="shared" si="182"/>
        <v>#DIV/0!</v>
      </c>
      <c r="AS128" s="340"/>
      <c r="AT128" s="261"/>
      <c r="AU128" s="262"/>
      <c r="AV128" s="262" t="e">
        <f t="shared" si="183"/>
        <v>#DIV/0!</v>
      </c>
      <c r="AW128" s="260" t="e">
        <f t="shared" si="184"/>
        <v>#DIV/0!</v>
      </c>
      <c r="AX128" s="340"/>
    </row>
    <row r="129" spans="2:50">
      <c r="B129" s="341"/>
      <c r="C129" s="260">
        <v>11</v>
      </c>
      <c r="D129" s="260" t="s">
        <v>112</v>
      </c>
      <c r="E129" s="261">
        <f>VLOOKUP(D129,'09產線配置圖'!$A$2:$C$25,2,0)</f>
        <v>18</v>
      </c>
      <c r="F129" s="261">
        <f>VLOOKUP(D129,'09產線配置圖'!$A$2:$C$25,3,0)</f>
        <v>1500</v>
      </c>
      <c r="G129" s="262">
        <f t="shared" si="166"/>
        <v>83.333333333333329</v>
      </c>
      <c r="H129" s="343"/>
      <c r="I129" s="261">
        <f t="shared" si="167"/>
        <v>15</v>
      </c>
      <c r="J129" s="261">
        <f t="shared" si="168"/>
        <v>1092</v>
      </c>
      <c r="K129" s="262">
        <f t="shared" si="169"/>
        <v>72.8</v>
      </c>
      <c r="L129" s="343"/>
      <c r="M129" s="263">
        <f t="shared" si="170"/>
        <v>13</v>
      </c>
      <c r="N129" s="345"/>
      <c r="O129" s="345"/>
      <c r="P129" s="260">
        <v>15</v>
      </c>
      <c r="Q129" s="260">
        <v>1092</v>
      </c>
      <c r="R129" s="262">
        <f>Q129/P129</f>
        <v>72.8</v>
      </c>
      <c r="S129" s="260">
        <f t="shared" si="172"/>
        <v>13</v>
      </c>
      <c r="T129" s="340"/>
      <c r="U129" s="260"/>
      <c r="V129" s="260"/>
      <c r="W129" s="260" t="e">
        <f>V129/U129</f>
        <v>#DIV/0!</v>
      </c>
      <c r="X129" s="260" t="e">
        <f t="shared" si="174"/>
        <v>#DIV/0!</v>
      </c>
      <c r="Y129" s="340"/>
      <c r="Z129" s="260"/>
      <c r="AA129" s="260"/>
      <c r="AB129" s="260" t="e">
        <f>AA129/Z129</f>
        <v>#DIV/0!</v>
      </c>
      <c r="AC129" s="260" t="e">
        <f t="shared" si="176"/>
        <v>#DIV/0!</v>
      </c>
      <c r="AD129" s="340"/>
      <c r="AE129" s="260"/>
      <c r="AF129" s="260"/>
      <c r="AG129" s="262" t="e">
        <f>AF129/AE129</f>
        <v>#DIV/0!</v>
      </c>
      <c r="AH129" s="260" t="e">
        <f t="shared" si="178"/>
        <v>#DIV/0!</v>
      </c>
      <c r="AI129" s="340"/>
      <c r="AJ129" s="260"/>
      <c r="AK129" s="260"/>
      <c r="AL129" s="262" t="e">
        <f>AK129/AJ129</f>
        <v>#DIV/0!</v>
      </c>
      <c r="AM129" s="260" t="e">
        <f t="shared" si="180"/>
        <v>#DIV/0!</v>
      </c>
      <c r="AN129" s="340"/>
      <c r="AO129" s="260"/>
      <c r="AP129" s="260"/>
      <c r="AQ129" s="262" t="e">
        <f>AP129/AO129</f>
        <v>#DIV/0!</v>
      </c>
      <c r="AR129" s="260" t="e">
        <f t="shared" si="182"/>
        <v>#DIV/0!</v>
      </c>
      <c r="AS129" s="340"/>
      <c r="AT129" s="260"/>
      <c r="AU129" s="262"/>
      <c r="AV129" s="262" t="e">
        <f t="shared" si="183"/>
        <v>#DIV/0!</v>
      </c>
      <c r="AW129" s="260" t="e">
        <f t="shared" si="184"/>
        <v>#DIV/0!</v>
      </c>
      <c r="AX129" s="340"/>
    </row>
    <row r="130" spans="2:50">
      <c r="B130" s="341"/>
      <c r="C130" s="260">
        <v>12</v>
      </c>
      <c r="D130" s="260" t="s">
        <v>113</v>
      </c>
      <c r="E130" s="261">
        <f>VLOOKUP(D130,'09產線配置圖'!$A$2:$C$25,2,0)</f>
        <v>18</v>
      </c>
      <c r="F130" s="261">
        <f>VLOOKUP(D130,'09產線配置圖'!$A$2:$C$25,3,0)</f>
        <v>1385</v>
      </c>
      <c r="G130" s="262">
        <f t="shared" si="166"/>
        <v>76.944444444444443</v>
      </c>
      <c r="H130" s="343"/>
      <c r="I130" s="260">
        <f t="shared" si="167"/>
        <v>17</v>
      </c>
      <c r="J130" s="261">
        <f t="shared" si="168"/>
        <v>1300</v>
      </c>
      <c r="K130" s="262">
        <f t="shared" si="169"/>
        <v>76.470588235294116</v>
      </c>
      <c r="L130" s="343"/>
      <c r="M130" s="263">
        <f t="shared" si="170"/>
        <v>12</v>
      </c>
      <c r="N130" s="345"/>
      <c r="O130" s="345"/>
      <c r="P130" s="260">
        <v>17</v>
      </c>
      <c r="Q130" s="260">
        <v>1300</v>
      </c>
      <c r="R130" s="262">
        <f t="shared" ref="R130:R135" si="185">Q130/P130</f>
        <v>76.470588235294116</v>
      </c>
      <c r="S130" s="260">
        <f t="shared" si="172"/>
        <v>12</v>
      </c>
      <c r="T130" s="340"/>
      <c r="U130" s="260"/>
      <c r="V130" s="260"/>
      <c r="W130" s="260" t="e">
        <f t="shared" ref="W130:W136" si="186">V130/U130</f>
        <v>#DIV/0!</v>
      </c>
      <c r="X130" s="260" t="e">
        <f t="shared" si="174"/>
        <v>#DIV/0!</v>
      </c>
      <c r="Y130" s="340"/>
      <c r="Z130" s="260"/>
      <c r="AA130" s="260"/>
      <c r="AB130" s="260" t="e">
        <f t="shared" ref="AB130:AB136" si="187">AA130/Z130</f>
        <v>#DIV/0!</v>
      </c>
      <c r="AC130" s="260" t="e">
        <f t="shared" si="176"/>
        <v>#DIV/0!</v>
      </c>
      <c r="AD130" s="340"/>
      <c r="AE130" s="260"/>
      <c r="AF130" s="260"/>
      <c r="AG130" s="262" t="e">
        <f t="shared" ref="AG130:AG132" si="188">AF130/AE130</f>
        <v>#DIV/0!</v>
      </c>
      <c r="AH130" s="260" t="e">
        <f t="shared" si="178"/>
        <v>#DIV/0!</v>
      </c>
      <c r="AI130" s="340"/>
      <c r="AJ130" s="260"/>
      <c r="AK130" s="260"/>
      <c r="AL130" s="262" t="e">
        <f t="shared" ref="AL130:AL132" si="189">AK130/AJ130</f>
        <v>#DIV/0!</v>
      </c>
      <c r="AM130" s="260" t="e">
        <f t="shared" si="180"/>
        <v>#DIV/0!</v>
      </c>
      <c r="AN130" s="340"/>
      <c r="AO130" s="260"/>
      <c r="AP130" s="260"/>
      <c r="AQ130" s="262" t="e">
        <f t="shared" ref="AQ130:AQ132" si="190">AP130/AO130</f>
        <v>#DIV/0!</v>
      </c>
      <c r="AR130" s="260" t="e">
        <f t="shared" si="182"/>
        <v>#DIV/0!</v>
      </c>
      <c r="AS130" s="340"/>
      <c r="AT130" s="260"/>
      <c r="AU130" s="260"/>
      <c r="AV130" s="262" t="e">
        <f t="shared" si="183"/>
        <v>#DIV/0!</v>
      </c>
      <c r="AW130" s="260" t="e">
        <f>RANK(AV130, AV$7:AV$24)</f>
        <v>#DIV/0!</v>
      </c>
      <c r="AX130" s="340"/>
    </row>
    <row r="131" spans="2:50">
      <c r="B131" s="341"/>
      <c r="C131" s="260">
        <v>13</v>
      </c>
      <c r="D131" s="260" t="s">
        <v>114</v>
      </c>
      <c r="E131" s="261">
        <f>VLOOKUP(D131,'09產線配置圖'!$A$2:$C$25,2,0)</f>
        <v>17</v>
      </c>
      <c r="F131" s="261">
        <f>VLOOKUP(D131,'09產線配置圖'!$A$2:$C$25,3,0)</f>
        <v>1565</v>
      </c>
      <c r="G131" s="262">
        <f t="shared" si="166"/>
        <v>92.058823529411768</v>
      </c>
      <c r="H131" s="343"/>
      <c r="I131" s="260">
        <f t="shared" si="167"/>
        <v>16</v>
      </c>
      <c r="J131" s="261">
        <f t="shared" si="168"/>
        <v>1395</v>
      </c>
      <c r="K131" s="262">
        <f t="shared" si="169"/>
        <v>87.1875</v>
      </c>
      <c r="L131" s="343"/>
      <c r="M131" s="263">
        <f t="shared" si="170"/>
        <v>7</v>
      </c>
      <c r="N131" s="345"/>
      <c r="O131" s="345"/>
      <c r="P131" s="260">
        <v>16</v>
      </c>
      <c r="Q131" s="260">
        <v>1395</v>
      </c>
      <c r="R131" s="262">
        <f t="shared" si="185"/>
        <v>87.1875</v>
      </c>
      <c r="S131" s="260">
        <f t="shared" si="172"/>
        <v>7</v>
      </c>
      <c r="T131" s="340"/>
      <c r="U131" s="260"/>
      <c r="V131" s="260"/>
      <c r="W131" s="260" t="e">
        <f t="shared" si="186"/>
        <v>#DIV/0!</v>
      </c>
      <c r="X131" s="260" t="e">
        <f t="shared" si="174"/>
        <v>#DIV/0!</v>
      </c>
      <c r="Y131" s="340"/>
      <c r="Z131" s="260"/>
      <c r="AA131" s="260"/>
      <c r="AB131" s="260" t="e">
        <f t="shared" si="187"/>
        <v>#DIV/0!</v>
      </c>
      <c r="AC131" s="260" t="e">
        <f t="shared" si="176"/>
        <v>#DIV/0!</v>
      </c>
      <c r="AD131" s="340"/>
      <c r="AE131" s="260"/>
      <c r="AF131" s="260"/>
      <c r="AG131" s="262" t="e">
        <f t="shared" si="188"/>
        <v>#DIV/0!</v>
      </c>
      <c r="AH131" s="260" t="e">
        <f t="shared" si="178"/>
        <v>#DIV/0!</v>
      </c>
      <c r="AI131" s="340"/>
      <c r="AJ131" s="260"/>
      <c r="AK131" s="260"/>
      <c r="AL131" s="262" t="e">
        <f t="shared" si="189"/>
        <v>#DIV/0!</v>
      </c>
      <c r="AM131" s="260" t="e">
        <f t="shared" si="180"/>
        <v>#DIV/0!</v>
      </c>
      <c r="AN131" s="340"/>
      <c r="AO131" s="260"/>
      <c r="AP131" s="260"/>
      <c r="AQ131" s="262" t="e">
        <f t="shared" si="190"/>
        <v>#DIV/0!</v>
      </c>
      <c r="AR131" s="260" t="e">
        <f t="shared" si="182"/>
        <v>#DIV/0!</v>
      </c>
      <c r="AS131" s="340"/>
      <c r="AT131" s="260"/>
      <c r="AU131" s="260"/>
      <c r="AV131" s="262" t="e">
        <f t="shared" si="183"/>
        <v>#DIV/0!</v>
      </c>
      <c r="AW131" s="260" t="e">
        <f t="shared" ref="AW131:AW133" si="191">RANK(AV131, AV$7:AV$24)</f>
        <v>#DIV/0!</v>
      </c>
      <c r="AX131" s="340"/>
    </row>
    <row r="132" spans="2:50">
      <c r="B132" s="341"/>
      <c r="C132" s="260">
        <v>14</v>
      </c>
      <c r="D132" s="260" t="s">
        <v>115</v>
      </c>
      <c r="E132" s="261">
        <f>VLOOKUP(D132,'09產線配置圖'!$A$2:$C$25,2,0)</f>
        <v>17</v>
      </c>
      <c r="F132" s="261">
        <f>VLOOKUP(D132,'09產線配置圖'!$A$2:$C$25,3,0)</f>
        <v>1636</v>
      </c>
      <c r="G132" s="262">
        <f t="shared" si="166"/>
        <v>96.235294117647058</v>
      </c>
      <c r="H132" s="343"/>
      <c r="I132" s="260"/>
      <c r="J132" s="261"/>
      <c r="K132" s="262"/>
      <c r="L132" s="343"/>
      <c r="M132" s="263"/>
      <c r="N132" s="345"/>
      <c r="O132" s="345"/>
      <c r="P132" s="260"/>
      <c r="Q132" s="260"/>
      <c r="R132" s="262"/>
      <c r="S132" s="260"/>
      <c r="T132" s="340"/>
      <c r="U132" s="260"/>
      <c r="V132" s="260"/>
      <c r="W132" s="260" t="e">
        <f t="shared" si="186"/>
        <v>#DIV/0!</v>
      </c>
      <c r="X132" s="260" t="e">
        <f t="shared" si="174"/>
        <v>#DIV/0!</v>
      </c>
      <c r="Y132" s="340"/>
      <c r="Z132" s="260"/>
      <c r="AA132" s="260"/>
      <c r="AB132" s="260" t="e">
        <f t="shared" si="187"/>
        <v>#DIV/0!</v>
      </c>
      <c r="AC132" s="260" t="e">
        <f t="shared" si="176"/>
        <v>#DIV/0!</v>
      </c>
      <c r="AD132" s="340"/>
      <c r="AE132" s="260"/>
      <c r="AF132" s="260"/>
      <c r="AG132" s="262" t="e">
        <f t="shared" si="188"/>
        <v>#DIV/0!</v>
      </c>
      <c r="AH132" s="260" t="e">
        <f t="shared" si="178"/>
        <v>#DIV/0!</v>
      </c>
      <c r="AI132" s="340"/>
      <c r="AJ132" s="260"/>
      <c r="AK132" s="260"/>
      <c r="AL132" s="262" t="e">
        <f t="shared" si="189"/>
        <v>#DIV/0!</v>
      </c>
      <c r="AM132" s="260" t="e">
        <f t="shared" si="180"/>
        <v>#DIV/0!</v>
      </c>
      <c r="AN132" s="340"/>
      <c r="AO132" s="260"/>
      <c r="AP132" s="260"/>
      <c r="AQ132" s="260" t="e">
        <f t="shared" si="190"/>
        <v>#DIV/0!</v>
      </c>
      <c r="AR132" s="260" t="e">
        <f t="shared" si="182"/>
        <v>#DIV/0!</v>
      </c>
      <c r="AS132" s="340"/>
      <c r="AT132" s="260"/>
      <c r="AU132" s="260"/>
      <c r="AV132" s="262" t="e">
        <f t="shared" si="183"/>
        <v>#DIV/0!</v>
      </c>
      <c r="AW132" s="260" t="e">
        <f t="shared" si="191"/>
        <v>#DIV/0!</v>
      </c>
      <c r="AX132" s="340"/>
    </row>
    <row r="133" spans="2:50">
      <c r="B133" s="341"/>
      <c r="C133" s="260">
        <v>15</v>
      </c>
      <c r="D133" s="260" t="s">
        <v>116</v>
      </c>
      <c r="E133" s="261">
        <f>VLOOKUP(D133,'09產線配置圖'!$A$2:$C$25,2,0)</f>
        <v>17</v>
      </c>
      <c r="F133" s="261">
        <f>VLOOKUP(D133,'09產線配置圖'!$A$2:$C$25,3,0)</f>
        <v>1636</v>
      </c>
      <c r="G133" s="262">
        <f t="shared" si="166"/>
        <v>96.235294117647058</v>
      </c>
      <c r="H133" s="343"/>
      <c r="I133" s="260">
        <f t="shared" si="167"/>
        <v>15</v>
      </c>
      <c r="J133" s="260">
        <f t="shared" si="168"/>
        <v>1088</v>
      </c>
      <c r="K133" s="262">
        <f t="shared" si="169"/>
        <v>72.533333333333331</v>
      </c>
      <c r="L133" s="343"/>
      <c r="M133" s="263">
        <f t="shared" si="170"/>
        <v>14</v>
      </c>
      <c r="N133" s="345"/>
      <c r="O133" s="345"/>
      <c r="P133" s="260">
        <v>15</v>
      </c>
      <c r="Q133" s="260">
        <v>1088</v>
      </c>
      <c r="R133" s="262">
        <f t="shared" si="185"/>
        <v>72.533333333333331</v>
      </c>
      <c r="S133" s="260">
        <f t="shared" si="172"/>
        <v>14</v>
      </c>
      <c r="T133" s="340"/>
      <c r="U133" s="260"/>
      <c r="V133" s="260"/>
      <c r="W133" s="260" t="e">
        <f t="shared" si="186"/>
        <v>#DIV/0!</v>
      </c>
      <c r="X133" s="260" t="e">
        <f t="shared" si="174"/>
        <v>#DIV/0!</v>
      </c>
      <c r="Y133" s="340"/>
      <c r="Z133" s="260"/>
      <c r="AA133" s="260"/>
      <c r="AB133" s="260" t="e">
        <f t="shared" si="187"/>
        <v>#DIV/0!</v>
      </c>
      <c r="AC133" s="260" t="e">
        <f t="shared" si="176"/>
        <v>#DIV/0!</v>
      </c>
      <c r="AD133" s="340"/>
      <c r="AE133" s="260"/>
      <c r="AF133" s="260"/>
      <c r="AG133" s="262"/>
      <c r="AH133" s="260"/>
      <c r="AI133" s="340"/>
      <c r="AJ133" s="260"/>
      <c r="AK133" s="260"/>
      <c r="AL133" s="260"/>
      <c r="AM133" s="260"/>
      <c r="AN133" s="340"/>
      <c r="AO133" s="260"/>
      <c r="AP133" s="260"/>
      <c r="AQ133" s="260"/>
      <c r="AR133" s="260" t="e">
        <f t="shared" si="182"/>
        <v>#DIV/0!</v>
      </c>
      <c r="AS133" s="340"/>
      <c r="AT133" s="260"/>
      <c r="AU133" s="260"/>
      <c r="AV133" s="262" t="e">
        <f>AU133/AT133</f>
        <v>#DIV/0!</v>
      </c>
      <c r="AW133" s="260" t="e">
        <f t="shared" si="191"/>
        <v>#DIV/0!</v>
      </c>
      <c r="AX133" s="340"/>
    </row>
    <row r="134" spans="2:50">
      <c r="B134" s="341"/>
      <c r="C134" s="260">
        <v>16</v>
      </c>
      <c r="D134" s="260" t="s">
        <v>117</v>
      </c>
      <c r="E134" s="261">
        <f>VLOOKUP(D134,'09產線配置圖'!$A$2:$C$30,2,0)</f>
        <v>16</v>
      </c>
      <c r="F134" s="261">
        <f>VLOOKUP(D134,'09產線配置圖'!$A$2:$C$30,3,0)</f>
        <v>1800</v>
      </c>
      <c r="G134" s="262">
        <f t="shared" si="166"/>
        <v>112.5</v>
      </c>
      <c r="H134" s="343"/>
      <c r="I134" s="260">
        <f t="shared" si="167"/>
        <v>12</v>
      </c>
      <c r="J134" s="260">
        <f t="shared" si="168"/>
        <v>1027</v>
      </c>
      <c r="K134" s="262">
        <f t="shared" si="169"/>
        <v>85.583333333333329</v>
      </c>
      <c r="L134" s="343"/>
      <c r="M134" s="263">
        <f t="shared" si="170"/>
        <v>8</v>
      </c>
      <c r="N134" s="345"/>
      <c r="O134" s="345"/>
      <c r="P134" s="260">
        <v>12</v>
      </c>
      <c r="Q134" s="260">
        <v>1027</v>
      </c>
      <c r="R134" s="262">
        <f t="shared" si="185"/>
        <v>85.583333333333329</v>
      </c>
      <c r="S134" s="260">
        <f t="shared" si="172"/>
        <v>8</v>
      </c>
      <c r="T134" s="340"/>
      <c r="U134" s="260"/>
      <c r="V134" s="260"/>
      <c r="W134" s="260" t="e">
        <f t="shared" si="186"/>
        <v>#DIV/0!</v>
      </c>
      <c r="X134" s="260" t="e">
        <f t="shared" si="174"/>
        <v>#DIV/0!</v>
      </c>
      <c r="Y134" s="340"/>
      <c r="Z134" s="260"/>
      <c r="AA134" s="260"/>
      <c r="AB134" s="260" t="e">
        <f t="shared" si="187"/>
        <v>#DIV/0!</v>
      </c>
      <c r="AC134" s="260" t="e">
        <f t="shared" si="176"/>
        <v>#DIV/0!</v>
      </c>
      <c r="AD134" s="340"/>
      <c r="AE134" s="260"/>
      <c r="AF134" s="260"/>
      <c r="AG134" s="262"/>
      <c r="AH134" s="260"/>
      <c r="AI134" s="340"/>
      <c r="AJ134" s="260"/>
      <c r="AK134" s="260"/>
      <c r="AL134" s="260"/>
      <c r="AM134" s="260"/>
      <c r="AN134" s="340"/>
      <c r="AO134" s="260"/>
      <c r="AP134" s="260"/>
      <c r="AQ134" s="260"/>
      <c r="AR134" s="260" t="e">
        <f t="shared" si="182"/>
        <v>#DIV/0!</v>
      </c>
      <c r="AS134" s="340"/>
      <c r="AT134" s="260"/>
      <c r="AU134" s="260"/>
      <c r="AV134" s="260"/>
      <c r="AW134" s="260"/>
      <c r="AX134" s="340"/>
    </row>
    <row r="135" spans="2:50">
      <c r="B135" s="341"/>
      <c r="C135" s="260">
        <v>17</v>
      </c>
      <c r="D135" s="260" t="s">
        <v>118</v>
      </c>
      <c r="E135" s="261">
        <f>VLOOKUP(D135,'09產線配置圖'!$A$2:$C$30,2,0)</f>
        <v>18</v>
      </c>
      <c r="F135" s="261">
        <f>VLOOKUP(D135,'09產線配置圖'!$A$2:$C$30,3,0)</f>
        <v>1636</v>
      </c>
      <c r="G135" s="262">
        <f t="shared" si="166"/>
        <v>90.888888888888886</v>
      </c>
      <c r="H135" s="343"/>
      <c r="I135" s="260">
        <f t="shared" si="167"/>
        <v>17</v>
      </c>
      <c r="J135" s="260">
        <f t="shared" si="168"/>
        <v>1313</v>
      </c>
      <c r="K135" s="262">
        <f t="shared" si="169"/>
        <v>77.235294117647058</v>
      </c>
      <c r="L135" s="343"/>
      <c r="M135" s="263">
        <f t="shared" si="170"/>
        <v>11</v>
      </c>
      <c r="N135" s="345"/>
      <c r="O135" s="345"/>
      <c r="P135" s="260">
        <v>17</v>
      </c>
      <c r="Q135" s="260">
        <v>1313</v>
      </c>
      <c r="R135" s="262">
        <f t="shared" si="185"/>
        <v>77.235294117647058</v>
      </c>
      <c r="S135" s="260">
        <f t="shared" si="172"/>
        <v>11</v>
      </c>
      <c r="T135" s="340"/>
      <c r="U135" s="260"/>
      <c r="V135" s="260"/>
      <c r="W135" s="260" t="e">
        <f t="shared" si="186"/>
        <v>#DIV/0!</v>
      </c>
      <c r="X135" s="260" t="e">
        <f t="shared" si="174"/>
        <v>#DIV/0!</v>
      </c>
      <c r="Y135" s="340"/>
      <c r="Z135" s="260"/>
      <c r="AA135" s="260"/>
      <c r="AB135" s="260" t="e">
        <f t="shared" si="187"/>
        <v>#DIV/0!</v>
      </c>
      <c r="AC135" s="260" t="e">
        <f t="shared" si="176"/>
        <v>#DIV/0!</v>
      </c>
      <c r="AD135" s="340"/>
      <c r="AE135" s="260"/>
      <c r="AF135" s="260"/>
      <c r="AG135" s="262"/>
      <c r="AH135" s="260"/>
      <c r="AI135" s="340"/>
      <c r="AJ135" s="260"/>
      <c r="AK135" s="260"/>
      <c r="AL135" s="260"/>
      <c r="AM135" s="260"/>
      <c r="AN135" s="340"/>
      <c r="AO135" s="260"/>
      <c r="AP135" s="260"/>
      <c r="AQ135" s="260"/>
      <c r="AR135" s="260" t="e">
        <f t="shared" si="182"/>
        <v>#DIV/0!</v>
      </c>
      <c r="AS135" s="340"/>
      <c r="AT135" s="260"/>
      <c r="AU135" s="260"/>
      <c r="AV135" s="260"/>
      <c r="AW135" s="260"/>
      <c r="AX135" s="340"/>
    </row>
    <row r="136" spans="2:50">
      <c r="B136" s="341"/>
      <c r="C136" s="260">
        <v>18</v>
      </c>
      <c r="D136" s="260"/>
      <c r="E136" s="261"/>
      <c r="F136" s="261"/>
      <c r="G136" s="262"/>
      <c r="H136" s="344"/>
      <c r="I136" s="260"/>
      <c r="J136" s="260"/>
      <c r="K136" s="262"/>
      <c r="L136" s="344"/>
      <c r="M136" s="263"/>
      <c r="N136" s="345"/>
      <c r="O136" s="345"/>
      <c r="P136" s="260"/>
      <c r="Q136" s="260"/>
      <c r="R136" s="262"/>
      <c r="S136" s="260"/>
      <c r="T136" s="340"/>
      <c r="U136" s="260"/>
      <c r="V136" s="260"/>
      <c r="W136" s="260" t="e">
        <f t="shared" si="186"/>
        <v>#DIV/0!</v>
      </c>
      <c r="X136" s="260" t="e">
        <f t="shared" si="174"/>
        <v>#DIV/0!</v>
      </c>
      <c r="Y136" s="340"/>
      <c r="Z136" s="260"/>
      <c r="AA136" s="260"/>
      <c r="AB136" s="260" t="e">
        <f t="shared" si="187"/>
        <v>#DIV/0!</v>
      </c>
      <c r="AC136" s="260" t="e">
        <f t="shared" si="176"/>
        <v>#DIV/0!</v>
      </c>
      <c r="AD136" s="340"/>
      <c r="AE136" s="260"/>
      <c r="AF136" s="260"/>
      <c r="AG136" s="262"/>
      <c r="AH136" s="260"/>
      <c r="AI136" s="340"/>
      <c r="AJ136" s="260"/>
      <c r="AK136" s="260"/>
      <c r="AL136" s="260"/>
      <c r="AM136" s="260"/>
      <c r="AN136" s="340"/>
      <c r="AO136" s="260"/>
      <c r="AP136" s="260"/>
      <c r="AQ136" s="260"/>
      <c r="AR136" s="260" t="e">
        <f t="shared" si="182"/>
        <v>#DIV/0!</v>
      </c>
      <c r="AS136" s="340"/>
      <c r="AT136" s="260"/>
      <c r="AU136" s="260"/>
      <c r="AV136" s="260"/>
      <c r="AW136" s="260"/>
      <c r="AX136" s="340"/>
    </row>
  </sheetData>
  <mergeCells count="354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500-000000000000}">
          <x14:formula1>
            <xm:f>'C:\Users\CHENG191\AppData\Local\Microsoft\Windows\INetCache\Content.Outlook\V6WXUMHR\[長家廠生產管理報表(8月).xlsx]0818產線配置圖'!#REF!</xm:f>
          </x14:formula1>
          <xm:sqref>D67</xm:sqref>
        </x14:dataValidation>
        <x14:dataValidation type="list" allowBlank="1" showInputMessage="1" showErrorMessage="1" xr:uid="{00000000-0002-0000-0500-000001000000}">
          <x14:formula1>
            <xm:f>'C:\Users\CHENG191\AppData\Local\Microsoft\Windows\INetCache\Content.Outlook\V6WXUMHR\[長家廠生產管理報表(8月).xlsx]0805產線配置圖'!#REF!</xm:f>
          </x14:formula1>
          <xm:sqref>D53:D66 D18 D130</xm:sqref>
        </x14:dataValidation>
        <x14:dataValidation type="list" allowBlank="1" showInputMessage="1" showErrorMessage="1" xr:uid="{00000000-0002-0000-0500-000002000000}">
          <x14:formula1>
            <xm:f>'C:\Users\CHENG191\AppData\Local\Microsoft\Windows\INetCache\Content.Outlook\V6WXUMHR\[長家廠生產管理報表(8月).xlsx]0801-0804產線配置圖'!#REF!</xm:f>
          </x14:formula1>
          <xm:sqref>D23:D24 D46:D47 D136</xm:sqref>
        </x14:dataValidation>
        <x14:dataValidation type="list" allowBlank="1" showInputMessage="1" showErrorMessage="1" xr:uid="{00000000-0002-0000-0500-000003000000}">
          <x14:formula1>
            <xm:f>'09產線配置圖'!$A$2:$A$18</xm:f>
          </x14:formula1>
          <xm:sqref>D19:D21 D7:D17 D131:D133 D119:D129</xm:sqref>
        </x14:dataValidation>
        <x14:dataValidation type="list" allowBlank="1" showInputMessage="1" showErrorMessage="1" xr:uid="{00000000-0002-0000-0500-000004000000}">
          <x14:formula1>
            <xm:f>'09產線配置圖'!$A$2:$A$27</xm:f>
          </x14:formula1>
          <xm:sqref>D73:D90 D96:D113 D134:D135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57"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8"/>
      <c r="B1" s="223" t="s">
        <v>119</v>
      </c>
      <c r="C1" s="107" t="e">
        <f>AVERAGE(L7,L27,L47,L67,L87)</f>
        <v>#DIV/0!</v>
      </c>
    </row>
    <row r="2" spans="1:50" ht="15.75">
      <c r="A2" s="83"/>
      <c r="B2" s="374" t="s">
        <v>86</v>
      </c>
      <c r="C2" s="375"/>
      <c r="D2" s="375"/>
      <c r="E2" s="375"/>
      <c r="F2" s="375"/>
      <c r="G2" s="375"/>
      <c r="H2" s="375"/>
      <c r="I2" s="183"/>
      <c r="J2" s="183"/>
      <c r="K2" s="183"/>
      <c r="L2" s="183"/>
      <c r="M2" s="179"/>
      <c r="N2" s="377" t="s">
        <v>87</v>
      </c>
      <c r="O2" s="377" t="s">
        <v>45</v>
      </c>
      <c r="P2" s="372"/>
      <c r="Q2" s="373"/>
      <c r="R2" s="373"/>
      <c r="S2" s="373"/>
      <c r="T2" s="373"/>
      <c r="U2" s="372"/>
      <c r="V2" s="373"/>
      <c r="W2" s="373"/>
      <c r="X2" s="373"/>
      <c r="Y2" s="373"/>
      <c r="Z2" s="372"/>
      <c r="AA2" s="373"/>
      <c r="AB2" s="373"/>
      <c r="AC2" s="373"/>
      <c r="AD2" s="373"/>
      <c r="AE2" s="372">
        <v>45870</v>
      </c>
      <c r="AF2" s="373"/>
      <c r="AG2" s="373"/>
      <c r="AH2" s="373"/>
      <c r="AI2" s="373"/>
      <c r="AJ2" s="372">
        <v>45871</v>
      </c>
      <c r="AK2" s="373"/>
      <c r="AL2" s="373"/>
      <c r="AM2" s="373"/>
      <c r="AN2" s="373"/>
      <c r="AO2" s="372">
        <v>45872</v>
      </c>
      <c r="AP2" s="373"/>
      <c r="AQ2" s="373"/>
      <c r="AR2" s="373"/>
      <c r="AS2" s="373"/>
      <c r="AT2" s="372">
        <v>45873</v>
      </c>
      <c r="AU2" s="373"/>
      <c r="AV2" s="373"/>
      <c r="AW2" s="373"/>
      <c r="AX2" s="373"/>
    </row>
    <row r="3" spans="1:50" ht="15.75">
      <c r="A3" s="83"/>
      <c r="B3" s="376"/>
      <c r="C3" s="376"/>
      <c r="D3" s="376"/>
      <c r="E3" s="376"/>
      <c r="F3" s="376"/>
      <c r="G3" s="376"/>
      <c r="H3" s="376"/>
      <c r="I3" s="180"/>
      <c r="J3" s="180"/>
      <c r="K3" s="180"/>
      <c r="L3" s="180"/>
      <c r="M3" s="181"/>
      <c r="N3" s="378"/>
      <c r="O3" s="378"/>
      <c r="P3" s="372" t="s">
        <v>57</v>
      </c>
      <c r="Q3" s="373"/>
      <c r="R3" s="373"/>
      <c r="S3" s="373"/>
      <c r="T3" s="373"/>
      <c r="U3" s="372" t="s">
        <v>58</v>
      </c>
      <c r="V3" s="373"/>
      <c r="W3" s="373"/>
      <c r="X3" s="373"/>
      <c r="Y3" s="373"/>
      <c r="Z3" s="372" t="s">
        <v>59</v>
      </c>
      <c r="AA3" s="373"/>
      <c r="AB3" s="373"/>
      <c r="AC3" s="373"/>
      <c r="AD3" s="373"/>
      <c r="AE3" s="372" t="s">
        <v>60</v>
      </c>
      <c r="AF3" s="373"/>
      <c r="AG3" s="373"/>
      <c r="AH3" s="373"/>
      <c r="AI3" s="373"/>
      <c r="AJ3" s="372" t="s">
        <v>61</v>
      </c>
      <c r="AK3" s="373"/>
      <c r="AL3" s="373"/>
      <c r="AM3" s="373"/>
      <c r="AN3" s="373"/>
      <c r="AO3" s="372" t="s">
        <v>52</v>
      </c>
      <c r="AP3" s="373"/>
      <c r="AQ3" s="373"/>
      <c r="AR3" s="373"/>
      <c r="AS3" s="373"/>
      <c r="AT3" s="372" t="s">
        <v>56</v>
      </c>
      <c r="AU3" s="373"/>
      <c r="AV3" s="373"/>
      <c r="AW3" s="373"/>
      <c r="AX3" s="373"/>
    </row>
    <row r="4" spans="1:50">
      <c r="A4" s="83"/>
      <c r="B4" s="382" t="s">
        <v>88</v>
      </c>
      <c r="C4" s="382" t="s">
        <v>89</v>
      </c>
      <c r="D4" s="382"/>
      <c r="E4" s="382" t="s">
        <v>90</v>
      </c>
      <c r="F4" s="382"/>
      <c r="G4" s="382"/>
      <c r="H4" s="388" t="s">
        <v>91</v>
      </c>
      <c r="I4" s="382" t="s">
        <v>92</v>
      </c>
      <c r="J4" s="382"/>
      <c r="K4" s="382"/>
      <c r="L4" s="388" t="s">
        <v>91</v>
      </c>
      <c r="M4" s="377" t="s">
        <v>93</v>
      </c>
      <c r="N4" s="382"/>
      <c r="O4" s="382" t="s">
        <v>94</v>
      </c>
      <c r="P4" s="379" t="s">
        <v>95</v>
      </c>
      <c r="Q4" s="380"/>
      <c r="R4" s="380"/>
      <c r="S4" s="381"/>
      <c r="T4" s="382" t="s">
        <v>91</v>
      </c>
      <c r="U4" s="379" t="s">
        <v>95</v>
      </c>
      <c r="V4" s="380"/>
      <c r="W4" s="380"/>
      <c r="X4" s="381"/>
      <c r="Y4" s="382" t="s">
        <v>91</v>
      </c>
      <c r="Z4" s="379" t="s">
        <v>95</v>
      </c>
      <c r="AA4" s="380"/>
      <c r="AB4" s="380"/>
      <c r="AC4" s="381"/>
      <c r="AD4" s="382" t="s">
        <v>91</v>
      </c>
      <c r="AE4" s="379" t="s">
        <v>95</v>
      </c>
      <c r="AF4" s="380"/>
      <c r="AG4" s="380"/>
      <c r="AH4" s="381"/>
      <c r="AI4" s="382" t="s">
        <v>91</v>
      </c>
      <c r="AJ4" s="379" t="s">
        <v>95</v>
      </c>
      <c r="AK4" s="380"/>
      <c r="AL4" s="380"/>
      <c r="AM4" s="381"/>
      <c r="AN4" s="382" t="s">
        <v>91</v>
      </c>
      <c r="AO4" s="379" t="s">
        <v>95</v>
      </c>
      <c r="AP4" s="380"/>
      <c r="AQ4" s="380"/>
      <c r="AR4" s="381"/>
      <c r="AS4" s="382" t="s">
        <v>91</v>
      </c>
      <c r="AT4" s="379" t="s">
        <v>95</v>
      </c>
      <c r="AU4" s="380"/>
      <c r="AV4" s="380"/>
      <c r="AW4" s="381"/>
      <c r="AX4" s="382" t="s">
        <v>91</v>
      </c>
    </row>
    <row r="5" spans="1:50">
      <c r="A5" s="83"/>
      <c r="B5" s="382"/>
      <c r="C5" s="382"/>
      <c r="D5" s="382"/>
      <c r="E5" s="382" t="s">
        <v>96</v>
      </c>
      <c r="F5" s="382"/>
      <c r="G5" s="382"/>
      <c r="H5" s="389"/>
      <c r="I5" s="382" t="s">
        <v>96</v>
      </c>
      <c r="J5" s="382"/>
      <c r="K5" s="382"/>
      <c r="L5" s="389"/>
      <c r="M5" s="391"/>
      <c r="N5" s="382"/>
      <c r="O5" s="382"/>
      <c r="P5" s="379" t="s">
        <v>97</v>
      </c>
      <c r="Q5" s="380"/>
      <c r="R5" s="380"/>
      <c r="S5" s="381"/>
      <c r="T5" s="382"/>
      <c r="U5" s="379" t="s">
        <v>97</v>
      </c>
      <c r="V5" s="380"/>
      <c r="W5" s="380"/>
      <c r="X5" s="381"/>
      <c r="Y5" s="382"/>
      <c r="Z5" s="379" t="s">
        <v>97</v>
      </c>
      <c r="AA5" s="380"/>
      <c r="AB5" s="380"/>
      <c r="AC5" s="381"/>
      <c r="AD5" s="382"/>
      <c r="AE5" s="379" t="s">
        <v>97</v>
      </c>
      <c r="AF5" s="380"/>
      <c r="AG5" s="380"/>
      <c r="AH5" s="381"/>
      <c r="AI5" s="382"/>
      <c r="AJ5" s="379" t="s">
        <v>97</v>
      </c>
      <c r="AK5" s="380"/>
      <c r="AL5" s="380"/>
      <c r="AM5" s="381"/>
      <c r="AN5" s="382"/>
      <c r="AO5" s="379" t="s">
        <v>97</v>
      </c>
      <c r="AP5" s="380"/>
      <c r="AQ5" s="380"/>
      <c r="AR5" s="381"/>
      <c r="AS5" s="382"/>
      <c r="AT5" s="379" t="s">
        <v>97</v>
      </c>
      <c r="AU5" s="380"/>
      <c r="AV5" s="380"/>
      <c r="AW5" s="381"/>
      <c r="AX5" s="382"/>
    </row>
    <row r="6" spans="1:50">
      <c r="A6" s="81"/>
      <c r="B6" s="382"/>
      <c r="C6" s="382"/>
      <c r="D6" s="382"/>
      <c r="E6" s="109" t="s">
        <v>98</v>
      </c>
      <c r="F6" s="109" t="s">
        <v>99</v>
      </c>
      <c r="G6" s="109" t="s">
        <v>100</v>
      </c>
      <c r="H6" s="390"/>
      <c r="I6" s="109" t="s">
        <v>98</v>
      </c>
      <c r="J6" s="109" t="s">
        <v>99</v>
      </c>
      <c r="K6" s="109" t="s">
        <v>100</v>
      </c>
      <c r="L6" s="390"/>
      <c r="M6" s="378"/>
      <c r="N6" s="382"/>
      <c r="O6" s="382"/>
      <c r="P6" s="109" t="s">
        <v>98</v>
      </c>
      <c r="Q6" s="109" t="s">
        <v>99</v>
      </c>
      <c r="R6" s="109" t="s">
        <v>100</v>
      </c>
      <c r="S6" s="109" t="s">
        <v>93</v>
      </c>
      <c r="T6" s="382"/>
      <c r="U6" s="109" t="s">
        <v>98</v>
      </c>
      <c r="V6" s="109" t="s">
        <v>99</v>
      </c>
      <c r="W6" s="109" t="s">
        <v>100</v>
      </c>
      <c r="X6" s="109" t="s">
        <v>93</v>
      </c>
      <c r="Y6" s="382"/>
      <c r="Z6" s="109" t="s">
        <v>98</v>
      </c>
      <c r="AA6" s="109" t="s">
        <v>99</v>
      </c>
      <c r="AB6" s="109" t="s">
        <v>100</v>
      </c>
      <c r="AC6" s="109" t="s">
        <v>93</v>
      </c>
      <c r="AD6" s="382"/>
      <c r="AE6" s="109" t="s">
        <v>98</v>
      </c>
      <c r="AF6" s="109" t="s">
        <v>99</v>
      </c>
      <c r="AG6" s="109" t="s">
        <v>100</v>
      </c>
      <c r="AH6" s="109" t="s">
        <v>93</v>
      </c>
      <c r="AI6" s="382"/>
      <c r="AJ6" s="109" t="s">
        <v>98</v>
      </c>
      <c r="AK6" s="109" t="s">
        <v>99</v>
      </c>
      <c r="AL6" s="109" t="s">
        <v>100</v>
      </c>
      <c r="AM6" s="109" t="s">
        <v>93</v>
      </c>
      <c r="AN6" s="382"/>
      <c r="AO6" s="109" t="s">
        <v>98</v>
      </c>
      <c r="AP6" s="109" t="s">
        <v>99</v>
      </c>
      <c r="AQ6" s="109" t="s">
        <v>100</v>
      </c>
      <c r="AR6" s="109" t="s">
        <v>93</v>
      </c>
      <c r="AS6" s="382"/>
      <c r="AT6" s="109" t="s">
        <v>98</v>
      </c>
      <c r="AU6" s="109" t="s">
        <v>99</v>
      </c>
      <c r="AV6" s="109" t="s">
        <v>100</v>
      </c>
      <c r="AW6" s="109" t="s">
        <v>93</v>
      </c>
      <c r="AX6" s="382"/>
    </row>
    <row r="7" spans="1:50">
      <c r="A7" s="83"/>
      <c r="B7" s="383" t="s">
        <v>120</v>
      </c>
      <c r="C7" s="110">
        <v>1</v>
      </c>
      <c r="D7" s="110"/>
      <c r="E7" s="184"/>
      <c r="F7" s="110"/>
      <c r="G7" s="182"/>
      <c r="H7" s="384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384" t="e">
        <f>AVERAGE(K7:K21)</f>
        <v>#DIV/0!</v>
      </c>
      <c r="M7" s="212" t="e">
        <f>RANK(K7, K$7:$K$21)</f>
        <v>#DIV/0!</v>
      </c>
      <c r="N7" s="382"/>
      <c r="O7" s="382"/>
      <c r="P7" s="184"/>
      <c r="Q7" s="184"/>
      <c r="R7" s="182"/>
      <c r="S7" s="110" t="e">
        <f>RANK(R7, R$7:R$21)</f>
        <v>#N/A</v>
      </c>
      <c r="T7" s="387" t="e">
        <f>AVERAGE(R7:R21)</f>
        <v>#DIV/0!</v>
      </c>
      <c r="U7" s="184"/>
      <c r="V7" s="184"/>
      <c r="W7" s="182"/>
      <c r="X7" s="110" t="e">
        <f>RANK(W7, W$7:W$21)</f>
        <v>#N/A</v>
      </c>
      <c r="Y7" s="387" t="e">
        <f>AVERAGE(W7:W21)</f>
        <v>#DIV/0!</v>
      </c>
      <c r="Z7" s="110"/>
      <c r="AA7" s="184"/>
      <c r="AB7" s="182"/>
      <c r="AC7" s="110" t="e">
        <f>RANK(AB7, AB$7:AB$21)</f>
        <v>#N/A</v>
      </c>
      <c r="AD7" s="387" t="e">
        <f>AVERAGE(AB7:AB21)</f>
        <v>#DIV/0!</v>
      </c>
      <c r="AE7" s="184"/>
      <c r="AF7" s="184"/>
      <c r="AG7" s="182"/>
      <c r="AH7" s="110" t="e">
        <f>RANK(AG7, AG$7:AG$21)</f>
        <v>#N/A</v>
      </c>
      <c r="AI7" s="387" t="e">
        <f>AVERAGE(AG7:AG21)</f>
        <v>#DIV/0!</v>
      </c>
      <c r="AJ7" s="110"/>
      <c r="AK7" s="184"/>
      <c r="AL7" s="182"/>
      <c r="AM7" s="110" t="e">
        <f>RANK(AL7, AL$7:AL$21)</f>
        <v>#N/A</v>
      </c>
      <c r="AN7" s="387" t="e">
        <f>AVERAGE(AL7:AL21)</f>
        <v>#DIV/0!</v>
      </c>
      <c r="AO7" s="110"/>
      <c r="AP7" s="184"/>
      <c r="AQ7" s="182"/>
      <c r="AR7" s="110" t="e">
        <f>RANK(AQ7, AQ$7:AQ$21)</f>
        <v>#N/A</v>
      </c>
      <c r="AS7" s="387" t="e">
        <f>AVERAGE(AQ7:AQ21)</f>
        <v>#DIV/0!</v>
      </c>
      <c r="AT7" s="110"/>
      <c r="AU7" s="184"/>
      <c r="AV7" s="182"/>
      <c r="AW7" s="110" t="e">
        <f>RANK(AV7, AV$7:AV$21)</f>
        <v>#N/A</v>
      </c>
      <c r="AX7" s="387" t="e">
        <f>AVERAGE(AV7:AV21)</f>
        <v>#DIV/0!</v>
      </c>
    </row>
    <row r="8" spans="1:50" ht="15" customHeight="1">
      <c r="A8" s="83"/>
      <c r="B8" s="373"/>
      <c r="C8" s="110">
        <v>2</v>
      </c>
      <c r="D8" s="110"/>
      <c r="E8" s="184"/>
      <c r="F8" s="110"/>
      <c r="G8" s="182"/>
      <c r="H8" s="385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385"/>
      <c r="M8" s="212" t="e">
        <f>RANK(K8, K$7:$K$21)</f>
        <v>#DIV/0!</v>
      </c>
      <c r="N8" s="382"/>
      <c r="O8" s="382"/>
      <c r="P8" s="184"/>
      <c r="Q8" s="184"/>
      <c r="R8" s="182"/>
      <c r="S8" s="110" t="e">
        <f t="shared" ref="S8:S21" si="1">RANK(R8, R$7:R$21)</f>
        <v>#N/A</v>
      </c>
      <c r="T8" s="387"/>
      <c r="U8" s="184"/>
      <c r="V8" s="184"/>
      <c r="W8" s="182"/>
      <c r="X8" s="110" t="e">
        <f t="shared" ref="X8:X21" si="2">RANK(W8, W$7:W$21)</f>
        <v>#N/A</v>
      </c>
      <c r="Y8" s="387"/>
      <c r="Z8" s="110"/>
      <c r="AA8" s="184"/>
      <c r="AB8" s="182"/>
      <c r="AC8" s="110" t="e">
        <f t="shared" ref="AC8:AC21" si="3">RANK(AB8, AB$7:AB$21)</f>
        <v>#N/A</v>
      </c>
      <c r="AD8" s="387"/>
      <c r="AE8" s="184"/>
      <c r="AF8" s="184"/>
      <c r="AG8" s="182"/>
      <c r="AH8" s="110" t="e">
        <f t="shared" ref="AH8:AH21" si="4">RANK(AG8, AG$7:AG$21)</f>
        <v>#N/A</v>
      </c>
      <c r="AI8" s="387"/>
      <c r="AJ8" s="110"/>
      <c r="AK8" s="184"/>
      <c r="AL8" s="182"/>
      <c r="AM8" s="110" t="e">
        <f t="shared" ref="AM8:AM21" si="5">RANK(AL8, AL$7:AL$21)</f>
        <v>#N/A</v>
      </c>
      <c r="AN8" s="387"/>
      <c r="AO8" s="110"/>
      <c r="AP8" s="184"/>
      <c r="AQ8" s="182"/>
      <c r="AR8" s="110" t="e">
        <f t="shared" ref="AR8:AR21" si="6">RANK(AQ8, AQ$7:AQ$21)</f>
        <v>#N/A</v>
      </c>
      <c r="AS8" s="387"/>
      <c r="AT8" s="110"/>
      <c r="AU8" s="184"/>
      <c r="AV8" s="182"/>
      <c r="AW8" s="110" t="e">
        <f t="shared" ref="AW8:AW21" si="7">RANK(AV8, AV$7:AV$21)</f>
        <v>#N/A</v>
      </c>
      <c r="AX8" s="387"/>
    </row>
    <row r="9" spans="1:50">
      <c r="A9" s="83"/>
      <c r="B9" s="373"/>
      <c r="C9" s="110">
        <v>3</v>
      </c>
      <c r="D9" s="110"/>
      <c r="E9" s="184"/>
      <c r="F9" s="110"/>
      <c r="G9" s="182"/>
      <c r="H9" s="385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385"/>
      <c r="M9" s="212" t="e">
        <f>RANK(K9, K$7:$K$21)</f>
        <v>#DIV/0!</v>
      </c>
      <c r="N9" s="382"/>
      <c r="O9" s="382"/>
      <c r="P9" s="184"/>
      <c r="Q9" s="184"/>
      <c r="R9" s="182"/>
      <c r="S9" s="110" t="e">
        <f t="shared" si="1"/>
        <v>#N/A</v>
      </c>
      <c r="T9" s="387"/>
      <c r="U9" s="184"/>
      <c r="V9" s="184"/>
      <c r="W9" s="182"/>
      <c r="X9" s="110" t="e">
        <f t="shared" si="2"/>
        <v>#N/A</v>
      </c>
      <c r="Y9" s="387"/>
      <c r="Z9" s="110"/>
      <c r="AA9" s="184"/>
      <c r="AB9" s="182"/>
      <c r="AC9" s="110" t="e">
        <f t="shared" si="3"/>
        <v>#N/A</v>
      </c>
      <c r="AD9" s="387"/>
      <c r="AE9" s="184"/>
      <c r="AF9" s="184"/>
      <c r="AG9" s="182"/>
      <c r="AH9" s="110" t="e">
        <f t="shared" si="4"/>
        <v>#N/A</v>
      </c>
      <c r="AI9" s="387"/>
      <c r="AJ9" s="110"/>
      <c r="AK9" s="184"/>
      <c r="AL9" s="182"/>
      <c r="AM9" s="110" t="e">
        <f t="shared" si="5"/>
        <v>#N/A</v>
      </c>
      <c r="AN9" s="387"/>
      <c r="AO9" s="110"/>
      <c r="AP9" s="184"/>
      <c r="AQ9" s="182"/>
      <c r="AR9" s="110" t="e">
        <f t="shared" si="6"/>
        <v>#N/A</v>
      </c>
      <c r="AS9" s="387"/>
      <c r="AT9" s="110"/>
      <c r="AU9" s="184"/>
      <c r="AV9" s="182"/>
      <c r="AW9" s="110" t="e">
        <f t="shared" si="7"/>
        <v>#N/A</v>
      </c>
      <c r="AX9" s="387"/>
    </row>
    <row r="10" spans="1:50">
      <c r="A10" s="83"/>
      <c r="B10" s="373"/>
      <c r="C10" s="110">
        <v>4</v>
      </c>
      <c r="D10" s="110"/>
      <c r="E10" s="184"/>
      <c r="F10" s="110"/>
      <c r="G10" s="182"/>
      <c r="H10" s="385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385"/>
      <c r="M10" s="212" t="e">
        <f>RANK(K10, K$7:$K$21)</f>
        <v>#DIV/0!</v>
      </c>
      <c r="N10" s="382"/>
      <c r="O10" s="382"/>
      <c r="P10" s="184"/>
      <c r="Q10" s="184"/>
      <c r="R10" s="182"/>
      <c r="S10" s="110" t="e">
        <f t="shared" si="1"/>
        <v>#N/A</v>
      </c>
      <c r="T10" s="387"/>
      <c r="U10" s="184"/>
      <c r="V10" s="184"/>
      <c r="W10" s="182"/>
      <c r="X10" s="110" t="e">
        <f t="shared" si="2"/>
        <v>#N/A</v>
      </c>
      <c r="Y10" s="387"/>
      <c r="Z10" s="110"/>
      <c r="AA10" s="184"/>
      <c r="AB10" s="182"/>
      <c r="AC10" s="110" t="e">
        <f t="shared" si="3"/>
        <v>#N/A</v>
      </c>
      <c r="AD10" s="387"/>
      <c r="AE10" s="184"/>
      <c r="AF10" s="184"/>
      <c r="AG10" s="182"/>
      <c r="AH10" s="110" t="e">
        <f t="shared" si="4"/>
        <v>#N/A</v>
      </c>
      <c r="AI10" s="387"/>
      <c r="AJ10" s="110"/>
      <c r="AK10" s="184"/>
      <c r="AL10" s="182"/>
      <c r="AM10" s="110" t="e">
        <f t="shared" si="5"/>
        <v>#N/A</v>
      </c>
      <c r="AN10" s="387"/>
      <c r="AO10" s="110"/>
      <c r="AP10" s="184"/>
      <c r="AQ10" s="182"/>
      <c r="AR10" s="110" t="e">
        <f t="shared" si="6"/>
        <v>#N/A</v>
      </c>
      <c r="AS10" s="387"/>
      <c r="AT10" s="110"/>
      <c r="AU10" s="184"/>
      <c r="AV10" s="182"/>
      <c r="AW10" s="110" t="e">
        <f t="shared" si="7"/>
        <v>#N/A</v>
      </c>
      <c r="AX10" s="387"/>
    </row>
    <row r="11" spans="1:50">
      <c r="A11" s="83"/>
      <c r="B11" s="373"/>
      <c r="C11" s="110">
        <v>5</v>
      </c>
      <c r="D11" s="110"/>
      <c r="E11" s="184"/>
      <c r="F11" s="110"/>
      <c r="G11" s="182"/>
      <c r="H11" s="385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385"/>
      <c r="M11" s="212" t="e">
        <f>RANK(K11, K$7:$K$21)</f>
        <v>#DIV/0!</v>
      </c>
      <c r="N11" s="382"/>
      <c r="O11" s="382"/>
      <c r="P11" s="184"/>
      <c r="Q11" s="184"/>
      <c r="R11" s="182"/>
      <c r="S11" s="110" t="e">
        <f t="shared" si="1"/>
        <v>#N/A</v>
      </c>
      <c r="T11" s="387"/>
      <c r="U11" s="184"/>
      <c r="V11" s="184"/>
      <c r="W11" s="182"/>
      <c r="X11" s="110" t="e">
        <f t="shared" si="2"/>
        <v>#N/A</v>
      </c>
      <c r="Y11" s="387"/>
      <c r="Z11" s="110"/>
      <c r="AA11" s="184"/>
      <c r="AB11" s="182"/>
      <c r="AC11" s="110" t="e">
        <f t="shared" si="3"/>
        <v>#N/A</v>
      </c>
      <c r="AD11" s="387"/>
      <c r="AE11" s="184"/>
      <c r="AF11" s="184"/>
      <c r="AG11" s="182"/>
      <c r="AH11" s="110" t="e">
        <f t="shared" si="4"/>
        <v>#N/A</v>
      </c>
      <c r="AI11" s="387"/>
      <c r="AJ11" s="110"/>
      <c r="AK11" s="184"/>
      <c r="AL11" s="182"/>
      <c r="AM11" s="110" t="e">
        <f t="shared" si="5"/>
        <v>#N/A</v>
      </c>
      <c r="AN11" s="387"/>
      <c r="AO11" s="110"/>
      <c r="AP11" s="184"/>
      <c r="AQ11" s="182"/>
      <c r="AR11" s="110" t="e">
        <f t="shared" si="6"/>
        <v>#N/A</v>
      </c>
      <c r="AS11" s="387"/>
      <c r="AT11" s="110"/>
      <c r="AU11" s="184"/>
      <c r="AV11" s="182"/>
      <c r="AW11" s="110" t="e">
        <f t="shared" si="7"/>
        <v>#N/A</v>
      </c>
      <c r="AX11" s="387"/>
    </row>
    <row r="12" spans="1:50">
      <c r="A12" s="83"/>
      <c r="B12" s="373"/>
      <c r="C12" s="110">
        <v>6</v>
      </c>
      <c r="D12" s="110"/>
      <c r="E12" s="184"/>
      <c r="F12" s="110"/>
      <c r="G12" s="182"/>
      <c r="H12" s="385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385"/>
      <c r="M12" s="212" t="e">
        <f>RANK(K12, K$7:$K$21)</f>
        <v>#DIV/0!</v>
      </c>
      <c r="N12" s="382"/>
      <c r="O12" s="382"/>
      <c r="P12" s="184"/>
      <c r="Q12" s="184"/>
      <c r="R12" s="182"/>
      <c r="S12" s="110" t="e">
        <f t="shared" si="1"/>
        <v>#N/A</v>
      </c>
      <c r="T12" s="387"/>
      <c r="U12" s="184"/>
      <c r="V12" s="184"/>
      <c r="W12" s="182"/>
      <c r="X12" s="110" t="e">
        <f t="shared" si="2"/>
        <v>#N/A</v>
      </c>
      <c r="Y12" s="387"/>
      <c r="Z12" s="110"/>
      <c r="AA12" s="184"/>
      <c r="AB12" s="182"/>
      <c r="AC12" s="110" t="e">
        <f t="shared" si="3"/>
        <v>#N/A</v>
      </c>
      <c r="AD12" s="387"/>
      <c r="AE12" s="184"/>
      <c r="AF12" s="184"/>
      <c r="AG12" s="182"/>
      <c r="AH12" s="110" t="e">
        <f t="shared" si="4"/>
        <v>#N/A</v>
      </c>
      <c r="AI12" s="387"/>
      <c r="AJ12" s="110"/>
      <c r="AK12" s="184"/>
      <c r="AL12" s="182"/>
      <c r="AM12" s="110" t="e">
        <f t="shared" si="5"/>
        <v>#N/A</v>
      </c>
      <c r="AN12" s="387"/>
      <c r="AO12" s="110"/>
      <c r="AP12" s="184"/>
      <c r="AQ12" s="182"/>
      <c r="AR12" s="110" t="e">
        <f t="shared" si="6"/>
        <v>#N/A</v>
      </c>
      <c r="AS12" s="387"/>
      <c r="AT12" s="110"/>
      <c r="AU12" s="184"/>
      <c r="AV12" s="182"/>
      <c r="AW12" s="110" t="e">
        <f t="shared" si="7"/>
        <v>#N/A</v>
      </c>
      <c r="AX12" s="387"/>
    </row>
    <row r="13" spans="1:50">
      <c r="A13" s="83"/>
      <c r="B13" s="373"/>
      <c r="C13" s="110">
        <v>7</v>
      </c>
      <c r="D13" s="110"/>
      <c r="E13" s="184"/>
      <c r="F13" s="110"/>
      <c r="G13" s="182"/>
      <c r="H13" s="385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385"/>
      <c r="M13" s="212" t="e">
        <f>RANK(K13, K$7:$K$21)</f>
        <v>#DIV/0!</v>
      </c>
      <c r="N13" s="382"/>
      <c r="O13" s="382"/>
      <c r="P13" s="184"/>
      <c r="Q13" s="184"/>
      <c r="R13" s="182"/>
      <c r="S13" s="110" t="e">
        <f t="shared" si="1"/>
        <v>#N/A</v>
      </c>
      <c r="T13" s="387"/>
      <c r="U13" s="184"/>
      <c r="V13" s="184"/>
      <c r="W13" s="182"/>
      <c r="X13" s="110" t="e">
        <f t="shared" si="2"/>
        <v>#N/A</v>
      </c>
      <c r="Y13" s="387"/>
      <c r="Z13" s="110"/>
      <c r="AA13" s="184"/>
      <c r="AB13" s="182"/>
      <c r="AC13" s="110" t="e">
        <f t="shared" si="3"/>
        <v>#N/A</v>
      </c>
      <c r="AD13" s="387"/>
      <c r="AE13" s="184"/>
      <c r="AF13" s="184"/>
      <c r="AG13" s="182"/>
      <c r="AH13" s="110" t="e">
        <f t="shared" si="4"/>
        <v>#N/A</v>
      </c>
      <c r="AI13" s="387"/>
      <c r="AJ13" s="110"/>
      <c r="AK13" s="184"/>
      <c r="AL13" s="182"/>
      <c r="AM13" s="110" t="e">
        <f t="shared" si="5"/>
        <v>#N/A</v>
      </c>
      <c r="AN13" s="387"/>
      <c r="AO13" s="110"/>
      <c r="AP13" s="184"/>
      <c r="AQ13" s="182"/>
      <c r="AR13" s="110" t="e">
        <f t="shared" si="6"/>
        <v>#N/A</v>
      </c>
      <c r="AS13" s="387"/>
      <c r="AT13" s="110"/>
      <c r="AU13" s="184"/>
      <c r="AV13" s="182"/>
      <c r="AW13" s="110" t="e">
        <f t="shared" si="7"/>
        <v>#N/A</v>
      </c>
      <c r="AX13" s="387"/>
    </row>
    <row r="14" spans="1:50">
      <c r="A14" s="83"/>
      <c r="B14" s="373"/>
      <c r="C14" s="110">
        <v>8</v>
      </c>
      <c r="D14" s="110"/>
      <c r="E14" s="184"/>
      <c r="F14" s="110"/>
      <c r="G14" s="182"/>
      <c r="H14" s="385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385"/>
      <c r="M14" s="212" t="e">
        <f>RANK(K14, K$7:$K$21)</f>
        <v>#DIV/0!</v>
      </c>
      <c r="N14" s="382"/>
      <c r="O14" s="382"/>
      <c r="P14" s="184"/>
      <c r="Q14" s="184"/>
      <c r="R14" s="182"/>
      <c r="S14" s="110" t="e">
        <f t="shared" si="1"/>
        <v>#N/A</v>
      </c>
      <c r="T14" s="387"/>
      <c r="U14" s="184"/>
      <c r="V14" s="184"/>
      <c r="W14" s="182"/>
      <c r="X14" s="110" t="e">
        <f t="shared" si="2"/>
        <v>#N/A</v>
      </c>
      <c r="Y14" s="387"/>
      <c r="Z14" s="110"/>
      <c r="AA14" s="184"/>
      <c r="AB14" s="182"/>
      <c r="AC14" s="110" t="e">
        <f t="shared" si="3"/>
        <v>#N/A</v>
      </c>
      <c r="AD14" s="387"/>
      <c r="AE14" s="184"/>
      <c r="AF14" s="184"/>
      <c r="AG14" s="182"/>
      <c r="AH14" s="110" t="e">
        <f t="shared" si="4"/>
        <v>#N/A</v>
      </c>
      <c r="AI14" s="387"/>
      <c r="AJ14" s="110"/>
      <c r="AK14" s="184"/>
      <c r="AL14" s="182"/>
      <c r="AM14" s="110" t="e">
        <f t="shared" si="5"/>
        <v>#N/A</v>
      </c>
      <c r="AN14" s="387"/>
      <c r="AO14" s="110"/>
      <c r="AP14" s="184"/>
      <c r="AQ14" s="182"/>
      <c r="AR14" s="110" t="e">
        <f t="shared" si="6"/>
        <v>#N/A</v>
      </c>
      <c r="AS14" s="387"/>
      <c r="AT14" s="110"/>
      <c r="AU14" s="184"/>
      <c r="AV14" s="182"/>
      <c r="AW14" s="110" t="e">
        <f t="shared" si="7"/>
        <v>#N/A</v>
      </c>
      <c r="AX14" s="387"/>
    </row>
    <row r="15" spans="1:50">
      <c r="A15" s="83"/>
      <c r="B15" s="373"/>
      <c r="C15" s="110">
        <v>9</v>
      </c>
      <c r="D15" s="110"/>
      <c r="E15" s="184"/>
      <c r="F15" s="110"/>
      <c r="G15" s="182"/>
      <c r="H15" s="385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385"/>
      <c r="M15" s="212" t="e">
        <f>RANK(K15, K$7:$K$21)</f>
        <v>#DIV/0!</v>
      </c>
      <c r="N15" s="382"/>
      <c r="O15" s="382"/>
      <c r="P15" s="184"/>
      <c r="Q15" s="184"/>
      <c r="R15" s="182"/>
      <c r="S15" s="110" t="e">
        <f t="shared" si="1"/>
        <v>#N/A</v>
      </c>
      <c r="T15" s="387"/>
      <c r="U15" s="184"/>
      <c r="V15" s="184"/>
      <c r="W15" s="182"/>
      <c r="X15" s="110" t="e">
        <f t="shared" si="2"/>
        <v>#N/A</v>
      </c>
      <c r="Y15" s="387"/>
      <c r="Z15" s="110"/>
      <c r="AA15" s="184"/>
      <c r="AB15" s="182"/>
      <c r="AC15" s="110" t="e">
        <f t="shared" si="3"/>
        <v>#N/A</v>
      </c>
      <c r="AD15" s="387"/>
      <c r="AE15" s="184"/>
      <c r="AF15" s="184"/>
      <c r="AG15" s="182"/>
      <c r="AH15" s="110" t="e">
        <f t="shared" si="4"/>
        <v>#N/A</v>
      </c>
      <c r="AI15" s="387"/>
      <c r="AJ15" s="110"/>
      <c r="AK15" s="184"/>
      <c r="AL15" s="182"/>
      <c r="AM15" s="110" t="e">
        <f t="shared" si="5"/>
        <v>#N/A</v>
      </c>
      <c r="AN15" s="387"/>
      <c r="AO15" s="110"/>
      <c r="AP15" s="184"/>
      <c r="AQ15" s="182"/>
      <c r="AR15" s="110" t="e">
        <f t="shared" si="6"/>
        <v>#N/A</v>
      </c>
      <c r="AS15" s="387"/>
      <c r="AT15" s="110"/>
      <c r="AU15" s="184"/>
      <c r="AV15" s="182"/>
      <c r="AW15" s="110" t="e">
        <f t="shared" si="7"/>
        <v>#N/A</v>
      </c>
      <c r="AX15" s="387"/>
    </row>
    <row r="16" spans="1:50">
      <c r="A16" s="83"/>
      <c r="B16" s="373"/>
      <c r="C16" s="110">
        <v>10</v>
      </c>
      <c r="D16" s="110"/>
      <c r="E16" s="184"/>
      <c r="F16" s="110"/>
      <c r="G16" s="182"/>
      <c r="H16" s="385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385"/>
      <c r="M16" s="212" t="e">
        <f>RANK(K16, K$7:$K$21)</f>
        <v>#DIV/0!</v>
      </c>
      <c r="N16" s="382"/>
      <c r="O16" s="382"/>
      <c r="P16" s="184"/>
      <c r="Q16" s="184"/>
      <c r="R16" s="182"/>
      <c r="S16" s="110" t="e">
        <f t="shared" si="1"/>
        <v>#N/A</v>
      </c>
      <c r="T16" s="387"/>
      <c r="U16" s="184"/>
      <c r="V16" s="184"/>
      <c r="W16" s="182"/>
      <c r="X16" s="110" t="e">
        <f t="shared" si="2"/>
        <v>#N/A</v>
      </c>
      <c r="Y16" s="387"/>
      <c r="Z16" s="110"/>
      <c r="AA16" s="184"/>
      <c r="AB16" s="182"/>
      <c r="AC16" s="110" t="e">
        <f t="shared" si="3"/>
        <v>#N/A</v>
      </c>
      <c r="AD16" s="387"/>
      <c r="AE16" s="184"/>
      <c r="AF16" s="184"/>
      <c r="AG16" s="182"/>
      <c r="AH16" s="110" t="e">
        <f t="shared" si="4"/>
        <v>#N/A</v>
      </c>
      <c r="AI16" s="387"/>
      <c r="AJ16" s="110"/>
      <c r="AK16" s="184"/>
      <c r="AL16" s="182"/>
      <c r="AM16" s="110" t="e">
        <f t="shared" si="5"/>
        <v>#N/A</v>
      </c>
      <c r="AN16" s="387"/>
      <c r="AO16" s="110"/>
      <c r="AP16" s="184"/>
      <c r="AQ16" s="182"/>
      <c r="AR16" s="110" t="e">
        <f t="shared" si="6"/>
        <v>#N/A</v>
      </c>
      <c r="AS16" s="387"/>
      <c r="AT16" s="110"/>
      <c r="AU16" s="184"/>
      <c r="AV16" s="182"/>
      <c r="AW16" s="110" t="e">
        <f t="shared" si="7"/>
        <v>#N/A</v>
      </c>
      <c r="AX16" s="387"/>
    </row>
    <row r="17" spans="2:50">
      <c r="B17" s="373"/>
      <c r="C17" s="110">
        <v>11</v>
      </c>
      <c r="D17" s="110"/>
      <c r="E17" s="110"/>
      <c r="F17" s="110"/>
      <c r="G17" s="110"/>
      <c r="H17" s="385"/>
      <c r="I17" s="110"/>
      <c r="J17" s="110"/>
      <c r="K17" s="110"/>
      <c r="L17" s="385"/>
      <c r="M17" s="212" t="e">
        <f>RANK(K17, K$7:$K$21)</f>
        <v>#DIV/0!</v>
      </c>
      <c r="N17" s="382"/>
      <c r="O17" s="382"/>
      <c r="P17" s="110"/>
      <c r="Q17" s="110"/>
      <c r="R17" s="110"/>
      <c r="S17" s="110" t="e">
        <f t="shared" si="1"/>
        <v>#N/A</v>
      </c>
      <c r="T17" s="387"/>
      <c r="U17" s="110"/>
      <c r="V17" s="110"/>
      <c r="W17" s="110"/>
      <c r="X17" s="110" t="e">
        <f t="shared" si="2"/>
        <v>#N/A</v>
      </c>
      <c r="Y17" s="387"/>
      <c r="Z17" s="110"/>
      <c r="AA17" s="110"/>
      <c r="AB17" s="110"/>
      <c r="AC17" s="110" t="e">
        <f t="shared" si="3"/>
        <v>#N/A</v>
      </c>
      <c r="AD17" s="387"/>
      <c r="AE17" s="110"/>
      <c r="AF17" s="110"/>
      <c r="AG17" s="110"/>
      <c r="AH17" s="110" t="e">
        <f t="shared" si="4"/>
        <v>#N/A</v>
      </c>
      <c r="AI17" s="387"/>
      <c r="AJ17" s="110"/>
      <c r="AK17" s="110"/>
      <c r="AL17" s="110"/>
      <c r="AM17" s="110" t="e">
        <f t="shared" si="5"/>
        <v>#N/A</v>
      </c>
      <c r="AN17" s="387"/>
      <c r="AO17" s="110"/>
      <c r="AP17" s="110"/>
      <c r="AQ17" s="110"/>
      <c r="AR17" s="110" t="e">
        <f t="shared" si="6"/>
        <v>#N/A</v>
      </c>
      <c r="AS17" s="387"/>
      <c r="AT17" s="110"/>
      <c r="AU17" s="110"/>
      <c r="AV17" s="110"/>
      <c r="AW17" s="110" t="e">
        <f t="shared" si="7"/>
        <v>#N/A</v>
      </c>
      <c r="AX17" s="387"/>
    </row>
    <row r="18" spans="2:50">
      <c r="B18" s="373"/>
      <c r="C18" s="110">
        <v>12</v>
      </c>
      <c r="D18" s="110"/>
      <c r="E18" s="110"/>
      <c r="F18" s="110"/>
      <c r="G18" s="110"/>
      <c r="H18" s="385"/>
      <c r="I18" s="110"/>
      <c r="J18" s="110"/>
      <c r="K18" s="110"/>
      <c r="L18" s="385"/>
      <c r="M18" s="212" t="e">
        <f>RANK(K18, K$7:$K$21)</f>
        <v>#DIV/0!</v>
      </c>
      <c r="N18" s="382"/>
      <c r="O18" s="382"/>
      <c r="P18" s="110"/>
      <c r="Q18" s="110"/>
      <c r="R18" s="110"/>
      <c r="S18" s="110" t="e">
        <f t="shared" si="1"/>
        <v>#N/A</v>
      </c>
      <c r="T18" s="387"/>
      <c r="U18" s="110"/>
      <c r="V18" s="110"/>
      <c r="W18" s="110"/>
      <c r="X18" s="110" t="e">
        <f t="shared" si="2"/>
        <v>#N/A</v>
      </c>
      <c r="Y18" s="387"/>
      <c r="Z18" s="110"/>
      <c r="AA18" s="110"/>
      <c r="AB18" s="110"/>
      <c r="AC18" s="110" t="e">
        <f t="shared" si="3"/>
        <v>#N/A</v>
      </c>
      <c r="AD18" s="387"/>
      <c r="AE18" s="110"/>
      <c r="AF18" s="110"/>
      <c r="AG18" s="110"/>
      <c r="AH18" s="110" t="e">
        <f t="shared" si="4"/>
        <v>#N/A</v>
      </c>
      <c r="AI18" s="387"/>
      <c r="AJ18" s="110"/>
      <c r="AK18" s="110"/>
      <c r="AL18" s="110"/>
      <c r="AM18" s="110" t="e">
        <f t="shared" si="5"/>
        <v>#N/A</v>
      </c>
      <c r="AN18" s="387"/>
      <c r="AO18" s="110"/>
      <c r="AP18" s="110"/>
      <c r="AQ18" s="110"/>
      <c r="AR18" s="110" t="e">
        <f t="shared" si="6"/>
        <v>#N/A</v>
      </c>
      <c r="AS18" s="387"/>
      <c r="AT18" s="110"/>
      <c r="AU18" s="110"/>
      <c r="AV18" s="110"/>
      <c r="AW18" s="110" t="e">
        <f t="shared" si="7"/>
        <v>#N/A</v>
      </c>
      <c r="AX18" s="387"/>
    </row>
    <row r="19" spans="2:50">
      <c r="B19" s="373"/>
      <c r="C19" s="110">
        <v>13</v>
      </c>
      <c r="D19" s="110"/>
      <c r="E19" s="110"/>
      <c r="F19" s="110"/>
      <c r="G19" s="110"/>
      <c r="H19" s="385"/>
      <c r="I19" s="110"/>
      <c r="J19" s="110"/>
      <c r="K19" s="110"/>
      <c r="L19" s="385"/>
      <c r="M19" s="212" t="e">
        <f>RANK(K19, K$7:$K$21)</f>
        <v>#DIV/0!</v>
      </c>
      <c r="N19" s="382"/>
      <c r="O19" s="382"/>
      <c r="P19" s="110"/>
      <c r="Q19" s="110"/>
      <c r="R19" s="110"/>
      <c r="S19" s="110" t="e">
        <f t="shared" si="1"/>
        <v>#N/A</v>
      </c>
      <c r="T19" s="387"/>
      <c r="U19" s="110"/>
      <c r="V19" s="110"/>
      <c r="W19" s="110"/>
      <c r="X19" s="110" t="e">
        <f t="shared" si="2"/>
        <v>#N/A</v>
      </c>
      <c r="Y19" s="387"/>
      <c r="Z19" s="110"/>
      <c r="AA19" s="110"/>
      <c r="AB19" s="110"/>
      <c r="AC19" s="110" t="e">
        <f t="shared" si="3"/>
        <v>#N/A</v>
      </c>
      <c r="AD19" s="387"/>
      <c r="AE19" s="110"/>
      <c r="AF19" s="110"/>
      <c r="AG19" s="110"/>
      <c r="AH19" s="110" t="e">
        <f t="shared" si="4"/>
        <v>#N/A</v>
      </c>
      <c r="AI19" s="387"/>
      <c r="AJ19" s="110"/>
      <c r="AK19" s="110"/>
      <c r="AL19" s="110"/>
      <c r="AM19" s="110" t="e">
        <f t="shared" si="5"/>
        <v>#N/A</v>
      </c>
      <c r="AN19" s="387"/>
      <c r="AO19" s="110"/>
      <c r="AP19" s="110"/>
      <c r="AQ19" s="110"/>
      <c r="AR19" s="110" t="e">
        <f t="shared" si="6"/>
        <v>#N/A</v>
      </c>
      <c r="AS19" s="387"/>
      <c r="AT19" s="110"/>
      <c r="AU19" s="110"/>
      <c r="AV19" s="110"/>
      <c r="AW19" s="110" t="e">
        <f t="shared" si="7"/>
        <v>#N/A</v>
      </c>
      <c r="AX19" s="387"/>
    </row>
    <row r="20" spans="2:50">
      <c r="B20" s="373"/>
      <c r="C20" s="110">
        <v>14</v>
      </c>
      <c r="D20" s="110"/>
      <c r="E20" s="110"/>
      <c r="F20" s="110"/>
      <c r="G20" s="110"/>
      <c r="H20" s="385"/>
      <c r="I20" s="110"/>
      <c r="J20" s="110"/>
      <c r="K20" s="110"/>
      <c r="L20" s="385"/>
      <c r="M20" s="212" t="e">
        <f>RANK(K20, K$7:$K$21)</f>
        <v>#DIV/0!</v>
      </c>
      <c r="N20" s="382"/>
      <c r="O20" s="382"/>
      <c r="P20" s="110"/>
      <c r="Q20" s="110"/>
      <c r="R20" s="110"/>
      <c r="S20" s="110" t="e">
        <f t="shared" si="1"/>
        <v>#N/A</v>
      </c>
      <c r="T20" s="387"/>
      <c r="U20" s="110"/>
      <c r="V20" s="110"/>
      <c r="W20" s="110"/>
      <c r="X20" s="110" t="e">
        <f t="shared" si="2"/>
        <v>#N/A</v>
      </c>
      <c r="Y20" s="387"/>
      <c r="Z20" s="110"/>
      <c r="AA20" s="110"/>
      <c r="AB20" s="110"/>
      <c r="AC20" s="110" t="e">
        <f t="shared" si="3"/>
        <v>#N/A</v>
      </c>
      <c r="AD20" s="387"/>
      <c r="AE20" s="110"/>
      <c r="AF20" s="110"/>
      <c r="AG20" s="110"/>
      <c r="AH20" s="110" t="e">
        <f t="shared" si="4"/>
        <v>#N/A</v>
      </c>
      <c r="AI20" s="387"/>
      <c r="AJ20" s="110"/>
      <c r="AK20" s="110"/>
      <c r="AL20" s="110"/>
      <c r="AM20" s="110" t="e">
        <f t="shared" si="5"/>
        <v>#N/A</v>
      </c>
      <c r="AN20" s="387"/>
      <c r="AO20" s="110"/>
      <c r="AP20" s="110"/>
      <c r="AQ20" s="110"/>
      <c r="AR20" s="110" t="e">
        <f t="shared" si="6"/>
        <v>#N/A</v>
      </c>
      <c r="AS20" s="387"/>
      <c r="AT20" s="110"/>
      <c r="AU20" s="110"/>
      <c r="AV20" s="110"/>
      <c r="AW20" s="110" t="e">
        <f t="shared" si="7"/>
        <v>#N/A</v>
      </c>
      <c r="AX20" s="387"/>
    </row>
    <row r="21" spans="2:50">
      <c r="B21" s="373"/>
      <c r="C21" s="110">
        <v>15</v>
      </c>
      <c r="D21" s="110"/>
      <c r="E21" s="110"/>
      <c r="F21" s="110"/>
      <c r="G21" s="110"/>
      <c r="H21" s="386"/>
      <c r="I21" s="110"/>
      <c r="J21" s="110"/>
      <c r="K21" s="110"/>
      <c r="L21" s="386"/>
      <c r="M21" s="184" t="e">
        <f>RANK(K21, K$7:$K$21)</f>
        <v>#DIV/0!</v>
      </c>
      <c r="N21" s="382"/>
      <c r="O21" s="382"/>
      <c r="P21" s="110"/>
      <c r="Q21" s="110"/>
      <c r="R21" s="110"/>
      <c r="S21" s="110" t="e">
        <f t="shared" si="1"/>
        <v>#N/A</v>
      </c>
      <c r="T21" s="387"/>
      <c r="U21" s="110"/>
      <c r="V21" s="110"/>
      <c r="W21" s="110"/>
      <c r="X21" s="110" t="e">
        <f t="shared" si="2"/>
        <v>#N/A</v>
      </c>
      <c r="Y21" s="387"/>
      <c r="Z21" s="110"/>
      <c r="AA21" s="110"/>
      <c r="AB21" s="110"/>
      <c r="AC21" s="110" t="e">
        <f t="shared" si="3"/>
        <v>#N/A</v>
      </c>
      <c r="AD21" s="387"/>
      <c r="AE21" s="110"/>
      <c r="AF21" s="110"/>
      <c r="AG21" s="110"/>
      <c r="AH21" s="110" t="e">
        <f t="shared" si="4"/>
        <v>#N/A</v>
      </c>
      <c r="AI21" s="387"/>
      <c r="AJ21" s="110"/>
      <c r="AK21" s="110"/>
      <c r="AL21" s="110"/>
      <c r="AM21" s="110" t="e">
        <f t="shared" si="5"/>
        <v>#N/A</v>
      </c>
      <c r="AN21" s="387"/>
      <c r="AO21" s="110"/>
      <c r="AP21" s="110"/>
      <c r="AQ21" s="110"/>
      <c r="AR21" s="110" t="e">
        <f t="shared" si="6"/>
        <v>#N/A</v>
      </c>
      <c r="AS21" s="387"/>
      <c r="AT21" s="110"/>
      <c r="AU21" s="110"/>
      <c r="AV21" s="110"/>
      <c r="AW21" s="110" t="e">
        <f t="shared" si="7"/>
        <v>#N/A</v>
      </c>
      <c r="AX21" s="387"/>
    </row>
    <row r="22" spans="2:50" ht="15.75">
      <c r="B22" s="392" t="s">
        <v>86</v>
      </c>
      <c r="C22" s="393"/>
      <c r="D22" s="393"/>
      <c r="E22" s="393"/>
      <c r="F22" s="393"/>
      <c r="G22" s="393"/>
      <c r="H22" s="393"/>
      <c r="I22" s="183"/>
      <c r="J22" s="183"/>
      <c r="K22" s="183"/>
      <c r="L22" s="183"/>
      <c r="M22" s="179"/>
      <c r="N22" s="377" t="s">
        <v>87</v>
      </c>
      <c r="O22" s="377" t="s">
        <v>45</v>
      </c>
      <c r="P22" s="372">
        <v>45874</v>
      </c>
      <c r="Q22" s="373"/>
      <c r="R22" s="373"/>
      <c r="S22" s="373"/>
      <c r="T22" s="373"/>
      <c r="U22" s="372">
        <v>45875</v>
      </c>
      <c r="V22" s="373"/>
      <c r="W22" s="373"/>
      <c r="X22" s="373"/>
      <c r="Y22" s="373"/>
      <c r="Z22" s="372">
        <v>45876</v>
      </c>
      <c r="AA22" s="373"/>
      <c r="AB22" s="373"/>
      <c r="AC22" s="373"/>
      <c r="AD22" s="373"/>
      <c r="AE22" s="372">
        <v>45877</v>
      </c>
      <c r="AF22" s="373"/>
      <c r="AG22" s="373"/>
      <c r="AH22" s="373"/>
      <c r="AI22" s="373"/>
      <c r="AJ22" s="372">
        <v>45878</v>
      </c>
      <c r="AK22" s="373"/>
      <c r="AL22" s="373"/>
      <c r="AM22" s="373"/>
      <c r="AN22" s="373"/>
      <c r="AO22" s="372">
        <v>45879</v>
      </c>
      <c r="AP22" s="373"/>
      <c r="AQ22" s="373"/>
      <c r="AR22" s="373"/>
      <c r="AS22" s="373"/>
      <c r="AT22" s="372">
        <v>45880</v>
      </c>
      <c r="AU22" s="373"/>
      <c r="AV22" s="373"/>
      <c r="AW22" s="373"/>
      <c r="AX22" s="373"/>
    </row>
    <row r="23" spans="2:50" ht="15.75">
      <c r="B23" s="376"/>
      <c r="C23" s="376"/>
      <c r="D23" s="376"/>
      <c r="E23" s="376"/>
      <c r="F23" s="376"/>
      <c r="G23" s="376"/>
      <c r="H23" s="376"/>
      <c r="I23" s="180"/>
      <c r="J23" s="180"/>
      <c r="K23" s="180"/>
      <c r="L23" s="180"/>
      <c r="M23" s="181"/>
      <c r="N23" s="378"/>
      <c r="O23" s="378"/>
      <c r="P23" s="372" t="s">
        <v>57</v>
      </c>
      <c r="Q23" s="373"/>
      <c r="R23" s="373"/>
      <c r="S23" s="373"/>
      <c r="T23" s="373"/>
      <c r="U23" s="372" t="s">
        <v>58</v>
      </c>
      <c r="V23" s="373"/>
      <c r="W23" s="373"/>
      <c r="X23" s="373"/>
      <c r="Y23" s="373"/>
      <c r="Z23" s="372" t="s">
        <v>59</v>
      </c>
      <c r="AA23" s="373"/>
      <c r="AB23" s="373"/>
      <c r="AC23" s="373"/>
      <c r="AD23" s="373"/>
      <c r="AE23" s="372" t="s">
        <v>60</v>
      </c>
      <c r="AF23" s="373"/>
      <c r="AG23" s="373"/>
      <c r="AH23" s="373"/>
      <c r="AI23" s="373"/>
      <c r="AJ23" s="372" t="s">
        <v>61</v>
      </c>
      <c r="AK23" s="373"/>
      <c r="AL23" s="373"/>
      <c r="AM23" s="373"/>
      <c r="AN23" s="373"/>
      <c r="AO23" s="372" t="s">
        <v>52</v>
      </c>
      <c r="AP23" s="373"/>
      <c r="AQ23" s="373"/>
      <c r="AR23" s="373"/>
      <c r="AS23" s="373"/>
      <c r="AT23" s="372" t="s">
        <v>56</v>
      </c>
      <c r="AU23" s="373"/>
      <c r="AV23" s="373"/>
      <c r="AW23" s="373"/>
      <c r="AX23" s="373"/>
    </row>
    <row r="24" spans="2:50">
      <c r="B24" s="382" t="s">
        <v>88</v>
      </c>
      <c r="C24" s="382" t="s">
        <v>89</v>
      </c>
      <c r="D24" s="382"/>
      <c r="E24" s="382" t="s">
        <v>90</v>
      </c>
      <c r="F24" s="382"/>
      <c r="G24" s="382"/>
      <c r="H24" s="388" t="s">
        <v>91</v>
      </c>
      <c r="I24" s="382" t="s">
        <v>92</v>
      </c>
      <c r="J24" s="382"/>
      <c r="K24" s="382"/>
      <c r="L24" s="388" t="s">
        <v>91</v>
      </c>
      <c r="M24" s="377" t="s">
        <v>93</v>
      </c>
      <c r="N24" s="382"/>
      <c r="O24" s="382" t="s">
        <v>94</v>
      </c>
      <c r="P24" s="379" t="s">
        <v>95</v>
      </c>
      <c r="Q24" s="380"/>
      <c r="R24" s="380"/>
      <c r="S24" s="381"/>
      <c r="T24" s="382" t="s">
        <v>91</v>
      </c>
      <c r="U24" s="379" t="s">
        <v>95</v>
      </c>
      <c r="V24" s="380"/>
      <c r="W24" s="380"/>
      <c r="X24" s="381"/>
      <c r="Y24" s="382" t="s">
        <v>91</v>
      </c>
      <c r="Z24" s="379" t="s">
        <v>95</v>
      </c>
      <c r="AA24" s="380"/>
      <c r="AB24" s="380"/>
      <c r="AC24" s="381"/>
      <c r="AD24" s="382" t="s">
        <v>91</v>
      </c>
      <c r="AE24" s="379" t="s">
        <v>95</v>
      </c>
      <c r="AF24" s="380"/>
      <c r="AG24" s="380"/>
      <c r="AH24" s="381"/>
      <c r="AI24" s="382" t="s">
        <v>91</v>
      </c>
      <c r="AJ24" s="379" t="s">
        <v>95</v>
      </c>
      <c r="AK24" s="380"/>
      <c r="AL24" s="380"/>
      <c r="AM24" s="381"/>
      <c r="AN24" s="382" t="s">
        <v>91</v>
      </c>
      <c r="AO24" s="379" t="s">
        <v>95</v>
      </c>
      <c r="AP24" s="380"/>
      <c r="AQ24" s="380"/>
      <c r="AR24" s="381"/>
      <c r="AS24" s="382" t="s">
        <v>91</v>
      </c>
      <c r="AT24" s="379" t="s">
        <v>95</v>
      </c>
      <c r="AU24" s="380"/>
      <c r="AV24" s="380"/>
      <c r="AW24" s="381"/>
      <c r="AX24" s="382" t="s">
        <v>91</v>
      </c>
    </row>
    <row r="25" spans="2:50">
      <c r="B25" s="382"/>
      <c r="C25" s="382"/>
      <c r="D25" s="382"/>
      <c r="E25" s="382" t="s">
        <v>96</v>
      </c>
      <c r="F25" s="382"/>
      <c r="G25" s="382"/>
      <c r="H25" s="389"/>
      <c r="I25" s="382" t="s">
        <v>96</v>
      </c>
      <c r="J25" s="382"/>
      <c r="K25" s="382"/>
      <c r="L25" s="389"/>
      <c r="M25" s="391"/>
      <c r="N25" s="382"/>
      <c r="O25" s="382"/>
      <c r="P25" s="379" t="s">
        <v>97</v>
      </c>
      <c r="Q25" s="380"/>
      <c r="R25" s="380"/>
      <c r="S25" s="381"/>
      <c r="T25" s="382"/>
      <c r="U25" s="379" t="s">
        <v>97</v>
      </c>
      <c r="V25" s="380"/>
      <c r="W25" s="380"/>
      <c r="X25" s="381"/>
      <c r="Y25" s="382"/>
      <c r="Z25" s="379" t="s">
        <v>97</v>
      </c>
      <c r="AA25" s="380"/>
      <c r="AB25" s="380"/>
      <c r="AC25" s="381"/>
      <c r="AD25" s="382"/>
      <c r="AE25" s="379" t="s">
        <v>97</v>
      </c>
      <c r="AF25" s="380"/>
      <c r="AG25" s="380"/>
      <c r="AH25" s="381"/>
      <c r="AI25" s="382"/>
      <c r="AJ25" s="379" t="s">
        <v>97</v>
      </c>
      <c r="AK25" s="380"/>
      <c r="AL25" s="380"/>
      <c r="AM25" s="381"/>
      <c r="AN25" s="382"/>
      <c r="AO25" s="379" t="s">
        <v>97</v>
      </c>
      <c r="AP25" s="380"/>
      <c r="AQ25" s="380"/>
      <c r="AR25" s="381"/>
      <c r="AS25" s="382"/>
      <c r="AT25" s="379" t="s">
        <v>97</v>
      </c>
      <c r="AU25" s="380"/>
      <c r="AV25" s="380"/>
      <c r="AW25" s="381"/>
      <c r="AX25" s="382"/>
    </row>
    <row r="26" spans="2:50">
      <c r="B26" s="382"/>
      <c r="C26" s="382"/>
      <c r="D26" s="382"/>
      <c r="E26" s="109" t="s">
        <v>98</v>
      </c>
      <c r="F26" s="109" t="s">
        <v>99</v>
      </c>
      <c r="G26" s="109" t="s">
        <v>100</v>
      </c>
      <c r="H26" s="390"/>
      <c r="I26" s="109" t="s">
        <v>98</v>
      </c>
      <c r="J26" s="109" t="s">
        <v>99</v>
      </c>
      <c r="K26" s="109" t="s">
        <v>100</v>
      </c>
      <c r="L26" s="390"/>
      <c r="M26" s="378"/>
      <c r="N26" s="382"/>
      <c r="O26" s="382"/>
      <c r="P26" s="109" t="s">
        <v>98</v>
      </c>
      <c r="Q26" s="109" t="s">
        <v>99</v>
      </c>
      <c r="R26" s="109" t="s">
        <v>100</v>
      </c>
      <c r="S26" s="109" t="s">
        <v>93</v>
      </c>
      <c r="T26" s="382"/>
      <c r="U26" s="109" t="s">
        <v>98</v>
      </c>
      <c r="V26" s="109" t="s">
        <v>99</v>
      </c>
      <c r="W26" s="109" t="s">
        <v>100</v>
      </c>
      <c r="X26" s="109" t="s">
        <v>93</v>
      </c>
      <c r="Y26" s="382"/>
      <c r="Z26" s="109" t="s">
        <v>98</v>
      </c>
      <c r="AA26" s="109" t="s">
        <v>99</v>
      </c>
      <c r="AB26" s="109" t="s">
        <v>100</v>
      </c>
      <c r="AC26" s="109" t="s">
        <v>93</v>
      </c>
      <c r="AD26" s="382"/>
      <c r="AE26" s="109" t="s">
        <v>98</v>
      </c>
      <c r="AF26" s="109" t="s">
        <v>99</v>
      </c>
      <c r="AG26" s="109" t="s">
        <v>100</v>
      </c>
      <c r="AH26" s="109" t="s">
        <v>93</v>
      </c>
      <c r="AI26" s="382"/>
      <c r="AJ26" s="109" t="s">
        <v>98</v>
      </c>
      <c r="AK26" s="109" t="s">
        <v>99</v>
      </c>
      <c r="AL26" s="109" t="s">
        <v>100</v>
      </c>
      <c r="AM26" s="109" t="s">
        <v>93</v>
      </c>
      <c r="AN26" s="382"/>
      <c r="AO26" s="109" t="s">
        <v>98</v>
      </c>
      <c r="AP26" s="109" t="s">
        <v>99</v>
      </c>
      <c r="AQ26" s="109" t="s">
        <v>100</v>
      </c>
      <c r="AR26" s="109" t="s">
        <v>93</v>
      </c>
      <c r="AS26" s="382"/>
      <c r="AT26" s="109" t="s">
        <v>98</v>
      </c>
      <c r="AU26" s="109" t="s">
        <v>99</v>
      </c>
      <c r="AV26" s="109" t="s">
        <v>100</v>
      </c>
      <c r="AW26" s="109" t="s">
        <v>93</v>
      </c>
      <c r="AX26" s="382"/>
    </row>
    <row r="27" spans="2:50">
      <c r="B27" s="382" t="s">
        <v>121</v>
      </c>
      <c r="C27" s="110">
        <v>1</v>
      </c>
      <c r="D27" s="110"/>
      <c r="E27" s="110"/>
      <c r="F27" s="110"/>
      <c r="G27" s="110"/>
      <c r="H27" s="394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384" t="e">
        <f>AVERAGE(K27:K41)</f>
        <v>#DIV/0!</v>
      </c>
      <c r="M27" s="212" t="e">
        <f>RANK(K27, K$27:$K$41)</f>
        <v>#DIV/0!</v>
      </c>
      <c r="N27" s="382"/>
      <c r="O27" s="382"/>
      <c r="P27" s="110"/>
      <c r="Q27" s="110"/>
      <c r="R27" s="110"/>
      <c r="S27" s="110"/>
      <c r="T27" s="373" t="e">
        <f>AVERAGE(R27:R41)</f>
        <v>#DIV/0!</v>
      </c>
      <c r="U27" s="110"/>
      <c r="V27" s="110"/>
      <c r="W27" s="110"/>
      <c r="X27" s="110"/>
      <c r="Y27" s="373" t="e">
        <f>AVERAGE(W27:W41)</f>
        <v>#DIV/0!</v>
      </c>
      <c r="Z27" s="110"/>
      <c r="AA27" s="110"/>
      <c r="AB27" s="110"/>
      <c r="AC27" s="110"/>
      <c r="AD27" s="373" t="e">
        <f>AVERAGE(AB27:AB41)</f>
        <v>#DIV/0!</v>
      </c>
      <c r="AE27" s="110"/>
      <c r="AF27" s="110"/>
      <c r="AG27" s="110"/>
      <c r="AH27" s="110"/>
      <c r="AI27" s="373" t="e">
        <f>AVERAGE(AG27:AG41)</f>
        <v>#DIV/0!</v>
      </c>
      <c r="AJ27" s="110"/>
      <c r="AK27" s="110"/>
      <c r="AL27" s="110"/>
      <c r="AM27" s="110"/>
      <c r="AN27" s="373" t="e">
        <f>AVERAGE(AL27:AL41)</f>
        <v>#DIV/0!</v>
      </c>
      <c r="AO27" s="110"/>
      <c r="AP27" s="110"/>
      <c r="AQ27" s="110"/>
      <c r="AR27" s="110"/>
      <c r="AS27" s="373" t="e">
        <f>AVERAGE(AQ27:AQ41)</f>
        <v>#DIV/0!</v>
      </c>
      <c r="AT27" s="110"/>
      <c r="AU27" s="110"/>
      <c r="AV27" s="110"/>
      <c r="AW27" s="110"/>
      <c r="AX27" s="373" t="e">
        <f>AVERAGE(AV27:AV41)</f>
        <v>#DIV/0!</v>
      </c>
    </row>
    <row r="28" spans="2:50">
      <c r="B28" s="373"/>
      <c r="C28" s="110">
        <v>2</v>
      </c>
      <c r="D28" s="110"/>
      <c r="E28" s="110"/>
      <c r="F28" s="110"/>
      <c r="G28" s="110"/>
      <c r="H28" s="395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385"/>
      <c r="M28" s="212" t="e">
        <f>RANK(K28, K$27:$K$41)</f>
        <v>#DIV/0!</v>
      </c>
      <c r="N28" s="382"/>
      <c r="O28" s="382"/>
      <c r="P28" s="110"/>
      <c r="Q28" s="110"/>
      <c r="R28" s="110"/>
      <c r="S28" s="110"/>
      <c r="T28" s="373"/>
      <c r="U28" s="110"/>
      <c r="V28" s="110"/>
      <c r="W28" s="110"/>
      <c r="X28" s="110"/>
      <c r="Y28" s="373"/>
      <c r="Z28" s="110"/>
      <c r="AA28" s="110"/>
      <c r="AB28" s="110"/>
      <c r="AC28" s="110"/>
      <c r="AD28" s="373"/>
      <c r="AE28" s="110"/>
      <c r="AF28" s="110"/>
      <c r="AG28" s="110"/>
      <c r="AH28" s="110"/>
      <c r="AI28" s="373"/>
      <c r="AJ28" s="110"/>
      <c r="AK28" s="110"/>
      <c r="AL28" s="110"/>
      <c r="AM28" s="110"/>
      <c r="AN28" s="373"/>
      <c r="AO28" s="110"/>
      <c r="AP28" s="110"/>
      <c r="AQ28" s="110"/>
      <c r="AR28" s="110"/>
      <c r="AS28" s="373"/>
      <c r="AT28" s="110"/>
      <c r="AU28" s="110"/>
      <c r="AV28" s="110"/>
      <c r="AW28" s="110"/>
      <c r="AX28" s="373"/>
    </row>
    <row r="29" spans="2:50">
      <c r="B29" s="373"/>
      <c r="C29" s="110">
        <v>3</v>
      </c>
      <c r="D29" s="110"/>
      <c r="E29" s="110"/>
      <c r="F29" s="110"/>
      <c r="G29" s="110"/>
      <c r="H29" s="395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385"/>
      <c r="M29" s="212" t="e">
        <f>RANK(K29, K$27:$K$41)</f>
        <v>#DIV/0!</v>
      </c>
      <c r="N29" s="382"/>
      <c r="O29" s="382"/>
      <c r="P29" s="110"/>
      <c r="Q29" s="110"/>
      <c r="R29" s="110"/>
      <c r="S29" s="110"/>
      <c r="T29" s="373"/>
      <c r="U29" s="110"/>
      <c r="V29" s="110"/>
      <c r="W29" s="110"/>
      <c r="X29" s="110"/>
      <c r="Y29" s="373"/>
      <c r="Z29" s="110"/>
      <c r="AA29" s="110"/>
      <c r="AB29" s="110"/>
      <c r="AC29" s="110"/>
      <c r="AD29" s="373"/>
      <c r="AE29" s="110"/>
      <c r="AF29" s="110"/>
      <c r="AG29" s="110"/>
      <c r="AH29" s="110"/>
      <c r="AI29" s="373"/>
      <c r="AJ29" s="110"/>
      <c r="AK29" s="110"/>
      <c r="AL29" s="110"/>
      <c r="AM29" s="110"/>
      <c r="AN29" s="373"/>
      <c r="AO29" s="110"/>
      <c r="AP29" s="110"/>
      <c r="AQ29" s="110"/>
      <c r="AR29" s="110"/>
      <c r="AS29" s="373"/>
      <c r="AT29" s="110"/>
      <c r="AU29" s="110"/>
      <c r="AV29" s="110"/>
      <c r="AW29" s="110"/>
      <c r="AX29" s="373"/>
    </row>
    <row r="30" spans="2:50">
      <c r="B30" s="373"/>
      <c r="C30" s="110">
        <v>4</v>
      </c>
      <c r="D30" s="110"/>
      <c r="E30" s="110"/>
      <c r="F30" s="110"/>
      <c r="G30" s="110"/>
      <c r="H30" s="395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385"/>
      <c r="M30" s="212" t="e">
        <f>RANK(K30, K$27:$K$41)</f>
        <v>#DIV/0!</v>
      </c>
      <c r="N30" s="382"/>
      <c r="O30" s="382"/>
      <c r="P30" s="110"/>
      <c r="Q30" s="110"/>
      <c r="R30" s="110"/>
      <c r="S30" s="110"/>
      <c r="T30" s="373"/>
      <c r="U30" s="110"/>
      <c r="V30" s="110"/>
      <c r="W30" s="110"/>
      <c r="X30" s="110"/>
      <c r="Y30" s="373"/>
      <c r="Z30" s="110"/>
      <c r="AA30" s="110"/>
      <c r="AB30" s="110"/>
      <c r="AC30" s="110"/>
      <c r="AD30" s="373"/>
      <c r="AE30" s="110"/>
      <c r="AF30" s="110"/>
      <c r="AG30" s="110"/>
      <c r="AH30" s="110"/>
      <c r="AI30" s="373"/>
      <c r="AJ30" s="110"/>
      <c r="AK30" s="110"/>
      <c r="AL30" s="110"/>
      <c r="AM30" s="110"/>
      <c r="AN30" s="373"/>
      <c r="AO30" s="110"/>
      <c r="AP30" s="110"/>
      <c r="AQ30" s="110"/>
      <c r="AR30" s="110"/>
      <c r="AS30" s="373"/>
      <c r="AT30" s="110"/>
      <c r="AU30" s="110"/>
      <c r="AV30" s="110"/>
      <c r="AW30" s="110"/>
      <c r="AX30" s="373"/>
    </row>
    <row r="31" spans="2:50">
      <c r="B31" s="373"/>
      <c r="C31" s="110">
        <v>5</v>
      </c>
      <c r="D31" s="110"/>
      <c r="E31" s="110"/>
      <c r="F31" s="110"/>
      <c r="G31" s="110"/>
      <c r="H31" s="395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385"/>
      <c r="M31" s="212" t="e">
        <f>RANK(K31, K$27:$K$41)</f>
        <v>#DIV/0!</v>
      </c>
      <c r="N31" s="382"/>
      <c r="O31" s="382"/>
      <c r="P31" s="110"/>
      <c r="Q31" s="110"/>
      <c r="R31" s="110"/>
      <c r="S31" s="110"/>
      <c r="T31" s="373"/>
      <c r="U31" s="110"/>
      <c r="V31" s="110"/>
      <c r="W31" s="110"/>
      <c r="X31" s="110"/>
      <c r="Y31" s="373"/>
      <c r="Z31" s="110"/>
      <c r="AA31" s="110"/>
      <c r="AB31" s="110"/>
      <c r="AC31" s="110"/>
      <c r="AD31" s="373"/>
      <c r="AE31" s="110"/>
      <c r="AF31" s="110"/>
      <c r="AG31" s="110"/>
      <c r="AH31" s="110"/>
      <c r="AI31" s="373"/>
      <c r="AJ31" s="110"/>
      <c r="AK31" s="110"/>
      <c r="AL31" s="110"/>
      <c r="AM31" s="110"/>
      <c r="AN31" s="373"/>
      <c r="AO31" s="110"/>
      <c r="AP31" s="110"/>
      <c r="AQ31" s="110"/>
      <c r="AR31" s="110"/>
      <c r="AS31" s="373"/>
      <c r="AT31" s="110"/>
      <c r="AU31" s="110"/>
      <c r="AV31" s="110"/>
      <c r="AW31" s="110"/>
      <c r="AX31" s="373"/>
    </row>
    <row r="32" spans="2:50">
      <c r="B32" s="373"/>
      <c r="C32" s="110">
        <v>6</v>
      </c>
      <c r="D32" s="110"/>
      <c r="E32" s="110"/>
      <c r="F32" s="110"/>
      <c r="G32" s="110"/>
      <c r="H32" s="395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385"/>
      <c r="M32" s="212" t="e">
        <f>RANK(K32, K$27:$K$41)</f>
        <v>#DIV/0!</v>
      </c>
      <c r="N32" s="382"/>
      <c r="O32" s="382"/>
      <c r="P32" s="110"/>
      <c r="Q32" s="110"/>
      <c r="R32" s="110"/>
      <c r="S32" s="110"/>
      <c r="T32" s="373"/>
      <c r="U32" s="110"/>
      <c r="V32" s="110"/>
      <c r="W32" s="110"/>
      <c r="X32" s="110"/>
      <c r="Y32" s="373"/>
      <c r="Z32" s="110"/>
      <c r="AA32" s="110"/>
      <c r="AB32" s="110"/>
      <c r="AC32" s="110"/>
      <c r="AD32" s="373"/>
      <c r="AE32" s="110"/>
      <c r="AF32" s="110"/>
      <c r="AG32" s="110"/>
      <c r="AH32" s="110"/>
      <c r="AI32" s="373"/>
      <c r="AJ32" s="110"/>
      <c r="AK32" s="110"/>
      <c r="AL32" s="110"/>
      <c r="AM32" s="110"/>
      <c r="AN32" s="373"/>
      <c r="AO32" s="110"/>
      <c r="AP32" s="110"/>
      <c r="AQ32" s="110"/>
      <c r="AR32" s="110"/>
      <c r="AS32" s="373"/>
      <c r="AT32" s="110"/>
      <c r="AU32" s="110"/>
      <c r="AV32" s="110"/>
      <c r="AW32" s="110"/>
      <c r="AX32" s="373"/>
    </row>
    <row r="33" spans="2:50">
      <c r="B33" s="373"/>
      <c r="C33" s="110">
        <v>7</v>
      </c>
      <c r="D33" s="110"/>
      <c r="E33" s="110"/>
      <c r="F33" s="110"/>
      <c r="G33" s="110"/>
      <c r="H33" s="395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385"/>
      <c r="M33" s="212" t="e">
        <f>RANK(K33, K$27:$K$41)</f>
        <v>#DIV/0!</v>
      </c>
      <c r="N33" s="382"/>
      <c r="O33" s="382"/>
      <c r="P33" s="110"/>
      <c r="Q33" s="110"/>
      <c r="R33" s="110"/>
      <c r="S33" s="110"/>
      <c r="T33" s="373"/>
      <c r="U33" s="110"/>
      <c r="V33" s="110"/>
      <c r="W33" s="110"/>
      <c r="X33" s="110"/>
      <c r="Y33" s="373"/>
      <c r="Z33" s="110"/>
      <c r="AA33" s="110"/>
      <c r="AB33" s="110"/>
      <c r="AC33" s="110"/>
      <c r="AD33" s="373"/>
      <c r="AE33" s="110"/>
      <c r="AF33" s="110"/>
      <c r="AG33" s="110"/>
      <c r="AH33" s="110"/>
      <c r="AI33" s="373"/>
      <c r="AJ33" s="110"/>
      <c r="AK33" s="110"/>
      <c r="AL33" s="110"/>
      <c r="AM33" s="110"/>
      <c r="AN33" s="373"/>
      <c r="AO33" s="110"/>
      <c r="AP33" s="110"/>
      <c r="AQ33" s="110"/>
      <c r="AR33" s="110"/>
      <c r="AS33" s="373"/>
      <c r="AT33" s="110"/>
      <c r="AU33" s="110"/>
      <c r="AV33" s="110"/>
      <c r="AW33" s="110"/>
      <c r="AX33" s="373"/>
    </row>
    <row r="34" spans="2:50">
      <c r="B34" s="373"/>
      <c r="C34" s="110">
        <v>8</v>
      </c>
      <c r="D34" s="110"/>
      <c r="E34" s="110"/>
      <c r="F34" s="110"/>
      <c r="G34" s="110"/>
      <c r="H34" s="395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385"/>
      <c r="M34" s="212" t="e">
        <f>RANK(K34, K$27:$K$41)</f>
        <v>#DIV/0!</v>
      </c>
      <c r="N34" s="382"/>
      <c r="O34" s="382"/>
      <c r="P34" s="110"/>
      <c r="Q34" s="110"/>
      <c r="R34" s="110"/>
      <c r="S34" s="110"/>
      <c r="T34" s="373"/>
      <c r="U34" s="110"/>
      <c r="V34" s="110"/>
      <c r="W34" s="110"/>
      <c r="X34" s="110"/>
      <c r="Y34" s="373"/>
      <c r="Z34" s="110"/>
      <c r="AA34" s="110"/>
      <c r="AB34" s="110"/>
      <c r="AC34" s="110"/>
      <c r="AD34" s="373"/>
      <c r="AE34" s="110"/>
      <c r="AF34" s="110"/>
      <c r="AG34" s="110"/>
      <c r="AH34" s="110"/>
      <c r="AI34" s="373"/>
      <c r="AJ34" s="110"/>
      <c r="AK34" s="110"/>
      <c r="AL34" s="110"/>
      <c r="AM34" s="110"/>
      <c r="AN34" s="373"/>
      <c r="AO34" s="110"/>
      <c r="AP34" s="110"/>
      <c r="AQ34" s="110"/>
      <c r="AR34" s="110"/>
      <c r="AS34" s="373"/>
      <c r="AT34" s="110"/>
      <c r="AU34" s="110"/>
      <c r="AV34" s="110"/>
      <c r="AW34" s="110"/>
      <c r="AX34" s="373"/>
    </row>
    <row r="35" spans="2:50">
      <c r="B35" s="373"/>
      <c r="C35" s="110">
        <v>9</v>
      </c>
      <c r="D35" s="110"/>
      <c r="E35" s="110"/>
      <c r="F35" s="110"/>
      <c r="G35" s="110"/>
      <c r="H35" s="395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385"/>
      <c r="M35" s="212" t="e">
        <f>RANK(K35, K$27:$K$41)</f>
        <v>#DIV/0!</v>
      </c>
      <c r="N35" s="382"/>
      <c r="O35" s="382"/>
      <c r="P35" s="110"/>
      <c r="Q35" s="110"/>
      <c r="R35" s="110"/>
      <c r="S35" s="110"/>
      <c r="T35" s="373"/>
      <c r="U35" s="110"/>
      <c r="V35" s="110"/>
      <c r="W35" s="110"/>
      <c r="X35" s="110"/>
      <c r="Y35" s="373"/>
      <c r="Z35" s="110"/>
      <c r="AA35" s="110"/>
      <c r="AB35" s="110"/>
      <c r="AC35" s="110"/>
      <c r="AD35" s="373"/>
      <c r="AE35" s="110"/>
      <c r="AF35" s="110"/>
      <c r="AG35" s="110"/>
      <c r="AH35" s="110"/>
      <c r="AI35" s="373"/>
      <c r="AJ35" s="110"/>
      <c r="AK35" s="110"/>
      <c r="AL35" s="110"/>
      <c r="AM35" s="110"/>
      <c r="AN35" s="373"/>
      <c r="AO35" s="110"/>
      <c r="AP35" s="110"/>
      <c r="AQ35" s="110"/>
      <c r="AR35" s="110"/>
      <c r="AS35" s="373"/>
      <c r="AT35" s="110"/>
      <c r="AU35" s="110"/>
      <c r="AV35" s="110"/>
      <c r="AW35" s="110"/>
      <c r="AX35" s="373"/>
    </row>
    <row r="36" spans="2:50">
      <c r="B36" s="373"/>
      <c r="C36" s="110">
        <v>10</v>
      </c>
      <c r="D36" s="110"/>
      <c r="E36" s="110"/>
      <c r="F36" s="110"/>
      <c r="G36" s="110"/>
      <c r="H36" s="395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385"/>
      <c r="M36" s="212" t="e">
        <f>RANK(K36, K$27:$K$41)</f>
        <v>#DIV/0!</v>
      </c>
      <c r="N36" s="382"/>
      <c r="O36" s="382"/>
      <c r="P36" s="110"/>
      <c r="Q36" s="110"/>
      <c r="R36" s="110"/>
      <c r="S36" s="110"/>
      <c r="T36" s="373"/>
      <c r="U36" s="110"/>
      <c r="V36" s="110"/>
      <c r="W36" s="110"/>
      <c r="X36" s="110"/>
      <c r="Y36" s="373"/>
      <c r="Z36" s="110"/>
      <c r="AA36" s="110"/>
      <c r="AB36" s="110"/>
      <c r="AC36" s="110"/>
      <c r="AD36" s="373"/>
      <c r="AE36" s="110"/>
      <c r="AF36" s="110"/>
      <c r="AG36" s="110"/>
      <c r="AH36" s="110"/>
      <c r="AI36" s="373"/>
      <c r="AJ36" s="110"/>
      <c r="AK36" s="110"/>
      <c r="AL36" s="110"/>
      <c r="AM36" s="110"/>
      <c r="AN36" s="373"/>
      <c r="AO36" s="110"/>
      <c r="AP36" s="110"/>
      <c r="AQ36" s="110"/>
      <c r="AR36" s="110"/>
      <c r="AS36" s="373"/>
      <c r="AT36" s="110"/>
      <c r="AU36" s="110"/>
      <c r="AV36" s="110"/>
      <c r="AW36" s="110"/>
      <c r="AX36" s="373"/>
    </row>
    <row r="37" spans="2:50">
      <c r="B37" s="373"/>
      <c r="C37" s="110">
        <v>11</v>
      </c>
      <c r="D37" s="110"/>
      <c r="E37" s="110"/>
      <c r="F37" s="110"/>
      <c r="G37" s="110"/>
      <c r="H37" s="395"/>
      <c r="I37" s="110"/>
      <c r="J37" s="110"/>
      <c r="K37" s="110"/>
      <c r="L37" s="385"/>
      <c r="M37" s="212" t="e">
        <f>RANK(K37, K$27:$K$41)</f>
        <v>#DIV/0!</v>
      </c>
      <c r="N37" s="382"/>
      <c r="O37" s="382"/>
      <c r="P37" s="110"/>
      <c r="Q37" s="110"/>
      <c r="R37" s="110"/>
      <c r="S37" s="110"/>
      <c r="T37" s="373"/>
      <c r="U37" s="110"/>
      <c r="V37" s="110"/>
      <c r="W37" s="110"/>
      <c r="X37" s="110"/>
      <c r="Y37" s="373"/>
      <c r="Z37" s="110"/>
      <c r="AA37" s="110"/>
      <c r="AB37" s="110"/>
      <c r="AC37" s="110"/>
      <c r="AD37" s="373"/>
      <c r="AE37" s="110"/>
      <c r="AF37" s="110"/>
      <c r="AG37" s="110"/>
      <c r="AH37" s="110"/>
      <c r="AI37" s="373"/>
      <c r="AJ37" s="110"/>
      <c r="AK37" s="110"/>
      <c r="AL37" s="110"/>
      <c r="AM37" s="110"/>
      <c r="AN37" s="373"/>
      <c r="AO37" s="110"/>
      <c r="AP37" s="110"/>
      <c r="AQ37" s="110"/>
      <c r="AR37" s="110"/>
      <c r="AS37" s="373"/>
      <c r="AT37" s="110"/>
      <c r="AU37" s="110"/>
      <c r="AV37" s="110"/>
      <c r="AW37" s="110"/>
      <c r="AX37" s="373"/>
    </row>
    <row r="38" spans="2:50">
      <c r="B38" s="373"/>
      <c r="C38" s="110">
        <v>12</v>
      </c>
      <c r="D38" s="110"/>
      <c r="E38" s="110"/>
      <c r="F38" s="110"/>
      <c r="G38" s="110"/>
      <c r="H38" s="395"/>
      <c r="I38" s="110"/>
      <c r="J38" s="110"/>
      <c r="K38" s="110"/>
      <c r="L38" s="385"/>
      <c r="M38" s="212" t="e">
        <f>RANK(K38, K$27:$K$41)</f>
        <v>#DIV/0!</v>
      </c>
      <c r="N38" s="382"/>
      <c r="O38" s="382"/>
      <c r="P38" s="110"/>
      <c r="Q38" s="110"/>
      <c r="R38" s="110"/>
      <c r="S38" s="110"/>
      <c r="T38" s="373"/>
      <c r="U38" s="110"/>
      <c r="V38" s="110"/>
      <c r="W38" s="110"/>
      <c r="X38" s="110"/>
      <c r="Y38" s="373"/>
      <c r="Z38" s="110"/>
      <c r="AA38" s="110"/>
      <c r="AB38" s="110"/>
      <c r="AC38" s="110"/>
      <c r="AD38" s="373"/>
      <c r="AE38" s="110"/>
      <c r="AF38" s="110"/>
      <c r="AG38" s="110"/>
      <c r="AH38" s="110"/>
      <c r="AI38" s="373"/>
      <c r="AJ38" s="110"/>
      <c r="AK38" s="110"/>
      <c r="AL38" s="110"/>
      <c r="AM38" s="110"/>
      <c r="AN38" s="373"/>
      <c r="AO38" s="110"/>
      <c r="AP38" s="110"/>
      <c r="AQ38" s="110"/>
      <c r="AR38" s="110"/>
      <c r="AS38" s="373"/>
      <c r="AT38" s="110"/>
      <c r="AU38" s="110"/>
      <c r="AV38" s="110"/>
      <c r="AW38" s="110"/>
      <c r="AX38" s="373"/>
    </row>
    <row r="39" spans="2:50">
      <c r="B39" s="373"/>
      <c r="C39" s="110">
        <v>13</v>
      </c>
      <c r="D39" s="110"/>
      <c r="E39" s="110"/>
      <c r="F39" s="110"/>
      <c r="G39" s="110"/>
      <c r="H39" s="395"/>
      <c r="I39" s="110"/>
      <c r="J39" s="110"/>
      <c r="K39" s="110"/>
      <c r="L39" s="385"/>
      <c r="M39" s="212" t="e">
        <f>RANK(K39, K$27:$K$41)</f>
        <v>#DIV/0!</v>
      </c>
      <c r="N39" s="382"/>
      <c r="O39" s="382"/>
      <c r="P39" s="110"/>
      <c r="Q39" s="110"/>
      <c r="R39" s="110"/>
      <c r="S39" s="110"/>
      <c r="T39" s="373"/>
      <c r="U39" s="110"/>
      <c r="V39" s="110"/>
      <c r="W39" s="110"/>
      <c r="X39" s="110"/>
      <c r="Y39" s="373"/>
      <c r="Z39" s="110"/>
      <c r="AA39" s="110"/>
      <c r="AB39" s="110"/>
      <c r="AC39" s="110"/>
      <c r="AD39" s="373"/>
      <c r="AE39" s="110"/>
      <c r="AF39" s="110"/>
      <c r="AG39" s="110"/>
      <c r="AH39" s="110"/>
      <c r="AI39" s="373"/>
      <c r="AJ39" s="110"/>
      <c r="AK39" s="110"/>
      <c r="AL39" s="110"/>
      <c r="AM39" s="110"/>
      <c r="AN39" s="373"/>
      <c r="AO39" s="110"/>
      <c r="AP39" s="110"/>
      <c r="AQ39" s="110"/>
      <c r="AR39" s="110"/>
      <c r="AS39" s="373"/>
      <c r="AT39" s="110"/>
      <c r="AU39" s="110"/>
      <c r="AV39" s="110"/>
      <c r="AW39" s="110"/>
      <c r="AX39" s="373"/>
    </row>
    <row r="40" spans="2:50">
      <c r="B40" s="373"/>
      <c r="C40" s="110">
        <v>14</v>
      </c>
      <c r="D40" s="110"/>
      <c r="E40" s="110"/>
      <c r="F40" s="110"/>
      <c r="G40" s="110"/>
      <c r="H40" s="395"/>
      <c r="I40" s="110"/>
      <c r="J40" s="110"/>
      <c r="K40" s="110"/>
      <c r="L40" s="385"/>
      <c r="M40" s="212" t="e">
        <f>RANK(K40, K$27:$K$41)</f>
        <v>#DIV/0!</v>
      </c>
      <c r="N40" s="382"/>
      <c r="O40" s="382"/>
      <c r="P40" s="110"/>
      <c r="Q40" s="110"/>
      <c r="R40" s="110"/>
      <c r="S40" s="110"/>
      <c r="T40" s="373"/>
      <c r="U40" s="110"/>
      <c r="V40" s="110"/>
      <c r="W40" s="110"/>
      <c r="X40" s="110"/>
      <c r="Y40" s="373"/>
      <c r="Z40" s="110"/>
      <c r="AA40" s="110"/>
      <c r="AB40" s="110"/>
      <c r="AC40" s="110"/>
      <c r="AD40" s="373"/>
      <c r="AE40" s="110"/>
      <c r="AF40" s="110"/>
      <c r="AG40" s="110"/>
      <c r="AH40" s="110"/>
      <c r="AI40" s="373"/>
      <c r="AJ40" s="110"/>
      <c r="AK40" s="110"/>
      <c r="AL40" s="110"/>
      <c r="AM40" s="110"/>
      <c r="AN40" s="373"/>
      <c r="AO40" s="110"/>
      <c r="AP40" s="110"/>
      <c r="AQ40" s="110"/>
      <c r="AR40" s="110"/>
      <c r="AS40" s="373"/>
      <c r="AT40" s="110"/>
      <c r="AU40" s="110"/>
      <c r="AV40" s="110"/>
      <c r="AW40" s="110"/>
      <c r="AX40" s="373"/>
    </row>
    <row r="41" spans="2:50">
      <c r="B41" s="373"/>
      <c r="C41" s="110">
        <v>15</v>
      </c>
      <c r="D41" s="110"/>
      <c r="E41" s="110"/>
      <c r="F41" s="110"/>
      <c r="G41" s="110"/>
      <c r="H41" s="396"/>
      <c r="I41" s="110"/>
      <c r="J41" s="110"/>
      <c r="K41" s="110"/>
      <c r="L41" s="386"/>
      <c r="M41" s="184" t="e">
        <f>RANK(K41, K$27:$K$41)</f>
        <v>#DIV/0!</v>
      </c>
      <c r="N41" s="382"/>
      <c r="O41" s="382"/>
      <c r="P41" s="110"/>
      <c r="Q41" s="110"/>
      <c r="R41" s="110"/>
      <c r="S41" s="110"/>
      <c r="T41" s="373"/>
      <c r="U41" s="110"/>
      <c r="V41" s="110"/>
      <c r="W41" s="110"/>
      <c r="X41" s="110"/>
      <c r="Y41" s="373"/>
      <c r="Z41" s="110"/>
      <c r="AA41" s="110"/>
      <c r="AB41" s="110"/>
      <c r="AC41" s="110"/>
      <c r="AD41" s="373"/>
      <c r="AE41" s="110"/>
      <c r="AF41" s="110"/>
      <c r="AG41" s="110"/>
      <c r="AH41" s="110"/>
      <c r="AI41" s="373"/>
      <c r="AJ41" s="110"/>
      <c r="AK41" s="110"/>
      <c r="AL41" s="110"/>
      <c r="AM41" s="110"/>
      <c r="AN41" s="373"/>
      <c r="AO41" s="110"/>
      <c r="AP41" s="110"/>
      <c r="AQ41" s="110"/>
      <c r="AR41" s="110"/>
      <c r="AS41" s="373"/>
      <c r="AT41" s="110"/>
      <c r="AU41" s="110"/>
      <c r="AV41" s="110"/>
      <c r="AW41" s="110"/>
      <c r="AX41" s="373"/>
    </row>
    <row r="42" spans="2:50" ht="15.75">
      <c r="B42" s="392" t="s">
        <v>86</v>
      </c>
      <c r="C42" s="393"/>
      <c r="D42" s="393"/>
      <c r="E42" s="393"/>
      <c r="F42" s="393"/>
      <c r="G42" s="393"/>
      <c r="H42" s="393"/>
      <c r="I42" s="214"/>
      <c r="J42" s="183"/>
      <c r="K42" s="214"/>
      <c r="L42" s="214"/>
      <c r="M42" s="179"/>
      <c r="N42" s="377" t="s">
        <v>87</v>
      </c>
      <c r="O42" s="377" t="s">
        <v>45</v>
      </c>
      <c r="P42" s="372">
        <v>45881</v>
      </c>
      <c r="Q42" s="373"/>
      <c r="R42" s="373"/>
      <c r="S42" s="373"/>
      <c r="T42" s="373"/>
      <c r="U42" s="372">
        <v>45882</v>
      </c>
      <c r="V42" s="373"/>
      <c r="W42" s="373"/>
      <c r="X42" s="373"/>
      <c r="Y42" s="373"/>
      <c r="Z42" s="372">
        <v>45883</v>
      </c>
      <c r="AA42" s="373"/>
      <c r="AB42" s="373"/>
      <c r="AC42" s="373"/>
      <c r="AD42" s="373"/>
      <c r="AE42" s="372">
        <v>45884</v>
      </c>
      <c r="AF42" s="373"/>
      <c r="AG42" s="373"/>
      <c r="AH42" s="373"/>
      <c r="AI42" s="373"/>
      <c r="AJ42" s="372">
        <v>45885</v>
      </c>
      <c r="AK42" s="373"/>
      <c r="AL42" s="373"/>
      <c r="AM42" s="373"/>
      <c r="AN42" s="373"/>
      <c r="AO42" s="372">
        <v>45886</v>
      </c>
      <c r="AP42" s="373"/>
      <c r="AQ42" s="373"/>
      <c r="AR42" s="373"/>
      <c r="AS42" s="373"/>
      <c r="AT42" s="372">
        <v>45887</v>
      </c>
      <c r="AU42" s="373"/>
      <c r="AV42" s="373"/>
      <c r="AW42" s="373"/>
      <c r="AX42" s="373"/>
    </row>
    <row r="43" spans="2:50" ht="15.75">
      <c r="B43" s="376"/>
      <c r="C43" s="376"/>
      <c r="D43" s="376"/>
      <c r="E43" s="376"/>
      <c r="F43" s="376"/>
      <c r="G43" s="376"/>
      <c r="H43" s="376"/>
      <c r="I43" s="180"/>
      <c r="J43" s="180"/>
      <c r="K43" s="180"/>
      <c r="L43" s="180"/>
      <c r="M43" s="181"/>
      <c r="N43" s="378"/>
      <c r="O43" s="378"/>
      <c r="P43" s="372" t="s">
        <v>57</v>
      </c>
      <c r="Q43" s="373"/>
      <c r="R43" s="373"/>
      <c r="S43" s="373"/>
      <c r="T43" s="373"/>
      <c r="U43" s="372" t="s">
        <v>58</v>
      </c>
      <c r="V43" s="373"/>
      <c r="W43" s="373"/>
      <c r="X43" s="373"/>
      <c r="Y43" s="373"/>
      <c r="Z43" s="372" t="s">
        <v>59</v>
      </c>
      <c r="AA43" s="373"/>
      <c r="AB43" s="373"/>
      <c r="AC43" s="373"/>
      <c r="AD43" s="373"/>
      <c r="AE43" s="372" t="s">
        <v>60</v>
      </c>
      <c r="AF43" s="373"/>
      <c r="AG43" s="373"/>
      <c r="AH43" s="373"/>
      <c r="AI43" s="373"/>
      <c r="AJ43" s="372" t="s">
        <v>61</v>
      </c>
      <c r="AK43" s="373"/>
      <c r="AL43" s="373"/>
      <c r="AM43" s="373"/>
      <c r="AN43" s="373"/>
      <c r="AO43" s="372" t="s">
        <v>52</v>
      </c>
      <c r="AP43" s="373"/>
      <c r="AQ43" s="373"/>
      <c r="AR43" s="373"/>
      <c r="AS43" s="373"/>
      <c r="AT43" s="372" t="s">
        <v>56</v>
      </c>
      <c r="AU43" s="373"/>
      <c r="AV43" s="373"/>
      <c r="AW43" s="373"/>
      <c r="AX43" s="373"/>
    </row>
    <row r="44" spans="2:50">
      <c r="B44" s="382" t="s">
        <v>88</v>
      </c>
      <c r="C44" s="382" t="s">
        <v>89</v>
      </c>
      <c r="D44" s="382"/>
      <c r="E44" s="382" t="s">
        <v>90</v>
      </c>
      <c r="F44" s="382"/>
      <c r="G44" s="382"/>
      <c r="H44" s="388" t="s">
        <v>91</v>
      </c>
      <c r="I44" s="382" t="s">
        <v>92</v>
      </c>
      <c r="J44" s="382"/>
      <c r="K44" s="382"/>
      <c r="L44" s="388" t="s">
        <v>91</v>
      </c>
      <c r="M44" s="377" t="s">
        <v>93</v>
      </c>
      <c r="N44" s="382"/>
      <c r="O44" s="382" t="s">
        <v>94</v>
      </c>
      <c r="P44" s="379" t="s">
        <v>95</v>
      </c>
      <c r="Q44" s="380"/>
      <c r="R44" s="380"/>
      <c r="S44" s="381"/>
      <c r="T44" s="382" t="s">
        <v>91</v>
      </c>
      <c r="U44" s="379" t="s">
        <v>95</v>
      </c>
      <c r="V44" s="380"/>
      <c r="W44" s="380"/>
      <c r="X44" s="381"/>
      <c r="Y44" s="382" t="s">
        <v>91</v>
      </c>
      <c r="Z44" s="379" t="s">
        <v>95</v>
      </c>
      <c r="AA44" s="380"/>
      <c r="AB44" s="380"/>
      <c r="AC44" s="381"/>
      <c r="AD44" s="382" t="s">
        <v>91</v>
      </c>
      <c r="AE44" s="379" t="s">
        <v>95</v>
      </c>
      <c r="AF44" s="380"/>
      <c r="AG44" s="380"/>
      <c r="AH44" s="381"/>
      <c r="AI44" s="382" t="s">
        <v>91</v>
      </c>
      <c r="AJ44" s="379" t="s">
        <v>95</v>
      </c>
      <c r="AK44" s="380"/>
      <c r="AL44" s="380"/>
      <c r="AM44" s="381"/>
      <c r="AN44" s="382" t="s">
        <v>91</v>
      </c>
      <c r="AO44" s="379" t="s">
        <v>95</v>
      </c>
      <c r="AP44" s="380"/>
      <c r="AQ44" s="380"/>
      <c r="AR44" s="381"/>
      <c r="AS44" s="382" t="s">
        <v>91</v>
      </c>
      <c r="AT44" s="379" t="s">
        <v>95</v>
      </c>
      <c r="AU44" s="380"/>
      <c r="AV44" s="380"/>
      <c r="AW44" s="381"/>
      <c r="AX44" s="382" t="s">
        <v>91</v>
      </c>
    </row>
    <row r="45" spans="2:50">
      <c r="B45" s="382"/>
      <c r="C45" s="382"/>
      <c r="D45" s="382"/>
      <c r="E45" s="382" t="s">
        <v>96</v>
      </c>
      <c r="F45" s="382"/>
      <c r="G45" s="382"/>
      <c r="H45" s="389"/>
      <c r="I45" s="382" t="s">
        <v>96</v>
      </c>
      <c r="J45" s="382"/>
      <c r="K45" s="382"/>
      <c r="L45" s="389"/>
      <c r="M45" s="391"/>
      <c r="N45" s="382"/>
      <c r="O45" s="382"/>
      <c r="P45" s="379" t="s">
        <v>97</v>
      </c>
      <c r="Q45" s="380"/>
      <c r="R45" s="380"/>
      <c r="S45" s="381"/>
      <c r="T45" s="382"/>
      <c r="U45" s="379" t="s">
        <v>97</v>
      </c>
      <c r="V45" s="380"/>
      <c r="W45" s="380"/>
      <c r="X45" s="381"/>
      <c r="Y45" s="382"/>
      <c r="Z45" s="379" t="s">
        <v>97</v>
      </c>
      <c r="AA45" s="380"/>
      <c r="AB45" s="380"/>
      <c r="AC45" s="381"/>
      <c r="AD45" s="382"/>
      <c r="AE45" s="379" t="s">
        <v>97</v>
      </c>
      <c r="AF45" s="380"/>
      <c r="AG45" s="380"/>
      <c r="AH45" s="381"/>
      <c r="AI45" s="382"/>
      <c r="AJ45" s="379" t="s">
        <v>97</v>
      </c>
      <c r="AK45" s="380"/>
      <c r="AL45" s="380"/>
      <c r="AM45" s="381"/>
      <c r="AN45" s="382"/>
      <c r="AO45" s="379" t="s">
        <v>97</v>
      </c>
      <c r="AP45" s="380"/>
      <c r="AQ45" s="380"/>
      <c r="AR45" s="381"/>
      <c r="AS45" s="382"/>
      <c r="AT45" s="379" t="s">
        <v>97</v>
      </c>
      <c r="AU45" s="380"/>
      <c r="AV45" s="380"/>
      <c r="AW45" s="381"/>
      <c r="AX45" s="382"/>
    </row>
    <row r="46" spans="2:50">
      <c r="B46" s="382"/>
      <c r="C46" s="382"/>
      <c r="D46" s="382"/>
      <c r="E46" s="109" t="s">
        <v>98</v>
      </c>
      <c r="F46" s="109" t="s">
        <v>99</v>
      </c>
      <c r="G46" s="109" t="s">
        <v>100</v>
      </c>
      <c r="H46" s="390"/>
      <c r="I46" s="109" t="s">
        <v>98</v>
      </c>
      <c r="J46" s="109" t="s">
        <v>99</v>
      </c>
      <c r="K46" s="109" t="s">
        <v>100</v>
      </c>
      <c r="L46" s="390"/>
      <c r="M46" s="378"/>
      <c r="N46" s="382"/>
      <c r="O46" s="382"/>
      <c r="P46" s="109" t="s">
        <v>98</v>
      </c>
      <c r="Q46" s="109" t="s">
        <v>99</v>
      </c>
      <c r="R46" s="109" t="s">
        <v>100</v>
      </c>
      <c r="S46" s="109" t="s">
        <v>93</v>
      </c>
      <c r="T46" s="382"/>
      <c r="U46" s="109" t="s">
        <v>98</v>
      </c>
      <c r="V46" s="109" t="s">
        <v>99</v>
      </c>
      <c r="W46" s="109" t="s">
        <v>100</v>
      </c>
      <c r="X46" s="109" t="s">
        <v>93</v>
      </c>
      <c r="Y46" s="382"/>
      <c r="Z46" s="109" t="s">
        <v>98</v>
      </c>
      <c r="AA46" s="109" t="s">
        <v>99</v>
      </c>
      <c r="AB46" s="109" t="s">
        <v>100</v>
      </c>
      <c r="AC46" s="109" t="s">
        <v>93</v>
      </c>
      <c r="AD46" s="382"/>
      <c r="AE46" s="109" t="s">
        <v>98</v>
      </c>
      <c r="AF46" s="109" t="s">
        <v>99</v>
      </c>
      <c r="AG46" s="109" t="s">
        <v>100</v>
      </c>
      <c r="AH46" s="109" t="s">
        <v>93</v>
      </c>
      <c r="AI46" s="382"/>
      <c r="AJ46" s="109" t="s">
        <v>98</v>
      </c>
      <c r="AK46" s="109" t="s">
        <v>99</v>
      </c>
      <c r="AL46" s="109" t="s">
        <v>100</v>
      </c>
      <c r="AM46" s="109" t="s">
        <v>93</v>
      </c>
      <c r="AN46" s="382"/>
      <c r="AO46" s="109" t="s">
        <v>98</v>
      </c>
      <c r="AP46" s="109" t="s">
        <v>99</v>
      </c>
      <c r="AQ46" s="109" t="s">
        <v>100</v>
      </c>
      <c r="AR46" s="109" t="s">
        <v>93</v>
      </c>
      <c r="AS46" s="382"/>
      <c r="AT46" s="109" t="s">
        <v>98</v>
      </c>
      <c r="AU46" s="109" t="s">
        <v>99</v>
      </c>
      <c r="AV46" s="109" t="s">
        <v>100</v>
      </c>
      <c r="AW46" s="109" t="s">
        <v>93</v>
      </c>
      <c r="AX46" s="382"/>
    </row>
    <row r="47" spans="2:50">
      <c r="B47" s="382" t="s">
        <v>121</v>
      </c>
      <c r="C47" s="110">
        <v>1</v>
      </c>
      <c r="D47" s="110"/>
      <c r="E47" s="110"/>
      <c r="F47" s="110"/>
      <c r="G47" s="110"/>
      <c r="H47" s="394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384" t="e">
        <f>AVERAGE(K47:K61)</f>
        <v>#DIV/0!</v>
      </c>
      <c r="M47" s="184" t="e">
        <f>RANK(K47, K$47:$K$61)</f>
        <v>#DIV/0!</v>
      </c>
      <c r="N47" s="382"/>
      <c r="O47" s="382"/>
      <c r="P47" s="110"/>
      <c r="Q47" s="110"/>
      <c r="R47" s="110"/>
      <c r="S47" s="110"/>
      <c r="T47" s="373" t="e">
        <f>AVERAGE(R47:R61)</f>
        <v>#DIV/0!</v>
      </c>
      <c r="U47" s="110"/>
      <c r="V47" s="110"/>
      <c r="W47" s="110"/>
      <c r="X47" s="110"/>
      <c r="Y47" s="373" t="e">
        <f>AVERAGE(W47:W61)</f>
        <v>#DIV/0!</v>
      </c>
      <c r="Z47" s="110"/>
      <c r="AA47" s="110"/>
      <c r="AB47" s="110"/>
      <c r="AC47" s="110"/>
      <c r="AD47" s="373" t="e">
        <f>AVERAGE(AB47:AB61)</f>
        <v>#DIV/0!</v>
      </c>
      <c r="AE47" s="110"/>
      <c r="AF47" s="110"/>
      <c r="AG47" s="110"/>
      <c r="AH47" s="110"/>
      <c r="AI47" s="373" t="e">
        <f>AVERAGE(AG47:AG61)</f>
        <v>#DIV/0!</v>
      </c>
      <c r="AJ47" s="110"/>
      <c r="AK47" s="110"/>
      <c r="AL47" s="110"/>
      <c r="AM47" s="110"/>
      <c r="AN47" s="373" t="e">
        <f>AVERAGE(AL47:AL61)</f>
        <v>#DIV/0!</v>
      </c>
      <c r="AO47" s="110"/>
      <c r="AP47" s="110"/>
      <c r="AQ47" s="110"/>
      <c r="AR47" s="110"/>
      <c r="AS47" s="373" t="e">
        <f>AVERAGE(AQ47:AQ61)</f>
        <v>#DIV/0!</v>
      </c>
      <c r="AT47" s="110"/>
      <c r="AU47" s="110"/>
      <c r="AV47" s="110"/>
      <c r="AW47" s="110"/>
      <c r="AX47" s="373" t="e">
        <f>AVERAGE(AV47:AV61)</f>
        <v>#DIV/0!</v>
      </c>
    </row>
    <row r="48" spans="2:50">
      <c r="B48" s="373"/>
      <c r="C48" s="110">
        <v>2</v>
      </c>
      <c r="D48" s="110"/>
      <c r="E48" s="110"/>
      <c r="F48" s="110"/>
      <c r="G48" s="110"/>
      <c r="H48" s="395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385"/>
      <c r="M48" s="184" t="e">
        <f>RANK(K48, K$47:$K$61)</f>
        <v>#DIV/0!</v>
      </c>
      <c r="N48" s="382"/>
      <c r="O48" s="382"/>
      <c r="P48" s="110"/>
      <c r="Q48" s="110"/>
      <c r="R48" s="110"/>
      <c r="S48" s="110"/>
      <c r="T48" s="373"/>
      <c r="U48" s="110"/>
      <c r="V48" s="110"/>
      <c r="W48" s="110"/>
      <c r="X48" s="110"/>
      <c r="Y48" s="373"/>
      <c r="Z48" s="110"/>
      <c r="AA48" s="110"/>
      <c r="AB48" s="110"/>
      <c r="AC48" s="110"/>
      <c r="AD48" s="373"/>
      <c r="AE48" s="110"/>
      <c r="AF48" s="110"/>
      <c r="AG48" s="110"/>
      <c r="AH48" s="110"/>
      <c r="AI48" s="373"/>
      <c r="AJ48" s="110"/>
      <c r="AK48" s="110"/>
      <c r="AL48" s="110"/>
      <c r="AM48" s="110"/>
      <c r="AN48" s="373"/>
      <c r="AO48" s="110"/>
      <c r="AP48" s="110"/>
      <c r="AQ48" s="110"/>
      <c r="AR48" s="110"/>
      <c r="AS48" s="373"/>
      <c r="AT48" s="110"/>
      <c r="AU48" s="110"/>
      <c r="AV48" s="110"/>
      <c r="AW48" s="110"/>
      <c r="AX48" s="373"/>
    </row>
    <row r="49" spans="2:50">
      <c r="B49" s="373"/>
      <c r="C49" s="110">
        <v>3</v>
      </c>
      <c r="D49" s="110"/>
      <c r="E49" s="110"/>
      <c r="F49" s="110"/>
      <c r="G49" s="110"/>
      <c r="H49" s="395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385"/>
      <c r="M49" s="184" t="e">
        <f>RANK(K49, K$47:$K$61)</f>
        <v>#DIV/0!</v>
      </c>
      <c r="N49" s="382"/>
      <c r="O49" s="382"/>
      <c r="P49" s="110"/>
      <c r="Q49" s="110"/>
      <c r="R49" s="110"/>
      <c r="S49" s="110"/>
      <c r="T49" s="373"/>
      <c r="U49" s="110"/>
      <c r="V49" s="110"/>
      <c r="W49" s="110"/>
      <c r="X49" s="110"/>
      <c r="Y49" s="373"/>
      <c r="Z49" s="110"/>
      <c r="AA49" s="110"/>
      <c r="AB49" s="110"/>
      <c r="AC49" s="110"/>
      <c r="AD49" s="373"/>
      <c r="AE49" s="110"/>
      <c r="AF49" s="110"/>
      <c r="AG49" s="110"/>
      <c r="AH49" s="110"/>
      <c r="AI49" s="373"/>
      <c r="AJ49" s="110"/>
      <c r="AK49" s="110"/>
      <c r="AL49" s="110"/>
      <c r="AM49" s="110"/>
      <c r="AN49" s="373"/>
      <c r="AO49" s="110"/>
      <c r="AP49" s="110"/>
      <c r="AQ49" s="110"/>
      <c r="AR49" s="110"/>
      <c r="AS49" s="373"/>
      <c r="AT49" s="110"/>
      <c r="AU49" s="110"/>
      <c r="AV49" s="110"/>
      <c r="AW49" s="110"/>
      <c r="AX49" s="373"/>
    </row>
    <row r="50" spans="2:50">
      <c r="B50" s="373"/>
      <c r="C50" s="110">
        <v>4</v>
      </c>
      <c r="D50" s="110"/>
      <c r="E50" s="110"/>
      <c r="F50" s="110"/>
      <c r="G50" s="110"/>
      <c r="H50" s="395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385"/>
      <c r="M50" s="184" t="e">
        <f>RANK(K50, K$47:$K$61)</f>
        <v>#DIV/0!</v>
      </c>
      <c r="N50" s="382"/>
      <c r="O50" s="382"/>
      <c r="P50" s="110"/>
      <c r="Q50" s="110"/>
      <c r="R50" s="110"/>
      <c r="S50" s="110"/>
      <c r="T50" s="373"/>
      <c r="U50" s="110"/>
      <c r="V50" s="110"/>
      <c r="W50" s="110"/>
      <c r="X50" s="110"/>
      <c r="Y50" s="373"/>
      <c r="Z50" s="110"/>
      <c r="AA50" s="110"/>
      <c r="AB50" s="110"/>
      <c r="AC50" s="110"/>
      <c r="AD50" s="373"/>
      <c r="AE50" s="110"/>
      <c r="AF50" s="110"/>
      <c r="AG50" s="110"/>
      <c r="AH50" s="110"/>
      <c r="AI50" s="373"/>
      <c r="AJ50" s="110"/>
      <c r="AK50" s="110"/>
      <c r="AL50" s="110"/>
      <c r="AM50" s="110"/>
      <c r="AN50" s="373"/>
      <c r="AO50" s="110"/>
      <c r="AP50" s="110"/>
      <c r="AQ50" s="110"/>
      <c r="AR50" s="110"/>
      <c r="AS50" s="373"/>
      <c r="AT50" s="110"/>
      <c r="AU50" s="110"/>
      <c r="AV50" s="110"/>
      <c r="AW50" s="110"/>
      <c r="AX50" s="373"/>
    </row>
    <row r="51" spans="2:50">
      <c r="B51" s="373"/>
      <c r="C51" s="110">
        <v>5</v>
      </c>
      <c r="D51" s="110"/>
      <c r="E51" s="110"/>
      <c r="F51" s="110"/>
      <c r="G51" s="110"/>
      <c r="H51" s="395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385"/>
      <c r="M51" s="184" t="e">
        <f>RANK(K51, K$47:$K$61)</f>
        <v>#DIV/0!</v>
      </c>
      <c r="N51" s="382"/>
      <c r="O51" s="382"/>
      <c r="P51" s="110"/>
      <c r="Q51" s="110"/>
      <c r="R51" s="110"/>
      <c r="S51" s="110"/>
      <c r="T51" s="373"/>
      <c r="U51" s="110"/>
      <c r="V51" s="110"/>
      <c r="W51" s="110"/>
      <c r="X51" s="110"/>
      <c r="Y51" s="373"/>
      <c r="Z51" s="110"/>
      <c r="AA51" s="110"/>
      <c r="AB51" s="110"/>
      <c r="AC51" s="110"/>
      <c r="AD51" s="373"/>
      <c r="AE51" s="110"/>
      <c r="AF51" s="110"/>
      <c r="AG51" s="110"/>
      <c r="AH51" s="110"/>
      <c r="AI51" s="373"/>
      <c r="AJ51" s="110"/>
      <c r="AK51" s="110"/>
      <c r="AL51" s="110"/>
      <c r="AM51" s="110"/>
      <c r="AN51" s="373"/>
      <c r="AO51" s="110"/>
      <c r="AP51" s="110"/>
      <c r="AQ51" s="110"/>
      <c r="AR51" s="110"/>
      <c r="AS51" s="373"/>
      <c r="AT51" s="110"/>
      <c r="AU51" s="110"/>
      <c r="AV51" s="110"/>
      <c r="AW51" s="110"/>
      <c r="AX51" s="373"/>
    </row>
    <row r="52" spans="2:50">
      <c r="B52" s="373"/>
      <c r="C52" s="110">
        <v>6</v>
      </c>
      <c r="D52" s="110"/>
      <c r="E52" s="110"/>
      <c r="F52" s="110"/>
      <c r="G52" s="110"/>
      <c r="H52" s="395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385"/>
      <c r="M52" s="184" t="e">
        <f>RANK(K52, K$47:$K$61)</f>
        <v>#DIV/0!</v>
      </c>
      <c r="N52" s="382"/>
      <c r="O52" s="382"/>
      <c r="P52" s="110"/>
      <c r="Q52" s="110"/>
      <c r="R52" s="110"/>
      <c r="S52" s="110"/>
      <c r="T52" s="373"/>
      <c r="U52" s="110"/>
      <c r="V52" s="110"/>
      <c r="W52" s="110"/>
      <c r="X52" s="110"/>
      <c r="Y52" s="373"/>
      <c r="Z52" s="110"/>
      <c r="AA52" s="110"/>
      <c r="AB52" s="110"/>
      <c r="AC52" s="110"/>
      <c r="AD52" s="373"/>
      <c r="AE52" s="110"/>
      <c r="AF52" s="110"/>
      <c r="AG52" s="110"/>
      <c r="AH52" s="110"/>
      <c r="AI52" s="373"/>
      <c r="AJ52" s="110"/>
      <c r="AK52" s="110"/>
      <c r="AL52" s="110"/>
      <c r="AM52" s="110"/>
      <c r="AN52" s="373"/>
      <c r="AO52" s="110"/>
      <c r="AP52" s="110"/>
      <c r="AQ52" s="110"/>
      <c r="AR52" s="110"/>
      <c r="AS52" s="373"/>
      <c r="AT52" s="110"/>
      <c r="AU52" s="110"/>
      <c r="AV52" s="110"/>
      <c r="AW52" s="110"/>
      <c r="AX52" s="373"/>
    </row>
    <row r="53" spans="2:50">
      <c r="B53" s="373"/>
      <c r="C53" s="110">
        <v>7</v>
      </c>
      <c r="D53" s="110"/>
      <c r="E53" s="110"/>
      <c r="F53" s="110"/>
      <c r="G53" s="110"/>
      <c r="H53" s="395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385"/>
      <c r="M53" s="184" t="e">
        <f>RANK(K53, K$47:$K$61)</f>
        <v>#DIV/0!</v>
      </c>
      <c r="N53" s="382"/>
      <c r="O53" s="382"/>
      <c r="P53" s="110"/>
      <c r="Q53" s="110"/>
      <c r="R53" s="110"/>
      <c r="S53" s="110"/>
      <c r="T53" s="373"/>
      <c r="U53" s="110"/>
      <c r="V53" s="110"/>
      <c r="W53" s="110"/>
      <c r="X53" s="110"/>
      <c r="Y53" s="373"/>
      <c r="Z53" s="110"/>
      <c r="AA53" s="110"/>
      <c r="AB53" s="110"/>
      <c r="AC53" s="110"/>
      <c r="AD53" s="373"/>
      <c r="AE53" s="110"/>
      <c r="AF53" s="110"/>
      <c r="AG53" s="110"/>
      <c r="AH53" s="110"/>
      <c r="AI53" s="373"/>
      <c r="AJ53" s="110"/>
      <c r="AK53" s="110"/>
      <c r="AL53" s="110"/>
      <c r="AM53" s="110"/>
      <c r="AN53" s="373"/>
      <c r="AO53" s="110"/>
      <c r="AP53" s="110"/>
      <c r="AQ53" s="110"/>
      <c r="AR53" s="110"/>
      <c r="AS53" s="373"/>
      <c r="AT53" s="110"/>
      <c r="AU53" s="110"/>
      <c r="AV53" s="110"/>
      <c r="AW53" s="110"/>
      <c r="AX53" s="373"/>
    </row>
    <row r="54" spans="2:50">
      <c r="B54" s="373"/>
      <c r="C54" s="110">
        <v>8</v>
      </c>
      <c r="D54" s="110"/>
      <c r="E54" s="110"/>
      <c r="F54" s="110"/>
      <c r="G54" s="110"/>
      <c r="H54" s="395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385"/>
      <c r="M54" s="184" t="e">
        <f>RANK(K54, K$47:$K$61)</f>
        <v>#DIV/0!</v>
      </c>
      <c r="N54" s="382"/>
      <c r="O54" s="382"/>
      <c r="P54" s="110"/>
      <c r="Q54" s="110"/>
      <c r="R54" s="110"/>
      <c r="S54" s="110"/>
      <c r="T54" s="373"/>
      <c r="U54" s="110"/>
      <c r="V54" s="110"/>
      <c r="W54" s="110"/>
      <c r="X54" s="110"/>
      <c r="Y54" s="373"/>
      <c r="Z54" s="110"/>
      <c r="AA54" s="110"/>
      <c r="AB54" s="110"/>
      <c r="AC54" s="110"/>
      <c r="AD54" s="373"/>
      <c r="AE54" s="110"/>
      <c r="AF54" s="110"/>
      <c r="AG54" s="110"/>
      <c r="AH54" s="110"/>
      <c r="AI54" s="373"/>
      <c r="AJ54" s="110"/>
      <c r="AK54" s="110"/>
      <c r="AL54" s="110"/>
      <c r="AM54" s="110"/>
      <c r="AN54" s="373"/>
      <c r="AO54" s="110"/>
      <c r="AP54" s="110"/>
      <c r="AQ54" s="110"/>
      <c r="AR54" s="110"/>
      <c r="AS54" s="373"/>
      <c r="AT54" s="110"/>
      <c r="AU54" s="110"/>
      <c r="AV54" s="110"/>
      <c r="AW54" s="110"/>
      <c r="AX54" s="373"/>
    </row>
    <row r="55" spans="2:50">
      <c r="B55" s="373"/>
      <c r="C55" s="110">
        <v>9</v>
      </c>
      <c r="D55" s="110"/>
      <c r="E55" s="110"/>
      <c r="F55" s="110"/>
      <c r="G55" s="110"/>
      <c r="H55" s="395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385"/>
      <c r="M55" s="184" t="e">
        <f>RANK(K55, K$47:$K$61)</f>
        <v>#DIV/0!</v>
      </c>
      <c r="N55" s="382"/>
      <c r="O55" s="382"/>
      <c r="P55" s="110"/>
      <c r="Q55" s="110"/>
      <c r="R55" s="110"/>
      <c r="S55" s="110"/>
      <c r="T55" s="373"/>
      <c r="U55" s="110"/>
      <c r="V55" s="110"/>
      <c r="W55" s="110"/>
      <c r="X55" s="110"/>
      <c r="Y55" s="373"/>
      <c r="Z55" s="110"/>
      <c r="AA55" s="110"/>
      <c r="AB55" s="110"/>
      <c r="AC55" s="110"/>
      <c r="AD55" s="373"/>
      <c r="AE55" s="110"/>
      <c r="AF55" s="110"/>
      <c r="AG55" s="110"/>
      <c r="AH55" s="110"/>
      <c r="AI55" s="373"/>
      <c r="AJ55" s="110"/>
      <c r="AK55" s="110"/>
      <c r="AL55" s="110"/>
      <c r="AM55" s="110"/>
      <c r="AN55" s="373"/>
      <c r="AO55" s="110"/>
      <c r="AP55" s="110"/>
      <c r="AQ55" s="110"/>
      <c r="AR55" s="110"/>
      <c r="AS55" s="373"/>
      <c r="AT55" s="110"/>
      <c r="AU55" s="110"/>
      <c r="AV55" s="110"/>
      <c r="AW55" s="110"/>
      <c r="AX55" s="373"/>
    </row>
    <row r="56" spans="2:50">
      <c r="B56" s="373"/>
      <c r="C56" s="110">
        <v>10</v>
      </c>
      <c r="D56" s="110"/>
      <c r="E56" s="110"/>
      <c r="F56" s="110"/>
      <c r="G56" s="110"/>
      <c r="H56" s="395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385"/>
      <c r="M56" s="184" t="e">
        <f>RANK(K56, K$47:$K$61)</f>
        <v>#DIV/0!</v>
      </c>
      <c r="N56" s="382"/>
      <c r="O56" s="382"/>
      <c r="P56" s="110"/>
      <c r="Q56" s="110"/>
      <c r="R56" s="110"/>
      <c r="S56" s="110"/>
      <c r="T56" s="373"/>
      <c r="U56" s="110"/>
      <c r="V56" s="110"/>
      <c r="W56" s="110"/>
      <c r="X56" s="110"/>
      <c r="Y56" s="373"/>
      <c r="Z56" s="110"/>
      <c r="AA56" s="110"/>
      <c r="AB56" s="110"/>
      <c r="AC56" s="110"/>
      <c r="AD56" s="373"/>
      <c r="AE56" s="110"/>
      <c r="AF56" s="110"/>
      <c r="AG56" s="110"/>
      <c r="AH56" s="110"/>
      <c r="AI56" s="373"/>
      <c r="AJ56" s="110"/>
      <c r="AK56" s="110"/>
      <c r="AL56" s="110"/>
      <c r="AM56" s="110"/>
      <c r="AN56" s="373"/>
      <c r="AO56" s="110"/>
      <c r="AP56" s="110"/>
      <c r="AQ56" s="110"/>
      <c r="AR56" s="110"/>
      <c r="AS56" s="373"/>
      <c r="AT56" s="110"/>
      <c r="AU56" s="110"/>
      <c r="AV56" s="110"/>
      <c r="AW56" s="110"/>
      <c r="AX56" s="373"/>
    </row>
    <row r="57" spans="2:50">
      <c r="B57" s="373"/>
      <c r="C57" s="110">
        <v>11</v>
      </c>
      <c r="D57" s="110"/>
      <c r="E57" s="110"/>
      <c r="F57" s="110"/>
      <c r="G57" s="110"/>
      <c r="H57" s="395"/>
      <c r="I57" s="110"/>
      <c r="J57" s="110"/>
      <c r="K57" s="110"/>
      <c r="L57" s="385"/>
      <c r="M57" s="184" t="e">
        <f>RANK(K57, K$47:$K$61)</f>
        <v>#DIV/0!</v>
      </c>
      <c r="N57" s="382"/>
      <c r="O57" s="382"/>
      <c r="P57" s="110"/>
      <c r="Q57" s="110"/>
      <c r="R57" s="110"/>
      <c r="S57" s="110"/>
      <c r="T57" s="373"/>
      <c r="U57" s="110"/>
      <c r="V57" s="110"/>
      <c r="W57" s="110"/>
      <c r="X57" s="110"/>
      <c r="Y57" s="373"/>
      <c r="Z57" s="110"/>
      <c r="AA57" s="110"/>
      <c r="AB57" s="110"/>
      <c r="AC57" s="110"/>
      <c r="AD57" s="373"/>
      <c r="AE57" s="110"/>
      <c r="AF57" s="110"/>
      <c r="AG57" s="110"/>
      <c r="AH57" s="110"/>
      <c r="AI57" s="373"/>
      <c r="AJ57" s="110"/>
      <c r="AK57" s="110"/>
      <c r="AL57" s="110"/>
      <c r="AM57" s="110"/>
      <c r="AN57" s="373"/>
      <c r="AO57" s="110"/>
      <c r="AP57" s="110"/>
      <c r="AQ57" s="110"/>
      <c r="AR57" s="110"/>
      <c r="AS57" s="373"/>
      <c r="AT57" s="110"/>
      <c r="AU57" s="110"/>
      <c r="AV57" s="110"/>
      <c r="AW57" s="110"/>
      <c r="AX57" s="373"/>
    </row>
    <row r="58" spans="2:50">
      <c r="B58" s="373"/>
      <c r="C58" s="110">
        <v>12</v>
      </c>
      <c r="D58" s="110"/>
      <c r="E58" s="110"/>
      <c r="F58" s="110"/>
      <c r="G58" s="110"/>
      <c r="H58" s="395"/>
      <c r="I58" s="110"/>
      <c r="J58" s="110"/>
      <c r="K58" s="110"/>
      <c r="L58" s="385"/>
      <c r="M58" s="184" t="e">
        <f>RANK(K58, K$47:$K$61)</f>
        <v>#DIV/0!</v>
      </c>
      <c r="N58" s="382"/>
      <c r="O58" s="382"/>
      <c r="P58" s="110"/>
      <c r="Q58" s="110"/>
      <c r="R58" s="110"/>
      <c r="S58" s="110"/>
      <c r="T58" s="373"/>
      <c r="U58" s="110"/>
      <c r="V58" s="110"/>
      <c r="W58" s="110"/>
      <c r="X58" s="110"/>
      <c r="Y58" s="373"/>
      <c r="Z58" s="110"/>
      <c r="AA58" s="110"/>
      <c r="AB58" s="110"/>
      <c r="AC58" s="110"/>
      <c r="AD58" s="373"/>
      <c r="AE58" s="110"/>
      <c r="AF58" s="110"/>
      <c r="AG58" s="110"/>
      <c r="AH58" s="110"/>
      <c r="AI58" s="373"/>
      <c r="AJ58" s="110"/>
      <c r="AK58" s="110"/>
      <c r="AL58" s="110"/>
      <c r="AM58" s="110"/>
      <c r="AN58" s="373"/>
      <c r="AO58" s="110"/>
      <c r="AP58" s="110"/>
      <c r="AQ58" s="110"/>
      <c r="AR58" s="110"/>
      <c r="AS58" s="373"/>
      <c r="AT58" s="110"/>
      <c r="AU58" s="110"/>
      <c r="AV58" s="110"/>
      <c r="AW58" s="110"/>
      <c r="AX58" s="373"/>
    </row>
    <row r="59" spans="2:50">
      <c r="B59" s="373"/>
      <c r="C59" s="110">
        <v>13</v>
      </c>
      <c r="D59" s="110"/>
      <c r="E59" s="110"/>
      <c r="F59" s="110"/>
      <c r="G59" s="110"/>
      <c r="H59" s="395"/>
      <c r="I59" s="110"/>
      <c r="J59" s="110"/>
      <c r="K59" s="110"/>
      <c r="L59" s="385"/>
      <c r="M59" s="184" t="e">
        <f>RANK(K59, K$47:$K$61)</f>
        <v>#DIV/0!</v>
      </c>
      <c r="N59" s="382"/>
      <c r="O59" s="382"/>
      <c r="P59" s="110"/>
      <c r="Q59" s="110"/>
      <c r="R59" s="110"/>
      <c r="S59" s="110"/>
      <c r="T59" s="373"/>
      <c r="U59" s="110"/>
      <c r="V59" s="110"/>
      <c r="W59" s="110"/>
      <c r="X59" s="110"/>
      <c r="Y59" s="373"/>
      <c r="Z59" s="110"/>
      <c r="AA59" s="110"/>
      <c r="AB59" s="110"/>
      <c r="AC59" s="110"/>
      <c r="AD59" s="373"/>
      <c r="AE59" s="110"/>
      <c r="AF59" s="110"/>
      <c r="AG59" s="110"/>
      <c r="AH59" s="110"/>
      <c r="AI59" s="373"/>
      <c r="AJ59" s="110"/>
      <c r="AK59" s="110"/>
      <c r="AL59" s="110"/>
      <c r="AM59" s="110"/>
      <c r="AN59" s="373"/>
      <c r="AO59" s="110"/>
      <c r="AP59" s="110"/>
      <c r="AQ59" s="110"/>
      <c r="AR59" s="110"/>
      <c r="AS59" s="373"/>
      <c r="AT59" s="110"/>
      <c r="AU59" s="110"/>
      <c r="AV59" s="110"/>
      <c r="AW59" s="110"/>
      <c r="AX59" s="373"/>
    </row>
    <row r="60" spans="2:50">
      <c r="B60" s="373"/>
      <c r="C60" s="110">
        <v>14</v>
      </c>
      <c r="D60" s="110"/>
      <c r="E60" s="110"/>
      <c r="F60" s="110"/>
      <c r="G60" s="110"/>
      <c r="H60" s="395"/>
      <c r="I60" s="110"/>
      <c r="J60" s="110"/>
      <c r="K60" s="110"/>
      <c r="L60" s="385"/>
      <c r="M60" s="184" t="e">
        <f>RANK(K60, K$47:$K$61)</f>
        <v>#DIV/0!</v>
      </c>
      <c r="N60" s="382"/>
      <c r="O60" s="382"/>
      <c r="P60" s="110"/>
      <c r="Q60" s="110"/>
      <c r="R60" s="110"/>
      <c r="S60" s="110"/>
      <c r="T60" s="373"/>
      <c r="U60" s="110"/>
      <c r="V60" s="110"/>
      <c r="W60" s="110"/>
      <c r="X60" s="110"/>
      <c r="Y60" s="373"/>
      <c r="Z60" s="110"/>
      <c r="AA60" s="110"/>
      <c r="AB60" s="110"/>
      <c r="AC60" s="110"/>
      <c r="AD60" s="373"/>
      <c r="AE60" s="110"/>
      <c r="AF60" s="110"/>
      <c r="AG60" s="110"/>
      <c r="AH60" s="110"/>
      <c r="AI60" s="373"/>
      <c r="AJ60" s="110"/>
      <c r="AK60" s="110"/>
      <c r="AL60" s="110"/>
      <c r="AM60" s="110"/>
      <c r="AN60" s="373"/>
      <c r="AO60" s="110"/>
      <c r="AP60" s="110"/>
      <c r="AQ60" s="110"/>
      <c r="AR60" s="110"/>
      <c r="AS60" s="373"/>
      <c r="AT60" s="110"/>
      <c r="AU60" s="110"/>
      <c r="AV60" s="110"/>
      <c r="AW60" s="110"/>
      <c r="AX60" s="373"/>
    </row>
    <row r="61" spans="2:50">
      <c r="B61" s="373"/>
      <c r="C61" s="110">
        <v>15</v>
      </c>
      <c r="D61" s="110"/>
      <c r="E61" s="110"/>
      <c r="F61" s="110"/>
      <c r="G61" s="110"/>
      <c r="H61" s="396"/>
      <c r="I61" s="110"/>
      <c r="J61" s="110"/>
      <c r="K61" s="110"/>
      <c r="L61" s="386"/>
      <c r="M61" s="184" t="e">
        <f>RANK(K61, K$47:$K$61)</f>
        <v>#DIV/0!</v>
      </c>
      <c r="N61" s="382"/>
      <c r="O61" s="382"/>
      <c r="P61" s="110"/>
      <c r="Q61" s="110"/>
      <c r="R61" s="110"/>
      <c r="S61" s="110"/>
      <c r="T61" s="373"/>
      <c r="U61" s="110"/>
      <c r="V61" s="110"/>
      <c r="W61" s="110"/>
      <c r="X61" s="110"/>
      <c r="Y61" s="373"/>
      <c r="Z61" s="110"/>
      <c r="AA61" s="110"/>
      <c r="AB61" s="110"/>
      <c r="AC61" s="110"/>
      <c r="AD61" s="373"/>
      <c r="AE61" s="110"/>
      <c r="AF61" s="110"/>
      <c r="AG61" s="110"/>
      <c r="AH61" s="110"/>
      <c r="AI61" s="373"/>
      <c r="AJ61" s="110"/>
      <c r="AK61" s="110"/>
      <c r="AL61" s="110"/>
      <c r="AM61" s="110"/>
      <c r="AN61" s="373"/>
      <c r="AO61" s="110"/>
      <c r="AP61" s="110"/>
      <c r="AQ61" s="110"/>
      <c r="AR61" s="110"/>
      <c r="AS61" s="373"/>
      <c r="AT61" s="110"/>
      <c r="AU61" s="110"/>
      <c r="AV61" s="110"/>
      <c r="AW61" s="110"/>
      <c r="AX61" s="373"/>
    </row>
    <row r="62" spans="2:50" ht="15.75">
      <c r="B62" s="374" t="s">
        <v>86</v>
      </c>
      <c r="C62" s="375"/>
      <c r="D62" s="375"/>
      <c r="E62" s="375"/>
      <c r="F62" s="375"/>
      <c r="G62" s="375"/>
      <c r="H62" s="375"/>
      <c r="I62" s="214"/>
      <c r="J62" s="214"/>
      <c r="K62" s="214"/>
      <c r="L62" s="214"/>
      <c r="M62" s="213"/>
      <c r="N62" s="377" t="s">
        <v>87</v>
      </c>
      <c r="O62" s="377" t="s">
        <v>45</v>
      </c>
      <c r="P62" s="372">
        <v>45888</v>
      </c>
      <c r="Q62" s="373"/>
      <c r="R62" s="373"/>
      <c r="S62" s="373"/>
      <c r="T62" s="373"/>
      <c r="U62" s="372">
        <v>45889</v>
      </c>
      <c r="V62" s="373"/>
      <c r="W62" s="373"/>
      <c r="X62" s="373"/>
      <c r="Y62" s="373"/>
      <c r="Z62" s="372">
        <v>45890</v>
      </c>
      <c r="AA62" s="373"/>
      <c r="AB62" s="373"/>
      <c r="AC62" s="373"/>
      <c r="AD62" s="373"/>
      <c r="AE62" s="372">
        <v>45891</v>
      </c>
      <c r="AF62" s="373"/>
      <c r="AG62" s="373"/>
      <c r="AH62" s="373"/>
      <c r="AI62" s="373"/>
      <c r="AJ62" s="372">
        <v>45892</v>
      </c>
      <c r="AK62" s="373"/>
      <c r="AL62" s="373"/>
      <c r="AM62" s="373"/>
      <c r="AN62" s="373"/>
      <c r="AO62" s="372">
        <v>45893</v>
      </c>
      <c r="AP62" s="373"/>
      <c r="AQ62" s="373"/>
      <c r="AR62" s="373"/>
      <c r="AS62" s="373"/>
      <c r="AT62" s="372">
        <v>45894</v>
      </c>
      <c r="AU62" s="373"/>
      <c r="AV62" s="373"/>
      <c r="AW62" s="373"/>
      <c r="AX62" s="373"/>
    </row>
    <row r="63" spans="2:50" ht="15.75">
      <c r="B63" s="376"/>
      <c r="C63" s="376"/>
      <c r="D63" s="376"/>
      <c r="E63" s="376"/>
      <c r="F63" s="376"/>
      <c r="G63" s="376"/>
      <c r="H63" s="376"/>
      <c r="I63" s="180"/>
      <c r="J63" s="180"/>
      <c r="K63" s="180"/>
      <c r="L63" s="180"/>
      <c r="M63" s="181"/>
      <c r="N63" s="378"/>
      <c r="O63" s="378"/>
      <c r="P63" s="372" t="s">
        <v>57</v>
      </c>
      <c r="Q63" s="373"/>
      <c r="R63" s="373"/>
      <c r="S63" s="373"/>
      <c r="T63" s="373"/>
      <c r="U63" s="372" t="s">
        <v>58</v>
      </c>
      <c r="V63" s="373"/>
      <c r="W63" s="373"/>
      <c r="X63" s="373"/>
      <c r="Y63" s="373"/>
      <c r="Z63" s="372" t="s">
        <v>59</v>
      </c>
      <c r="AA63" s="373"/>
      <c r="AB63" s="373"/>
      <c r="AC63" s="373"/>
      <c r="AD63" s="373"/>
      <c r="AE63" s="372" t="s">
        <v>60</v>
      </c>
      <c r="AF63" s="373"/>
      <c r="AG63" s="373"/>
      <c r="AH63" s="373"/>
      <c r="AI63" s="373"/>
      <c r="AJ63" s="372" t="s">
        <v>61</v>
      </c>
      <c r="AK63" s="373"/>
      <c r="AL63" s="373"/>
      <c r="AM63" s="373"/>
      <c r="AN63" s="373"/>
      <c r="AO63" s="372" t="s">
        <v>52</v>
      </c>
      <c r="AP63" s="373"/>
      <c r="AQ63" s="373"/>
      <c r="AR63" s="373"/>
      <c r="AS63" s="373"/>
      <c r="AT63" s="372" t="s">
        <v>56</v>
      </c>
      <c r="AU63" s="373"/>
      <c r="AV63" s="373"/>
      <c r="AW63" s="373"/>
      <c r="AX63" s="373"/>
    </row>
    <row r="64" spans="2:50">
      <c r="B64" s="382" t="s">
        <v>88</v>
      </c>
      <c r="C64" s="382" t="s">
        <v>89</v>
      </c>
      <c r="D64" s="382"/>
      <c r="E64" s="382" t="s">
        <v>90</v>
      </c>
      <c r="F64" s="382"/>
      <c r="G64" s="382"/>
      <c r="H64" s="388" t="s">
        <v>91</v>
      </c>
      <c r="I64" s="382" t="s">
        <v>92</v>
      </c>
      <c r="J64" s="382"/>
      <c r="K64" s="382"/>
      <c r="L64" s="388" t="s">
        <v>91</v>
      </c>
      <c r="M64" s="377" t="s">
        <v>93</v>
      </c>
      <c r="N64" s="382"/>
      <c r="O64" s="382" t="s">
        <v>94</v>
      </c>
      <c r="P64" s="379" t="s">
        <v>95</v>
      </c>
      <c r="Q64" s="380"/>
      <c r="R64" s="380"/>
      <c r="S64" s="381"/>
      <c r="T64" s="382" t="s">
        <v>91</v>
      </c>
      <c r="U64" s="379" t="s">
        <v>95</v>
      </c>
      <c r="V64" s="380"/>
      <c r="W64" s="380"/>
      <c r="X64" s="381"/>
      <c r="Y64" s="382" t="s">
        <v>91</v>
      </c>
      <c r="Z64" s="379" t="s">
        <v>95</v>
      </c>
      <c r="AA64" s="380"/>
      <c r="AB64" s="380"/>
      <c r="AC64" s="381"/>
      <c r="AD64" s="382" t="s">
        <v>91</v>
      </c>
      <c r="AE64" s="379" t="s">
        <v>95</v>
      </c>
      <c r="AF64" s="380"/>
      <c r="AG64" s="380"/>
      <c r="AH64" s="381"/>
      <c r="AI64" s="382" t="s">
        <v>91</v>
      </c>
      <c r="AJ64" s="379" t="s">
        <v>95</v>
      </c>
      <c r="AK64" s="380"/>
      <c r="AL64" s="380"/>
      <c r="AM64" s="381"/>
      <c r="AN64" s="382" t="s">
        <v>91</v>
      </c>
      <c r="AO64" s="379" t="s">
        <v>95</v>
      </c>
      <c r="AP64" s="380"/>
      <c r="AQ64" s="380"/>
      <c r="AR64" s="381"/>
      <c r="AS64" s="382" t="s">
        <v>91</v>
      </c>
      <c r="AT64" s="379" t="s">
        <v>95</v>
      </c>
      <c r="AU64" s="380"/>
      <c r="AV64" s="380"/>
      <c r="AW64" s="381"/>
      <c r="AX64" s="382" t="s">
        <v>91</v>
      </c>
    </row>
    <row r="65" spans="2:50">
      <c r="B65" s="382"/>
      <c r="C65" s="382"/>
      <c r="D65" s="382"/>
      <c r="E65" s="382" t="s">
        <v>96</v>
      </c>
      <c r="F65" s="382"/>
      <c r="G65" s="382"/>
      <c r="H65" s="389"/>
      <c r="I65" s="382" t="s">
        <v>96</v>
      </c>
      <c r="J65" s="382"/>
      <c r="K65" s="382"/>
      <c r="L65" s="389"/>
      <c r="M65" s="391"/>
      <c r="N65" s="382"/>
      <c r="O65" s="382"/>
      <c r="P65" s="379" t="s">
        <v>97</v>
      </c>
      <c r="Q65" s="380"/>
      <c r="R65" s="380"/>
      <c r="S65" s="381"/>
      <c r="T65" s="382"/>
      <c r="U65" s="379" t="s">
        <v>97</v>
      </c>
      <c r="V65" s="380"/>
      <c r="W65" s="380"/>
      <c r="X65" s="381"/>
      <c r="Y65" s="382"/>
      <c r="Z65" s="379" t="s">
        <v>97</v>
      </c>
      <c r="AA65" s="380"/>
      <c r="AB65" s="380"/>
      <c r="AC65" s="381"/>
      <c r="AD65" s="382"/>
      <c r="AE65" s="379" t="s">
        <v>97</v>
      </c>
      <c r="AF65" s="380"/>
      <c r="AG65" s="380"/>
      <c r="AH65" s="381"/>
      <c r="AI65" s="382"/>
      <c r="AJ65" s="379" t="s">
        <v>97</v>
      </c>
      <c r="AK65" s="380"/>
      <c r="AL65" s="380"/>
      <c r="AM65" s="381"/>
      <c r="AN65" s="382"/>
      <c r="AO65" s="379" t="s">
        <v>97</v>
      </c>
      <c r="AP65" s="380"/>
      <c r="AQ65" s="380"/>
      <c r="AR65" s="381"/>
      <c r="AS65" s="382"/>
      <c r="AT65" s="379" t="s">
        <v>97</v>
      </c>
      <c r="AU65" s="380"/>
      <c r="AV65" s="380"/>
      <c r="AW65" s="381"/>
      <c r="AX65" s="382"/>
    </row>
    <row r="66" spans="2:50">
      <c r="B66" s="382"/>
      <c r="C66" s="382"/>
      <c r="D66" s="382"/>
      <c r="E66" s="109" t="s">
        <v>98</v>
      </c>
      <c r="F66" s="109" t="s">
        <v>99</v>
      </c>
      <c r="G66" s="109" t="s">
        <v>100</v>
      </c>
      <c r="H66" s="390"/>
      <c r="I66" s="109" t="s">
        <v>98</v>
      </c>
      <c r="J66" s="109" t="s">
        <v>99</v>
      </c>
      <c r="K66" s="109" t="s">
        <v>100</v>
      </c>
      <c r="L66" s="390"/>
      <c r="M66" s="378"/>
      <c r="N66" s="382"/>
      <c r="O66" s="382"/>
      <c r="P66" s="109" t="s">
        <v>98</v>
      </c>
      <c r="Q66" s="109" t="s">
        <v>99</v>
      </c>
      <c r="R66" s="109" t="s">
        <v>100</v>
      </c>
      <c r="S66" s="109" t="s">
        <v>93</v>
      </c>
      <c r="T66" s="382"/>
      <c r="U66" s="109" t="s">
        <v>98</v>
      </c>
      <c r="V66" s="109" t="s">
        <v>99</v>
      </c>
      <c r="W66" s="109" t="s">
        <v>100</v>
      </c>
      <c r="X66" s="109" t="s">
        <v>93</v>
      </c>
      <c r="Y66" s="382"/>
      <c r="Z66" s="109" t="s">
        <v>98</v>
      </c>
      <c r="AA66" s="109" t="s">
        <v>99</v>
      </c>
      <c r="AB66" s="109" t="s">
        <v>100</v>
      </c>
      <c r="AC66" s="109" t="s">
        <v>93</v>
      </c>
      <c r="AD66" s="382"/>
      <c r="AE66" s="109" t="s">
        <v>98</v>
      </c>
      <c r="AF66" s="109" t="s">
        <v>99</v>
      </c>
      <c r="AG66" s="109" t="s">
        <v>100</v>
      </c>
      <c r="AH66" s="109" t="s">
        <v>93</v>
      </c>
      <c r="AI66" s="382"/>
      <c r="AJ66" s="109" t="s">
        <v>98</v>
      </c>
      <c r="AK66" s="109" t="s">
        <v>99</v>
      </c>
      <c r="AL66" s="109" t="s">
        <v>100</v>
      </c>
      <c r="AM66" s="109" t="s">
        <v>93</v>
      </c>
      <c r="AN66" s="382"/>
      <c r="AO66" s="109" t="s">
        <v>98</v>
      </c>
      <c r="AP66" s="109" t="s">
        <v>99</v>
      </c>
      <c r="AQ66" s="109" t="s">
        <v>100</v>
      </c>
      <c r="AR66" s="109" t="s">
        <v>93</v>
      </c>
      <c r="AS66" s="382"/>
      <c r="AT66" s="109" t="s">
        <v>98</v>
      </c>
      <c r="AU66" s="109" t="s">
        <v>99</v>
      </c>
      <c r="AV66" s="109" t="s">
        <v>100</v>
      </c>
      <c r="AW66" s="109" t="s">
        <v>93</v>
      </c>
      <c r="AX66" s="382"/>
    </row>
    <row r="67" spans="2:50" ht="13.5">
      <c r="B67" s="382" t="s">
        <v>121</v>
      </c>
      <c r="C67" s="110">
        <v>1</v>
      </c>
      <c r="D67" s="267"/>
      <c r="E67" s="184"/>
      <c r="F67" s="184"/>
      <c r="G67" s="182"/>
      <c r="H67" s="384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384" t="e">
        <f>AVERAGE(K67:K81)</f>
        <v>#DIV/0!</v>
      </c>
      <c r="M67" s="184" t="e">
        <f>RANK(K67, K$67:$K$81)</f>
        <v>#DIV/0!</v>
      </c>
      <c r="N67" s="382"/>
      <c r="O67" s="382"/>
      <c r="P67" s="110"/>
      <c r="Q67" s="110"/>
      <c r="R67" s="182"/>
      <c r="S67" s="110"/>
      <c r="T67" s="384" t="e">
        <f>AVERAGE(R67:R81)</f>
        <v>#DIV/0!</v>
      </c>
      <c r="U67" s="110"/>
      <c r="V67" s="110"/>
      <c r="W67" s="110"/>
      <c r="X67" s="110"/>
      <c r="Y67" s="373" t="e">
        <f>AVERAGE(W67:W81)</f>
        <v>#DIV/0!</v>
      </c>
      <c r="Z67" s="110"/>
      <c r="AA67" s="110"/>
      <c r="AB67" s="110"/>
      <c r="AC67" s="110"/>
      <c r="AD67" s="373" t="e">
        <f>AVERAGE(AB67:AB81)</f>
        <v>#DIV/0!</v>
      </c>
      <c r="AE67" s="110"/>
      <c r="AF67" s="110"/>
      <c r="AG67" s="110"/>
      <c r="AH67" s="110"/>
      <c r="AI67" s="373" t="e">
        <f>AVERAGE(AG67:AG81)</f>
        <v>#DIV/0!</v>
      </c>
      <c r="AJ67" s="110"/>
      <c r="AK67" s="110"/>
      <c r="AL67" s="110"/>
      <c r="AM67" s="110"/>
      <c r="AN67" s="373" t="e">
        <f>AVERAGE(AL67:AL81)</f>
        <v>#DIV/0!</v>
      </c>
      <c r="AO67" s="110"/>
      <c r="AP67" s="110"/>
      <c r="AQ67" s="110"/>
      <c r="AR67" s="110"/>
      <c r="AS67" s="373" t="e">
        <f>AVERAGE(AQ67:AQ81)</f>
        <v>#DIV/0!</v>
      </c>
      <c r="AT67" s="110"/>
      <c r="AU67" s="110"/>
      <c r="AV67" s="110"/>
      <c r="AW67" s="110"/>
      <c r="AX67" s="373" t="e">
        <f>AVERAGE(AV67:AV81)</f>
        <v>#DIV/0!</v>
      </c>
    </row>
    <row r="68" spans="2:50">
      <c r="B68" s="373"/>
      <c r="C68" s="110">
        <v>2</v>
      </c>
      <c r="D68" s="110"/>
      <c r="E68" s="184"/>
      <c r="F68" s="184"/>
      <c r="G68" s="182"/>
      <c r="H68" s="385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385"/>
      <c r="M68" s="184" t="e">
        <f>RANK(K68, K$67:$K$81)</f>
        <v>#DIV/0!</v>
      </c>
      <c r="N68" s="382"/>
      <c r="O68" s="382"/>
      <c r="P68" s="110"/>
      <c r="Q68" s="110"/>
      <c r="R68" s="182"/>
      <c r="S68" s="110"/>
      <c r="T68" s="385"/>
      <c r="U68" s="110"/>
      <c r="V68" s="110"/>
      <c r="W68" s="110"/>
      <c r="X68" s="110"/>
      <c r="Y68" s="373"/>
      <c r="Z68" s="110"/>
      <c r="AA68" s="110"/>
      <c r="AB68" s="110"/>
      <c r="AC68" s="110"/>
      <c r="AD68" s="373"/>
      <c r="AE68" s="110"/>
      <c r="AF68" s="110"/>
      <c r="AG68" s="110"/>
      <c r="AH68" s="110"/>
      <c r="AI68" s="373"/>
      <c r="AJ68" s="110"/>
      <c r="AK68" s="110"/>
      <c r="AL68" s="110"/>
      <c r="AM68" s="110"/>
      <c r="AN68" s="373"/>
      <c r="AO68" s="110"/>
      <c r="AP68" s="110"/>
      <c r="AQ68" s="110"/>
      <c r="AR68" s="110"/>
      <c r="AS68" s="373"/>
      <c r="AT68" s="110"/>
      <c r="AU68" s="110"/>
      <c r="AV68" s="110"/>
      <c r="AW68" s="110"/>
      <c r="AX68" s="373"/>
    </row>
    <row r="69" spans="2:50">
      <c r="B69" s="373"/>
      <c r="C69" s="110">
        <v>3</v>
      </c>
      <c r="D69" s="110"/>
      <c r="E69" s="184"/>
      <c r="F69" s="184"/>
      <c r="G69" s="182"/>
      <c r="H69" s="385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385"/>
      <c r="M69" s="184" t="e">
        <f>RANK(K69, K$67:$K$81)</f>
        <v>#DIV/0!</v>
      </c>
      <c r="N69" s="382"/>
      <c r="O69" s="382"/>
      <c r="P69" s="110"/>
      <c r="Q69" s="110"/>
      <c r="R69" s="182"/>
      <c r="S69" s="110"/>
      <c r="T69" s="385"/>
      <c r="U69" s="110"/>
      <c r="V69" s="110"/>
      <c r="W69" s="110"/>
      <c r="X69" s="110"/>
      <c r="Y69" s="373"/>
      <c r="Z69" s="110"/>
      <c r="AA69" s="110"/>
      <c r="AB69" s="110"/>
      <c r="AC69" s="110"/>
      <c r="AD69" s="373"/>
      <c r="AE69" s="110"/>
      <c r="AF69" s="110"/>
      <c r="AG69" s="110"/>
      <c r="AH69" s="110"/>
      <c r="AI69" s="373"/>
      <c r="AJ69" s="110"/>
      <c r="AK69" s="110"/>
      <c r="AL69" s="110"/>
      <c r="AM69" s="110"/>
      <c r="AN69" s="373"/>
      <c r="AO69" s="110"/>
      <c r="AP69" s="110"/>
      <c r="AQ69" s="110"/>
      <c r="AR69" s="110"/>
      <c r="AS69" s="373"/>
      <c r="AT69" s="110"/>
      <c r="AU69" s="110"/>
      <c r="AV69" s="110"/>
      <c r="AW69" s="110"/>
      <c r="AX69" s="373"/>
    </row>
    <row r="70" spans="2:50">
      <c r="B70" s="373"/>
      <c r="C70" s="110">
        <v>4</v>
      </c>
      <c r="D70" s="110"/>
      <c r="E70" s="184"/>
      <c r="F70" s="184"/>
      <c r="G70" s="182"/>
      <c r="H70" s="385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385"/>
      <c r="M70" s="184" t="e">
        <f>RANK(K70, K$67:$K$81)</f>
        <v>#DIV/0!</v>
      </c>
      <c r="N70" s="382"/>
      <c r="O70" s="382"/>
      <c r="P70" s="110"/>
      <c r="Q70" s="110"/>
      <c r="R70" s="182"/>
      <c r="S70" s="110"/>
      <c r="T70" s="385"/>
      <c r="U70" s="110"/>
      <c r="V70" s="110"/>
      <c r="W70" s="110"/>
      <c r="X70" s="110"/>
      <c r="Y70" s="373"/>
      <c r="Z70" s="110"/>
      <c r="AA70" s="110"/>
      <c r="AB70" s="110"/>
      <c r="AC70" s="110"/>
      <c r="AD70" s="373"/>
      <c r="AE70" s="110"/>
      <c r="AF70" s="110"/>
      <c r="AG70" s="110"/>
      <c r="AH70" s="110"/>
      <c r="AI70" s="373"/>
      <c r="AJ70" s="110"/>
      <c r="AK70" s="110"/>
      <c r="AL70" s="110"/>
      <c r="AM70" s="110"/>
      <c r="AN70" s="373"/>
      <c r="AO70" s="110"/>
      <c r="AP70" s="110"/>
      <c r="AQ70" s="110"/>
      <c r="AR70" s="110"/>
      <c r="AS70" s="373"/>
      <c r="AT70" s="110"/>
      <c r="AU70" s="110"/>
      <c r="AV70" s="110"/>
      <c r="AW70" s="110"/>
      <c r="AX70" s="373"/>
    </row>
    <row r="71" spans="2:50">
      <c r="B71" s="373"/>
      <c r="C71" s="110">
        <v>5</v>
      </c>
      <c r="D71" s="110"/>
      <c r="E71" s="184"/>
      <c r="F71" s="184"/>
      <c r="G71" s="182"/>
      <c r="H71" s="385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385"/>
      <c r="M71" s="184" t="e">
        <f>RANK(K71, K$67:$K$81)</f>
        <v>#DIV/0!</v>
      </c>
      <c r="N71" s="382"/>
      <c r="O71" s="382"/>
      <c r="P71" s="110"/>
      <c r="Q71" s="110"/>
      <c r="R71" s="182"/>
      <c r="S71" s="110"/>
      <c r="T71" s="385"/>
      <c r="U71" s="110"/>
      <c r="V71" s="110"/>
      <c r="W71" s="110"/>
      <c r="X71" s="110"/>
      <c r="Y71" s="373"/>
      <c r="Z71" s="110"/>
      <c r="AA71" s="110"/>
      <c r="AB71" s="110"/>
      <c r="AC71" s="110"/>
      <c r="AD71" s="373"/>
      <c r="AE71" s="110"/>
      <c r="AF71" s="110"/>
      <c r="AG71" s="110"/>
      <c r="AH71" s="110"/>
      <c r="AI71" s="373"/>
      <c r="AJ71" s="110"/>
      <c r="AK71" s="110"/>
      <c r="AL71" s="110"/>
      <c r="AM71" s="110"/>
      <c r="AN71" s="373"/>
      <c r="AO71" s="110"/>
      <c r="AP71" s="110"/>
      <c r="AQ71" s="110"/>
      <c r="AR71" s="110"/>
      <c r="AS71" s="373"/>
      <c r="AT71" s="110"/>
      <c r="AU71" s="110"/>
      <c r="AV71" s="110"/>
      <c r="AW71" s="110"/>
      <c r="AX71" s="373"/>
    </row>
    <row r="72" spans="2:50">
      <c r="B72" s="373"/>
      <c r="C72" s="110">
        <v>6</v>
      </c>
      <c r="D72" s="110"/>
      <c r="E72" s="184"/>
      <c r="F72" s="184"/>
      <c r="G72" s="182"/>
      <c r="H72" s="385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385"/>
      <c r="M72" s="184" t="e">
        <f>RANK(K72, K$67:$K$81)</f>
        <v>#DIV/0!</v>
      </c>
      <c r="N72" s="382"/>
      <c r="O72" s="382"/>
      <c r="P72" s="110"/>
      <c r="Q72" s="110"/>
      <c r="R72" s="182"/>
      <c r="S72" s="110"/>
      <c r="T72" s="385"/>
      <c r="U72" s="110"/>
      <c r="V72" s="110"/>
      <c r="W72" s="110"/>
      <c r="X72" s="110"/>
      <c r="Y72" s="373"/>
      <c r="Z72" s="110"/>
      <c r="AA72" s="110"/>
      <c r="AB72" s="110"/>
      <c r="AC72" s="110"/>
      <c r="AD72" s="373"/>
      <c r="AE72" s="110"/>
      <c r="AF72" s="110"/>
      <c r="AG72" s="110"/>
      <c r="AH72" s="110"/>
      <c r="AI72" s="373"/>
      <c r="AJ72" s="110"/>
      <c r="AK72" s="110"/>
      <c r="AL72" s="110"/>
      <c r="AM72" s="110"/>
      <c r="AN72" s="373"/>
      <c r="AO72" s="110"/>
      <c r="AP72" s="110"/>
      <c r="AQ72" s="110"/>
      <c r="AR72" s="110"/>
      <c r="AS72" s="373"/>
      <c r="AT72" s="110"/>
      <c r="AU72" s="110"/>
      <c r="AV72" s="110"/>
      <c r="AW72" s="110"/>
      <c r="AX72" s="373"/>
    </row>
    <row r="73" spans="2:50">
      <c r="B73" s="373"/>
      <c r="C73" s="110">
        <v>7</v>
      </c>
      <c r="D73" s="110"/>
      <c r="E73" s="184"/>
      <c r="F73" s="184"/>
      <c r="G73" s="182"/>
      <c r="H73" s="385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385"/>
      <c r="M73" s="184" t="e">
        <f>RANK(K73, K$67:$K$81)</f>
        <v>#DIV/0!</v>
      </c>
      <c r="N73" s="382"/>
      <c r="O73" s="382"/>
      <c r="P73" s="110"/>
      <c r="Q73" s="110"/>
      <c r="R73" s="182"/>
      <c r="S73" s="110"/>
      <c r="T73" s="385"/>
      <c r="U73" s="110"/>
      <c r="V73" s="110"/>
      <c r="W73" s="110"/>
      <c r="X73" s="110"/>
      <c r="Y73" s="373"/>
      <c r="Z73" s="110"/>
      <c r="AA73" s="110"/>
      <c r="AB73" s="110"/>
      <c r="AC73" s="110"/>
      <c r="AD73" s="373"/>
      <c r="AE73" s="110"/>
      <c r="AF73" s="110"/>
      <c r="AG73" s="110"/>
      <c r="AH73" s="110"/>
      <c r="AI73" s="373"/>
      <c r="AJ73" s="110"/>
      <c r="AK73" s="110"/>
      <c r="AL73" s="110"/>
      <c r="AM73" s="110"/>
      <c r="AN73" s="373"/>
      <c r="AO73" s="110"/>
      <c r="AP73" s="110"/>
      <c r="AQ73" s="110"/>
      <c r="AR73" s="110"/>
      <c r="AS73" s="373"/>
      <c r="AT73" s="110"/>
      <c r="AU73" s="110"/>
      <c r="AV73" s="110"/>
      <c r="AW73" s="110"/>
      <c r="AX73" s="373"/>
    </row>
    <row r="74" spans="2:50">
      <c r="B74" s="373"/>
      <c r="C74" s="110">
        <v>8</v>
      </c>
      <c r="D74" s="110"/>
      <c r="E74" s="184"/>
      <c r="F74" s="184"/>
      <c r="G74" s="182"/>
      <c r="H74" s="385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385"/>
      <c r="M74" s="184" t="e">
        <f>RANK(K74, K$67:$K$81)</f>
        <v>#DIV/0!</v>
      </c>
      <c r="N74" s="382"/>
      <c r="O74" s="382"/>
      <c r="P74" s="110"/>
      <c r="Q74" s="110"/>
      <c r="R74" s="182"/>
      <c r="S74" s="110"/>
      <c r="T74" s="385"/>
      <c r="U74" s="110"/>
      <c r="V74" s="110"/>
      <c r="W74" s="110"/>
      <c r="X74" s="110"/>
      <c r="Y74" s="373"/>
      <c r="Z74" s="110"/>
      <c r="AA74" s="110"/>
      <c r="AB74" s="110"/>
      <c r="AC74" s="110"/>
      <c r="AD74" s="373"/>
      <c r="AE74" s="110"/>
      <c r="AF74" s="110"/>
      <c r="AG74" s="110"/>
      <c r="AH74" s="110"/>
      <c r="AI74" s="373"/>
      <c r="AJ74" s="110"/>
      <c r="AK74" s="110"/>
      <c r="AL74" s="110"/>
      <c r="AM74" s="110"/>
      <c r="AN74" s="373"/>
      <c r="AO74" s="110"/>
      <c r="AP74" s="110"/>
      <c r="AQ74" s="110"/>
      <c r="AR74" s="110"/>
      <c r="AS74" s="373"/>
      <c r="AT74" s="110"/>
      <c r="AU74" s="110"/>
      <c r="AV74" s="110"/>
      <c r="AW74" s="110"/>
      <c r="AX74" s="373"/>
    </row>
    <row r="75" spans="2:50">
      <c r="B75" s="373"/>
      <c r="C75" s="110">
        <v>9</v>
      </c>
      <c r="D75" s="110"/>
      <c r="E75" s="184"/>
      <c r="F75" s="184"/>
      <c r="G75" s="182"/>
      <c r="H75" s="385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385"/>
      <c r="M75" s="184" t="e">
        <f>RANK(K75, K$67:$K$81)</f>
        <v>#DIV/0!</v>
      </c>
      <c r="N75" s="382"/>
      <c r="O75" s="382"/>
      <c r="P75" s="110"/>
      <c r="Q75" s="110"/>
      <c r="R75" s="182"/>
      <c r="S75" s="110"/>
      <c r="T75" s="385"/>
      <c r="U75" s="110"/>
      <c r="V75" s="110"/>
      <c r="W75" s="110"/>
      <c r="X75" s="110"/>
      <c r="Y75" s="373"/>
      <c r="Z75" s="110"/>
      <c r="AA75" s="110"/>
      <c r="AB75" s="110"/>
      <c r="AC75" s="110"/>
      <c r="AD75" s="373"/>
      <c r="AE75" s="110"/>
      <c r="AF75" s="110"/>
      <c r="AG75" s="110"/>
      <c r="AH75" s="110"/>
      <c r="AI75" s="373"/>
      <c r="AJ75" s="110"/>
      <c r="AK75" s="110"/>
      <c r="AL75" s="110"/>
      <c r="AM75" s="110"/>
      <c r="AN75" s="373"/>
      <c r="AO75" s="110"/>
      <c r="AP75" s="110"/>
      <c r="AQ75" s="110"/>
      <c r="AR75" s="110"/>
      <c r="AS75" s="373"/>
      <c r="AT75" s="110"/>
      <c r="AU75" s="110"/>
      <c r="AV75" s="110"/>
      <c r="AW75" s="110"/>
      <c r="AX75" s="373"/>
    </row>
    <row r="76" spans="2:50">
      <c r="B76" s="373"/>
      <c r="C76" s="110">
        <v>10</v>
      </c>
      <c r="D76" s="110"/>
      <c r="E76" s="184"/>
      <c r="F76" s="184"/>
      <c r="G76" s="182"/>
      <c r="H76" s="385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385"/>
      <c r="M76" s="184" t="e">
        <f>RANK(K76, K$67:$K$81)</f>
        <v>#DIV/0!</v>
      </c>
      <c r="N76" s="382"/>
      <c r="O76" s="382"/>
      <c r="P76" s="110"/>
      <c r="Q76" s="110"/>
      <c r="R76" s="182"/>
      <c r="S76" s="110"/>
      <c r="T76" s="385"/>
      <c r="U76" s="110"/>
      <c r="V76" s="110"/>
      <c r="W76" s="110"/>
      <c r="X76" s="110"/>
      <c r="Y76" s="373"/>
      <c r="Z76" s="110"/>
      <c r="AA76" s="110"/>
      <c r="AB76" s="110"/>
      <c r="AC76" s="110"/>
      <c r="AD76" s="373"/>
      <c r="AE76" s="110"/>
      <c r="AF76" s="110"/>
      <c r="AG76" s="110"/>
      <c r="AH76" s="110"/>
      <c r="AI76" s="373"/>
      <c r="AJ76" s="110"/>
      <c r="AK76" s="110"/>
      <c r="AL76" s="110"/>
      <c r="AM76" s="110"/>
      <c r="AN76" s="373"/>
      <c r="AO76" s="110"/>
      <c r="AP76" s="110"/>
      <c r="AQ76" s="110"/>
      <c r="AR76" s="110"/>
      <c r="AS76" s="373"/>
      <c r="AT76" s="110"/>
      <c r="AU76" s="110"/>
      <c r="AV76" s="110"/>
      <c r="AW76" s="110"/>
      <c r="AX76" s="373"/>
    </row>
    <row r="77" spans="2:50">
      <c r="B77" s="373"/>
      <c r="C77" s="110">
        <v>11</v>
      </c>
      <c r="D77" s="110"/>
      <c r="E77" s="184"/>
      <c r="F77" s="184"/>
      <c r="G77" s="182"/>
      <c r="H77" s="385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385"/>
      <c r="M77" s="184" t="e">
        <f>RANK(K77, K$67:$K$81)</f>
        <v>#DIV/0!</v>
      </c>
      <c r="N77" s="382"/>
      <c r="O77" s="382"/>
      <c r="P77" s="110"/>
      <c r="Q77" s="110"/>
      <c r="R77" s="182"/>
      <c r="S77" s="110"/>
      <c r="T77" s="385"/>
      <c r="U77" s="110"/>
      <c r="V77" s="110"/>
      <c r="W77" s="110"/>
      <c r="X77" s="110"/>
      <c r="Y77" s="373"/>
      <c r="Z77" s="110"/>
      <c r="AA77" s="110"/>
      <c r="AB77" s="110"/>
      <c r="AC77" s="110"/>
      <c r="AD77" s="373"/>
      <c r="AE77" s="110"/>
      <c r="AF77" s="110"/>
      <c r="AG77" s="110"/>
      <c r="AH77" s="110"/>
      <c r="AI77" s="373"/>
      <c r="AJ77" s="110"/>
      <c r="AK77" s="110"/>
      <c r="AL77" s="110"/>
      <c r="AM77" s="110"/>
      <c r="AN77" s="373"/>
      <c r="AO77" s="110"/>
      <c r="AP77" s="110"/>
      <c r="AQ77" s="110"/>
      <c r="AR77" s="110"/>
      <c r="AS77" s="373"/>
      <c r="AT77" s="110"/>
      <c r="AU77" s="110"/>
      <c r="AV77" s="110"/>
      <c r="AW77" s="110"/>
      <c r="AX77" s="373"/>
    </row>
    <row r="78" spans="2:50">
      <c r="B78" s="373"/>
      <c r="C78" s="110">
        <v>12</v>
      </c>
      <c r="D78" s="110"/>
      <c r="E78" s="184"/>
      <c r="F78" s="184"/>
      <c r="G78" s="182"/>
      <c r="H78" s="385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385"/>
      <c r="M78" s="184" t="e">
        <f>RANK(K78, K$67:$K$81)</f>
        <v>#DIV/0!</v>
      </c>
      <c r="N78" s="382"/>
      <c r="O78" s="382"/>
      <c r="P78" s="110"/>
      <c r="Q78" s="110"/>
      <c r="R78" s="182"/>
      <c r="S78" s="110"/>
      <c r="T78" s="385"/>
      <c r="U78" s="110"/>
      <c r="V78" s="110"/>
      <c r="W78" s="110"/>
      <c r="X78" s="110"/>
      <c r="Y78" s="373"/>
      <c r="Z78" s="110"/>
      <c r="AA78" s="110"/>
      <c r="AB78" s="110"/>
      <c r="AC78" s="110"/>
      <c r="AD78" s="373"/>
      <c r="AE78" s="110"/>
      <c r="AF78" s="110"/>
      <c r="AG78" s="110"/>
      <c r="AH78" s="110"/>
      <c r="AI78" s="373"/>
      <c r="AJ78" s="110"/>
      <c r="AK78" s="110"/>
      <c r="AL78" s="110"/>
      <c r="AM78" s="110"/>
      <c r="AN78" s="373"/>
      <c r="AO78" s="110"/>
      <c r="AP78" s="110"/>
      <c r="AQ78" s="110"/>
      <c r="AR78" s="110"/>
      <c r="AS78" s="373"/>
      <c r="AT78" s="110"/>
      <c r="AU78" s="110"/>
      <c r="AV78" s="110"/>
      <c r="AW78" s="110"/>
      <c r="AX78" s="373"/>
    </row>
    <row r="79" spans="2:50">
      <c r="B79" s="373"/>
      <c r="C79" s="110">
        <v>13</v>
      </c>
      <c r="D79" s="110"/>
      <c r="E79" s="184"/>
      <c r="F79" s="184"/>
      <c r="G79" s="182"/>
      <c r="H79" s="385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385"/>
      <c r="M79" s="184" t="e">
        <f>RANK(K79, K$67:$K$81)</f>
        <v>#DIV/0!</v>
      </c>
      <c r="N79" s="382"/>
      <c r="O79" s="382"/>
      <c r="P79" s="110"/>
      <c r="Q79" s="110"/>
      <c r="R79" s="182"/>
      <c r="S79" s="110"/>
      <c r="T79" s="385"/>
      <c r="U79" s="110"/>
      <c r="V79" s="110"/>
      <c r="W79" s="110"/>
      <c r="X79" s="110"/>
      <c r="Y79" s="373"/>
      <c r="Z79" s="110"/>
      <c r="AA79" s="110"/>
      <c r="AB79" s="110"/>
      <c r="AC79" s="110"/>
      <c r="AD79" s="373"/>
      <c r="AE79" s="110"/>
      <c r="AF79" s="110"/>
      <c r="AG79" s="110"/>
      <c r="AH79" s="110"/>
      <c r="AI79" s="373"/>
      <c r="AJ79" s="110"/>
      <c r="AK79" s="110"/>
      <c r="AL79" s="110"/>
      <c r="AM79" s="110"/>
      <c r="AN79" s="373"/>
      <c r="AO79" s="110"/>
      <c r="AP79" s="110"/>
      <c r="AQ79" s="110"/>
      <c r="AR79" s="110"/>
      <c r="AS79" s="373"/>
      <c r="AT79" s="110"/>
      <c r="AU79" s="110"/>
      <c r="AV79" s="110"/>
      <c r="AW79" s="110"/>
      <c r="AX79" s="373"/>
    </row>
    <row r="80" spans="2:50">
      <c r="B80" s="373"/>
      <c r="C80" s="110">
        <v>14</v>
      </c>
      <c r="D80" s="110"/>
      <c r="E80" s="184"/>
      <c r="F80" s="184"/>
      <c r="G80" s="182"/>
      <c r="H80" s="385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385"/>
      <c r="M80" s="184" t="e">
        <f>RANK(K80, K$67:$K$81)</f>
        <v>#DIV/0!</v>
      </c>
      <c r="N80" s="382"/>
      <c r="O80" s="382"/>
      <c r="P80" s="110"/>
      <c r="Q80" s="110"/>
      <c r="R80" s="110"/>
      <c r="S80" s="110"/>
      <c r="T80" s="385"/>
      <c r="U80" s="110"/>
      <c r="V80" s="110"/>
      <c r="W80" s="110"/>
      <c r="X80" s="110"/>
      <c r="Y80" s="373"/>
      <c r="Z80" s="110"/>
      <c r="AA80" s="110"/>
      <c r="AB80" s="110"/>
      <c r="AC80" s="110"/>
      <c r="AD80" s="373"/>
      <c r="AE80" s="110"/>
      <c r="AF80" s="110"/>
      <c r="AG80" s="110"/>
      <c r="AH80" s="110"/>
      <c r="AI80" s="373"/>
      <c r="AJ80" s="110"/>
      <c r="AK80" s="110"/>
      <c r="AL80" s="110"/>
      <c r="AM80" s="110"/>
      <c r="AN80" s="373"/>
      <c r="AO80" s="110"/>
      <c r="AP80" s="110"/>
      <c r="AQ80" s="110"/>
      <c r="AR80" s="110"/>
      <c r="AS80" s="373"/>
      <c r="AT80" s="110"/>
      <c r="AU80" s="110"/>
      <c r="AV80" s="110"/>
      <c r="AW80" s="110"/>
      <c r="AX80" s="373"/>
    </row>
    <row r="81" spans="2:50">
      <c r="B81" s="373"/>
      <c r="C81" s="110">
        <v>15</v>
      </c>
      <c r="D81" s="110"/>
      <c r="E81" s="110"/>
      <c r="F81" s="110"/>
      <c r="G81" s="110"/>
      <c r="H81" s="386"/>
      <c r="I81" s="110"/>
      <c r="J81" s="110"/>
      <c r="K81" s="110"/>
      <c r="L81" s="386"/>
      <c r="M81" s="184" t="e">
        <f>RANK(K81, K$67:$K$81)</f>
        <v>#DIV/0!</v>
      </c>
      <c r="N81" s="382"/>
      <c r="O81" s="382"/>
      <c r="P81" s="110"/>
      <c r="Q81" s="110"/>
      <c r="R81" s="110"/>
      <c r="S81" s="110"/>
      <c r="T81" s="386"/>
      <c r="U81" s="110"/>
      <c r="V81" s="110"/>
      <c r="W81" s="110"/>
      <c r="X81" s="110"/>
      <c r="Y81" s="373"/>
      <c r="Z81" s="110"/>
      <c r="AA81" s="110"/>
      <c r="AB81" s="110"/>
      <c r="AC81" s="110"/>
      <c r="AD81" s="373"/>
      <c r="AE81" s="110"/>
      <c r="AF81" s="110"/>
      <c r="AG81" s="110"/>
      <c r="AH81" s="110"/>
      <c r="AI81" s="373"/>
      <c r="AJ81" s="110"/>
      <c r="AK81" s="110"/>
      <c r="AL81" s="110"/>
      <c r="AM81" s="110"/>
      <c r="AN81" s="373"/>
      <c r="AO81" s="110"/>
      <c r="AP81" s="110"/>
      <c r="AQ81" s="110"/>
      <c r="AR81" s="110"/>
      <c r="AS81" s="373"/>
      <c r="AT81" s="110"/>
      <c r="AU81" s="110"/>
      <c r="AV81" s="110"/>
      <c r="AW81" s="110"/>
      <c r="AX81" s="373"/>
    </row>
    <row r="82" spans="2:50" ht="15.75">
      <c r="B82" s="374" t="s">
        <v>86</v>
      </c>
      <c r="C82" s="375"/>
      <c r="D82" s="375"/>
      <c r="E82" s="375"/>
      <c r="F82" s="375"/>
      <c r="G82" s="375"/>
      <c r="H82" s="375"/>
      <c r="I82" s="214"/>
      <c r="J82" s="214"/>
      <c r="K82" s="214"/>
      <c r="L82" s="214"/>
      <c r="M82" s="213"/>
      <c r="N82" s="377" t="s">
        <v>87</v>
      </c>
      <c r="O82" s="377" t="s">
        <v>45</v>
      </c>
      <c r="P82" s="372">
        <v>45895</v>
      </c>
      <c r="Q82" s="373"/>
      <c r="R82" s="373"/>
      <c r="S82" s="373"/>
      <c r="T82" s="373"/>
      <c r="U82" s="372">
        <v>45896</v>
      </c>
      <c r="V82" s="373"/>
      <c r="W82" s="373"/>
      <c r="X82" s="373"/>
      <c r="Y82" s="373"/>
      <c r="Z82" s="372">
        <v>45897</v>
      </c>
      <c r="AA82" s="373"/>
      <c r="AB82" s="373"/>
      <c r="AC82" s="373"/>
      <c r="AD82" s="373"/>
      <c r="AE82" s="372">
        <v>45898</v>
      </c>
      <c r="AF82" s="373"/>
      <c r="AG82" s="373"/>
      <c r="AH82" s="373"/>
      <c r="AI82" s="373"/>
      <c r="AJ82" s="372">
        <v>45899</v>
      </c>
      <c r="AK82" s="373"/>
      <c r="AL82" s="373"/>
      <c r="AM82" s="373"/>
      <c r="AN82" s="373"/>
      <c r="AO82" s="372">
        <v>45900</v>
      </c>
      <c r="AP82" s="373"/>
      <c r="AQ82" s="373"/>
      <c r="AR82" s="373"/>
      <c r="AS82" s="373"/>
      <c r="AT82" s="372"/>
      <c r="AU82" s="373"/>
      <c r="AV82" s="373"/>
      <c r="AW82" s="373"/>
      <c r="AX82" s="373"/>
    </row>
    <row r="83" spans="2:50" ht="15.75">
      <c r="B83" s="376"/>
      <c r="C83" s="376"/>
      <c r="D83" s="376"/>
      <c r="E83" s="376"/>
      <c r="F83" s="376"/>
      <c r="G83" s="376"/>
      <c r="H83" s="376"/>
      <c r="I83" s="180"/>
      <c r="J83" s="180"/>
      <c r="K83" s="180"/>
      <c r="L83" s="180"/>
      <c r="M83" s="181"/>
      <c r="N83" s="378"/>
      <c r="O83" s="378"/>
      <c r="P83" s="372" t="s">
        <v>57</v>
      </c>
      <c r="Q83" s="373"/>
      <c r="R83" s="373"/>
      <c r="S83" s="373"/>
      <c r="T83" s="373"/>
      <c r="U83" s="372" t="s">
        <v>58</v>
      </c>
      <c r="V83" s="373"/>
      <c r="W83" s="373"/>
      <c r="X83" s="373"/>
      <c r="Y83" s="373"/>
      <c r="Z83" s="372" t="s">
        <v>59</v>
      </c>
      <c r="AA83" s="373"/>
      <c r="AB83" s="373"/>
      <c r="AC83" s="373"/>
      <c r="AD83" s="373"/>
      <c r="AE83" s="372" t="s">
        <v>60</v>
      </c>
      <c r="AF83" s="373"/>
      <c r="AG83" s="373"/>
      <c r="AH83" s="373"/>
      <c r="AI83" s="373"/>
      <c r="AJ83" s="372" t="s">
        <v>61</v>
      </c>
      <c r="AK83" s="373"/>
      <c r="AL83" s="373"/>
      <c r="AM83" s="373"/>
      <c r="AN83" s="373"/>
      <c r="AO83" s="372" t="s">
        <v>52</v>
      </c>
      <c r="AP83" s="373"/>
      <c r="AQ83" s="373"/>
      <c r="AR83" s="373"/>
      <c r="AS83" s="373"/>
      <c r="AT83" s="372" t="s">
        <v>56</v>
      </c>
      <c r="AU83" s="373"/>
      <c r="AV83" s="373"/>
      <c r="AW83" s="373"/>
      <c r="AX83" s="373"/>
    </row>
    <row r="84" spans="2:50">
      <c r="B84" s="382" t="s">
        <v>88</v>
      </c>
      <c r="C84" s="382" t="s">
        <v>89</v>
      </c>
      <c r="D84" s="382"/>
      <c r="E84" s="382" t="s">
        <v>90</v>
      </c>
      <c r="F84" s="382"/>
      <c r="G84" s="382"/>
      <c r="H84" s="388" t="s">
        <v>91</v>
      </c>
      <c r="I84" s="382" t="s">
        <v>92</v>
      </c>
      <c r="J84" s="382"/>
      <c r="K84" s="382"/>
      <c r="L84" s="388" t="s">
        <v>91</v>
      </c>
      <c r="M84" s="377" t="s">
        <v>93</v>
      </c>
      <c r="N84" s="382"/>
      <c r="O84" s="382" t="s">
        <v>94</v>
      </c>
      <c r="P84" s="379" t="s">
        <v>95</v>
      </c>
      <c r="Q84" s="380"/>
      <c r="R84" s="380"/>
      <c r="S84" s="381"/>
      <c r="T84" s="382" t="s">
        <v>91</v>
      </c>
      <c r="U84" s="379" t="s">
        <v>95</v>
      </c>
      <c r="V84" s="380"/>
      <c r="W84" s="380"/>
      <c r="X84" s="381"/>
      <c r="Y84" s="382" t="s">
        <v>91</v>
      </c>
      <c r="Z84" s="379" t="s">
        <v>95</v>
      </c>
      <c r="AA84" s="380"/>
      <c r="AB84" s="380"/>
      <c r="AC84" s="381"/>
      <c r="AD84" s="382" t="s">
        <v>91</v>
      </c>
      <c r="AE84" s="379" t="s">
        <v>95</v>
      </c>
      <c r="AF84" s="380"/>
      <c r="AG84" s="380"/>
      <c r="AH84" s="381"/>
      <c r="AI84" s="382" t="s">
        <v>91</v>
      </c>
      <c r="AJ84" s="379" t="s">
        <v>95</v>
      </c>
      <c r="AK84" s="380"/>
      <c r="AL84" s="380"/>
      <c r="AM84" s="381"/>
      <c r="AN84" s="382" t="s">
        <v>91</v>
      </c>
      <c r="AO84" s="379" t="s">
        <v>95</v>
      </c>
      <c r="AP84" s="380"/>
      <c r="AQ84" s="380"/>
      <c r="AR84" s="381"/>
      <c r="AS84" s="382" t="s">
        <v>91</v>
      </c>
      <c r="AT84" s="379" t="s">
        <v>95</v>
      </c>
      <c r="AU84" s="380"/>
      <c r="AV84" s="380"/>
      <c r="AW84" s="381"/>
      <c r="AX84" s="382" t="s">
        <v>91</v>
      </c>
    </row>
    <row r="85" spans="2:50">
      <c r="B85" s="382"/>
      <c r="C85" s="382"/>
      <c r="D85" s="382"/>
      <c r="E85" s="382" t="s">
        <v>96</v>
      </c>
      <c r="F85" s="382"/>
      <c r="G85" s="382"/>
      <c r="H85" s="389"/>
      <c r="I85" s="382" t="s">
        <v>96</v>
      </c>
      <c r="J85" s="382"/>
      <c r="K85" s="382"/>
      <c r="L85" s="389"/>
      <c r="M85" s="391"/>
      <c r="N85" s="382"/>
      <c r="O85" s="382"/>
      <c r="P85" s="379" t="s">
        <v>97</v>
      </c>
      <c r="Q85" s="380"/>
      <c r="R85" s="380"/>
      <c r="S85" s="381"/>
      <c r="T85" s="382"/>
      <c r="U85" s="379" t="s">
        <v>97</v>
      </c>
      <c r="V85" s="380"/>
      <c r="W85" s="380"/>
      <c r="X85" s="381"/>
      <c r="Y85" s="382"/>
      <c r="Z85" s="379" t="s">
        <v>97</v>
      </c>
      <c r="AA85" s="380"/>
      <c r="AB85" s="380"/>
      <c r="AC85" s="381"/>
      <c r="AD85" s="382"/>
      <c r="AE85" s="379" t="s">
        <v>97</v>
      </c>
      <c r="AF85" s="380"/>
      <c r="AG85" s="380"/>
      <c r="AH85" s="381"/>
      <c r="AI85" s="382"/>
      <c r="AJ85" s="379" t="s">
        <v>97</v>
      </c>
      <c r="AK85" s="380"/>
      <c r="AL85" s="380"/>
      <c r="AM85" s="381"/>
      <c r="AN85" s="382"/>
      <c r="AO85" s="379" t="s">
        <v>97</v>
      </c>
      <c r="AP85" s="380"/>
      <c r="AQ85" s="380"/>
      <c r="AR85" s="381"/>
      <c r="AS85" s="382"/>
      <c r="AT85" s="379" t="s">
        <v>97</v>
      </c>
      <c r="AU85" s="380"/>
      <c r="AV85" s="380"/>
      <c r="AW85" s="381"/>
      <c r="AX85" s="382"/>
    </row>
    <row r="86" spans="2:50">
      <c r="B86" s="382"/>
      <c r="C86" s="382"/>
      <c r="D86" s="382"/>
      <c r="E86" s="109" t="s">
        <v>98</v>
      </c>
      <c r="F86" s="109" t="s">
        <v>99</v>
      </c>
      <c r="G86" s="109" t="s">
        <v>100</v>
      </c>
      <c r="H86" s="390"/>
      <c r="I86" s="109" t="s">
        <v>98</v>
      </c>
      <c r="J86" s="109" t="s">
        <v>99</v>
      </c>
      <c r="K86" s="109" t="s">
        <v>100</v>
      </c>
      <c r="L86" s="390"/>
      <c r="M86" s="378"/>
      <c r="N86" s="382"/>
      <c r="O86" s="382"/>
      <c r="P86" s="109" t="s">
        <v>98</v>
      </c>
      <c r="Q86" s="109" t="s">
        <v>99</v>
      </c>
      <c r="R86" s="109" t="s">
        <v>100</v>
      </c>
      <c r="S86" s="109" t="s">
        <v>93</v>
      </c>
      <c r="T86" s="382"/>
      <c r="U86" s="109" t="s">
        <v>98</v>
      </c>
      <c r="V86" s="109" t="s">
        <v>99</v>
      </c>
      <c r="W86" s="109" t="s">
        <v>100</v>
      </c>
      <c r="X86" s="109" t="s">
        <v>93</v>
      </c>
      <c r="Y86" s="382"/>
      <c r="Z86" s="109" t="s">
        <v>98</v>
      </c>
      <c r="AA86" s="109" t="s">
        <v>99</v>
      </c>
      <c r="AB86" s="109" t="s">
        <v>100</v>
      </c>
      <c r="AC86" s="109" t="s">
        <v>93</v>
      </c>
      <c r="AD86" s="382"/>
      <c r="AE86" s="109" t="s">
        <v>98</v>
      </c>
      <c r="AF86" s="109" t="s">
        <v>99</v>
      </c>
      <c r="AG86" s="109" t="s">
        <v>100</v>
      </c>
      <c r="AH86" s="109" t="s">
        <v>93</v>
      </c>
      <c r="AI86" s="382"/>
      <c r="AJ86" s="109" t="s">
        <v>98</v>
      </c>
      <c r="AK86" s="109" t="s">
        <v>99</v>
      </c>
      <c r="AL86" s="109" t="s">
        <v>100</v>
      </c>
      <c r="AM86" s="109" t="s">
        <v>93</v>
      </c>
      <c r="AN86" s="382"/>
      <c r="AO86" s="109" t="s">
        <v>98</v>
      </c>
      <c r="AP86" s="109" t="s">
        <v>99</v>
      </c>
      <c r="AQ86" s="109" t="s">
        <v>100</v>
      </c>
      <c r="AR86" s="109" t="s">
        <v>93</v>
      </c>
      <c r="AS86" s="382"/>
      <c r="AT86" s="109" t="s">
        <v>98</v>
      </c>
      <c r="AU86" s="109" t="s">
        <v>99</v>
      </c>
      <c r="AV86" s="109" t="s">
        <v>100</v>
      </c>
      <c r="AW86" s="109" t="s">
        <v>93</v>
      </c>
      <c r="AX86" s="382"/>
    </row>
    <row r="87" spans="2:50">
      <c r="B87" s="382" t="s">
        <v>121</v>
      </c>
      <c r="C87" s="110">
        <v>1</v>
      </c>
      <c r="D87" s="110"/>
      <c r="E87" s="110"/>
      <c r="F87" s="110"/>
      <c r="G87" s="110"/>
      <c r="H87" s="394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384" t="e">
        <f>AVERAGE(K87:K101)</f>
        <v>#DIV/0!</v>
      </c>
      <c r="M87" s="184" t="e">
        <f>RANK(K87, K$87:$K$101)</f>
        <v>#DIV/0!</v>
      </c>
      <c r="N87" s="382"/>
      <c r="O87" s="382"/>
      <c r="P87" s="110"/>
      <c r="Q87" s="110"/>
      <c r="R87" s="110"/>
      <c r="S87" s="110"/>
      <c r="T87" s="373" t="e">
        <f>AVERAGE(R87:R101)</f>
        <v>#DIV/0!</v>
      </c>
      <c r="U87" s="110"/>
      <c r="V87" s="110"/>
      <c r="W87" s="110"/>
      <c r="X87" s="110"/>
      <c r="Y87" s="373" t="e">
        <f>AVERAGE(W87:W101)</f>
        <v>#DIV/0!</v>
      </c>
      <c r="Z87" s="110"/>
      <c r="AA87" s="110"/>
      <c r="AB87" s="110"/>
      <c r="AC87" s="110"/>
      <c r="AD87" s="373" t="e">
        <f>AVERAGE(AB87:AB101)</f>
        <v>#DIV/0!</v>
      </c>
      <c r="AE87" s="110"/>
      <c r="AF87" s="110"/>
      <c r="AG87" s="110"/>
      <c r="AH87" s="110"/>
      <c r="AI87" s="373" t="e">
        <f>AVERAGE(AG87:AG101)</f>
        <v>#DIV/0!</v>
      </c>
      <c r="AJ87" s="110"/>
      <c r="AK87" s="110"/>
      <c r="AL87" s="110"/>
      <c r="AM87" s="110"/>
      <c r="AN87" s="373" t="e">
        <f>AVERAGE(AL87:AL101)</f>
        <v>#DIV/0!</v>
      </c>
      <c r="AO87" s="110"/>
      <c r="AP87" s="110"/>
      <c r="AQ87" s="110"/>
      <c r="AR87" s="110"/>
      <c r="AS87" s="373" t="e">
        <f>AVERAGE(AQ87:AQ101)</f>
        <v>#DIV/0!</v>
      </c>
      <c r="AT87" s="110"/>
      <c r="AU87" s="110"/>
      <c r="AV87" s="110"/>
      <c r="AW87" s="110"/>
      <c r="AX87" s="373" t="e">
        <f>AVERAGE(AV87:AV101)</f>
        <v>#DIV/0!</v>
      </c>
    </row>
    <row r="88" spans="2:50">
      <c r="B88" s="373"/>
      <c r="C88" s="110">
        <v>2</v>
      </c>
      <c r="D88" s="110"/>
      <c r="E88" s="110"/>
      <c r="F88" s="110"/>
      <c r="G88" s="110"/>
      <c r="H88" s="395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385"/>
      <c r="M88" s="184" t="e">
        <f>RANK(K88, K$87:$K$101)</f>
        <v>#DIV/0!</v>
      </c>
      <c r="N88" s="382"/>
      <c r="O88" s="382"/>
      <c r="P88" s="110"/>
      <c r="Q88" s="110"/>
      <c r="R88" s="110"/>
      <c r="S88" s="110"/>
      <c r="T88" s="373"/>
      <c r="U88" s="110"/>
      <c r="V88" s="110"/>
      <c r="W88" s="110"/>
      <c r="X88" s="110"/>
      <c r="Y88" s="373"/>
      <c r="Z88" s="110"/>
      <c r="AA88" s="110"/>
      <c r="AB88" s="110"/>
      <c r="AC88" s="110"/>
      <c r="AD88" s="373"/>
      <c r="AE88" s="110"/>
      <c r="AF88" s="110"/>
      <c r="AG88" s="110"/>
      <c r="AH88" s="110"/>
      <c r="AI88" s="373"/>
      <c r="AJ88" s="110"/>
      <c r="AK88" s="110"/>
      <c r="AL88" s="110"/>
      <c r="AM88" s="110"/>
      <c r="AN88" s="373"/>
      <c r="AO88" s="110"/>
      <c r="AP88" s="110"/>
      <c r="AQ88" s="110"/>
      <c r="AR88" s="110"/>
      <c r="AS88" s="373"/>
      <c r="AT88" s="110"/>
      <c r="AU88" s="110"/>
      <c r="AV88" s="110"/>
      <c r="AW88" s="110"/>
      <c r="AX88" s="373"/>
    </row>
    <row r="89" spans="2:50">
      <c r="B89" s="373"/>
      <c r="C89" s="110">
        <v>3</v>
      </c>
      <c r="D89" s="110"/>
      <c r="E89" s="110"/>
      <c r="F89" s="110"/>
      <c r="G89" s="110"/>
      <c r="H89" s="395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385"/>
      <c r="M89" s="184" t="e">
        <f>RANK(K89, K$87:$K$101)</f>
        <v>#DIV/0!</v>
      </c>
      <c r="N89" s="382"/>
      <c r="O89" s="382"/>
      <c r="P89" s="110"/>
      <c r="Q89" s="110"/>
      <c r="R89" s="110"/>
      <c r="S89" s="110"/>
      <c r="T89" s="373"/>
      <c r="U89" s="110"/>
      <c r="V89" s="110"/>
      <c r="W89" s="110"/>
      <c r="X89" s="110"/>
      <c r="Y89" s="373"/>
      <c r="Z89" s="110"/>
      <c r="AA89" s="110"/>
      <c r="AB89" s="110"/>
      <c r="AC89" s="110"/>
      <c r="AD89" s="373"/>
      <c r="AE89" s="110"/>
      <c r="AF89" s="110"/>
      <c r="AG89" s="110"/>
      <c r="AH89" s="110"/>
      <c r="AI89" s="373"/>
      <c r="AJ89" s="110"/>
      <c r="AK89" s="110"/>
      <c r="AL89" s="110"/>
      <c r="AM89" s="110"/>
      <c r="AN89" s="373"/>
      <c r="AO89" s="110"/>
      <c r="AP89" s="110"/>
      <c r="AQ89" s="110"/>
      <c r="AR89" s="110"/>
      <c r="AS89" s="373"/>
      <c r="AT89" s="110"/>
      <c r="AU89" s="110"/>
      <c r="AV89" s="110"/>
      <c r="AW89" s="110"/>
      <c r="AX89" s="373"/>
    </row>
    <row r="90" spans="2:50">
      <c r="B90" s="373"/>
      <c r="C90" s="110">
        <v>4</v>
      </c>
      <c r="D90" s="110"/>
      <c r="E90" s="110"/>
      <c r="F90" s="110"/>
      <c r="G90" s="110"/>
      <c r="H90" s="395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385"/>
      <c r="M90" s="184" t="e">
        <f>RANK(K90, K$87:$K$101)</f>
        <v>#DIV/0!</v>
      </c>
      <c r="N90" s="382"/>
      <c r="O90" s="382"/>
      <c r="P90" s="110"/>
      <c r="Q90" s="110"/>
      <c r="R90" s="110"/>
      <c r="S90" s="110"/>
      <c r="T90" s="373"/>
      <c r="U90" s="110"/>
      <c r="V90" s="110"/>
      <c r="W90" s="110"/>
      <c r="X90" s="110"/>
      <c r="Y90" s="373"/>
      <c r="Z90" s="110"/>
      <c r="AA90" s="110"/>
      <c r="AB90" s="110"/>
      <c r="AC90" s="110"/>
      <c r="AD90" s="373"/>
      <c r="AE90" s="110"/>
      <c r="AF90" s="110"/>
      <c r="AG90" s="110"/>
      <c r="AH90" s="110"/>
      <c r="AI90" s="373"/>
      <c r="AJ90" s="110"/>
      <c r="AK90" s="110"/>
      <c r="AL90" s="110"/>
      <c r="AM90" s="110"/>
      <c r="AN90" s="373"/>
      <c r="AO90" s="110"/>
      <c r="AP90" s="110"/>
      <c r="AQ90" s="110"/>
      <c r="AR90" s="110"/>
      <c r="AS90" s="373"/>
      <c r="AT90" s="110"/>
      <c r="AU90" s="110"/>
      <c r="AV90" s="110"/>
      <c r="AW90" s="110"/>
      <c r="AX90" s="373"/>
    </row>
    <row r="91" spans="2:50">
      <c r="B91" s="373"/>
      <c r="C91" s="110">
        <v>5</v>
      </c>
      <c r="D91" s="110"/>
      <c r="E91" s="110"/>
      <c r="F91" s="110"/>
      <c r="G91" s="110"/>
      <c r="H91" s="395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385"/>
      <c r="M91" s="184" t="e">
        <f>RANK(K91, K$87:$K$101)</f>
        <v>#DIV/0!</v>
      </c>
      <c r="N91" s="382"/>
      <c r="O91" s="382"/>
      <c r="P91" s="110"/>
      <c r="Q91" s="110"/>
      <c r="R91" s="110"/>
      <c r="S91" s="110"/>
      <c r="T91" s="373"/>
      <c r="U91" s="110"/>
      <c r="V91" s="110"/>
      <c r="W91" s="110"/>
      <c r="X91" s="110"/>
      <c r="Y91" s="373"/>
      <c r="Z91" s="110"/>
      <c r="AA91" s="110"/>
      <c r="AB91" s="110"/>
      <c r="AC91" s="110"/>
      <c r="AD91" s="373"/>
      <c r="AE91" s="110"/>
      <c r="AF91" s="110"/>
      <c r="AG91" s="110"/>
      <c r="AH91" s="110"/>
      <c r="AI91" s="373"/>
      <c r="AJ91" s="110"/>
      <c r="AK91" s="110"/>
      <c r="AL91" s="110"/>
      <c r="AM91" s="110"/>
      <c r="AN91" s="373"/>
      <c r="AO91" s="110"/>
      <c r="AP91" s="110"/>
      <c r="AQ91" s="110"/>
      <c r="AR91" s="110"/>
      <c r="AS91" s="373"/>
      <c r="AT91" s="110"/>
      <c r="AU91" s="110"/>
      <c r="AV91" s="110"/>
      <c r="AW91" s="110"/>
      <c r="AX91" s="373"/>
    </row>
    <row r="92" spans="2:50">
      <c r="B92" s="373"/>
      <c r="C92" s="110">
        <v>6</v>
      </c>
      <c r="D92" s="110"/>
      <c r="E92" s="110"/>
      <c r="F92" s="110"/>
      <c r="G92" s="110"/>
      <c r="H92" s="395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385"/>
      <c r="M92" s="184" t="e">
        <f>RANK(K92, K$87:$K$101)</f>
        <v>#DIV/0!</v>
      </c>
      <c r="N92" s="382"/>
      <c r="O92" s="382"/>
      <c r="P92" s="110"/>
      <c r="Q92" s="110"/>
      <c r="R92" s="110"/>
      <c r="S92" s="110"/>
      <c r="T92" s="373"/>
      <c r="U92" s="110"/>
      <c r="V92" s="110"/>
      <c r="W92" s="110"/>
      <c r="X92" s="110"/>
      <c r="Y92" s="373"/>
      <c r="Z92" s="110"/>
      <c r="AA92" s="110"/>
      <c r="AB92" s="110"/>
      <c r="AC92" s="110"/>
      <c r="AD92" s="373"/>
      <c r="AE92" s="110"/>
      <c r="AF92" s="110"/>
      <c r="AG92" s="110"/>
      <c r="AH92" s="110"/>
      <c r="AI92" s="373"/>
      <c r="AJ92" s="110"/>
      <c r="AK92" s="110"/>
      <c r="AL92" s="110"/>
      <c r="AM92" s="110"/>
      <c r="AN92" s="373"/>
      <c r="AO92" s="110"/>
      <c r="AP92" s="110"/>
      <c r="AQ92" s="110"/>
      <c r="AR92" s="110"/>
      <c r="AS92" s="373"/>
      <c r="AT92" s="110"/>
      <c r="AU92" s="110"/>
      <c r="AV92" s="110"/>
      <c r="AW92" s="110"/>
      <c r="AX92" s="373"/>
    </row>
    <row r="93" spans="2:50">
      <c r="B93" s="373"/>
      <c r="C93" s="110">
        <v>7</v>
      </c>
      <c r="D93" s="110"/>
      <c r="E93" s="110"/>
      <c r="F93" s="110"/>
      <c r="G93" s="110"/>
      <c r="H93" s="395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385"/>
      <c r="M93" s="184" t="e">
        <f>RANK(K93, K$87:$K$101)</f>
        <v>#DIV/0!</v>
      </c>
      <c r="N93" s="382"/>
      <c r="O93" s="382"/>
      <c r="P93" s="110"/>
      <c r="Q93" s="110"/>
      <c r="R93" s="110"/>
      <c r="S93" s="110"/>
      <c r="T93" s="373"/>
      <c r="U93" s="110"/>
      <c r="V93" s="110"/>
      <c r="W93" s="110"/>
      <c r="X93" s="110"/>
      <c r="Y93" s="373"/>
      <c r="Z93" s="110"/>
      <c r="AA93" s="110"/>
      <c r="AB93" s="110"/>
      <c r="AC93" s="110"/>
      <c r="AD93" s="373"/>
      <c r="AE93" s="110"/>
      <c r="AF93" s="110"/>
      <c r="AG93" s="110"/>
      <c r="AH93" s="110"/>
      <c r="AI93" s="373"/>
      <c r="AJ93" s="110"/>
      <c r="AK93" s="110"/>
      <c r="AL93" s="110"/>
      <c r="AM93" s="110"/>
      <c r="AN93" s="373"/>
      <c r="AO93" s="110"/>
      <c r="AP93" s="110"/>
      <c r="AQ93" s="110"/>
      <c r="AR93" s="110"/>
      <c r="AS93" s="373"/>
      <c r="AT93" s="110"/>
      <c r="AU93" s="110"/>
      <c r="AV93" s="110"/>
      <c r="AW93" s="110"/>
      <c r="AX93" s="373"/>
    </row>
    <row r="94" spans="2:50">
      <c r="B94" s="373"/>
      <c r="C94" s="110">
        <v>8</v>
      </c>
      <c r="D94" s="110"/>
      <c r="E94" s="110"/>
      <c r="F94" s="110"/>
      <c r="G94" s="110"/>
      <c r="H94" s="395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385"/>
      <c r="M94" s="184" t="e">
        <f>RANK(K94, K$87:$K$101)</f>
        <v>#DIV/0!</v>
      </c>
      <c r="N94" s="382"/>
      <c r="O94" s="382"/>
      <c r="P94" s="110"/>
      <c r="Q94" s="110"/>
      <c r="R94" s="110"/>
      <c r="S94" s="110"/>
      <c r="T94" s="373"/>
      <c r="U94" s="110"/>
      <c r="V94" s="110"/>
      <c r="W94" s="110"/>
      <c r="X94" s="110"/>
      <c r="Y94" s="373"/>
      <c r="Z94" s="110"/>
      <c r="AA94" s="110"/>
      <c r="AB94" s="110"/>
      <c r="AC94" s="110"/>
      <c r="AD94" s="373"/>
      <c r="AE94" s="110"/>
      <c r="AF94" s="110"/>
      <c r="AG94" s="110"/>
      <c r="AH94" s="110"/>
      <c r="AI94" s="373"/>
      <c r="AJ94" s="110"/>
      <c r="AK94" s="110"/>
      <c r="AL94" s="110"/>
      <c r="AM94" s="110"/>
      <c r="AN94" s="373"/>
      <c r="AO94" s="110"/>
      <c r="AP94" s="110"/>
      <c r="AQ94" s="110"/>
      <c r="AR94" s="110"/>
      <c r="AS94" s="373"/>
      <c r="AT94" s="110"/>
      <c r="AU94" s="110"/>
      <c r="AV94" s="110"/>
      <c r="AW94" s="110"/>
      <c r="AX94" s="373"/>
    </row>
    <row r="95" spans="2:50">
      <c r="B95" s="373"/>
      <c r="C95" s="110">
        <v>9</v>
      </c>
      <c r="D95" s="110"/>
      <c r="E95" s="110"/>
      <c r="F95" s="110"/>
      <c r="G95" s="110"/>
      <c r="H95" s="395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385"/>
      <c r="M95" s="184" t="e">
        <f>RANK(K95, K$87:$K$101)</f>
        <v>#DIV/0!</v>
      </c>
      <c r="N95" s="382"/>
      <c r="O95" s="382"/>
      <c r="P95" s="110"/>
      <c r="Q95" s="110"/>
      <c r="R95" s="110"/>
      <c r="S95" s="110"/>
      <c r="T95" s="373"/>
      <c r="U95" s="110"/>
      <c r="V95" s="110"/>
      <c r="W95" s="110"/>
      <c r="X95" s="110"/>
      <c r="Y95" s="373"/>
      <c r="Z95" s="110"/>
      <c r="AA95" s="110"/>
      <c r="AB95" s="110"/>
      <c r="AC95" s="110"/>
      <c r="AD95" s="373"/>
      <c r="AE95" s="110"/>
      <c r="AF95" s="110"/>
      <c r="AG95" s="110"/>
      <c r="AH95" s="110"/>
      <c r="AI95" s="373"/>
      <c r="AJ95" s="110"/>
      <c r="AK95" s="110"/>
      <c r="AL95" s="110"/>
      <c r="AM95" s="110"/>
      <c r="AN95" s="373"/>
      <c r="AO95" s="110"/>
      <c r="AP95" s="110"/>
      <c r="AQ95" s="110"/>
      <c r="AR95" s="110"/>
      <c r="AS95" s="373"/>
      <c r="AT95" s="110"/>
      <c r="AU95" s="110"/>
      <c r="AV95" s="110"/>
      <c r="AW95" s="110"/>
      <c r="AX95" s="373"/>
    </row>
    <row r="96" spans="2:50">
      <c r="B96" s="373"/>
      <c r="C96" s="110">
        <v>10</v>
      </c>
      <c r="D96" s="110"/>
      <c r="E96" s="110"/>
      <c r="F96" s="110"/>
      <c r="G96" s="110"/>
      <c r="H96" s="395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385"/>
      <c r="M96" s="184" t="e">
        <f>RANK(K96, K$87:$K$101)</f>
        <v>#DIV/0!</v>
      </c>
      <c r="N96" s="382"/>
      <c r="O96" s="382"/>
      <c r="P96" s="110"/>
      <c r="Q96" s="110"/>
      <c r="R96" s="110"/>
      <c r="S96" s="110"/>
      <c r="T96" s="373"/>
      <c r="U96" s="110"/>
      <c r="V96" s="110"/>
      <c r="W96" s="110"/>
      <c r="X96" s="110"/>
      <c r="Y96" s="373"/>
      <c r="Z96" s="110"/>
      <c r="AA96" s="110"/>
      <c r="AB96" s="110"/>
      <c r="AC96" s="110"/>
      <c r="AD96" s="373"/>
      <c r="AE96" s="110"/>
      <c r="AF96" s="110"/>
      <c r="AG96" s="110"/>
      <c r="AH96" s="110"/>
      <c r="AI96" s="373"/>
      <c r="AJ96" s="110"/>
      <c r="AK96" s="110"/>
      <c r="AL96" s="110"/>
      <c r="AM96" s="110"/>
      <c r="AN96" s="373"/>
      <c r="AO96" s="110"/>
      <c r="AP96" s="110"/>
      <c r="AQ96" s="110"/>
      <c r="AR96" s="110"/>
      <c r="AS96" s="373"/>
      <c r="AT96" s="110"/>
      <c r="AU96" s="110"/>
      <c r="AV96" s="110"/>
      <c r="AW96" s="110"/>
      <c r="AX96" s="373"/>
    </row>
    <row r="97" spans="2:50">
      <c r="B97" s="373"/>
      <c r="C97" s="110">
        <v>11</v>
      </c>
      <c r="D97" s="110"/>
      <c r="E97" s="110"/>
      <c r="F97" s="110"/>
      <c r="G97" s="110"/>
      <c r="H97" s="395"/>
      <c r="I97" s="110"/>
      <c r="J97" s="110"/>
      <c r="K97" s="110"/>
      <c r="L97" s="385"/>
      <c r="M97" s="184" t="e">
        <f>RANK(K97, K$87:$K$101)</f>
        <v>#DIV/0!</v>
      </c>
      <c r="N97" s="382"/>
      <c r="O97" s="382"/>
      <c r="P97" s="110"/>
      <c r="Q97" s="110"/>
      <c r="R97" s="110"/>
      <c r="S97" s="110"/>
      <c r="T97" s="373"/>
      <c r="U97" s="110"/>
      <c r="V97" s="110"/>
      <c r="W97" s="110"/>
      <c r="X97" s="110"/>
      <c r="Y97" s="373"/>
      <c r="Z97" s="110"/>
      <c r="AA97" s="110"/>
      <c r="AB97" s="110"/>
      <c r="AC97" s="110"/>
      <c r="AD97" s="373"/>
      <c r="AE97" s="110"/>
      <c r="AF97" s="110"/>
      <c r="AG97" s="110"/>
      <c r="AH97" s="110"/>
      <c r="AI97" s="373"/>
      <c r="AJ97" s="110"/>
      <c r="AK97" s="110"/>
      <c r="AL97" s="110"/>
      <c r="AM97" s="110"/>
      <c r="AN97" s="373"/>
      <c r="AO97" s="110"/>
      <c r="AP97" s="110"/>
      <c r="AQ97" s="110"/>
      <c r="AR97" s="110"/>
      <c r="AS97" s="373"/>
      <c r="AT97" s="110"/>
      <c r="AU97" s="110"/>
      <c r="AV97" s="110"/>
      <c r="AW97" s="110"/>
      <c r="AX97" s="373"/>
    </row>
    <row r="98" spans="2:50">
      <c r="B98" s="373"/>
      <c r="C98" s="110">
        <v>12</v>
      </c>
      <c r="D98" s="110"/>
      <c r="E98" s="110"/>
      <c r="F98" s="110"/>
      <c r="G98" s="110"/>
      <c r="H98" s="395"/>
      <c r="I98" s="110"/>
      <c r="J98" s="110"/>
      <c r="K98" s="110"/>
      <c r="L98" s="385"/>
      <c r="M98" s="184" t="e">
        <f>RANK(K98, K$87:$K$101)</f>
        <v>#DIV/0!</v>
      </c>
      <c r="N98" s="382"/>
      <c r="O98" s="382"/>
      <c r="P98" s="110"/>
      <c r="Q98" s="110"/>
      <c r="R98" s="110"/>
      <c r="S98" s="110"/>
      <c r="T98" s="373"/>
      <c r="U98" s="110"/>
      <c r="V98" s="110"/>
      <c r="W98" s="110"/>
      <c r="X98" s="110"/>
      <c r="Y98" s="373"/>
      <c r="Z98" s="110"/>
      <c r="AA98" s="110"/>
      <c r="AB98" s="110"/>
      <c r="AC98" s="110"/>
      <c r="AD98" s="373"/>
      <c r="AE98" s="110"/>
      <c r="AF98" s="110"/>
      <c r="AG98" s="110"/>
      <c r="AH98" s="110"/>
      <c r="AI98" s="373"/>
      <c r="AJ98" s="110"/>
      <c r="AK98" s="110"/>
      <c r="AL98" s="110"/>
      <c r="AM98" s="110"/>
      <c r="AN98" s="373"/>
      <c r="AO98" s="110"/>
      <c r="AP98" s="110"/>
      <c r="AQ98" s="110"/>
      <c r="AR98" s="110"/>
      <c r="AS98" s="373"/>
      <c r="AT98" s="110"/>
      <c r="AU98" s="110"/>
      <c r="AV98" s="110"/>
      <c r="AW98" s="110"/>
      <c r="AX98" s="373"/>
    </row>
    <row r="99" spans="2:50">
      <c r="B99" s="373"/>
      <c r="C99" s="110">
        <v>13</v>
      </c>
      <c r="D99" s="110"/>
      <c r="E99" s="110"/>
      <c r="F99" s="110"/>
      <c r="G99" s="110"/>
      <c r="H99" s="395"/>
      <c r="I99" s="110"/>
      <c r="J99" s="110"/>
      <c r="K99" s="110"/>
      <c r="L99" s="385"/>
      <c r="M99" s="184" t="e">
        <f>RANK(K99, K$87:$K$101)</f>
        <v>#DIV/0!</v>
      </c>
      <c r="N99" s="382"/>
      <c r="O99" s="382"/>
      <c r="P99" s="110"/>
      <c r="Q99" s="110"/>
      <c r="R99" s="110"/>
      <c r="S99" s="110"/>
      <c r="T99" s="373"/>
      <c r="U99" s="110"/>
      <c r="V99" s="110"/>
      <c r="W99" s="110"/>
      <c r="X99" s="110"/>
      <c r="Y99" s="373"/>
      <c r="Z99" s="110"/>
      <c r="AA99" s="110"/>
      <c r="AB99" s="110"/>
      <c r="AC99" s="110"/>
      <c r="AD99" s="373"/>
      <c r="AE99" s="110"/>
      <c r="AF99" s="110"/>
      <c r="AG99" s="110"/>
      <c r="AH99" s="110"/>
      <c r="AI99" s="373"/>
      <c r="AJ99" s="110"/>
      <c r="AK99" s="110"/>
      <c r="AL99" s="110"/>
      <c r="AM99" s="110"/>
      <c r="AN99" s="373"/>
      <c r="AO99" s="110"/>
      <c r="AP99" s="110"/>
      <c r="AQ99" s="110"/>
      <c r="AR99" s="110"/>
      <c r="AS99" s="373"/>
      <c r="AT99" s="110"/>
      <c r="AU99" s="110"/>
      <c r="AV99" s="110"/>
      <c r="AW99" s="110"/>
      <c r="AX99" s="373"/>
    </row>
    <row r="100" spans="2:50">
      <c r="B100" s="373"/>
      <c r="C100" s="110">
        <v>14</v>
      </c>
      <c r="D100" s="110"/>
      <c r="E100" s="110"/>
      <c r="F100" s="110"/>
      <c r="G100" s="110"/>
      <c r="H100" s="395"/>
      <c r="I100" s="110"/>
      <c r="J100" s="110"/>
      <c r="K100" s="110"/>
      <c r="L100" s="385"/>
      <c r="M100" s="184" t="e">
        <f>RANK(K100, K$87:$K$101)</f>
        <v>#DIV/0!</v>
      </c>
      <c r="N100" s="382"/>
      <c r="O100" s="382"/>
      <c r="P100" s="110"/>
      <c r="Q100" s="110"/>
      <c r="R100" s="110"/>
      <c r="S100" s="110"/>
      <c r="T100" s="373"/>
      <c r="U100" s="110"/>
      <c r="V100" s="110"/>
      <c r="W100" s="110"/>
      <c r="X100" s="110"/>
      <c r="Y100" s="373"/>
      <c r="Z100" s="110"/>
      <c r="AA100" s="110"/>
      <c r="AB100" s="110"/>
      <c r="AC100" s="110"/>
      <c r="AD100" s="373"/>
      <c r="AE100" s="110"/>
      <c r="AF100" s="110"/>
      <c r="AG100" s="110"/>
      <c r="AH100" s="110"/>
      <c r="AI100" s="373"/>
      <c r="AJ100" s="110"/>
      <c r="AK100" s="110"/>
      <c r="AL100" s="110"/>
      <c r="AM100" s="110"/>
      <c r="AN100" s="373"/>
      <c r="AO100" s="110"/>
      <c r="AP100" s="110"/>
      <c r="AQ100" s="110"/>
      <c r="AR100" s="110"/>
      <c r="AS100" s="373"/>
      <c r="AT100" s="110"/>
      <c r="AU100" s="110"/>
      <c r="AV100" s="110"/>
      <c r="AW100" s="110"/>
      <c r="AX100" s="373"/>
    </row>
    <row r="101" spans="2:50">
      <c r="B101" s="373"/>
      <c r="C101" s="110">
        <v>15</v>
      </c>
      <c r="D101" s="110"/>
      <c r="E101" s="110"/>
      <c r="F101" s="110"/>
      <c r="G101" s="110"/>
      <c r="H101" s="396"/>
      <c r="I101" s="110"/>
      <c r="J101" s="110"/>
      <c r="K101" s="110"/>
      <c r="L101" s="386"/>
      <c r="M101" s="184" t="e">
        <f>RANK(K101, K$87:$K$101)</f>
        <v>#DIV/0!</v>
      </c>
      <c r="N101" s="382"/>
      <c r="O101" s="382"/>
      <c r="P101" s="110"/>
      <c r="Q101" s="110"/>
      <c r="R101" s="110"/>
      <c r="S101" s="110"/>
      <c r="T101" s="373"/>
      <c r="U101" s="110"/>
      <c r="V101" s="110"/>
      <c r="W101" s="110"/>
      <c r="X101" s="110"/>
      <c r="Y101" s="373"/>
      <c r="Z101" s="110"/>
      <c r="AA101" s="110"/>
      <c r="AB101" s="110"/>
      <c r="AC101" s="110"/>
      <c r="AD101" s="373"/>
      <c r="AE101" s="110"/>
      <c r="AF101" s="110"/>
      <c r="AG101" s="110"/>
      <c r="AH101" s="110"/>
      <c r="AI101" s="373"/>
      <c r="AJ101" s="110"/>
      <c r="AK101" s="110"/>
      <c r="AL101" s="110"/>
      <c r="AM101" s="110"/>
      <c r="AN101" s="373"/>
      <c r="AO101" s="110"/>
      <c r="AP101" s="110"/>
      <c r="AQ101" s="110"/>
      <c r="AR101" s="110"/>
      <c r="AS101" s="373"/>
      <c r="AT101" s="110"/>
      <c r="AU101" s="110"/>
      <c r="AV101" s="110"/>
      <c r="AW101" s="110"/>
      <c r="AX101" s="373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4" topLeftCell="E1" activePane="topRight" state="frozen"/>
      <selection pane="topRight" activeCell="B2" sqref="B2:H3"/>
    </sheetView>
  </sheetViews>
  <sheetFormatPr defaultColWidth="8.85546875" defaultRowHeight="12.75"/>
  <cols>
    <col min="1" max="1" width="5.5703125" style="252" customWidth="1"/>
    <col min="2" max="2" width="12.42578125" style="252" customWidth="1"/>
    <col min="3" max="3" width="8.85546875" style="251"/>
    <col min="4" max="4" width="26.42578125" style="251" customWidth="1"/>
    <col min="5" max="7" width="8.42578125" style="251" customWidth="1"/>
    <col min="8" max="8" width="11.140625" style="251" bestFit="1" customWidth="1"/>
    <col min="9" max="12" width="11.140625" style="251" customWidth="1"/>
    <col min="13" max="13" width="13.5703125" style="251" customWidth="1"/>
    <col min="14" max="14" width="9.85546875" style="251" customWidth="1"/>
    <col min="15" max="15" width="7.140625" style="251" customWidth="1"/>
    <col min="16" max="18" width="12.85546875" style="251" customWidth="1"/>
    <col min="19" max="19" width="7.7109375" style="251" bestFit="1" customWidth="1"/>
    <col min="20" max="20" width="12.85546875" style="251" customWidth="1"/>
    <col min="21" max="23" width="12.85546875" style="252" customWidth="1"/>
    <col min="24" max="24" width="5.42578125" style="251" customWidth="1"/>
    <col min="25" max="28" width="12.85546875" style="252" customWidth="1"/>
    <col min="29" max="29" width="5.42578125" style="251" customWidth="1"/>
    <col min="30" max="30" width="12.85546875" style="252" customWidth="1"/>
    <col min="31" max="33" width="12.5703125" style="252" customWidth="1"/>
    <col min="34" max="34" width="5.42578125" style="251" customWidth="1"/>
    <col min="35" max="35" width="13" style="252" customWidth="1"/>
    <col min="36" max="38" width="12.5703125" style="252" customWidth="1"/>
    <col min="39" max="39" width="5.42578125" style="251" customWidth="1"/>
    <col min="40" max="40" width="13" style="252" customWidth="1"/>
    <col min="41" max="43" width="13.140625" style="252" customWidth="1"/>
    <col min="44" max="44" width="5.42578125" style="252" customWidth="1"/>
    <col min="45" max="48" width="13.140625" style="252" customWidth="1"/>
    <col min="49" max="49" width="5.42578125" style="252" customWidth="1"/>
    <col min="50" max="50" width="13.140625" style="252" customWidth="1"/>
    <col min="51" max="16384" width="8.85546875" style="252"/>
  </cols>
  <sheetData>
    <row r="1" spans="1:50" ht="21">
      <c r="A1" s="248"/>
      <c r="B1" s="249" t="s">
        <v>119</v>
      </c>
      <c r="C1" s="250">
        <f>AVERAGE(L7,L27,L47,L67,L87,L107)</f>
        <v>112.97642635142635</v>
      </c>
    </row>
    <row r="2" spans="1:50" ht="15.75">
      <c r="A2" s="253"/>
      <c r="B2" s="362" t="s">
        <v>86</v>
      </c>
      <c r="C2" s="358"/>
      <c r="D2" s="358"/>
      <c r="E2" s="358"/>
      <c r="F2" s="358"/>
      <c r="G2" s="358"/>
      <c r="H2" s="358"/>
      <c r="I2" s="254"/>
      <c r="J2" s="254"/>
      <c r="K2" s="254"/>
      <c r="L2" s="254"/>
      <c r="M2" s="255"/>
      <c r="N2" s="354" t="s">
        <v>87</v>
      </c>
      <c r="O2" s="354" t="s">
        <v>45</v>
      </c>
      <c r="P2" s="349"/>
      <c r="Q2" s="341"/>
      <c r="R2" s="341"/>
      <c r="S2" s="341"/>
      <c r="T2" s="341"/>
      <c r="U2" s="349"/>
      <c r="V2" s="341"/>
      <c r="W2" s="341"/>
      <c r="X2" s="341"/>
      <c r="Y2" s="341"/>
      <c r="Z2" s="349"/>
      <c r="AA2" s="341"/>
      <c r="AB2" s="341"/>
      <c r="AC2" s="341"/>
      <c r="AD2" s="341"/>
      <c r="AE2" s="349"/>
      <c r="AF2" s="341"/>
      <c r="AG2" s="341"/>
      <c r="AH2" s="341"/>
      <c r="AI2" s="341"/>
      <c r="AJ2" s="349"/>
      <c r="AK2" s="341"/>
      <c r="AL2" s="341"/>
      <c r="AM2" s="341"/>
      <c r="AN2" s="341"/>
      <c r="AO2" s="349"/>
      <c r="AP2" s="341"/>
      <c r="AQ2" s="341"/>
      <c r="AR2" s="341"/>
      <c r="AS2" s="341"/>
      <c r="AT2" s="349">
        <v>45901</v>
      </c>
      <c r="AU2" s="341"/>
      <c r="AV2" s="341"/>
      <c r="AW2" s="341"/>
      <c r="AX2" s="341"/>
    </row>
    <row r="3" spans="1:50" ht="15.75">
      <c r="A3" s="253"/>
      <c r="B3" s="359"/>
      <c r="C3" s="359"/>
      <c r="D3" s="359"/>
      <c r="E3" s="359"/>
      <c r="F3" s="359"/>
      <c r="G3" s="359"/>
      <c r="H3" s="359"/>
      <c r="I3" s="256"/>
      <c r="J3" s="256"/>
      <c r="K3" s="256"/>
      <c r="L3" s="256"/>
      <c r="M3" s="257"/>
      <c r="N3" s="356"/>
      <c r="O3" s="356"/>
      <c r="P3" s="349" t="s">
        <v>57</v>
      </c>
      <c r="Q3" s="341"/>
      <c r="R3" s="341"/>
      <c r="S3" s="341"/>
      <c r="T3" s="341"/>
      <c r="U3" s="349" t="s">
        <v>58</v>
      </c>
      <c r="V3" s="341"/>
      <c r="W3" s="341"/>
      <c r="X3" s="341"/>
      <c r="Y3" s="341"/>
      <c r="Z3" s="349" t="s">
        <v>59</v>
      </c>
      <c r="AA3" s="341"/>
      <c r="AB3" s="341"/>
      <c r="AC3" s="341"/>
      <c r="AD3" s="341"/>
      <c r="AE3" s="349" t="s">
        <v>60</v>
      </c>
      <c r="AF3" s="341"/>
      <c r="AG3" s="341"/>
      <c r="AH3" s="341"/>
      <c r="AI3" s="341"/>
      <c r="AJ3" s="349" t="s">
        <v>61</v>
      </c>
      <c r="AK3" s="341"/>
      <c r="AL3" s="341"/>
      <c r="AM3" s="341"/>
      <c r="AN3" s="341"/>
      <c r="AO3" s="349" t="s">
        <v>52</v>
      </c>
      <c r="AP3" s="341"/>
      <c r="AQ3" s="341"/>
      <c r="AR3" s="341"/>
      <c r="AS3" s="341"/>
      <c r="AT3" s="349" t="s">
        <v>56</v>
      </c>
      <c r="AU3" s="341"/>
      <c r="AV3" s="341"/>
      <c r="AW3" s="341"/>
      <c r="AX3" s="341"/>
    </row>
    <row r="4" spans="1:50">
      <c r="A4" s="253"/>
      <c r="B4" s="345" t="s">
        <v>88</v>
      </c>
      <c r="C4" s="345" t="s">
        <v>89</v>
      </c>
      <c r="D4" s="345"/>
      <c r="E4" s="345" t="s">
        <v>90</v>
      </c>
      <c r="F4" s="345"/>
      <c r="G4" s="345"/>
      <c r="H4" s="351" t="s">
        <v>91</v>
      </c>
      <c r="I4" s="345" t="s">
        <v>92</v>
      </c>
      <c r="J4" s="345"/>
      <c r="K4" s="345"/>
      <c r="L4" s="351" t="s">
        <v>91</v>
      </c>
      <c r="M4" s="354" t="s">
        <v>93</v>
      </c>
      <c r="N4" s="345"/>
      <c r="O4" s="345" t="s">
        <v>94</v>
      </c>
      <c r="P4" s="346" t="s">
        <v>95</v>
      </c>
      <c r="Q4" s="347"/>
      <c r="R4" s="347"/>
      <c r="S4" s="348"/>
      <c r="T4" s="345" t="s">
        <v>91</v>
      </c>
      <c r="U4" s="346" t="s">
        <v>95</v>
      </c>
      <c r="V4" s="347"/>
      <c r="W4" s="347"/>
      <c r="X4" s="348"/>
      <c r="Y4" s="345" t="s">
        <v>91</v>
      </c>
      <c r="Z4" s="346" t="s">
        <v>95</v>
      </c>
      <c r="AA4" s="347"/>
      <c r="AB4" s="347"/>
      <c r="AC4" s="348"/>
      <c r="AD4" s="345" t="s">
        <v>91</v>
      </c>
      <c r="AE4" s="346" t="s">
        <v>95</v>
      </c>
      <c r="AF4" s="347"/>
      <c r="AG4" s="347"/>
      <c r="AH4" s="348"/>
      <c r="AI4" s="345" t="s">
        <v>91</v>
      </c>
      <c r="AJ4" s="346" t="s">
        <v>95</v>
      </c>
      <c r="AK4" s="347"/>
      <c r="AL4" s="347"/>
      <c r="AM4" s="348"/>
      <c r="AN4" s="345" t="s">
        <v>91</v>
      </c>
      <c r="AO4" s="346" t="s">
        <v>95</v>
      </c>
      <c r="AP4" s="347"/>
      <c r="AQ4" s="347"/>
      <c r="AR4" s="348"/>
      <c r="AS4" s="345" t="s">
        <v>91</v>
      </c>
      <c r="AT4" s="346" t="s">
        <v>95</v>
      </c>
      <c r="AU4" s="347"/>
      <c r="AV4" s="347"/>
      <c r="AW4" s="348"/>
      <c r="AX4" s="345" t="s">
        <v>91</v>
      </c>
    </row>
    <row r="5" spans="1:50">
      <c r="A5" s="253"/>
      <c r="B5" s="345"/>
      <c r="C5" s="345"/>
      <c r="D5" s="345"/>
      <c r="E5" s="345" t="s">
        <v>96</v>
      </c>
      <c r="F5" s="345"/>
      <c r="G5" s="345"/>
      <c r="H5" s="352"/>
      <c r="I5" s="345" t="s">
        <v>96</v>
      </c>
      <c r="J5" s="345"/>
      <c r="K5" s="345"/>
      <c r="L5" s="352"/>
      <c r="M5" s="355"/>
      <c r="N5" s="345"/>
      <c r="O5" s="345"/>
      <c r="P5" s="346" t="s">
        <v>97</v>
      </c>
      <c r="Q5" s="347"/>
      <c r="R5" s="347"/>
      <c r="S5" s="348"/>
      <c r="T5" s="345"/>
      <c r="U5" s="346" t="s">
        <v>97</v>
      </c>
      <c r="V5" s="347"/>
      <c r="W5" s="347"/>
      <c r="X5" s="348"/>
      <c r="Y5" s="345"/>
      <c r="Z5" s="346" t="s">
        <v>97</v>
      </c>
      <c r="AA5" s="347"/>
      <c r="AB5" s="347"/>
      <c r="AC5" s="348"/>
      <c r="AD5" s="345"/>
      <c r="AE5" s="346" t="s">
        <v>97</v>
      </c>
      <c r="AF5" s="347"/>
      <c r="AG5" s="347"/>
      <c r="AH5" s="348"/>
      <c r="AI5" s="345"/>
      <c r="AJ5" s="346" t="s">
        <v>97</v>
      </c>
      <c r="AK5" s="347"/>
      <c r="AL5" s="347"/>
      <c r="AM5" s="348"/>
      <c r="AN5" s="345"/>
      <c r="AO5" s="346" t="s">
        <v>97</v>
      </c>
      <c r="AP5" s="347"/>
      <c r="AQ5" s="347"/>
      <c r="AR5" s="348"/>
      <c r="AS5" s="345"/>
      <c r="AT5" s="346" t="s">
        <v>97</v>
      </c>
      <c r="AU5" s="347"/>
      <c r="AV5" s="347"/>
      <c r="AW5" s="348"/>
      <c r="AX5" s="345"/>
    </row>
    <row r="6" spans="1:50">
      <c r="A6" s="258"/>
      <c r="B6" s="345"/>
      <c r="C6" s="345"/>
      <c r="D6" s="345"/>
      <c r="E6" s="259" t="s">
        <v>98</v>
      </c>
      <c r="F6" s="259" t="s">
        <v>99</v>
      </c>
      <c r="G6" s="259" t="s">
        <v>100</v>
      </c>
      <c r="H6" s="353"/>
      <c r="I6" s="259" t="s">
        <v>98</v>
      </c>
      <c r="J6" s="259" t="s">
        <v>99</v>
      </c>
      <c r="K6" s="259" t="s">
        <v>100</v>
      </c>
      <c r="L6" s="353"/>
      <c r="M6" s="356"/>
      <c r="N6" s="345"/>
      <c r="O6" s="345"/>
      <c r="P6" s="259" t="s">
        <v>98</v>
      </c>
      <c r="Q6" s="259" t="s">
        <v>99</v>
      </c>
      <c r="R6" s="259" t="s">
        <v>100</v>
      </c>
      <c r="S6" s="259" t="s">
        <v>93</v>
      </c>
      <c r="T6" s="345"/>
      <c r="U6" s="259" t="s">
        <v>98</v>
      </c>
      <c r="V6" s="259" t="s">
        <v>99</v>
      </c>
      <c r="W6" s="259" t="s">
        <v>100</v>
      </c>
      <c r="X6" s="259" t="s">
        <v>93</v>
      </c>
      <c r="Y6" s="345"/>
      <c r="Z6" s="259" t="s">
        <v>98</v>
      </c>
      <c r="AA6" s="259" t="s">
        <v>99</v>
      </c>
      <c r="AB6" s="259" t="s">
        <v>100</v>
      </c>
      <c r="AC6" s="259" t="s">
        <v>93</v>
      </c>
      <c r="AD6" s="345"/>
      <c r="AE6" s="259" t="s">
        <v>98</v>
      </c>
      <c r="AF6" s="259" t="s">
        <v>99</v>
      </c>
      <c r="AG6" s="259" t="s">
        <v>100</v>
      </c>
      <c r="AH6" s="259" t="s">
        <v>93</v>
      </c>
      <c r="AI6" s="345"/>
      <c r="AJ6" s="259" t="s">
        <v>98</v>
      </c>
      <c r="AK6" s="259" t="s">
        <v>99</v>
      </c>
      <c r="AL6" s="259" t="s">
        <v>100</v>
      </c>
      <c r="AM6" s="259" t="s">
        <v>93</v>
      </c>
      <c r="AN6" s="345"/>
      <c r="AO6" s="259" t="s">
        <v>98</v>
      </c>
      <c r="AP6" s="259" t="s">
        <v>99</v>
      </c>
      <c r="AQ6" s="259" t="s">
        <v>100</v>
      </c>
      <c r="AR6" s="259" t="s">
        <v>93</v>
      </c>
      <c r="AS6" s="345"/>
      <c r="AT6" s="259" t="s">
        <v>98</v>
      </c>
      <c r="AU6" s="259" t="s">
        <v>99</v>
      </c>
      <c r="AV6" s="259" t="s">
        <v>100</v>
      </c>
      <c r="AW6" s="259" t="s">
        <v>93</v>
      </c>
      <c r="AX6" s="345"/>
    </row>
    <row r="7" spans="1:50">
      <c r="A7" s="253"/>
      <c r="B7" s="345" t="s">
        <v>77</v>
      </c>
      <c r="C7" s="260">
        <v>1</v>
      </c>
      <c r="D7" s="260" t="s">
        <v>122</v>
      </c>
      <c r="E7" s="261">
        <f>VLOOKUP(D7,'09產線配置圖'!$A$2:$C$25,2,0)</f>
        <v>13</v>
      </c>
      <c r="F7" s="261">
        <f>VLOOKUP(D7,'09產線配置圖'!$A$2:$C$25,3,0)</f>
        <v>1565</v>
      </c>
      <c r="G7" s="262">
        <f t="shared" ref="G7:G9" si="0">F7/E7</f>
        <v>120.38461538461539</v>
      </c>
      <c r="H7" s="342">
        <f>AVERAGE(G7:G21)</f>
        <v>127.07264957264958</v>
      </c>
      <c r="I7" s="261">
        <f>AVERAGE(P7,U7,Z7,AE7,AJ7,AO7,AT7)</f>
        <v>13</v>
      </c>
      <c r="J7" s="261">
        <f>AVERAGE(Q7,V7,AA7,AF7,AK7,AP7,AU7)</f>
        <v>1497</v>
      </c>
      <c r="K7" s="262" t="e">
        <f>AVERAGE(AG7,AL7,AQ7,AV7)</f>
        <v>#DIV/0!</v>
      </c>
      <c r="L7" s="342" t="str">
        <f>IFERROR(AVERAGE(K7:K21),"-")</f>
        <v>-</v>
      </c>
      <c r="M7" s="263" t="e">
        <f>RANK(K7, K$7:$K$21)</f>
        <v>#DIV/0!</v>
      </c>
      <c r="N7" s="345"/>
      <c r="O7" s="345"/>
      <c r="P7" s="261"/>
      <c r="Q7" s="261"/>
      <c r="R7" s="262" t="e">
        <f>Q7/P7</f>
        <v>#DIV/0!</v>
      </c>
      <c r="S7" s="260" t="e">
        <f>RANK(R7, R$7:R$21)</f>
        <v>#DIV/0!</v>
      </c>
      <c r="T7" s="340" t="e">
        <f>AVERAGE(R7:R21)</f>
        <v>#DIV/0!</v>
      </c>
      <c r="U7" s="261"/>
      <c r="V7" s="261"/>
      <c r="W7" s="262" t="e">
        <f>V7/U7</f>
        <v>#DIV/0!</v>
      </c>
      <c r="X7" s="260" t="e">
        <f>RANK(W7, W$7:W$21)</f>
        <v>#DIV/0!</v>
      </c>
      <c r="Y7" s="340" t="e">
        <f>AVERAGE(W7:W21)</f>
        <v>#DIV/0!</v>
      </c>
      <c r="Z7" s="260"/>
      <c r="AA7" s="261"/>
      <c r="AB7" s="262" t="e">
        <f>AA7/Z7</f>
        <v>#DIV/0!</v>
      </c>
      <c r="AC7" s="260" t="e">
        <f>RANK(AB7, AB$7:AB$21)</f>
        <v>#DIV/0!</v>
      </c>
      <c r="AD7" s="340" t="e">
        <f>AVERAGE(AB7:AB21)</f>
        <v>#DIV/0!</v>
      </c>
      <c r="AE7" s="261"/>
      <c r="AF7" s="261"/>
      <c r="AG7" s="262" t="e">
        <f>AF7/AE7</f>
        <v>#DIV/0!</v>
      </c>
      <c r="AH7" s="260" t="e">
        <f>RANK(AG7, AG$7:AG$21)</f>
        <v>#DIV/0!</v>
      </c>
      <c r="AI7" s="340" t="e">
        <f>AVERAGE(AG7:AG21)</f>
        <v>#DIV/0!</v>
      </c>
      <c r="AJ7" s="261"/>
      <c r="AK7" s="261"/>
      <c r="AL7" s="262" t="e">
        <f>AK7/AJ7</f>
        <v>#DIV/0!</v>
      </c>
      <c r="AM7" s="260" t="e">
        <f>RANK(AL7, AL$7:AL$21)</f>
        <v>#DIV/0!</v>
      </c>
      <c r="AN7" s="340" t="e">
        <f>AVERAGE(AL7:AL21)</f>
        <v>#DIV/0!</v>
      </c>
      <c r="AO7" s="261"/>
      <c r="AP7" s="261"/>
      <c r="AQ7" s="262" t="e">
        <f>AP7/AO7</f>
        <v>#DIV/0!</v>
      </c>
      <c r="AR7" s="260" t="e">
        <f>RANK(AQ7, AQ$7:AQ$21)</f>
        <v>#DIV/0!</v>
      </c>
      <c r="AS7" s="340" t="e">
        <f>AVERAGE(AQ7:AQ21)</f>
        <v>#DIV/0!</v>
      </c>
      <c r="AT7" s="261">
        <v>13</v>
      </c>
      <c r="AU7" s="261">
        <v>1497</v>
      </c>
      <c r="AV7" s="262">
        <f>AU7/AT7</f>
        <v>115.15384615384616</v>
      </c>
      <c r="AW7" s="260">
        <f>RANK(AV7, AV$7:AV$21)</f>
        <v>3</v>
      </c>
      <c r="AX7" s="340">
        <f>AVERAGE(AV7:AV21)</f>
        <v>125.17905982905984</v>
      </c>
    </row>
    <row r="8" spans="1:50" ht="15" customHeight="1">
      <c r="A8" s="253"/>
      <c r="B8" s="341"/>
      <c r="C8" s="260">
        <v>2</v>
      </c>
      <c r="D8" s="260" t="s">
        <v>123</v>
      </c>
      <c r="E8" s="261">
        <f>VLOOKUP(D8,'09產線配置圖'!$A$2:$C$25,2,0)</f>
        <v>12</v>
      </c>
      <c r="F8" s="261">
        <f>VLOOKUP(D8,'09產線配置圖'!$A$2:$C$25,3,0)</f>
        <v>1565</v>
      </c>
      <c r="G8" s="262">
        <f t="shared" si="0"/>
        <v>130.41666666666666</v>
      </c>
      <c r="H8" s="343"/>
      <c r="I8" s="261">
        <f t="shared" ref="I8:J9" si="1">AVERAGE(P8,U8,Z8,AE8,AJ8,AO8,AT8)</f>
        <v>12</v>
      </c>
      <c r="J8" s="261">
        <f t="shared" si="1"/>
        <v>1417</v>
      </c>
      <c r="K8" s="262" t="e">
        <f t="shared" ref="K8:K9" si="2">AVERAGE(AG8,AL8,AQ8,AV8)</f>
        <v>#DIV/0!</v>
      </c>
      <c r="L8" s="343"/>
      <c r="M8" s="263" t="e">
        <f>RANK(K8, K$7:$K$21)</f>
        <v>#DIV/0!</v>
      </c>
      <c r="N8" s="345"/>
      <c r="O8" s="345"/>
      <c r="P8" s="261"/>
      <c r="Q8" s="261"/>
      <c r="R8" s="262" t="e">
        <f t="shared" ref="R8:R13" si="3">Q8/P8</f>
        <v>#DIV/0!</v>
      </c>
      <c r="S8" s="260" t="e">
        <f t="shared" ref="S8:S13" si="4">RANK(R8, R$7:R$21)</f>
        <v>#DIV/0!</v>
      </c>
      <c r="T8" s="340"/>
      <c r="U8" s="261"/>
      <c r="V8" s="261"/>
      <c r="W8" s="262" t="e">
        <f t="shared" ref="W8:W13" si="5">V8/U8</f>
        <v>#DIV/0!</v>
      </c>
      <c r="X8" s="260" t="e">
        <f t="shared" ref="X8:X13" si="6">RANK(W8, W$7:W$21)</f>
        <v>#DIV/0!</v>
      </c>
      <c r="Y8" s="340"/>
      <c r="Z8" s="260"/>
      <c r="AA8" s="261"/>
      <c r="AB8" s="262" t="e">
        <f t="shared" ref="AB8:AB13" si="7">AA8/Z8</f>
        <v>#DIV/0!</v>
      </c>
      <c r="AC8" s="260" t="e">
        <f t="shared" ref="AC8:AC13" si="8">RANK(AB8, AB$7:AB$21)</f>
        <v>#DIV/0!</v>
      </c>
      <c r="AD8" s="340"/>
      <c r="AE8" s="261"/>
      <c r="AF8" s="261"/>
      <c r="AG8" s="262" t="e">
        <f t="shared" ref="AG8:AG9" si="9">AF8/AE8</f>
        <v>#DIV/0!</v>
      </c>
      <c r="AH8" s="260" t="e">
        <f t="shared" ref="AH8:AH9" si="10">RANK(AG8, AG$7:AG$21)</f>
        <v>#DIV/0!</v>
      </c>
      <c r="AI8" s="340"/>
      <c r="AJ8" s="261"/>
      <c r="AK8" s="261"/>
      <c r="AL8" s="262" t="e">
        <f t="shared" ref="AL8:AL9" si="11">AK8/AJ8</f>
        <v>#DIV/0!</v>
      </c>
      <c r="AM8" s="260" t="e">
        <f t="shared" ref="AM8:AM9" si="12">RANK(AL8, AL$7:AL$21)</f>
        <v>#DIV/0!</v>
      </c>
      <c r="AN8" s="340"/>
      <c r="AO8" s="261"/>
      <c r="AP8" s="261"/>
      <c r="AQ8" s="262" t="e">
        <f t="shared" ref="AQ8:AQ9" si="13">AP8/AO8</f>
        <v>#DIV/0!</v>
      </c>
      <c r="AR8" s="260" t="e">
        <f t="shared" ref="AR8:AR9" si="14">RANK(AQ8, AQ$7:AQ$21)</f>
        <v>#DIV/0!</v>
      </c>
      <c r="AS8" s="340"/>
      <c r="AT8" s="261">
        <v>12</v>
      </c>
      <c r="AU8" s="261">
        <v>1417</v>
      </c>
      <c r="AV8" s="262">
        <f t="shared" ref="AV8:AV9" si="15">AU8/AT8</f>
        <v>118.08333333333333</v>
      </c>
      <c r="AW8" s="260">
        <f t="shared" ref="AW8:AW9" si="16">RANK(AV8, AV$7:AV$21)</f>
        <v>2</v>
      </c>
      <c r="AX8" s="340"/>
    </row>
    <row r="9" spans="1:50">
      <c r="A9" s="253"/>
      <c r="B9" s="341"/>
      <c r="C9" s="260">
        <v>3</v>
      </c>
      <c r="D9" s="260" t="s">
        <v>124</v>
      </c>
      <c r="E9" s="261">
        <f>VLOOKUP(D9,'09產線配置圖'!$A$2:$C$25,2,0)</f>
        <v>12</v>
      </c>
      <c r="F9" s="261">
        <f>VLOOKUP(D9,'09產線配置圖'!$A$2:$C$25,3,0)</f>
        <v>1565</v>
      </c>
      <c r="G9" s="262">
        <f t="shared" si="0"/>
        <v>130.41666666666666</v>
      </c>
      <c r="H9" s="343"/>
      <c r="I9" s="261">
        <f t="shared" si="1"/>
        <v>10</v>
      </c>
      <c r="J9" s="261">
        <f t="shared" si="1"/>
        <v>1423</v>
      </c>
      <c r="K9" s="262" t="e">
        <f t="shared" si="2"/>
        <v>#DIV/0!</v>
      </c>
      <c r="L9" s="343"/>
      <c r="M9" s="263" t="e">
        <f>RANK(K9, K$7:$K$21)</f>
        <v>#DIV/0!</v>
      </c>
      <c r="N9" s="345"/>
      <c r="O9" s="345"/>
      <c r="P9" s="261"/>
      <c r="Q9" s="261"/>
      <c r="R9" s="262" t="e">
        <f t="shared" si="3"/>
        <v>#DIV/0!</v>
      </c>
      <c r="S9" s="260" t="e">
        <f t="shared" si="4"/>
        <v>#DIV/0!</v>
      </c>
      <c r="T9" s="340"/>
      <c r="U9" s="261"/>
      <c r="V9" s="261"/>
      <c r="W9" s="262" t="e">
        <f t="shared" si="5"/>
        <v>#DIV/0!</v>
      </c>
      <c r="X9" s="260" t="e">
        <f t="shared" si="6"/>
        <v>#DIV/0!</v>
      </c>
      <c r="Y9" s="340"/>
      <c r="Z9" s="260"/>
      <c r="AA9" s="261"/>
      <c r="AB9" s="262" t="e">
        <f t="shared" si="7"/>
        <v>#DIV/0!</v>
      </c>
      <c r="AC9" s="260" t="e">
        <f t="shared" si="8"/>
        <v>#DIV/0!</v>
      </c>
      <c r="AD9" s="340"/>
      <c r="AE9" s="261"/>
      <c r="AF9" s="261"/>
      <c r="AG9" s="262" t="e">
        <f t="shared" si="9"/>
        <v>#DIV/0!</v>
      </c>
      <c r="AH9" s="260" t="e">
        <f t="shared" si="10"/>
        <v>#DIV/0!</v>
      </c>
      <c r="AI9" s="340"/>
      <c r="AJ9" s="261"/>
      <c r="AK9" s="261"/>
      <c r="AL9" s="262" t="e">
        <f t="shared" si="11"/>
        <v>#DIV/0!</v>
      </c>
      <c r="AM9" s="260" t="e">
        <f t="shared" si="12"/>
        <v>#DIV/0!</v>
      </c>
      <c r="AN9" s="340"/>
      <c r="AO9" s="261"/>
      <c r="AP9" s="261"/>
      <c r="AQ9" s="262" t="e">
        <f t="shared" si="13"/>
        <v>#DIV/0!</v>
      </c>
      <c r="AR9" s="260" t="e">
        <f t="shared" si="14"/>
        <v>#DIV/0!</v>
      </c>
      <c r="AS9" s="340"/>
      <c r="AT9" s="261">
        <v>10</v>
      </c>
      <c r="AU9" s="261">
        <v>1423</v>
      </c>
      <c r="AV9" s="262">
        <f t="shared" si="15"/>
        <v>142.30000000000001</v>
      </c>
      <c r="AW9" s="260">
        <f t="shared" si="16"/>
        <v>1</v>
      </c>
      <c r="AX9" s="340"/>
    </row>
    <row r="10" spans="1:50">
      <c r="A10" s="253"/>
      <c r="B10" s="341"/>
      <c r="C10" s="260">
        <v>4</v>
      </c>
      <c r="D10" s="260"/>
      <c r="E10" s="261"/>
      <c r="F10" s="261"/>
      <c r="G10" s="262"/>
      <c r="H10" s="343"/>
      <c r="I10" s="261"/>
      <c r="J10" s="261"/>
      <c r="K10" s="262"/>
      <c r="L10" s="343"/>
      <c r="M10" s="263" t="e">
        <f>RANK(K10, K$7:$K$21)</f>
        <v>#DIV/0!</v>
      </c>
      <c r="N10" s="345"/>
      <c r="O10" s="345"/>
      <c r="P10" s="261"/>
      <c r="Q10" s="261"/>
      <c r="R10" s="262" t="e">
        <f t="shared" si="3"/>
        <v>#DIV/0!</v>
      </c>
      <c r="S10" s="260" t="e">
        <f t="shared" si="4"/>
        <v>#DIV/0!</v>
      </c>
      <c r="T10" s="340"/>
      <c r="U10" s="261"/>
      <c r="V10" s="261"/>
      <c r="W10" s="262" t="e">
        <f t="shared" si="5"/>
        <v>#DIV/0!</v>
      </c>
      <c r="X10" s="260" t="e">
        <f t="shared" si="6"/>
        <v>#DIV/0!</v>
      </c>
      <c r="Y10" s="340"/>
      <c r="Z10" s="260"/>
      <c r="AA10" s="261"/>
      <c r="AB10" s="262" t="e">
        <f t="shared" si="7"/>
        <v>#DIV/0!</v>
      </c>
      <c r="AC10" s="260" t="e">
        <f t="shared" si="8"/>
        <v>#DIV/0!</v>
      </c>
      <c r="AD10" s="340"/>
      <c r="AE10" s="261"/>
      <c r="AF10" s="261"/>
      <c r="AG10" s="262"/>
      <c r="AH10" s="260"/>
      <c r="AI10" s="340"/>
      <c r="AJ10" s="261"/>
      <c r="AK10" s="261"/>
      <c r="AL10" s="262"/>
      <c r="AM10" s="260"/>
      <c r="AN10" s="340"/>
      <c r="AO10" s="261"/>
      <c r="AP10" s="261"/>
      <c r="AQ10" s="262"/>
      <c r="AR10" s="260"/>
      <c r="AS10" s="340"/>
      <c r="AT10" s="261"/>
      <c r="AU10" s="261"/>
      <c r="AV10" s="262"/>
      <c r="AW10" s="260"/>
      <c r="AX10" s="340"/>
    </row>
    <row r="11" spans="1:50">
      <c r="A11" s="253"/>
      <c r="B11" s="341"/>
      <c r="C11" s="260">
        <v>5</v>
      </c>
      <c r="D11" s="260"/>
      <c r="E11" s="261"/>
      <c r="F11" s="261"/>
      <c r="G11" s="262"/>
      <c r="H11" s="343"/>
      <c r="I11" s="261"/>
      <c r="J11" s="261"/>
      <c r="K11" s="262"/>
      <c r="L11" s="343"/>
      <c r="M11" s="263" t="e">
        <f>RANK(K11, K$7:$K$21)</f>
        <v>#DIV/0!</v>
      </c>
      <c r="N11" s="345"/>
      <c r="O11" s="345"/>
      <c r="P11" s="261"/>
      <c r="Q11" s="261"/>
      <c r="R11" s="262" t="e">
        <f t="shared" si="3"/>
        <v>#DIV/0!</v>
      </c>
      <c r="S11" s="260" t="e">
        <f t="shared" si="4"/>
        <v>#DIV/0!</v>
      </c>
      <c r="T11" s="340"/>
      <c r="U11" s="261"/>
      <c r="V11" s="261"/>
      <c r="W11" s="262" t="e">
        <f t="shared" si="5"/>
        <v>#DIV/0!</v>
      </c>
      <c r="X11" s="260" t="e">
        <f t="shared" si="6"/>
        <v>#DIV/0!</v>
      </c>
      <c r="Y11" s="340"/>
      <c r="Z11" s="260"/>
      <c r="AA11" s="261"/>
      <c r="AB11" s="262" t="e">
        <f t="shared" si="7"/>
        <v>#DIV/0!</v>
      </c>
      <c r="AC11" s="260" t="e">
        <f t="shared" si="8"/>
        <v>#DIV/0!</v>
      </c>
      <c r="AD11" s="340"/>
      <c r="AE11" s="261"/>
      <c r="AF11" s="261"/>
      <c r="AG11" s="262"/>
      <c r="AH11" s="260"/>
      <c r="AI11" s="340"/>
      <c r="AJ11" s="261"/>
      <c r="AK11" s="261"/>
      <c r="AL11" s="262"/>
      <c r="AM11" s="260"/>
      <c r="AN11" s="340"/>
      <c r="AO11" s="261"/>
      <c r="AP11" s="261"/>
      <c r="AQ11" s="262"/>
      <c r="AR11" s="260"/>
      <c r="AS11" s="340"/>
      <c r="AT11" s="261"/>
      <c r="AU11" s="261"/>
      <c r="AV11" s="262"/>
      <c r="AW11" s="260"/>
      <c r="AX11" s="340"/>
    </row>
    <row r="12" spans="1:50">
      <c r="A12" s="253"/>
      <c r="B12" s="341"/>
      <c r="C12" s="260">
        <v>6</v>
      </c>
      <c r="D12" s="260"/>
      <c r="E12" s="261"/>
      <c r="F12" s="261"/>
      <c r="G12" s="262"/>
      <c r="H12" s="343"/>
      <c r="I12" s="261"/>
      <c r="J12" s="261"/>
      <c r="K12" s="262"/>
      <c r="L12" s="343"/>
      <c r="M12" s="263" t="e">
        <f>RANK(K12, K$7:$K$21)</f>
        <v>#DIV/0!</v>
      </c>
      <c r="N12" s="345"/>
      <c r="O12" s="345"/>
      <c r="P12" s="261"/>
      <c r="Q12" s="261"/>
      <c r="R12" s="262" t="e">
        <f t="shared" si="3"/>
        <v>#DIV/0!</v>
      </c>
      <c r="S12" s="260" t="e">
        <f t="shared" si="4"/>
        <v>#DIV/0!</v>
      </c>
      <c r="T12" s="340"/>
      <c r="U12" s="261"/>
      <c r="V12" s="261"/>
      <c r="W12" s="262" t="e">
        <f t="shared" si="5"/>
        <v>#DIV/0!</v>
      </c>
      <c r="X12" s="260" t="e">
        <f t="shared" si="6"/>
        <v>#DIV/0!</v>
      </c>
      <c r="Y12" s="340"/>
      <c r="Z12" s="260"/>
      <c r="AA12" s="261"/>
      <c r="AB12" s="262" t="e">
        <f t="shared" si="7"/>
        <v>#DIV/0!</v>
      </c>
      <c r="AC12" s="260" t="e">
        <f t="shared" si="8"/>
        <v>#DIV/0!</v>
      </c>
      <c r="AD12" s="340"/>
      <c r="AE12" s="261"/>
      <c r="AF12" s="261"/>
      <c r="AG12" s="262"/>
      <c r="AH12" s="260"/>
      <c r="AI12" s="340"/>
      <c r="AJ12" s="261"/>
      <c r="AK12" s="261"/>
      <c r="AL12" s="262"/>
      <c r="AM12" s="260"/>
      <c r="AN12" s="340"/>
      <c r="AO12" s="261"/>
      <c r="AP12" s="261"/>
      <c r="AQ12" s="262"/>
      <c r="AR12" s="260"/>
      <c r="AS12" s="340"/>
      <c r="AT12" s="261"/>
      <c r="AU12" s="261"/>
      <c r="AV12" s="262"/>
      <c r="AW12" s="260"/>
      <c r="AX12" s="340"/>
    </row>
    <row r="13" spans="1:50">
      <c r="A13" s="253"/>
      <c r="B13" s="341"/>
      <c r="C13" s="260">
        <v>7</v>
      </c>
      <c r="D13" s="260"/>
      <c r="E13" s="261"/>
      <c r="F13" s="261"/>
      <c r="G13" s="262"/>
      <c r="H13" s="343"/>
      <c r="I13" s="261"/>
      <c r="J13" s="261"/>
      <c r="K13" s="262"/>
      <c r="L13" s="343"/>
      <c r="M13" s="263" t="e">
        <f>RANK(K13, K$7:$K$21)</f>
        <v>#DIV/0!</v>
      </c>
      <c r="N13" s="345"/>
      <c r="O13" s="345"/>
      <c r="P13" s="261"/>
      <c r="Q13" s="261"/>
      <c r="R13" s="262" t="e">
        <f t="shared" si="3"/>
        <v>#DIV/0!</v>
      </c>
      <c r="S13" s="260" t="e">
        <f t="shared" si="4"/>
        <v>#DIV/0!</v>
      </c>
      <c r="T13" s="340"/>
      <c r="U13" s="261"/>
      <c r="V13" s="261"/>
      <c r="W13" s="262" t="e">
        <f t="shared" si="5"/>
        <v>#DIV/0!</v>
      </c>
      <c r="X13" s="260" t="e">
        <f t="shared" si="6"/>
        <v>#DIV/0!</v>
      </c>
      <c r="Y13" s="340"/>
      <c r="Z13" s="260"/>
      <c r="AA13" s="261"/>
      <c r="AB13" s="262" t="e">
        <f t="shared" si="7"/>
        <v>#DIV/0!</v>
      </c>
      <c r="AC13" s="260" t="e">
        <f t="shared" si="8"/>
        <v>#DIV/0!</v>
      </c>
      <c r="AD13" s="340"/>
      <c r="AE13" s="261"/>
      <c r="AF13" s="261"/>
      <c r="AG13" s="262"/>
      <c r="AH13" s="260"/>
      <c r="AI13" s="340"/>
      <c r="AJ13" s="261"/>
      <c r="AK13" s="261"/>
      <c r="AL13" s="262"/>
      <c r="AM13" s="260"/>
      <c r="AN13" s="340"/>
      <c r="AO13" s="261"/>
      <c r="AP13" s="261"/>
      <c r="AQ13" s="262"/>
      <c r="AR13" s="260"/>
      <c r="AS13" s="340"/>
      <c r="AT13" s="261"/>
      <c r="AU13" s="261"/>
      <c r="AV13" s="262"/>
      <c r="AW13" s="260"/>
      <c r="AX13" s="340"/>
    </row>
    <row r="14" spans="1:50">
      <c r="A14" s="253"/>
      <c r="B14" s="341"/>
      <c r="C14" s="260">
        <v>8</v>
      </c>
      <c r="D14" s="260"/>
      <c r="E14" s="261"/>
      <c r="F14" s="261"/>
      <c r="G14" s="262"/>
      <c r="H14" s="343"/>
      <c r="I14" s="261"/>
      <c r="J14" s="261"/>
      <c r="K14" s="262"/>
      <c r="L14" s="343"/>
      <c r="M14" s="263" t="e">
        <f>RANK(K14, K$7:$K$21)</f>
        <v>#DIV/0!</v>
      </c>
      <c r="N14" s="345"/>
      <c r="O14" s="345"/>
      <c r="P14" s="261"/>
      <c r="Q14" s="261"/>
      <c r="R14" s="262"/>
      <c r="S14" s="260"/>
      <c r="T14" s="340"/>
      <c r="U14" s="261"/>
      <c r="V14" s="261"/>
      <c r="W14" s="262"/>
      <c r="X14" s="260"/>
      <c r="Y14" s="340"/>
      <c r="Z14" s="260"/>
      <c r="AA14" s="261"/>
      <c r="AB14" s="262"/>
      <c r="AC14" s="260"/>
      <c r="AD14" s="340"/>
      <c r="AE14" s="261"/>
      <c r="AF14" s="261"/>
      <c r="AG14" s="262"/>
      <c r="AH14" s="260"/>
      <c r="AI14" s="340"/>
      <c r="AJ14" s="261"/>
      <c r="AK14" s="261"/>
      <c r="AL14" s="262"/>
      <c r="AM14" s="260"/>
      <c r="AN14" s="340"/>
      <c r="AO14" s="261"/>
      <c r="AP14" s="261"/>
      <c r="AQ14" s="262"/>
      <c r="AR14" s="260"/>
      <c r="AS14" s="340"/>
      <c r="AT14" s="261"/>
      <c r="AU14" s="261"/>
      <c r="AV14" s="262"/>
      <c r="AW14" s="260"/>
      <c r="AX14" s="340"/>
    </row>
    <row r="15" spans="1:50">
      <c r="A15" s="253"/>
      <c r="B15" s="341"/>
      <c r="C15" s="260">
        <v>9</v>
      </c>
      <c r="D15" s="260"/>
      <c r="E15" s="261"/>
      <c r="F15" s="261"/>
      <c r="G15" s="262"/>
      <c r="H15" s="343"/>
      <c r="I15" s="261"/>
      <c r="J15" s="261"/>
      <c r="K15" s="262"/>
      <c r="L15" s="343"/>
      <c r="M15" s="263" t="e">
        <f>RANK(K15, K$7:$K$21)</f>
        <v>#DIV/0!</v>
      </c>
      <c r="N15" s="345"/>
      <c r="O15" s="345"/>
      <c r="P15" s="261"/>
      <c r="Q15" s="261"/>
      <c r="R15" s="262"/>
      <c r="S15" s="260"/>
      <c r="T15" s="340"/>
      <c r="U15" s="261"/>
      <c r="V15" s="261"/>
      <c r="W15" s="262"/>
      <c r="X15" s="260"/>
      <c r="Y15" s="340"/>
      <c r="Z15" s="260"/>
      <c r="AA15" s="261"/>
      <c r="AB15" s="262"/>
      <c r="AC15" s="260"/>
      <c r="AD15" s="340"/>
      <c r="AE15" s="261"/>
      <c r="AF15" s="261"/>
      <c r="AG15" s="262"/>
      <c r="AH15" s="260"/>
      <c r="AI15" s="340"/>
      <c r="AJ15" s="261"/>
      <c r="AK15" s="261"/>
      <c r="AL15" s="262"/>
      <c r="AM15" s="260"/>
      <c r="AN15" s="340"/>
      <c r="AO15" s="261"/>
      <c r="AP15" s="261"/>
      <c r="AQ15" s="262"/>
      <c r="AR15" s="260"/>
      <c r="AS15" s="340"/>
      <c r="AT15" s="261"/>
      <c r="AU15" s="261"/>
      <c r="AV15" s="262"/>
      <c r="AW15" s="260"/>
      <c r="AX15" s="340"/>
    </row>
    <row r="16" spans="1:50">
      <c r="A16" s="253"/>
      <c r="B16" s="341"/>
      <c r="C16" s="260">
        <v>10</v>
      </c>
      <c r="D16" s="260"/>
      <c r="E16" s="261"/>
      <c r="F16" s="261"/>
      <c r="G16" s="262"/>
      <c r="H16" s="343"/>
      <c r="I16" s="261"/>
      <c r="J16" s="261"/>
      <c r="K16" s="262"/>
      <c r="L16" s="343"/>
      <c r="M16" s="263" t="e">
        <f>RANK(K16, K$7:$K$21)</f>
        <v>#DIV/0!</v>
      </c>
      <c r="N16" s="345"/>
      <c r="O16" s="345"/>
      <c r="P16" s="261"/>
      <c r="Q16" s="261"/>
      <c r="R16" s="262"/>
      <c r="S16" s="260"/>
      <c r="T16" s="340"/>
      <c r="U16" s="261"/>
      <c r="V16" s="261"/>
      <c r="W16" s="262"/>
      <c r="X16" s="260"/>
      <c r="Y16" s="340"/>
      <c r="Z16" s="260"/>
      <c r="AA16" s="261"/>
      <c r="AB16" s="262"/>
      <c r="AC16" s="260"/>
      <c r="AD16" s="340"/>
      <c r="AE16" s="261"/>
      <c r="AF16" s="261"/>
      <c r="AG16" s="262"/>
      <c r="AH16" s="260"/>
      <c r="AI16" s="340"/>
      <c r="AJ16" s="261"/>
      <c r="AK16" s="261"/>
      <c r="AL16" s="262"/>
      <c r="AM16" s="260"/>
      <c r="AN16" s="340"/>
      <c r="AO16" s="261"/>
      <c r="AP16" s="261"/>
      <c r="AQ16" s="262"/>
      <c r="AR16" s="260"/>
      <c r="AS16" s="340"/>
      <c r="AT16" s="261"/>
      <c r="AU16" s="261"/>
      <c r="AV16" s="262"/>
      <c r="AW16" s="260"/>
      <c r="AX16" s="340"/>
    </row>
    <row r="17" spans="2:50">
      <c r="B17" s="341"/>
      <c r="C17" s="260">
        <v>11</v>
      </c>
      <c r="D17" s="260"/>
      <c r="E17" s="261"/>
      <c r="F17" s="261"/>
      <c r="G17" s="262"/>
      <c r="H17" s="343"/>
      <c r="I17" s="261"/>
      <c r="J17" s="261"/>
      <c r="K17" s="262"/>
      <c r="L17" s="343"/>
      <c r="M17" s="263" t="e">
        <f>RANK(K17, K$7:$K$21)</f>
        <v>#DIV/0!</v>
      </c>
      <c r="N17" s="345"/>
      <c r="O17" s="345"/>
      <c r="P17" s="260"/>
      <c r="Q17" s="260"/>
      <c r="R17" s="262"/>
      <c r="S17" s="260"/>
      <c r="T17" s="340"/>
      <c r="U17" s="260"/>
      <c r="V17" s="260"/>
      <c r="W17" s="262"/>
      <c r="X17" s="260"/>
      <c r="Y17" s="340"/>
      <c r="Z17" s="260"/>
      <c r="AA17" s="260"/>
      <c r="AB17" s="262"/>
      <c r="AC17" s="260"/>
      <c r="AD17" s="340"/>
      <c r="AE17" s="260"/>
      <c r="AF17" s="260"/>
      <c r="AG17" s="262"/>
      <c r="AH17" s="260"/>
      <c r="AI17" s="340"/>
      <c r="AJ17" s="260"/>
      <c r="AK17" s="260"/>
      <c r="AL17" s="260"/>
      <c r="AM17" s="260"/>
      <c r="AN17" s="340"/>
      <c r="AO17" s="260"/>
      <c r="AP17" s="260"/>
      <c r="AQ17" s="262"/>
      <c r="AR17" s="260"/>
      <c r="AS17" s="340"/>
      <c r="AT17" s="260"/>
      <c r="AU17" s="260"/>
      <c r="AV17" s="262"/>
      <c r="AW17" s="260"/>
      <c r="AX17" s="340"/>
    </row>
    <row r="18" spans="2:50">
      <c r="B18" s="341"/>
      <c r="C18" s="260">
        <v>12</v>
      </c>
      <c r="D18" s="260"/>
      <c r="E18" s="261"/>
      <c r="F18" s="261"/>
      <c r="G18" s="262"/>
      <c r="H18" s="343"/>
      <c r="I18" s="261"/>
      <c r="J18" s="261"/>
      <c r="K18" s="262"/>
      <c r="L18" s="343"/>
      <c r="M18" s="263" t="e">
        <f>RANK(K18, K$7:$K$21)</f>
        <v>#DIV/0!</v>
      </c>
      <c r="N18" s="345"/>
      <c r="O18" s="345"/>
      <c r="P18" s="260"/>
      <c r="Q18" s="260"/>
      <c r="R18" s="262"/>
      <c r="S18" s="260"/>
      <c r="T18" s="340"/>
      <c r="U18" s="260"/>
      <c r="V18" s="260"/>
      <c r="W18" s="262"/>
      <c r="X18" s="260"/>
      <c r="Y18" s="340"/>
      <c r="Z18" s="260"/>
      <c r="AA18" s="260"/>
      <c r="AB18" s="262"/>
      <c r="AC18" s="260"/>
      <c r="AD18" s="340"/>
      <c r="AE18" s="260"/>
      <c r="AF18" s="260"/>
      <c r="AG18" s="262"/>
      <c r="AH18" s="260"/>
      <c r="AI18" s="340"/>
      <c r="AJ18" s="260"/>
      <c r="AK18" s="260"/>
      <c r="AL18" s="260"/>
      <c r="AM18" s="260"/>
      <c r="AN18" s="340"/>
      <c r="AO18" s="260"/>
      <c r="AP18" s="260"/>
      <c r="AQ18" s="262"/>
      <c r="AR18" s="260"/>
      <c r="AS18" s="340"/>
      <c r="AT18" s="260"/>
      <c r="AU18" s="260"/>
      <c r="AV18" s="262"/>
      <c r="AW18" s="260"/>
      <c r="AX18" s="340"/>
    </row>
    <row r="19" spans="2:50">
      <c r="B19" s="341"/>
      <c r="C19" s="260">
        <v>13</v>
      </c>
      <c r="D19" s="260"/>
      <c r="E19" s="261"/>
      <c r="F19" s="261"/>
      <c r="G19" s="262"/>
      <c r="H19" s="343"/>
      <c r="I19" s="261"/>
      <c r="J19" s="261"/>
      <c r="K19" s="262"/>
      <c r="L19" s="343"/>
      <c r="M19" s="263" t="e">
        <f>RANK(K19, K$7:$K$21)</f>
        <v>#DIV/0!</v>
      </c>
      <c r="N19" s="345"/>
      <c r="O19" s="345"/>
      <c r="P19" s="260"/>
      <c r="Q19" s="260"/>
      <c r="R19" s="262"/>
      <c r="S19" s="260"/>
      <c r="T19" s="340"/>
      <c r="U19" s="260"/>
      <c r="V19" s="260"/>
      <c r="W19" s="262"/>
      <c r="X19" s="260"/>
      <c r="Y19" s="340"/>
      <c r="Z19" s="260"/>
      <c r="AA19" s="260"/>
      <c r="AB19" s="262"/>
      <c r="AC19" s="260"/>
      <c r="AD19" s="340"/>
      <c r="AE19" s="260"/>
      <c r="AF19" s="260"/>
      <c r="AG19" s="262"/>
      <c r="AH19" s="260"/>
      <c r="AI19" s="340"/>
      <c r="AJ19" s="260"/>
      <c r="AK19" s="260"/>
      <c r="AL19" s="260"/>
      <c r="AM19" s="260"/>
      <c r="AN19" s="340"/>
      <c r="AO19" s="260"/>
      <c r="AP19" s="260"/>
      <c r="AQ19" s="262"/>
      <c r="AR19" s="260"/>
      <c r="AS19" s="340"/>
      <c r="AT19" s="260"/>
      <c r="AU19" s="260"/>
      <c r="AV19" s="262"/>
      <c r="AW19" s="260"/>
      <c r="AX19" s="340"/>
    </row>
    <row r="20" spans="2:50">
      <c r="B20" s="341"/>
      <c r="C20" s="260">
        <v>14</v>
      </c>
      <c r="D20" s="260"/>
      <c r="E20" s="261"/>
      <c r="F20" s="261"/>
      <c r="G20" s="262"/>
      <c r="H20" s="343"/>
      <c r="I20" s="261"/>
      <c r="J20" s="261"/>
      <c r="K20" s="262"/>
      <c r="L20" s="343"/>
      <c r="M20" s="263" t="e">
        <f>RANK(K20, K$7:$K$21)</f>
        <v>#DIV/0!</v>
      </c>
      <c r="N20" s="345"/>
      <c r="O20" s="345"/>
      <c r="P20" s="260"/>
      <c r="Q20" s="260"/>
      <c r="R20" s="262"/>
      <c r="S20" s="260"/>
      <c r="T20" s="340"/>
      <c r="U20" s="260"/>
      <c r="V20" s="260"/>
      <c r="W20" s="262"/>
      <c r="X20" s="260"/>
      <c r="Y20" s="340"/>
      <c r="Z20" s="260"/>
      <c r="AA20" s="260"/>
      <c r="AB20" s="262"/>
      <c r="AC20" s="260"/>
      <c r="AD20" s="340"/>
      <c r="AE20" s="260"/>
      <c r="AF20" s="260"/>
      <c r="AG20" s="262"/>
      <c r="AH20" s="260"/>
      <c r="AI20" s="340"/>
      <c r="AJ20" s="260"/>
      <c r="AK20" s="260"/>
      <c r="AL20" s="260"/>
      <c r="AM20" s="260"/>
      <c r="AN20" s="340"/>
      <c r="AO20" s="260"/>
      <c r="AP20" s="260"/>
      <c r="AQ20" s="262"/>
      <c r="AR20" s="260"/>
      <c r="AS20" s="340"/>
      <c r="AT20" s="260"/>
      <c r="AU20" s="260"/>
      <c r="AV20" s="262"/>
      <c r="AW20" s="260"/>
      <c r="AX20" s="340"/>
    </row>
    <row r="21" spans="2:50">
      <c r="B21" s="341"/>
      <c r="C21" s="260">
        <v>15</v>
      </c>
      <c r="D21" s="260"/>
      <c r="E21" s="261"/>
      <c r="F21" s="261"/>
      <c r="G21" s="262"/>
      <c r="H21" s="344"/>
      <c r="I21" s="261"/>
      <c r="J21" s="261"/>
      <c r="K21" s="262"/>
      <c r="L21" s="344"/>
      <c r="M21" s="261" t="e">
        <f>RANK(K21, K$7:$K$21)</f>
        <v>#DIV/0!</v>
      </c>
      <c r="N21" s="345"/>
      <c r="O21" s="345"/>
      <c r="P21" s="260"/>
      <c r="Q21" s="260"/>
      <c r="R21" s="262"/>
      <c r="S21" s="260"/>
      <c r="T21" s="340"/>
      <c r="U21" s="260"/>
      <c r="V21" s="260"/>
      <c r="W21" s="262"/>
      <c r="X21" s="260"/>
      <c r="Y21" s="340"/>
      <c r="Z21" s="260"/>
      <c r="AA21" s="260"/>
      <c r="AB21" s="262"/>
      <c r="AC21" s="260"/>
      <c r="AD21" s="340"/>
      <c r="AE21" s="260"/>
      <c r="AF21" s="260"/>
      <c r="AG21" s="262"/>
      <c r="AH21" s="260"/>
      <c r="AI21" s="340"/>
      <c r="AJ21" s="260"/>
      <c r="AK21" s="260"/>
      <c r="AL21" s="260"/>
      <c r="AM21" s="260"/>
      <c r="AN21" s="340"/>
      <c r="AO21" s="260"/>
      <c r="AP21" s="260"/>
      <c r="AQ21" s="262"/>
      <c r="AR21" s="260"/>
      <c r="AS21" s="340"/>
      <c r="AT21" s="260"/>
      <c r="AU21" s="260"/>
      <c r="AV21" s="262"/>
      <c r="AW21" s="260"/>
      <c r="AX21" s="340"/>
    </row>
    <row r="22" spans="2:50" ht="15.75">
      <c r="B22" s="360" t="s">
        <v>86</v>
      </c>
      <c r="C22" s="361"/>
      <c r="D22" s="361"/>
      <c r="E22" s="361"/>
      <c r="F22" s="361"/>
      <c r="G22" s="361"/>
      <c r="H22" s="361"/>
      <c r="I22" s="254"/>
      <c r="J22" s="254"/>
      <c r="K22" s="254"/>
      <c r="L22" s="254"/>
      <c r="M22" s="255"/>
      <c r="N22" s="354" t="s">
        <v>87</v>
      </c>
      <c r="O22" s="354" t="s">
        <v>45</v>
      </c>
      <c r="P22" s="349">
        <v>45902</v>
      </c>
      <c r="Q22" s="341"/>
      <c r="R22" s="341"/>
      <c r="S22" s="341"/>
      <c r="T22" s="341"/>
      <c r="U22" s="349">
        <v>45903</v>
      </c>
      <c r="V22" s="341"/>
      <c r="W22" s="341"/>
      <c r="X22" s="341"/>
      <c r="Y22" s="341"/>
      <c r="Z22" s="349">
        <v>45904</v>
      </c>
      <c r="AA22" s="341"/>
      <c r="AB22" s="341"/>
      <c r="AC22" s="341"/>
      <c r="AD22" s="341"/>
      <c r="AE22" s="349">
        <v>45905</v>
      </c>
      <c r="AF22" s="341"/>
      <c r="AG22" s="341"/>
      <c r="AH22" s="341"/>
      <c r="AI22" s="341"/>
      <c r="AJ22" s="349">
        <v>45906</v>
      </c>
      <c r="AK22" s="341"/>
      <c r="AL22" s="341"/>
      <c r="AM22" s="341"/>
      <c r="AN22" s="341"/>
      <c r="AO22" s="349">
        <v>45907</v>
      </c>
      <c r="AP22" s="341"/>
      <c r="AQ22" s="341"/>
      <c r="AR22" s="341"/>
      <c r="AS22" s="341"/>
      <c r="AT22" s="349">
        <v>45908</v>
      </c>
      <c r="AU22" s="341"/>
      <c r="AV22" s="341"/>
      <c r="AW22" s="341"/>
      <c r="AX22" s="341"/>
    </row>
    <row r="23" spans="2:50" ht="15.75">
      <c r="B23" s="359"/>
      <c r="C23" s="359"/>
      <c r="D23" s="359"/>
      <c r="E23" s="359"/>
      <c r="F23" s="359"/>
      <c r="G23" s="359"/>
      <c r="H23" s="359"/>
      <c r="I23" s="256"/>
      <c r="J23" s="256"/>
      <c r="K23" s="256"/>
      <c r="L23" s="256"/>
      <c r="M23" s="257"/>
      <c r="N23" s="356"/>
      <c r="O23" s="356"/>
      <c r="P23" s="349" t="s">
        <v>57</v>
      </c>
      <c r="Q23" s="341"/>
      <c r="R23" s="341"/>
      <c r="S23" s="341"/>
      <c r="T23" s="341"/>
      <c r="U23" s="349" t="s">
        <v>58</v>
      </c>
      <c r="V23" s="341"/>
      <c r="W23" s="341"/>
      <c r="X23" s="341"/>
      <c r="Y23" s="341"/>
      <c r="Z23" s="349" t="s">
        <v>59</v>
      </c>
      <c r="AA23" s="341"/>
      <c r="AB23" s="341"/>
      <c r="AC23" s="341"/>
      <c r="AD23" s="341"/>
      <c r="AE23" s="349" t="s">
        <v>60</v>
      </c>
      <c r="AF23" s="341"/>
      <c r="AG23" s="341"/>
      <c r="AH23" s="341"/>
      <c r="AI23" s="341"/>
      <c r="AJ23" s="349" t="s">
        <v>61</v>
      </c>
      <c r="AK23" s="341"/>
      <c r="AL23" s="341"/>
      <c r="AM23" s="341"/>
      <c r="AN23" s="341"/>
      <c r="AO23" s="349" t="s">
        <v>52</v>
      </c>
      <c r="AP23" s="341"/>
      <c r="AQ23" s="341"/>
      <c r="AR23" s="341"/>
      <c r="AS23" s="341"/>
      <c r="AT23" s="349" t="s">
        <v>56</v>
      </c>
      <c r="AU23" s="341"/>
      <c r="AV23" s="341"/>
      <c r="AW23" s="341"/>
      <c r="AX23" s="341"/>
    </row>
    <row r="24" spans="2:50">
      <c r="B24" s="345" t="s">
        <v>88</v>
      </c>
      <c r="C24" s="345" t="s">
        <v>89</v>
      </c>
      <c r="D24" s="345"/>
      <c r="E24" s="345" t="s">
        <v>90</v>
      </c>
      <c r="F24" s="345"/>
      <c r="G24" s="345"/>
      <c r="H24" s="351" t="s">
        <v>91</v>
      </c>
      <c r="I24" s="345" t="s">
        <v>92</v>
      </c>
      <c r="J24" s="345"/>
      <c r="K24" s="345"/>
      <c r="L24" s="351" t="s">
        <v>91</v>
      </c>
      <c r="M24" s="354" t="s">
        <v>93</v>
      </c>
      <c r="N24" s="345"/>
      <c r="O24" s="345" t="s">
        <v>94</v>
      </c>
      <c r="P24" s="346" t="s">
        <v>95</v>
      </c>
      <c r="Q24" s="347"/>
      <c r="R24" s="347"/>
      <c r="S24" s="348"/>
      <c r="T24" s="345" t="s">
        <v>91</v>
      </c>
      <c r="U24" s="346" t="s">
        <v>95</v>
      </c>
      <c r="V24" s="347"/>
      <c r="W24" s="347"/>
      <c r="X24" s="348"/>
      <c r="Y24" s="345" t="s">
        <v>91</v>
      </c>
      <c r="Z24" s="346" t="s">
        <v>95</v>
      </c>
      <c r="AA24" s="347"/>
      <c r="AB24" s="347"/>
      <c r="AC24" s="348"/>
      <c r="AD24" s="345" t="s">
        <v>91</v>
      </c>
      <c r="AE24" s="346" t="s">
        <v>95</v>
      </c>
      <c r="AF24" s="347"/>
      <c r="AG24" s="347"/>
      <c r="AH24" s="348"/>
      <c r="AI24" s="345" t="s">
        <v>91</v>
      </c>
      <c r="AJ24" s="346" t="s">
        <v>95</v>
      </c>
      <c r="AK24" s="347"/>
      <c r="AL24" s="347"/>
      <c r="AM24" s="348"/>
      <c r="AN24" s="345" t="s">
        <v>91</v>
      </c>
      <c r="AO24" s="346" t="s">
        <v>95</v>
      </c>
      <c r="AP24" s="347"/>
      <c r="AQ24" s="347"/>
      <c r="AR24" s="348"/>
      <c r="AS24" s="345" t="s">
        <v>91</v>
      </c>
      <c r="AT24" s="346" t="s">
        <v>95</v>
      </c>
      <c r="AU24" s="347"/>
      <c r="AV24" s="347"/>
      <c r="AW24" s="348"/>
      <c r="AX24" s="345" t="s">
        <v>91</v>
      </c>
    </row>
    <row r="25" spans="2:50">
      <c r="B25" s="345"/>
      <c r="C25" s="345"/>
      <c r="D25" s="345"/>
      <c r="E25" s="345" t="s">
        <v>96</v>
      </c>
      <c r="F25" s="345"/>
      <c r="G25" s="345"/>
      <c r="H25" s="352"/>
      <c r="I25" s="345" t="s">
        <v>96</v>
      </c>
      <c r="J25" s="345"/>
      <c r="K25" s="345"/>
      <c r="L25" s="352"/>
      <c r="M25" s="355"/>
      <c r="N25" s="345"/>
      <c r="O25" s="345"/>
      <c r="P25" s="346" t="s">
        <v>97</v>
      </c>
      <c r="Q25" s="347"/>
      <c r="R25" s="347"/>
      <c r="S25" s="348"/>
      <c r="T25" s="345"/>
      <c r="U25" s="346" t="s">
        <v>97</v>
      </c>
      <c r="V25" s="347"/>
      <c r="W25" s="347"/>
      <c r="X25" s="348"/>
      <c r="Y25" s="345"/>
      <c r="Z25" s="346" t="s">
        <v>97</v>
      </c>
      <c r="AA25" s="347"/>
      <c r="AB25" s="347"/>
      <c r="AC25" s="348"/>
      <c r="AD25" s="345"/>
      <c r="AE25" s="346" t="s">
        <v>97</v>
      </c>
      <c r="AF25" s="347"/>
      <c r="AG25" s="347"/>
      <c r="AH25" s="348"/>
      <c r="AI25" s="345"/>
      <c r="AJ25" s="346" t="s">
        <v>97</v>
      </c>
      <c r="AK25" s="347"/>
      <c r="AL25" s="347"/>
      <c r="AM25" s="348"/>
      <c r="AN25" s="345"/>
      <c r="AO25" s="346" t="s">
        <v>97</v>
      </c>
      <c r="AP25" s="347"/>
      <c r="AQ25" s="347"/>
      <c r="AR25" s="348"/>
      <c r="AS25" s="345"/>
      <c r="AT25" s="346" t="s">
        <v>97</v>
      </c>
      <c r="AU25" s="347"/>
      <c r="AV25" s="347"/>
      <c r="AW25" s="348"/>
      <c r="AX25" s="345"/>
    </row>
    <row r="26" spans="2:50">
      <c r="B26" s="345"/>
      <c r="C26" s="345"/>
      <c r="D26" s="345"/>
      <c r="E26" s="259" t="s">
        <v>98</v>
      </c>
      <c r="F26" s="259" t="s">
        <v>99</v>
      </c>
      <c r="G26" s="259" t="s">
        <v>100</v>
      </c>
      <c r="H26" s="353"/>
      <c r="I26" s="259" t="s">
        <v>98</v>
      </c>
      <c r="J26" s="259" t="s">
        <v>99</v>
      </c>
      <c r="K26" s="259" t="s">
        <v>100</v>
      </c>
      <c r="L26" s="353"/>
      <c r="M26" s="356"/>
      <c r="N26" s="345"/>
      <c r="O26" s="345"/>
      <c r="P26" s="259" t="s">
        <v>98</v>
      </c>
      <c r="Q26" s="259" t="s">
        <v>99</v>
      </c>
      <c r="R26" s="259" t="s">
        <v>100</v>
      </c>
      <c r="S26" s="259" t="s">
        <v>93</v>
      </c>
      <c r="T26" s="345"/>
      <c r="U26" s="259" t="s">
        <v>98</v>
      </c>
      <c r="V26" s="259" t="s">
        <v>99</v>
      </c>
      <c r="W26" s="259" t="s">
        <v>100</v>
      </c>
      <c r="X26" s="259" t="s">
        <v>93</v>
      </c>
      <c r="Y26" s="345"/>
      <c r="Z26" s="259" t="s">
        <v>98</v>
      </c>
      <c r="AA26" s="259" t="s">
        <v>99</v>
      </c>
      <c r="AB26" s="259" t="s">
        <v>100</v>
      </c>
      <c r="AC26" s="259" t="s">
        <v>93</v>
      </c>
      <c r="AD26" s="345"/>
      <c r="AE26" s="259" t="s">
        <v>98</v>
      </c>
      <c r="AF26" s="259" t="s">
        <v>99</v>
      </c>
      <c r="AG26" s="259" t="s">
        <v>100</v>
      </c>
      <c r="AH26" s="259" t="s">
        <v>93</v>
      </c>
      <c r="AI26" s="345"/>
      <c r="AJ26" s="259" t="s">
        <v>98</v>
      </c>
      <c r="AK26" s="259" t="s">
        <v>99</v>
      </c>
      <c r="AL26" s="259" t="s">
        <v>100</v>
      </c>
      <c r="AM26" s="259" t="s">
        <v>93</v>
      </c>
      <c r="AN26" s="345"/>
      <c r="AO26" s="259" t="s">
        <v>98</v>
      </c>
      <c r="AP26" s="259" t="s">
        <v>99</v>
      </c>
      <c r="AQ26" s="259" t="s">
        <v>100</v>
      </c>
      <c r="AR26" s="259" t="s">
        <v>93</v>
      </c>
      <c r="AS26" s="345"/>
      <c r="AT26" s="259" t="s">
        <v>98</v>
      </c>
      <c r="AU26" s="259" t="s">
        <v>99</v>
      </c>
      <c r="AV26" s="259" t="s">
        <v>100</v>
      </c>
      <c r="AW26" s="259" t="s">
        <v>93</v>
      </c>
      <c r="AX26" s="345"/>
    </row>
    <row r="27" spans="2:50">
      <c r="B27" s="345" t="s">
        <v>77</v>
      </c>
      <c r="C27" s="260">
        <v>1</v>
      </c>
      <c r="D27" s="260" t="s">
        <v>122</v>
      </c>
      <c r="E27" s="261">
        <f>VLOOKUP(D27,'09產線配置圖'!$A$2:$C$25,2,0)</f>
        <v>13</v>
      </c>
      <c r="F27" s="261">
        <f>VLOOKUP(D27,'09產線配置圖'!$A$2:$C$25,3,0)</f>
        <v>1565</v>
      </c>
      <c r="G27" s="262">
        <f t="shared" ref="G27:G29" si="17">F27/E27</f>
        <v>120.38461538461539</v>
      </c>
      <c r="H27" s="342">
        <f>AVERAGE(G27:G41)</f>
        <v>127.07264957264958</v>
      </c>
      <c r="I27" s="261">
        <f>AVERAGE(P27,U27,Z27,AE27,AJ27,AO27,AT27)</f>
        <v>13.285714285714286</v>
      </c>
      <c r="J27" s="261">
        <f>AVERAGE(Q27,V27,AA27,AF27,AK27,AP27,AU27)</f>
        <v>1430.7142857142858</v>
      </c>
      <c r="K27" s="262">
        <f>AVERAGE(R27,W27,AB27,AG27,AL27,AQ27,AV27)</f>
        <v>107.85714285714285</v>
      </c>
      <c r="L27" s="342">
        <f>IFERROR(AVERAGE(K27:K41),"-")</f>
        <v>110.76953601953602</v>
      </c>
      <c r="M27" s="263">
        <f>RANK(K27, K$27:$K$41)</f>
        <v>2</v>
      </c>
      <c r="N27" s="345"/>
      <c r="O27" s="345"/>
      <c r="P27" s="261">
        <v>14</v>
      </c>
      <c r="Q27" s="261">
        <v>1316</v>
      </c>
      <c r="R27" s="262">
        <f>Q27/P27</f>
        <v>94</v>
      </c>
      <c r="S27" s="260">
        <f>RANK(R27, $R$27:$R$41)</f>
        <v>3</v>
      </c>
      <c r="T27" s="340">
        <f>AVERAGE(R27:R41)</f>
        <v>105.02564102564104</v>
      </c>
      <c r="U27" s="261">
        <v>13</v>
      </c>
      <c r="V27" s="261">
        <v>1441</v>
      </c>
      <c r="W27" s="262">
        <f>V27/U27</f>
        <v>110.84615384615384</v>
      </c>
      <c r="X27" s="260">
        <f>RANK(W27, $W$27:$W$41)</f>
        <v>2</v>
      </c>
      <c r="Y27" s="340">
        <f>AVERAGE(W27:W41)</f>
        <v>110.53205128205127</v>
      </c>
      <c r="Z27" s="261">
        <v>13</v>
      </c>
      <c r="AA27" s="261">
        <v>1480</v>
      </c>
      <c r="AB27" s="262">
        <f t="shared" ref="AB27:AB29" si="18">AA27/Z27</f>
        <v>113.84615384615384</v>
      </c>
      <c r="AC27" s="260">
        <f>RANK(AB27, $AB$27:$AB$29)</f>
        <v>2</v>
      </c>
      <c r="AD27" s="340">
        <f>AVERAGE(AB27:AB41)</f>
        <v>114.0042735042735</v>
      </c>
      <c r="AE27" s="261">
        <v>14</v>
      </c>
      <c r="AF27" s="261">
        <v>1484</v>
      </c>
      <c r="AG27" s="262">
        <f t="shared" ref="AG27:AG29" si="19">AF27/AE27</f>
        <v>106</v>
      </c>
      <c r="AH27" s="260">
        <f>RANK(AG27, $AG$27:$AG$29)</f>
        <v>3</v>
      </c>
      <c r="AI27" s="340">
        <f>AVERAGE(AG27:AG41)</f>
        <v>112.16666666666667</v>
      </c>
      <c r="AJ27" s="261">
        <v>13</v>
      </c>
      <c r="AK27" s="261">
        <v>1339.5</v>
      </c>
      <c r="AL27" s="262">
        <f t="shared" ref="AL27:AL29" si="20">AK27/AJ27</f>
        <v>103.03846153846153</v>
      </c>
      <c r="AM27" s="260">
        <f>RANK(AL27, $AL$27:$AL$29)</f>
        <v>2</v>
      </c>
      <c r="AN27" s="340">
        <f>AVERAGE(AL27:AL41)</f>
        <v>101.31837606837605</v>
      </c>
      <c r="AO27" s="261">
        <v>13</v>
      </c>
      <c r="AP27" s="261">
        <v>1441.5</v>
      </c>
      <c r="AQ27" s="262">
        <f t="shared" ref="AQ27:AQ29" si="21">AP27/AO27</f>
        <v>110.88461538461539</v>
      </c>
      <c r="AR27" s="260">
        <f>RANK(AQ27, $AQ$27:$AQ$41)</f>
        <v>3</v>
      </c>
      <c r="AS27" s="340">
        <f>AVERAGE(AQ27:AQ41)</f>
        <v>115.04487179487178</v>
      </c>
      <c r="AT27" s="261">
        <v>13</v>
      </c>
      <c r="AU27" s="261">
        <v>1513</v>
      </c>
      <c r="AV27" s="262">
        <f t="shared" ref="AV27:AV29" si="22">AU27/AT27</f>
        <v>116.38461538461539</v>
      </c>
      <c r="AW27" s="260">
        <f>RANK(AV27, $AV$27:$AV$41)</f>
        <v>2</v>
      </c>
      <c r="AX27" s="340">
        <f>AVERAGE(AV27:AV41)</f>
        <v>117.29487179487181</v>
      </c>
    </row>
    <row r="28" spans="2:50">
      <c r="B28" s="341"/>
      <c r="C28" s="260">
        <v>2</v>
      </c>
      <c r="D28" s="260" t="s">
        <v>123</v>
      </c>
      <c r="E28" s="261">
        <f>VLOOKUP(D28,'09產線配置圖'!$A$2:$C$25,2,0)</f>
        <v>12</v>
      </c>
      <c r="F28" s="261">
        <f>VLOOKUP(D28,'09產線配置圖'!$A$2:$C$25,3,0)</f>
        <v>1565</v>
      </c>
      <c r="G28" s="262">
        <f t="shared" si="17"/>
        <v>130.41666666666666</v>
      </c>
      <c r="H28" s="343"/>
      <c r="I28" s="261">
        <f t="shared" ref="I28:K29" si="23">AVERAGE(P28,U28,Z28,AE28,AJ28,AO28,AT28)</f>
        <v>12.142857142857142</v>
      </c>
      <c r="J28" s="261">
        <f t="shared" si="23"/>
        <v>1420.4285714285713</v>
      </c>
      <c r="K28" s="262">
        <f t="shared" si="23"/>
        <v>117.09065934065934</v>
      </c>
      <c r="L28" s="343"/>
      <c r="M28" s="263">
        <f>RANK(K28, K$27:$K$41)</f>
        <v>1</v>
      </c>
      <c r="N28" s="345"/>
      <c r="O28" s="345"/>
      <c r="P28" s="261">
        <v>13</v>
      </c>
      <c r="Q28" s="261">
        <v>1396</v>
      </c>
      <c r="R28" s="262">
        <f t="shared" ref="R28:R29" si="24">Q28/P28</f>
        <v>107.38461538461539</v>
      </c>
      <c r="S28" s="260">
        <f t="shared" ref="S28:S29" si="25">RANK(R28, $R$27:$R$41)</f>
        <v>2</v>
      </c>
      <c r="T28" s="340"/>
      <c r="U28" s="261">
        <v>12</v>
      </c>
      <c r="V28" s="261">
        <v>1265</v>
      </c>
      <c r="W28" s="262">
        <f t="shared" ref="W28:W29" si="26">V28/U28</f>
        <v>105.41666666666667</v>
      </c>
      <c r="X28" s="260">
        <f t="shared" ref="X28:X29" si="27">RANK(W28, $W$27:$W$41)</f>
        <v>3</v>
      </c>
      <c r="Y28" s="340"/>
      <c r="Z28" s="261">
        <v>12</v>
      </c>
      <c r="AA28" s="261">
        <v>1374</v>
      </c>
      <c r="AB28" s="262">
        <f t="shared" si="18"/>
        <v>114.5</v>
      </c>
      <c r="AC28" s="260">
        <f t="shared" ref="AC28:AC29" si="28">RANK(AB28, $AB$27:$AB$29)</f>
        <v>1</v>
      </c>
      <c r="AD28" s="340"/>
      <c r="AE28" s="261">
        <v>12</v>
      </c>
      <c r="AF28" s="261">
        <v>1346</v>
      </c>
      <c r="AG28" s="262">
        <f t="shared" si="19"/>
        <v>112.16666666666667</v>
      </c>
      <c r="AH28" s="260">
        <f t="shared" ref="AH28:AH29" si="29">RANK(AG28, $AG$27:$AG$29)</f>
        <v>2</v>
      </c>
      <c r="AI28" s="340"/>
      <c r="AJ28" s="261">
        <v>12</v>
      </c>
      <c r="AK28" s="261">
        <v>1532</v>
      </c>
      <c r="AL28" s="262">
        <f t="shared" si="20"/>
        <v>127.66666666666667</v>
      </c>
      <c r="AM28" s="260">
        <f t="shared" ref="AM28:AM29" si="30">RANK(AL28, $AL$27:$AL$29)</f>
        <v>1</v>
      </c>
      <c r="AN28" s="340"/>
      <c r="AO28" s="261">
        <v>12</v>
      </c>
      <c r="AP28" s="261">
        <v>1469</v>
      </c>
      <c r="AQ28" s="262">
        <f t="shared" si="21"/>
        <v>122.41666666666667</v>
      </c>
      <c r="AR28" s="260">
        <f t="shared" ref="AR28:AR29" si="31">RANK(AQ28, $AQ$27:$AQ$41)</f>
        <v>1</v>
      </c>
      <c r="AS28" s="340"/>
      <c r="AT28" s="261">
        <v>12</v>
      </c>
      <c r="AU28" s="261">
        <v>1561</v>
      </c>
      <c r="AV28" s="262">
        <f t="shared" si="22"/>
        <v>130.08333333333334</v>
      </c>
      <c r="AW28" s="260">
        <f t="shared" ref="AW28:AW29" si="32">RANK(AV28, $AV$27:$AV$41)</f>
        <v>1</v>
      </c>
      <c r="AX28" s="340"/>
    </row>
    <row r="29" spans="2:50">
      <c r="B29" s="341"/>
      <c r="C29" s="260">
        <v>3</v>
      </c>
      <c r="D29" s="260" t="s">
        <v>124</v>
      </c>
      <c r="E29" s="261">
        <f>VLOOKUP(D29,'09產線配置圖'!$A$2:$C$25,2,0)</f>
        <v>12</v>
      </c>
      <c r="F29" s="261">
        <f>VLOOKUP(D29,'09產線配置圖'!$A$2:$C$25,3,0)</f>
        <v>1565</v>
      </c>
      <c r="G29" s="262">
        <f t="shared" si="17"/>
        <v>130.41666666666666</v>
      </c>
      <c r="H29" s="343"/>
      <c r="I29" s="261">
        <f t="shared" si="23"/>
        <v>12.142857142857142</v>
      </c>
      <c r="J29" s="261">
        <f t="shared" si="23"/>
        <v>1304.5714285714287</v>
      </c>
      <c r="K29" s="262">
        <f t="shared" si="23"/>
        <v>107.36080586080585</v>
      </c>
      <c r="L29" s="343"/>
      <c r="M29" s="263">
        <f>RANK(K29, K$27:$K$41)</f>
        <v>3</v>
      </c>
      <c r="N29" s="345"/>
      <c r="O29" s="345"/>
      <c r="P29" s="261">
        <v>13</v>
      </c>
      <c r="Q29" s="261">
        <v>1478</v>
      </c>
      <c r="R29" s="262">
        <f t="shared" si="24"/>
        <v>113.69230769230769</v>
      </c>
      <c r="S29" s="260">
        <f t="shared" si="25"/>
        <v>1</v>
      </c>
      <c r="T29" s="340"/>
      <c r="U29" s="261">
        <v>12</v>
      </c>
      <c r="V29" s="261">
        <v>1384</v>
      </c>
      <c r="W29" s="262">
        <f t="shared" si="26"/>
        <v>115.33333333333333</v>
      </c>
      <c r="X29" s="260">
        <f t="shared" si="27"/>
        <v>1</v>
      </c>
      <c r="Y29" s="340"/>
      <c r="Z29" s="261">
        <v>12</v>
      </c>
      <c r="AA29" s="261">
        <v>1364</v>
      </c>
      <c r="AB29" s="262">
        <f t="shared" si="18"/>
        <v>113.66666666666667</v>
      </c>
      <c r="AC29" s="260">
        <f t="shared" si="28"/>
        <v>3</v>
      </c>
      <c r="AD29" s="340"/>
      <c r="AE29" s="261">
        <v>12</v>
      </c>
      <c r="AF29" s="261">
        <v>1420</v>
      </c>
      <c r="AG29" s="262">
        <f t="shared" si="19"/>
        <v>118.33333333333333</v>
      </c>
      <c r="AH29" s="260">
        <f t="shared" si="29"/>
        <v>1</v>
      </c>
      <c r="AI29" s="340"/>
      <c r="AJ29" s="261">
        <v>12</v>
      </c>
      <c r="AK29" s="261">
        <v>879</v>
      </c>
      <c r="AL29" s="262">
        <f t="shared" si="20"/>
        <v>73.25</v>
      </c>
      <c r="AM29" s="260">
        <f t="shared" si="30"/>
        <v>3</v>
      </c>
      <c r="AN29" s="340"/>
      <c r="AO29" s="261">
        <v>12</v>
      </c>
      <c r="AP29" s="261">
        <v>1342</v>
      </c>
      <c r="AQ29" s="262">
        <f t="shared" si="21"/>
        <v>111.83333333333333</v>
      </c>
      <c r="AR29" s="260">
        <f t="shared" si="31"/>
        <v>2</v>
      </c>
      <c r="AS29" s="340"/>
      <c r="AT29" s="261">
        <v>12</v>
      </c>
      <c r="AU29" s="261">
        <v>1265</v>
      </c>
      <c r="AV29" s="262">
        <f t="shared" si="22"/>
        <v>105.41666666666667</v>
      </c>
      <c r="AW29" s="260">
        <f t="shared" si="32"/>
        <v>3</v>
      </c>
      <c r="AX29" s="340"/>
    </row>
    <row r="30" spans="2:50">
      <c r="B30" s="341"/>
      <c r="C30" s="260">
        <v>4</v>
      </c>
      <c r="D30" s="260"/>
      <c r="E30" s="261"/>
      <c r="F30" s="261"/>
      <c r="G30" s="262"/>
      <c r="H30" s="343"/>
      <c r="I30" s="261"/>
      <c r="J30" s="261"/>
      <c r="K30" s="262"/>
      <c r="L30" s="343"/>
      <c r="M30" s="263"/>
      <c r="N30" s="345"/>
      <c r="O30" s="345"/>
      <c r="P30" s="261"/>
      <c r="Q30" s="261"/>
      <c r="R30" s="260"/>
      <c r="S30" s="260"/>
      <c r="T30" s="340"/>
      <c r="U30" s="261"/>
      <c r="V30" s="261"/>
      <c r="W30" s="260"/>
      <c r="X30" s="260"/>
      <c r="Y30" s="340"/>
      <c r="Z30" s="261"/>
      <c r="AA30" s="261"/>
      <c r="AB30" s="260"/>
      <c r="AC30" s="260"/>
      <c r="AD30" s="340"/>
      <c r="AE30" s="261"/>
      <c r="AF30" s="261"/>
      <c r="AG30" s="260"/>
      <c r="AH30" s="260"/>
      <c r="AI30" s="340"/>
      <c r="AJ30" s="261"/>
      <c r="AK30" s="261"/>
      <c r="AL30" s="260"/>
      <c r="AM30" s="260"/>
      <c r="AN30" s="340"/>
      <c r="AO30" s="261"/>
      <c r="AP30" s="261"/>
      <c r="AQ30" s="260"/>
      <c r="AR30" s="260"/>
      <c r="AS30" s="340"/>
      <c r="AT30" s="261"/>
      <c r="AU30" s="261"/>
      <c r="AV30" s="260"/>
      <c r="AW30" s="260"/>
      <c r="AX30" s="340"/>
    </row>
    <row r="31" spans="2:50">
      <c r="B31" s="341"/>
      <c r="C31" s="260">
        <v>5</v>
      </c>
      <c r="D31" s="260"/>
      <c r="E31" s="261"/>
      <c r="F31" s="261"/>
      <c r="G31" s="262"/>
      <c r="H31" s="343"/>
      <c r="I31" s="261"/>
      <c r="J31" s="261"/>
      <c r="K31" s="262"/>
      <c r="L31" s="343"/>
      <c r="M31" s="263"/>
      <c r="N31" s="345"/>
      <c r="O31" s="345"/>
      <c r="P31" s="261"/>
      <c r="Q31" s="261"/>
      <c r="R31" s="260"/>
      <c r="S31" s="260"/>
      <c r="T31" s="340"/>
      <c r="U31" s="261"/>
      <c r="V31" s="261"/>
      <c r="W31" s="260"/>
      <c r="X31" s="260"/>
      <c r="Y31" s="340"/>
      <c r="Z31" s="261"/>
      <c r="AA31" s="261"/>
      <c r="AB31" s="260"/>
      <c r="AC31" s="260"/>
      <c r="AD31" s="340"/>
      <c r="AE31" s="261"/>
      <c r="AF31" s="261"/>
      <c r="AG31" s="260"/>
      <c r="AH31" s="260"/>
      <c r="AI31" s="340"/>
      <c r="AJ31" s="261"/>
      <c r="AK31" s="261"/>
      <c r="AL31" s="260"/>
      <c r="AM31" s="260"/>
      <c r="AN31" s="340"/>
      <c r="AO31" s="261"/>
      <c r="AP31" s="261"/>
      <c r="AQ31" s="260"/>
      <c r="AR31" s="260"/>
      <c r="AS31" s="340"/>
      <c r="AT31" s="261"/>
      <c r="AU31" s="261"/>
      <c r="AV31" s="260"/>
      <c r="AW31" s="260"/>
      <c r="AX31" s="340"/>
    </row>
    <row r="32" spans="2:50">
      <c r="B32" s="341"/>
      <c r="C32" s="260">
        <v>6</v>
      </c>
      <c r="D32" s="260"/>
      <c r="E32" s="261"/>
      <c r="F32" s="261"/>
      <c r="G32" s="262"/>
      <c r="H32" s="343"/>
      <c r="I32" s="261"/>
      <c r="J32" s="261"/>
      <c r="K32" s="262"/>
      <c r="L32" s="343"/>
      <c r="M32" s="263"/>
      <c r="N32" s="345"/>
      <c r="O32" s="345"/>
      <c r="P32" s="261"/>
      <c r="Q32" s="261"/>
      <c r="R32" s="260"/>
      <c r="S32" s="260"/>
      <c r="T32" s="340"/>
      <c r="U32" s="261"/>
      <c r="V32" s="261"/>
      <c r="W32" s="260"/>
      <c r="X32" s="260"/>
      <c r="Y32" s="340"/>
      <c r="Z32" s="261"/>
      <c r="AA32" s="261"/>
      <c r="AB32" s="260"/>
      <c r="AC32" s="260"/>
      <c r="AD32" s="340"/>
      <c r="AE32" s="261"/>
      <c r="AF32" s="261"/>
      <c r="AG32" s="260"/>
      <c r="AH32" s="260"/>
      <c r="AI32" s="340"/>
      <c r="AJ32" s="261"/>
      <c r="AK32" s="261"/>
      <c r="AL32" s="260"/>
      <c r="AM32" s="260"/>
      <c r="AN32" s="340"/>
      <c r="AO32" s="261"/>
      <c r="AP32" s="261"/>
      <c r="AQ32" s="260"/>
      <c r="AR32" s="260"/>
      <c r="AS32" s="340"/>
      <c r="AT32" s="261"/>
      <c r="AU32" s="261"/>
      <c r="AV32" s="260"/>
      <c r="AW32" s="260"/>
      <c r="AX32" s="340"/>
    </row>
    <row r="33" spans="2:50">
      <c r="B33" s="341"/>
      <c r="C33" s="260">
        <v>7</v>
      </c>
      <c r="D33" s="260"/>
      <c r="E33" s="261"/>
      <c r="F33" s="261"/>
      <c r="G33" s="262"/>
      <c r="H33" s="343"/>
      <c r="I33" s="261"/>
      <c r="J33" s="261"/>
      <c r="K33" s="262"/>
      <c r="L33" s="343"/>
      <c r="M33" s="263"/>
      <c r="N33" s="345"/>
      <c r="O33" s="345"/>
      <c r="P33" s="261"/>
      <c r="Q33" s="261"/>
      <c r="R33" s="260"/>
      <c r="S33" s="260"/>
      <c r="T33" s="340"/>
      <c r="U33" s="261"/>
      <c r="V33" s="261"/>
      <c r="W33" s="260"/>
      <c r="X33" s="260"/>
      <c r="Y33" s="340"/>
      <c r="Z33" s="261"/>
      <c r="AA33" s="261"/>
      <c r="AB33" s="260"/>
      <c r="AC33" s="260"/>
      <c r="AD33" s="340"/>
      <c r="AE33" s="261"/>
      <c r="AF33" s="261"/>
      <c r="AG33" s="260"/>
      <c r="AH33" s="260"/>
      <c r="AI33" s="340"/>
      <c r="AJ33" s="261"/>
      <c r="AK33" s="261"/>
      <c r="AL33" s="260"/>
      <c r="AM33" s="260"/>
      <c r="AN33" s="340"/>
      <c r="AO33" s="261"/>
      <c r="AP33" s="261"/>
      <c r="AQ33" s="260"/>
      <c r="AR33" s="260"/>
      <c r="AS33" s="340"/>
      <c r="AT33" s="261"/>
      <c r="AU33" s="261"/>
      <c r="AV33" s="260"/>
      <c r="AW33" s="260"/>
      <c r="AX33" s="340"/>
    </row>
    <row r="34" spans="2:50">
      <c r="B34" s="341"/>
      <c r="C34" s="260">
        <v>8</v>
      </c>
      <c r="D34" s="260"/>
      <c r="E34" s="260"/>
      <c r="F34" s="260"/>
      <c r="G34" s="260"/>
      <c r="H34" s="343"/>
      <c r="I34" s="261"/>
      <c r="J34" s="261"/>
      <c r="K34" s="262"/>
      <c r="L34" s="343"/>
      <c r="M34" s="263"/>
      <c r="N34" s="345"/>
      <c r="O34" s="345"/>
      <c r="P34" s="261"/>
      <c r="Q34" s="261"/>
      <c r="R34" s="260"/>
      <c r="S34" s="260"/>
      <c r="T34" s="340"/>
      <c r="U34" s="261"/>
      <c r="V34" s="261"/>
      <c r="W34" s="260"/>
      <c r="X34" s="260"/>
      <c r="Y34" s="340"/>
      <c r="Z34" s="261"/>
      <c r="AA34" s="261"/>
      <c r="AB34" s="260"/>
      <c r="AC34" s="260"/>
      <c r="AD34" s="340"/>
      <c r="AE34" s="261"/>
      <c r="AF34" s="261"/>
      <c r="AG34" s="260"/>
      <c r="AH34" s="260"/>
      <c r="AI34" s="340"/>
      <c r="AJ34" s="261"/>
      <c r="AK34" s="261"/>
      <c r="AL34" s="260"/>
      <c r="AM34" s="260"/>
      <c r="AN34" s="340"/>
      <c r="AO34" s="261"/>
      <c r="AP34" s="261"/>
      <c r="AQ34" s="260"/>
      <c r="AR34" s="260"/>
      <c r="AS34" s="340"/>
      <c r="AT34" s="261"/>
      <c r="AU34" s="261"/>
      <c r="AV34" s="260"/>
      <c r="AW34" s="260"/>
      <c r="AX34" s="340"/>
    </row>
    <row r="35" spans="2:50">
      <c r="B35" s="341"/>
      <c r="C35" s="260">
        <v>9</v>
      </c>
      <c r="D35" s="260"/>
      <c r="E35" s="260"/>
      <c r="F35" s="260"/>
      <c r="G35" s="260"/>
      <c r="H35" s="343"/>
      <c r="I35" s="261"/>
      <c r="J35" s="261"/>
      <c r="K35" s="262"/>
      <c r="L35" s="343"/>
      <c r="M35" s="263"/>
      <c r="N35" s="345"/>
      <c r="O35" s="345"/>
      <c r="P35" s="261"/>
      <c r="Q35" s="261"/>
      <c r="R35" s="260"/>
      <c r="S35" s="260"/>
      <c r="T35" s="340"/>
      <c r="U35" s="261"/>
      <c r="V35" s="261"/>
      <c r="W35" s="260"/>
      <c r="X35" s="260"/>
      <c r="Y35" s="340"/>
      <c r="Z35" s="261"/>
      <c r="AA35" s="261"/>
      <c r="AB35" s="260"/>
      <c r="AC35" s="260"/>
      <c r="AD35" s="340"/>
      <c r="AE35" s="261"/>
      <c r="AF35" s="261"/>
      <c r="AG35" s="260"/>
      <c r="AH35" s="260"/>
      <c r="AI35" s="340"/>
      <c r="AJ35" s="261"/>
      <c r="AK35" s="261"/>
      <c r="AL35" s="260"/>
      <c r="AM35" s="260"/>
      <c r="AN35" s="340"/>
      <c r="AO35" s="261"/>
      <c r="AP35" s="261"/>
      <c r="AQ35" s="260"/>
      <c r="AR35" s="260"/>
      <c r="AS35" s="340"/>
      <c r="AT35" s="261"/>
      <c r="AU35" s="261"/>
      <c r="AV35" s="260"/>
      <c r="AW35" s="260"/>
      <c r="AX35" s="340"/>
    </row>
    <row r="36" spans="2:50">
      <c r="B36" s="341"/>
      <c r="C36" s="260">
        <v>10</v>
      </c>
      <c r="D36" s="260"/>
      <c r="E36" s="260"/>
      <c r="F36" s="260"/>
      <c r="G36" s="260"/>
      <c r="H36" s="343"/>
      <c r="I36" s="261"/>
      <c r="J36" s="261"/>
      <c r="K36" s="262"/>
      <c r="L36" s="343"/>
      <c r="M36" s="263"/>
      <c r="N36" s="345"/>
      <c r="O36" s="345"/>
      <c r="P36" s="261"/>
      <c r="Q36" s="261"/>
      <c r="R36" s="260"/>
      <c r="S36" s="260"/>
      <c r="T36" s="340"/>
      <c r="U36" s="261"/>
      <c r="V36" s="261"/>
      <c r="W36" s="260"/>
      <c r="X36" s="260"/>
      <c r="Y36" s="340"/>
      <c r="Z36" s="261"/>
      <c r="AA36" s="261"/>
      <c r="AB36" s="260"/>
      <c r="AC36" s="260"/>
      <c r="AD36" s="340"/>
      <c r="AE36" s="261"/>
      <c r="AF36" s="261"/>
      <c r="AG36" s="260"/>
      <c r="AH36" s="260"/>
      <c r="AI36" s="340"/>
      <c r="AJ36" s="261"/>
      <c r="AK36" s="261"/>
      <c r="AL36" s="260"/>
      <c r="AM36" s="260"/>
      <c r="AN36" s="340"/>
      <c r="AO36" s="261"/>
      <c r="AP36" s="261"/>
      <c r="AQ36" s="260"/>
      <c r="AR36" s="260"/>
      <c r="AS36" s="340"/>
      <c r="AT36" s="261"/>
      <c r="AU36" s="261"/>
      <c r="AV36" s="260"/>
      <c r="AW36" s="260"/>
      <c r="AX36" s="340"/>
    </row>
    <row r="37" spans="2:50">
      <c r="B37" s="341"/>
      <c r="C37" s="260">
        <v>11</v>
      </c>
      <c r="D37" s="260"/>
      <c r="E37" s="260"/>
      <c r="F37" s="260"/>
      <c r="G37" s="260"/>
      <c r="H37" s="343"/>
      <c r="I37" s="261"/>
      <c r="J37" s="261"/>
      <c r="K37" s="262"/>
      <c r="L37" s="343"/>
      <c r="M37" s="263"/>
      <c r="N37" s="345"/>
      <c r="O37" s="345"/>
      <c r="P37" s="260"/>
      <c r="Q37" s="260"/>
      <c r="R37" s="260"/>
      <c r="S37" s="260"/>
      <c r="T37" s="340"/>
      <c r="U37" s="260"/>
      <c r="V37" s="260"/>
      <c r="W37" s="260"/>
      <c r="X37" s="260"/>
      <c r="Y37" s="340"/>
      <c r="Z37" s="260"/>
      <c r="AA37" s="260"/>
      <c r="AB37" s="260"/>
      <c r="AC37" s="260"/>
      <c r="AD37" s="340"/>
      <c r="AE37" s="260"/>
      <c r="AF37" s="260"/>
      <c r="AG37" s="260"/>
      <c r="AH37" s="260"/>
      <c r="AI37" s="340"/>
      <c r="AJ37" s="260"/>
      <c r="AK37" s="260"/>
      <c r="AL37" s="260"/>
      <c r="AM37" s="260"/>
      <c r="AN37" s="340"/>
      <c r="AO37" s="260"/>
      <c r="AP37" s="260"/>
      <c r="AQ37" s="260"/>
      <c r="AR37" s="260"/>
      <c r="AS37" s="340"/>
      <c r="AT37" s="260"/>
      <c r="AU37" s="260"/>
      <c r="AV37" s="260"/>
      <c r="AW37" s="260"/>
      <c r="AX37" s="340"/>
    </row>
    <row r="38" spans="2:50">
      <c r="B38" s="341"/>
      <c r="C38" s="260">
        <v>12</v>
      </c>
      <c r="D38" s="260"/>
      <c r="E38" s="260"/>
      <c r="F38" s="260"/>
      <c r="G38" s="260"/>
      <c r="H38" s="343"/>
      <c r="I38" s="261"/>
      <c r="J38" s="261"/>
      <c r="K38" s="262"/>
      <c r="L38" s="343"/>
      <c r="M38" s="263"/>
      <c r="N38" s="345"/>
      <c r="O38" s="345"/>
      <c r="P38" s="260"/>
      <c r="Q38" s="260"/>
      <c r="R38" s="260"/>
      <c r="S38" s="260"/>
      <c r="T38" s="340"/>
      <c r="U38" s="260"/>
      <c r="V38" s="260"/>
      <c r="W38" s="260"/>
      <c r="X38" s="260"/>
      <c r="Y38" s="340"/>
      <c r="Z38" s="260"/>
      <c r="AA38" s="260"/>
      <c r="AB38" s="260"/>
      <c r="AC38" s="260"/>
      <c r="AD38" s="340"/>
      <c r="AE38" s="260"/>
      <c r="AF38" s="260"/>
      <c r="AG38" s="260"/>
      <c r="AH38" s="260"/>
      <c r="AI38" s="340"/>
      <c r="AJ38" s="260"/>
      <c r="AK38" s="260"/>
      <c r="AL38" s="260"/>
      <c r="AM38" s="260"/>
      <c r="AN38" s="340"/>
      <c r="AO38" s="260"/>
      <c r="AP38" s="260"/>
      <c r="AQ38" s="260"/>
      <c r="AR38" s="260"/>
      <c r="AS38" s="340"/>
      <c r="AT38" s="260"/>
      <c r="AU38" s="260"/>
      <c r="AV38" s="260"/>
      <c r="AW38" s="260"/>
      <c r="AX38" s="340"/>
    </row>
    <row r="39" spans="2:50">
      <c r="B39" s="341"/>
      <c r="C39" s="260">
        <v>13</v>
      </c>
      <c r="D39" s="260"/>
      <c r="E39" s="260"/>
      <c r="F39" s="260"/>
      <c r="G39" s="260"/>
      <c r="H39" s="343"/>
      <c r="I39" s="261"/>
      <c r="J39" s="261"/>
      <c r="K39" s="262"/>
      <c r="L39" s="343"/>
      <c r="M39" s="263"/>
      <c r="N39" s="345"/>
      <c r="O39" s="345"/>
      <c r="P39" s="260"/>
      <c r="Q39" s="260"/>
      <c r="R39" s="260"/>
      <c r="S39" s="260"/>
      <c r="T39" s="340"/>
      <c r="U39" s="260"/>
      <c r="V39" s="260"/>
      <c r="W39" s="260"/>
      <c r="X39" s="260"/>
      <c r="Y39" s="340"/>
      <c r="Z39" s="260"/>
      <c r="AA39" s="260"/>
      <c r="AB39" s="260"/>
      <c r="AC39" s="260"/>
      <c r="AD39" s="340"/>
      <c r="AE39" s="260"/>
      <c r="AF39" s="260"/>
      <c r="AG39" s="260"/>
      <c r="AH39" s="260"/>
      <c r="AI39" s="340"/>
      <c r="AJ39" s="260"/>
      <c r="AK39" s="260"/>
      <c r="AL39" s="260"/>
      <c r="AM39" s="260"/>
      <c r="AN39" s="340"/>
      <c r="AO39" s="260"/>
      <c r="AP39" s="260"/>
      <c r="AQ39" s="260"/>
      <c r="AR39" s="260"/>
      <c r="AS39" s="340"/>
      <c r="AT39" s="260"/>
      <c r="AU39" s="260"/>
      <c r="AV39" s="260"/>
      <c r="AW39" s="260"/>
      <c r="AX39" s="340"/>
    </row>
    <row r="40" spans="2:50">
      <c r="B40" s="341"/>
      <c r="C40" s="260">
        <v>14</v>
      </c>
      <c r="D40" s="260"/>
      <c r="E40" s="260"/>
      <c r="F40" s="260"/>
      <c r="G40" s="260"/>
      <c r="H40" s="343"/>
      <c r="I40" s="261"/>
      <c r="J40" s="261"/>
      <c r="K40" s="262"/>
      <c r="L40" s="343"/>
      <c r="M40" s="263"/>
      <c r="N40" s="345"/>
      <c r="O40" s="345"/>
      <c r="P40" s="260"/>
      <c r="Q40" s="260"/>
      <c r="R40" s="260"/>
      <c r="S40" s="260"/>
      <c r="T40" s="340"/>
      <c r="U40" s="260"/>
      <c r="V40" s="260"/>
      <c r="W40" s="260"/>
      <c r="X40" s="260"/>
      <c r="Y40" s="340"/>
      <c r="Z40" s="260"/>
      <c r="AA40" s="260"/>
      <c r="AB40" s="260"/>
      <c r="AC40" s="260"/>
      <c r="AD40" s="340"/>
      <c r="AE40" s="260"/>
      <c r="AF40" s="260"/>
      <c r="AG40" s="260"/>
      <c r="AH40" s="260"/>
      <c r="AI40" s="340"/>
      <c r="AJ40" s="260"/>
      <c r="AK40" s="260"/>
      <c r="AL40" s="260"/>
      <c r="AM40" s="260"/>
      <c r="AN40" s="340"/>
      <c r="AO40" s="260"/>
      <c r="AP40" s="260"/>
      <c r="AQ40" s="260"/>
      <c r="AR40" s="260"/>
      <c r="AS40" s="340"/>
      <c r="AT40" s="260"/>
      <c r="AU40" s="260"/>
      <c r="AV40" s="260"/>
      <c r="AW40" s="260"/>
      <c r="AX40" s="340"/>
    </row>
    <row r="41" spans="2:50">
      <c r="B41" s="341"/>
      <c r="C41" s="260">
        <v>15</v>
      </c>
      <c r="D41" s="260"/>
      <c r="E41" s="260"/>
      <c r="F41" s="260"/>
      <c r="G41" s="260"/>
      <c r="H41" s="344"/>
      <c r="I41" s="261"/>
      <c r="J41" s="261"/>
      <c r="K41" s="262"/>
      <c r="L41" s="344"/>
      <c r="M41" s="261"/>
      <c r="N41" s="345"/>
      <c r="O41" s="345"/>
      <c r="P41" s="260"/>
      <c r="Q41" s="260"/>
      <c r="R41" s="260"/>
      <c r="S41" s="260"/>
      <c r="T41" s="340"/>
      <c r="U41" s="260"/>
      <c r="V41" s="260"/>
      <c r="W41" s="260"/>
      <c r="X41" s="260"/>
      <c r="Y41" s="340"/>
      <c r="Z41" s="260"/>
      <c r="AA41" s="260"/>
      <c r="AB41" s="260"/>
      <c r="AC41" s="260"/>
      <c r="AD41" s="340"/>
      <c r="AE41" s="260"/>
      <c r="AF41" s="260"/>
      <c r="AG41" s="260"/>
      <c r="AH41" s="260"/>
      <c r="AI41" s="340"/>
      <c r="AJ41" s="260"/>
      <c r="AK41" s="260"/>
      <c r="AL41" s="260"/>
      <c r="AM41" s="260"/>
      <c r="AN41" s="340"/>
      <c r="AO41" s="260"/>
      <c r="AP41" s="260"/>
      <c r="AQ41" s="260"/>
      <c r="AR41" s="260"/>
      <c r="AS41" s="340"/>
      <c r="AT41" s="260"/>
      <c r="AU41" s="260"/>
      <c r="AV41" s="260"/>
      <c r="AW41" s="260"/>
      <c r="AX41" s="340"/>
    </row>
    <row r="42" spans="2:50" ht="15.75">
      <c r="B42" s="360" t="s">
        <v>86</v>
      </c>
      <c r="C42" s="361"/>
      <c r="D42" s="361"/>
      <c r="E42" s="361"/>
      <c r="F42" s="361"/>
      <c r="G42" s="361"/>
      <c r="H42" s="361"/>
      <c r="I42" s="265"/>
      <c r="J42" s="254"/>
      <c r="K42" s="265"/>
      <c r="L42" s="265"/>
      <c r="M42" s="255"/>
      <c r="N42" s="354" t="s">
        <v>87</v>
      </c>
      <c r="O42" s="354" t="s">
        <v>45</v>
      </c>
      <c r="P42" s="349">
        <v>45909</v>
      </c>
      <c r="Q42" s="341"/>
      <c r="R42" s="341"/>
      <c r="S42" s="341"/>
      <c r="T42" s="341"/>
      <c r="U42" s="349">
        <v>45910</v>
      </c>
      <c r="V42" s="341"/>
      <c r="W42" s="341"/>
      <c r="X42" s="341"/>
      <c r="Y42" s="341"/>
      <c r="Z42" s="349">
        <v>45911</v>
      </c>
      <c r="AA42" s="341"/>
      <c r="AB42" s="341"/>
      <c r="AC42" s="341"/>
      <c r="AD42" s="341"/>
      <c r="AE42" s="349">
        <v>45912</v>
      </c>
      <c r="AF42" s="341"/>
      <c r="AG42" s="341"/>
      <c r="AH42" s="341"/>
      <c r="AI42" s="341"/>
      <c r="AJ42" s="349">
        <v>45913</v>
      </c>
      <c r="AK42" s="341"/>
      <c r="AL42" s="341"/>
      <c r="AM42" s="341"/>
      <c r="AN42" s="341"/>
      <c r="AO42" s="349">
        <v>45914</v>
      </c>
      <c r="AP42" s="341"/>
      <c r="AQ42" s="341"/>
      <c r="AR42" s="341"/>
      <c r="AS42" s="341"/>
      <c r="AT42" s="349">
        <v>45915</v>
      </c>
      <c r="AU42" s="341"/>
      <c r="AV42" s="341"/>
      <c r="AW42" s="341"/>
      <c r="AX42" s="341"/>
    </row>
    <row r="43" spans="2:50" ht="15.75">
      <c r="B43" s="359"/>
      <c r="C43" s="359"/>
      <c r="D43" s="359"/>
      <c r="E43" s="359"/>
      <c r="F43" s="359"/>
      <c r="G43" s="359"/>
      <c r="H43" s="359"/>
      <c r="I43" s="256"/>
      <c r="J43" s="256"/>
      <c r="K43" s="256"/>
      <c r="L43" s="256"/>
      <c r="M43" s="257"/>
      <c r="N43" s="356"/>
      <c r="O43" s="356"/>
      <c r="P43" s="349" t="s">
        <v>57</v>
      </c>
      <c r="Q43" s="341"/>
      <c r="R43" s="341"/>
      <c r="S43" s="341"/>
      <c r="T43" s="341"/>
      <c r="U43" s="349" t="s">
        <v>58</v>
      </c>
      <c r="V43" s="341"/>
      <c r="W43" s="341"/>
      <c r="X43" s="341"/>
      <c r="Y43" s="341"/>
      <c r="Z43" s="349" t="s">
        <v>59</v>
      </c>
      <c r="AA43" s="341"/>
      <c r="AB43" s="341"/>
      <c r="AC43" s="341"/>
      <c r="AD43" s="341"/>
      <c r="AE43" s="349" t="s">
        <v>60</v>
      </c>
      <c r="AF43" s="341"/>
      <c r="AG43" s="341"/>
      <c r="AH43" s="341"/>
      <c r="AI43" s="341"/>
      <c r="AJ43" s="349" t="s">
        <v>61</v>
      </c>
      <c r="AK43" s="341"/>
      <c r="AL43" s="341"/>
      <c r="AM43" s="341"/>
      <c r="AN43" s="341"/>
      <c r="AO43" s="349" t="s">
        <v>52</v>
      </c>
      <c r="AP43" s="341"/>
      <c r="AQ43" s="341"/>
      <c r="AR43" s="341"/>
      <c r="AS43" s="341"/>
      <c r="AT43" s="349" t="s">
        <v>56</v>
      </c>
      <c r="AU43" s="341"/>
      <c r="AV43" s="341"/>
      <c r="AW43" s="341"/>
      <c r="AX43" s="341"/>
    </row>
    <row r="44" spans="2:50">
      <c r="B44" s="345" t="s">
        <v>88</v>
      </c>
      <c r="C44" s="345" t="s">
        <v>89</v>
      </c>
      <c r="D44" s="345"/>
      <c r="E44" s="345" t="s">
        <v>90</v>
      </c>
      <c r="F44" s="345"/>
      <c r="G44" s="345"/>
      <c r="H44" s="351" t="s">
        <v>91</v>
      </c>
      <c r="I44" s="345" t="s">
        <v>92</v>
      </c>
      <c r="J44" s="345"/>
      <c r="K44" s="345"/>
      <c r="L44" s="351" t="s">
        <v>91</v>
      </c>
      <c r="M44" s="354" t="s">
        <v>93</v>
      </c>
      <c r="N44" s="345"/>
      <c r="O44" s="345" t="s">
        <v>94</v>
      </c>
      <c r="P44" s="346" t="s">
        <v>95</v>
      </c>
      <c r="Q44" s="347"/>
      <c r="R44" s="347"/>
      <c r="S44" s="348"/>
      <c r="T44" s="345" t="s">
        <v>91</v>
      </c>
      <c r="U44" s="346" t="s">
        <v>95</v>
      </c>
      <c r="V44" s="347"/>
      <c r="W44" s="347"/>
      <c r="X44" s="348"/>
      <c r="Y44" s="345" t="s">
        <v>91</v>
      </c>
      <c r="Z44" s="346" t="s">
        <v>95</v>
      </c>
      <c r="AA44" s="347"/>
      <c r="AB44" s="347"/>
      <c r="AC44" s="348"/>
      <c r="AD44" s="345" t="s">
        <v>91</v>
      </c>
      <c r="AE44" s="346" t="s">
        <v>95</v>
      </c>
      <c r="AF44" s="347"/>
      <c r="AG44" s="347"/>
      <c r="AH44" s="348"/>
      <c r="AI44" s="345" t="s">
        <v>91</v>
      </c>
      <c r="AJ44" s="346" t="s">
        <v>95</v>
      </c>
      <c r="AK44" s="347"/>
      <c r="AL44" s="347"/>
      <c r="AM44" s="348"/>
      <c r="AN44" s="345" t="s">
        <v>91</v>
      </c>
      <c r="AO44" s="346" t="s">
        <v>95</v>
      </c>
      <c r="AP44" s="347"/>
      <c r="AQ44" s="347"/>
      <c r="AR44" s="348"/>
      <c r="AS44" s="345" t="s">
        <v>91</v>
      </c>
      <c r="AT44" s="346" t="s">
        <v>95</v>
      </c>
      <c r="AU44" s="347"/>
      <c r="AV44" s="347"/>
      <c r="AW44" s="348"/>
      <c r="AX44" s="345" t="s">
        <v>91</v>
      </c>
    </row>
    <row r="45" spans="2:50">
      <c r="B45" s="345"/>
      <c r="C45" s="345"/>
      <c r="D45" s="345"/>
      <c r="E45" s="345" t="s">
        <v>96</v>
      </c>
      <c r="F45" s="345"/>
      <c r="G45" s="345"/>
      <c r="H45" s="352"/>
      <c r="I45" s="345" t="s">
        <v>96</v>
      </c>
      <c r="J45" s="345"/>
      <c r="K45" s="345"/>
      <c r="L45" s="352"/>
      <c r="M45" s="355"/>
      <c r="N45" s="345"/>
      <c r="O45" s="345"/>
      <c r="P45" s="346" t="s">
        <v>97</v>
      </c>
      <c r="Q45" s="347"/>
      <c r="R45" s="347"/>
      <c r="S45" s="348"/>
      <c r="T45" s="345"/>
      <c r="U45" s="346" t="s">
        <v>97</v>
      </c>
      <c r="V45" s="347"/>
      <c r="W45" s="347"/>
      <c r="X45" s="348"/>
      <c r="Y45" s="345"/>
      <c r="Z45" s="346" t="s">
        <v>97</v>
      </c>
      <c r="AA45" s="347"/>
      <c r="AB45" s="347"/>
      <c r="AC45" s="348"/>
      <c r="AD45" s="345"/>
      <c r="AE45" s="346" t="s">
        <v>97</v>
      </c>
      <c r="AF45" s="347"/>
      <c r="AG45" s="347"/>
      <c r="AH45" s="348"/>
      <c r="AI45" s="345"/>
      <c r="AJ45" s="346" t="s">
        <v>97</v>
      </c>
      <c r="AK45" s="347"/>
      <c r="AL45" s="347"/>
      <c r="AM45" s="348"/>
      <c r="AN45" s="345"/>
      <c r="AO45" s="346" t="s">
        <v>97</v>
      </c>
      <c r="AP45" s="347"/>
      <c r="AQ45" s="347"/>
      <c r="AR45" s="348"/>
      <c r="AS45" s="345"/>
      <c r="AT45" s="346" t="s">
        <v>97</v>
      </c>
      <c r="AU45" s="347"/>
      <c r="AV45" s="347"/>
      <c r="AW45" s="348"/>
      <c r="AX45" s="345"/>
    </row>
    <row r="46" spans="2:50">
      <c r="B46" s="345"/>
      <c r="C46" s="345"/>
      <c r="D46" s="345"/>
      <c r="E46" s="259" t="s">
        <v>98</v>
      </c>
      <c r="F46" s="259" t="s">
        <v>99</v>
      </c>
      <c r="G46" s="259" t="s">
        <v>100</v>
      </c>
      <c r="H46" s="353"/>
      <c r="I46" s="259" t="s">
        <v>98</v>
      </c>
      <c r="J46" s="259" t="s">
        <v>99</v>
      </c>
      <c r="K46" s="259" t="s">
        <v>100</v>
      </c>
      <c r="L46" s="353"/>
      <c r="M46" s="356"/>
      <c r="N46" s="345"/>
      <c r="O46" s="345"/>
      <c r="P46" s="259" t="s">
        <v>98</v>
      </c>
      <c r="Q46" s="259" t="s">
        <v>99</v>
      </c>
      <c r="R46" s="259" t="s">
        <v>100</v>
      </c>
      <c r="S46" s="259" t="s">
        <v>93</v>
      </c>
      <c r="T46" s="345"/>
      <c r="U46" s="259" t="s">
        <v>98</v>
      </c>
      <c r="V46" s="259" t="s">
        <v>99</v>
      </c>
      <c r="W46" s="259" t="s">
        <v>100</v>
      </c>
      <c r="X46" s="259" t="s">
        <v>93</v>
      </c>
      <c r="Y46" s="345"/>
      <c r="Z46" s="259" t="s">
        <v>98</v>
      </c>
      <c r="AA46" s="259" t="s">
        <v>99</v>
      </c>
      <c r="AB46" s="259" t="s">
        <v>100</v>
      </c>
      <c r="AC46" s="259" t="s">
        <v>93</v>
      </c>
      <c r="AD46" s="345"/>
      <c r="AE46" s="259" t="s">
        <v>98</v>
      </c>
      <c r="AF46" s="259" t="s">
        <v>99</v>
      </c>
      <c r="AG46" s="259" t="s">
        <v>100</v>
      </c>
      <c r="AH46" s="259" t="s">
        <v>93</v>
      </c>
      <c r="AI46" s="345"/>
      <c r="AJ46" s="259" t="s">
        <v>98</v>
      </c>
      <c r="AK46" s="259" t="s">
        <v>99</v>
      </c>
      <c r="AL46" s="259" t="s">
        <v>100</v>
      </c>
      <c r="AM46" s="259" t="s">
        <v>93</v>
      </c>
      <c r="AN46" s="345"/>
      <c r="AO46" s="259" t="s">
        <v>98</v>
      </c>
      <c r="AP46" s="259" t="s">
        <v>99</v>
      </c>
      <c r="AQ46" s="259" t="s">
        <v>100</v>
      </c>
      <c r="AR46" s="259" t="s">
        <v>93</v>
      </c>
      <c r="AS46" s="345"/>
      <c r="AT46" s="259" t="s">
        <v>98</v>
      </c>
      <c r="AU46" s="259" t="s">
        <v>99</v>
      </c>
      <c r="AV46" s="259" t="s">
        <v>100</v>
      </c>
      <c r="AW46" s="259" t="s">
        <v>93</v>
      </c>
      <c r="AX46" s="345"/>
    </row>
    <row r="47" spans="2:50">
      <c r="B47" s="345" t="s">
        <v>77</v>
      </c>
      <c r="C47" s="260">
        <v>1</v>
      </c>
      <c r="D47" s="260" t="s">
        <v>122</v>
      </c>
      <c r="E47" s="261">
        <f>VLOOKUP(D47,'09產線配置圖'!$A$2:$C$25,2,0)</f>
        <v>13</v>
      </c>
      <c r="F47" s="261">
        <f>VLOOKUP(D47,'09產線配置圖'!$A$2:$C$25,3,0)</f>
        <v>1565</v>
      </c>
      <c r="G47" s="262">
        <f t="shared" ref="G47:G49" si="33">F47/E47</f>
        <v>120.38461538461539</v>
      </c>
      <c r="H47" s="342">
        <f>AVERAGE(G47:G61)</f>
        <v>127.07264957264958</v>
      </c>
      <c r="I47" s="261">
        <f>AVERAGE(P47,U47,Z47,AE47,AJ47,AO47,AT47)</f>
        <v>13</v>
      </c>
      <c r="J47" s="261">
        <f>AVERAGE(Q47,V47,AA47,AF47,AK47,AP47,AU47)</f>
        <v>1489.1428571428571</v>
      </c>
      <c r="K47" s="262">
        <f>AVERAGE(R47,W47,AB47,AG47,AL47,AQ47,AV47)</f>
        <v>114.54945054945054</v>
      </c>
      <c r="L47" s="342">
        <f>IFERROR(AVERAGE(K47:K61),"-")</f>
        <v>116.03449328449329</v>
      </c>
      <c r="M47" s="261">
        <f>RANK(K47, K$47:$K$61)</f>
        <v>3</v>
      </c>
      <c r="N47" s="345"/>
      <c r="O47" s="345"/>
      <c r="P47" s="261">
        <v>13</v>
      </c>
      <c r="Q47" s="261">
        <v>1480</v>
      </c>
      <c r="R47" s="262">
        <f>Q47/P47</f>
        <v>113.84615384615384</v>
      </c>
      <c r="S47" s="260">
        <f>RANK(R47, $R$47:$R$49)</f>
        <v>2</v>
      </c>
      <c r="T47" s="340">
        <f>AVERAGE(R47:R61)</f>
        <v>113.491452991453</v>
      </c>
      <c r="U47" s="261">
        <v>13</v>
      </c>
      <c r="V47" s="261">
        <v>1512</v>
      </c>
      <c r="W47" s="262">
        <f>V47/U47</f>
        <v>116.30769230769231</v>
      </c>
      <c r="X47" s="260">
        <f>RANK(W47, $W$47:$W$49)</f>
        <v>2</v>
      </c>
      <c r="Y47" s="340">
        <f>AVERAGE(W47:W61)</f>
        <v>116.3525641025641</v>
      </c>
      <c r="Z47" s="261">
        <v>13</v>
      </c>
      <c r="AA47" s="261">
        <v>1480</v>
      </c>
      <c r="AB47" s="262">
        <f>AA47/Z47</f>
        <v>113.84615384615384</v>
      </c>
      <c r="AC47" s="260">
        <f>RANK(AB47, $AB$47:$AB$49)</f>
        <v>2</v>
      </c>
      <c r="AD47" s="340">
        <f>AVERAGE(AB47:AB61)</f>
        <v>118.6431623931624</v>
      </c>
      <c r="AE47" s="261">
        <v>13</v>
      </c>
      <c r="AF47" s="261">
        <v>1505</v>
      </c>
      <c r="AG47" s="262">
        <f>AF47/AE47</f>
        <v>115.76923076923077</v>
      </c>
      <c r="AH47" s="260">
        <f>RANK(AG47,$AG$47:$AG$49)</f>
        <v>2</v>
      </c>
      <c r="AI47" s="340">
        <f>AVERAGE(AG47:AG61)</f>
        <v>118.36752136752136</v>
      </c>
      <c r="AJ47" s="261">
        <v>13</v>
      </c>
      <c r="AK47" s="261">
        <v>1508</v>
      </c>
      <c r="AL47" s="262">
        <f>AK47/AJ47</f>
        <v>116</v>
      </c>
      <c r="AM47" s="260">
        <f>RANK(AL47, $AL$47:$AL$49)</f>
        <v>1</v>
      </c>
      <c r="AN47" s="340">
        <f>AVERAGE(AL47:AL61)</f>
        <v>106.97222222222223</v>
      </c>
      <c r="AO47" s="261">
        <v>13</v>
      </c>
      <c r="AP47" s="261">
        <v>1474</v>
      </c>
      <c r="AQ47" s="262">
        <f>AP47/AO47</f>
        <v>113.38461538461539</v>
      </c>
      <c r="AR47" s="260">
        <f>RANK(AQ47,$AQ$47:$AQ$49)</f>
        <v>3</v>
      </c>
      <c r="AS47" s="340">
        <f>AVERAGE(AQ47:AQ61)</f>
        <v>118.90598290598291</v>
      </c>
      <c r="AT47" s="281">
        <v>13</v>
      </c>
      <c r="AU47" s="281">
        <v>1465</v>
      </c>
      <c r="AV47" s="262">
        <f>AU47/AT47</f>
        <v>112.69230769230769</v>
      </c>
      <c r="AW47" s="260">
        <f>RANK(AV47,$AV$47:$AV$49)</f>
        <v>3</v>
      </c>
      <c r="AX47" s="340">
        <f>AVERAGE(AV47:AV61)</f>
        <v>119.508547008547</v>
      </c>
    </row>
    <row r="48" spans="2:50">
      <c r="B48" s="341"/>
      <c r="C48" s="260">
        <v>2</v>
      </c>
      <c r="D48" s="260" t="s">
        <v>123</v>
      </c>
      <c r="E48" s="261">
        <f>VLOOKUP(D48,'09產線配置圖'!$A$2:$C$25,2,0)</f>
        <v>12</v>
      </c>
      <c r="F48" s="261">
        <f>VLOOKUP(D48,'09產線配置圖'!$A$2:$C$25,3,0)</f>
        <v>1565</v>
      </c>
      <c r="G48" s="262">
        <f t="shared" si="33"/>
        <v>130.41666666666666</v>
      </c>
      <c r="H48" s="343"/>
      <c r="I48" s="261">
        <f t="shared" ref="I48:K49" si="34">AVERAGE(P48,U48,Z48,AE48,AJ48,AO48,AT48)</f>
        <v>12.142857142857142</v>
      </c>
      <c r="J48" s="261">
        <f t="shared" si="34"/>
        <v>1415.8571428571429</v>
      </c>
      <c r="K48" s="262">
        <f t="shared" si="34"/>
        <v>116.68498168498169</v>
      </c>
      <c r="L48" s="343"/>
      <c r="M48" s="261">
        <f>RANK(K48, K$47:$K$61)</f>
        <v>2</v>
      </c>
      <c r="N48" s="345"/>
      <c r="O48" s="345"/>
      <c r="P48" s="261">
        <v>13</v>
      </c>
      <c r="Q48" s="261">
        <v>1423</v>
      </c>
      <c r="R48" s="262">
        <f t="shared" ref="R48:R49" si="35">Q48/P48</f>
        <v>109.46153846153847</v>
      </c>
      <c r="S48" s="260">
        <f t="shared" ref="S48:S49" si="36">RANK(R48, $R$47:$R$49)</f>
        <v>3</v>
      </c>
      <c r="T48" s="340"/>
      <c r="U48" s="261">
        <v>12</v>
      </c>
      <c r="V48" s="261">
        <v>1436</v>
      </c>
      <c r="W48" s="262">
        <f t="shared" ref="W48:W49" si="37">V48/U48</f>
        <v>119.66666666666667</v>
      </c>
      <c r="X48" s="260">
        <f t="shared" ref="X48:X49" si="38">RANK(W48, $W$47:$W$49)</f>
        <v>1</v>
      </c>
      <c r="Y48" s="340"/>
      <c r="Z48" s="261">
        <v>12</v>
      </c>
      <c r="AA48" s="261">
        <v>1344</v>
      </c>
      <c r="AB48" s="262">
        <f t="shared" ref="AB48:AB49" si="39">AA48/Z48</f>
        <v>112</v>
      </c>
      <c r="AC48" s="260">
        <f t="shared" ref="AC48:AC49" si="40">RANK(AB48, $AB$47:$AB$49)</f>
        <v>3</v>
      </c>
      <c r="AD48" s="340"/>
      <c r="AE48" s="261">
        <v>12</v>
      </c>
      <c r="AF48" s="261">
        <v>1565</v>
      </c>
      <c r="AG48" s="262">
        <f t="shared" ref="AG48:AG49" si="41">AF48/AE48</f>
        <v>130.41666666666666</v>
      </c>
      <c r="AH48" s="260">
        <f t="shared" ref="AH48:AH49" si="42">RANK(AG48,$AG$47:$AG$49)</f>
        <v>1</v>
      </c>
      <c r="AI48" s="340"/>
      <c r="AJ48" s="261">
        <v>12</v>
      </c>
      <c r="AK48" s="261">
        <v>1275</v>
      </c>
      <c r="AL48" s="262">
        <f t="shared" ref="AL48:AL49" si="43">AK48/AJ48</f>
        <v>106.25</v>
      </c>
      <c r="AM48" s="260">
        <f t="shared" ref="AM48:AM49" si="44">RANK(AL48, $AL$47:$AL$49)</f>
        <v>2</v>
      </c>
      <c r="AN48" s="340"/>
      <c r="AO48" s="261">
        <v>12</v>
      </c>
      <c r="AP48" s="261">
        <v>1434</v>
      </c>
      <c r="AQ48" s="262">
        <f t="shared" ref="AQ48:AQ49" si="45">AP48/AO48</f>
        <v>119.5</v>
      </c>
      <c r="AR48" s="260">
        <f t="shared" ref="AR48:AR49" si="46">RANK(AQ48,$AQ$47:$AQ$49)</f>
        <v>2</v>
      </c>
      <c r="AS48" s="340"/>
      <c r="AT48" s="281">
        <v>12</v>
      </c>
      <c r="AU48" s="281">
        <v>1434</v>
      </c>
      <c r="AV48" s="262">
        <f t="shared" ref="AV48:AV49" si="47">AU48/AT48</f>
        <v>119.5</v>
      </c>
      <c r="AW48" s="260">
        <f t="shared" ref="AW48:AW49" si="48">RANK(AV48,$AV$47:$AV$49)</f>
        <v>2</v>
      </c>
      <c r="AX48" s="340"/>
    </row>
    <row r="49" spans="2:50">
      <c r="B49" s="341"/>
      <c r="C49" s="260">
        <v>3</v>
      </c>
      <c r="D49" s="260" t="s">
        <v>124</v>
      </c>
      <c r="E49" s="261">
        <f>VLOOKUP(D49,'09產線配置圖'!$A$2:$C$25,2,0)</f>
        <v>12</v>
      </c>
      <c r="F49" s="261">
        <f>VLOOKUP(D49,'09產線配置圖'!$A$2:$C$25,3,0)</f>
        <v>1565</v>
      </c>
      <c r="G49" s="262">
        <f t="shared" si="33"/>
        <v>130.41666666666666</v>
      </c>
      <c r="H49" s="343"/>
      <c r="I49" s="261">
        <f t="shared" si="34"/>
        <v>12</v>
      </c>
      <c r="J49" s="261">
        <f t="shared" si="34"/>
        <v>1402.4285714285713</v>
      </c>
      <c r="K49" s="262">
        <f t="shared" si="34"/>
        <v>116.86904761904763</v>
      </c>
      <c r="L49" s="343"/>
      <c r="M49" s="261">
        <f>RANK(K49, K$47:$K$61)</f>
        <v>1</v>
      </c>
      <c r="N49" s="345"/>
      <c r="O49" s="345"/>
      <c r="P49" s="261">
        <v>12</v>
      </c>
      <c r="Q49" s="261">
        <v>1406</v>
      </c>
      <c r="R49" s="262">
        <f t="shared" si="35"/>
        <v>117.16666666666667</v>
      </c>
      <c r="S49" s="260">
        <f t="shared" si="36"/>
        <v>1</v>
      </c>
      <c r="T49" s="340"/>
      <c r="U49" s="261">
        <v>12</v>
      </c>
      <c r="V49" s="261">
        <v>1357</v>
      </c>
      <c r="W49" s="262">
        <f t="shared" si="37"/>
        <v>113.08333333333333</v>
      </c>
      <c r="X49" s="260">
        <f t="shared" si="38"/>
        <v>3</v>
      </c>
      <c r="Y49" s="340"/>
      <c r="Z49" s="261">
        <v>12</v>
      </c>
      <c r="AA49" s="261">
        <v>1561</v>
      </c>
      <c r="AB49" s="262">
        <f t="shared" si="39"/>
        <v>130.08333333333334</v>
      </c>
      <c r="AC49" s="260">
        <f t="shared" si="40"/>
        <v>1</v>
      </c>
      <c r="AD49" s="340"/>
      <c r="AE49" s="261">
        <v>12</v>
      </c>
      <c r="AF49" s="261">
        <v>1307</v>
      </c>
      <c r="AG49" s="262">
        <f t="shared" si="41"/>
        <v>108.91666666666667</v>
      </c>
      <c r="AH49" s="260">
        <f t="shared" si="42"/>
        <v>3</v>
      </c>
      <c r="AI49" s="340"/>
      <c r="AJ49" s="261">
        <v>12</v>
      </c>
      <c r="AK49" s="261">
        <v>1184</v>
      </c>
      <c r="AL49" s="262">
        <f t="shared" si="43"/>
        <v>98.666666666666671</v>
      </c>
      <c r="AM49" s="260">
        <f t="shared" si="44"/>
        <v>3</v>
      </c>
      <c r="AN49" s="340"/>
      <c r="AO49" s="261">
        <v>12</v>
      </c>
      <c r="AP49" s="261">
        <v>1486</v>
      </c>
      <c r="AQ49" s="262">
        <f t="shared" si="45"/>
        <v>123.83333333333333</v>
      </c>
      <c r="AR49" s="260">
        <f t="shared" si="46"/>
        <v>1</v>
      </c>
      <c r="AS49" s="340"/>
      <c r="AT49" s="281">
        <v>12</v>
      </c>
      <c r="AU49" s="281">
        <v>1516</v>
      </c>
      <c r="AV49" s="262">
        <f t="shared" si="47"/>
        <v>126.33333333333333</v>
      </c>
      <c r="AW49" s="260">
        <f t="shared" si="48"/>
        <v>1</v>
      </c>
      <c r="AX49" s="340"/>
    </row>
    <row r="50" spans="2:50">
      <c r="B50" s="341"/>
      <c r="C50" s="260">
        <v>4</v>
      </c>
      <c r="D50" s="260"/>
      <c r="E50" s="261"/>
      <c r="F50" s="261"/>
      <c r="G50" s="262"/>
      <c r="H50" s="343"/>
      <c r="I50" s="261"/>
      <c r="J50" s="261"/>
      <c r="K50" s="262"/>
      <c r="L50" s="343"/>
      <c r="M50" s="261"/>
      <c r="N50" s="345"/>
      <c r="O50" s="345"/>
      <c r="P50" s="261"/>
      <c r="Q50" s="261"/>
      <c r="R50" s="260"/>
      <c r="S50" s="260"/>
      <c r="T50" s="340"/>
      <c r="U50" s="261"/>
      <c r="V50" s="261"/>
      <c r="W50" s="260"/>
      <c r="X50" s="260"/>
      <c r="Y50" s="340"/>
      <c r="Z50" s="261"/>
      <c r="AA50" s="261"/>
      <c r="AB50" s="260"/>
      <c r="AC50" s="260"/>
      <c r="AD50" s="340"/>
      <c r="AE50" s="261"/>
      <c r="AF50" s="261"/>
      <c r="AG50" s="260"/>
      <c r="AH50" s="260"/>
      <c r="AI50" s="340"/>
      <c r="AJ50" s="261"/>
      <c r="AK50" s="261"/>
      <c r="AL50" s="260"/>
      <c r="AM50" s="260"/>
      <c r="AN50" s="340"/>
      <c r="AO50" s="261"/>
      <c r="AP50" s="261"/>
      <c r="AQ50" s="260"/>
      <c r="AR50" s="260"/>
      <c r="AS50" s="340"/>
      <c r="AT50" s="261"/>
      <c r="AU50" s="261"/>
      <c r="AV50" s="260"/>
      <c r="AW50" s="260"/>
      <c r="AX50" s="340"/>
    </row>
    <row r="51" spans="2:50">
      <c r="B51" s="341"/>
      <c r="C51" s="260">
        <v>5</v>
      </c>
      <c r="D51" s="260"/>
      <c r="E51" s="261"/>
      <c r="F51" s="261"/>
      <c r="G51" s="262"/>
      <c r="H51" s="343"/>
      <c r="I51" s="261"/>
      <c r="J51" s="261"/>
      <c r="K51" s="262"/>
      <c r="L51" s="343"/>
      <c r="M51" s="261"/>
      <c r="N51" s="345"/>
      <c r="O51" s="345"/>
      <c r="P51" s="261"/>
      <c r="Q51" s="261"/>
      <c r="R51" s="260"/>
      <c r="S51" s="260"/>
      <c r="T51" s="340"/>
      <c r="U51" s="261"/>
      <c r="V51" s="261"/>
      <c r="W51" s="260"/>
      <c r="X51" s="260"/>
      <c r="Y51" s="340"/>
      <c r="Z51" s="261"/>
      <c r="AA51" s="261"/>
      <c r="AB51" s="260"/>
      <c r="AC51" s="260"/>
      <c r="AD51" s="340"/>
      <c r="AE51" s="261"/>
      <c r="AF51" s="261"/>
      <c r="AG51" s="260"/>
      <c r="AH51" s="260"/>
      <c r="AI51" s="340"/>
      <c r="AJ51" s="261"/>
      <c r="AK51" s="261"/>
      <c r="AL51" s="260"/>
      <c r="AM51" s="260"/>
      <c r="AN51" s="340"/>
      <c r="AO51" s="261"/>
      <c r="AP51" s="261"/>
      <c r="AQ51" s="260"/>
      <c r="AR51" s="260"/>
      <c r="AS51" s="340"/>
      <c r="AT51" s="261"/>
      <c r="AU51" s="261"/>
      <c r="AV51" s="260"/>
      <c r="AW51" s="260"/>
      <c r="AX51" s="340"/>
    </row>
    <row r="52" spans="2:50">
      <c r="B52" s="341"/>
      <c r="C52" s="260">
        <v>6</v>
      </c>
      <c r="D52" s="260"/>
      <c r="E52" s="261"/>
      <c r="F52" s="261"/>
      <c r="G52" s="262"/>
      <c r="H52" s="343"/>
      <c r="I52" s="261"/>
      <c r="J52" s="261"/>
      <c r="K52" s="262"/>
      <c r="L52" s="343"/>
      <c r="M52" s="261"/>
      <c r="N52" s="345"/>
      <c r="O52" s="345"/>
      <c r="P52" s="261"/>
      <c r="Q52" s="261"/>
      <c r="R52" s="260"/>
      <c r="S52" s="260"/>
      <c r="T52" s="340"/>
      <c r="U52" s="261"/>
      <c r="V52" s="261"/>
      <c r="W52" s="260"/>
      <c r="X52" s="260"/>
      <c r="Y52" s="340"/>
      <c r="Z52" s="261"/>
      <c r="AA52" s="261"/>
      <c r="AB52" s="260"/>
      <c r="AC52" s="260"/>
      <c r="AD52" s="340"/>
      <c r="AE52" s="261"/>
      <c r="AF52" s="261"/>
      <c r="AG52" s="260"/>
      <c r="AH52" s="260"/>
      <c r="AI52" s="340"/>
      <c r="AJ52" s="261"/>
      <c r="AK52" s="261"/>
      <c r="AL52" s="260"/>
      <c r="AM52" s="260"/>
      <c r="AN52" s="340"/>
      <c r="AO52" s="261"/>
      <c r="AP52" s="261"/>
      <c r="AQ52" s="260"/>
      <c r="AR52" s="260"/>
      <c r="AS52" s="340"/>
      <c r="AT52" s="261"/>
      <c r="AU52" s="261"/>
      <c r="AV52" s="260"/>
      <c r="AW52" s="260"/>
      <c r="AX52" s="340"/>
    </row>
    <row r="53" spans="2:50">
      <c r="B53" s="341"/>
      <c r="C53" s="260">
        <v>7</v>
      </c>
      <c r="D53" s="260"/>
      <c r="E53" s="261"/>
      <c r="F53" s="261"/>
      <c r="G53" s="262"/>
      <c r="H53" s="343"/>
      <c r="I53" s="261"/>
      <c r="J53" s="261"/>
      <c r="K53" s="262"/>
      <c r="L53" s="343"/>
      <c r="M53" s="261"/>
      <c r="N53" s="345"/>
      <c r="O53" s="345"/>
      <c r="P53" s="261"/>
      <c r="Q53" s="261"/>
      <c r="R53" s="260"/>
      <c r="S53" s="260"/>
      <c r="T53" s="340"/>
      <c r="U53" s="261"/>
      <c r="V53" s="261"/>
      <c r="W53" s="260"/>
      <c r="X53" s="260"/>
      <c r="Y53" s="340"/>
      <c r="Z53" s="261"/>
      <c r="AA53" s="261"/>
      <c r="AB53" s="260"/>
      <c r="AC53" s="260"/>
      <c r="AD53" s="340"/>
      <c r="AE53" s="261"/>
      <c r="AF53" s="261"/>
      <c r="AG53" s="260"/>
      <c r="AH53" s="260"/>
      <c r="AI53" s="340"/>
      <c r="AJ53" s="261"/>
      <c r="AK53" s="261"/>
      <c r="AL53" s="260"/>
      <c r="AM53" s="260"/>
      <c r="AN53" s="340"/>
      <c r="AO53" s="261"/>
      <c r="AP53" s="261"/>
      <c r="AQ53" s="260"/>
      <c r="AR53" s="260"/>
      <c r="AS53" s="340"/>
      <c r="AT53" s="261"/>
      <c r="AU53" s="261"/>
      <c r="AV53" s="260"/>
      <c r="AW53" s="260"/>
      <c r="AX53" s="340"/>
    </row>
    <row r="54" spans="2:50">
      <c r="B54" s="341"/>
      <c r="C54" s="260">
        <v>8</v>
      </c>
      <c r="D54" s="260"/>
      <c r="E54" s="260"/>
      <c r="F54" s="260"/>
      <c r="G54" s="260"/>
      <c r="H54" s="343"/>
      <c r="I54" s="261"/>
      <c r="J54" s="261"/>
      <c r="K54" s="262"/>
      <c r="L54" s="343"/>
      <c r="M54" s="261"/>
      <c r="N54" s="345"/>
      <c r="O54" s="345"/>
      <c r="P54" s="261"/>
      <c r="Q54" s="261"/>
      <c r="R54" s="260"/>
      <c r="S54" s="260"/>
      <c r="T54" s="340"/>
      <c r="U54" s="261"/>
      <c r="V54" s="261"/>
      <c r="W54" s="260"/>
      <c r="X54" s="260"/>
      <c r="Y54" s="340"/>
      <c r="Z54" s="261"/>
      <c r="AA54" s="261"/>
      <c r="AB54" s="260"/>
      <c r="AC54" s="260"/>
      <c r="AD54" s="340"/>
      <c r="AE54" s="261"/>
      <c r="AF54" s="261"/>
      <c r="AG54" s="260"/>
      <c r="AH54" s="260"/>
      <c r="AI54" s="340"/>
      <c r="AJ54" s="261"/>
      <c r="AK54" s="261"/>
      <c r="AL54" s="260"/>
      <c r="AM54" s="260"/>
      <c r="AN54" s="340"/>
      <c r="AO54" s="261"/>
      <c r="AP54" s="261"/>
      <c r="AQ54" s="260"/>
      <c r="AR54" s="260"/>
      <c r="AS54" s="340"/>
      <c r="AT54" s="261"/>
      <c r="AU54" s="261"/>
      <c r="AV54" s="260"/>
      <c r="AW54" s="260"/>
      <c r="AX54" s="340"/>
    </row>
    <row r="55" spans="2:50">
      <c r="B55" s="341"/>
      <c r="C55" s="260">
        <v>9</v>
      </c>
      <c r="D55" s="260"/>
      <c r="E55" s="260"/>
      <c r="F55" s="260"/>
      <c r="G55" s="260"/>
      <c r="H55" s="343"/>
      <c r="I55" s="261"/>
      <c r="J55" s="261"/>
      <c r="K55" s="262"/>
      <c r="L55" s="343"/>
      <c r="M55" s="261"/>
      <c r="N55" s="345"/>
      <c r="O55" s="345"/>
      <c r="P55" s="261"/>
      <c r="Q55" s="261"/>
      <c r="R55" s="260"/>
      <c r="S55" s="260"/>
      <c r="T55" s="340"/>
      <c r="U55" s="261"/>
      <c r="V55" s="261"/>
      <c r="W55" s="260"/>
      <c r="X55" s="260"/>
      <c r="Y55" s="340"/>
      <c r="Z55" s="261"/>
      <c r="AA55" s="261"/>
      <c r="AB55" s="260"/>
      <c r="AC55" s="260"/>
      <c r="AD55" s="340"/>
      <c r="AE55" s="261"/>
      <c r="AF55" s="261"/>
      <c r="AG55" s="260"/>
      <c r="AH55" s="260"/>
      <c r="AI55" s="340"/>
      <c r="AJ55" s="261"/>
      <c r="AK55" s="261"/>
      <c r="AL55" s="260"/>
      <c r="AM55" s="260"/>
      <c r="AN55" s="340"/>
      <c r="AO55" s="261"/>
      <c r="AP55" s="261"/>
      <c r="AQ55" s="260"/>
      <c r="AR55" s="260"/>
      <c r="AS55" s="340"/>
      <c r="AT55" s="261"/>
      <c r="AU55" s="261"/>
      <c r="AV55" s="260"/>
      <c r="AW55" s="260"/>
      <c r="AX55" s="340"/>
    </row>
    <row r="56" spans="2:50">
      <c r="B56" s="341"/>
      <c r="C56" s="260">
        <v>10</v>
      </c>
      <c r="D56" s="260"/>
      <c r="E56" s="260"/>
      <c r="F56" s="260"/>
      <c r="G56" s="260"/>
      <c r="H56" s="343"/>
      <c r="I56" s="261"/>
      <c r="J56" s="261"/>
      <c r="K56" s="262"/>
      <c r="L56" s="343"/>
      <c r="M56" s="261"/>
      <c r="N56" s="345"/>
      <c r="O56" s="345"/>
      <c r="P56" s="261"/>
      <c r="Q56" s="261"/>
      <c r="R56" s="260"/>
      <c r="S56" s="260"/>
      <c r="T56" s="340"/>
      <c r="U56" s="261"/>
      <c r="V56" s="261"/>
      <c r="W56" s="260"/>
      <c r="X56" s="260"/>
      <c r="Y56" s="340"/>
      <c r="Z56" s="261"/>
      <c r="AA56" s="261"/>
      <c r="AB56" s="260"/>
      <c r="AC56" s="260"/>
      <c r="AD56" s="340"/>
      <c r="AE56" s="261"/>
      <c r="AF56" s="261"/>
      <c r="AG56" s="260"/>
      <c r="AH56" s="260"/>
      <c r="AI56" s="340"/>
      <c r="AJ56" s="261"/>
      <c r="AK56" s="261"/>
      <c r="AL56" s="260"/>
      <c r="AM56" s="260"/>
      <c r="AN56" s="340"/>
      <c r="AO56" s="261"/>
      <c r="AP56" s="261"/>
      <c r="AQ56" s="260"/>
      <c r="AR56" s="260"/>
      <c r="AS56" s="340"/>
      <c r="AT56" s="261"/>
      <c r="AU56" s="261"/>
      <c r="AV56" s="260"/>
      <c r="AW56" s="260"/>
      <c r="AX56" s="340"/>
    </row>
    <row r="57" spans="2:50">
      <c r="B57" s="341"/>
      <c r="C57" s="260">
        <v>11</v>
      </c>
      <c r="D57" s="260"/>
      <c r="E57" s="260"/>
      <c r="F57" s="260"/>
      <c r="G57" s="260"/>
      <c r="H57" s="343"/>
      <c r="I57" s="261"/>
      <c r="J57" s="261"/>
      <c r="K57" s="262"/>
      <c r="L57" s="343"/>
      <c r="M57" s="261"/>
      <c r="N57" s="345"/>
      <c r="O57" s="345"/>
      <c r="P57" s="260"/>
      <c r="Q57" s="260"/>
      <c r="R57" s="260"/>
      <c r="S57" s="260"/>
      <c r="T57" s="340"/>
      <c r="U57" s="260"/>
      <c r="V57" s="260"/>
      <c r="W57" s="260"/>
      <c r="X57" s="260"/>
      <c r="Y57" s="340"/>
      <c r="Z57" s="260"/>
      <c r="AA57" s="260"/>
      <c r="AB57" s="260"/>
      <c r="AC57" s="260"/>
      <c r="AD57" s="340"/>
      <c r="AE57" s="260"/>
      <c r="AF57" s="260"/>
      <c r="AG57" s="260"/>
      <c r="AH57" s="260"/>
      <c r="AI57" s="340"/>
      <c r="AJ57" s="260"/>
      <c r="AK57" s="260"/>
      <c r="AL57" s="260"/>
      <c r="AM57" s="260"/>
      <c r="AN57" s="340"/>
      <c r="AO57" s="260"/>
      <c r="AP57" s="260"/>
      <c r="AQ57" s="260"/>
      <c r="AR57" s="260"/>
      <c r="AS57" s="340"/>
      <c r="AT57" s="260"/>
      <c r="AU57" s="260"/>
      <c r="AV57" s="260"/>
      <c r="AW57" s="260"/>
      <c r="AX57" s="340"/>
    </row>
    <row r="58" spans="2:50">
      <c r="B58" s="341"/>
      <c r="C58" s="260">
        <v>12</v>
      </c>
      <c r="D58" s="260"/>
      <c r="E58" s="260"/>
      <c r="F58" s="260"/>
      <c r="G58" s="260"/>
      <c r="H58" s="343"/>
      <c r="I58" s="261"/>
      <c r="J58" s="261"/>
      <c r="K58" s="262"/>
      <c r="L58" s="343"/>
      <c r="M58" s="261"/>
      <c r="N58" s="345"/>
      <c r="O58" s="345"/>
      <c r="P58" s="260"/>
      <c r="Q58" s="260"/>
      <c r="R58" s="260"/>
      <c r="S58" s="260"/>
      <c r="T58" s="340"/>
      <c r="U58" s="260"/>
      <c r="V58" s="260"/>
      <c r="W58" s="260"/>
      <c r="X58" s="260"/>
      <c r="Y58" s="340"/>
      <c r="Z58" s="260"/>
      <c r="AA58" s="260"/>
      <c r="AB58" s="260"/>
      <c r="AC58" s="260"/>
      <c r="AD58" s="340"/>
      <c r="AE58" s="260"/>
      <c r="AF58" s="260"/>
      <c r="AG58" s="260"/>
      <c r="AH58" s="260"/>
      <c r="AI58" s="340"/>
      <c r="AJ58" s="260"/>
      <c r="AK58" s="260"/>
      <c r="AL58" s="260"/>
      <c r="AM58" s="260"/>
      <c r="AN58" s="340"/>
      <c r="AO58" s="260"/>
      <c r="AP58" s="260"/>
      <c r="AQ58" s="260"/>
      <c r="AR58" s="260"/>
      <c r="AS58" s="340"/>
      <c r="AT58" s="260"/>
      <c r="AU58" s="260"/>
      <c r="AV58" s="260"/>
      <c r="AW58" s="260"/>
      <c r="AX58" s="340"/>
    </row>
    <row r="59" spans="2:50">
      <c r="B59" s="341"/>
      <c r="C59" s="260">
        <v>13</v>
      </c>
      <c r="D59" s="260"/>
      <c r="E59" s="260"/>
      <c r="F59" s="260"/>
      <c r="G59" s="260"/>
      <c r="H59" s="343"/>
      <c r="I59" s="261"/>
      <c r="J59" s="261"/>
      <c r="K59" s="262"/>
      <c r="L59" s="343"/>
      <c r="M59" s="261"/>
      <c r="N59" s="345"/>
      <c r="O59" s="345"/>
      <c r="P59" s="260"/>
      <c r="Q59" s="260"/>
      <c r="R59" s="260"/>
      <c r="S59" s="260"/>
      <c r="T59" s="340"/>
      <c r="U59" s="260"/>
      <c r="V59" s="260"/>
      <c r="W59" s="260"/>
      <c r="X59" s="260"/>
      <c r="Y59" s="340"/>
      <c r="Z59" s="260"/>
      <c r="AA59" s="260"/>
      <c r="AB59" s="260"/>
      <c r="AC59" s="260"/>
      <c r="AD59" s="340"/>
      <c r="AE59" s="260"/>
      <c r="AF59" s="260"/>
      <c r="AG59" s="260"/>
      <c r="AH59" s="260"/>
      <c r="AI59" s="340"/>
      <c r="AJ59" s="260"/>
      <c r="AK59" s="260"/>
      <c r="AL59" s="260"/>
      <c r="AM59" s="260"/>
      <c r="AN59" s="340"/>
      <c r="AO59" s="260"/>
      <c r="AP59" s="260"/>
      <c r="AQ59" s="260"/>
      <c r="AR59" s="260"/>
      <c r="AS59" s="340"/>
      <c r="AT59" s="260"/>
      <c r="AU59" s="260"/>
      <c r="AV59" s="260"/>
      <c r="AW59" s="260"/>
      <c r="AX59" s="340"/>
    </row>
    <row r="60" spans="2:50">
      <c r="B60" s="341"/>
      <c r="C60" s="260">
        <v>14</v>
      </c>
      <c r="D60" s="260"/>
      <c r="E60" s="260"/>
      <c r="F60" s="260"/>
      <c r="G60" s="260"/>
      <c r="H60" s="343"/>
      <c r="I60" s="261"/>
      <c r="J60" s="261"/>
      <c r="K60" s="262"/>
      <c r="L60" s="343"/>
      <c r="M60" s="261"/>
      <c r="N60" s="345"/>
      <c r="O60" s="345"/>
      <c r="P60" s="260"/>
      <c r="Q60" s="260"/>
      <c r="R60" s="260"/>
      <c r="S60" s="260"/>
      <c r="T60" s="340"/>
      <c r="U60" s="260"/>
      <c r="V60" s="260"/>
      <c r="W60" s="260"/>
      <c r="X60" s="260"/>
      <c r="Y60" s="340"/>
      <c r="Z60" s="260"/>
      <c r="AA60" s="260"/>
      <c r="AB60" s="260"/>
      <c r="AC60" s="260"/>
      <c r="AD60" s="340"/>
      <c r="AE60" s="260"/>
      <c r="AF60" s="260"/>
      <c r="AG60" s="260"/>
      <c r="AH60" s="260"/>
      <c r="AI60" s="340"/>
      <c r="AJ60" s="260"/>
      <c r="AK60" s="260"/>
      <c r="AL60" s="260"/>
      <c r="AM60" s="260"/>
      <c r="AN60" s="340"/>
      <c r="AO60" s="260"/>
      <c r="AP60" s="260"/>
      <c r="AQ60" s="260"/>
      <c r="AR60" s="260"/>
      <c r="AS60" s="340"/>
      <c r="AT60" s="260"/>
      <c r="AU60" s="260"/>
      <c r="AV60" s="260"/>
      <c r="AW60" s="260"/>
      <c r="AX60" s="340"/>
    </row>
    <row r="61" spans="2:50">
      <c r="B61" s="341"/>
      <c r="C61" s="260">
        <v>15</v>
      </c>
      <c r="D61" s="260"/>
      <c r="E61" s="260"/>
      <c r="F61" s="260"/>
      <c r="G61" s="260"/>
      <c r="H61" s="344"/>
      <c r="I61" s="261"/>
      <c r="J61" s="261"/>
      <c r="K61" s="262"/>
      <c r="L61" s="344"/>
      <c r="M61" s="261"/>
      <c r="N61" s="345"/>
      <c r="O61" s="345"/>
      <c r="P61" s="260"/>
      <c r="Q61" s="260"/>
      <c r="R61" s="260"/>
      <c r="S61" s="260"/>
      <c r="T61" s="340"/>
      <c r="U61" s="260"/>
      <c r="V61" s="260"/>
      <c r="W61" s="260"/>
      <c r="X61" s="260"/>
      <c r="Y61" s="340"/>
      <c r="Z61" s="260"/>
      <c r="AA61" s="260"/>
      <c r="AB61" s="260"/>
      <c r="AC61" s="260"/>
      <c r="AD61" s="340"/>
      <c r="AE61" s="260"/>
      <c r="AF61" s="260"/>
      <c r="AG61" s="260"/>
      <c r="AH61" s="260"/>
      <c r="AI61" s="340"/>
      <c r="AJ61" s="260"/>
      <c r="AK61" s="260"/>
      <c r="AL61" s="260"/>
      <c r="AM61" s="260"/>
      <c r="AN61" s="340"/>
      <c r="AO61" s="260"/>
      <c r="AP61" s="260"/>
      <c r="AQ61" s="260"/>
      <c r="AR61" s="260"/>
      <c r="AS61" s="340"/>
      <c r="AT61" s="260"/>
      <c r="AU61" s="260"/>
      <c r="AV61" s="260"/>
      <c r="AW61" s="260"/>
      <c r="AX61" s="340"/>
    </row>
    <row r="62" spans="2:50" ht="15.75">
      <c r="B62" s="362" t="s">
        <v>86</v>
      </c>
      <c r="C62" s="358"/>
      <c r="D62" s="358"/>
      <c r="E62" s="358"/>
      <c r="F62" s="358"/>
      <c r="G62" s="358"/>
      <c r="H62" s="358"/>
      <c r="I62" s="265"/>
      <c r="J62" s="265"/>
      <c r="K62" s="265"/>
      <c r="L62" s="265"/>
      <c r="M62" s="266"/>
      <c r="N62" s="354" t="s">
        <v>87</v>
      </c>
      <c r="O62" s="354" t="s">
        <v>45</v>
      </c>
      <c r="P62" s="349">
        <v>45916</v>
      </c>
      <c r="Q62" s="341"/>
      <c r="R62" s="341"/>
      <c r="S62" s="341"/>
      <c r="T62" s="341"/>
      <c r="U62" s="349">
        <v>45917</v>
      </c>
      <c r="V62" s="341"/>
      <c r="W62" s="341"/>
      <c r="X62" s="341"/>
      <c r="Y62" s="341"/>
      <c r="Z62" s="349">
        <v>45918</v>
      </c>
      <c r="AA62" s="341"/>
      <c r="AB62" s="341"/>
      <c r="AC62" s="341"/>
      <c r="AD62" s="341"/>
      <c r="AE62" s="349">
        <v>45919</v>
      </c>
      <c r="AF62" s="341"/>
      <c r="AG62" s="341"/>
      <c r="AH62" s="341"/>
      <c r="AI62" s="341"/>
      <c r="AJ62" s="349">
        <v>45920</v>
      </c>
      <c r="AK62" s="341"/>
      <c r="AL62" s="341"/>
      <c r="AM62" s="341"/>
      <c r="AN62" s="341"/>
      <c r="AO62" s="349">
        <v>45921</v>
      </c>
      <c r="AP62" s="341"/>
      <c r="AQ62" s="341"/>
      <c r="AR62" s="341"/>
      <c r="AS62" s="341"/>
      <c r="AT62" s="349">
        <v>45922</v>
      </c>
      <c r="AU62" s="341"/>
      <c r="AV62" s="341"/>
      <c r="AW62" s="341"/>
      <c r="AX62" s="341"/>
    </row>
    <row r="63" spans="2:50" ht="15.75">
      <c r="B63" s="359"/>
      <c r="C63" s="359"/>
      <c r="D63" s="359"/>
      <c r="E63" s="359"/>
      <c r="F63" s="359"/>
      <c r="G63" s="359"/>
      <c r="H63" s="359"/>
      <c r="I63" s="256"/>
      <c r="J63" s="256"/>
      <c r="K63" s="256"/>
      <c r="L63" s="256"/>
      <c r="M63" s="257"/>
      <c r="N63" s="356"/>
      <c r="O63" s="356"/>
      <c r="P63" s="349" t="s">
        <v>57</v>
      </c>
      <c r="Q63" s="341"/>
      <c r="R63" s="341"/>
      <c r="S63" s="341"/>
      <c r="T63" s="341"/>
      <c r="U63" s="349" t="s">
        <v>58</v>
      </c>
      <c r="V63" s="341"/>
      <c r="W63" s="341"/>
      <c r="X63" s="341"/>
      <c r="Y63" s="341"/>
      <c r="Z63" s="349" t="s">
        <v>59</v>
      </c>
      <c r="AA63" s="341"/>
      <c r="AB63" s="341"/>
      <c r="AC63" s="341"/>
      <c r="AD63" s="341"/>
      <c r="AE63" s="349" t="s">
        <v>60</v>
      </c>
      <c r="AF63" s="341"/>
      <c r="AG63" s="341"/>
      <c r="AH63" s="341"/>
      <c r="AI63" s="341"/>
      <c r="AJ63" s="349" t="s">
        <v>61</v>
      </c>
      <c r="AK63" s="341"/>
      <c r="AL63" s="341"/>
      <c r="AM63" s="341"/>
      <c r="AN63" s="341"/>
      <c r="AO63" s="349" t="s">
        <v>52</v>
      </c>
      <c r="AP63" s="341"/>
      <c r="AQ63" s="341"/>
      <c r="AR63" s="341"/>
      <c r="AS63" s="341"/>
      <c r="AT63" s="349" t="s">
        <v>56</v>
      </c>
      <c r="AU63" s="341"/>
      <c r="AV63" s="341"/>
      <c r="AW63" s="341"/>
      <c r="AX63" s="341"/>
    </row>
    <row r="64" spans="2:50">
      <c r="B64" s="345" t="s">
        <v>88</v>
      </c>
      <c r="C64" s="345" t="s">
        <v>89</v>
      </c>
      <c r="D64" s="345"/>
      <c r="E64" s="345" t="s">
        <v>90</v>
      </c>
      <c r="F64" s="345"/>
      <c r="G64" s="345"/>
      <c r="H64" s="351" t="s">
        <v>91</v>
      </c>
      <c r="I64" s="345" t="s">
        <v>92</v>
      </c>
      <c r="J64" s="345"/>
      <c r="K64" s="345"/>
      <c r="L64" s="351" t="s">
        <v>91</v>
      </c>
      <c r="M64" s="354" t="s">
        <v>93</v>
      </c>
      <c r="N64" s="345"/>
      <c r="O64" s="345" t="s">
        <v>94</v>
      </c>
      <c r="P64" s="346" t="s">
        <v>95</v>
      </c>
      <c r="Q64" s="347"/>
      <c r="R64" s="347"/>
      <c r="S64" s="348"/>
      <c r="T64" s="345" t="s">
        <v>91</v>
      </c>
      <c r="U64" s="346" t="s">
        <v>95</v>
      </c>
      <c r="V64" s="347"/>
      <c r="W64" s="347"/>
      <c r="X64" s="348"/>
      <c r="Y64" s="345" t="s">
        <v>91</v>
      </c>
      <c r="Z64" s="346" t="s">
        <v>95</v>
      </c>
      <c r="AA64" s="347"/>
      <c r="AB64" s="347"/>
      <c r="AC64" s="348"/>
      <c r="AD64" s="345" t="s">
        <v>91</v>
      </c>
      <c r="AE64" s="346" t="s">
        <v>95</v>
      </c>
      <c r="AF64" s="347"/>
      <c r="AG64" s="347"/>
      <c r="AH64" s="348"/>
      <c r="AI64" s="345" t="s">
        <v>91</v>
      </c>
      <c r="AJ64" s="346" t="s">
        <v>95</v>
      </c>
      <c r="AK64" s="347"/>
      <c r="AL64" s="347"/>
      <c r="AM64" s="348"/>
      <c r="AN64" s="345" t="s">
        <v>91</v>
      </c>
      <c r="AO64" s="346" t="s">
        <v>95</v>
      </c>
      <c r="AP64" s="347"/>
      <c r="AQ64" s="347"/>
      <c r="AR64" s="348"/>
      <c r="AS64" s="345" t="s">
        <v>91</v>
      </c>
      <c r="AT64" s="346" t="s">
        <v>95</v>
      </c>
      <c r="AU64" s="347"/>
      <c r="AV64" s="347"/>
      <c r="AW64" s="348"/>
      <c r="AX64" s="345" t="s">
        <v>91</v>
      </c>
    </row>
    <row r="65" spans="2:50">
      <c r="B65" s="345"/>
      <c r="C65" s="345"/>
      <c r="D65" s="345"/>
      <c r="E65" s="345" t="s">
        <v>96</v>
      </c>
      <c r="F65" s="345"/>
      <c r="G65" s="345"/>
      <c r="H65" s="352"/>
      <c r="I65" s="345" t="s">
        <v>96</v>
      </c>
      <c r="J65" s="345"/>
      <c r="K65" s="345"/>
      <c r="L65" s="352"/>
      <c r="M65" s="355"/>
      <c r="N65" s="345"/>
      <c r="O65" s="345"/>
      <c r="P65" s="346" t="s">
        <v>97</v>
      </c>
      <c r="Q65" s="347"/>
      <c r="R65" s="347"/>
      <c r="S65" s="348"/>
      <c r="T65" s="345"/>
      <c r="U65" s="346" t="s">
        <v>97</v>
      </c>
      <c r="V65" s="347"/>
      <c r="W65" s="347"/>
      <c r="X65" s="348"/>
      <c r="Y65" s="345"/>
      <c r="Z65" s="346" t="s">
        <v>97</v>
      </c>
      <c r="AA65" s="347"/>
      <c r="AB65" s="347"/>
      <c r="AC65" s="348"/>
      <c r="AD65" s="345"/>
      <c r="AE65" s="346" t="s">
        <v>97</v>
      </c>
      <c r="AF65" s="347"/>
      <c r="AG65" s="347"/>
      <c r="AH65" s="348"/>
      <c r="AI65" s="345"/>
      <c r="AJ65" s="346" t="s">
        <v>97</v>
      </c>
      <c r="AK65" s="347"/>
      <c r="AL65" s="347"/>
      <c r="AM65" s="348"/>
      <c r="AN65" s="345"/>
      <c r="AO65" s="346" t="s">
        <v>97</v>
      </c>
      <c r="AP65" s="347"/>
      <c r="AQ65" s="347"/>
      <c r="AR65" s="348"/>
      <c r="AS65" s="345"/>
      <c r="AT65" s="346" t="s">
        <v>97</v>
      </c>
      <c r="AU65" s="347"/>
      <c r="AV65" s="347"/>
      <c r="AW65" s="348"/>
      <c r="AX65" s="345"/>
    </row>
    <row r="66" spans="2:50">
      <c r="B66" s="345"/>
      <c r="C66" s="345"/>
      <c r="D66" s="345"/>
      <c r="E66" s="259" t="s">
        <v>98</v>
      </c>
      <c r="F66" s="259" t="s">
        <v>99</v>
      </c>
      <c r="G66" s="259" t="s">
        <v>100</v>
      </c>
      <c r="H66" s="353"/>
      <c r="I66" s="259" t="s">
        <v>98</v>
      </c>
      <c r="J66" s="259" t="s">
        <v>99</v>
      </c>
      <c r="K66" s="259" t="s">
        <v>100</v>
      </c>
      <c r="L66" s="353"/>
      <c r="M66" s="356"/>
      <c r="N66" s="345"/>
      <c r="O66" s="345"/>
      <c r="P66" s="259" t="s">
        <v>98</v>
      </c>
      <c r="Q66" s="259" t="s">
        <v>99</v>
      </c>
      <c r="R66" s="259" t="s">
        <v>100</v>
      </c>
      <c r="S66" s="259" t="s">
        <v>93</v>
      </c>
      <c r="T66" s="345"/>
      <c r="U66" s="259" t="s">
        <v>98</v>
      </c>
      <c r="V66" s="259" t="s">
        <v>99</v>
      </c>
      <c r="W66" s="259" t="s">
        <v>100</v>
      </c>
      <c r="X66" s="259" t="s">
        <v>93</v>
      </c>
      <c r="Y66" s="345"/>
      <c r="Z66" s="259" t="s">
        <v>98</v>
      </c>
      <c r="AA66" s="259" t="s">
        <v>99</v>
      </c>
      <c r="AB66" s="259" t="s">
        <v>100</v>
      </c>
      <c r="AC66" s="259" t="s">
        <v>93</v>
      </c>
      <c r="AD66" s="345"/>
      <c r="AE66" s="259" t="s">
        <v>98</v>
      </c>
      <c r="AF66" s="259" t="s">
        <v>99</v>
      </c>
      <c r="AG66" s="259" t="s">
        <v>100</v>
      </c>
      <c r="AH66" s="259" t="s">
        <v>93</v>
      </c>
      <c r="AI66" s="345"/>
      <c r="AJ66" s="259" t="s">
        <v>98</v>
      </c>
      <c r="AK66" s="259" t="s">
        <v>99</v>
      </c>
      <c r="AL66" s="259" t="s">
        <v>100</v>
      </c>
      <c r="AM66" s="259" t="s">
        <v>93</v>
      </c>
      <c r="AN66" s="345"/>
      <c r="AO66" s="259" t="s">
        <v>98</v>
      </c>
      <c r="AP66" s="259" t="s">
        <v>99</v>
      </c>
      <c r="AQ66" s="259" t="s">
        <v>100</v>
      </c>
      <c r="AR66" s="259" t="s">
        <v>93</v>
      </c>
      <c r="AS66" s="345"/>
      <c r="AT66" s="259" t="s">
        <v>98</v>
      </c>
      <c r="AU66" s="259" t="s">
        <v>99</v>
      </c>
      <c r="AV66" s="259" t="s">
        <v>100</v>
      </c>
      <c r="AW66" s="259" t="s">
        <v>93</v>
      </c>
      <c r="AX66" s="345"/>
    </row>
    <row r="67" spans="2:50">
      <c r="B67" s="345" t="s">
        <v>77</v>
      </c>
      <c r="C67" s="260">
        <v>1</v>
      </c>
      <c r="D67" s="260" t="s">
        <v>122</v>
      </c>
      <c r="E67" s="261">
        <f>VLOOKUP(D67,'09產線配置圖'!$A$2:$C$25,2,0)</f>
        <v>13</v>
      </c>
      <c r="F67" s="261">
        <f>VLOOKUP(D67,'09產線配置圖'!$A$2:$C$25,3,0)</f>
        <v>1565</v>
      </c>
      <c r="G67" s="262">
        <f t="shared" ref="G67:G69" si="49">F67/E67</f>
        <v>120.38461538461539</v>
      </c>
      <c r="H67" s="342">
        <f>AVERAGE(G67:G81)</f>
        <v>127.07264957264958</v>
      </c>
      <c r="I67" s="261">
        <f>AVERAGE(P67,U67,Z66,AE67,AJ67,AO67,AT67)</f>
        <v>13</v>
      </c>
      <c r="J67" s="261">
        <f>AVERAGE(Q67,V67,AA67,AF67,AK67,AP67,AU67)</f>
        <v>1428.5714285714287</v>
      </c>
      <c r="K67" s="262">
        <f>AVERAGE(R67,W67,AB67,AG67,AL67,AQ67,AV67)</f>
        <v>109.8901098901099</v>
      </c>
      <c r="L67" s="342">
        <f>IFERROR(AVERAGE(K67:K81),"-")</f>
        <v>114.55283605283607</v>
      </c>
      <c r="M67" s="261">
        <f>RANK(K67, K$67:$K$81)</f>
        <v>3</v>
      </c>
      <c r="N67" s="345"/>
      <c r="O67" s="345"/>
      <c r="P67" s="261">
        <v>13</v>
      </c>
      <c r="Q67" s="261">
        <v>1469</v>
      </c>
      <c r="R67" s="262">
        <f>Q67/P67</f>
        <v>113</v>
      </c>
      <c r="S67" s="260">
        <f>RANK(R67,$R$67:$R$81)</f>
        <v>2</v>
      </c>
      <c r="T67" s="340">
        <f>AVERAGE(R67:R81)</f>
        <v>116.16666666666667</v>
      </c>
      <c r="U67" s="261">
        <v>13</v>
      </c>
      <c r="V67" s="261">
        <v>1467</v>
      </c>
      <c r="W67" s="262">
        <f>V67/U67</f>
        <v>112.84615384615384</v>
      </c>
      <c r="X67" s="260">
        <f>RANK(W67,$W$67:$W$81)</f>
        <v>3</v>
      </c>
      <c r="Y67" s="340">
        <f>AVERAGE(W67:W81)</f>
        <v>119.67094017094017</v>
      </c>
      <c r="Z67" s="261">
        <v>13</v>
      </c>
      <c r="AA67" s="261">
        <v>1427</v>
      </c>
      <c r="AB67" s="262">
        <f>AA67/Z67</f>
        <v>109.76923076923077</v>
      </c>
      <c r="AC67" s="260">
        <f>RANK(AB67, $AB$67:$AB$69)</f>
        <v>2</v>
      </c>
      <c r="AD67" s="340">
        <f>AVERAGE(AB67:AB81)</f>
        <v>111.10489510489509</v>
      </c>
      <c r="AE67" s="261">
        <v>13</v>
      </c>
      <c r="AF67" s="261">
        <v>1263</v>
      </c>
      <c r="AG67" s="262">
        <f>AF67/AE67</f>
        <v>97.15384615384616</v>
      </c>
      <c r="AH67" s="260">
        <f>RANK(AG67, $AG$67:$AG$69)</f>
        <v>3</v>
      </c>
      <c r="AI67" s="340">
        <f>AVERAGE(AG67:AG81)</f>
        <v>106.4957264957265</v>
      </c>
      <c r="AJ67" s="261">
        <v>13</v>
      </c>
      <c r="AK67" s="261">
        <v>1559</v>
      </c>
      <c r="AL67" s="262">
        <f>AK67/AJ67</f>
        <v>119.92307692307692</v>
      </c>
      <c r="AM67" s="260">
        <f>RANK(AL67, $AL$67:$AL$69)</f>
        <v>2</v>
      </c>
      <c r="AN67" s="340">
        <f>AVERAGE(AL67:AL81)</f>
        <v>116.69658119658119</v>
      </c>
      <c r="AO67" s="261">
        <v>13</v>
      </c>
      <c r="AP67" s="261">
        <v>1415</v>
      </c>
      <c r="AQ67" s="262">
        <f>AP67/AO67</f>
        <v>108.84615384615384</v>
      </c>
      <c r="AR67" s="260">
        <f>RANK(AQ67, $AQ$67:$AQ$69)</f>
        <v>3</v>
      </c>
      <c r="AS67" s="340">
        <f>AVERAGE(AQ67:AQ81)</f>
        <v>117.44871794871796</v>
      </c>
      <c r="AT67" s="261">
        <v>13</v>
      </c>
      <c r="AU67" s="261">
        <v>1400</v>
      </c>
      <c r="AV67" s="262">
        <f>AU67/AT67</f>
        <v>107.69230769230769</v>
      </c>
      <c r="AW67" s="260">
        <f>RANK(AV67, $AV$67:$AV$69)</f>
        <v>3</v>
      </c>
      <c r="AX67" s="340">
        <f>AVERAGE(AV67:AV81)</f>
        <v>114.28632478632478</v>
      </c>
    </row>
    <row r="68" spans="2:50">
      <c r="B68" s="341"/>
      <c r="C68" s="260">
        <v>2</v>
      </c>
      <c r="D68" s="260" t="s">
        <v>123</v>
      </c>
      <c r="E68" s="261">
        <f>VLOOKUP(D68,'09產線配置圖'!$A$2:$C$25,2,0)</f>
        <v>12</v>
      </c>
      <c r="F68" s="261">
        <f>VLOOKUP(D68,'09產線配置圖'!$A$2:$C$25,3,0)</f>
        <v>1565</v>
      </c>
      <c r="G68" s="262">
        <f t="shared" si="49"/>
        <v>130.41666666666666</v>
      </c>
      <c r="H68" s="343"/>
      <c r="I68" s="261">
        <f>AVERAGE(P68,U68,Z67,AE68,AJ68,AO68,AT68)</f>
        <v>12.142857142857142</v>
      </c>
      <c r="J68" s="261">
        <f t="shared" ref="I68:K69" si="50">AVERAGE(Q68,V68,AA68,AF68,AK68,AP68,AU68)</f>
        <v>1340</v>
      </c>
      <c r="K68" s="262">
        <f t="shared" si="50"/>
        <v>112.94372294372295</v>
      </c>
      <c r="L68" s="343"/>
      <c r="M68" s="261">
        <f>RANK(K68, K$67:$K$81)</f>
        <v>2</v>
      </c>
      <c r="N68" s="345"/>
      <c r="O68" s="345"/>
      <c r="P68" s="261">
        <v>12</v>
      </c>
      <c r="Q68" s="261">
        <v>1273</v>
      </c>
      <c r="R68" s="262">
        <f t="shared" ref="R68:R69" si="51">Q68/P68</f>
        <v>106.08333333333333</v>
      </c>
      <c r="S68" s="260">
        <f t="shared" ref="S68:S69" si="52">RANK(R68,$R$67:$R$81)</f>
        <v>3</v>
      </c>
      <c r="T68" s="340"/>
      <c r="U68" s="261">
        <v>12</v>
      </c>
      <c r="V68" s="261">
        <v>1508</v>
      </c>
      <c r="W68" s="262">
        <f t="shared" ref="W68:W69" si="53">V68/U68</f>
        <v>125.66666666666667</v>
      </c>
      <c r="X68" s="260">
        <f t="shared" ref="X68:X69" si="54">RANK(W68,$W$67:$W$81)</f>
        <v>1</v>
      </c>
      <c r="Y68" s="340"/>
      <c r="Z68" s="261">
        <v>11</v>
      </c>
      <c r="AA68" s="261">
        <v>1180</v>
      </c>
      <c r="AB68" s="262">
        <f t="shared" ref="AB68:AB69" si="55">AA68/Z68</f>
        <v>107.27272727272727</v>
      </c>
      <c r="AC68" s="260">
        <f t="shared" ref="AC68:AC69" si="56">RANK(AB68, $AB$67:$AB$69)</f>
        <v>3</v>
      </c>
      <c r="AD68" s="340"/>
      <c r="AE68" s="261">
        <v>12</v>
      </c>
      <c r="AF68" s="261">
        <v>1406</v>
      </c>
      <c r="AG68" s="262">
        <f t="shared" ref="AG68:AG69" si="57">AF68/AE68</f>
        <v>117.16666666666667</v>
      </c>
      <c r="AH68" s="260">
        <f t="shared" ref="AH68:AH69" si="58">RANK(AG68, $AG$67:$AG$69)</f>
        <v>1</v>
      </c>
      <c r="AI68" s="340"/>
      <c r="AJ68" s="261">
        <v>12</v>
      </c>
      <c r="AK68" s="261">
        <v>1258</v>
      </c>
      <c r="AL68" s="262">
        <f t="shared" ref="AL68:AL69" si="59">AK68/AJ68</f>
        <v>104.83333333333333</v>
      </c>
      <c r="AM68" s="260">
        <f t="shared" ref="AM68:AM69" si="60">RANK(AL68, $AL$67:$AL$69)</f>
        <v>3</v>
      </c>
      <c r="AN68" s="340"/>
      <c r="AO68" s="261">
        <v>12</v>
      </c>
      <c r="AP68" s="261">
        <v>1408</v>
      </c>
      <c r="AQ68" s="262">
        <f t="shared" ref="AQ68:AQ69" si="61">AP68/AO68</f>
        <v>117.33333333333333</v>
      </c>
      <c r="AR68" s="260">
        <f t="shared" ref="AR68:AR69" si="62">RANK(AQ68, $AQ$67:$AQ$69)</f>
        <v>2</v>
      </c>
      <c r="AS68" s="340"/>
      <c r="AT68" s="261">
        <v>12</v>
      </c>
      <c r="AU68" s="261">
        <v>1347</v>
      </c>
      <c r="AV68" s="262">
        <f t="shared" ref="AV68:AV69" si="63">AU68/AT68</f>
        <v>112.25</v>
      </c>
      <c r="AW68" s="260">
        <f t="shared" ref="AW68:AW69" si="64">RANK(AV68, $AV$67:$AV$69)</f>
        <v>2</v>
      </c>
      <c r="AX68" s="340"/>
    </row>
    <row r="69" spans="2:50">
      <c r="B69" s="341"/>
      <c r="C69" s="260">
        <v>3</v>
      </c>
      <c r="D69" s="260" t="s">
        <v>124</v>
      </c>
      <c r="E69" s="261">
        <f>VLOOKUP(D69,'09產線配置圖'!$A$2:$C$25,2,0)</f>
        <v>12</v>
      </c>
      <c r="F69" s="261">
        <f>VLOOKUP(D69,'09產線配置圖'!$A$2:$C$25,3,0)</f>
        <v>1565</v>
      </c>
      <c r="G69" s="262">
        <f t="shared" si="49"/>
        <v>130.41666666666666</v>
      </c>
      <c r="H69" s="343"/>
      <c r="I69" s="261">
        <f t="shared" si="50"/>
        <v>11.857142857142858</v>
      </c>
      <c r="J69" s="261">
        <f t="shared" si="50"/>
        <v>1433.2857142857142</v>
      </c>
      <c r="K69" s="262">
        <f t="shared" si="50"/>
        <v>120.82467532467533</v>
      </c>
      <c r="L69" s="343"/>
      <c r="M69" s="261">
        <f>RANK(K69, K$67:$K$81)</f>
        <v>1</v>
      </c>
      <c r="N69" s="345"/>
      <c r="O69" s="345"/>
      <c r="P69" s="261">
        <v>12</v>
      </c>
      <c r="Q69" s="261">
        <v>1553</v>
      </c>
      <c r="R69" s="262">
        <f t="shared" si="51"/>
        <v>129.41666666666666</v>
      </c>
      <c r="S69" s="260">
        <f t="shared" si="52"/>
        <v>1</v>
      </c>
      <c r="T69" s="340"/>
      <c r="U69" s="261">
        <v>12</v>
      </c>
      <c r="V69" s="261">
        <v>1446</v>
      </c>
      <c r="W69" s="262">
        <f t="shared" si="53"/>
        <v>120.5</v>
      </c>
      <c r="X69" s="260">
        <f t="shared" si="54"/>
        <v>2</v>
      </c>
      <c r="Y69" s="340"/>
      <c r="Z69" s="261">
        <v>11</v>
      </c>
      <c r="AA69" s="261">
        <v>1279</v>
      </c>
      <c r="AB69" s="262">
        <f t="shared" si="55"/>
        <v>116.27272727272727</v>
      </c>
      <c r="AC69" s="260">
        <f t="shared" si="56"/>
        <v>1</v>
      </c>
      <c r="AD69" s="340"/>
      <c r="AE69" s="261">
        <v>12</v>
      </c>
      <c r="AF69" s="261">
        <v>1262</v>
      </c>
      <c r="AG69" s="262">
        <f t="shared" si="57"/>
        <v>105.16666666666667</v>
      </c>
      <c r="AH69" s="260">
        <f t="shared" si="58"/>
        <v>2</v>
      </c>
      <c r="AI69" s="340"/>
      <c r="AJ69" s="261">
        <v>12</v>
      </c>
      <c r="AK69" s="261">
        <v>1504</v>
      </c>
      <c r="AL69" s="262">
        <f t="shared" si="59"/>
        <v>125.33333333333333</v>
      </c>
      <c r="AM69" s="260">
        <f t="shared" si="60"/>
        <v>1</v>
      </c>
      <c r="AN69" s="340"/>
      <c r="AO69" s="261">
        <v>12</v>
      </c>
      <c r="AP69" s="261">
        <v>1514</v>
      </c>
      <c r="AQ69" s="262">
        <f t="shared" si="61"/>
        <v>126.16666666666667</v>
      </c>
      <c r="AR69" s="260">
        <f t="shared" si="62"/>
        <v>1</v>
      </c>
      <c r="AS69" s="340"/>
      <c r="AT69" s="261">
        <v>12</v>
      </c>
      <c r="AU69" s="261">
        <v>1475</v>
      </c>
      <c r="AV69" s="262">
        <f t="shared" si="63"/>
        <v>122.91666666666667</v>
      </c>
      <c r="AW69" s="260">
        <f t="shared" si="64"/>
        <v>1</v>
      </c>
      <c r="AX69" s="340"/>
    </row>
    <row r="70" spans="2:50">
      <c r="B70" s="341"/>
      <c r="C70" s="260">
        <v>4</v>
      </c>
      <c r="D70" s="260"/>
      <c r="E70" s="261"/>
      <c r="F70" s="261"/>
      <c r="G70" s="262"/>
      <c r="H70" s="343"/>
      <c r="I70" s="261"/>
      <c r="J70" s="261"/>
      <c r="K70" s="262"/>
      <c r="L70" s="343"/>
      <c r="M70" s="261"/>
      <c r="N70" s="345"/>
      <c r="O70" s="345"/>
      <c r="P70" s="261"/>
      <c r="Q70" s="261"/>
      <c r="R70" s="260"/>
      <c r="S70" s="260"/>
      <c r="T70" s="340"/>
      <c r="U70" s="261"/>
      <c r="V70" s="261"/>
      <c r="W70" s="260"/>
      <c r="X70" s="260"/>
      <c r="Y70" s="340"/>
      <c r="Z70" s="261"/>
      <c r="AA70" s="261"/>
      <c r="AB70" s="260"/>
      <c r="AC70" s="260"/>
      <c r="AD70" s="340"/>
      <c r="AE70" s="261"/>
      <c r="AF70" s="261"/>
      <c r="AG70" s="260"/>
      <c r="AH70" s="260"/>
      <c r="AI70" s="340"/>
      <c r="AJ70" s="261"/>
      <c r="AK70" s="261"/>
      <c r="AL70" s="260"/>
      <c r="AM70" s="260"/>
      <c r="AN70" s="340"/>
      <c r="AO70" s="261"/>
      <c r="AP70" s="261"/>
      <c r="AQ70" s="260"/>
      <c r="AR70" s="260"/>
      <c r="AS70" s="340"/>
      <c r="AT70" s="261"/>
      <c r="AU70" s="261"/>
      <c r="AV70" s="260"/>
      <c r="AW70" s="260"/>
      <c r="AX70" s="340"/>
    </row>
    <row r="71" spans="2:50">
      <c r="B71" s="341"/>
      <c r="C71" s="260">
        <v>5</v>
      </c>
      <c r="D71" s="260"/>
      <c r="E71" s="261"/>
      <c r="F71" s="261"/>
      <c r="G71" s="262"/>
      <c r="H71" s="343"/>
      <c r="I71" s="261"/>
      <c r="J71" s="261"/>
      <c r="K71" s="262"/>
      <c r="L71" s="343"/>
      <c r="M71" s="261"/>
      <c r="N71" s="345"/>
      <c r="O71" s="345"/>
      <c r="P71" s="261"/>
      <c r="Q71" s="261"/>
      <c r="R71" s="260"/>
      <c r="S71" s="260"/>
      <c r="T71" s="340"/>
      <c r="U71" s="261"/>
      <c r="V71" s="261"/>
      <c r="W71" s="260"/>
      <c r="X71" s="260"/>
      <c r="Y71" s="340"/>
      <c r="Z71" s="261"/>
      <c r="AA71" s="261"/>
      <c r="AB71" s="260"/>
      <c r="AC71" s="260"/>
      <c r="AD71" s="340"/>
      <c r="AE71" s="261"/>
      <c r="AF71" s="261"/>
      <c r="AG71" s="260"/>
      <c r="AH71" s="260"/>
      <c r="AI71" s="340"/>
      <c r="AJ71" s="261"/>
      <c r="AK71" s="261"/>
      <c r="AL71" s="260"/>
      <c r="AM71" s="260"/>
      <c r="AN71" s="340"/>
      <c r="AO71" s="261"/>
      <c r="AP71" s="261"/>
      <c r="AQ71" s="260"/>
      <c r="AR71" s="260"/>
      <c r="AS71" s="340"/>
      <c r="AT71" s="261"/>
      <c r="AU71" s="261"/>
      <c r="AV71" s="260"/>
      <c r="AW71" s="260"/>
      <c r="AX71" s="340"/>
    </row>
    <row r="72" spans="2:50">
      <c r="B72" s="341"/>
      <c r="C72" s="260">
        <v>6</v>
      </c>
      <c r="D72" s="260"/>
      <c r="E72" s="261"/>
      <c r="F72" s="261"/>
      <c r="G72" s="262"/>
      <c r="H72" s="343"/>
      <c r="I72" s="261"/>
      <c r="J72" s="261"/>
      <c r="K72" s="262"/>
      <c r="L72" s="343"/>
      <c r="M72" s="261"/>
      <c r="N72" s="345"/>
      <c r="O72" s="345"/>
      <c r="P72" s="261"/>
      <c r="Q72" s="261"/>
      <c r="R72" s="260"/>
      <c r="S72" s="260"/>
      <c r="T72" s="340"/>
      <c r="U72" s="261"/>
      <c r="V72" s="261"/>
      <c r="W72" s="260"/>
      <c r="X72" s="260"/>
      <c r="Y72" s="340"/>
      <c r="Z72" s="261"/>
      <c r="AA72" s="261"/>
      <c r="AB72" s="260"/>
      <c r="AC72" s="260"/>
      <c r="AD72" s="340"/>
      <c r="AE72" s="261"/>
      <c r="AF72" s="261"/>
      <c r="AG72" s="260"/>
      <c r="AH72" s="260"/>
      <c r="AI72" s="340"/>
      <c r="AJ72" s="261"/>
      <c r="AK72" s="261"/>
      <c r="AL72" s="260"/>
      <c r="AM72" s="260"/>
      <c r="AN72" s="340"/>
      <c r="AO72" s="261"/>
      <c r="AP72" s="261"/>
      <c r="AQ72" s="260"/>
      <c r="AR72" s="260"/>
      <c r="AS72" s="340"/>
      <c r="AT72" s="261"/>
      <c r="AU72" s="261"/>
      <c r="AV72" s="260"/>
      <c r="AW72" s="260"/>
      <c r="AX72" s="340"/>
    </row>
    <row r="73" spans="2:50">
      <c r="B73" s="341"/>
      <c r="C73" s="260">
        <v>7</v>
      </c>
      <c r="D73" s="260"/>
      <c r="E73" s="261"/>
      <c r="F73" s="261"/>
      <c r="G73" s="262"/>
      <c r="H73" s="343"/>
      <c r="I73" s="261"/>
      <c r="J73" s="261"/>
      <c r="K73" s="262"/>
      <c r="L73" s="343"/>
      <c r="M73" s="261"/>
      <c r="N73" s="345"/>
      <c r="O73" s="345"/>
      <c r="P73" s="261"/>
      <c r="Q73" s="261"/>
      <c r="R73" s="260"/>
      <c r="S73" s="260"/>
      <c r="T73" s="340"/>
      <c r="U73" s="261"/>
      <c r="V73" s="261"/>
      <c r="W73" s="260"/>
      <c r="X73" s="260"/>
      <c r="Y73" s="340"/>
      <c r="Z73" s="261"/>
      <c r="AA73" s="261"/>
      <c r="AB73" s="260"/>
      <c r="AC73" s="260"/>
      <c r="AD73" s="340"/>
      <c r="AE73" s="261"/>
      <c r="AF73" s="261"/>
      <c r="AG73" s="260"/>
      <c r="AH73" s="260"/>
      <c r="AI73" s="340"/>
      <c r="AJ73" s="261"/>
      <c r="AK73" s="261"/>
      <c r="AL73" s="260"/>
      <c r="AM73" s="260"/>
      <c r="AN73" s="340"/>
      <c r="AO73" s="261"/>
      <c r="AP73" s="261"/>
      <c r="AQ73" s="260"/>
      <c r="AR73" s="260"/>
      <c r="AS73" s="340"/>
      <c r="AT73" s="261"/>
      <c r="AU73" s="261"/>
      <c r="AV73" s="260"/>
      <c r="AW73" s="260"/>
      <c r="AX73" s="340"/>
    </row>
    <row r="74" spans="2:50">
      <c r="B74" s="341"/>
      <c r="C74" s="260">
        <v>8</v>
      </c>
      <c r="D74" s="260"/>
      <c r="E74" s="260"/>
      <c r="F74" s="260"/>
      <c r="G74" s="260"/>
      <c r="H74" s="343"/>
      <c r="I74" s="261"/>
      <c r="J74" s="261"/>
      <c r="K74" s="262"/>
      <c r="L74" s="343"/>
      <c r="M74" s="261"/>
      <c r="N74" s="345"/>
      <c r="O74" s="345"/>
      <c r="P74" s="261"/>
      <c r="Q74" s="261"/>
      <c r="R74" s="260"/>
      <c r="S74" s="260"/>
      <c r="T74" s="340"/>
      <c r="U74" s="261"/>
      <c r="V74" s="261"/>
      <c r="W74" s="260"/>
      <c r="X74" s="260"/>
      <c r="Y74" s="340"/>
      <c r="Z74" s="261"/>
      <c r="AA74" s="261"/>
      <c r="AB74" s="260"/>
      <c r="AC74" s="260"/>
      <c r="AD74" s="340"/>
      <c r="AE74" s="261"/>
      <c r="AF74" s="261"/>
      <c r="AG74" s="260"/>
      <c r="AH74" s="260"/>
      <c r="AI74" s="340"/>
      <c r="AJ74" s="261"/>
      <c r="AK74" s="261"/>
      <c r="AL74" s="260"/>
      <c r="AM74" s="260"/>
      <c r="AN74" s="340"/>
      <c r="AO74" s="261"/>
      <c r="AP74" s="261"/>
      <c r="AQ74" s="260"/>
      <c r="AR74" s="260"/>
      <c r="AS74" s="340"/>
      <c r="AT74" s="261"/>
      <c r="AU74" s="261"/>
      <c r="AV74" s="260"/>
      <c r="AW74" s="260"/>
      <c r="AX74" s="340"/>
    </row>
    <row r="75" spans="2:50">
      <c r="B75" s="341"/>
      <c r="C75" s="260">
        <v>9</v>
      </c>
      <c r="D75" s="260"/>
      <c r="E75" s="260"/>
      <c r="F75" s="260"/>
      <c r="G75" s="260"/>
      <c r="H75" s="343"/>
      <c r="I75" s="261"/>
      <c r="J75" s="261"/>
      <c r="K75" s="262"/>
      <c r="L75" s="343"/>
      <c r="M75" s="261"/>
      <c r="N75" s="345"/>
      <c r="O75" s="345"/>
      <c r="P75" s="261"/>
      <c r="Q75" s="261"/>
      <c r="R75" s="260"/>
      <c r="S75" s="260"/>
      <c r="T75" s="340"/>
      <c r="U75" s="261"/>
      <c r="V75" s="261"/>
      <c r="W75" s="260"/>
      <c r="X75" s="260"/>
      <c r="Y75" s="340"/>
      <c r="Z75" s="261"/>
      <c r="AA75" s="261"/>
      <c r="AB75" s="260"/>
      <c r="AC75" s="260"/>
      <c r="AD75" s="340"/>
      <c r="AE75" s="261"/>
      <c r="AF75" s="261"/>
      <c r="AG75" s="260"/>
      <c r="AH75" s="260"/>
      <c r="AI75" s="340"/>
      <c r="AJ75" s="261"/>
      <c r="AK75" s="261"/>
      <c r="AL75" s="260"/>
      <c r="AM75" s="260"/>
      <c r="AN75" s="340"/>
      <c r="AO75" s="261"/>
      <c r="AP75" s="261"/>
      <c r="AQ75" s="260"/>
      <c r="AR75" s="260"/>
      <c r="AS75" s="340"/>
      <c r="AT75" s="261"/>
      <c r="AU75" s="261"/>
      <c r="AV75" s="260"/>
      <c r="AW75" s="260"/>
      <c r="AX75" s="340"/>
    </row>
    <row r="76" spans="2:50">
      <c r="B76" s="341"/>
      <c r="C76" s="260">
        <v>10</v>
      </c>
      <c r="D76" s="260"/>
      <c r="E76" s="260"/>
      <c r="F76" s="260"/>
      <c r="G76" s="260"/>
      <c r="H76" s="343"/>
      <c r="I76" s="261"/>
      <c r="J76" s="261"/>
      <c r="K76" s="262"/>
      <c r="L76" s="343"/>
      <c r="M76" s="261"/>
      <c r="N76" s="345"/>
      <c r="O76" s="345"/>
      <c r="P76" s="261"/>
      <c r="Q76" s="261"/>
      <c r="R76" s="260"/>
      <c r="S76" s="260"/>
      <c r="T76" s="340"/>
      <c r="U76" s="261"/>
      <c r="V76" s="261"/>
      <c r="W76" s="260"/>
      <c r="X76" s="260"/>
      <c r="Y76" s="340"/>
      <c r="Z76" s="261"/>
      <c r="AA76" s="261"/>
      <c r="AB76" s="260"/>
      <c r="AC76" s="260"/>
      <c r="AD76" s="340"/>
      <c r="AE76" s="261"/>
      <c r="AF76" s="261"/>
      <c r="AG76" s="260"/>
      <c r="AH76" s="260"/>
      <c r="AI76" s="340"/>
      <c r="AJ76" s="261"/>
      <c r="AK76" s="261"/>
      <c r="AL76" s="260"/>
      <c r="AM76" s="260"/>
      <c r="AN76" s="340"/>
      <c r="AO76" s="261"/>
      <c r="AP76" s="261"/>
      <c r="AQ76" s="260"/>
      <c r="AR76" s="260"/>
      <c r="AS76" s="340"/>
      <c r="AT76" s="261"/>
      <c r="AU76" s="261"/>
      <c r="AV76" s="260"/>
      <c r="AW76" s="260"/>
      <c r="AX76" s="340"/>
    </row>
    <row r="77" spans="2:50">
      <c r="B77" s="341"/>
      <c r="C77" s="260">
        <v>11</v>
      </c>
      <c r="D77" s="260"/>
      <c r="E77" s="260"/>
      <c r="F77" s="260"/>
      <c r="G77" s="260"/>
      <c r="H77" s="343"/>
      <c r="I77" s="261"/>
      <c r="J77" s="261"/>
      <c r="K77" s="262"/>
      <c r="L77" s="343"/>
      <c r="M77" s="261"/>
      <c r="N77" s="345"/>
      <c r="O77" s="345"/>
      <c r="P77" s="260"/>
      <c r="Q77" s="260"/>
      <c r="R77" s="260"/>
      <c r="S77" s="260"/>
      <c r="T77" s="340"/>
      <c r="U77" s="260"/>
      <c r="V77" s="260"/>
      <c r="W77" s="260"/>
      <c r="X77" s="260"/>
      <c r="Y77" s="340"/>
      <c r="Z77" s="260"/>
      <c r="AA77" s="260"/>
      <c r="AB77" s="260"/>
      <c r="AC77" s="260"/>
      <c r="AD77" s="340"/>
      <c r="AE77" s="260"/>
      <c r="AF77" s="260"/>
      <c r="AG77" s="260"/>
      <c r="AH77" s="260"/>
      <c r="AI77" s="340"/>
      <c r="AJ77" s="260"/>
      <c r="AK77" s="260"/>
      <c r="AL77" s="260"/>
      <c r="AM77" s="260"/>
      <c r="AN77" s="340"/>
      <c r="AO77" s="260"/>
      <c r="AP77" s="260"/>
      <c r="AQ77" s="260"/>
      <c r="AR77" s="260"/>
      <c r="AS77" s="340"/>
      <c r="AT77" s="260"/>
      <c r="AU77" s="260"/>
      <c r="AV77" s="260"/>
      <c r="AW77" s="260"/>
      <c r="AX77" s="340"/>
    </row>
    <row r="78" spans="2:50">
      <c r="B78" s="341"/>
      <c r="C78" s="260">
        <v>12</v>
      </c>
      <c r="D78" s="260"/>
      <c r="E78" s="260"/>
      <c r="F78" s="260"/>
      <c r="G78" s="260"/>
      <c r="H78" s="343"/>
      <c r="I78" s="261"/>
      <c r="J78" s="261"/>
      <c r="K78" s="262"/>
      <c r="L78" s="343"/>
      <c r="M78" s="261"/>
      <c r="N78" s="345"/>
      <c r="O78" s="345"/>
      <c r="P78" s="260"/>
      <c r="Q78" s="260"/>
      <c r="R78" s="260"/>
      <c r="S78" s="260"/>
      <c r="T78" s="340"/>
      <c r="U78" s="260"/>
      <c r="V78" s="260"/>
      <c r="W78" s="260"/>
      <c r="X78" s="260"/>
      <c r="Y78" s="340"/>
      <c r="Z78" s="260"/>
      <c r="AA78" s="260"/>
      <c r="AB78" s="260"/>
      <c r="AC78" s="260"/>
      <c r="AD78" s="340"/>
      <c r="AE78" s="260"/>
      <c r="AF78" s="260"/>
      <c r="AG78" s="260"/>
      <c r="AH78" s="260"/>
      <c r="AI78" s="340"/>
      <c r="AJ78" s="260"/>
      <c r="AK78" s="260"/>
      <c r="AL78" s="260"/>
      <c r="AM78" s="260"/>
      <c r="AN78" s="340"/>
      <c r="AO78" s="260"/>
      <c r="AP78" s="260"/>
      <c r="AQ78" s="260"/>
      <c r="AR78" s="260"/>
      <c r="AS78" s="340"/>
      <c r="AT78" s="260"/>
      <c r="AU78" s="260"/>
      <c r="AV78" s="260"/>
      <c r="AW78" s="260"/>
      <c r="AX78" s="340"/>
    </row>
    <row r="79" spans="2:50">
      <c r="B79" s="341"/>
      <c r="C79" s="260">
        <v>13</v>
      </c>
      <c r="D79" s="260"/>
      <c r="E79" s="260"/>
      <c r="F79" s="260"/>
      <c r="G79" s="260"/>
      <c r="H79" s="343"/>
      <c r="I79" s="261"/>
      <c r="J79" s="261"/>
      <c r="K79" s="262"/>
      <c r="L79" s="343"/>
      <c r="M79" s="261"/>
      <c r="N79" s="345"/>
      <c r="O79" s="345"/>
      <c r="P79" s="260"/>
      <c r="Q79" s="260"/>
      <c r="R79" s="260"/>
      <c r="S79" s="260"/>
      <c r="T79" s="340"/>
      <c r="U79" s="260"/>
      <c r="V79" s="260"/>
      <c r="W79" s="260"/>
      <c r="X79" s="260"/>
      <c r="Y79" s="340"/>
      <c r="Z79" s="260"/>
      <c r="AA79" s="260"/>
      <c r="AB79" s="260"/>
      <c r="AC79" s="260"/>
      <c r="AD79" s="340"/>
      <c r="AE79" s="260"/>
      <c r="AF79" s="260"/>
      <c r="AG79" s="260"/>
      <c r="AH79" s="260"/>
      <c r="AI79" s="340"/>
      <c r="AJ79" s="260"/>
      <c r="AK79" s="260"/>
      <c r="AL79" s="260"/>
      <c r="AM79" s="260"/>
      <c r="AN79" s="340"/>
      <c r="AO79" s="260"/>
      <c r="AP79" s="260"/>
      <c r="AQ79" s="260"/>
      <c r="AR79" s="260"/>
      <c r="AS79" s="340"/>
      <c r="AT79" s="260"/>
      <c r="AU79" s="260"/>
      <c r="AV79" s="260"/>
      <c r="AW79" s="260"/>
      <c r="AX79" s="340"/>
    </row>
    <row r="80" spans="2:50">
      <c r="B80" s="341"/>
      <c r="C80" s="260">
        <v>14</v>
      </c>
      <c r="D80" s="260"/>
      <c r="E80" s="260"/>
      <c r="F80" s="260"/>
      <c r="G80" s="260"/>
      <c r="H80" s="343"/>
      <c r="I80" s="261"/>
      <c r="J80" s="261"/>
      <c r="K80" s="262"/>
      <c r="L80" s="343"/>
      <c r="M80" s="261"/>
      <c r="N80" s="345"/>
      <c r="O80" s="345"/>
      <c r="P80" s="260"/>
      <c r="Q80" s="260"/>
      <c r="R80" s="260"/>
      <c r="S80" s="260"/>
      <c r="T80" s="340"/>
      <c r="U80" s="260"/>
      <c r="V80" s="260"/>
      <c r="W80" s="260"/>
      <c r="X80" s="260"/>
      <c r="Y80" s="340"/>
      <c r="Z80" s="260"/>
      <c r="AA80" s="260"/>
      <c r="AB80" s="260"/>
      <c r="AC80" s="260"/>
      <c r="AD80" s="340"/>
      <c r="AE80" s="260"/>
      <c r="AF80" s="260"/>
      <c r="AG80" s="260"/>
      <c r="AH80" s="260"/>
      <c r="AI80" s="340"/>
      <c r="AJ80" s="260"/>
      <c r="AK80" s="260"/>
      <c r="AL80" s="260"/>
      <c r="AM80" s="260"/>
      <c r="AN80" s="340"/>
      <c r="AO80" s="260"/>
      <c r="AP80" s="260"/>
      <c r="AQ80" s="260"/>
      <c r="AR80" s="260"/>
      <c r="AS80" s="340"/>
      <c r="AT80" s="260"/>
      <c r="AU80" s="260"/>
      <c r="AV80" s="260"/>
      <c r="AW80" s="260"/>
      <c r="AX80" s="340"/>
    </row>
    <row r="81" spans="2:50">
      <c r="B81" s="341"/>
      <c r="C81" s="260">
        <v>15</v>
      </c>
      <c r="D81" s="260"/>
      <c r="E81" s="260"/>
      <c r="F81" s="260"/>
      <c r="G81" s="260"/>
      <c r="H81" s="344"/>
      <c r="I81" s="261"/>
      <c r="J81" s="261"/>
      <c r="K81" s="262"/>
      <c r="L81" s="344"/>
      <c r="M81" s="261"/>
      <c r="N81" s="345"/>
      <c r="O81" s="345"/>
      <c r="P81" s="260"/>
      <c r="Q81" s="260"/>
      <c r="R81" s="260"/>
      <c r="S81" s="260"/>
      <c r="T81" s="340"/>
      <c r="U81" s="260"/>
      <c r="V81" s="260"/>
      <c r="W81" s="260"/>
      <c r="X81" s="260"/>
      <c r="Y81" s="340"/>
      <c r="Z81" s="260"/>
      <c r="AA81" s="260"/>
      <c r="AB81" s="260"/>
      <c r="AC81" s="260"/>
      <c r="AD81" s="340"/>
      <c r="AE81" s="260"/>
      <c r="AF81" s="260"/>
      <c r="AG81" s="260"/>
      <c r="AH81" s="260"/>
      <c r="AI81" s="340"/>
      <c r="AJ81" s="260"/>
      <c r="AK81" s="260"/>
      <c r="AL81" s="260"/>
      <c r="AM81" s="260"/>
      <c r="AN81" s="340"/>
      <c r="AO81" s="260"/>
      <c r="AP81" s="260"/>
      <c r="AQ81" s="260"/>
      <c r="AR81" s="260"/>
      <c r="AS81" s="340"/>
      <c r="AT81" s="260"/>
      <c r="AU81" s="260"/>
      <c r="AV81" s="260"/>
      <c r="AW81" s="260"/>
      <c r="AX81" s="340"/>
    </row>
    <row r="82" spans="2:50" ht="15.75">
      <c r="B82" s="362" t="s">
        <v>86</v>
      </c>
      <c r="C82" s="358"/>
      <c r="D82" s="358"/>
      <c r="E82" s="358"/>
      <c r="F82" s="358"/>
      <c r="G82" s="358"/>
      <c r="H82" s="358"/>
      <c r="I82" s="265"/>
      <c r="J82" s="265"/>
      <c r="K82" s="265"/>
      <c r="L82" s="265"/>
      <c r="M82" s="266"/>
      <c r="N82" s="354" t="s">
        <v>87</v>
      </c>
      <c r="O82" s="354" t="s">
        <v>45</v>
      </c>
      <c r="P82" s="349">
        <v>45923</v>
      </c>
      <c r="Q82" s="341"/>
      <c r="R82" s="341"/>
      <c r="S82" s="341"/>
      <c r="T82" s="341"/>
      <c r="U82" s="349">
        <v>45924</v>
      </c>
      <c r="V82" s="341"/>
      <c r="W82" s="341"/>
      <c r="X82" s="341"/>
      <c r="Y82" s="341"/>
      <c r="Z82" s="349">
        <v>45925</v>
      </c>
      <c r="AA82" s="341"/>
      <c r="AB82" s="341"/>
      <c r="AC82" s="341"/>
      <c r="AD82" s="341"/>
      <c r="AE82" s="349">
        <v>45926</v>
      </c>
      <c r="AF82" s="341"/>
      <c r="AG82" s="341"/>
      <c r="AH82" s="341"/>
      <c r="AI82" s="341"/>
      <c r="AJ82" s="349">
        <v>45927</v>
      </c>
      <c r="AK82" s="341"/>
      <c r="AL82" s="341"/>
      <c r="AM82" s="341"/>
      <c r="AN82" s="341"/>
      <c r="AO82" s="349">
        <v>45928</v>
      </c>
      <c r="AP82" s="341"/>
      <c r="AQ82" s="341"/>
      <c r="AR82" s="341"/>
      <c r="AS82" s="341"/>
      <c r="AT82" s="349">
        <v>45929</v>
      </c>
      <c r="AU82" s="341"/>
      <c r="AV82" s="341"/>
      <c r="AW82" s="341"/>
      <c r="AX82" s="341"/>
    </row>
    <row r="83" spans="2:50" ht="15.75">
      <c r="B83" s="359"/>
      <c r="C83" s="359"/>
      <c r="D83" s="359"/>
      <c r="E83" s="359"/>
      <c r="F83" s="359"/>
      <c r="G83" s="359"/>
      <c r="H83" s="359"/>
      <c r="I83" s="256"/>
      <c r="J83" s="256"/>
      <c r="K83" s="256"/>
      <c r="L83" s="256"/>
      <c r="M83" s="257"/>
      <c r="N83" s="356"/>
      <c r="O83" s="356"/>
      <c r="P83" s="349" t="s">
        <v>57</v>
      </c>
      <c r="Q83" s="341"/>
      <c r="R83" s="341"/>
      <c r="S83" s="341"/>
      <c r="T83" s="341"/>
      <c r="U83" s="349" t="s">
        <v>58</v>
      </c>
      <c r="V83" s="341"/>
      <c r="W83" s="341"/>
      <c r="X83" s="341"/>
      <c r="Y83" s="341"/>
      <c r="Z83" s="349" t="s">
        <v>59</v>
      </c>
      <c r="AA83" s="341"/>
      <c r="AB83" s="341"/>
      <c r="AC83" s="341"/>
      <c r="AD83" s="341"/>
      <c r="AE83" s="349" t="s">
        <v>60</v>
      </c>
      <c r="AF83" s="341"/>
      <c r="AG83" s="341"/>
      <c r="AH83" s="341"/>
      <c r="AI83" s="341"/>
      <c r="AJ83" s="349" t="s">
        <v>61</v>
      </c>
      <c r="AK83" s="341"/>
      <c r="AL83" s="341"/>
      <c r="AM83" s="341"/>
      <c r="AN83" s="341"/>
      <c r="AO83" s="349" t="s">
        <v>52</v>
      </c>
      <c r="AP83" s="341"/>
      <c r="AQ83" s="341"/>
      <c r="AR83" s="341"/>
      <c r="AS83" s="341"/>
      <c r="AT83" s="349" t="s">
        <v>56</v>
      </c>
      <c r="AU83" s="341"/>
      <c r="AV83" s="341"/>
      <c r="AW83" s="341"/>
      <c r="AX83" s="341"/>
    </row>
    <row r="84" spans="2:50">
      <c r="B84" s="345" t="s">
        <v>88</v>
      </c>
      <c r="C84" s="345" t="s">
        <v>89</v>
      </c>
      <c r="D84" s="345"/>
      <c r="E84" s="345" t="s">
        <v>90</v>
      </c>
      <c r="F84" s="345"/>
      <c r="G84" s="345"/>
      <c r="H84" s="351" t="s">
        <v>91</v>
      </c>
      <c r="I84" s="345" t="s">
        <v>92</v>
      </c>
      <c r="J84" s="345"/>
      <c r="K84" s="345"/>
      <c r="L84" s="351" t="s">
        <v>91</v>
      </c>
      <c r="M84" s="354" t="s">
        <v>93</v>
      </c>
      <c r="N84" s="345"/>
      <c r="O84" s="345" t="s">
        <v>94</v>
      </c>
      <c r="P84" s="346" t="s">
        <v>95</v>
      </c>
      <c r="Q84" s="347"/>
      <c r="R84" s="347"/>
      <c r="S84" s="348"/>
      <c r="T84" s="345" t="s">
        <v>91</v>
      </c>
      <c r="U84" s="346" t="s">
        <v>95</v>
      </c>
      <c r="V84" s="347"/>
      <c r="W84" s="347"/>
      <c r="X84" s="348"/>
      <c r="Y84" s="345" t="s">
        <v>91</v>
      </c>
      <c r="Z84" s="346" t="s">
        <v>95</v>
      </c>
      <c r="AA84" s="347"/>
      <c r="AB84" s="347"/>
      <c r="AC84" s="348"/>
      <c r="AD84" s="345" t="s">
        <v>91</v>
      </c>
      <c r="AE84" s="346" t="s">
        <v>95</v>
      </c>
      <c r="AF84" s="347"/>
      <c r="AG84" s="347"/>
      <c r="AH84" s="348"/>
      <c r="AI84" s="345" t="s">
        <v>91</v>
      </c>
      <c r="AJ84" s="346" t="s">
        <v>95</v>
      </c>
      <c r="AK84" s="347"/>
      <c r="AL84" s="347"/>
      <c r="AM84" s="348"/>
      <c r="AN84" s="345" t="s">
        <v>91</v>
      </c>
      <c r="AO84" s="346" t="s">
        <v>95</v>
      </c>
      <c r="AP84" s="347"/>
      <c r="AQ84" s="347"/>
      <c r="AR84" s="348"/>
      <c r="AS84" s="345" t="s">
        <v>91</v>
      </c>
      <c r="AT84" s="346" t="s">
        <v>95</v>
      </c>
      <c r="AU84" s="347"/>
      <c r="AV84" s="347"/>
      <c r="AW84" s="348"/>
      <c r="AX84" s="345" t="s">
        <v>91</v>
      </c>
    </row>
    <row r="85" spans="2:50">
      <c r="B85" s="345"/>
      <c r="C85" s="345"/>
      <c r="D85" s="345"/>
      <c r="E85" s="345" t="s">
        <v>96</v>
      </c>
      <c r="F85" s="345"/>
      <c r="G85" s="345"/>
      <c r="H85" s="352"/>
      <c r="I85" s="345" t="s">
        <v>96</v>
      </c>
      <c r="J85" s="345"/>
      <c r="K85" s="345"/>
      <c r="L85" s="352"/>
      <c r="M85" s="355"/>
      <c r="N85" s="345"/>
      <c r="O85" s="345"/>
      <c r="P85" s="346" t="s">
        <v>97</v>
      </c>
      <c r="Q85" s="347"/>
      <c r="R85" s="347"/>
      <c r="S85" s="348"/>
      <c r="T85" s="345"/>
      <c r="U85" s="346" t="s">
        <v>97</v>
      </c>
      <c r="V85" s="347"/>
      <c r="W85" s="347"/>
      <c r="X85" s="348"/>
      <c r="Y85" s="345"/>
      <c r="Z85" s="346" t="s">
        <v>97</v>
      </c>
      <c r="AA85" s="347"/>
      <c r="AB85" s="347"/>
      <c r="AC85" s="348"/>
      <c r="AD85" s="345"/>
      <c r="AE85" s="346" t="s">
        <v>97</v>
      </c>
      <c r="AF85" s="347"/>
      <c r="AG85" s="347"/>
      <c r="AH85" s="348"/>
      <c r="AI85" s="345"/>
      <c r="AJ85" s="346" t="s">
        <v>97</v>
      </c>
      <c r="AK85" s="347"/>
      <c r="AL85" s="347"/>
      <c r="AM85" s="348"/>
      <c r="AN85" s="345"/>
      <c r="AO85" s="346" t="s">
        <v>97</v>
      </c>
      <c r="AP85" s="347"/>
      <c r="AQ85" s="347"/>
      <c r="AR85" s="348"/>
      <c r="AS85" s="345"/>
      <c r="AT85" s="346" t="s">
        <v>97</v>
      </c>
      <c r="AU85" s="347"/>
      <c r="AV85" s="347"/>
      <c r="AW85" s="348"/>
      <c r="AX85" s="345"/>
    </row>
    <row r="86" spans="2:50">
      <c r="B86" s="345"/>
      <c r="C86" s="345"/>
      <c r="D86" s="345"/>
      <c r="E86" s="259" t="s">
        <v>98</v>
      </c>
      <c r="F86" s="259" t="s">
        <v>99</v>
      </c>
      <c r="G86" s="259" t="s">
        <v>100</v>
      </c>
      <c r="H86" s="353"/>
      <c r="I86" s="259" t="s">
        <v>98</v>
      </c>
      <c r="J86" s="259" t="s">
        <v>99</v>
      </c>
      <c r="K86" s="259" t="s">
        <v>100</v>
      </c>
      <c r="L86" s="353"/>
      <c r="M86" s="356"/>
      <c r="N86" s="345"/>
      <c r="O86" s="345"/>
      <c r="P86" s="259" t="s">
        <v>98</v>
      </c>
      <c r="Q86" s="259" t="s">
        <v>99</v>
      </c>
      <c r="R86" s="259" t="s">
        <v>100</v>
      </c>
      <c r="S86" s="259" t="s">
        <v>93</v>
      </c>
      <c r="T86" s="345"/>
      <c r="U86" s="259" t="s">
        <v>98</v>
      </c>
      <c r="V86" s="259" t="s">
        <v>99</v>
      </c>
      <c r="W86" s="259" t="s">
        <v>100</v>
      </c>
      <c r="X86" s="259" t="s">
        <v>93</v>
      </c>
      <c r="Y86" s="345"/>
      <c r="Z86" s="259" t="s">
        <v>98</v>
      </c>
      <c r="AA86" s="259" t="s">
        <v>99</v>
      </c>
      <c r="AB86" s="259" t="s">
        <v>100</v>
      </c>
      <c r="AC86" s="259" t="s">
        <v>93</v>
      </c>
      <c r="AD86" s="345"/>
      <c r="AE86" s="259" t="s">
        <v>98</v>
      </c>
      <c r="AF86" s="259" t="s">
        <v>99</v>
      </c>
      <c r="AG86" s="259" t="s">
        <v>100</v>
      </c>
      <c r="AH86" s="259" t="s">
        <v>93</v>
      </c>
      <c r="AI86" s="345"/>
      <c r="AJ86" s="259" t="s">
        <v>98</v>
      </c>
      <c r="AK86" s="259" t="s">
        <v>99</v>
      </c>
      <c r="AL86" s="259" t="s">
        <v>100</v>
      </c>
      <c r="AM86" s="259" t="s">
        <v>93</v>
      </c>
      <c r="AN86" s="345"/>
      <c r="AO86" s="259" t="s">
        <v>98</v>
      </c>
      <c r="AP86" s="259" t="s">
        <v>99</v>
      </c>
      <c r="AQ86" s="259" t="s">
        <v>100</v>
      </c>
      <c r="AR86" s="259" t="s">
        <v>93</v>
      </c>
      <c r="AS86" s="345"/>
      <c r="AT86" s="259" t="s">
        <v>98</v>
      </c>
      <c r="AU86" s="259" t="s">
        <v>99</v>
      </c>
      <c r="AV86" s="259" t="s">
        <v>100</v>
      </c>
      <c r="AW86" s="259" t="s">
        <v>93</v>
      </c>
      <c r="AX86" s="345"/>
    </row>
    <row r="87" spans="2:50">
      <c r="B87" s="345" t="s">
        <v>77</v>
      </c>
      <c r="C87" s="260">
        <v>1</v>
      </c>
      <c r="D87" s="260" t="s">
        <v>122</v>
      </c>
      <c r="E87" s="261">
        <f>VLOOKUP(D87,'09產線配置圖'!$A$2:$C$25,2,0)</f>
        <v>13</v>
      </c>
      <c r="F87" s="261">
        <f>VLOOKUP(D87,'09產線配置圖'!$A$2:$C$25,3,0)</f>
        <v>1565</v>
      </c>
      <c r="G87" s="262">
        <f t="shared" ref="G87:G89" si="65">F87/E87</f>
        <v>120.38461538461539</v>
      </c>
      <c r="H87" s="342">
        <f>AVERAGE(G87:G101)</f>
        <v>127.07264957264958</v>
      </c>
      <c r="I87" s="261">
        <f>AVERAGE(P87,U87,Z87,AE87,AJ87,AO87,AT87)</f>
        <v>13.142857142857142</v>
      </c>
      <c r="J87" s="261">
        <f>AVERAGE(Q87,V87,AA87,AF87,AK87,AP87,AU87)</f>
        <v>1482.8571428571429</v>
      </c>
      <c r="K87" s="262">
        <f>AVERAGE(R87,W87,AB87,AG87,AL87,AQ87,AV87)</f>
        <v>112.8131868131868</v>
      </c>
      <c r="L87" s="342">
        <f>IFERROR(AVERAGE(K87:K101),"-")</f>
        <v>110.54884004884003</v>
      </c>
      <c r="M87" s="261">
        <f>RANK(K87, K$87:$K$101)</f>
        <v>1</v>
      </c>
      <c r="N87" s="345"/>
      <c r="O87" s="345"/>
      <c r="P87" s="261">
        <v>14</v>
      </c>
      <c r="Q87" s="261">
        <v>1596</v>
      </c>
      <c r="R87" s="262">
        <f>Q87/P87</f>
        <v>114</v>
      </c>
      <c r="S87" s="260">
        <f>RANK(R87,$R$87:$R$101)</f>
        <v>3</v>
      </c>
      <c r="T87" s="340">
        <f>AVERAGE(R87:R101)</f>
        <v>122.91666666666667</v>
      </c>
      <c r="U87" s="261">
        <v>13</v>
      </c>
      <c r="V87" s="261">
        <v>1491</v>
      </c>
      <c r="W87" s="262">
        <f>V87/U87</f>
        <v>114.69230769230769</v>
      </c>
      <c r="X87" s="260">
        <f>RANK(W87,$W$87:$W$90)</f>
        <v>1</v>
      </c>
      <c r="Y87" s="340">
        <f>AVERAGE(W87:W101)</f>
        <v>103.20299145299145</v>
      </c>
      <c r="Z87" s="261">
        <v>13</v>
      </c>
      <c r="AA87" s="261">
        <v>1314</v>
      </c>
      <c r="AB87" s="262">
        <f>AA87/Z87</f>
        <v>101.07692307692308</v>
      </c>
      <c r="AC87" s="260">
        <f>RANK(AB87,$AB$87:$AB$101)</f>
        <v>3</v>
      </c>
      <c r="AD87" s="340">
        <f>AVERAGE(AB87:AB101)</f>
        <v>109.47008547008546</v>
      </c>
      <c r="AE87" s="261">
        <v>13</v>
      </c>
      <c r="AF87" s="261">
        <v>1475</v>
      </c>
      <c r="AG87" s="262">
        <f>AF87/AE87</f>
        <v>113.46153846153847</v>
      </c>
      <c r="AH87" s="260">
        <f>RANK(AG87,$AG$87:$AG$101)</f>
        <v>1</v>
      </c>
      <c r="AI87" s="340">
        <f>AVERAGE(AG87:AG101)</f>
        <v>103.45940170940172</v>
      </c>
      <c r="AJ87" s="261">
        <v>13</v>
      </c>
      <c r="AK87" s="261">
        <v>1477</v>
      </c>
      <c r="AL87" s="262">
        <f>AK87/AJ87</f>
        <v>113.61538461538461</v>
      </c>
      <c r="AM87" s="260">
        <f>RANK(AL87,$AL$87:$AL$90)</f>
        <v>2</v>
      </c>
      <c r="AN87" s="340">
        <f>AVERAGE(AL87:AL101)</f>
        <v>107.28846153846153</v>
      </c>
      <c r="AO87" s="260">
        <v>13</v>
      </c>
      <c r="AP87" s="260">
        <v>1560</v>
      </c>
      <c r="AQ87" s="262">
        <f>AP87/AO87</f>
        <v>120</v>
      </c>
      <c r="AR87" s="260">
        <f>RANK(AQ87,$AQ$87:$AQ$101)</f>
        <v>1</v>
      </c>
      <c r="AS87" s="340">
        <f>AVERAGE(AQ87:AQ101)</f>
        <v>110.72222222222223</v>
      </c>
      <c r="AT87" s="260">
        <v>13</v>
      </c>
      <c r="AU87" s="260">
        <v>1467</v>
      </c>
      <c r="AV87" s="262">
        <f>AU87/AT87</f>
        <v>112.84615384615384</v>
      </c>
      <c r="AW87" s="260">
        <f>RANK(AV87,$AV$87:$AV$101)</f>
        <v>2</v>
      </c>
      <c r="AX87" s="340">
        <f>AVERAGE(AV87:AV101)</f>
        <v>116.78205128205127</v>
      </c>
    </row>
    <row r="88" spans="2:50">
      <c r="B88" s="341"/>
      <c r="C88" s="260">
        <v>2</v>
      </c>
      <c r="D88" s="260" t="s">
        <v>123</v>
      </c>
      <c r="E88" s="261">
        <f>VLOOKUP(D88,'09產線配置圖'!$A$2:$C$25,2,0)</f>
        <v>12</v>
      </c>
      <c r="F88" s="261">
        <f>VLOOKUP(D88,'09產線配置圖'!$A$2:$C$25,3,0)</f>
        <v>1565</v>
      </c>
      <c r="G88" s="262">
        <f t="shared" si="65"/>
        <v>130.41666666666666</v>
      </c>
      <c r="H88" s="343"/>
      <c r="I88" s="261">
        <f t="shared" ref="I88:K89" si="66">AVERAGE(P88,U88,Z88,AE88,AJ88,AO88,AT88)</f>
        <v>12</v>
      </c>
      <c r="J88" s="261">
        <f t="shared" si="66"/>
        <v>1327.5714285714287</v>
      </c>
      <c r="K88" s="262">
        <f t="shared" si="66"/>
        <v>110.63095238095238</v>
      </c>
      <c r="L88" s="343"/>
      <c r="M88" s="261">
        <f>RANK(K88, K$87:$K$101)</f>
        <v>2</v>
      </c>
      <c r="N88" s="345"/>
      <c r="O88" s="345"/>
      <c r="P88" s="261">
        <v>12</v>
      </c>
      <c r="Q88" s="261">
        <v>1560</v>
      </c>
      <c r="R88" s="262">
        <f t="shared" ref="R88" si="67">Q88/P88</f>
        <v>130</v>
      </c>
      <c r="S88" s="260">
        <f t="shared" ref="S88" si="68">RANK(R88,$R$87:$R$101)</f>
        <v>1</v>
      </c>
      <c r="T88" s="340"/>
      <c r="U88" s="261">
        <v>12</v>
      </c>
      <c r="V88" s="261">
        <v>1059</v>
      </c>
      <c r="W88" s="262">
        <f t="shared" ref="W88:W89" si="69">V88/U88</f>
        <v>88.25</v>
      </c>
      <c r="X88" s="260">
        <f t="shared" ref="X88:X89" si="70">RANK(W88,$W$87:$W$90)</f>
        <v>3</v>
      </c>
      <c r="Y88" s="340"/>
      <c r="Z88" s="261">
        <v>12</v>
      </c>
      <c r="AA88" s="261">
        <v>1259</v>
      </c>
      <c r="AB88" s="262">
        <f t="shared" ref="AB88" si="71">AA88/Z88</f>
        <v>104.91666666666667</v>
      </c>
      <c r="AC88" s="260">
        <f t="shared" ref="AC88" si="72">RANK(AB88,$AB$87:$AB$101)</f>
        <v>2</v>
      </c>
      <c r="AD88" s="340"/>
      <c r="AE88" s="261">
        <v>12</v>
      </c>
      <c r="AF88" s="261">
        <v>1264</v>
      </c>
      <c r="AG88" s="262">
        <f t="shared" ref="AG88" si="73">AF88/AE88</f>
        <v>105.33333333333333</v>
      </c>
      <c r="AH88" s="260">
        <f t="shared" ref="AH88" si="74">RANK(AG88,$AG$87:$AG$101)</f>
        <v>2</v>
      </c>
      <c r="AI88" s="340"/>
      <c r="AJ88" s="261">
        <v>12</v>
      </c>
      <c r="AK88" s="261">
        <v>1538</v>
      </c>
      <c r="AL88" s="262">
        <f t="shared" ref="AL88" si="75">AK88/AJ88</f>
        <v>128.16666666666666</v>
      </c>
      <c r="AM88" s="260">
        <f t="shared" ref="AM88" si="76">RANK(AL88,$AL$87:$AL$90)</f>
        <v>1</v>
      </c>
      <c r="AN88" s="340"/>
      <c r="AO88" s="260">
        <v>12</v>
      </c>
      <c r="AP88" s="260">
        <v>1281</v>
      </c>
      <c r="AQ88" s="262">
        <f t="shared" ref="AQ88:AQ89" si="77">AP88/AO88</f>
        <v>106.75</v>
      </c>
      <c r="AR88" s="260">
        <f t="shared" ref="AR88:AR89" si="78">RANK(AQ88,$AQ$87:$AQ$101)</f>
        <v>2</v>
      </c>
      <c r="AS88" s="340"/>
      <c r="AT88" s="260">
        <v>12</v>
      </c>
      <c r="AU88" s="260">
        <v>1332</v>
      </c>
      <c r="AV88" s="262">
        <f t="shared" ref="AV88:AV89" si="79">AU88/AT88</f>
        <v>111</v>
      </c>
      <c r="AW88" s="260">
        <f t="shared" ref="AW88:AW89" si="80">RANK(AV88,$AV$87:$AV$101)</f>
        <v>3</v>
      </c>
      <c r="AX88" s="340"/>
    </row>
    <row r="89" spans="2:50">
      <c r="B89" s="341"/>
      <c r="C89" s="260">
        <v>3</v>
      </c>
      <c r="D89" s="260" t="s">
        <v>124</v>
      </c>
      <c r="E89" s="261">
        <f>VLOOKUP(D89,'09產線配置圖'!$A$2:$C$25,2,0)</f>
        <v>12</v>
      </c>
      <c r="F89" s="261">
        <f>VLOOKUP(D89,'09產線配置圖'!$A$2:$C$25,3,0)</f>
        <v>1565</v>
      </c>
      <c r="G89" s="262">
        <f t="shared" si="65"/>
        <v>130.41666666666666</v>
      </c>
      <c r="H89" s="343"/>
      <c r="I89" s="261">
        <f t="shared" si="66"/>
        <v>12</v>
      </c>
      <c r="J89" s="261">
        <f t="shared" si="66"/>
        <v>1298.4285714285713</v>
      </c>
      <c r="K89" s="262">
        <f t="shared" si="66"/>
        <v>108.20238095238095</v>
      </c>
      <c r="L89" s="343"/>
      <c r="M89" s="261">
        <f>RANK(K89, K$87:$K$101)</f>
        <v>3</v>
      </c>
      <c r="N89" s="345"/>
      <c r="O89" s="345"/>
      <c r="P89" s="261">
        <v>12</v>
      </c>
      <c r="Q89" s="261">
        <v>1497</v>
      </c>
      <c r="R89" s="262">
        <f t="shared" ref="R89" si="81">Q89/P89</f>
        <v>124.75</v>
      </c>
      <c r="S89" s="260">
        <f t="shared" ref="S89" si="82">RANK(R89,$R$87:$R$101)</f>
        <v>2</v>
      </c>
      <c r="T89" s="340"/>
      <c r="U89" s="261">
        <v>12</v>
      </c>
      <c r="V89" s="261">
        <v>1280</v>
      </c>
      <c r="W89" s="262">
        <f t="shared" si="69"/>
        <v>106.66666666666667</v>
      </c>
      <c r="X89" s="260">
        <f t="shared" si="70"/>
        <v>2</v>
      </c>
      <c r="Y89" s="340"/>
      <c r="Z89" s="261">
        <v>12</v>
      </c>
      <c r="AA89" s="261">
        <v>1469</v>
      </c>
      <c r="AB89" s="262">
        <f t="shared" ref="AB89" si="83">AA89/Z89</f>
        <v>122.41666666666667</v>
      </c>
      <c r="AC89" s="260">
        <f t="shared" ref="AC89" si="84">RANK(AB89,$AB$87:$AB$101)</f>
        <v>1</v>
      </c>
      <c r="AD89" s="340"/>
      <c r="AE89" s="261">
        <v>12</v>
      </c>
      <c r="AF89" s="261">
        <v>1099</v>
      </c>
      <c r="AG89" s="262">
        <f t="shared" ref="AG89" si="85">AF89/AE89</f>
        <v>91.583333333333329</v>
      </c>
      <c r="AH89" s="260">
        <f t="shared" ref="AH89" si="86">RANK(AG89,$AG$87:$AG$101)</f>
        <v>3</v>
      </c>
      <c r="AI89" s="340"/>
      <c r="AJ89" s="261">
        <v>12</v>
      </c>
      <c r="AK89" s="261">
        <v>961</v>
      </c>
      <c r="AL89" s="262">
        <f t="shared" ref="AL89" si="87">AK89/AJ89</f>
        <v>80.083333333333329</v>
      </c>
      <c r="AM89" s="260">
        <f t="shared" ref="AM89" si="88">RANK(AL89,$AL$87:$AL$90)</f>
        <v>3</v>
      </c>
      <c r="AN89" s="340"/>
      <c r="AO89" s="260">
        <v>12</v>
      </c>
      <c r="AP89" s="260">
        <v>1265</v>
      </c>
      <c r="AQ89" s="262">
        <f t="shared" si="77"/>
        <v>105.41666666666667</v>
      </c>
      <c r="AR89" s="260">
        <f t="shared" si="78"/>
        <v>3</v>
      </c>
      <c r="AS89" s="340"/>
      <c r="AT89" s="260">
        <v>12</v>
      </c>
      <c r="AU89" s="260">
        <v>1518</v>
      </c>
      <c r="AV89" s="262">
        <f t="shared" si="79"/>
        <v>126.5</v>
      </c>
      <c r="AW89" s="260">
        <f t="shared" si="80"/>
        <v>1</v>
      </c>
      <c r="AX89" s="340"/>
    </row>
    <row r="90" spans="2:50">
      <c r="B90" s="341"/>
      <c r="C90" s="260">
        <v>4</v>
      </c>
      <c r="D90" s="260"/>
      <c r="E90" s="261"/>
      <c r="F90" s="261"/>
      <c r="G90" s="262"/>
      <c r="H90" s="343"/>
      <c r="I90" s="261"/>
      <c r="J90" s="261"/>
      <c r="K90" s="262"/>
      <c r="L90" s="343"/>
      <c r="M90" s="261"/>
      <c r="N90" s="345"/>
      <c r="O90" s="345"/>
      <c r="P90" s="261"/>
      <c r="Q90" s="261"/>
      <c r="R90" s="262"/>
      <c r="S90" s="260"/>
      <c r="T90" s="340"/>
      <c r="U90" s="261"/>
      <c r="V90" s="261"/>
      <c r="W90" s="262"/>
      <c r="X90" s="260"/>
      <c r="Y90" s="340"/>
      <c r="Z90" s="261"/>
      <c r="AA90" s="261"/>
      <c r="AB90" s="262"/>
      <c r="AC90" s="260"/>
      <c r="AD90" s="340"/>
      <c r="AE90" s="261"/>
      <c r="AF90" s="261"/>
      <c r="AG90" s="262"/>
      <c r="AH90" s="260"/>
      <c r="AI90" s="340"/>
      <c r="AJ90" s="261"/>
      <c r="AK90" s="261"/>
      <c r="AL90" s="262"/>
      <c r="AM90" s="260"/>
      <c r="AN90" s="340"/>
      <c r="AO90" s="260"/>
      <c r="AP90" s="260"/>
      <c r="AQ90" s="260"/>
      <c r="AR90" s="260"/>
      <c r="AS90" s="340"/>
      <c r="AT90" s="260"/>
      <c r="AU90" s="260"/>
      <c r="AV90" s="260"/>
      <c r="AW90" s="260"/>
      <c r="AX90" s="340"/>
    </row>
    <row r="91" spans="2:50">
      <c r="B91" s="341"/>
      <c r="C91" s="260">
        <v>5</v>
      </c>
      <c r="D91" s="260"/>
      <c r="E91" s="261"/>
      <c r="F91" s="261"/>
      <c r="G91" s="262"/>
      <c r="H91" s="343"/>
      <c r="I91" s="261"/>
      <c r="J91" s="261"/>
      <c r="K91" s="262"/>
      <c r="L91" s="343"/>
      <c r="M91" s="261"/>
      <c r="N91" s="345"/>
      <c r="O91" s="345"/>
      <c r="P91" s="261"/>
      <c r="Q91" s="261"/>
      <c r="R91" s="260"/>
      <c r="S91" s="260"/>
      <c r="T91" s="340"/>
      <c r="U91" s="261"/>
      <c r="V91" s="261"/>
      <c r="W91" s="260"/>
      <c r="X91" s="260"/>
      <c r="Y91" s="340"/>
      <c r="Z91" s="261"/>
      <c r="AA91" s="261"/>
      <c r="AB91" s="260"/>
      <c r="AC91" s="260"/>
      <c r="AD91" s="340"/>
      <c r="AE91" s="261"/>
      <c r="AF91" s="261"/>
      <c r="AG91" s="260"/>
      <c r="AH91" s="260"/>
      <c r="AI91" s="340"/>
      <c r="AJ91" s="261"/>
      <c r="AK91" s="261"/>
      <c r="AL91" s="260"/>
      <c r="AM91" s="260"/>
      <c r="AN91" s="340"/>
      <c r="AO91" s="260"/>
      <c r="AP91" s="260"/>
      <c r="AQ91" s="260"/>
      <c r="AR91" s="260"/>
      <c r="AS91" s="340"/>
      <c r="AT91" s="260"/>
      <c r="AU91" s="260"/>
      <c r="AV91" s="260"/>
      <c r="AW91" s="260"/>
      <c r="AX91" s="340"/>
    </row>
    <row r="92" spans="2:50">
      <c r="B92" s="341"/>
      <c r="C92" s="260">
        <v>6</v>
      </c>
      <c r="D92" s="260"/>
      <c r="E92" s="261"/>
      <c r="F92" s="261"/>
      <c r="G92" s="262"/>
      <c r="H92" s="343"/>
      <c r="I92" s="261"/>
      <c r="J92" s="261"/>
      <c r="K92" s="262"/>
      <c r="L92" s="343"/>
      <c r="M92" s="261"/>
      <c r="N92" s="345"/>
      <c r="O92" s="345"/>
      <c r="P92" s="260"/>
      <c r="Q92" s="260"/>
      <c r="R92" s="260"/>
      <c r="S92" s="260"/>
      <c r="T92" s="340"/>
      <c r="U92" s="260"/>
      <c r="V92" s="260"/>
      <c r="W92" s="260"/>
      <c r="X92" s="260"/>
      <c r="Y92" s="340"/>
      <c r="Z92" s="260"/>
      <c r="AA92" s="260"/>
      <c r="AB92" s="260"/>
      <c r="AC92" s="260"/>
      <c r="AD92" s="340"/>
      <c r="AE92" s="260"/>
      <c r="AF92" s="260"/>
      <c r="AG92" s="260"/>
      <c r="AH92" s="260"/>
      <c r="AI92" s="340"/>
      <c r="AJ92" s="260"/>
      <c r="AK92" s="260"/>
      <c r="AL92" s="260"/>
      <c r="AM92" s="260"/>
      <c r="AN92" s="340"/>
      <c r="AO92" s="260"/>
      <c r="AP92" s="260"/>
      <c r="AQ92" s="260"/>
      <c r="AR92" s="260"/>
      <c r="AS92" s="340"/>
      <c r="AT92" s="260"/>
      <c r="AU92" s="260"/>
      <c r="AV92" s="260"/>
      <c r="AW92" s="260"/>
      <c r="AX92" s="340"/>
    </row>
    <row r="93" spans="2:50">
      <c r="B93" s="341"/>
      <c r="C93" s="260">
        <v>7</v>
      </c>
      <c r="D93" s="260"/>
      <c r="E93" s="261"/>
      <c r="F93" s="261"/>
      <c r="G93" s="262"/>
      <c r="H93" s="343"/>
      <c r="I93" s="261"/>
      <c r="J93" s="261"/>
      <c r="K93" s="262"/>
      <c r="L93" s="343"/>
      <c r="M93" s="261"/>
      <c r="N93" s="345"/>
      <c r="O93" s="345"/>
      <c r="P93" s="260"/>
      <c r="Q93" s="260"/>
      <c r="R93" s="260"/>
      <c r="S93" s="260"/>
      <c r="T93" s="340"/>
      <c r="U93" s="260"/>
      <c r="V93" s="260"/>
      <c r="W93" s="260"/>
      <c r="X93" s="260"/>
      <c r="Y93" s="340"/>
      <c r="Z93" s="260"/>
      <c r="AA93" s="260"/>
      <c r="AB93" s="260"/>
      <c r="AC93" s="260"/>
      <c r="AD93" s="340"/>
      <c r="AE93" s="260"/>
      <c r="AF93" s="260"/>
      <c r="AG93" s="260"/>
      <c r="AH93" s="260"/>
      <c r="AI93" s="340"/>
      <c r="AJ93" s="260"/>
      <c r="AK93" s="260"/>
      <c r="AL93" s="260"/>
      <c r="AM93" s="260"/>
      <c r="AN93" s="340"/>
      <c r="AO93" s="260"/>
      <c r="AP93" s="260"/>
      <c r="AQ93" s="260"/>
      <c r="AR93" s="260"/>
      <c r="AS93" s="340"/>
      <c r="AT93" s="260"/>
      <c r="AU93" s="260"/>
      <c r="AV93" s="260"/>
      <c r="AW93" s="260"/>
      <c r="AX93" s="340"/>
    </row>
    <row r="94" spans="2:50">
      <c r="B94" s="341"/>
      <c r="C94" s="260">
        <v>8</v>
      </c>
      <c r="D94" s="260"/>
      <c r="E94" s="260"/>
      <c r="F94" s="260"/>
      <c r="G94" s="260"/>
      <c r="H94" s="343"/>
      <c r="I94" s="261"/>
      <c r="J94" s="261"/>
      <c r="K94" s="262"/>
      <c r="L94" s="343"/>
      <c r="M94" s="261"/>
      <c r="N94" s="345"/>
      <c r="O94" s="345"/>
      <c r="P94" s="260"/>
      <c r="Q94" s="260"/>
      <c r="R94" s="260"/>
      <c r="S94" s="260"/>
      <c r="T94" s="340"/>
      <c r="U94" s="260"/>
      <c r="V94" s="260"/>
      <c r="W94" s="260"/>
      <c r="X94" s="260"/>
      <c r="Y94" s="340"/>
      <c r="Z94" s="260"/>
      <c r="AA94" s="260"/>
      <c r="AB94" s="260"/>
      <c r="AC94" s="260"/>
      <c r="AD94" s="340"/>
      <c r="AE94" s="260"/>
      <c r="AF94" s="260"/>
      <c r="AG94" s="260"/>
      <c r="AH94" s="260"/>
      <c r="AI94" s="340"/>
      <c r="AJ94" s="260"/>
      <c r="AK94" s="260"/>
      <c r="AL94" s="260"/>
      <c r="AM94" s="260"/>
      <c r="AN94" s="340"/>
      <c r="AO94" s="260"/>
      <c r="AP94" s="260"/>
      <c r="AQ94" s="260"/>
      <c r="AR94" s="260"/>
      <c r="AS94" s="340"/>
      <c r="AT94" s="260"/>
      <c r="AU94" s="260"/>
      <c r="AV94" s="260"/>
      <c r="AW94" s="260"/>
      <c r="AX94" s="340"/>
    </row>
    <row r="95" spans="2:50">
      <c r="B95" s="341"/>
      <c r="C95" s="260">
        <v>9</v>
      </c>
      <c r="D95" s="260"/>
      <c r="E95" s="260"/>
      <c r="F95" s="260"/>
      <c r="G95" s="260"/>
      <c r="H95" s="343"/>
      <c r="I95" s="261"/>
      <c r="J95" s="261"/>
      <c r="K95" s="262"/>
      <c r="L95" s="343"/>
      <c r="M95" s="261"/>
      <c r="N95" s="345"/>
      <c r="O95" s="345"/>
      <c r="P95" s="260"/>
      <c r="Q95" s="260"/>
      <c r="R95" s="260"/>
      <c r="S95" s="260"/>
      <c r="T95" s="340"/>
      <c r="U95" s="260"/>
      <c r="V95" s="260"/>
      <c r="W95" s="260"/>
      <c r="X95" s="260"/>
      <c r="Y95" s="340"/>
      <c r="Z95" s="260"/>
      <c r="AA95" s="260"/>
      <c r="AB95" s="260"/>
      <c r="AC95" s="260"/>
      <c r="AD95" s="340"/>
      <c r="AE95" s="260"/>
      <c r="AF95" s="260"/>
      <c r="AG95" s="260"/>
      <c r="AH95" s="260"/>
      <c r="AI95" s="340"/>
      <c r="AJ95" s="260"/>
      <c r="AK95" s="260"/>
      <c r="AL95" s="260"/>
      <c r="AM95" s="260"/>
      <c r="AN95" s="340"/>
      <c r="AO95" s="260"/>
      <c r="AP95" s="260"/>
      <c r="AQ95" s="260"/>
      <c r="AR95" s="260"/>
      <c r="AS95" s="340"/>
      <c r="AT95" s="260"/>
      <c r="AU95" s="260"/>
      <c r="AV95" s="260"/>
      <c r="AW95" s="260"/>
      <c r="AX95" s="340"/>
    </row>
    <row r="96" spans="2:50">
      <c r="B96" s="341"/>
      <c r="C96" s="260">
        <v>10</v>
      </c>
      <c r="D96" s="260"/>
      <c r="E96" s="260"/>
      <c r="F96" s="260"/>
      <c r="G96" s="260"/>
      <c r="H96" s="343"/>
      <c r="I96" s="261"/>
      <c r="J96" s="261"/>
      <c r="K96" s="262"/>
      <c r="L96" s="343"/>
      <c r="M96" s="261"/>
      <c r="N96" s="345"/>
      <c r="O96" s="345"/>
      <c r="P96" s="260"/>
      <c r="Q96" s="260"/>
      <c r="R96" s="260"/>
      <c r="S96" s="260"/>
      <c r="T96" s="340"/>
      <c r="U96" s="260"/>
      <c r="V96" s="260"/>
      <c r="W96" s="260"/>
      <c r="X96" s="260"/>
      <c r="Y96" s="340"/>
      <c r="Z96" s="260"/>
      <c r="AA96" s="260"/>
      <c r="AB96" s="260"/>
      <c r="AC96" s="260"/>
      <c r="AD96" s="340"/>
      <c r="AE96" s="260"/>
      <c r="AF96" s="260"/>
      <c r="AG96" s="260"/>
      <c r="AH96" s="260"/>
      <c r="AI96" s="340"/>
      <c r="AJ96" s="260"/>
      <c r="AK96" s="260"/>
      <c r="AL96" s="260"/>
      <c r="AM96" s="260"/>
      <c r="AN96" s="340"/>
      <c r="AO96" s="260"/>
      <c r="AP96" s="260"/>
      <c r="AQ96" s="260"/>
      <c r="AR96" s="260"/>
      <c r="AS96" s="340"/>
      <c r="AT96" s="260"/>
      <c r="AU96" s="260"/>
      <c r="AV96" s="260"/>
      <c r="AW96" s="260"/>
      <c r="AX96" s="340"/>
    </row>
    <row r="97" spans="2:50">
      <c r="B97" s="341"/>
      <c r="C97" s="260">
        <v>11</v>
      </c>
      <c r="D97" s="260"/>
      <c r="E97" s="260"/>
      <c r="F97" s="260"/>
      <c r="G97" s="260"/>
      <c r="H97" s="343"/>
      <c r="I97" s="261"/>
      <c r="J97" s="261"/>
      <c r="K97" s="262"/>
      <c r="L97" s="343"/>
      <c r="M97" s="261"/>
      <c r="N97" s="345"/>
      <c r="O97" s="345"/>
      <c r="P97" s="260"/>
      <c r="Q97" s="260"/>
      <c r="R97" s="260"/>
      <c r="S97" s="260"/>
      <c r="T97" s="340"/>
      <c r="U97" s="260"/>
      <c r="V97" s="260"/>
      <c r="W97" s="260"/>
      <c r="X97" s="260"/>
      <c r="Y97" s="340"/>
      <c r="Z97" s="260"/>
      <c r="AA97" s="260"/>
      <c r="AB97" s="260"/>
      <c r="AC97" s="260"/>
      <c r="AD97" s="340"/>
      <c r="AE97" s="260"/>
      <c r="AF97" s="260"/>
      <c r="AG97" s="260"/>
      <c r="AH97" s="260"/>
      <c r="AI97" s="340"/>
      <c r="AJ97" s="260"/>
      <c r="AK97" s="260"/>
      <c r="AL97" s="260"/>
      <c r="AM97" s="260"/>
      <c r="AN97" s="340"/>
      <c r="AO97" s="260"/>
      <c r="AP97" s="260"/>
      <c r="AQ97" s="260"/>
      <c r="AR97" s="260"/>
      <c r="AS97" s="340"/>
      <c r="AT97" s="260"/>
      <c r="AU97" s="260"/>
      <c r="AV97" s="260"/>
      <c r="AW97" s="260"/>
      <c r="AX97" s="340"/>
    </row>
    <row r="98" spans="2:50">
      <c r="B98" s="341"/>
      <c r="C98" s="260">
        <v>12</v>
      </c>
      <c r="D98" s="260"/>
      <c r="E98" s="260"/>
      <c r="F98" s="260"/>
      <c r="G98" s="260"/>
      <c r="H98" s="343"/>
      <c r="I98" s="261"/>
      <c r="J98" s="261"/>
      <c r="K98" s="262"/>
      <c r="L98" s="343"/>
      <c r="M98" s="261"/>
      <c r="N98" s="345"/>
      <c r="O98" s="345"/>
      <c r="P98" s="260"/>
      <c r="Q98" s="260"/>
      <c r="R98" s="260"/>
      <c r="S98" s="260"/>
      <c r="T98" s="340"/>
      <c r="U98" s="260"/>
      <c r="V98" s="260"/>
      <c r="W98" s="260"/>
      <c r="X98" s="260"/>
      <c r="Y98" s="340"/>
      <c r="Z98" s="260"/>
      <c r="AA98" s="260"/>
      <c r="AB98" s="260"/>
      <c r="AC98" s="260"/>
      <c r="AD98" s="340"/>
      <c r="AE98" s="260"/>
      <c r="AF98" s="260"/>
      <c r="AG98" s="260"/>
      <c r="AH98" s="260"/>
      <c r="AI98" s="340"/>
      <c r="AJ98" s="260"/>
      <c r="AK98" s="260"/>
      <c r="AL98" s="260"/>
      <c r="AM98" s="260"/>
      <c r="AN98" s="340"/>
      <c r="AO98" s="260"/>
      <c r="AP98" s="260"/>
      <c r="AQ98" s="260"/>
      <c r="AR98" s="260"/>
      <c r="AS98" s="340"/>
      <c r="AT98" s="260"/>
      <c r="AU98" s="260"/>
      <c r="AV98" s="260"/>
      <c r="AW98" s="260"/>
      <c r="AX98" s="340"/>
    </row>
    <row r="99" spans="2:50">
      <c r="B99" s="341"/>
      <c r="C99" s="260">
        <v>13</v>
      </c>
      <c r="D99" s="260"/>
      <c r="E99" s="260"/>
      <c r="F99" s="260"/>
      <c r="G99" s="260"/>
      <c r="H99" s="343"/>
      <c r="I99" s="261"/>
      <c r="J99" s="261"/>
      <c r="K99" s="262"/>
      <c r="L99" s="343"/>
      <c r="M99" s="261"/>
      <c r="N99" s="345"/>
      <c r="O99" s="345"/>
      <c r="P99" s="260"/>
      <c r="Q99" s="260"/>
      <c r="R99" s="260"/>
      <c r="S99" s="260"/>
      <c r="T99" s="340"/>
      <c r="U99" s="260"/>
      <c r="V99" s="260"/>
      <c r="W99" s="260"/>
      <c r="X99" s="260"/>
      <c r="Y99" s="340"/>
      <c r="Z99" s="260"/>
      <c r="AA99" s="260"/>
      <c r="AB99" s="260"/>
      <c r="AC99" s="260"/>
      <c r="AD99" s="340"/>
      <c r="AE99" s="260"/>
      <c r="AF99" s="260"/>
      <c r="AG99" s="260"/>
      <c r="AH99" s="260"/>
      <c r="AI99" s="340"/>
      <c r="AJ99" s="260"/>
      <c r="AK99" s="260"/>
      <c r="AL99" s="260"/>
      <c r="AM99" s="260"/>
      <c r="AN99" s="340"/>
      <c r="AO99" s="260"/>
      <c r="AP99" s="260"/>
      <c r="AQ99" s="260"/>
      <c r="AR99" s="260"/>
      <c r="AS99" s="340"/>
      <c r="AT99" s="260"/>
      <c r="AU99" s="260"/>
      <c r="AV99" s="260"/>
      <c r="AW99" s="260"/>
      <c r="AX99" s="340"/>
    </row>
    <row r="100" spans="2:50">
      <c r="B100" s="341"/>
      <c r="C100" s="260">
        <v>14</v>
      </c>
      <c r="D100" s="260"/>
      <c r="E100" s="260"/>
      <c r="F100" s="260"/>
      <c r="G100" s="260"/>
      <c r="H100" s="343"/>
      <c r="I100" s="261"/>
      <c r="J100" s="261"/>
      <c r="K100" s="262"/>
      <c r="L100" s="343"/>
      <c r="M100" s="261"/>
      <c r="N100" s="345"/>
      <c r="O100" s="345"/>
      <c r="P100" s="260"/>
      <c r="Q100" s="260"/>
      <c r="R100" s="260"/>
      <c r="S100" s="260"/>
      <c r="T100" s="340"/>
      <c r="U100" s="260"/>
      <c r="V100" s="260"/>
      <c r="W100" s="260"/>
      <c r="X100" s="260"/>
      <c r="Y100" s="340"/>
      <c r="Z100" s="260"/>
      <c r="AA100" s="260"/>
      <c r="AB100" s="260"/>
      <c r="AC100" s="260"/>
      <c r="AD100" s="340"/>
      <c r="AE100" s="260"/>
      <c r="AF100" s="260"/>
      <c r="AG100" s="260"/>
      <c r="AH100" s="260"/>
      <c r="AI100" s="340"/>
      <c r="AJ100" s="260"/>
      <c r="AK100" s="260"/>
      <c r="AL100" s="260"/>
      <c r="AM100" s="260"/>
      <c r="AN100" s="340"/>
      <c r="AO100" s="260"/>
      <c r="AP100" s="260"/>
      <c r="AQ100" s="260"/>
      <c r="AR100" s="260"/>
      <c r="AS100" s="340"/>
      <c r="AT100" s="260"/>
      <c r="AU100" s="260"/>
      <c r="AV100" s="260"/>
      <c r="AW100" s="260"/>
      <c r="AX100" s="340"/>
    </row>
    <row r="101" spans="2:50">
      <c r="B101" s="341"/>
      <c r="C101" s="260">
        <v>15</v>
      </c>
      <c r="D101" s="260"/>
      <c r="E101" s="260"/>
      <c r="F101" s="260"/>
      <c r="G101" s="260"/>
      <c r="H101" s="344"/>
      <c r="I101" s="261"/>
      <c r="J101" s="261"/>
      <c r="K101" s="262"/>
      <c r="L101" s="344"/>
      <c r="M101" s="261"/>
      <c r="N101" s="345"/>
      <c r="O101" s="345"/>
      <c r="P101" s="260"/>
      <c r="Q101" s="260"/>
      <c r="R101" s="260"/>
      <c r="S101" s="260"/>
      <c r="T101" s="340"/>
      <c r="U101" s="260"/>
      <c r="V101" s="260"/>
      <c r="W101" s="260"/>
      <c r="X101" s="260"/>
      <c r="Y101" s="340"/>
      <c r="Z101" s="260"/>
      <c r="AA101" s="260"/>
      <c r="AB101" s="260"/>
      <c r="AC101" s="260"/>
      <c r="AD101" s="340"/>
      <c r="AE101" s="260"/>
      <c r="AF101" s="260"/>
      <c r="AG101" s="260"/>
      <c r="AH101" s="260"/>
      <c r="AI101" s="340"/>
      <c r="AJ101" s="260"/>
      <c r="AK101" s="260"/>
      <c r="AL101" s="260"/>
      <c r="AM101" s="260"/>
      <c r="AN101" s="340"/>
      <c r="AO101" s="260"/>
      <c r="AP101" s="260"/>
      <c r="AQ101" s="260"/>
      <c r="AR101" s="260"/>
      <c r="AS101" s="340"/>
      <c r="AT101" s="260"/>
      <c r="AU101" s="260"/>
      <c r="AV101" s="260"/>
      <c r="AW101" s="260"/>
      <c r="AX101" s="340"/>
    </row>
    <row r="102" spans="2:50" ht="15.75">
      <c r="B102" s="362" t="s">
        <v>86</v>
      </c>
      <c r="C102" s="358"/>
      <c r="D102" s="358"/>
      <c r="E102" s="358"/>
      <c r="F102" s="358"/>
      <c r="G102" s="358"/>
      <c r="H102" s="358"/>
      <c r="I102" s="254"/>
      <c r="J102" s="254"/>
      <c r="K102" s="254"/>
      <c r="L102" s="254"/>
      <c r="M102" s="255"/>
      <c r="N102" s="354" t="s">
        <v>87</v>
      </c>
      <c r="O102" s="354" t="s">
        <v>45</v>
      </c>
      <c r="P102" s="349">
        <v>45930</v>
      </c>
      <c r="Q102" s="341"/>
      <c r="R102" s="341"/>
      <c r="S102" s="341"/>
      <c r="T102" s="341"/>
      <c r="U102" s="349"/>
      <c r="V102" s="341"/>
      <c r="W102" s="341"/>
      <c r="X102" s="341"/>
      <c r="Y102" s="341"/>
      <c r="Z102" s="349"/>
      <c r="AA102" s="341"/>
      <c r="AB102" s="341"/>
      <c r="AC102" s="341"/>
      <c r="AD102" s="341"/>
      <c r="AE102" s="349"/>
      <c r="AF102" s="341"/>
      <c r="AG102" s="341"/>
      <c r="AH102" s="341"/>
      <c r="AI102" s="341"/>
      <c r="AJ102" s="349"/>
      <c r="AK102" s="341"/>
      <c r="AL102" s="341"/>
      <c r="AM102" s="341"/>
      <c r="AN102" s="341"/>
      <c r="AO102" s="349"/>
      <c r="AP102" s="341"/>
      <c r="AQ102" s="341"/>
      <c r="AR102" s="341"/>
      <c r="AS102" s="341"/>
      <c r="AT102" s="349"/>
      <c r="AU102" s="341"/>
      <c r="AV102" s="341"/>
      <c r="AW102" s="341"/>
      <c r="AX102" s="341"/>
    </row>
    <row r="103" spans="2:50" ht="15.75">
      <c r="B103" s="359"/>
      <c r="C103" s="359"/>
      <c r="D103" s="359"/>
      <c r="E103" s="359"/>
      <c r="F103" s="359"/>
      <c r="G103" s="359"/>
      <c r="H103" s="359"/>
      <c r="I103" s="256"/>
      <c r="J103" s="256"/>
      <c r="K103" s="256"/>
      <c r="L103" s="256"/>
      <c r="M103" s="257"/>
      <c r="N103" s="356"/>
      <c r="O103" s="356"/>
      <c r="P103" s="349" t="s">
        <v>57</v>
      </c>
      <c r="Q103" s="341"/>
      <c r="R103" s="341"/>
      <c r="S103" s="341"/>
      <c r="T103" s="341"/>
      <c r="U103" s="349" t="s">
        <v>58</v>
      </c>
      <c r="V103" s="341"/>
      <c r="W103" s="341"/>
      <c r="X103" s="341"/>
      <c r="Y103" s="341"/>
      <c r="Z103" s="349" t="s">
        <v>59</v>
      </c>
      <c r="AA103" s="341"/>
      <c r="AB103" s="341"/>
      <c r="AC103" s="341"/>
      <c r="AD103" s="341"/>
      <c r="AE103" s="349" t="s">
        <v>60</v>
      </c>
      <c r="AF103" s="341"/>
      <c r="AG103" s="341"/>
      <c r="AH103" s="341"/>
      <c r="AI103" s="341"/>
      <c r="AJ103" s="349" t="s">
        <v>61</v>
      </c>
      <c r="AK103" s="341"/>
      <c r="AL103" s="341"/>
      <c r="AM103" s="341"/>
      <c r="AN103" s="341"/>
      <c r="AO103" s="349" t="s">
        <v>52</v>
      </c>
      <c r="AP103" s="341"/>
      <c r="AQ103" s="341"/>
      <c r="AR103" s="341"/>
      <c r="AS103" s="341"/>
      <c r="AT103" s="349" t="s">
        <v>56</v>
      </c>
      <c r="AU103" s="341"/>
      <c r="AV103" s="341"/>
      <c r="AW103" s="341"/>
      <c r="AX103" s="341"/>
    </row>
    <row r="104" spans="2:50">
      <c r="B104" s="345" t="s">
        <v>88</v>
      </c>
      <c r="C104" s="345" t="s">
        <v>89</v>
      </c>
      <c r="D104" s="345"/>
      <c r="E104" s="345" t="s">
        <v>90</v>
      </c>
      <c r="F104" s="345"/>
      <c r="G104" s="345"/>
      <c r="H104" s="351" t="s">
        <v>91</v>
      </c>
      <c r="I104" s="345" t="s">
        <v>92</v>
      </c>
      <c r="J104" s="345"/>
      <c r="K104" s="345"/>
      <c r="L104" s="351" t="s">
        <v>91</v>
      </c>
      <c r="M104" s="354" t="s">
        <v>93</v>
      </c>
      <c r="N104" s="345"/>
      <c r="O104" s="345" t="s">
        <v>94</v>
      </c>
      <c r="P104" s="346" t="s">
        <v>95</v>
      </c>
      <c r="Q104" s="347"/>
      <c r="R104" s="347"/>
      <c r="S104" s="348"/>
      <c r="T104" s="345" t="s">
        <v>91</v>
      </c>
      <c r="U104" s="346" t="s">
        <v>95</v>
      </c>
      <c r="V104" s="347"/>
      <c r="W104" s="347"/>
      <c r="X104" s="348"/>
      <c r="Y104" s="345" t="s">
        <v>91</v>
      </c>
      <c r="Z104" s="346" t="s">
        <v>95</v>
      </c>
      <c r="AA104" s="347"/>
      <c r="AB104" s="347"/>
      <c r="AC104" s="348"/>
      <c r="AD104" s="345" t="s">
        <v>91</v>
      </c>
      <c r="AE104" s="346" t="s">
        <v>95</v>
      </c>
      <c r="AF104" s="347"/>
      <c r="AG104" s="347"/>
      <c r="AH104" s="348"/>
      <c r="AI104" s="345" t="s">
        <v>91</v>
      </c>
      <c r="AJ104" s="346" t="s">
        <v>95</v>
      </c>
      <c r="AK104" s="347"/>
      <c r="AL104" s="347"/>
      <c r="AM104" s="348"/>
      <c r="AN104" s="345" t="s">
        <v>91</v>
      </c>
      <c r="AO104" s="346" t="s">
        <v>95</v>
      </c>
      <c r="AP104" s="347"/>
      <c r="AQ104" s="347"/>
      <c r="AR104" s="348"/>
      <c r="AS104" s="345" t="s">
        <v>91</v>
      </c>
      <c r="AT104" s="346" t="s">
        <v>95</v>
      </c>
      <c r="AU104" s="347"/>
      <c r="AV104" s="347"/>
      <c r="AW104" s="348"/>
      <c r="AX104" s="345" t="s">
        <v>91</v>
      </c>
    </row>
    <row r="105" spans="2:50">
      <c r="B105" s="345"/>
      <c r="C105" s="345"/>
      <c r="D105" s="345"/>
      <c r="E105" s="345" t="s">
        <v>96</v>
      </c>
      <c r="F105" s="345"/>
      <c r="G105" s="345"/>
      <c r="H105" s="352"/>
      <c r="I105" s="345" t="s">
        <v>96</v>
      </c>
      <c r="J105" s="345"/>
      <c r="K105" s="345"/>
      <c r="L105" s="352"/>
      <c r="M105" s="355"/>
      <c r="N105" s="345"/>
      <c r="O105" s="345"/>
      <c r="P105" s="346" t="s">
        <v>97</v>
      </c>
      <c r="Q105" s="347"/>
      <c r="R105" s="347"/>
      <c r="S105" s="348"/>
      <c r="T105" s="345"/>
      <c r="U105" s="346" t="s">
        <v>97</v>
      </c>
      <c r="V105" s="347"/>
      <c r="W105" s="347"/>
      <c r="X105" s="348"/>
      <c r="Y105" s="345"/>
      <c r="Z105" s="346" t="s">
        <v>97</v>
      </c>
      <c r="AA105" s="347"/>
      <c r="AB105" s="347"/>
      <c r="AC105" s="348"/>
      <c r="AD105" s="345"/>
      <c r="AE105" s="346" t="s">
        <v>97</v>
      </c>
      <c r="AF105" s="347"/>
      <c r="AG105" s="347"/>
      <c r="AH105" s="348"/>
      <c r="AI105" s="345"/>
      <c r="AJ105" s="346" t="s">
        <v>97</v>
      </c>
      <c r="AK105" s="347"/>
      <c r="AL105" s="347"/>
      <c r="AM105" s="348"/>
      <c r="AN105" s="345"/>
      <c r="AO105" s="346" t="s">
        <v>97</v>
      </c>
      <c r="AP105" s="347"/>
      <c r="AQ105" s="347"/>
      <c r="AR105" s="348"/>
      <c r="AS105" s="345"/>
      <c r="AT105" s="346" t="s">
        <v>97</v>
      </c>
      <c r="AU105" s="347"/>
      <c r="AV105" s="347"/>
      <c r="AW105" s="348"/>
      <c r="AX105" s="345"/>
    </row>
    <row r="106" spans="2:50">
      <c r="B106" s="345"/>
      <c r="C106" s="345"/>
      <c r="D106" s="345"/>
      <c r="E106" s="259" t="s">
        <v>98</v>
      </c>
      <c r="F106" s="259" t="s">
        <v>99</v>
      </c>
      <c r="G106" s="259" t="s">
        <v>100</v>
      </c>
      <c r="H106" s="353"/>
      <c r="I106" s="259" t="s">
        <v>98</v>
      </c>
      <c r="J106" s="259" t="s">
        <v>99</v>
      </c>
      <c r="K106" s="259" t="s">
        <v>100</v>
      </c>
      <c r="L106" s="353"/>
      <c r="M106" s="356"/>
      <c r="N106" s="345"/>
      <c r="O106" s="345"/>
      <c r="P106" s="259" t="s">
        <v>98</v>
      </c>
      <c r="Q106" s="259" t="s">
        <v>99</v>
      </c>
      <c r="R106" s="259" t="s">
        <v>100</v>
      </c>
      <c r="S106" s="259" t="s">
        <v>93</v>
      </c>
      <c r="T106" s="345"/>
      <c r="U106" s="259" t="s">
        <v>98</v>
      </c>
      <c r="V106" s="259" t="s">
        <v>99</v>
      </c>
      <c r="W106" s="259" t="s">
        <v>100</v>
      </c>
      <c r="X106" s="259" t="s">
        <v>93</v>
      </c>
      <c r="Y106" s="345"/>
      <c r="Z106" s="259" t="s">
        <v>98</v>
      </c>
      <c r="AA106" s="259" t="s">
        <v>99</v>
      </c>
      <c r="AB106" s="259" t="s">
        <v>100</v>
      </c>
      <c r="AC106" s="259" t="s">
        <v>93</v>
      </c>
      <c r="AD106" s="345"/>
      <c r="AE106" s="259" t="s">
        <v>98</v>
      </c>
      <c r="AF106" s="259" t="s">
        <v>99</v>
      </c>
      <c r="AG106" s="259" t="s">
        <v>100</v>
      </c>
      <c r="AH106" s="259" t="s">
        <v>93</v>
      </c>
      <c r="AI106" s="345"/>
      <c r="AJ106" s="259" t="s">
        <v>98</v>
      </c>
      <c r="AK106" s="259" t="s">
        <v>99</v>
      </c>
      <c r="AL106" s="259" t="s">
        <v>100</v>
      </c>
      <c r="AM106" s="259" t="s">
        <v>93</v>
      </c>
      <c r="AN106" s="345"/>
      <c r="AO106" s="259" t="s">
        <v>98</v>
      </c>
      <c r="AP106" s="259" t="s">
        <v>99</v>
      </c>
      <c r="AQ106" s="259" t="s">
        <v>100</v>
      </c>
      <c r="AR106" s="259" t="s">
        <v>93</v>
      </c>
      <c r="AS106" s="345"/>
      <c r="AT106" s="259" t="s">
        <v>98</v>
      </c>
      <c r="AU106" s="259" t="s">
        <v>99</v>
      </c>
      <c r="AV106" s="259" t="s">
        <v>100</v>
      </c>
      <c r="AW106" s="259" t="s">
        <v>93</v>
      </c>
      <c r="AX106" s="345"/>
    </row>
    <row r="107" spans="2:50">
      <c r="B107" s="345" t="s">
        <v>77</v>
      </c>
      <c r="C107" s="260">
        <v>1</v>
      </c>
      <c r="D107" s="260" t="s">
        <v>122</v>
      </c>
      <c r="E107" s="261">
        <f>VLOOKUP(D107,'09產線配置圖'!$A$2:$C$25,2,0)</f>
        <v>13</v>
      </c>
      <c r="F107" s="261">
        <f>VLOOKUP(D107,'09產線配置圖'!$A$2:$C$25,3,0)</f>
        <v>1565</v>
      </c>
      <c r="G107" s="262">
        <f t="shared" ref="G107:G109" si="89">F107/E107</f>
        <v>120.38461538461539</v>
      </c>
      <c r="H107" s="342">
        <f>AVERAGE(G107:G121)</f>
        <v>127.07264957264958</v>
      </c>
      <c r="I107" s="261" t="e">
        <f>AVERAGE(P107,U107,Z107,AE107,AJ107,AO107,AT107)</f>
        <v>#DIV/0!</v>
      </c>
      <c r="J107" s="261" t="e">
        <f>AVERAGE(Q107,V107,AA107,AF107,AK107,AP107,AU107)</f>
        <v>#DIV/0!</v>
      </c>
      <c r="K107" s="262" t="e">
        <f>AVERAGE(AG107,AL107,AQ107,AV107)</f>
        <v>#DIV/0!</v>
      </c>
      <c r="L107" s="342" t="str">
        <f>IFERROR(AVERAGE(K107:K121),"-")</f>
        <v>-</v>
      </c>
      <c r="M107" s="263" t="e">
        <f>RANK(K107, K$7:$K$21)</f>
        <v>#DIV/0!</v>
      </c>
      <c r="N107" s="345"/>
      <c r="O107" s="345"/>
      <c r="P107" s="261"/>
      <c r="Q107" s="261"/>
      <c r="R107" s="262" t="e">
        <f>Q107/P107</f>
        <v>#DIV/0!</v>
      </c>
      <c r="S107" s="260" t="e">
        <f>RANK(R107, R$7:R$21)</f>
        <v>#DIV/0!</v>
      </c>
      <c r="T107" s="340" t="e">
        <f>AVERAGE(R107:R121)</f>
        <v>#DIV/0!</v>
      </c>
      <c r="U107" s="261"/>
      <c r="V107" s="261"/>
      <c r="W107" s="262" t="e">
        <f>V107/U107</f>
        <v>#DIV/0!</v>
      </c>
      <c r="X107" s="260" t="e">
        <f>RANK(W107, W$7:W$21)</f>
        <v>#DIV/0!</v>
      </c>
      <c r="Y107" s="340" t="e">
        <f>AVERAGE(W107:W121)</f>
        <v>#DIV/0!</v>
      </c>
      <c r="Z107" s="260"/>
      <c r="AA107" s="261"/>
      <c r="AB107" s="262" t="e">
        <f>AA107/Z107</f>
        <v>#DIV/0!</v>
      </c>
      <c r="AC107" s="260" t="e">
        <f>RANK(AB107, AB$7:AB$21)</f>
        <v>#DIV/0!</v>
      </c>
      <c r="AD107" s="340" t="e">
        <f>AVERAGE(AB107:AB121)</f>
        <v>#DIV/0!</v>
      </c>
      <c r="AE107" s="261"/>
      <c r="AF107" s="261"/>
      <c r="AG107" s="262" t="e">
        <f>AF107/AE107</f>
        <v>#DIV/0!</v>
      </c>
      <c r="AH107" s="260" t="e">
        <f>RANK(AG107, AG$7:AG$21)</f>
        <v>#DIV/0!</v>
      </c>
      <c r="AI107" s="340" t="e">
        <f>AVERAGE(AG107:AG121)</f>
        <v>#DIV/0!</v>
      </c>
      <c r="AJ107" s="261"/>
      <c r="AK107" s="261"/>
      <c r="AL107" s="262" t="e">
        <f>AK107/AJ107</f>
        <v>#DIV/0!</v>
      </c>
      <c r="AM107" s="260" t="e">
        <f>RANK(AL107, AL$7:AL$21)</f>
        <v>#DIV/0!</v>
      </c>
      <c r="AN107" s="340" t="e">
        <f>AVERAGE(AL107:AL121)</f>
        <v>#DIV/0!</v>
      </c>
      <c r="AO107" s="261"/>
      <c r="AP107" s="261"/>
      <c r="AQ107" s="262" t="e">
        <f>AP107/AO107</f>
        <v>#DIV/0!</v>
      </c>
      <c r="AR107" s="260" t="e">
        <f>RANK(AQ107, AQ$7:AQ$21)</f>
        <v>#DIV/0!</v>
      </c>
      <c r="AS107" s="340" t="e">
        <f>AVERAGE(AQ107:AQ121)</f>
        <v>#DIV/0!</v>
      </c>
      <c r="AT107" s="261"/>
      <c r="AU107" s="261"/>
      <c r="AV107" s="262" t="e">
        <f>AU107/AT107</f>
        <v>#DIV/0!</v>
      </c>
      <c r="AW107" s="260" t="e">
        <f>RANK(AV107, AV$7:AV$21)</f>
        <v>#DIV/0!</v>
      </c>
      <c r="AX107" s="340" t="e">
        <f>AVERAGE(AV107:AV121)</f>
        <v>#DIV/0!</v>
      </c>
    </row>
    <row r="108" spans="2:50">
      <c r="B108" s="341"/>
      <c r="C108" s="260">
        <v>2</v>
      </c>
      <c r="D108" s="260" t="s">
        <v>123</v>
      </c>
      <c r="E108" s="261">
        <f>VLOOKUP(D108,'09產線配置圖'!$A$2:$C$25,2,0)</f>
        <v>12</v>
      </c>
      <c r="F108" s="261">
        <f>VLOOKUP(D108,'09產線配置圖'!$A$2:$C$25,3,0)</f>
        <v>1565</v>
      </c>
      <c r="G108" s="262">
        <f t="shared" si="89"/>
        <v>130.41666666666666</v>
      </c>
      <c r="H108" s="343"/>
      <c r="I108" s="261" t="e">
        <f t="shared" ref="I108:I109" si="90">AVERAGE(P108,U108,Z108,AE108,AJ108,AO108,AT108)</f>
        <v>#DIV/0!</v>
      </c>
      <c r="J108" s="261" t="e">
        <f t="shared" ref="J108:J109" si="91">AVERAGE(Q108,V108,AA108,AF108,AK108,AP108,AU108)</f>
        <v>#DIV/0!</v>
      </c>
      <c r="K108" s="262" t="e">
        <f t="shared" ref="K108:K109" si="92">AVERAGE(AG108,AL108,AQ108,AV108)</f>
        <v>#DIV/0!</v>
      </c>
      <c r="L108" s="343"/>
      <c r="M108" s="263" t="e">
        <f>RANK(K108, K$7:$K$21)</f>
        <v>#DIV/0!</v>
      </c>
      <c r="N108" s="345"/>
      <c r="O108" s="345"/>
      <c r="P108" s="261"/>
      <c r="Q108" s="261"/>
      <c r="R108" s="262" t="e">
        <f t="shared" ref="R108:R113" si="93">Q108/P108</f>
        <v>#DIV/0!</v>
      </c>
      <c r="S108" s="260" t="e">
        <f t="shared" ref="S108:S113" si="94">RANK(R108, R$7:R$21)</f>
        <v>#DIV/0!</v>
      </c>
      <c r="T108" s="340"/>
      <c r="U108" s="261"/>
      <c r="V108" s="261"/>
      <c r="W108" s="262" t="e">
        <f t="shared" ref="W108:W113" si="95">V108/U108</f>
        <v>#DIV/0!</v>
      </c>
      <c r="X108" s="260" t="e">
        <f t="shared" ref="X108:X113" si="96">RANK(W108, W$7:W$21)</f>
        <v>#DIV/0!</v>
      </c>
      <c r="Y108" s="340"/>
      <c r="Z108" s="260"/>
      <c r="AA108" s="261"/>
      <c r="AB108" s="262" t="e">
        <f t="shared" ref="AB108:AB113" si="97">AA108/Z108</f>
        <v>#DIV/0!</v>
      </c>
      <c r="AC108" s="260" t="e">
        <f t="shared" ref="AC108:AC113" si="98">RANK(AB108, AB$7:AB$21)</f>
        <v>#DIV/0!</v>
      </c>
      <c r="AD108" s="340"/>
      <c r="AE108" s="261"/>
      <c r="AF108" s="261"/>
      <c r="AG108" s="262" t="e">
        <f t="shared" ref="AG108:AG109" si="99">AF108/AE108</f>
        <v>#DIV/0!</v>
      </c>
      <c r="AH108" s="260" t="e">
        <f t="shared" ref="AH108:AH109" si="100">RANK(AG108, AG$7:AG$21)</f>
        <v>#DIV/0!</v>
      </c>
      <c r="AI108" s="340"/>
      <c r="AJ108" s="261"/>
      <c r="AK108" s="261"/>
      <c r="AL108" s="262" t="e">
        <f t="shared" ref="AL108:AL109" si="101">AK108/AJ108</f>
        <v>#DIV/0!</v>
      </c>
      <c r="AM108" s="260" t="e">
        <f t="shared" ref="AM108:AM109" si="102">RANK(AL108, AL$7:AL$21)</f>
        <v>#DIV/0!</v>
      </c>
      <c r="AN108" s="340"/>
      <c r="AO108" s="261"/>
      <c r="AP108" s="261"/>
      <c r="AQ108" s="262" t="e">
        <f t="shared" ref="AQ108:AQ109" si="103">AP108/AO108</f>
        <v>#DIV/0!</v>
      </c>
      <c r="AR108" s="260" t="e">
        <f t="shared" ref="AR108:AR109" si="104">RANK(AQ108, AQ$7:AQ$21)</f>
        <v>#DIV/0!</v>
      </c>
      <c r="AS108" s="340"/>
      <c r="AT108" s="261"/>
      <c r="AU108" s="261"/>
      <c r="AV108" s="262" t="e">
        <f t="shared" ref="AV108:AV109" si="105">AU108/AT108</f>
        <v>#DIV/0!</v>
      </c>
      <c r="AW108" s="260" t="e">
        <f t="shared" ref="AW108:AW109" si="106">RANK(AV108, AV$7:AV$21)</f>
        <v>#DIV/0!</v>
      </c>
      <c r="AX108" s="340"/>
    </row>
    <row r="109" spans="2:50">
      <c r="B109" s="341"/>
      <c r="C109" s="260">
        <v>3</v>
      </c>
      <c r="D109" s="260" t="s">
        <v>124</v>
      </c>
      <c r="E109" s="261">
        <f>VLOOKUP(D109,'09產線配置圖'!$A$2:$C$25,2,0)</f>
        <v>12</v>
      </c>
      <c r="F109" s="261">
        <f>VLOOKUP(D109,'09產線配置圖'!$A$2:$C$25,3,0)</f>
        <v>1565</v>
      </c>
      <c r="G109" s="262">
        <f t="shared" si="89"/>
        <v>130.41666666666666</v>
      </c>
      <c r="H109" s="343"/>
      <c r="I109" s="261">
        <f t="shared" si="90"/>
        <v>16</v>
      </c>
      <c r="J109" s="261">
        <f t="shared" si="91"/>
        <v>1298</v>
      </c>
      <c r="K109" s="262" t="e">
        <f t="shared" si="92"/>
        <v>#DIV/0!</v>
      </c>
      <c r="L109" s="343"/>
      <c r="M109" s="263" t="e">
        <f>RANK(K109, K$7:$K$21)</f>
        <v>#DIV/0!</v>
      </c>
      <c r="N109" s="345"/>
      <c r="O109" s="345"/>
      <c r="P109" s="261">
        <v>16</v>
      </c>
      <c r="Q109" s="261">
        <v>1298</v>
      </c>
      <c r="R109" s="262">
        <f t="shared" si="93"/>
        <v>81.125</v>
      </c>
      <c r="S109" s="260" t="e">
        <f t="shared" si="94"/>
        <v>#DIV/0!</v>
      </c>
      <c r="T109" s="340"/>
      <c r="U109" s="261"/>
      <c r="V109" s="261"/>
      <c r="W109" s="262" t="e">
        <f t="shared" si="95"/>
        <v>#DIV/0!</v>
      </c>
      <c r="X109" s="260" t="e">
        <f t="shared" si="96"/>
        <v>#DIV/0!</v>
      </c>
      <c r="Y109" s="340"/>
      <c r="Z109" s="260"/>
      <c r="AA109" s="261"/>
      <c r="AB109" s="262" t="e">
        <f t="shared" si="97"/>
        <v>#DIV/0!</v>
      </c>
      <c r="AC109" s="260" t="e">
        <f t="shared" si="98"/>
        <v>#DIV/0!</v>
      </c>
      <c r="AD109" s="340"/>
      <c r="AE109" s="261"/>
      <c r="AF109" s="261"/>
      <c r="AG109" s="262" t="e">
        <f t="shared" si="99"/>
        <v>#DIV/0!</v>
      </c>
      <c r="AH109" s="260" t="e">
        <f t="shared" si="100"/>
        <v>#DIV/0!</v>
      </c>
      <c r="AI109" s="340"/>
      <c r="AJ109" s="261"/>
      <c r="AK109" s="261"/>
      <c r="AL109" s="262" t="e">
        <f t="shared" si="101"/>
        <v>#DIV/0!</v>
      </c>
      <c r="AM109" s="260" t="e">
        <f t="shared" si="102"/>
        <v>#DIV/0!</v>
      </c>
      <c r="AN109" s="340"/>
      <c r="AO109" s="261"/>
      <c r="AP109" s="261"/>
      <c r="AQ109" s="262" t="e">
        <f t="shared" si="103"/>
        <v>#DIV/0!</v>
      </c>
      <c r="AR109" s="260" t="e">
        <f t="shared" si="104"/>
        <v>#DIV/0!</v>
      </c>
      <c r="AS109" s="340"/>
      <c r="AT109" s="261"/>
      <c r="AU109" s="261"/>
      <c r="AV109" s="262" t="e">
        <f t="shared" si="105"/>
        <v>#DIV/0!</v>
      </c>
      <c r="AW109" s="260" t="e">
        <f t="shared" si="106"/>
        <v>#DIV/0!</v>
      </c>
      <c r="AX109" s="340"/>
    </row>
    <row r="110" spans="2:50">
      <c r="B110" s="341"/>
      <c r="C110" s="260">
        <v>4</v>
      </c>
      <c r="D110" s="260"/>
      <c r="E110" s="261"/>
      <c r="F110" s="261"/>
      <c r="G110" s="262"/>
      <c r="H110" s="343"/>
      <c r="I110" s="261"/>
      <c r="J110" s="261"/>
      <c r="K110" s="262"/>
      <c r="L110" s="343"/>
      <c r="M110" s="263" t="e">
        <f>RANK(K110, K$7:$K$21)</f>
        <v>#DIV/0!</v>
      </c>
      <c r="N110" s="345"/>
      <c r="O110" s="345"/>
      <c r="P110" s="261"/>
      <c r="Q110" s="261"/>
      <c r="R110" s="262" t="e">
        <f t="shared" si="93"/>
        <v>#DIV/0!</v>
      </c>
      <c r="S110" s="260" t="e">
        <f t="shared" si="94"/>
        <v>#DIV/0!</v>
      </c>
      <c r="T110" s="340"/>
      <c r="U110" s="261"/>
      <c r="V110" s="261"/>
      <c r="W110" s="262" t="e">
        <f t="shared" si="95"/>
        <v>#DIV/0!</v>
      </c>
      <c r="X110" s="260" t="e">
        <f t="shared" si="96"/>
        <v>#DIV/0!</v>
      </c>
      <c r="Y110" s="340"/>
      <c r="Z110" s="260"/>
      <c r="AA110" s="261"/>
      <c r="AB110" s="262" t="e">
        <f t="shared" si="97"/>
        <v>#DIV/0!</v>
      </c>
      <c r="AC110" s="260" t="e">
        <f t="shared" si="98"/>
        <v>#DIV/0!</v>
      </c>
      <c r="AD110" s="340"/>
      <c r="AE110" s="261"/>
      <c r="AF110" s="261"/>
      <c r="AG110" s="262"/>
      <c r="AH110" s="260"/>
      <c r="AI110" s="340"/>
      <c r="AJ110" s="261"/>
      <c r="AK110" s="261"/>
      <c r="AL110" s="262"/>
      <c r="AM110" s="260"/>
      <c r="AN110" s="340"/>
      <c r="AO110" s="261"/>
      <c r="AP110" s="261"/>
      <c r="AQ110" s="262"/>
      <c r="AR110" s="260"/>
      <c r="AS110" s="340"/>
      <c r="AT110" s="261"/>
      <c r="AU110" s="261"/>
      <c r="AV110" s="262"/>
      <c r="AW110" s="260"/>
      <c r="AX110" s="340"/>
    </row>
    <row r="111" spans="2:50">
      <c r="B111" s="341"/>
      <c r="C111" s="260">
        <v>5</v>
      </c>
      <c r="D111" s="260"/>
      <c r="E111" s="261"/>
      <c r="F111" s="261"/>
      <c r="G111" s="262"/>
      <c r="H111" s="343"/>
      <c r="I111" s="261"/>
      <c r="J111" s="261"/>
      <c r="K111" s="262"/>
      <c r="L111" s="343"/>
      <c r="M111" s="263" t="e">
        <f>RANK(K111, K$7:$K$21)</f>
        <v>#DIV/0!</v>
      </c>
      <c r="N111" s="345"/>
      <c r="O111" s="345"/>
      <c r="P111" s="261"/>
      <c r="Q111" s="261"/>
      <c r="R111" s="262" t="e">
        <f t="shared" si="93"/>
        <v>#DIV/0!</v>
      </c>
      <c r="S111" s="260" t="e">
        <f t="shared" si="94"/>
        <v>#DIV/0!</v>
      </c>
      <c r="T111" s="340"/>
      <c r="U111" s="261"/>
      <c r="V111" s="261"/>
      <c r="W111" s="262" t="e">
        <f t="shared" si="95"/>
        <v>#DIV/0!</v>
      </c>
      <c r="X111" s="260" t="e">
        <f t="shared" si="96"/>
        <v>#DIV/0!</v>
      </c>
      <c r="Y111" s="340"/>
      <c r="Z111" s="260"/>
      <c r="AA111" s="261"/>
      <c r="AB111" s="262" t="e">
        <f t="shared" si="97"/>
        <v>#DIV/0!</v>
      </c>
      <c r="AC111" s="260" t="e">
        <f t="shared" si="98"/>
        <v>#DIV/0!</v>
      </c>
      <c r="AD111" s="340"/>
      <c r="AE111" s="261"/>
      <c r="AF111" s="261"/>
      <c r="AG111" s="262"/>
      <c r="AH111" s="260"/>
      <c r="AI111" s="340"/>
      <c r="AJ111" s="261"/>
      <c r="AK111" s="261"/>
      <c r="AL111" s="262"/>
      <c r="AM111" s="260"/>
      <c r="AN111" s="340"/>
      <c r="AO111" s="261"/>
      <c r="AP111" s="261"/>
      <c r="AQ111" s="262"/>
      <c r="AR111" s="260"/>
      <c r="AS111" s="340"/>
      <c r="AT111" s="261"/>
      <c r="AU111" s="261"/>
      <c r="AV111" s="262"/>
      <c r="AW111" s="260"/>
      <c r="AX111" s="340"/>
    </row>
    <row r="112" spans="2:50">
      <c r="B112" s="341"/>
      <c r="C112" s="260">
        <v>6</v>
      </c>
      <c r="D112" s="260"/>
      <c r="E112" s="261"/>
      <c r="F112" s="261"/>
      <c r="G112" s="262"/>
      <c r="H112" s="343"/>
      <c r="I112" s="261"/>
      <c r="J112" s="261"/>
      <c r="K112" s="262"/>
      <c r="L112" s="343"/>
      <c r="M112" s="263" t="e">
        <f>RANK(K112, K$7:$K$21)</f>
        <v>#DIV/0!</v>
      </c>
      <c r="N112" s="345"/>
      <c r="O112" s="345"/>
      <c r="P112" s="261"/>
      <c r="Q112" s="261"/>
      <c r="R112" s="262" t="e">
        <f t="shared" si="93"/>
        <v>#DIV/0!</v>
      </c>
      <c r="S112" s="260" t="e">
        <f t="shared" si="94"/>
        <v>#DIV/0!</v>
      </c>
      <c r="T112" s="340"/>
      <c r="U112" s="261"/>
      <c r="V112" s="261"/>
      <c r="W112" s="262" t="e">
        <f t="shared" si="95"/>
        <v>#DIV/0!</v>
      </c>
      <c r="X112" s="260" t="e">
        <f t="shared" si="96"/>
        <v>#DIV/0!</v>
      </c>
      <c r="Y112" s="340"/>
      <c r="Z112" s="260"/>
      <c r="AA112" s="261"/>
      <c r="AB112" s="262" t="e">
        <f t="shared" si="97"/>
        <v>#DIV/0!</v>
      </c>
      <c r="AC112" s="260" t="e">
        <f t="shared" si="98"/>
        <v>#DIV/0!</v>
      </c>
      <c r="AD112" s="340"/>
      <c r="AE112" s="261"/>
      <c r="AF112" s="261"/>
      <c r="AG112" s="262"/>
      <c r="AH112" s="260"/>
      <c r="AI112" s="340"/>
      <c r="AJ112" s="261"/>
      <c r="AK112" s="261"/>
      <c r="AL112" s="262"/>
      <c r="AM112" s="260"/>
      <c r="AN112" s="340"/>
      <c r="AO112" s="261"/>
      <c r="AP112" s="261"/>
      <c r="AQ112" s="262"/>
      <c r="AR112" s="260"/>
      <c r="AS112" s="340"/>
      <c r="AT112" s="261"/>
      <c r="AU112" s="261"/>
      <c r="AV112" s="262"/>
      <c r="AW112" s="260"/>
      <c r="AX112" s="340"/>
    </row>
    <row r="113" spans="2:50">
      <c r="B113" s="341"/>
      <c r="C113" s="260">
        <v>7</v>
      </c>
      <c r="D113" s="260"/>
      <c r="E113" s="261"/>
      <c r="F113" s="261"/>
      <c r="G113" s="262"/>
      <c r="H113" s="343"/>
      <c r="I113" s="261"/>
      <c r="J113" s="261"/>
      <c r="K113" s="262"/>
      <c r="L113" s="343"/>
      <c r="M113" s="263" t="e">
        <f>RANK(K113, K$7:$K$21)</f>
        <v>#DIV/0!</v>
      </c>
      <c r="N113" s="345"/>
      <c r="O113" s="345"/>
      <c r="P113" s="261"/>
      <c r="Q113" s="261"/>
      <c r="R113" s="262" t="e">
        <f t="shared" si="93"/>
        <v>#DIV/0!</v>
      </c>
      <c r="S113" s="260" t="e">
        <f t="shared" si="94"/>
        <v>#DIV/0!</v>
      </c>
      <c r="T113" s="340"/>
      <c r="U113" s="261"/>
      <c r="V113" s="261"/>
      <c r="W113" s="262" t="e">
        <f t="shared" si="95"/>
        <v>#DIV/0!</v>
      </c>
      <c r="X113" s="260" t="e">
        <f t="shared" si="96"/>
        <v>#DIV/0!</v>
      </c>
      <c r="Y113" s="340"/>
      <c r="Z113" s="260"/>
      <c r="AA113" s="261"/>
      <c r="AB113" s="262" t="e">
        <f t="shared" si="97"/>
        <v>#DIV/0!</v>
      </c>
      <c r="AC113" s="260" t="e">
        <f t="shared" si="98"/>
        <v>#DIV/0!</v>
      </c>
      <c r="AD113" s="340"/>
      <c r="AE113" s="261"/>
      <c r="AF113" s="261"/>
      <c r="AG113" s="262"/>
      <c r="AH113" s="260"/>
      <c r="AI113" s="340"/>
      <c r="AJ113" s="261"/>
      <c r="AK113" s="261"/>
      <c r="AL113" s="262"/>
      <c r="AM113" s="260"/>
      <c r="AN113" s="340"/>
      <c r="AO113" s="261"/>
      <c r="AP113" s="261"/>
      <c r="AQ113" s="262"/>
      <c r="AR113" s="260"/>
      <c r="AS113" s="340"/>
      <c r="AT113" s="261"/>
      <c r="AU113" s="261"/>
      <c r="AV113" s="262"/>
      <c r="AW113" s="260"/>
      <c r="AX113" s="340"/>
    </row>
    <row r="114" spans="2:50">
      <c r="B114" s="341"/>
      <c r="C114" s="260">
        <v>8</v>
      </c>
      <c r="D114" s="260"/>
      <c r="E114" s="261"/>
      <c r="F114" s="261"/>
      <c r="G114" s="262"/>
      <c r="H114" s="343"/>
      <c r="I114" s="261"/>
      <c r="J114" s="261"/>
      <c r="K114" s="262"/>
      <c r="L114" s="343"/>
      <c r="M114" s="263" t="e">
        <f>RANK(K114, K$7:$K$21)</f>
        <v>#DIV/0!</v>
      </c>
      <c r="N114" s="345"/>
      <c r="O114" s="345"/>
      <c r="P114" s="261"/>
      <c r="Q114" s="261"/>
      <c r="R114" s="262"/>
      <c r="S114" s="260"/>
      <c r="T114" s="340"/>
      <c r="U114" s="261"/>
      <c r="V114" s="261"/>
      <c r="W114" s="262"/>
      <c r="X114" s="260"/>
      <c r="Y114" s="340"/>
      <c r="Z114" s="260"/>
      <c r="AA114" s="261"/>
      <c r="AB114" s="262"/>
      <c r="AC114" s="260"/>
      <c r="AD114" s="340"/>
      <c r="AE114" s="261"/>
      <c r="AF114" s="261"/>
      <c r="AG114" s="262"/>
      <c r="AH114" s="260"/>
      <c r="AI114" s="340"/>
      <c r="AJ114" s="261"/>
      <c r="AK114" s="261"/>
      <c r="AL114" s="262"/>
      <c r="AM114" s="260"/>
      <c r="AN114" s="340"/>
      <c r="AO114" s="261"/>
      <c r="AP114" s="261"/>
      <c r="AQ114" s="262"/>
      <c r="AR114" s="260"/>
      <c r="AS114" s="340"/>
      <c r="AT114" s="261"/>
      <c r="AU114" s="261"/>
      <c r="AV114" s="262"/>
      <c r="AW114" s="260"/>
      <c r="AX114" s="340"/>
    </row>
    <row r="115" spans="2:50">
      <c r="B115" s="341"/>
      <c r="C115" s="260">
        <v>9</v>
      </c>
      <c r="D115" s="260"/>
      <c r="E115" s="261"/>
      <c r="F115" s="261"/>
      <c r="G115" s="262"/>
      <c r="H115" s="343"/>
      <c r="I115" s="261"/>
      <c r="J115" s="261"/>
      <c r="K115" s="262"/>
      <c r="L115" s="343"/>
      <c r="M115" s="263" t="e">
        <f>RANK(K115, K$7:$K$21)</f>
        <v>#DIV/0!</v>
      </c>
      <c r="N115" s="345"/>
      <c r="O115" s="345"/>
      <c r="P115" s="261"/>
      <c r="Q115" s="261"/>
      <c r="R115" s="262"/>
      <c r="S115" s="260"/>
      <c r="T115" s="340"/>
      <c r="U115" s="261"/>
      <c r="V115" s="261"/>
      <c r="W115" s="262"/>
      <c r="X115" s="260"/>
      <c r="Y115" s="340"/>
      <c r="Z115" s="260"/>
      <c r="AA115" s="261"/>
      <c r="AB115" s="262"/>
      <c r="AC115" s="260"/>
      <c r="AD115" s="340"/>
      <c r="AE115" s="261"/>
      <c r="AF115" s="261"/>
      <c r="AG115" s="262"/>
      <c r="AH115" s="260"/>
      <c r="AI115" s="340"/>
      <c r="AJ115" s="261"/>
      <c r="AK115" s="261"/>
      <c r="AL115" s="262"/>
      <c r="AM115" s="260"/>
      <c r="AN115" s="340"/>
      <c r="AO115" s="261"/>
      <c r="AP115" s="261"/>
      <c r="AQ115" s="262"/>
      <c r="AR115" s="260"/>
      <c r="AS115" s="340"/>
      <c r="AT115" s="261"/>
      <c r="AU115" s="261"/>
      <c r="AV115" s="262"/>
      <c r="AW115" s="260"/>
      <c r="AX115" s="340"/>
    </row>
    <row r="116" spans="2:50">
      <c r="B116" s="341"/>
      <c r="C116" s="260">
        <v>10</v>
      </c>
      <c r="D116" s="260"/>
      <c r="E116" s="261"/>
      <c r="F116" s="261"/>
      <c r="G116" s="262"/>
      <c r="H116" s="343"/>
      <c r="I116" s="261"/>
      <c r="J116" s="261"/>
      <c r="K116" s="262"/>
      <c r="L116" s="343"/>
      <c r="M116" s="263" t="e">
        <f>RANK(K116, K$7:$K$21)</f>
        <v>#DIV/0!</v>
      </c>
      <c r="N116" s="345"/>
      <c r="O116" s="345"/>
      <c r="P116" s="261"/>
      <c r="Q116" s="261"/>
      <c r="R116" s="262"/>
      <c r="S116" s="260"/>
      <c r="T116" s="340"/>
      <c r="U116" s="261"/>
      <c r="V116" s="261"/>
      <c r="W116" s="262"/>
      <c r="X116" s="260"/>
      <c r="Y116" s="340"/>
      <c r="Z116" s="260"/>
      <c r="AA116" s="261"/>
      <c r="AB116" s="262"/>
      <c r="AC116" s="260"/>
      <c r="AD116" s="340"/>
      <c r="AE116" s="261"/>
      <c r="AF116" s="261"/>
      <c r="AG116" s="262"/>
      <c r="AH116" s="260"/>
      <c r="AI116" s="340"/>
      <c r="AJ116" s="261"/>
      <c r="AK116" s="261"/>
      <c r="AL116" s="262"/>
      <c r="AM116" s="260"/>
      <c r="AN116" s="340"/>
      <c r="AO116" s="261"/>
      <c r="AP116" s="261"/>
      <c r="AQ116" s="262"/>
      <c r="AR116" s="260"/>
      <c r="AS116" s="340"/>
      <c r="AT116" s="261"/>
      <c r="AU116" s="261"/>
      <c r="AV116" s="262"/>
      <c r="AW116" s="260"/>
      <c r="AX116" s="340"/>
    </row>
    <row r="117" spans="2:50">
      <c r="B117" s="341"/>
      <c r="C117" s="260">
        <v>11</v>
      </c>
      <c r="D117" s="260"/>
      <c r="E117" s="261"/>
      <c r="F117" s="261"/>
      <c r="G117" s="262"/>
      <c r="H117" s="343"/>
      <c r="I117" s="261"/>
      <c r="J117" s="261"/>
      <c r="K117" s="262"/>
      <c r="L117" s="343"/>
      <c r="M117" s="263" t="e">
        <f>RANK(K117, K$7:$K$21)</f>
        <v>#DIV/0!</v>
      </c>
      <c r="N117" s="345"/>
      <c r="O117" s="345"/>
      <c r="P117" s="260"/>
      <c r="Q117" s="260"/>
      <c r="R117" s="262"/>
      <c r="S117" s="260"/>
      <c r="T117" s="340"/>
      <c r="U117" s="260"/>
      <c r="V117" s="260"/>
      <c r="W117" s="262"/>
      <c r="X117" s="260"/>
      <c r="Y117" s="340"/>
      <c r="Z117" s="260"/>
      <c r="AA117" s="260"/>
      <c r="AB117" s="262"/>
      <c r="AC117" s="260"/>
      <c r="AD117" s="340"/>
      <c r="AE117" s="260"/>
      <c r="AF117" s="260"/>
      <c r="AG117" s="262"/>
      <c r="AH117" s="260"/>
      <c r="AI117" s="340"/>
      <c r="AJ117" s="260"/>
      <c r="AK117" s="260"/>
      <c r="AL117" s="260"/>
      <c r="AM117" s="260"/>
      <c r="AN117" s="340"/>
      <c r="AO117" s="260"/>
      <c r="AP117" s="260"/>
      <c r="AQ117" s="262"/>
      <c r="AR117" s="260"/>
      <c r="AS117" s="340"/>
      <c r="AT117" s="260"/>
      <c r="AU117" s="260"/>
      <c r="AV117" s="262"/>
      <c r="AW117" s="260"/>
      <c r="AX117" s="340"/>
    </row>
    <row r="118" spans="2:50">
      <c r="B118" s="341"/>
      <c r="C118" s="260">
        <v>12</v>
      </c>
      <c r="D118" s="260"/>
      <c r="E118" s="261"/>
      <c r="F118" s="261"/>
      <c r="G118" s="262"/>
      <c r="H118" s="343"/>
      <c r="I118" s="261"/>
      <c r="J118" s="261"/>
      <c r="K118" s="262"/>
      <c r="L118" s="343"/>
      <c r="M118" s="263" t="e">
        <f>RANK(K118, K$7:$K$21)</f>
        <v>#DIV/0!</v>
      </c>
      <c r="N118" s="345"/>
      <c r="O118" s="345"/>
      <c r="P118" s="260"/>
      <c r="Q118" s="260"/>
      <c r="R118" s="262"/>
      <c r="S118" s="260"/>
      <c r="T118" s="340"/>
      <c r="U118" s="260"/>
      <c r="V118" s="260"/>
      <c r="W118" s="262"/>
      <c r="X118" s="260"/>
      <c r="Y118" s="340"/>
      <c r="Z118" s="260"/>
      <c r="AA118" s="260"/>
      <c r="AB118" s="262"/>
      <c r="AC118" s="260"/>
      <c r="AD118" s="340"/>
      <c r="AE118" s="260"/>
      <c r="AF118" s="260"/>
      <c r="AG118" s="262"/>
      <c r="AH118" s="260"/>
      <c r="AI118" s="340"/>
      <c r="AJ118" s="260"/>
      <c r="AK118" s="260"/>
      <c r="AL118" s="260"/>
      <c r="AM118" s="260"/>
      <c r="AN118" s="340"/>
      <c r="AO118" s="260"/>
      <c r="AP118" s="260"/>
      <c r="AQ118" s="262"/>
      <c r="AR118" s="260"/>
      <c r="AS118" s="340"/>
      <c r="AT118" s="260"/>
      <c r="AU118" s="260"/>
      <c r="AV118" s="262"/>
      <c r="AW118" s="260"/>
      <c r="AX118" s="340"/>
    </row>
    <row r="119" spans="2:50">
      <c r="B119" s="341"/>
      <c r="C119" s="260">
        <v>13</v>
      </c>
      <c r="D119" s="260"/>
      <c r="E119" s="261"/>
      <c r="F119" s="261"/>
      <c r="G119" s="262"/>
      <c r="H119" s="343"/>
      <c r="I119" s="261"/>
      <c r="J119" s="261"/>
      <c r="K119" s="262"/>
      <c r="L119" s="343"/>
      <c r="M119" s="263" t="e">
        <f>RANK(K119, K$7:$K$21)</f>
        <v>#DIV/0!</v>
      </c>
      <c r="N119" s="345"/>
      <c r="O119" s="345"/>
      <c r="P119" s="260"/>
      <c r="Q119" s="260"/>
      <c r="R119" s="262"/>
      <c r="S119" s="260"/>
      <c r="T119" s="340"/>
      <c r="U119" s="260"/>
      <c r="V119" s="260"/>
      <c r="W119" s="262"/>
      <c r="X119" s="260"/>
      <c r="Y119" s="340"/>
      <c r="Z119" s="260"/>
      <c r="AA119" s="260"/>
      <c r="AB119" s="262"/>
      <c r="AC119" s="260"/>
      <c r="AD119" s="340"/>
      <c r="AE119" s="260"/>
      <c r="AF119" s="260"/>
      <c r="AG119" s="262"/>
      <c r="AH119" s="260"/>
      <c r="AI119" s="340"/>
      <c r="AJ119" s="260"/>
      <c r="AK119" s="260"/>
      <c r="AL119" s="260"/>
      <c r="AM119" s="260"/>
      <c r="AN119" s="340"/>
      <c r="AO119" s="260"/>
      <c r="AP119" s="260"/>
      <c r="AQ119" s="262"/>
      <c r="AR119" s="260"/>
      <c r="AS119" s="340"/>
      <c r="AT119" s="260"/>
      <c r="AU119" s="260"/>
      <c r="AV119" s="262"/>
      <c r="AW119" s="260"/>
      <c r="AX119" s="340"/>
    </row>
    <row r="120" spans="2:50">
      <c r="B120" s="341"/>
      <c r="C120" s="260">
        <v>14</v>
      </c>
      <c r="D120" s="260"/>
      <c r="E120" s="261"/>
      <c r="F120" s="261"/>
      <c r="G120" s="262"/>
      <c r="H120" s="343"/>
      <c r="I120" s="261"/>
      <c r="J120" s="261"/>
      <c r="K120" s="262"/>
      <c r="L120" s="343"/>
      <c r="M120" s="263" t="e">
        <f>RANK(K120, K$7:$K$21)</f>
        <v>#DIV/0!</v>
      </c>
      <c r="N120" s="345"/>
      <c r="O120" s="345"/>
      <c r="P120" s="260"/>
      <c r="Q120" s="260"/>
      <c r="R120" s="262"/>
      <c r="S120" s="260"/>
      <c r="T120" s="340"/>
      <c r="U120" s="260"/>
      <c r="V120" s="260"/>
      <c r="W120" s="262"/>
      <c r="X120" s="260"/>
      <c r="Y120" s="340"/>
      <c r="Z120" s="260"/>
      <c r="AA120" s="260"/>
      <c r="AB120" s="262"/>
      <c r="AC120" s="260"/>
      <c r="AD120" s="340"/>
      <c r="AE120" s="260"/>
      <c r="AF120" s="260"/>
      <c r="AG120" s="262"/>
      <c r="AH120" s="260"/>
      <c r="AI120" s="340"/>
      <c r="AJ120" s="260"/>
      <c r="AK120" s="260"/>
      <c r="AL120" s="260"/>
      <c r="AM120" s="260"/>
      <c r="AN120" s="340"/>
      <c r="AO120" s="260"/>
      <c r="AP120" s="260"/>
      <c r="AQ120" s="262"/>
      <c r="AR120" s="260"/>
      <c r="AS120" s="340"/>
      <c r="AT120" s="260"/>
      <c r="AU120" s="260"/>
      <c r="AV120" s="262"/>
      <c r="AW120" s="260"/>
      <c r="AX120" s="340"/>
    </row>
    <row r="121" spans="2:50">
      <c r="B121" s="341"/>
      <c r="C121" s="260">
        <v>15</v>
      </c>
      <c r="D121" s="260"/>
      <c r="E121" s="261"/>
      <c r="F121" s="261"/>
      <c r="G121" s="262"/>
      <c r="H121" s="344"/>
      <c r="I121" s="261"/>
      <c r="J121" s="261"/>
      <c r="K121" s="262"/>
      <c r="L121" s="344"/>
      <c r="M121" s="261" t="e">
        <f>RANK(K121, K$7:$K$21)</f>
        <v>#DIV/0!</v>
      </c>
      <c r="N121" s="345"/>
      <c r="O121" s="345"/>
      <c r="P121" s="260"/>
      <c r="Q121" s="260"/>
      <c r="R121" s="262"/>
      <c r="S121" s="260"/>
      <c r="T121" s="340"/>
      <c r="U121" s="260"/>
      <c r="V121" s="260"/>
      <c r="W121" s="262"/>
      <c r="X121" s="260"/>
      <c r="Y121" s="340"/>
      <c r="Z121" s="260"/>
      <c r="AA121" s="260"/>
      <c r="AB121" s="262"/>
      <c r="AC121" s="260"/>
      <c r="AD121" s="340"/>
      <c r="AE121" s="260"/>
      <c r="AF121" s="260"/>
      <c r="AG121" s="262"/>
      <c r="AH121" s="260"/>
      <c r="AI121" s="340"/>
      <c r="AJ121" s="260"/>
      <c r="AK121" s="260"/>
      <c r="AL121" s="260"/>
      <c r="AM121" s="260"/>
      <c r="AN121" s="340"/>
      <c r="AO121" s="260"/>
      <c r="AP121" s="260"/>
      <c r="AQ121" s="262"/>
      <c r="AR121" s="260"/>
      <c r="AS121" s="340"/>
      <c r="AT121" s="260"/>
      <c r="AU121" s="260"/>
      <c r="AV121" s="262"/>
      <c r="AW121" s="260"/>
      <c r="AX121" s="340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:C10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397" t="s">
        <v>125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</row>
    <row r="2" spans="1:13" s="186" customFormat="1" ht="15.75" customHeight="1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1:13" ht="15.75" customHeight="1">
      <c r="A3" s="398" t="s">
        <v>126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s="186" customFormat="1" ht="15.75" customHeight="1">
      <c r="A4" s="398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</row>
    <row r="5" spans="1:13" ht="15.75" customHeight="1">
      <c r="A5" s="187" t="s">
        <v>127</v>
      </c>
      <c r="B5" s="188">
        <v>75756497.129999995</v>
      </c>
    </row>
    <row r="6" spans="1:13" ht="15.75" customHeight="1">
      <c r="A6" s="399" t="s">
        <v>7</v>
      </c>
      <c r="B6" s="400" t="s">
        <v>128</v>
      </c>
      <c r="C6" s="400"/>
      <c r="D6" s="401"/>
      <c r="E6" s="399" t="s">
        <v>7</v>
      </c>
      <c r="F6" s="403">
        <v>1</v>
      </c>
      <c r="G6" s="403"/>
      <c r="H6" s="403">
        <v>2</v>
      </c>
      <c r="I6" s="403"/>
      <c r="J6" s="403">
        <v>3</v>
      </c>
      <c r="K6" s="403"/>
      <c r="L6" s="403">
        <v>4</v>
      </c>
      <c r="M6" s="403"/>
    </row>
    <row r="7" spans="1:13" ht="31.35" customHeight="1">
      <c r="A7" s="399"/>
      <c r="B7" s="400"/>
      <c r="C7" s="400"/>
      <c r="D7" s="402"/>
      <c r="E7" s="399"/>
      <c r="F7" s="405" t="s">
        <v>129</v>
      </c>
      <c r="G7" s="405"/>
      <c r="H7" s="405" t="s">
        <v>130</v>
      </c>
      <c r="I7" s="405"/>
      <c r="J7" s="405" t="s">
        <v>131</v>
      </c>
      <c r="K7" s="405"/>
      <c r="L7" s="405" t="s">
        <v>132</v>
      </c>
      <c r="M7" s="405"/>
    </row>
    <row r="8" spans="1:13" ht="15.75" customHeight="1">
      <c r="A8" s="399"/>
      <c r="B8" s="221" t="s">
        <v>133</v>
      </c>
      <c r="C8" s="221" t="s">
        <v>35</v>
      </c>
      <c r="D8" s="402"/>
      <c r="E8" s="399"/>
      <c r="F8" s="221" t="s">
        <v>133</v>
      </c>
      <c r="G8" s="221" t="s">
        <v>35</v>
      </c>
      <c r="H8" s="221" t="s">
        <v>133</v>
      </c>
      <c r="I8" s="221" t="s">
        <v>35</v>
      </c>
      <c r="J8" s="221" t="s">
        <v>133</v>
      </c>
      <c r="K8" s="221" t="s">
        <v>35</v>
      </c>
      <c r="L8" s="221" t="s">
        <v>133</v>
      </c>
      <c r="M8" s="221" t="s">
        <v>35</v>
      </c>
    </row>
    <row r="9" spans="1:13" ht="19.350000000000001" customHeight="1">
      <c r="A9" s="189" t="s">
        <v>134</v>
      </c>
      <c r="B9" s="190">
        <v>536966</v>
      </c>
      <c r="C9" s="191">
        <v>7.0880613938376531E-3</v>
      </c>
      <c r="D9" s="402"/>
      <c r="E9" s="189" t="s">
        <v>134</v>
      </c>
      <c r="F9" s="192"/>
      <c r="G9" s="193">
        <f>IFERROR(F9/$B$9,"")</f>
        <v>0</v>
      </c>
      <c r="H9" s="192">
        <v>82822.539999999994</v>
      </c>
      <c r="I9" s="193">
        <f>IFERROR(H9/$B$9,"")</f>
        <v>0.15424168383100606</v>
      </c>
      <c r="J9" s="192"/>
      <c r="K9" s="193">
        <f t="shared" ref="K9" si="0">IFERROR(J9/$B$9,"")</f>
        <v>0</v>
      </c>
      <c r="L9" s="192">
        <v>17861.189999999999</v>
      </c>
      <c r="M9" s="193">
        <f>IFERROR(L9/$B$9,"")</f>
        <v>3.326316750036315E-2</v>
      </c>
    </row>
    <row r="10" spans="1:13" ht="19.350000000000001" customHeight="1">
      <c r="A10" s="194" t="s">
        <v>135</v>
      </c>
      <c r="B10" s="195">
        <v>466654</v>
      </c>
      <c r="C10" s="191">
        <v>6.1599285647134386E-3</v>
      </c>
      <c r="D10" s="402"/>
      <c r="E10" s="194" t="s">
        <v>135</v>
      </c>
      <c r="F10" s="192"/>
      <c r="G10" s="193">
        <f>IFERROR(F10/$B$10,"")</f>
        <v>0</v>
      </c>
      <c r="H10" s="192"/>
      <c r="I10" s="193">
        <f>IFERROR(H10/$B$10,"")</f>
        <v>0</v>
      </c>
      <c r="J10" s="192">
        <v>1549.2</v>
      </c>
      <c r="K10" s="193">
        <f>IFERROR(J10/$B$10,"")</f>
        <v>3.3198043946907133E-3</v>
      </c>
      <c r="L10" s="192">
        <v>276203.40000000002</v>
      </c>
      <c r="M10" s="193">
        <f>IFERROR(L10/$B$10,"")</f>
        <v>0.59188049389912012</v>
      </c>
    </row>
    <row r="11" spans="1:13" ht="15.75" customHeight="1">
      <c r="D11" s="402"/>
      <c r="E11" s="399" t="s">
        <v>7</v>
      </c>
      <c r="F11" s="403">
        <v>5</v>
      </c>
      <c r="G11" s="403"/>
      <c r="H11" s="403">
        <v>6</v>
      </c>
      <c r="I11" s="403"/>
      <c r="J11" s="403">
        <v>7</v>
      </c>
      <c r="K11" s="403"/>
      <c r="L11" s="404">
        <v>8</v>
      </c>
      <c r="M11" s="404"/>
    </row>
    <row r="12" spans="1:13" ht="31.35" customHeight="1">
      <c r="D12" s="402"/>
      <c r="E12" s="399"/>
      <c r="F12" s="405" t="s">
        <v>136</v>
      </c>
      <c r="G12" s="405"/>
      <c r="H12" s="405" t="s">
        <v>137</v>
      </c>
      <c r="I12" s="405"/>
      <c r="J12" s="405" t="s">
        <v>138</v>
      </c>
      <c r="K12" s="405"/>
      <c r="L12" s="406" t="s">
        <v>139</v>
      </c>
      <c r="M12" s="406"/>
    </row>
    <row r="13" spans="1:13" ht="15.75" customHeight="1">
      <c r="D13" s="402"/>
      <c r="E13" s="399"/>
      <c r="F13" s="221" t="s">
        <v>133</v>
      </c>
      <c r="G13" s="221" t="s">
        <v>35</v>
      </c>
      <c r="H13" s="221" t="s">
        <v>133</v>
      </c>
      <c r="I13" s="221" t="s">
        <v>35</v>
      </c>
      <c r="J13" s="221" t="s">
        <v>133</v>
      </c>
      <c r="K13" s="221" t="s">
        <v>35</v>
      </c>
      <c r="L13" s="221" t="s">
        <v>133</v>
      </c>
      <c r="M13" s="221" t="s">
        <v>35</v>
      </c>
    </row>
    <row r="14" spans="1:13" ht="19.350000000000001" customHeight="1">
      <c r="D14" s="402"/>
      <c r="E14" s="189" t="s">
        <v>134</v>
      </c>
      <c r="F14" s="192">
        <v>924</v>
      </c>
      <c r="G14" s="193">
        <f>IFERROR(F14/$B$9,"")</f>
        <v>1.720779341708786E-3</v>
      </c>
      <c r="H14" s="192">
        <v>22236.959999999999</v>
      </c>
      <c r="I14" s="193">
        <f t="shared" ref="I14" si="1">IFERROR(H14/$B$9,"")</f>
        <v>4.1412230941996322E-2</v>
      </c>
      <c r="J14" s="192">
        <v>241284.63</v>
      </c>
      <c r="K14" s="193">
        <f t="shared" ref="K14" si="2">IFERROR(J14/$B$9,"")</f>
        <v>0.44934805928122079</v>
      </c>
      <c r="L14" s="192"/>
      <c r="M14" s="193">
        <f t="shared" ref="M14" si="3">IFERROR(L14/$B$9,"")</f>
        <v>0</v>
      </c>
    </row>
    <row r="15" spans="1:13" ht="19.350000000000001" customHeight="1">
      <c r="D15" s="402"/>
      <c r="E15" s="194" t="s">
        <v>135</v>
      </c>
      <c r="F15" s="192">
        <v>16809.3</v>
      </c>
      <c r="G15" s="193">
        <f>IFERROR(F15/$B$10,"")</f>
        <v>3.6020906281741934E-2</v>
      </c>
      <c r="H15" s="192">
        <v>55376.4</v>
      </c>
      <c r="I15" s="193">
        <f>IFERROR(H15/$B$10,"")</f>
        <v>0.11866693524538524</v>
      </c>
      <c r="J15" s="192">
        <v>2249.5</v>
      </c>
      <c r="K15" s="193">
        <f>IFERROR(J15/$B$10,"")</f>
        <v>4.8204879846738694E-3</v>
      </c>
      <c r="L15" s="192"/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T15" sqref="T15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292" t="s">
        <v>125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</row>
    <row r="2" spans="1:17" s="123" customFormat="1" ht="15.75" customHeight="1">
      <c r="A2" s="292"/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</row>
    <row r="3" spans="1:17" ht="15.75" customHeight="1">
      <c r="A3" s="409" t="s">
        <v>140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</row>
    <row r="4" spans="1:17" s="123" customFormat="1" ht="15.75" customHeight="1">
      <c r="A4" s="410"/>
      <c r="B4" s="410"/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</row>
    <row r="5" spans="1:17" ht="15.75" customHeight="1">
      <c r="A5" s="330" t="s">
        <v>141</v>
      </c>
      <c r="B5" s="413">
        <v>1</v>
      </c>
      <c r="C5" s="413"/>
      <c r="D5" s="413">
        <v>2</v>
      </c>
      <c r="E5" s="413"/>
      <c r="F5" s="413">
        <v>3</v>
      </c>
      <c r="G5" s="413"/>
      <c r="H5" s="411">
        <v>4</v>
      </c>
      <c r="I5" s="411"/>
      <c r="J5" s="411">
        <v>5</v>
      </c>
      <c r="K5" s="411"/>
      <c r="L5" s="411">
        <v>6</v>
      </c>
      <c r="M5" s="411"/>
      <c r="N5" s="411">
        <v>7</v>
      </c>
      <c r="O5" s="411"/>
      <c r="P5" s="411">
        <v>8</v>
      </c>
      <c r="Q5" s="411"/>
    </row>
    <row r="6" spans="1:17" ht="15.75" customHeight="1">
      <c r="A6" s="330"/>
      <c r="B6" s="414" t="s">
        <v>129</v>
      </c>
      <c r="C6" s="414"/>
      <c r="D6" s="414" t="s">
        <v>142</v>
      </c>
      <c r="E6" s="414"/>
      <c r="F6" s="414" t="s">
        <v>131</v>
      </c>
      <c r="G6" s="414"/>
      <c r="H6" s="330" t="s">
        <v>132</v>
      </c>
      <c r="I6" s="330"/>
      <c r="J6" s="330" t="s">
        <v>136</v>
      </c>
      <c r="K6" s="330"/>
      <c r="L6" s="330" t="s">
        <v>137</v>
      </c>
      <c r="M6" s="330"/>
      <c r="N6" s="330" t="s">
        <v>138</v>
      </c>
      <c r="O6" s="330"/>
      <c r="P6" s="412" t="s">
        <v>143</v>
      </c>
      <c r="Q6" s="330"/>
    </row>
    <row r="8" spans="1:17" s="128" customFormat="1" ht="15.75" customHeight="1">
      <c r="A8" s="411" t="s">
        <v>141</v>
      </c>
      <c r="B8" s="411"/>
      <c r="C8" s="154" t="s">
        <v>144</v>
      </c>
      <c r="D8" s="430" t="s">
        <v>145</v>
      </c>
      <c r="E8" s="431"/>
      <c r="F8" s="432"/>
      <c r="G8" s="155" t="s">
        <v>146</v>
      </c>
      <c r="H8" s="156"/>
      <c r="I8" s="154"/>
      <c r="J8" s="157" t="s">
        <v>147</v>
      </c>
      <c r="K8" s="157" t="s">
        <v>23</v>
      </c>
      <c r="L8" s="157" t="s">
        <v>148</v>
      </c>
      <c r="M8" s="157" t="s">
        <v>133</v>
      </c>
      <c r="N8" s="157" t="s">
        <v>149</v>
      </c>
      <c r="O8" s="424" t="s">
        <v>150</v>
      </c>
      <c r="P8" s="425"/>
    </row>
    <row r="9" spans="1:17" ht="15.75" customHeight="1">
      <c r="A9" s="411">
        <v>1</v>
      </c>
      <c r="B9" s="429" t="s">
        <v>151</v>
      </c>
      <c r="C9" s="158">
        <v>1</v>
      </c>
      <c r="D9" s="421"/>
      <c r="E9" s="422"/>
      <c r="F9" s="423"/>
      <c r="G9" s="421"/>
      <c r="H9" s="422"/>
      <c r="I9" s="423"/>
      <c r="J9" s="159"/>
      <c r="K9" s="160"/>
      <c r="L9" s="159"/>
      <c r="M9" s="238">
        <f t="shared" ref="M9:M11" si="0">L9*J9</f>
        <v>0</v>
      </c>
      <c r="N9" s="159"/>
      <c r="O9" s="426"/>
      <c r="P9" s="427"/>
    </row>
    <row r="10" spans="1:17" ht="15.75" customHeight="1">
      <c r="A10" s="411"/>
      <c r="B10" s="429"/>
      <c r="C10" s="158">
        <v>2</v>
      </c>
      <c r="D10" s="421"/>
      <c r="E10" s="422"/>
      <c r="F10" s="423"/>
      <c r="G10" s="421"/>
      <c r="H10" s="422"/>
      <c r="I10" s="423"/>
      <c r="J10" s="159"/>
      <c r="K10" s="160"/>
      <c r="L10" s="159"/>
      <c r="M10" s="238">
        <f t="shared" si="0"/>
        <v>0</v>
      </c>
      <c r="N10" s="159"/>
      <c r="O10" s="426"/>
      <c r="P10" s="427"/>
    </row>
    <row r="11" spans="1:17" ht="15.75" customHeight="1">
      <c r="A11" s="411"/>
      <c r="B11" s="429"/>
      <c r="C11" s="158">
        <v>3</v>
      </c>
      <c r="D11" s="426"/>
      <c r="E11" s="422"/>
      <c r="F11" s="423"/>
      <c r="G11" s="421"/>
      <c r="H11" s="422"/>
      <c r="I11" s="423"/>
      <c r="J11" s="159"/>
      <c r="K11" s="160"/>
      <c r="L11" s="159"/>
      <c r="M11" s="238">
        <f t="shared" si="0"/>
        <v>0</v>
      </c>
      <c r="N11" s="159"/>
      <c r="O11" s="426"/>
      <c r="P11" s="427"/>
    </row>
    <row r="12" spans="1:17" ht="15.75" customHeight="1">
      <c r="A12" s="411"/>
      <c r="B12" s="429"/>
      <c r="C12" s="158">
        <v>4</v>
      </c>
      <c r="D12" s="421"/>
      <c r="E12" s="422"/>
      <c r="F12" s="423"/>
      <c r="G12" s="421"/>
      <c r="H12" s="422"/>
      <c r="I12" s="423"/>
      <c r="J12" s="159"/>
      <c r="K12" s="160"/>
      <c r="L12" s="159"/>
      <c r="M12" s="238">
        <f t="shared" ref="M12:M13" si="1">L12*J12</f>
        <v>0</v>
      </c>
      <c r="N12" s="159"/>
      <c r="O12" s="162"/>
      <c r="P12" s="163"/>
    </row>
    <row r="13" spans="1:17" ht="15.75" customHeight="1" thickBot="1">
      <c r="A13" s="411"/>
      <c r="B13" s="429"/>
      <c r="C13" s="164">
        <v>5</v>
      </c>
      <c r="D13" s="418"/>
      <c r="E13" s="419"/>
      <c r="F13" s="420"/>
      <c r="G13" s="418"/>
      <c r="H13" s="419"/>
      <c r="I13" s="420"/>
      <c r="J13" s="165"/>
      <c r="K13" s="166"/>
      <c r="L13" s="165"/>
      <c r="M13" s="239">
        <f t="shared" si="1"/>
        <v>0</v>
      </c>
      <c r="N13" s="159"/>
      <c r="O13" s="168"/>
      <c r="P13" s="169"/>
    </row>
    <row r="14" spans="1:17" ht="15.75" customHeight="1" thickTop="1" thickBot="1">
      <c r="A14" s="411"/>
      <c r="B14" s="429"/>
      <c r="C14" s="433"/>
      <c r="D14" s="433"/>
      <c r="E14" s="433"/>
      <c r="F14" s="433"/>
      <c r="G14" s="433"/>
      <c r="H14" s="433"/>
      <c r="I14" s="434"/>
      <c r="J14" s="170" t="s">
        <v>152</v>
      </c>
      <c r="K14" s="171" t="e">
        <f>M14/#REF!</f>
        <v>#REF!</v>
      </c>
      <c r="L14" s="170" t="s">
        <v>153</v>
      </c>
      <c r="M14" s="172">
        <f>SUM(M9:M13)</f>
        <v>0</v>
      </c>
      <c r="N14" s="415"/>
      <c r="O14" s="416"/>
      <c r="P14" s="417"/>
    </row>
    <row r="15" spans="1:17" ht="15.75" customHeight="1" thickTop="1"/>
    <row r="16" spans="1:17" ht="15.75" customHeight="1">
      <c r="A16" s="411" t="s">
        <v>141</v>
      </c>
      <c r="B16" s="411"/>
      <c r="C16" s="154" t="s">
        <v>144</v>
      </c>
      <c r="D16" s="430" t="s">
        <v>145</v>
      </c>
      <c r="E16" s="431"/>
      <c r="F16" s="432"/>
      <c r="G16" s="155" t="s">
        <v>146</v>
      </c>
      <c r="H16" s="156"/>
      <c r="I16" s="154"/>
      <c r="J16" s="157" t="s">
        <v>147</v>
      </c>
      <c r="K16" s="157" t="s">
        <v>23</v>
      </c>
      <c r="L16" s="157" t="s">
        <v>148</v>
      </c>
      <c r="M16" s="157" t="s">
        <v>133</v>
      </c>
      <c r="N16" s="157" t="s">
        <v>149</v>
      </c>
      <c r="O16" s="424" t="s">
        <v>150</v>
      </c>
      <c r="P16" s="425"/>
    </row>
    <row r="17" spans="1:16" ht="15.75" customHeight="1">
      <c r="A17" s="411">
        <v>2</v>
      </c>
      <c r="B17" s="429" t="s">
        <v>154</v>
      </c>
      <c r="C17" s="158">
        <v>1</v>
      </c>
      <c r="D17" s="426" t="s">
        <v>155</v>
      </c>
      <c r="E17" s="422"/>
      <c r="F17" s="423"/>
      <c r="G17" s="421" t="s">
        <v>156</v>
      </c>
      <c r="H17" s="422"/>
      <c r="I17" s="423"/>
      <c r="J17" s="159">
        <v>536.89</v>
      </c>
      <c r="K17" s="160">
        <v>3.56E-2</v>
      </c>
      <c r="L17" s="159">
        <v>3.77</v>
      </c>
      <c r="M17" s="238">
        <f t="shared" ref="M17:M21" si="2">L17*J17</f>
        <v>2024.0753</v>
      </c>
      <c r="N17" s="280">
        <v>2.4940000000000002</v>
      </c>
      <c r="O17" s="407"/>
      <c r="P17" s="408"/>
    </row>
    <row r="18" spans="1:16" ht="15.75" customHeight="1">
      <c r="A18" s="411"/>
      <c r="B18" s="429"/>
      <c r="C18" s="158">
        <v>2</v>
      </c>
      <c r="D18" s="426" t="s">
        <v>155</v>
      </c>
      <c r="E18" s="422"/>
      <c r="F18" s="423"/>
      <c r="G18" s="426" t="s">
        <v>157</v>
      </c>
      <c r="H18" s="422"/>
      <c r="I18" s="423"/>
      <c r="J18" s="159">
        <v>420.41</v>
      </c>
      <c r="K18" s="160">
        <v>1.46E-2</v>
      </c>
      <c r="L18" s="159">
        <v>2.1</v>
      </c>
      <c r="M18" s="238">
        <f t="shared" si="2"/>
        <v>882.8610000000001</v>
      </c>
      <c r="N18" s="280">
        <v>1.573</v>
      </c>
      <c r="O18" s="407"/>
      <c r="P18" s="408"/>
    </row>
    <row r="19" spans="1:16" ht="15.75" customHeight="1">
      <c r="A19" s="411"/>
      <c r="B19" s="429"/>
      <c r="C19" s="158">
        <v>3</v>
      </c>
      <c r="D19" s="428" t="s">
        <v>158</v>
      </c>
      <c r="E19" s="422"/>
      <c r="F19" s="423"/>
      <c r="G19" s="421" t="s">
        <v>159</v>
      </c>
      <c r="H19" s="422"/>
      <c r="I19" s="423"/>
      <c r="J19" s="159">
        <v>58.22</v>
      </c>
      <c r="K19" s="160">
        <v>1.2E-2</v>
      </c>
      <c r="L19" s="159">
        <v>14.03</v>
      </c>
      <c r="M19" s="238">
        <f t="shared" si="2"/>
        <v>816.82659999999998</v>
      </c>
      <c r="N19" s="280">
        <v>1.02</v>
      </c>
      <c r="O19" s="407"/>
      <c r="P19" s="408"/>
    </row>
    <row r="20" spans="1:16" ht="15.75" customHeight="1">
      <c r="A20" s="411"/>
      <c r="B20" s="429"/>
      <c r="C20" s="158">
        <v>4</v>
      </c>
      <c r="D20" s="428" t="s">
        <v>106</v>
      </c>
      <c r="E20" s="422"/>
      <c r="F20" s="423"/>
      <c r="G20" s="421" t="s">
        <v>160</v>
      </c>
      <c r="H20" s="422"/>
      <c r="I20" s="423"/>
      <c r="J20" s="159">
        <v>575.72</v>
      </c>
      <c r="K20" s="160">
        <v>2.92E-2</v>
      </c>
      <c r="L20" s="159">
        <v>1.1000000000000001</v>
      </c>
      <c r="M20" s="238">
        <f t="shared" si="2"/>
        <v>633.29200000000003</v>
      </c>
      <c r="N20" s="280">
        <v>0.55400000000000005</v>
      </c>
      <c r="O20" s="407"/>
      <c r="P20" s="408"/>
    </row>
    <row r="21" spans="1:16" ht="15.75" customHeight="1" thickBot="1">
      <c r="A21" s="411"/>
      <c r="B21" s="429"/>
      <c r="C21" s="164">
        <v>5</v>
      </c>
      <c r="D21" s="421" t="s">
        <v>161</v>
      </c>
      <c r="E21" s="422"/>
      <c r="F21" s="423"/>
      <c r="G21" s="421" t="s">
        <v>162</v>
      </c>
      <c r="H21" s="422"/>
      <c r="I21" s="423"/>
      <c r="J21" s="159">
        <v>47.89</v>
      </c>
      <c r="K21" s="160">
        <v>1.55E-2</v>
      </c>
      <c r="L21" s="159">
        <v>13.24</v>
      </c>
      <c r="M21" s="238">
        <f t="shared" si="2"/>
        <v>634.06360000000006</v>
      </c>
      <c r="N21" s="280">
        <v>0.64200000000000002</v>
      </c>
      <c r="O21" s="407"/>
      <c r="P21" s="408"/>
    </row>
    <row r="22" spans="1:16" ht="15.75" customHeight="1" thickTop="1" thickBot="1">
      <c r="A22" s="411"/>
      <c r="B22" s="429"/>
      <c r="C22" s="433"/>
      <c r="D22" s="433"/>
      <c r="E22" s="433"/>
      <c r="F22" s="433"/>
      <c r="G22" s="433"/>
      <c r="H22" s="433"/>
      <c r="I22" s="434"/>
      <c r="J22" s="170" t="s">
        <v>152</v>
      </c>
      <c r="K22" s="171" t="e">
        <f>M22/#REF!</f>
        <v>#REF!</v>
      </c>
      <c r="L22" s="170" t="s">
        <v>153</v>
      </c>
      <c r="M22" s="279">
        <f>SUM(M17:M21)</f>
        <v>4991.1185000000005</v>
      </c>
      <c r="N22" s="415"/>
      <c r="O22" s="416"/>
      <c r="P22" s="417"/>
    </row>
    <row r="23" spans="1:16" ht="15.75" customHeight="1" thickTop="1"/>
    <row r="24" spans="1:16" ht="15.75" customHeight="1">
      <c r="A24" s="411" t="s">
        <v>141</v>
      </c>
      <c r="B24" s="411"/>
      <c r="C24" s="154" t="s">
        <v>144</v>
      </c>
      <c r="D24" s="430" t="s">
        <v>145</v>
      </c>
      <c r="E24" s="431"/>
      <c r="F24" s="432"/>
      <c r="G24" s="155" t="s">
        <v>146</v>
      </c>
      <c r="H24" s="156"/>
      <c r="I24" s="154"/>
      <c r="J24" s="157" t="s">
        <v>147</v>
      </c>
      <c r="K24" s="157" t="s">
        <v>23</v>
      </c>
      <c r="L24" s="157" t="s">
        <v>148</v>
      </c>
      <c r="M24" s="157" t="s">
        <v>133</v>
      </c>
      <c r="N24" s="157" t="s">
        <v>163</v>
      </c>
      <c r="O24" s="424" t="s">
        <v>150</v>
      </c>
      <c r="P24" s="425"/>
    </row>
    <row r="25" spans="1:16" ht="15.75" customHeight="1">
      <c r="A25" s="411">
        <v>3</v>
      </c>
      <c r="B25" s="429" t="s">
        <v>164</v>
      </c>
      <c r="C25" s="158">
        <v>1</v>
      </c>
      <c r="D25" s="421"/>
      <c r="E25" s="422"/>
      <c r="F25" s="423"/>
      <c r="G25" s="421"/>
      <c r="H25" s="422"/>
      <c r="I25" s="423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411"/>
      <c r="B26" s="429"/>
      <c r="C26" s="158">
        <v>2</v>
      </c>
      <c r="D26" s="421"/>
      <c r="E26" s="422"/>
      <c r="F26" s="423"/>
      <c r="G26" s="421"/>
      <c r="H26" s="422"/>
      <c r="I26" s="423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411"/>
      <c r="B27" s="429"/>
      <c r="C27" s="158">
        <v>3</v>
      </c>
      <c r="D27" s="421"/>
      <c r="E27" s="422"/>
      <c r="F27" s="423"/>
      <c r="G27" s="421"/>
      <c r="H27" s="422"/>
      <c r="I27" s="423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411"/>
      <c r="B28" s="429"/>
      <c r="C28" s="158">
        <v>4</v>
      </c>
      <c r="D28" s="421"/>
      <c r="E28" s="422"/>
      <c r="F28" s="423"/>
      <c r="G28" s="421"/>
      <c r="H28" s="422"/>
      <c r="I28" s="423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 thickBot="1">
      <c r="A29" s="411"/>
      <c r="B29" s="429"/>
      <c r="C29" s="164">
        <v>5</v>
      </c>
      <c r="D29" s="418"/>
      <c r="E29" s="419"/>
      <c r="F29" s="420"/>
      <c r="G29" s="418"/>
      <c r="H29" s="419"/>
      <c r="I29" s="420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 thickTop="1" thickBot="1">
      <c r="A30" s="411"/>
      <c r="B30" s="429"/>
      <c r="C30" s="433"/>
      <c r="D30" s="433"/>
      <c r="E30" s="433"/>
      <c r="F30" s="433"/>
      <c r="G30" s="433"/>
      <c r="H30" s="433"/>
      <c r="I30" s="434"/>
      <c r="J30" s="170" t="s">
        <v>152</v>
      </c>
      <c r="K30" s="171" t="e">
        <f>M30/#REF!</f>
        <v>#REF!</v>
      </c>
      <c r="L30" s="170" t="s">
        <v>153</v>
      </c>
      <c r="M30" s="172">
        <f>SUM(M25:M29)</f>
        <v>0</v>
      </c>
      <c r="N30" s="415"/>
      <c r="O30" s="416"/>
      <c r="P30" s="417"/>
    </row>
    <row r="31" spans="1:16" ht="15.75" customHeight="1" thickTop="1"/>
  </sheetData>
  <mergeCells count="78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9"/>
  <sheetViews>
    <sheetView view="pageBreakPreview" zoomScale="115" zoomScaleNormal="60" zoomScaleSheetLayoutView="115" workbookViewId="0">
      <selection activeCell="O19" sqref="O19:P19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292" t="s">
        <v>125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</row>
    <row r="2" spans="1:17" s="123" customFormat="1" ht="15.75" customHeight="1">
      <c r="A2" s="292"/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</row>
    <row r="3" spans="1:17" s="122" customFormat="1" ht="15.75" customHeight="1">
      <c r="A3" s="409" t="s">
        <v>140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</row>
    <row r="4" spans="1:17" s="123" customFormat="1" ht="15.75" customHeight="1">
      <c r="A4" s="410"/>
      <c r="B4" s="410"/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</row>
    <row r="5" spans="1:17" s="122" customFormat="1" ht="15.75" customHeight="1">
      <c r="A5" s="330" t="s">
        <v>141</v>
      </c>
      <c r="B5" s="411">
        <v>1</v>
      </c>
      <c r="C5" s="411"/>
      <c r="D5" s="411">
        <v>2</v>
      </c>
      <c r="E5" s="411"/>
      <c r="F5" s="411">
        <v>3</v>
      </c>
      <c r="G5" s="411"/>
      <c r="H5" s="413">
        <v>4</v>
      </c>
      <c r="I5" s="413"/>
      <c r="J5" s="413">
        <v>5</v>
      </c>
      <c r="K5" s="413"/>
      <c r="L5" s="413">
        <v>6</v>
      </c>
      <c r="M5" s="413"/>
      <c r="N5" s="413">
        <v>7</v>
      </c>
      <c r="O5" s="413"/>
      <c r="P5" s="411">
        <v>8</v>
      </c>
      <c r="Q5" s="411"/>
    </row>
    <row r="6" spans="1:17" s="122" customFormat="1" ht="15.75" customHeight="1">
      <c r="A6" s="330"/>
      <c r="B6" s="330" t="s">
        <v>129</v>
      </c>
      <c r="C6" s="330"/>
      <c r="D6" s="330" t="s">
        <v>142</v>
      </c>
      <c r="E6" s="330"/>
      <c r="F6" s="330" t="s">
        <v>131</v>
      </c>
      <c r="G6" s="330"/>
      <c r="H6" s="414" t="s">
        <v>132</v>
      </c>
      <c r="I6" s="414"/>
      <c r="J6" s="414" t="s">
        <v>136</v>
      </c>
      <c r="K6" s="414"/>
      <c r="L6" s="414" t="s">
        <v>137</v>
      </c>
      <c r="M6" s="414"/>
      <c r="N6" s="414" t="s">
        <v>138</v>
      </c>
      <c r="O6" s="414"/>
      <c r="P6" s="412" t="s">
        <v>143</v>
      </c>
      <c r="Q6" s="330"/>
    </row>
    <row r="7" spans="1:17" s="122" customFormat="1" ht="15.75" customHeight="1">
      <c r="B7" s="173"/>
      <c r="C7" s="152"/>
    </row>
    <row r="8" spans="1:17" s="112" customFormat="1" ht="15.75" customHeight="1">
      <c r="A8" s="435" t="s">
        <v>141</v>
      </c>
      <c r="B8" s="436"/>
      <c r="C8" s="119" t="s">
        <v>144</v>
      </c>
      <c r="D8" s="437" t="s">
        <v>145</v>
      </c>
      <c r="E8" s="438"/>
      <c r="F8" s="439"/>
      <c r="G8" s="117" t="s">
        <v>146</v>
      </c>
      <c r="H8" s="118"/>
      <c r="I8" s="119"/>
      <c r="J8" s="116" t="s">
        <v>147</v>
      </c>
      <c r="K8" s="116" t="s">
        <v>23</v>
      </c>
      <c r="L8" s="116" t="s">
        <v>148</v>
      </c>
      <c r="M8" s="120" t="s">
        <v>133</v>
      </c>
      <c r="N8" s="120" t="s">
        <v>149</v>
      </c>
      <c r="O8" s="440" t="s">
        <v>150</v>
      </c>
      <c r="P8" s="441"/>
    </row>
    <row r="9" spans="1:17" ht="15.75" customHeight="1">
      <c r="A9" s="436">
        <v>4</v>
      </c>
      <c r="B9" s="442" t="s">
        <v>165</v>
      </c>
      <c r="C9" s="114">
        <v>1</v>
      </c>
      <c r="D9" s="443" t="s">
        <v>166</v>
      </c>
      <c r="E9" s="444"/>
      <c r="F9" s="445"/>
      <c r="G9" s="426" t="s">
        <v>167</v>
      </c>
      <c r="H9" s="446"/>
      <c r="I9" s="447"/>
      <c r="J9" s="4">
        <v>41</v>
      </c>
      <c r="K9" s="14">
        <v>4.58E-2</v>
      </c>
      <c r="L9" s="4">
        <v>17.100000000000001</v>
      </c>
      <c r="M9" s="240">
        <f t="shared" ref="M9:M13" si="0">L9*J9</f>
        <v>701.1</v>
      </c>
      <c r="N9" s="278"/>
      <c r="O9" s="453" t="s">
        <v>168</v>
      </c>
      <c r="P9" s="454"/>
    </row>
    <row r="10" spans="1:17" ht="15.75" customHeight="1">
      <c r="A10" s="436"/>
      <c r="B10" s="442"/>
      <c r="C10" s="114">
        <v>2</v>
      </c>
      <c r="D10" s="448" t="s">
        <v>161</v>
      </c>
      <c r="E10" s="446"/>
      <c r="F10" s="447"/>
      <c r="G10" s="449" t="s">
        <v>169</v>
      </c>
      <c r="H10" s="446"/>
      <c r="I10" s="447"/>
      <c r="J10" s="4">
        <v>140.62</v>
      </c>
      <c r="K10" s="14">
        <v>1.8200000000000001E-2</v>
      </c>
      <c r="L10" s="4">
        <v>4.8099999999999996</v>
      </c>
      <c r="M10" s="240">
        <f t="shared" si="0"/>
        <v>676.38220000000001</v>
      </c>
      <c r="N10" s="278"/>
      <c r="O10" s="453" t="s">
        <v>168</v>
      </c>
      <c r="P10" s="454"/>
    </row>
    <row r="11" spans="1:17" ht="15.75" customHeight="1">
      <c r="A11" s="436"/>
      <c r="B11" s="442"/>
      <c r="C11" s="114">
        <v>3</v>
      </c>
      <c r="D11" s="448" t="s">
        <v>161</v>
      </c>
      <c r="E11" s="446"/>
      <c r="F11" s="447"/>
      <c r="G11" s="449" t="s">
        <v>170</v>
      </c>
      <c r="H11" s="446"/>
      <c r="I11" s="447"/>
      <c r="J11" s="4">
        <v>575.72</v>
      </c>
      <c r="K11" s="14">
        <v>6.7000000000000002E-3</v>
      </c>
      <c r="L11" s="4">
        <v>0.91</v>
      </c>
      <c r="M11" s="240">
        <f t="shared" si="0"/>
        <v>523.90520000000004</v>
      </c>
      <c r="N11" s="278">
        <v>0.92300000000000004</v>
      </c>
      <c r="O11" s="453" t="s">
        <v>168</v>
      </c>
      <c r="P11" s="454"/>
    </row>
    <row r="12" spans="1:17" ht="15.75" customHeight="1">
      <c r="A12" s="436"/>
      <c r="B12" s="442"/>
      <c r="C12" s="114">
        <v>4</v>
      </c>
      <c r="D12" s="448" t="s">
        <v>161</v>
      </c>
      <c r="E12" s="446"/>
      <c r="F12" s="447"/>
      <c r="G12" s="426" t="s">
        <v>171</v>
      </c>
      <c r="H12" s="446"/>
      <c r="I12" s="447"/>
      <c r="J12" s="4">
        <v>136.88999999999999</v>
      </c>
      <c r="K12" s="14">
        <v>4.2900000000000001E-2</v>
      </c>
      <c r="L12" s="4">
        <v>1.61</v>
      </c>
      <c r="M12" s="240">
        <f t="shared" si="0"/>
        <v>220.3929</v>
      </c>
      <c r="N12" s="278"/>
      <c r="O12" s="453" t="s">
        <v>168</v>
      </c>
      <c r="P12" s="454"/>
    </row>
    <row r="13" spans="1:17" ht="15.75" customHeight="1" thickBot="1">
      <c r="A13" s="436"/>
      <c r="B13" s="442"/>
      <c r="C13" s="115">
        <v>5</v>
      </c>
      <c r="D13" s="443"/>
      <c r="E13" s="444"/>
      <c r="F13" s="445"/>
      <c r="G13" s="443"/>
      <c r="H13" s="444"/>
      <c r="I13" s="445"/>
      <c r="J13" s="27"/>
      <c r="K13" s="30"/>
      <c r="L13" s="27"/>
      <c r="M13" s="241">
        <f t="shared" si="0"/>
        <v>0</v>
      </c>
      <c r="N13" s="278"/>
      <c r="O13" s="453"/>
      <c r="P13" s="454"/>
    </row>
    <row r="14" spans="1:17" ht="15.75" customHeight="1" thickTop="1" thickBot="1">
      <c r="A14" s="436"/>
      <c r="B14" s="442"/>
      <c r="C14" s="459"/>
      <c r="D14" s="459"/>
      <c r="E14" s="459"/>
      <c r="F14" s="459"/>
      <c r="G14" s="459"/>
      <c r="H14" s="459"/>
      <c r="I14" s="460"/>
      <c r="J14" s="121" t="s">
        <v>152</v>
      </c>
      <c r="K14" s="171" t="e">
        <f>M14/#REF!</f>
        <v>#REF!</v>
      </c>
      <c r="L14" s="121" t="s">
        <v>153</v>
      </c>
      <c r="M14" s="34">
        <v>0</v>
      </c>
      <c r="N14" s="450"/>
      <c r="O14" s="451"/>
      <c r="P14" s="452"/>
    </row>
    <row r="15" spans="1:17" ht="15.75" customHeight="1" thickTop="1"/>
    <row r="16" spans="1:17" ht="15.75" customHeight="1">
      <c r="A16" s="435" t="s">
        <v>141</v>
      </c>
      <c r="B16" s="436"/>
      <c r="C16" s="119" t="s">
        <v>144</v>
      </c>
      <c r="D16" s="437" t="s">
        <v>145</v>
      </c>
      <c r="E16" s="438"/>
      <c r="F16" s="439"/>
      <c r="G16" s="117" t="s">
        <v>146</v>
      </c>
      <c r="H16" s="118"/>
      <c r="I16" s="119"/>
      <c r="J16" s="116" t="s">
        <v>147</v>
      </c>
      <c r="K16" s="116" t="s">
        <v>23</v>
      </c>
      <c r="L16" s="116" t="s">
        <v>148</v>
      </c>
      <c r="M16" s="120" t="s">
        <v>133</v>
      </c>
      <c r="N16" s="120" t="s">
        <v>149</v>
      </c>
      <c r="O16" s="440" t="s">
        <v>150</v>
      </c>
      <c r="P16" s="441"/>
    </row>
    <row r="17" spans="1:16" ht="15.75" customHeight="1">
      <c r="A17" s="436">
        <v>5</v>
      </c>
      <c r="B17" s="455" t="s">
        <v>172</v>
      </c>
      <c r="C17" s="114">
        <v>1</v>
      </c>
      <c r="D17" s="428" t="s">
        <v>173</v>
      </c>
      <c r="E17" s="446"/>
      <c r="F17" s="447"/>
      <c r="G17" s="456" t="s">
        <v>174</v>
      </c>
      <c r="H17" s="446"/>
      <c r="I17" s="447"/>
      <c r="J17" s="4">
        <v>5.3</v>
      </c>
      <c r="K17" s="14">
        <v>8.0000000000000002E-3</v>
      </c>
      <c r="L17" s="4">
        <v>58</v>
      </c>
      <c r="M17" s="240">
        <f>L17*J17</f>
        <v>307.39999999999998</v>
      </c>
      <c r="N17" s="4"/>
      <c r="O17" s="453"/>
      <c r="P17" s="454"/>
    </row>
    <row r="18" spans="1:16" ht="15.75" customHeight="1">
      <c r="A18" s="436"/>
      <c r="B18" s="442"/>
      <c r="C18" s="114">
        <v>2</v>
      </c>
      <c r="D18" s="428" t="s">
        <v>175</v>
      </c>
      <c r="E18" s="446"/>
      <c r="F18" s="447"/>
      <c r="G18" s="456" t="s">
        <v>176</v>
      </c>
      <c r="H18" s="446"/>
      <c r="I18" s="447"/>
      <c r="J18" s="4">
        <v>2.8</v>
      </c>
      <c r="K18" s="14">
        <v>5.0000000000000001E-3</v>
      </c>
      <c r="L18" s="4">
        <v>90</v>
      </c>
      <c r="M18" s="240">
        <f t="shared" ref="M18:M21" si="1">L18*J18</f>
        <v>251.99999999999997</v>
      </c>
      <c r="N18" s="4"/>
      <c r="O18" s="453"/>
      <c r="P18" s="454"/>
    </row>
    <row r="19" spans="1:16" ht="15.75" customHeight="1">
      <c r="A19" s="436"/>
      <c r="B19" s="442"/>
      <c r="C19" s="114">
        <v>3</v>
      </c>
      <c r="D19" s="458" t="s">
        <v>177</v>
      </c>
      <c r="E19" s="446"/>
      <c r="F19" s="447"/>
      <c r="G19" s="458" t="s">
        <v>178</v>
      </c>
      <c r="H19" s="446"/>
      <c r="I19" s="447"/>
      <c r="J19" s="4">
        <v>4.5</v>
      </c>
      <c r="K19" s="14">
        <v>3.0000000000000001E-3</v>
      </c>
      <c r="L19" s="4">
        <v>45</v>
      </c>
      <c r="M19" s="240">
        <f t="shared" si="1"/>
        <v>202.5</v>
      </c>
      <c r="N19" s="4"/>
      <c r="O19" s="453"/>
      <c r="P19" s="454"/>
    </row>
    <row r="20" spans="1:16" ht="15.75" customHeight="1">
      <c r="A20" s="436"/>
      <c r="B20" s="442"/>
      <c r="C20" s="114">
        <v>4</v>
      </c>
      <c r="D20" s="458" t="s">
        <v>179</v>
      </c>
      <c r="E20" s="446"/>
      <c r="F20" s="447"/>
      <c r="G20" s="458" t="s">
        <v>180</v>
      </c>
      <c r="H20" s="446"/>
      <c r="I20" s="447"/>
      <c r="J20" s="4">
        <v>2.9</v>
      </c>
      <c r="K20" s="14">
        <v>6.0000000000000001E-3</v>
      </c>
      <c r="L20" s="4">
        <v>55</v>
      </c>
      <c r="M20" s="240">
        <f t="shared" si="1"/>
        <v>159.5</v>
      </c>
      <c r="N20" s="4"/>
      <c r="O20" s="76"/>
      <c r="P20" s="74"/>
    </row>
    <row r="21" spans="1:16" ht="15.75" customHeight="1" thickBot="1">
      <c r="A21" s="436"/>
      <c r="B21" s="442"/>
      <c r="C21" s="115">
        <v>5</v>
      </c>
      <c r="D21" s="457"/>
      <c r="E21" s="444"/>
      <c r="F21" s="445"/>
      <c r="G21" s="457"/>
      <c r="H21" s="444"/>
      <c r="I21" s="445"/>
      <c r="J21" s="27"/>
      <c r="K21" s="30"/>
      <c r="L21" s="27"/>
      <c r="M21" s="240">
        <f t="shared" si="1"/>
        <v>0</v>
      </c>
      <c r="N21" s="4"/>
      <c r="O21" s="77"/>
      <c r="P21" s="75"/>
    </row>
    <row r="22" spans="1:16" ht="15.75" customHeight="1" thickTop="1" thickBot="1">
      <c r="A22" s="436"/>
      <c r="B22" s="442"/>
      <c r="C22" s="459"/>
      <c r="D22" s="459"/>
      <c r="E22" s="459"/>
      <c r="F22" s="459"/>
      <c r="G22" s="459"/>
      <c r="H22" s="459"/>
      <c r="I22" s="460"/>
      <c r="J22" s="121" t="s">
        <v>152</v>
      </c>
      <c r="K22" s="171" t="e">
        <f>M22/#REF!</f>
        <v>#REF!</v>
      </c>
      <c r="L22" s="121" t="s">
        <v>153</v>
      </c>
      <c r="M22" s="34">
        <v>0</v>
      </c>
      <c r="N22" s="450"/>
      <c r="O22" s="451"/>
      <c r="P22" s="452"/>
    </row>
    <row r="23" spans="1:16" ht="15.75" customHeight="1" thickTop="1"/>
    <row r="24" spans="1:16" ht="15.75" customHeight="1">
      <c r="A24" s="435" t="s">
        <v>141</v>
      </c>
      <c r="B24" s="436"/>
      <c r="C24" s="119" t="s">
        <v>144</v>
      </c>
      <c r="D24" s="437" t="s">
        <v>145</v>
      </c>
      <c r="E24" s="438"/>
      <c r="F24" s="439"/>
      <c r="G24" s="117" t="s">
        <v>146</v>
      </c>
      <c r="H24" s="118"/>
      <c r="I24" s="119"/>
      <c r="J24" s="116" t="s">
        <v>147</v>
      </c>
      <c r="K24" s="116" t="s">
        <v>23</v>
      </c>
      <c r="L24" s="116" t="s">
        <v>148</v>
      </c>
      <c r="M24" s="120" t="s">
        <v>133</v>
      </c>
      <c r="N24" s="120" t="s">
        <v>163</v>
      </c>
      <c r="O24" s="440" t="s">
        <v>150</v>
      </c>
      <c r="P24" s="441"/>
    </row>
    <row r="25" spans="1:16" ht="15.75" customHeight="1">
      <c r="A25" s="436">
        <v>6</v>
      </c>
      <c r="B25" s="455" t="s">
        <v>181</v>
      </c>
      <c r="C25" s="114">
        <v>1</v>
      </c>
      <c r="D25" s="421" t="s">
        <v>182</v>
      </c>
      <c r="E25" s="422"/>
      <c r="F25" s="423"/>
      <c r="G25" s="421" t="s">
        <v>183</v>
      </c>
      <c r="H25" s="422"/>
      <c r="I25" s="423"/>
      <c r="J25" s="159">
        <v>335.3</v>
      </c>
      <c r="K25" s="160">
        <v>1.18E-2</v>
      </c>
      <c r="L25" s="159">
        <v>9.7200000000000006</v>
      </c>
      <c r="M25" s="238">
        <f t="shared" ref="M25:M27" si="2">L25*J25</f>
        <v>3259.1160000000004</v>
      </c>
      <c r="N25" s="278">
        <v>0.77200000000000002</v>
      </c>
      <c r="O25" s="426" t="s">
        <v>184</v>
      </c>
      <c r="P25" s="427"/>
    </row>
    <row r="26" spans="1:16" ht="15.75" customHeight="1">
      <c r="A26" s="436"/>
      <c r="B26" s="442"/>
      <c r="C26" s="114">
        <v>2</v>
      </c>
      <c r="D26" s="426"/>
      <c r="E26" s="446"/>
      <c r="F26" s="447"/>
      <c r="G26" s="426"/>
      <c r="H26" s="446"/>
      <c r="I26" s="447"/>
      <c r="J26" s="4"/>
      <c r="K26" s="14"/>
      <c r="L26" s="4"/>
      <c r="M26" s="238">
        <f t="shared" si="2"/>
        <v>0</v>
      </c>
      <c r="N26" s="278"/>
      <c r="O26" s="426"/>
      <c r="P26" s="427"/>
    </row>
    <row r="27" spans="1:16" ht="15.75" customHeight="1">
      <c r="A27" s="436"/>
      <c r="B27" s="442"/>
      <c r="C27" s="114">
        <v>3</v>
      </c>
      <c r="D27" s="426"/>
      <c r="E27" s="446"/>
      <c r="F27" s="447"/>
      <c r="G27" s="456"/>
      <c r="H27" s="446"/>
      <c r="I27" s="447"/>
      <c r="J27" s="4"/>
      <c r="K27" s="14"/>
      <c r="L27" s="4"/>
      <c r="M27" s="238">
        <f t="shared" si="2"/>
        <v>0</v>
      </c>
      <c r="N27" s="278"/>
      <c r="O27" s="426"/>
      <c r="P27" s="427"/>
    </row>
    <row r="28" spans="1:16" ht="15.75" customHeight="1">
      <c r="A28" s="436"/>
      <c r="B28" s="442"/>
      <c r="C28" s="114">
        <v>4</v>
      </c>
      <c r="D28" s="458"/>
      <c r="E28" s="446"/>
      <c r="F28" s="447"/>
      <c r="G28" s="458"/>
      <c r="H28" s="446"/>
      <c r="I28" s="447"/>
      <c r="J28" s="4"/>
      <c r="K28" s="14"/>
      <c r="L28" s="4"/>
      <c r="M28" s="240"/>
      <c r="N28" s="278"/>
      <c r="O28" s="453"/>
      <c r="P28" s="461"/>
    </row>
    <row r="29" spans="1:16" ht="15.75" customHeight="1" thickBot="1">
      <c r="A29" s="436"/>
      <c r="B29" s="442"/>
      <c r="C29" s="115">
        <v>5</v>
      </c>
      <c r="D29" s="457"/>
      <c r="E29" s="444"/>
      <c r="F29" s="445"/>
      <c r="G29" s="457"/>
      <c r="H29" s="444"/>
      <c r="I29" s="445"/>
      <c r="J29" s="27"/>
      <c r="K29" s="30"/>
      <c r="L29" s="27"/>
      <c r="M29" s="241"/>
      <c r="N29" s="278"/>
      <c r="O29" s="462"/>
      <c r="P29" s="454"/>
    </row>
    <row r="30" spans="1:16" ht="15.75" customHeight="1" thickTop="1" thickBot="1">
      <c r="A30" s="436"/>
      <c r="B30" s="442"/>
      <c r="C30" s="459"/>
      <c r="D30" s="459"/>
      <c r="E30" s="459"/>
      <c r="F30" s="459"/>
      <c r="G30" s="459"/>
      <c r="H30" s="459"/>
      <c r="I30" s="460"/>
      <c r="J30" s="121" t="s">
        <v>152</v>
      </c>
      <c r="K30" s="171" t="e">
        <f>M30/#REF!</f>
        <v>#REF!</v>
      </c>
      <c r="L30" s="121" t="s">
        <v>153</v>
      </c>
      <c r="M30" s="34">
        <v>0</v>
      </c>
      <c r="N30" s="450"/>
      <c r="O30" s="451"/>
      <c r="P30" s="452"/>
    </row>
    <row r="31" spans="1:16" ht="15.75" customHeight="1" thickTop="1"/>
    <row r="32" spans="1:16" ht="15.75" customHeight="1">
      <c r="A32" s="435" t="s">
        <v>141</v>
      </c>
      <c r="B32" s="436"/>
      <c r="C32" s="119" t="s">
        <v>144</v>
      </c>
      <c r="D32" s="437" t="s">
        <v>145</v>
      </c>
      <c r="E32" s="438"/>
      <c r="F32" s="439"/>
      <c r="G32" s="117" t="s">
        <v>146</v>
      </c>
      <c r="H32" s="118"/>
      <c r="I32" s="119"/>
      <c r="J32" s="116" t="s">
        <v>147</v>
      </c>
      <c r="K32" s="116" t="s">
        <v>23</v>
      </c>
      <c r="L32" s="116" t="s">
        <v>148</v>
      </c>
      <c r="M32" s="120" t="s">
        <v>133</v>
      </c>
      <c r="N32" s="120" t="s">
        <v>163</v>
      </c>
      <c r="O32" s="440" t="s">
        <v>150</v>
      </c>
      <c r="P32" s="441"/>
    </row>
    <row r="33" spans="1:16" ht="15.75" customHeight="1">
      <c r="A33" s="436">
        <v>7</v>
      </c>
      <c r="B33" s="455" t="s">
        <v>164</v>
      </c>
      <c r="C33" s="114">
        <v>1</v>
      </c>
      <c r="D33" s="458"/>
      <c r="E33" s="446"/>
      <c r="F33" s="447"/>
      <c r="G33" s="458"/>
      <c r="H33" s="446"/>
      <c r="I33" s="447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436"/>
      <c r="B34" s="442"/>
      <c r="C34" s="114">
        <v>2</v>
      </c>
      <c r="D34" s="458"/>
      <c r="E34" s="446"/>
      <c r="F34" s="447"/>
      <c r="G34" s="458"/>
      <c r="H34" s="446"/>
      <c r="I34" s="44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436"/>
      <c r="B35" s="442"/>
      <c r="C35" s="114">
        <v>3</v>
      </c>
      <c r="D35" s="458"/>
      <c r="E35" s="446"/>
      <c r="F35" s="447"/>
      <c r="G35" s="458"/>
      <c r="H35" s="446"/>
      <c r="I35" s="44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436"/>
      <c r="B36" s="442"/>
      <c r="C36" s="114">
        <v>4</v>
      </c>
      <c r="D36" s="458"/>
      <c r="E36" s="446"/>
      <c r="F36" s="447"/>
      <c r="G36" s="458"/>
      <c r="H36" s="446"/>
      <c r="I36" s="447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436"/>
      <c r="B37" s="442"/>
      <c r="C37" s="115">
        <v>5</v>
      </c>
      <c r="D37" s="457"/>
      <c r="E37" s="444"/>
      <c r="F37" s="445"/>
      <c r="G37" s="457"/>
      <c r="H37" s="444"/>
      <c r="I37" s="44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436"/>
      <c r="B38" s="442"/>
      <c r="C38" s="459"/>
      <c r="D38" s="459"/>
      <c r="E38" s="459"/>
      <c r="F38" s="459"/>
      <c r="G38" s="459"/>
      <c r="H38" s="459"/>
      <c r="I38" s="460"/>
      <c r="J38" s="121" t="s">
        <v>152</v>
      </c>
      <c r="K38" s="171" t="e">
        <f>M38/#REF!</f>
        <v>#REF!</v>
      </c>
      <c r="L38" s="121" t="s">
        <v>153</v>
      </c>
      <c r="M38" s="34">
        <v>0</v>
      </c>
      <c r="N38" s="450"/>
      <c r="O38" s="451"/>
      <c r="P38" s="452"/>
    </row>
    <row r="39" spans="1:16" ht="15.75" customHeight="1" thickTop="1"/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F9" sqref="F9:H9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292" t="s">
        <v>125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</row>
    <row r="2" spans="1:17" s="123" customFormat="1" ht="15.75" customHeight="1">
      <c r="A2" s="292"/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</row>
    <row r="3" spans="1:17" ht="15.75" customHeight="1">
      <c r="A3" s="409" t="s">
        <v>185</v>
      </c>
      <c r="B3" s="409"/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</row>
    <row r="4" spans="1:17" s="123" customFormat="1" ht="15.75" customHeight="1">
      <c r="A4" s="464"/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</row>
    <row r="5" spans="1:17" ht="15.75" customHeight="1">
      <c r="A5" s="330" t="s">
        <v>141</v>
      </c>
      <c r="B5" s="411">
        <v>1</v>
      </c>
      <c r="C5" s="411"/>
      <c r="D5" s="411">
        <v>2</v>
      </c>
      <c r="E5" s="411"/>
      <c r="F5" s="411">
        <v>3</v>
      </c>
      <c r="G5" s="411"/>
      <c r="H5" s="411">
        <v>4</v>
      </c>
      <c r="I5" s="411"/>
      <c r="J5" s="411">
        <v>5</v>
      </c>
      <c r="K5" s="411"/>
      <c r="L5" s="411">
        <v>6</v>
      </c>
      <c r="M5" s="411"/>
      <c r="N5" s="411">
        <v>7</v>
      </c>
      <c r="O5" s="411"/>
      <c r="P5" s="413">
        <v>8</v>
      </c>
      <c r="Q5" s="413"/>
    </row>
    <row r="6" spans="1:17" ht="15.75" customHeight="1">
      <c r="A6" s="330"/>
      <c r="B6" s="330" t="s">
        <v>129</v>
      </c>
      <c r="C6" s="330"/>
      <c r="D6" s="330" t="s">
        <v>142</v>
      </c>
      <c r="E6" s="330"/>
      <c r="F6" s="330" t="s">
        <v>131</v>
      </c>
      <c r="G6" s="330"/>
      <c r="H6" s="330" t="s">
        <v>132</v>
      </c>
      <c r="I6" s="330"/>
      <c r="J6" s="330" t="s">
        <v>136</v>
      </c>
      <c r="K6" s="330"/>
      <c r="L6" s="330" t="s">
        <v>137</v>
      </c>
      <c r="M6" s="330"/>
      <c r="N6" s="330" t="s">
        <v>138</v>
      </c>
      <c r="O6" s="330"/>
      <c r="P6" s="414" t="s">
        <v>143</v>
      </c>
      <c r="Q6" s="414"/>
    </row>
    <row r="8" spans="1:17" s="128" customFormat="1" ht="15.75" customHeight="1">
      <c r="A8" s="153" t="s">
        <v>141</v>
      </c>
      <c r="B8" s="177" t="s">
        <v>186</v>
      </c>
      <c r="C8" s="465" t="s">
        <v>145</v>
      </c>
      <c r="D8" s="465"/>
      <c r="E8" s="465"/>
      <c r="F8" s="465" t="s">
        <v>146</v>
      </c>
      <c r="G8" s="465"/>
      <c r="H8" s="465"/>
      <c r="I8" s="177" t="s">
        <v>147</v>
      </c>
      <c r="J8" s="178" t="s">
        <v>187</v>
      </c>
      <c r="K8" s="177" t="s">
        <v>188</v>
      </c>
      <c r="L8" s="177" t="s">
        <v>10</v>
      </c>
      <c r="M8" s="468" t="s">
        <v>189</v>
      </c>
      <c r="N8" s="433"/>
      <c r="O8" s="433"/>
      <c r="P8" s="433"/>
      <c r="Q8" s="433"/>
    </row>
    <row r="9" spans="1:17" ht="15.75" customHeight="1">
      <c r="A9" s="465" t="s">
        <v>190</v>
      </c>
      <c r="B9" s="151">
        <v>1</v>
      </c>
      <c r="C9" s="466"/>
      <c r="D9" s="467"/>
      <c r="E9" s="467"/>
      <c r="F9" s="466"/>
      <c r="G9" s="467"/>
      <c r="H9" s="467"/>
      <c r="I9" s="130"/>
      <c r="J9" s="141"/>
      <c r="K9" s="141"/>
      <c r="L9" s="176">
        <f t="shared" ref="L9:L13" si="0">K9-J9</f>
        <v>0</v>
      </c>
      <c r="M9" s="466"/>
      <c r="N9" s="466"/>
      <c r="O9" s="466"/>
      <c r="P9" s="466"/>
      <c r="Q9" s="466"/>
    </row>
    <row r="10" spans="1:17" ht="15.75" customHeight="1">
      <c r="A10" s="471"/>
      <c r="B10" s="151">
        <v>2</v>
      </c>
      <c r="C10" s="466"/>
      <c r="D10" s="467"/>
      <c r="E10" s="467"/>
      <c r="F10" s="466"/>
      <c r="G10" s="467"/>
      <c r="H10" s="467"/>
      <c r="I10" s="130"/>
      <c r="J10" s="141"/>
      <c r="K10" s="141"/>
      <c r="L10" s="176">
        <f t="shared" si="0"/>
        <v>0</v>
      </c>
      <c r="M10" s="466"/>
      <c r="N10" s="466"/>
      <c r="O10" s="466"/>
      <c r="P10" s="466"/>
      <c r="Q10" s="466"/>
    </row>
    <row r="11" spans="1:17" ht="15.75" customHeight="1">
      <c r="A11" s="471"/>
      <c r="B11" s="151">
        <v>3</v>
      </c>
      <c r="C11" s="466"/>
      <c r="D11" s="467"/>
      <c r="E11" s="467"/>
      <c r="F11" s="466"/>
      <c r="G11" s="467"/>
      <c r="H11" s="467"/>
      <c r="I11" s="130"/>
      <c r="J11" s="141"/>
      <c r="K11" s="141"/>
      <c r="L11" s="176">
        <f t="shared" si="0"/>
        <v>0</v>
      </c>
      <c r="M11" s="466"/>
      <c r="N11" s="466"/>
      <c r="O11" s="466"/>
      <c r="P11" s="466"/>
      <c r="Q11" s="466"/>
    </row>
    <row r="12" spans="1:17" ht="15.75" customHeight="1">
      <c r="A12" s="471"/>
      <c r="B12" s="151">
        <v>4</v>
      </c>
      <c r="C12" s="466"/>
      <c r="D12" s="467"/>
      <c r="E12" s="467"/>
      <c r="F12" s="466"/>
      <c r="G12" s="467"/>
      <c r="H12" s="467"/>
      <c r="I12" s="130"/>
      <c r="J12" s="141"/>
      <c r="K12" s="141"/>
      <c r="L12" s="176">
        <f t="shared" si="0"/>
        <v>0</v>
      </c>
      <c r="M12" s="466"/>
      <c r="N12" s="466"/>
      <c r="O12" s="466"/>
      <c r="P12" s="466"/>
      <c r="Q12" s="466"/>
    </row>
    <row r="13" spans="1:17" ht="15.75" customHeight="1">
      <c r="A13" s="471"/>
      <c r="B13" s="151">
        <v>5</v>
      </c>
      <c r="C13" s="466"/>
      <c r="D13" s="467"/>
      <c r="E13" s="467"/>
      <c r="F13" s="466"/>
      <c r="G13" s="467"/>
      <c r="H13" s="467"/>
      <c r="I13" s="130"/>
      <c r="J13" s="141"/>
      <c r="K13" s="141"/>
      <c r="L13" s="176">
        <f t="shared" si="0"/>
        <v>0</v>
      </c>
      <c r="M13" s="466"/>
      <c r="N13" s="466"/>
      <c r="O13" s="466"/>
      <c r="P13" s="466"/>
      <c r="Q13" s="466"/>
    </row>
    <row r="14" spans="1:17" ht="15.75" customHeight="1">
      <c r="A14" s="469"/>
      <c r="B14" s="469"/>
      <c r="C14" s="469"/>
      <c r="D14" s="469"/>
      <c r="E14" s="469"/>
      <c r="F14" s="469"/>
      <c r="G14" s="469"/>
      <c r="H14" s="469"/>
      <c r="I14" s="469"/>
      <c r="J14" s="469"/>
      <c r="K14" s="469"/>
      <c r="L14" s="469"/>
      <c r="M14" s="469"/>
      <c r="N14" s="469"/>
      <c r="O14" s="470"/>
    </row>
    <row r="15" spans="1:17" s="128" customFormat="1" ht="15.75" customHeight="1">
      <c r="A15" s="153" t="s">
        <v>141</v>
      </c>
      <c r="B15" s="153" t="s">
        <v>186</v>
      </c>
      <c r="C15" s="463" t="s">
        <v>145</v>
      </c>
      <c r="D15" s="463"/>
      <c r="E15" s="463"/>
      <c r="F15" s="463" t="s">
        <v>146</v>
      </c>
      <c r="G15" s="463"/>
      <c r="H15" s="463"/>
      <c r="I15" s="153" t="s">
        <v>147</v>
      </c>
      <c r="J15" s="175" t="s">
        <v>187</v>
      </c>
      <c r="K15" s="153" t="s">
        <v>188</v>
      </c>
      <c r="L15" s="153" t="s">
        <v>10</v>
      </c>
      <c r="M15" s="463" t="s">
        <v>189</v>
      </c>
      <c r="N15" s="463"/>
      <c r="O15" s="463"/>
      <c r="P15" s="463"/>
      <c r="Q15" s="463"/>
    </row>
    <row r="16" spans="1:17" ht="15.75" customHeight="1">
      <c r="A16" s="463" t="s">
        <v>191</v>
      </c>
      <c r="B16" s="151">
        <v>1</v>
      </c>
      <c r="C16" s="466"/>
      <c r="D16" s="467"/>
      <c r="E16" s="467"/>
      <c r="F16" s="466"/>
      <c r="G16" s="467"/>
      <c r="H16" s="467"/>
      <c r="I16" s="130"/>
      <c r="J16" s="141"/>
      <c r="K16" s="141"/>
      <c r="L16" s="176">
        <f t="shared" ref="L16:L19" si="1">K16-J16</f>
        <v>0</v>
      </c>
      <c r="M16" s="466"/>
      <c r="N16" s="466"/>
      <c r="O16" s="466"/>
      <c r="P16" s="466"/>
      <c r="Q16" s="466"/>
    </row>
    <row r="17" spans="1:17" ht="15.75" customHeight="1">
      <c r="A17" s="463"/>
      <c r="B17" s="151">
        <v>2</v>
      </c>
      <c r="C17" s="466"/>
      <c r="D17" s="467"/>
      <c r="E17" s="467"/>
      <c r="F17" s="466"/>
      <c r="G17" s="467"/>
      <c r="H17" s="467"/>
      <c r="I17" s="130"/>
      <c r="J17" s="141"/>
      <c r="K17" s="141"/>
      <c r="L17" s="176">
        <f t="shared" si="1"/>
        <v>0</v>
      </c>
      <c r="M17" s="466"/>
      <c r="N17" s="466"/>
      <c r="O17" s="466"/>
      <c r="P17" s="466"/>
      <c r="Q17" s="466"/>
    </row>
    <row r="18" spans="1:17" ht="15.75" customHeight="1">
      <c r="A18" s="463"/>
      <c r="B18" s="151">
        <v>3</v>
      </c>
      <c r="C18" s="466"/>
      <c r="D18" s="467"/>
      <c r="E18" s="467"/>
      <c r="F18" s="466"/>
      <c r="G18" s="467"/>
      <c r="H18" s="467"/>
      <c r="I18" s="130"/>
      <c r="J18" s="141"/>
      <c r="K18" s="141"/>
      <c r="L18" s="176">
        <f t="shared" si="1"/>
        <v>0</v>
      </c>
      <c r="M18" s="466"/>
      <c r="N18" s="466"/>
      <c r="O18" s="466"/>
      <c r="P18" s="466"/>
      <c r="Q18" s="466"/>
    </row>
    <row r="19" spans="1:17" ht="15.75" customHeight="1">
      <c r="A19" s="463"/>
      <c r="B19" s="151">
        <v>4</v>
      </c>
      <c r="C19" s="466"/>
      <c r="D19" s="467"/>
      <c r="E19" s="467"/>
      <c r="F19" s="466"/>
      <c r="G19" s="467"/>
      <c r="H19" s="467"/>
      <c r="I19" s="130"/>
      <c r="J19" s="141"/>
      <c r="K19" s="141"/>
      <c r="L19" s="176">
        <f t="shared" si="1"/>
        <v>0</v>
      </c>
      <c r="M19" s="466"/>
      <c r="N19" s="466"/>
      <c r="O19" s="466"/>
      <c r="P19" s="466"/>
      <c r="Q19" s="466"/>
    </row>
    <row r="20" spans="1:17" ht="15.75" customHeight="1">
      <c r="A20" s="463"/>
      <c r="B20" s="151">
        <v>5</v>
      </c>
      <c r="C20" s="466"/>
      <c r="D20" s="467"/>
      <c r="E20" s="467"/>
      <c r="F20" s="466"/>
      <c r="G20" s="467"/>
      <c r="H20" s="467"/>
      <c r="I20" s="130"/>
      <c r="J20" s="141"/>
      <c r="K20" s="141"/>
      <c r="L20" s="176">
        <f>K20-J20</f>
        <v>0</v>
      </c>
      <c r="M20" s="466"/>
      <c r="N20" s="466"/>
      <c r="O20" s="466"/>
      <c r="P20" s="466"/>
      <c r="Q20" s="46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B2:AH326"/>
  <sheetViews>
    <sheetView zoomScale="70" zoomScaleNormal="70" workbookViewId="0">
      <pane xSplit="4" ySplit="6" topLeftCell="S275" activePane="bottomRight" state="frozen"/>
      <selection pane="bottomRight" activeCell="V299" sqref="V299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8.8554687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0.28515625" style="196" bestFit="1" customWidth="1"/>
    <col min="20" max="20" width="12.42578125" style="196" bestFit="1" customWidth="1"/>
    <col min="21" max="21" width="25.28515625" style="196" bestFit="1" customWidth="1"/>
    <col min="22" max="22" width="88.28515625" style="196" customWidth="1"/>
    <col min="23" max="23" width="7.42578125" style="196" bestFit="1" customWidth="1"/>
    <col min="24" max="24" width="69.57031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478" t="s">
        <v>192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Z2" s="197"/>
      <c r="AA2" s="197"/>
    </row>
    <row r="3" spans="2:34" ht="17.100000000000001" customHeight="1">
      <c r="B3" s="480" t="s">
        <v>45</v>
      </c>
      <c r="C3" s="481"/>
      <c r="D3" s="477" t="s">
        <v>193</v>
      </c>
      <c r="E3" s="477"/>
      <c r="F3" s="477"/>
      <c r="G3" s="477" t="s">
        <v>194</v>
      </c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 t="s">
        <v>195</v>
      </c>
      <c r="U3" s="486" t="s">
        <v>196</v>
      </c>
      <c r="V3" s="489" t="s">
        <v>197</v>
      </c>
      <c r="W3" s="489" t="s">
        <v>198</v>
      </c>
      <c r="X3" s="492" t="s">
        <v>199</v>
      </c>
      <c r="Z3" s="477" t="s">
        <v>200</v>
      </c>
      <c r="AA3" s="477"/>
      <c r="AB3" s="477"/>
      <c r="AC3" s="477"/>
      <c r="AD3" s="477"/>
      <c r="AE3" s="477"/>
      <c r="AF3" s="477"/>
      <c r="AG3" s="477"/>
      <c r="AH3" s="477"/>
    </row>
    <row r="4" spans="2:34" ht="17.100000000000001" customHeight="1">
      <c r="B4" s="482"/>
      <c r="C4" s="483"/>
      <c r="D4" s="476" t="s">
        <v>201</v>
      </c>
      <c r="E4" s="477" t="s">
        <v>202</v>
      </c>
      <c r="F4" s="477"/>
      <c r="G4" s="477" t="s">
        <v>203</v>
      </c>
      <c r="H4" s="477"/>
      <c r="I4" s="477"/>
      <c r="J4" s="477"/>
      <c r="K4" s="477"/>
      <c r="L4" s="477"/>
      <c r="M4" s="477"/>
      <c r="N4" s="477"/>
      <c r="O4" s="477" t="s">
        <v>204</v>
      </c>
      <c r="P4" s="477"/>
      <c r="Q4" s="477"/>
      <c r="R4" s="477"/>
      <c r="S4" s="477"/>
      <c r="T4" s="477"/>
      <c r="U4" s="487"/>
      <c r="V4" s="490"/>
      <c r="W4" s="490"/>
      <c r="X4" s="492"/>
      <c r="Z4" s="477"/>
      <c r="AA4" s="477"/>
      <c r="AB4" s="477"/>
      <c r="AC4" s="477"/>
      <c r="AD4" s="477"/>
      <c r="AE4" s="477"/>
      <c r="AF4" s="477"/>
      <c r="AG4" s="477"/>
      <c r="AH4" s="477"/>
    </row>
    <row r="5" spans="2:34" ht="17.100000000000001" customHeight="1">
      <c r="B5" s="482"/>
      <c r="C5" s="483"/>
      <c r="D5" s="476"/>
      <c r="E5" s="476" t="s">
        <v>205</v>
      </c>
      <c r="F5" s="492" t="s">
        <v>206</v>
      </c>
      <c r="G5" s="472" t="s">
        <v>207</v>
      </c>
      <c r="H5" s="472"/>
      <c r="I5" s="472"/>
      <c r="J5" s="472"/>
      <c r="K5" s="472"/>
      <c r="L5" s="472"/>
      <c r="M5" s="472"/>
      <c r="N5" s="472"/>
      <c r="O5" s="472" t="s">
        <v>208</v>
      </c>
      <c r="P5" s="472"/>
      <c r="Q5" s="472" t="s">
        <v>209</v>
      </c>
      <c r="R5" s="472"/>
      <c r="S5" s="472"/>
      <c r="T5" s="477"/>
      <c r="U5" s="487"/>
      <c r="V5" s="490"/>
      <c r="W5" s="490"/>
      <c r="X5" s="492"/>
      <c r="Z5" s="477"/>
      <c r="AA5" s="477"/>
      <c r="AB5" s="477"/>
      <c r="AC5" s="477"/>
      <c r="AD5" s="477"/>
      <c r="AE5" s="477"/>
      <c r="AF5" s="477"/>
      <c r="AG5" s="477"/>
      <c r="AH5" s="477"/>
    </row>
    <row r="6" spans="2:34" ht="38.450000000000003" customHeight="1">
      <c r="B6" s="484"/>
      <c r="C6" s="485"/>
      <c r="D6" s="476"/>
      <c r="E6" s="476"/>
      <c r="F6" s="492"/>
      <c r="G6" s="207" t="s">
        <v>210</v>
      </c>
      <c r="H6" s="207" t="s">
        <v>211</v>
      </c>
      <c r="I6" s="207" t="s">
        <v>212</v>
      </c>
      <c r="J6" s="207" t="s">
        <v>213</v>
      </c>
      <c r="K6" s="207" t="s">
        <v>214</v>
      </c>
      <c r="L6" s="207" t="s">
        <v>215</v>
      </c>
      <c r="M6" s="207" t="s">
        <v>216</v>
      </c>
      <c r="N6" s="207" t="s">
        <v>217</v>
      </c>
      <c r="O6" s="208" t="s">
        <v>218</v>
      </c>
      <c r="P6" s="208" t="s">
        <v>219</v>
      </c>
      <c r="Q6" s="208" t="s">
        <v>218</v>
      </c>
      <c r="R6" s="208" t="s">
        <v>219</v>
      </c>
      <c r="S6" s="207" t="s">
        <v>220</v>
      </c>
      <c r="T6" s="477"/>
      <c r="U6" s="488"/>
      <c r="V6" s="491"/>
      <c r="W6" s="491"/>
      <c r="X6" s="492"/>
      <c r="Z6" s="228" t="s">
        <v>221</v>
      </c>
      <c r="AA6" s="228" t="s">
        <v>222</v>
      </c>
      <c r="AB6" s="222" t="s">
        <v>223</v>
      </c>
      <c r="AC6" s="222" t="s">
        <v>164</v>
      </c>
      <c r="AD6" s="222" t="s">
        <v>224</v>
      </c>
      <c r="AE6" s="222" t="s">
        <v>225</v>
      </c>
      <c r="AF6" s="222" t="s">
        <v>226</v>
      </c>
      <c r="AG6" s="222" t="s">
        <v>227</v>
      </c>
      <c r="AH6" s="222" t="s">
        <v>228</v>
      </c>
    </row>
    <row r="7" spans="2:34" ht="16.5">
      <c r="B7" s="473">
        <v>45901</v>
      </c>
      <c r="C7" s="475" t="s">
        <v>56</v>
      </c>
      <c r="D7" s="209">
        <v>1</v>
      </c>
      <c r="E7" s="198" t="s">
        <v>229</v>
      </c>
      <c r="F7" s="204">
        <v>2251</v>
      </c>
      <c r="G7" s="233">
        <v>222.5</v>
      </c>
      <c r="H7" s="233">
        <v>231.6</v>
      </c>
      <c r="I7" s="210">
        <f>H7/G7</f>
        <v>1.0408988764044944</v>
      </c>
      <c r="J7" s="233">
        <v>0</v>
      </c>
      <c r="K7" s="210">
        <f>J7/G7</f>
        <v>0</v>
      </c>
      <c r="L7" s="233">
        <v>335.3</v>
      </c>
      <c r="M7" s="211">
        <f>(H7+J7)/G7</f>
        <v>1.0408988764044944</v>
      </c>
      <c r="N7" s="273">
        <v>3051</v>
      </c>
      <c r="O7" s="230">
        <v>2.39</v>
      </c>
      <c r="P7" s="206">
        <v>1.0999999999999999E-2</v>
      </c>
      <c r="Q7" s="205">
        <v>6.7</v>
      </c>
      <c r="R7" s="206">
        <v>0.03</v>
      </c>
      <c r="S7" s="233">
        <v>2251.1999999999998</v>
      </c>
      <c r="T7" s="229" t="s">
        <v>230</v>
      </c>
      <c r="U7" s="229" t="s">
        <v>181</v>
      </c>
      <c r="V7" s="205" t="s">
        <v>231</v>
      </c>
      <c r="W7" s="205">
        <v>1</v>
      </c>
      <c r="X7" s="205" t="s">
        <v>232</v>
      </c>
      <c r="Y7" s="201" t="s">
        <v>233</v>
      </c>
      <c r="Z7" s="225">
        <f>SUM(W7:W46)</f>
        <v>40</v>
      </c>
      <c r="AA7" s="224">
        <f ca="1">SUMIF($U$7:$U$10000,TRIM(AA6),$W$7:$W$46)</f>
        <v>0</v>
      </c>
      <c r="AB7" s="224">
        <f ca="1">SUMIF($U$7:$U$10000,TRIM(AB6),$W$7:$W$46)</f>
        <v>148</v>
      </c>
      <c r="AC7" s="224">
        <f t="shared" ref="AC7:AH7" ca="1" si="0">SUMIF($U$7:$U$10000,TRIM(AC6),$W$7:$W$46)</f>
        <v>0</v>
      </c>
      <c r="AD7" s="224">
        <f t="shared" ca="1" si="0"/>
        <v>23</v>
      </c>
      <c r="AE7" s="224">
        <f t="shared" ca="1" si="0"/>
        <v>4</v>
      </c>
      <c r="AF7" s="224">
        <f t="shared" ca="1" si="0"/>
        <v>27</v>
      </c>
      <c r="AG7" s="224">
        <f t="shared" ca="1" si="0"/>
        <v>98</v>
      </c>
      <c r="AH7" s="224">
        <f t="shared" ca="1" si="0"/>
        <v>0</v>
      </c>
    </row>
    <row r="8" spans="2:34" ht="16.5">
      <c r="B8" s="474"/>
      <c r="C8" s="474"/>
      <c r="D8" s="209">
        <v>2</v>
      </c>
      <c r="E8" s="198" t="s">
        <v>234</v>
      </c>
      <c r="F8" s="204">
        <v>595</v>
      </c>
      <c r="G8" s="233">
        <v>153</v>
      </c>
      <c r="H8" s="233">
        <v>154.4</v>
      </c>
      <c r="I8" s="210">
        <f t="shared" ref="I8:I71" si="1">H8/G8</f>
        <v>1.0091503267973856</v>
      </c>
      <c r="J8" s="233">
        <v>0</v>
      </c>
      <c r="K8" s="210">
        <f t="shared" ref="K8:K71" si="2">J8/G8</f>
        <v>0</v>
      </c>
      <c r="L8" s="233">
        <v>162.4</v>
      </c>
      <c r="M8" s="211">
        <f t="shared" ref="M8:M71" si="3">(H8+J8)/G8</f>
        <v>1.0091503267973856</v>
      </c>
      <c r="N8" s="273">
        <v>217</v>
      </c>
      <c r="O8" s="230">
        <v>3.66</v>
      </c>
      <c r="P8" s="206">
        <v>2.4E-2</v>
      </c>
      <c r="Q8" s="205">
        <v>-2.2999999999999998</v>
      </c>
      <c r="R8" s="206">
        <v>-1.4999999999999999E-2</v>
      </c>
      <c r="S8" s="233">
        <v>-378.2</v>
      </c>
      <c r="T8" s="235" t="s">
        <v>235</v>
      </c>
      <c r="U8" s="229" t="s">
        <v>236</v>
      </c>
      <c r="V8" s="205"/>
      <c r="W8" s="205">
        <v>1</v>
      </c>
      <c r="X8" s="205" t="s">
        <v>113</v>
      </c>
      <c r="Y8" s="201"/>
      <c r="Z8" s="225"/>
      <c r="AA8" s="227">
        <f ca="1">SUMIF($U$7:$U$466,TRIM(AA6),$F$7:$F$46)</f>
        <v>0</v>
      </c>
      <c r="AB8" s="227">
        <f t="shared" ref="AB8:AH8" ca="1" si="4">SUMIF($U$7:$U$466,TRIM(AB6),$F$7:$F$46)</f>
        <v>81904.852073281771</v>
      </c>
      <c r="AC8" s="227">
        <f t="shared" ca="1" si="4"/>
        <v>0</v>
      </c>
      <c r="AD8" s="227">
        <f t="shared" ca="1" si="4"/>
        <v>18148.682149999997</v>
      </c>
      <c r="AE8" s="227">
        <f t="shared" ca="1" si="4"/>
        <v>924</v>
      </c>
      <c r="AF8" s="227">
        <f t="shared" ca="1" si="4"/>
        <v>22748.629949999999</v>
      </c>
      <c r="AG8" s="227">
        <f t="shared" ca="1" si="4"/>
        <v>234620.27386000002</v>
      </c>
      <c r="AH8" s="227">
        <f t="shared" ca="1" si="4"/>
        <v>0</v>
      </c>
    </row>
    <row r="9" spans="2:34" ht="16.5">
      <c r="B9" s="474"/>
      <c r="C9" s="474"/>
      <c r="D9" s="209">
        <v>3</v>
      </c>
      <c r="E9" s="198" t="s">
        <v>237</v>
      </c>
      <c r="F9" s="204">
        <v>453</v>
      </c>
      <c r="G9" s="233">
        <v>106.8</v>
      </c>
      <c r="H9" s="233">
        <v>107.6</v>
      </c>
      <c r="I9" s="210">
        <f t="shared" si="1"/>
        <v>1.0074906367041199</v>
      </c>
      <c r="J9" s="233">
        <v>0</v>
      </c>
      <c r="K9" s="210">
        <f t="shared" si="2"/>
        <v>0</v>
      </c>
      <c r="L9" s="233">
        <v>356.4</v>
      </c>
      <c r="M9" s="211">
        <f t="shared" si="3"/>
        <v>1.0074906367041199</v>
      </c>
      <c r="N9" s="273">
        <v>292</v>
      </c>
      <c r="O9" s="230">
        <v>1.27</v>
      </c>
      <c r="P9" s="206">
        <v>1.2E-2</v>
      </c>
      <c r="Q9" s="205">
        <v>-0.5</v>
      </c>
      <c r="R9" s="206">
        <v>-4.0000000000000001E-3</v>
      </c>
      <c r="S9" s="233">
        <v>-161.1</v>
      </c>
      <c r="T9" s="198" t="s">
        <v>230</v>
      </c>
      <c r="U9" s="229" t="s">
        <v>181</v>
      </c>
      <c r="V9" s="205" t="s">
        <v>238</v>
      </c>
      <c r="W9" s="205">
        <v>1</v>
      </c>
      <c r="X9" s="205" t="s">
        <v>104</v>
      </c>
      <c r="Y9" s="201"/>
      <c r="Z9" s="225">
        <f>SUM(W47:W116)</f>
        <v>70</v>
      </c>
      <c r="AA9" s="224">
        <f t="shared" ref="AA9:AH9" si="5">SUMIF($U$47:$U$116,TRIM(AA6),$W$47:$W$116)</f>
        <v>0</v>
      </c>
      <c r="AB9" s="224">
        <f t="shared" si="5"/>
        <v>46</v>
      </c>
      <c r="AC9" s="224">
        <f t="shared" si="5"/>
        <v>0</v>
      </c>
      <c r="AD9" s="224">
        <f t="shared" si="5"/>
        <v>8</v>
      </c>
      <c r="AE9" s="224">
        <f t="shared" si="5"/>
        <v>0</v>
      </c>
      <c r="AF9" s="224">
        <f t="shared" si="5"/>
        <v>5</v>
      </c>
      <c r="AG9" s="224">
        <f t="shared" si="5"/>
        <v>11</v>
      </c>
      <c r="AH9" s="224">
        <f t="shared" si="5"/>
        <v>0</v>
      </c>
    </row>
    <row r="10" spans="2:34" ht="16.5">
      <c r="B10" s="474"/>
      <c r="C10" s="474"/>
      <c r="D10" s="209">
        <v>4</v>
      </c>
      <c r="E10" s="198" t="s">
        <v>239</v>
      </c>
      <c r="F10" s="204">
        <v>367</v>
      </c>
      <c r="G10" s="233">
        <v>255.3</v>
      </c>
      <c r="H10" s="233">
        <v>257.8</v>
      </c>
      <c r="I10" s="210">
        <f t="shared" si="1"/>
        <v>1.0097924010967489</v>
      </c>
      <c r="J10" s="233">
        <v>0</v>
      </c>
      <c r="K10" s="210">
        <f t="shared" si="2"/>
        <v>0</v>
      </c>
      <c r="L10" s="233">
        <v>115.1</v>
      </c>
      <c r="M10" s="211">
        <f t="shared" si="3"/>
        <v>1.0097924010967489</v>
      </c>
      <c r="N10" s="273">
        <v>289</v>
      </c>
      <c r="O10" s="230">
        <v>3.19</v>
      </c>
      <c r="P10" s="206">
        <v>1.2E-2</v>
      </c>
      <c r="Q10" s="205">
        <v>-0.7</v>
      </c>
      <c r="R10" s="206">
        <v>-3.0000000000000001E-3</v>
      </c>
      <c r="S10" s="233">
        <v>-78</v>
      </c>
      <c r="T10" s="229" t="s">
        <v>235</v>
      </c>
      <c r="U10" s="229" t="s">
        <v>236</v>
      </c>
      <c r="V10" s="205"/>
      <c r="W10" s="205">
        <v>1</v>
      </c>
      <c r="X10" s="205" t="s">
        <v>116</v>
      </c>
      <c r="Y10" s="201" t="s">
        <v>240</v>
      </c>
      <c r="Z10" s="224"/>
      <c r="AA10" s="227">
        <f t="shared" ref="AA10:AH10" si="6">SUMIF($U$47:$U$116,TRIM(AA6),$F$47:$F$116)</f>
        <v>0</v>
      </c>
      <c r="AB10" s="227">
        <f t="shared" si="6"/>
        <v>19420.175353822393</v>
      </c>
      <c r="AC10" s="227">
        <f t="shared" si="6"/>
        <v>0</v>
      </c>
      <c r="AD10" s="227">
        <f t="shared" si="6"/>
        <v>5897.4309800000001</v>
      </c>
      <c r="AE10" s="227">
        <f t="shared" si="6"/>
        <v>0</v>
      </c>
      <c r="AF10" s="227">
        <f t="shared" si="6"/>
        <v>2779.9722999999999</v>
      </c>
      <c r="AG10" s="227">
        <f t="shared" si="6"/>
        <v>36207.785699999993</v>
      </c>
      <c r="AH10" s="227">
        <f t="shared" si="6"/>
        <v>0</v>
      </c>
    </row>
    <row r="11" spans="2:34" ht="16.5">
      <c r="B11" s="474"/>
      <c r="C11" s="474"/>
      <c r="D11" s="209">
        <v>5</v>
      </c>
      <c r="E11" s="198" t="s">
        <v>241</v>
      </c>
      <c r="F11" s="204">
        <v>359</v>
      </c>
      <c r="G11" s="233">
        <v>21.5</v>
      </c>
      <c r="H11" s="233">
        <v>21.8</v>
      </c>
      <c r="I11" s="210">
        <f t="shared" si="1"/>
        <v>1.0139534883720931</v>
      </c>
      <c r="J11" s="233">
        <v>0</v>
      </c>
      <c r="K11" s="210">
        <f t="shared" si="2"/>
        <v>0</v>
      </c>
      <c r="L11" s="233">
        <v>570</v>
      </c>
      <c r="M11" s="211">
        <f t="shared" si="3"/>
        <v>1.0139534883720931</v>
      </c>
      <c r="N11" s="273">
        <v>1911</v>
      </c>
      <c r="O11" s="230">
        <v>0.63</v>
      </c>
      <c r="P11" s="206">
        <v>2.9000000000000001E-2</v>
      </c>
      <c r="Q11" s="205">
        <v>-0.4</v>
      </c>
      <c r="R11" s="206">
        <v>-1.7999999999999999E-2</v>
      </c>
      <c r="S11" s="233">
        <v>-215.5</v>
      </c>
      <c r="T11" s="229" t="s">
        <v>235</v>
      </c>
      <c r="U11" s="229" t="s">
        <v>236</v>
      </c>
      <c r="V11" s="205"/>
      <c r="W11" s="205">
        <v>1</v>
      </c>
      <c r="X11" s="205" t="s">
        <v>242</v>
      </c>
      <c r="Y11" s="201"/>
      <c r="Z11" s="224"/>
      <c r="AA11" s="225"/>
      <c r="AB11" s="225"/>
      <c r="AC11" s="224"/>
      <c r="AD11" s="224"/>
      <c r="AE11" s="224"/>
      <c r="AF11" s="224"/>
      <c r="AG11" s="224"/>
      <c r="AH11" s="224"/>
    </row>
    <row r="12" spans="2:34" ht="16.5">
      <c r="B12" s="474"/>
      <c r="C12" s="474"/>
      <c r="D12" s="209">
        <v>6</v>
      </c>
      <c r="E12" s="198" t="s">
        <v>243</v>
      </c>
      <c r="F12" s="204">
        <v>355</v>
      </c>
      <c r="G12" s="233">
        <v>59.7</v>
      </c>
      <c r="H12" s="233">
        <v>59.8</v>
      </c>
      <c r="I12" s="210">
        <f t="shared" si="1"/>
        <v>1.0016750418760467</v>
      </c>
      <c r="J12" s="233">
        <v>0</v>
      </c>
      <c r="K12" s="210">
        <f t="shared" si="2"/>
        <v>0</v>
      </c>
      <c r="L12" s="233">
        <v>697.5</v>
      </c>
      <c r="M12" s="211">
        <f t="shared" si="3"/>
        <v>1.0016750418760467</v>
      </c>
      <c r="N12" s="273">
        <v>59</v>
      </c>
      <c r="O12" s="230">
        <v>0.51</v>
      </c>
      <c r="P12" s="206">
        <v>8.9999999999999993E-3</v>
      </c>
      <c r="Q12" s="205">
        <v>-0.4</v>
      </c>
      <c r="R12" s="206">
        <v>-7.0000000000000001E-3</v>
      </c>
      <c r="S12" s="233">
        <v>-295.7</v>
      </c>
      <c r="T12" s="229" t="s">
        <v>235</v>
      </c>
      <c r="U12" s="229" t="s">
        <v>236</v>
      </c>
      <c r="V12" s="205"/>
      <c r="W12" s="205">
        <v>1</v>
      </c>
      <c r="X12" s="205" t="s">
        <v>244</v>
      </c>
      <c r="Y12" s="201"/>
      <c r="Z12" s="225">
        <f>SUM(W117:W186)</f>
        <v>70</v>
      </c>
      <c r="AA12" s="224">
        <f t="shared" ref="AA12:AH12" si="7">SUMIF($U$117:$U$186,TRIM(AA6),$W$117:$W$186)</f>
        <v>0</v>
      </c>
      <c r="AB12" s="224">
        <f t="shared" si="7"/>
        <v>49</v>
      </c>
      <c r="AC12" s="224">
        <f t="shared" si="7"/>
        <v>0</v>
      </c>
      <c r="AD12" s="224">
        <f t="shared" si="7"/>
        <v>10</v>
      </c>
      <c r="AE12" s="224">
        <f t="shared" si="7"/>
        <v>0</v>
      </c>
      <c r="AF12" s="224">
        <f t="shared" si="7"/>
        <v>5</v>
      </c>
      <c r="AG12" s="224">
        <f t="shared" si="7"/>
        <v>6</v>
      </c>
      <c r="AH12" s="224">
        <f t="shared" si="7"/>
        <v>0</v>
      </c>
    </row>
    <row r="13" spans="2:34" ht="16.5">
      <c r="B13" s="474"/>
      <c r="C13" s="474"/>
      <c r="D13" s="209">
        <v>7</v>
      </c>
      <c r="E13" s="198" t="s">
        <v>245</v>
      </c>
      <c r="F13" s="204">
        <v>340</v>
      </c>
      <c r="G13" s="233">
        <v>4302</v>
      </c>
      <c r="H13" s="233">
        <v>4358</v>
      </c>
      <c r="I13" s="210">
        <f t="shared" si="1"/>
        <v>1.0130172013017202</v>
      </c>
      <c r="J13" s="233">
        <v>0</v>
      </c>
      <c r="K13" s="210">
        <f t="shared" si="2"/>
        <v>0</v>
      </c>
      <c r="L13" s="233">
        <v>6.1</v>
      </c>
      <c r="M13" s="211">
        <f t="shared" si="3"/>
        <v>1.0130172013017202</v>
      </c>
      <c r="N13" s="273">
        <v>340</v>
      </c>
      <c r="O13" s="230">
        <v>56</v>
      </c>
      <c r="P13" s="206">
        <v>1.2999999999999999E-2</v>
      </c>
      <c r="Q13" s="205">
        <v>0</v>
      </c>
      <c r="R13" s="206">
        <v>0</v>
      </c>
      <c r="S13" s="233">
        <v>0</v>
      </c>
      <c r="T13" s="198" t="s">
        <v>230</v>
      </c>
      <c r="U13" s="229" t="s">
        <v>181</v>
      </c>
      <c r="V13" s="205" t="s">
        <v>246</v>
      </c>
      <c r="W13" s="205">
        <v>1</v>
      </c>
      <c r="X13" s="229" t="s">
        <v>242</v>
      </c>
      <c r="Y13" s="201" t="s">
        <v>247</v>
      </c>
      <c r="Z13" s="224"/>
      <c r="AA13" s="227">
        <f>SUMIF($U$117:$U$186,TRIM(AA6),$F$117:$F$186)</f>
        <v>0</v>
      </c>
      <c r="AB13" s="227">
        <f>SUMIF($U$117:$U$186,TRIM(AB6),$F$117:$F$186)</f>
        <v>36918.221577297307</v>
      </c>
      <c r="AC13" s="227">
        <f t="shared" ref="AC13:AH13" si="8">SUMIF($U$117:$U$186,TRIM(AC6),$F$117:$F$186)</f>
        <v>0</v>
      </c>
      <c r="AD13" s="227">
        <f t="shared" si="8"/>
        <v>9427.2827799999995</v>
      </c>
      <c r="AE13" s="227">
        <f t="shared" si="8"/>
        <v>0</v>
      </c>
      <c r="AF13" s="227">
        <f t="shared" si="8"/>
        <v>4556.3491000000004</v>
      </c>
      <c r="AG13" s="227">
        <f t="shared" si="8"/>
        <v>7362.4880999999996</v>
      </c>
      <c r="AH13" s="227">
        <f t="shared" si="8"/>
        <v>0</v>
      </c>
    </row>
    <row r="14" spans="2:34" ht="16.5">
      <c r="B14" s="474"/>
      <c r="C14" s="474"/>
      <c r="D14" s="209">
        <v>8</v>
      </c>
      <c r="E14" s="198" t="s">
        <v>248</v>
      </c>
      <c r="F14" s="204">
        <v>336</v>
      </c>
      <c r="G14" s="233">
        <v>815.8</v>
      </c>
      <c r="H14" s="233">
        <v>836.4</v>
      </c>
      <c r="I14" s="210">
        <f t="shared" si="1"/>
        <v>1.0252512870801667</v>
      </c>
      <c r="J14" s="233">
        <v>0</v>
      </c>
      <c r="K14" s="210">
        <f t="shared" si="2"/>
        <v>0</v>
      </c>
      <c r="L14" s="233">
        <v>35.9</v>
      </c>
      <c r="M14" s="211">
        <f t="shared" si="3"/>
        <v>1.0252512870801667</v>
      </c>
      <c r="N14" s="273">
        <v>742</v>
      </c>
      <c r="O14" s="230">
        <v>9.35</v>
      </c>
      <c r="P14" s="206">
        <v>1.0999999999999999E-2</v>
      </c>
      <c r="Q14" s="205">
        <v>11.3</v>
      </c>
      <c r="R14" s="206">
        <v>1.4E-2</v>
      </c>
      <c r="S14" s="233">
        <v>406.3</v>
      </c>
      <c r="T14" s="229" t="s">
        <v>235</v>
      </c>
      <c r="U14" s="229" t="s">
        <v>236</v>
      </c>
      <c r="V14" s="205"/>
      <c r="W14" s="205">
        <v>1</v>
      </c>
      <c r="X14" s="205" t="s">
        <v>232</v>
      </c>
      <c r="Y14" s="201"/>
      <c r="Z14" s="224"/>
      <c r="AA14" s="225"/>
      <c r="AB14" s="225"/>
      <c r="AC14" s="224"/>
      <c r="AD14" s="224"/>
      <c r="AE14" s="224"/>
      <c r="AF14" s="224"/>
      <c r="AG14" s="224"/>
      <c r="AH14" s="224"/>
    </row>
    <row r="15" spans="2:34" ht="16.5">
      <c r="B15" s="474"/>
      <c r="C15" s="474"/>
      <c r="D15" s="209">
        <v>9</v>
      </c>
      <c r="E15" s="198" t="s">
        <v>248</v>
      </c>
      <c r="F15" s="204">
        <v>326</v>
      </c>
      <c r="G15" s="233">
        <v>1314.3</v>
      </c>
      <c r="H15" s="233">
        <v>1314.5</v>
      </c>
      <c r="I15" s="210">
        <f t="shared" si="1"/>
        <v>1.0001521722589972</v>
      </c>
      <c r="J15" s="233">
        <v>0</v>
      </c>
      <c r="K15" s="210">
        <f t="shared" si="2"/>
        <v>0</v>
      </c>
      <c r="L15" s="233">
        <v>34.6</v>
      </c>
      <c r="M15" s="211">
        <f t="shared" si="3"/>
        <v>1.0001521722589972</v>
      </c>
      <c r="N15" s="273">
        <v>9</v>
      </c>
      <c r="O15" s="230">
        <v>9.43</v>
      </c>
      <c r="P15" s="206">
        <v>7.0000000000000001E-3</v>
      </c>
      <c r="Q15" s="205">
        <v>-9.1999999999999993</v>
      </c>
      <c r="R15" s="206">
        <v>-7.0000000000000001E-3</v>
      </c>
      <c r="S15" s="233">
        <v>-317.3</v>
      </c>
      <c r="T15" s="229" t="s">
        <v>235</v>
      </c>
      <c r="U15" s="229" t="s">
        <v>236</v>
      </c>
      <c r="V15" s="205"/>
      <c r="W15" s="205">
        <v>1</v>
      </c>
      <c r="X15" s="205" t="s">
        <v>244</v>
      </c>
      <c r="Y15" s="201"/>
      <c r="Z15" s="225">
        <f>SUM(W187:W256)</f>
        <v>70</v>
      </c>
      <c r="AA15" s="224">
        <f t="shared" ref="AA15:AH15" si="9">SUMIF($U$187:$U$256,TRIM(AA6),$W$187:$W$256)</f>
        <v>0</v>
      </c>
      <c r="AB15" s="224">
        <f t="shared" si="9"/>
        <v>16</v>
      </c>
      <c r="AC15" s="224">
        <f t="shared" si="9"/>
        <v>0</v>
      </c>
      <c r="AD15" s="224">
        <f t="shared" si="9"/>
        <v>4</v>
      </c>
      <c r="AE15" s="224">
        <f t="shared" si="9"/>
        <v>4</v>
      </c>
      <c r="AF15" s="224">
        <f t="shared" si="9"/>
        <v>5</v>
      </c>
      <c r="AG15" s="224">
        <f t="shared" si="9"/>
        <v>41</v>
      </c>
      <c r="AH15" s="224">
        <f t="shared" si="9"/>
        <v>0</v>
      </c>
    </row>
    <row r="16" spans="2:34" ht="16.5">
      <c r="B16" s="474"/>
      <c r="C16" s="474"/>
      <c r="D16" s="209">
        <v>10</v>
      </c>
      <c r="E16" s="198" t="s">
        <v>249</v>
      </c>
      <c r="F16" s="204">
        <v>316</v>
      </c>
      <c r="G16" s="233">
        <v>13.6</v>
      </c>
      <c r="H16" s="233">
        <v>13.7</v>
      </c>
      <c r="I16" s="210">
        <f t="shared" si="1"/>
        <v>1.0073529411764706</v>
      </c>
      <c r="J16" s="233">
        <v>0</v>
      </c>
      <c r="K16" s="210">
        <f t="shared" si="2"/>
        <v>0</v>
      </c>
      <c r="L16" s="233">
        <v>922.7</v>
      </c>
      <c r="M16" s="211">
        <f t="shared" si="3"/>
        <v>1.0073529411764706</v>
      </c>
      <c r="N16" s="273">
        <v>73</v>
      </c>
      <c r="O16" s="230">
        <v>0.34</v>
      </c>
      <c r="P16" s="206">
        <v>2.5000000000000001E-2</v>
      </c>
      <c r="Q16" s="205">
        <v>-0.3</v>
      </c>
      <c r="R16" s="206">
        <v>-1.9E-2</v>
      </c>
      <c r="S16" s="233">
        <v>-243.6</v>
      </c>
      <c r="T16" s="229" t="s">
        <v>235</v>
      </c>
      <c r="U16" s="229" t="s">
        <v>236</v>
      </c>
      <c r="V16" s="205"/>
      <c r="W16" s="205">
        <v>1</v>
      </c>
      <c r="X16" s="205" t="s">
        <v>113</v>
      </c>
      <c r="Y16" s="201" t="s">
        <v>250</v>
      </c>
      <c r="Z16" s="224"/>
      <c r="AA16" s="227">
        <f>SUMIF($U$187:$U$256,TRIM(AA6),$F$187:$F$256)</f>
        <v>0</v>
      </c>
      <c r="AB16" s="227">
        <f t="shared" ref="AB16:AH16" si="10">SUMIF($U$187:$U$256,TRIM(AB6),$F$187:$F$256)</f>
        <v>9466.6913810810802</v>
      </c>
      <c r="AC16" s="227">
        <f t="shared" si="10"/>
        <v>0</v>
      </c>
      <c r="AD16" s="227">
        <f t="shared" si="10"/>
        <v>2315.5335599999999</v>
      </c>
      <c r="AE16" s="227">
        <f t="shared" si="10"/>
        <v>924</v>
      </c>
      <c r="AF16" s="227">
        <f t="shared" si="10"/>
        <v>3431.5198</v>
      </c>
      <c r="AG16" s="227">
        <f t="shared" si="10"/>
        <v>94047.613799999963</v>
      </c>
      <c r="AH16" s="227">
        <f t="shared" si="10"/>
        <v>0</v>
      </c>
    </row>
    <row r="17" spans="2:34" ht="16.5">
      <c r="B17" s="473">
        <v>45902</v>
      </c>
      <c r="C17" s="475" t="s">
        <v>57</v>
      </c>
      <c r="D17" s="209">
        <v>1</v>
      </c>
      <c r="E17" s="198" t="s">
        <v>229</v>
      </c>
      <c r="F17" s="204">
        <v>1492.085</v>
      </c>
      <c r="G17" s="233">
        <v>212.4</v>
      </c>
      <c r="H17" s="233">
        <v>221.42400000000001</v>
      </c>
      <c r="I17" s="210">
        <f t="shared" si="1"/>
        <v>1.0424858757062148</v>
      </c>
      <c r="J17" s="233">
        <v>0</v>
      </c>
      <c r="K17" s="210">
        <f t="shared" si="2"/>
        <v>0</v>
      </c>
      <c r="L17" s="233">
        <v>335.3</v>
      </c>
      <c r="M17" s="211">
        <f t="shared" si="3"/>
        <v>1.0424858757062148</v>
      </c>
      <c r="N17" s="273">
        <v>3025.7472000000002</v>
      </c>
      <c r="O17" s="230">
        <v>4.45</v>
      </c>
      <c r="P17" s="206">
        <v>2.0951035781544256E-2</v>
      </c>
      <c r="Q17" s="205">
        <v>4.5740000000000007</v>
      </c>
      <c r="R17" s="206">
        <v>2.1534839924670438E-2</v>
      </c>
      <c r="S17" s="204">
        <v>1533.6622000000002</v>
      </c>
      <c r="T17" s="229" t="s">
        <v>230</v>
      </c>
      <c r="U17" s="229" t="s">
        <v>181</v>
      </c>
      <c r="V17" s="205" t="s">
        <v>231</v>
      </c>
      <c r="W17" s="205">
        <v>1</v>
      </c>
      <c r="X17" s="205" t="s">
        <v>232</v>
      </c>
      <c r="Y17" s="201"/>
      <c r="Z17" s="224"/>
      <c r="AA17" s="225"/>
      <c r="AB17" s="225"/>
      <c r="AC17" s="224"/>
      <c r="AD17" s="224"/>
      <c r="AE17" s="224"/>
      <c r="AF17" s="224"/>
      <c r="AG17" s="224"/>
      <c r="AH17" s="224"/>
    </row>
    <row r="18" spans="2:34" ht="16.5">
      <c r="B18" s="474"/>
      <c r="C18" s="474"/>
      <c r="D18" s="209">
        <v>2</v>
      </c>
      <c r="E18" s="198" t="s">
        <v>239</v>
      </c>
      <c r="F18" s="204">
        <v>1252.0704000000001</v>
      </c>
      <c r="G18" s="233">
        <v>254.87</v>
      </c>
      <c r="H18" s="233">
        <v>268</v>
      </c>
      <c r="I18" s="210">
        <f t="shared" si="1"/>
        <v>1.0515164593714443</v>
      </c>
      <c r="J18" s="233">
        <v>0</v>
      </c>
      <c r="K18" s="210">
        <f t="shared" si="2"/>
        <v>0</v>
      </c>
      <c r="L18" s="233">
        <v>115.08</v>
      </c>
      <c r="M18" s="211">
        <f t="shared" si="3"/>
        <v>1.0515164593714443</v>
      </c>
      <c r="N18" s="273">
        <v>1511.0003999999994</v>
      </c>
      <c r="O18" s="230">
        <v>10.88</v>
      </c>
      <c r="P18" s="206">
        <v>4.2688429395378036E-2</v>
      </c>
      <c r="Q18" s="205">
        <v>2.2499999999999947</v>
      </c>
      <c r="R18" s="206">
        <v>8.8280299760662082E-3</v>
      </c>
      <c r="S18" s="204">
        <v>258.92999999999938</v>
      </c>
      <c r="T18" s="198" t="s">
        <v>251</v>
      </c>
      <c r="U18" s="229" t="s">
        <v>252</v>
      </c>
      <c r="V18" s="229" t="s">
        <v>253</v>
      </c>
      <c r="W18" s="205">
        <v>1</v>
      </c>
      <c r="X18" s="205" t="s">
        <v>116</v>
      </c>
      <c r="Y18" s="201"/>
      <c r="Z18" s="225">
        <f>SUM(W257:W326)</f>
        <v>60</v>
      </c>
      <c r="AA18" s="224">
        <f t="shared" ref="AA18:AH18" si="11">SUMIF($U$257:$U$326,TRIM(AA6),$W$257:$W$326)</f>
        <v>0</v>
      </c>
      <c r="AB18" s="224">
        <f t="shared" si="11"/>
        <v>13</v>
      </c>
      <c r="AC18" s="224">
        <f t="shared" si="11"/>
        <v>0</v>
      </c>
      <c r="AD18" s="224">
        <f t="shared" si="11"/>
        <v>1</v>
      </c>
      <c r="AE18" s="224">
        <f t="shared" si="11"/>
        <v>0</v>
      </c>
      <c r="AF18" s="224">
        <f t="shared" si="11"/>
        <v>4</v>
      </c>
      <c r="AG18" s="224">
        <f t="shared" si="11"/>
        <v>32</v>
      </c>
      <c r="AH18" s="224">
        <f t="shared" si="11"/>
        <v>0</v>
      </c>
    </row>
    <row r="19" spans="2:34" ht="16.5">
      <c r="B19" s="474"/>
      <c r="C19" s="474"/>
      <c r="D19" s="209">
        <v>3</v>
      </c>
      <c r="E19" s="198" t="s">
        <v>254</v>
      </c>
      <c r="F19" s="204">
        <v>614.18108108108106</v>
      </c>
      <c r="G19" s="233">
        <v>553.52</v>
      </c>
      <c r="H19" s="233">
        <v>566</v>
      </c>
      <c r="I19" s="210">
        <f t="shared" si="1"/>
        <v>1.022546610781905</v>
      </c>
      <c r="J19" s="233">
        <v>0</v>
      </c>
      <c r="K19" s="210">
        <f t="shared" si="2"/>
        <v>0</v>
      </c>
      <c r="L19" s="233">
        <v>58.21621621621621</v>
      </c>
      <c r="M19" s="211">
        <f t="shared" si="3"/>
        <v>1.022546610781905</v>
      </c>
      <c r="N19" s="273">
        <v>726.53837837837932</v>
      </c>
      <c r="O19" s="230">
        <v>10.55</v>
      </c>
      <c r="P19" s="206">
        <v>1.9059835236305826E-2</v>
      </c>
      <c r="Q19" s="205">
        <v>1.9300000000000175</v>
      </c>
      <c r="R19" s="206">
        <v>3.4867755455991068E-3</v>
      </c>
      <c r="S19" s="204">
        <v>112.3572972972983</v>
      </c>
      <c r="T19" s="229" t="s">
        <v>235</v>
      </c>
      <c r="U19" s="229" t="s">
        <v>236</v>
      </c>
      <c r="V19" s="229"/>
      <c r="W19" s="205">
        <v>1</v>
      </c>
      <c r="X19" s="205" t="s">
        <v>110</v>
      </c>
      <c r="Y19" s="201" t="s">
        <v>255</v>
      </c>
      <c r="Z19" s="224"/>
      <c r="AA19" s="227">
        <f>SUMIF($U$257:$U$326,TRIM(AA6),$F$257:$F$326)</f>
        <v>0</v>
      </c>
      <c r="AB19" s="227">
        <f t="shared" ref="AB19:AH19" si="12">SUMIF($U$257:$U$326,TRIM(AB6),$F$257:$F$326)</f>
        <v>4738.8975999999993</v>
      </c>
      <c r="AC19" s="227">
        <f t="shared" si="12"/>
        <v>0</v>
      </c>
      <c r="AD19" s="227">
        <f t="shared" si="12"/>
        <v>508.43482999999998</v>
      </c>
      <c r="AE19" s="227">
        <f t="shared" si="12"/>
        <v>0</v>
      </c>
      <c r="AF19" s="227">
        <f t="shared" si="12"/>
        <v>5666.1670000000004</v>
      </c>
      <c r="AG19" s="227">
        <f t="shared" si="12"/>
        <v>84638.079460000008</v>
      </c>
      <c r="AH19" s="227">
        <f t="shared" si="12"/>
        <v>0</v>
      </c>
    </row>
    <row r="20" spans="2:34" ht="16.5">
      <c r="B20" s="474"/>
      <c r="C20" s="474"/>
      <c r="D20" s="209">
        <v>4</v>
      </c>
      <c r="E20" s="198" t="s">
        <v>234</v>
      </c>
      <c r="F20" s="204">
        <v>571.73997999999995</v>
      </c>
      <c r="G20" s="233">
        <v>143.19</v>
      </c>
      <c r="H20" s="233">
        <v>148</v>
      </c>
      <c r="I20" s="210">
        <f t="shared" si="1"/>
        <v>1.0335917312661498</v>
      </c>
      <c r="J20" s="233">
        <v>0</v>
      </c>
      <c r="K20" s="210">
        <f t="shared" si="2"/>
        <v>0</v>
      </c>
      <c r="L20" s="233">
        <v>162.38</v>
      </c>
      <c r="M20" s="211">
        <f t="shared" si="3"/>
        <v>1.0335917312661498</v>
      </c>
      <c r="N20" s="273">
        <v>781.04780000000039</v>
      </c>
      <c r="O20" s="230">
        <v>3.5209999999999999</v>
      </c>
      <c r="P20" s="206">
        <v>2.4589705985054822E-2</v>
      </c>
      <c r="Q20" s="205">
        <v>1.2890000000000024</v>
      </c>
      <c r="R20" s="206">
        <v>9.0020252810950659E-3</v>
      </c>
      <c r="S20" s="204">
        <v>209.30782000000039</v>
      </c>
      <c r="T20" s="229" t="s">
        <v>235</v>
      </c>
      <c r="U20" s="229" t="s">
        <v>236</v>
      </c>
      <c r="V20" s="205"/>
      <c r="W20" s="205">
        <v>1</v>
      </c>
      <c r="X20" s="205" t="s">
        <v>113</v>
      </c>
      <c r="Y20" s="201"/>
      <c r="Z20" s="224"/>
      <c r="AA20" s="225"/>
      <c r="AB20" s="225"/>
      <c r="AC20" s="224"/>
      <c r="AD20" s="224"/>
      <c r="AE20" s="224"/>
      <c r="AF20" s="224"/>
      <c r="AG20" s="224"/>
      <c r="AH20" s="224"/>
    </row>
    <row r="21" spans="2:34" ht="16.5">
      <c r="B21" s="474"/>
      <c r="C21" s="474"/>
      <c r="D21" s="209">
        <v>5</v>
      </c>
      <c r="E21" s="198" t="s">
        <v>256</v>
      </c>
      <c r="F21" s="204">
        <v>562.95000000000005</v>
      </c>
      <c r="G21" s="233">
        <v>126.75</v>
      </c>
      <c r="H21" s="233">
        <v>138</v>
      </c>
      <c r="I21" s="210">
        <f t="shared" si="1"/>
        <v>1.0887573964497042</v>
      </c>
      <c r="J21" s="233">
        <v>0</v>
      </c>
      <c r="K21" s="210">
        <f t="shared" si="2"/>
        <v>0</v>
      </c>
      <c r="L21" s="233">
        <v>81</v>
      </c>
      <c r="M21" s="211">
        <f t="shared" si="3"/>
        <v>1.0887573964497042</v>
      </c>
      <c r="N21" s="273">
        <v>911.25</v>
      </c>
      <c r="O21" s="230">
        <v>6.95</v>
      </c>
      <c r="P21" s="206">
        <v>5.4832347140039449E-2</v>
      </c>
      <c r="Q21" s="205">
        <v>4.3</v>
      </c>
      <c r="R21" s="206">
        <v>3.3925049309664695E-2</v>
      </c>
      <c r="S21" s="204">
        <v>348.3</v>
      </c>
      <c r="T21" s="198" t="s">
        <v>251</v>
      </c>
      <c r="U21" s="229" t="s">
        <v>252</v>
      </c>
      <c r="V21" s="229" t="s">
        <v>253</v>
      </c>
      <c r="W21" s="205">
        <v>1</v>
      </c>
      <c r="X21" s="205" t="s">
        <v>242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74"/>
      <c r="C22" s="474"/>
      <c r="D22" s="209">
        <v>6</v>
      </c>
      <c r="E22" s="198" t="s">
        <v>241</v>
      </c>
      <c r="F22" s="204">
        <v>518.63573999999994</v>
      </c>
      <c r="G22" s="233">
        <v>57.59</v>
      </c>
      <c r="H22" s="233">
        <v>58.061999999999998</v>
      </c>
      <c r="I22" s="210">
        <f t="shared" si="1"/>
        <v>1.0081958673380795</v>
      </c>
      <c r="J22" s="233">
        <v>0</v>
      </c>
      <c r="K22" s="210">
        <f t="shared" si="2"/>
        <v>0</v>
      </c>
      <c r="L22" s="233">
        <v>536.89</v>
      </c>
      <c r="M22" s="211">
        <f t="shared" si="3"/>
        <v>1.0081958673380795</v>
      </c>
      <c r="N22" s="273">
        <v>253.41207999999688</v>
      </c>
      <c r="O22" s="230">
        <v>0.96599999999999997</v>
      </c>
      <c r="P22" s="206">
        <v>1.6773745441916999E-2</v>
      </c>
      <c r="Q22" s="205">
        <v>-0.49400000000000577</v>
      </c>
      <c r="R22" s="206">
        <v>-8.5778781038375711E-3</v>
      </c>
      <c r="S22" s="204">
        <v>-265.22366000000306</v>
      </c>
      <c r="T22" s="229" t="s">
        <v>235</v>
      </c>
      <c r="U22" s="229" t="s">
        <v>236</v>
      </c>
      <c r="V22" s="205"/>
      <c r="W22" s="205">
        <v>1</v>
      </c>
      <c r="X22" s="205" t="s">
        <v>105</v>
      </c>
      <c r="Y22" s="226" t="s">
        <v>257</v>
      </c>
      <c r="Z22" s="224">
        <f>SUM(W7:W10000)</f>
        <v>310</v>
      </c>
      <c r="AA22" s="225">
        <f t="shared" ref="AA22:AH22" si="13">SUMIF($U$7:$U$10000,TRIM(AA6),$W$7:$W$10000)</f>
        <v>0</v>
      </c>
      <c r="AB22" s="225">
        <f t="shared" si="13"/>
        <v>148</v>
      </c>
      <c r="AC22" s="224">
        <f t="shared" si="13"/>
        <v>0</v>
      </c>
      <c r="AD22" s="224">
        <f t="shared" si="13"/>
        <v>23</v>
      </c>
      <c r="AE22" s="224">
        <f t="shared" si="13"/>
        <v>4</v>
      </c>
      <c r="AF22" s="224">
        <f t="shared" si="13"/>
        <v>27</v>
      </c>
      <c r="AG22" s="224">
        <f t="shared" si="13"/>
        <v>98</v>
      </c>
      <c r="AH22" s="224">
        <f t="shared" si="13"/>
        <v>0</v>
      </c>
    </row>
    <row r="23" spans="2:34" ht="16.5">
      <c r="B23" s="474"/>
      <c r="C23" s="474"/>
      <c r="D23" s="209">
        <v>7</v>
      </c>
      <c r="E23" s="198" t="s">
        <v>243</v>
      </c>
      <c r="F23" s="204">
        <v>462.43587000000002</v>
      </c>
      <c r="G23" s="233">
        <v>59.37</v>
      </c>
      <c r="H23" s="233">
        <v>59.375</v>
      </c>
      <c r="I23" s="210">
        <f t="shared" si="1"/>
        <v>1.0000842176183258</v>
      </c>
      <c r="J23" s="233">
        <v>0</v>
      </c>
      <c r="K23" s="210">
        <f t="shared" si="2"/>
        <v>0</v>
      </c>
      <c r="L23" s="233">
        <v>697.49</v>
      </c>
      <c r="M23" s="211">
        <f t="shared" si="3"/>
        <v>1.0000842176183258</v>
      </c>
      <c r="N23" s="273">
        <v>3.4874500000017843</v>
      </c>
      <c r="O23" s="230">
        <v>0.66300000000000003</v>
      </c>
      <c r="P23" s="206">
        <v>1.1167256189994947E-2</v>
      </c>
      <c r="Q23" s="205">
        <v>-0.65799999999999748</v>
      </c>
      <c r="R23" s="206">
        <v>-1.1083038571669151E-2</v>
      </c>
      <c r="S23" s="204">
        <v>-458.94841999999824</v>
      </c>
      <c r="T23" s="229" t="s">
        <v>235</v>
      </c>
      <c r="U23" s="229" t="s">
        <v>236</v>
      </c>
      <c r="V23" s="205"/>
      <c r="W23" s="205">
        <v>1</v>
      </c>
      <c r="X23" s="205" t="s">
        <v>244</v>
      </c>
      <c r="Z23" s="224"/>
      <c r="AA23" s="227">
        <f t="shared" ref="AA23:AH23" si="14">SUMIF($U$7:$U$10000,TRIM(AA6),$F$7:$F$10000)</f>
        <v>0</v>
      </c>
      <c r="AB23" s="227">
        <f t="shared" si="14"/>
        <v>81904.852073281771</v>
      </c>
      <c r="AC23" s="227">
        <f t="shared" si="14"/>
        <v>0</v>
      </c>
      <c r="AD23" s="227">
        <f t="shared" si="14"/>
        <v>18148.682149999997</v>
      </c>
      <c r="AE23" s="227">
        <f t="shared" si="14"/>
        <v>924</v>
      </c>
      <c r="AF23" s="227">
        <f t="shared" si="14"/>
        <v>22748.629949999999</v>
      </c>
      <c r="AG23" s="227">
        <f t="shared" si="14"/>
        <v>234620.27386000002</v>
      </c>
      <c r="AH23" s="227">
        <f t="shared" si="14"/>
        <v>0</v>
      </c>
    </row>
    <row r="24" spans="2:34" ht="16.5">
      <c r="B24" s="474"/>
      <c r="C24" s="474"/>
      <c r="D24" s="209">
        <v>8</v>
      </c>
      <c r="E24" s="198" t="s">
        <v>258</v>
      </c>
      <c r="F24" s="204">
        <v>451.95700000000005</v>
      </c>
      <c r="G24" s="233">
        <v>52.725000000000001</v>
      </c>
      <c r="H24" s="233">
        <v>53.7</v>
      </c>
      <c r="I24" s="210">
        <f t="shared" si="1"/>
        <v>1.0184921763869133</v>
      </c>
      <c r="J24" s="233">
        <v>0</v>
      </c>
      <c r="K24" s="210">
        <f t="shared" si="2"/>
        <v>0</v>
      </c>
      <c r="L24" s="233">
        <v>821.74</v>
      </c>
      <c r="M24" s="211">
        <f t="shared" si="3"/>
        <v>1.0184921763869133</v>
      </c>
      <c r="N24" s="273">
        <v>801.19650000000115</v>
      </c>
      <c r="O24" s="230">
        <v>0.55000000000000004</v>
      </c>
      <c r="P24" s="206">
        <v>1.0431484115694643E-2</v>
      </c>
      <c r="Q24" s="205">
        <v>0.42500000000000138</v>
      </c>
      <c r="R24" s="206">
        <v>8.0606922712186131E-3</v>
      </c>
      <c r="S24" s="204">
        <v>349.23950000000116</v>
      </c>
      <c r="T24" s="229" t="s">
        <v>235</v>
      </c>
      <c r="U24" s="229" t="s">
        <v>236</v>
      </c>
      <c r="V24" s="205"/>
      <c r="W24" s="205">
        <v>1</v>
      </c>
      <c r="X24" s="205" t="s">
        <v>108</v>
      </c>
    </row>
    <row r="25" spans="2:34" ht="16.5">
      <c r="B25" s="474"/>
      <c r="C25" s="474"/>
      <c r="D25" s="209">
        <v>9</v>
      </c>
      <c r="E25" s="198" t="s">
        <v>259</v>
      </c>
      <c r="F25" s="204">
        <v>434.06935999999996</v>
      </c>
      <c r="G25" s="233">
        <v>187.44</v>
      </c>
      <c r="H25" s="233">
        <v>189</v>
      </c>
      <c r="I25" s="210">
        <f t="shared" si="1"/>
        <v>1.0083226632522406</v>
      </c>
      <c r="J25" s="233">
        <v>0</v>
      </c>
      <c r="K25" s="210">
        <f t="shared" si="2"/>
        <v>0</v>
      </c>
      <c r="L25" s="233">
        <v>216.17</v>
      </c>
      <c r="M25" s="211">
        <f t="shared" si="3"/>
        <v>1.0083226632522406</v>
      </c>
      <c r="N25" s="273">
        <v>337.22520000000048</v>
      </c>
      <c r="O25" s="230">
        <v>2.008</v>
      </c>
      <c r="P25" s="206">
        <v>1.0712761416986769E-2</v>
      </c>
      <c r="Q25" s="205">
        <v>-0.44799999999999773</v>
      </c>
      <c r="R25" s="206">
        <v>-2.3900981647460399E-3</v>
      </c>
      <c r="S25" s="204">
        <v>-96.844159999999505</v>
      </c>
      <c r="T25" s="229" t="s">
        <v>235</v>
      </c>
      <c r="U25" s="229" t="s">
        <v>236</v>
      </c>
      <c r="V25" s="205"/>
      <c r="W25" s="205">
        <v>1</v>
      </c>
      <c r="X25" s="205" t="s">
        <v>115</v>
      </c>
    </row>
    <row r="26" spans="2:34" ht="16.5">
      <c r="B26" s="474"/>
      <c r="C26" s="474"/>
      <c r="D26" s="209">
        <v>10</v>
      </c>
      <c r="E26" s="198" t="s">
        <v>260</v>
      </c>
      <c r="F26" s="204">
        <v>430.52749999999997</v>
      </c>
      <c r="G26" s="233">
        <v>452.16</v>
      </c>
      <c r="H26" s="233">
        <v>456.05</v>
      </c>
      <c r="I26" s="210">
        <f t="shared" si="1"/>
        <v>1.0086031493276717</v>
      </c>
      <c r="J26" s="233">
        <v>0</v>
      </c>
      <c r="K26" s="210">
        <f t="shared" si="2"/>
        <v>0</v>
      </c>
      <c r="L26" s="233">
        <v>132.47</v>
      </c>
      <c r="M26" s="211">
        <f t="shared" si="3"/>
        <v>1.0086031493276717</v>
      </c>
      <c r="N26" s="273">
        <v>515.30829999999821</v>
      </c>
      <c r="O26" s="230">
        <v>3.25</v>
      </c>
      <c r="P26" s="206">
        <v>7.1877211606510968E-3</v>
      </c>
      <c r="Q26" s="205">
        <v>0.63999999999998636</v>
      </c>
      <c r="R26" s="206">
        <v>1.4154281670204934E-3</v>
      </c>
      <c r="S26" s="204">
        <v>84.780799999998194</v>
      </c>
      <c r="T26" s="229" t="s">
        <v>235</v>
      </c>
      <c r="U26" s="229" t="s">
        <v>236</v>
      </c>
      <c r="V26" s="205"/>
      <c r="W26" s="205">
        <v>1</v>
      </c>
      <c r="X26" s="205" t="s">
        <v>103</v>
      </c>
    </row>
    <row r="27" spans="2:34" ht="16.5">
      <c r="B27" s="473">
        <v>45903</v>
      </c>
      <c r="C27" s="475" t="s">
        <v>58</v>
      </c>
      <c r="D27" s="209">
        <v>1</v>
      </c>
      <c r="E27" s="198" t="s">
        <v>259</v>
      </c>
      <c r="F27" s="199">
        <v>2324</v>
      </c>
      <c r="G27" s="234">
        <v>205.9</v>
      </c>
      <c r="H27" s="234">
        <v>216</v>
      </c>
      <c r="I27" s="210">
        <f t="shared" si="1"/>
        <v>1.0490529383195726</v>
      </c>
      <c r="J27" s="198">
        <v>0</v>
      </c>
      <c r="K27" s="210">
        <f t="shared" si="2"/>
        <v>0</v>
      </c>
      <c r="L27" s="233">
        <v>216.2</v>
      </c>
      <c r="M27" s="211">
        <f t="shared" si="3"/>
        <v>1.0490529383195726</v>
      </c>
      <c r="N27" s="199">
        <v>2179</v>
      </c>
      <c r="O27" s="198">
        <v>10.75</v>
      </c>
      <c r="P27" s="200">
        <v>5.1999999999999998E-2</v>
      </c>
      <c r="Q27" s="198">
        <v>-0.7</v>
      </c>
      <c r="R27" s="200">
        <v>-3.0000000000000001E-3</v>
      </c>
      <c r="S27" s="199">
        <v>-144.80000000000001</v>
      </c>
      <c r="T27" s="198" t="s">
        <v>251</v>
      </c>
      <c r="U27" s="229" t="s">
        <v>252</v>
      </c>
      <c r="V27" s="229" t="s">
        <v>253</v>
      </c>
      <c r="W27" s="205">
        <v>1</v>
      </c>
      <c r="X27" s="198" t="s">
        <v>115</v>
      </c>
    </row>
    <row r="28" spans="2:34" ht="16.5">
      <c r="B28" s="474"/>
      <c r="C28" s="474"/>
      <c r="D28" s="209">
        <v>2</v>
      </c>
      <c r="E28" s="198" t="s">
        <v>239</v>
      </c>
      <c r="F28" s="199">
        <v>1692</v>
      </c>
      <c r="G28" s="234">
        <v>252.9</v>
      </c>
      <c r="H28" s="234">
        <v>269</v>
      </c>
      <c r="I28" s="210">
        <f t="shared" si="1"/>
        <v>1.0636615262949782</v>
      </c>
      <c r="J28" s="198">
        <v>0</v>
      </c>
      <c r="K28" s="210">
        <f t="shared" si="2"/>
        <v>0</v>
      </c>
      <c r="L28" s="233">
        <v>115.1</v>
      </c>
      <c r="M28" s="211">
        <f t="shared" si="3"/>
        <v>1.0636615262949782</v>
      </c>
      <c r="N28" s="199">
        <v>1848</v>
      </c>
      <c r="O28" s="198">
        <v>14.7</v>
      </c>
      <c r="P28" s="200">
        <v>5.8000000000000003E-2</v>
      </c>
      <c r="Q28" s="198">
        <v>1.4</v>
      </c>
      <c r="R28" s="200">
        <v>5.0000000000000001E-3</v>
      </c>
      <c r="S28" s="199">
        <v>156.5</v>
      </c>
      <c r="T28" s="198" t="s">
        <v>251</v>
      </c>
      <c r="U28" s="229" t="s">
        <v>252</v>
      </c>
      <c r="V28" s="229" t="s">
        <v>253</v>
      </c>
      <c r="W28" s="205">
        <v>1</v>
      </c>
      <c r="X28" s="231" t="s">
        <v>116</v>
      </c>
      <c r="AA28" s="196">
        <v>1</v>
      </c>
      <c r="AB28" s="196" t="s">
        <v>261</v>
      </c>
    </row>
    <row r="29" spans="2:34" ht="16.5">
      <c r="B29" s="474"/>
      <c r="C29" s="474"/>
      <c r="D29" s="209">
        <v>3</v>
      </c>
      <c r="E29" s="198" t="s">
        <v>262</v>
      </c>
      <c r="F29" s="199">
        <v>841</v>
      </c>
      <c r="G29" s="234">
        <v>318.5</v>
      </c>
      <c r="H29" s="234">
        <v>318.8</v>
      </c>
      <c r="I29" s="210">
        <f t="shared" si="1"/>
        <v>1.0009419152276295</v>
      </c>
      <c r="J29" s="198">
        <v>0</v>
      </c>
      <c r="K29" s="210">
        <f t="shared" si="2"/>
        <v>0</v>
      </c>
      <c r="L29" s="233">
        <v>100</v>
      </c>
      <c r="M29" s="211">
        <f t="shared" si="3"/>
        <v>1.0009419152276295</v>
      </c>
      <c r="N29" s="199">
        <v>26</v>
      </c>
      <c r="O29" s="198">
        <v>8.4</v>
      </c>
      <c r="P29" s="200">
        <v>2.5999999999999999E-2</v>
      </c>
      <c r="Q29" s="198">
        <v>-8.1</v>
      </c>
      <c r="R29" s="200">
        <v>-2.5999999999999999E-2</v>
      </c>
      <c r="S29" s="199">
        <v>-814.9</v>
      </c>
      <c r="T29" s="229" t="s">
        <v>235</v>
      </c>
      <c r="U29" s="229" t="s">
        <v>236</v>
      </c>
      <c r="V29" s="198"/>
      <c r="W29" s="205">
        <v>1</v>
      </c>
      <c r="X29" s="198" t="s">
        <v>232</v>
      </c>
      <c r="AA29" s="196">
        <v>2</v>
      </c>
      <c r="AB29" s="196" t="s">
        <v>236</v>
      </c>
    </row>
    <row r="30" spans="2:34" ht="16.5">
      <c r="B30" s="474"/>
      <c r="C30" s="474"/>
      <c r="D30" s="209">
        <v>4</v>
      </c>
      <c r="E30" s="198" t="s">
        <v>263</v>
      </c>
      <c r="F30" s="199">
        <v>542</v>
      </c>
      <c r="G30" s="234">
        <v>396.5</v>
      </c>
      <c r="H30" s="234">
        <v>406</v>
      </c>
      <c r="I30" s="210">
        <f t="shared" si="1"/>
        <v>1.0239596469104666</v>
      </c>
      <c r="J30" s="198">
        <v>0</v>
      </c>
      <c r="K30" s="210">
        <f t="shared" si="2"/>
        <v>0</v>
      </c>
      <c r="L30" s="233">
        <v>85</v>
      </c>
      <c r="M30" s="211">
        <f t="shared" si="3"/>
        <v>1.0239596469104666</v>
      </c>
      <c r="N30" s="199">
        <v>0</v>
      </c>
      <c r="O30" s="198">
        <v>6.38</v>
      </c>
      <c r="P30" s="200">
        <v>1.6E-2</v>
      </c>
      <c r="Q30" s="198">
        <v>3.1</v>
      </c>
      <c r="R30" s="200">
        <v>8.0000000000000002E-3</v>
      </c>
      <c r="S30" s="199">
        <v>262</v>
      </c>
      <c r="T30" s="229" t="s">
        <v>235</v>
      </c>
      <c r="U30" s="229" t="s">
        <v>236</v>
      </c>
      <c r="V30" s="198"/>
      <c r="W30" s="205">
        <v>1</v>
      </c>
      <c r="X30" s="198" t="s">
        <v>122</v>
      </c>
      <c r="AA30" s="196">
        <v>3</v>
      </c>
      <c r="AB30" s="196" t="s">
        <v>264</v>
      </c>
    </row>
    <row r="31" spans="2:34" ht="16.5">
      <c r="B31" s="474"/>
      <c r="C31" s="474"/>
      <c r="D31" s="209">
        <v>5</v>
      </c>
      <c r="E31" s="198" t="s">
        <v>237</v>
      </c>
      <c r="F31" s="199">
        <v>513</v>
      </c>
      <c r="G31" s="234">
        <v>103.3</v>
      </c>
      <c r="H31" s="234">
        <v>104</v>
      </c>
      <c r="I31" s="210">
        <f t="shared" si="1"/>
        <v>1.0067763794772508</v>
      </c>
      <c r="J31" s="198">
        <v>0</v>
      </c>
      <c r="K31" s="210">
        <f t="shared" si="2"/>
        <v>0</v>
      </c>
      <c r="L31" s="233">
        <v>356.4</v>
      </c>
      <c r="M31" s="211">
        <f t="shared" si="3"/>
        <v>1.0067763794772508</v>
      </c>
      <c r="N31" s="199">
        <v>227</v>
      </c>
      <c r="O31" s="198">
        <v>1.44</v>
      </c>
      <c r="P31" s="200">
        <v>1.4E-2</v>
      </c>
      <c r="Q31" s="198">
        <v>-0.8</v>
      </c>
      <c r="R31" s="200">
        <v>-8.0000000000000002E-3</v>
      </c>
      <c r="S31" s="199">
        <v>-285.8</v>
      </c>
      <c r="T31" s="235" t="s">
        <v>230</v>
      </c>
      <c r="U31" s="229" t="s">
        <v>181</v>
      </c>
      <c r="V31" s="198" t="s">
        <v>246</v>
      </c>
      <c r="W31" s="205">
        <v>1</v>
      </c>
      <c r="X31" s="198" t="s">
        <v>104</v>
      </c>
      <c r="AA31" s="196">
        <v>4</v>
      </c>
      <c r="AB31" s="196" t="s">
        <v>165</v>
      </c>
    </row>
    <row r="32" spans="2:34" ht="16.5">
      <c r="B32" s="474"/>
      <c r="C32" s="474"/>
      <c r="D32" s="209">
        <v>6</v>
      </c>
      <c r="E32" s="198" t="s">
        <v>243</v>
      </c>
      <c r="F32" s="199">
        <v>479</v>
      </c>
      <c r="G32" s="234">
        <v>55.4</v>
      </c>
      <c r="H32" s="234">
        <v>55.6</v>
      </c>
      <c r="I32" s="210">
        <f t="shared" si="1"/>
        <v>1.0036101083032491</v>
      </c>
      <c r="J32" s="198">
        <v>0</v>
      </c>
      <c r="K32" s="210">
        <f t="shared" si="2"/>
        <v>0</v>
      </c>
      <c r="L32" s="233">
        <v>697.5</v>
      </c>
      <c r="M32" s="211">
        <f t="shared" si="3"/>
        <v>1.0036101083032491</v>
      </c>
      <c r="N32" s="199">
        <v>109</v>
      </c>
      <c r="O32" s="198">
        <v>0.69</v>
      </c>
      <c r="P32" s="200">
        <v>1.2E-2</v>
      </c>
      <c r="Q32" s="198">
        <v>-0.5</v>
      </c>
      <c r="R32" s="200">
        <v>-0.01</v>
      </c>
      <c r="S32" s="199">
        <v>-370.4</v>
      </c>
      <c r="T32" s="229" t="s">
        <v>235</v>
      </c>
      <c r="U32" s="229" t="s">
        <v>236</v>
      </c>
      <c r="V32" s="198"/>
      <c r="W32" s="205">
        <v>1</v>
      </c>
      <c r="X32" s="198" t="s">
        <v>244</v>
      </c>
      <c r="AA32" s="196">
        <v>5</v>
      </c>
      <c r="AB32" s="196" t="s">
        <v>172</v>
      </c>
    </row>
    <row r="33" spans="2:28" ht="16.5">
      <c r="B33" s="474"/>
      <c r="C33" s="474"/>
      <c r="D33" s="209">
        <v>7</v>
      </c>
      <c r="E33" s="198" t="s">
        <v>265</v>
      </c>
      <c r="F33" s="199">
        <v>446</v>
      </c>
      <c r="G33" s="234">
        <v>255.9</v>
      </c>
      <c r="H33" s="234">
        <v>255.9</v>
      </c>
      <c r="I33" s="210">
        <f t="shared" si="1"/>
        <v>1</v>
      </c>
      <c r="J33" s="198">
        <v>0</v>
      </c>
      <c r="K33" s="210">
        <f t="shared" si="2"/>
        <v>0</v>
      </c>
      <c r="L33" s="233">
        <v>140.6</v>
      </c>
      <c r="M33" s="211">
        <f t="shared" si="3"/>
        <v>1</v>
      </c>
      <c r="N33" s="199">
        <v>6</v>
      </c>
      <c r="O33" s="198">
        <v>3.17</v>
      </c>
      <c r="P33" s="200">
        <v>1.2E-2</v>
      </c>
      <c r="Q33" s="198">
        <v>-3.1</v>
      </c>
      <c r="R33" s="200">
        <v>-1.2E-2</v>
      </c>
      <c r="S33" s="199">
        <v>-439.3</v>
      </c>
      <c r="T33" s="229" t="s">
        <v>235</v>
      </c>
      <c r="U33" s="229" t="s">
        <v>236</v>
      </c>
      <c r="V33" s="198"/>
      <c r="W33" s="205">
        <v>1</v>
      </c>
      <c r="X33" s="198" t="s">
        <v>106</v>
      </c>
      <c r="AA33" s="196">
        <v>6</v>
      </c>
      <c r="AB33" s="196" t="s">
        <v>181</v>
      </c>
    </row>
    <row r="34" spans="2:28" ht="16.5">
      <c r="B34" s="474"/>
      <c r="C34" s="474"/>
      <c r="D34" s="209">
        <v>8</v>
      </c>
      <c r="E34" s="198" t="s">
        <v>266</v>
      </c>
      <c r="F34" s="199">
        <v>441</v>
      </c>
      <c r="G34" s="234">
        <v>63.8</v>
      </c>
      <c r="H34" s="234">
        <v>65.099999999999994</v>
      </c>
      <c r="I34" s="210">
        <f t="shared" si="1"/>
        <v>1.0203761755485894</v>
      </c>
      <c r="J34" s="198">
        <v>0</v>
      </c>
      <c r="K34" s="210">
        <f t="shared" si="2"/>
        <v>0</v>
      </c>
      <c r="L34" s="233">
        <v>420.4</v>
      </c>
      <c r="M34" s="211">
        <f t="shared" si="3"/>
        <v>1.0203761755485894</v>
      </c>
      <c r="N34" s="199">
        <v>434</v>
      </c>
      <c r="O34" s="198">
        <v>1.05</v>
      </c>
      <c r="P34" s="200">
        <v>1.6E-2</v>
      </c>
      <c r="Q34" s="198">
        <v>0.3</v>
      </c>
      <c r="R34" s="200">
        <v>4.0000000000000001E-3</v>
      </c>
      <c r="S34" s="199">
        <v>118.6</v>
      </c>
      <c r="T34" s="229" t="s">
        <v>230</v>
      </c>
      <c r="U34" s="229" t="s">
        <v>181</v>
      </c>
      <c r="V34" s="198" t="s">
        <v>267</v>
      </c>
      <c r="W34" s="205">
        <v>1</v>
      </c>
      <c r="X34" s="198" t="s">
        <v>105</v>
      </c>
      <c r="AA34" s="196">
        <v>7</v>
      </c>
      <c r="AB34" s="196" t="s">
        <v>252</v>
      </c>
    </row>
    <row r="35" spans="2:28" ht="16.5">
      <c r="B35" s="474"/>
      <c r="C35" s="474"/>
      <c r="D35" s="209">
        <v>9</v>
      </c>
      <c r="E35" s="198" t="s">
        <v>268</v>
      </c>
      <c r="F35" s="199">
        <v>418</v>
      </c>
      <c r="G35" s="234">
        <v>748</v>
      </c>
      <c r="H35" s="234">
        <v>750.2</v>
      </c>
      <c r="I35" s="210">
        <f t="shared" si="1"/>
        <v>1.0029411764705882</v>
      </c>
      <c r="J35" s="198">
        <v>0</v>
      </c>
      <c r="K35" s="210">
        <f t="shared" si="2"/>
        <v>0</v>
      </c>
      <c r="L35" s="233">
        <v>156.69999999999999</v>
      </c>
      <c r="M35" s="211">
        <f t="shared" si="3"/>
        <v>1.0029411764705882</v>
      </c>
      <c r="N35" s="199">
        <v>339</v>
      </c>
      <c r="O35" s="198">
        <v>2.67</v>
      </c>
      <c r="P35" s="200">
        <v>4.0000000000000001E-3</v>
      </c>
      <c r="Q35" s="198">
        <v>-0.5</v>
      </c>
      <c r="R35" s="200">
        <v>-1E-3</v>
      </c>
      <c r="S35" s="199">
        <v>-79.099999999999994</v>
      </c>
      <c r="T35" s="235" t="s">
        <v>235</v>
      </c>
      <c r="U35" s="229" t="s">
        <v>236</v>
      </c>
      <c r="V35" s="198"/>
      <c r="W35" s="205">
        <v>1</v>
      </c>
      <c r="X35" s="198" t="s">
        <v>244</v>
      </c>
      <c r="AA35" s="196">
        <v>8</v>
      </c>
      <c r="AB35" s="196" t="s">
        <v>269</v>
      </c>
    </row>
    <row r="36" spans="2:28" ht="16.5">
      <c r="B36" s="474"/>
      <c r="C36" s="474"/>
      <c r="D36" s="209">
        <v>10</v>
      </c>
      <c r="E36" s="198" t="s">
        <v>270</v>
      </c>
      <c r="F36" s="199">
        <v>368</v>
      </c>
      <c r="G36" s="234">
        <v>654.1</v>
      </c>
      <c r="H36" s="234">
        <v>666</v>
      </c>
      <c r="I36" s="210">
        <f t="shared" si="1"/>
        <v>1.0181929368598073</v>
      </c>
      <c r="J36" s="198">
        <v>0</v>
      </c>
      <c r="K36" s="210">
        <f t="shared" si="2"/>
        <v>0</v>
      </c>
      <c r="L36" s="233">
        <v>54.1</v>
      </c>
      <c r="M36" s="211">
        <f t="shared" si="3"/>
        <v>1.0181929368598073</v>
      </c>
      <c r="N36" s="199">
        <v>643</v>
      </c>
      <c r="O36" s="198">
        <v>6.8</v>
      </c>
      <c r="P36" s="200">
        <v>0.01</v>
      </c>
      <c r="Q36" s="198">
        <v>5.0999999999999996</v>
      </c>
      <c r="R36" s="200">
        <v>8.0000000000000002E-3</v>
      </c>
      <c r="S36" s="199">
        <v>274.60000000000002</v>
      </c>
      <c r="T36" s="235" t="s">
        <v>235</v>
      </c>
      <c r="U36" s="229" t="s">
        <v>236</v>
      </c>
      <c r="V36" s="198"/>
      <c r="W36" s="205">
        <v>1</v>
      </c>
      <c r="X36" s="198" t="s">
        <v>114</v>
      </c>
    </row>
    <row r="37" spans="2:28" ht="16.5">
      <c r="B37" s="473">
        <v>45904</v>
      </c>
      <c r="C37" s="475" t="s">
        <v>59</v>
      </c>
      <c r="D37" s="209">
        <v>1</v>
      </c>
      <c r="E37" s="198" t="s">
        <v>268</v>
      </c>
      <c r="F37" s="199">
        <v>2788.7260000000001</v>
      </c>
      <c r="G37" s="234">
        <v>655.56</v>
      </c>
      <c r="H37" s="234">
        <v>675</v>
      </c>
      <c r="I37" s="210">
        <f t="shared" si="1"/>
        <v>1.0296540362438222</v>
      </c>
      <c r="J37" s="198">
        <v>0</v>
      </c>
      <c r="K37" s="210">
        <f t="shared" si="2"/>
        <v>0</v>
      </c>
      <c r="L37" s="234">
        <v>156.66999999999999</v>
      </c>
      <c r="M37" s="211">
        <f t="shared" si="3"/>
        <v>1.0296540362438222</v>
      </c>
      <c r="N37" s="199">
        <v>3045.6648000000082</v>
      </c>
      <c r="O37" s="198">
        <v>17.8</v>
      </c>
      <c r="P37" s="200">
        <v>2.7152358289096349E-2</v>
      </c>
      <c r="Q37" s="198">
        <v>1.6400000000000539</v>
      </c>
      <c r="R37" s="200">
        <v>2.5016779547258131E-3</v>
      </c>
      <c r="S37" s="199">
        <v>256.93880000000843</v>
      </c>
      <c r="T37" s="198" t="s">
        <v>251</v>
      </c>
      <c r="U37" s="229" t="s">
        <v>252</v>
      </c>
      <c r="V37" s="229" t="s">
        <v>253</v>
      </c>
      <c r="W37" s="205">
        <v>1</v>
      </c>
      <c r="X37" s="198" t="s">
        <v>244</v>
      </c>
    </row>
    <row r="38" spans="2:28" ht="16.5">
      <c r="B38" s="474"/>
      <c r="C38" s="474"/>
      <c r="D38" s="209">
        <v>2</v>
      </c>
      <c r="E38" s="198" t="s">
        <v>271</v>
      </c>
      <c r="F38" s="199">
        <v>1645.692</v>
      </c>
      <c r="G38" s="234">
        <v>189.9</v>
      </c>
      <c r="H38" s="234">
        <v>204.71799999999999</v>
      </c>
      <c r="I38" s="210">
        <f t="shared" si="1"/>
        <v>1.0780305423907319</v>
      </c>
      <c r="J38" s="198">
        <v>0</v>
      </c>
      <c r="K38" s="210">
        <f t="shared" si="2"/>
        <v>0</v>
      </c>
      <c r="L38" s="234">
        <v>141.9</v>
      </c>
      <c r="M38" s="211">
        <f t="shared" si="3"/>
        <v>1.0780305423907319</v>
      </c>
      <c r="N38" s="199">
        <v>2102.2296599999977</v>
      </c>
      <c r="O38" s="198">
        <v>11.6</v>
      </c>
      <c r="P38" s="200">
        <v>6.108478146392838E-2</v>
      </c>
      <c r="Q38" s="198">
        <v>3.217999999999984</v>
      </c>
      <c r="R38" s="200">
        <v>1.6945760926803496E-2</v>
      </c>
      <c r="S38" s="199">
        <v>456.63419999999775</v>
      </c>
      <c r="T38" s="198" t="s">
        <v>251</v>
      </c>
      <c r="U38" s="229" t="s">
        <v>252</v>
      </c>
      <c r="V38" s="229" t="s">
        <v>253</v>
      </c>
      <c r="W38" s="205">
        <v>1</v>
      </c>
      <c r="X38" s="198" t="s">
        <v>109</v>
      </c>
      <c r="AA38" s="236">
        <v>1</v>
      </c>
      <c r="AB38" s="196" t="s">
        <v>235</v>
      </c>
    </row>
    <row r="39" spans="2:28" ht="16.5">
      <c r="B39" s="474"/>
      <c r="C39" s="474"/>
      <c r="D39" s="209">
        <v>3</v>
      </c>
      <c r="E39" s="198" t="s">
        <v>234</v>
      </c>
      <c r="F39" s="199">
        <v>1307.1590000000001</v>
      </c>
      <c r="G39" s="234">
        <v>124.74</v>
      </c>
      <c r="H39" s="234">
        <v>135</v>
      </c>
      <c r="I39" s="210">
        <f t="shared" si="1"/>
        <v>1.0822510822510822</v>
      </c>
      <c r="J39" s="198">
        <v>0</v>
      </c>
      <c r="K39" s="210">
        <f t="shared" si="2"/>
        <v>0</v>
      </c>
      <c r="L39" s="234">
        <v>162.38</v>
      </c>
      <c r="M39" s="211">
        <f t="shared" si="3"/>
        <v>1.0822510822510822</v>
      </c>
      <c r="N39" s="199">
        <v>1666.0188000000007</v>
      </c>
      <c r="O39" s="198">
        <v>8.0500000000000007</v>
      </c>
      <c r="P39" s="200">
        <v>6.4534231200897879E-2</v>
      </c>
      <c r="Q39" s="198">
        <v>2.2100000000000044</v>
      </c>
      <c r="R39" s="200">
        <v>1.7716851050184418E-2</v>
      </c>
      <c r="S39" s="199">
        <v>358.85980000000069</v>
      </c>
      <c r="T39" s="198" t="s">
        <v>251</v>
      </c>
      <c r="U39" s="229" t="s">
        <v>252</v>
      </c>
      <c r="V39" s="229" t="s">
        <v>253</v>
      </c>
      <c r="W39" s="205">
        <v>1</v>
      </c>
      <c r="X39" s="198" t="s">
        <v>113</v>
      </c>
      <c r="AA39" s="196">
        <v>2</v>
      </c>
      <c r="AB39" s="196" t="s">
        <v>272</v>
      </c>
    </row>
    <row r="40" spans="2:28" ht="16.5">
      <c r="B40" s="474"/>
      <c r="C40" s="474"/>
      <c r="D40" s="209">
        <v>4</v>
      </c>
      <c r="E40" s="198" t="s">
        <v>273</v>
      </c>
      <c r="F40" s="199">
        <v>791.70939999999996</v>
      </c>
      <c r="G40" s="234">
        <v>131.69999999999999</v>
      </c>
      <c r="H40" s="234">
        <v>142</v>
      </c>
      <c r="I40" s="210">
        <f t="shared" si="1"/>
        <v>1.0782080485952925</v>
      </c>
      <c r="J40" s="198">
        <v>0</v>
      </c>
      <c r="K40" s="210">
        <f t="shared" si="2"/>
        <v>0</v>
      </c>
      <c r="L40" s="234">
        <v>112.94</v>
      </c>
      <c r="M40" s="211">
        <f t="shared" si="3"/>
        <v>1.0782080485952925</v>
      </c>
      <c r="N40" s="199">
        <v>1163.2820000000013</v>
      </c>
      <c r="O40" s="198">
        <v>7.01</v>
      </c>
      <c r="P40" s="200">
        <v>5.3227031131359154E-2</v>
      </c>
      <c r="Q40" s="198">
        <v>3.2900000000000116</v>
      </c>
      <c r="R40" s="200">
        <v>2.4981017463933271E-2</v>
      </c>
      <c r="S40" s="199">
        <v>371.57260000000127</v>
      </c>
      <c r="T40" s="198" t="s">
        <v>251</v>
      </c>
      <c r="U40" s="229" t="s">
        <v>252</v>
      </c>
      <c r="V40" s="229" t="s">
        <v>253</v>
      </c>
      <c r="W40" s="205">
        <v>1</v>
      </c>
      <c r="X40" s="198" t="s">
        <v>110</v>
      </c>
      <c r="AA40" s="237">
        <v>3</v>
      </c>
      <c r="AB40" s="196" t="s">
        <v>230</v>
      </c>
    </row>
    <row r="41" spans="2:28" ht="16.5">
      <c r="B41" s="474"/>
      <c r="C41" s="474"/>
      <c r="D41" s="209">
        <v>5</v>
      </c>
      <c r="E41" s="198" t="s">
        <v>265</v>
      </c>
      <c r="F41" s="199">
        <v>677.22591999999997</v>
      </c>
      <c r="G41" s="234">
        <v>232.15199999999999</v>
      </c>
      <c r="H41" s="234">
        <v>232.69</v>
      </c>
      <c r="I41" s="210">
        <f t="shared" si="1"/>
        <v>1.0023174471897722</v>
      </c>
      <c r="J41" s="198">
        <v>0</v>
      </c>
      <c r="K41" s="210">
        <f t="shared" si="2"/>
        <v>0</v>
      </c>
      <c r="L41" s="234">
        <v>140.62</v>
      </c>
      <c r="M41" s="211">
        <f t="shared" si="3"/>
        <v>1.0023174471897722</v>
      </c>
      <c r="N41" s="199">
        <v>75.653560000001534</v>
      </c>
      <c r="O41" s="198">
        <v>4.8159999999999998</v>
      </c>
      <c r="P41" s="200">
        <v>2.0745029118853165E-2</v>
      </c>
      <c r="Q41" s="198">
        <v>-4.2779999999999889</v>
      </c>
      <c r="R41" s="200">
        <v>-1.8427581929080901E-2</v>
      </c>
      <c r="S41" s="199">
        <v>-601.57235999999841</v>
      </c>
      <c r="T41" s="198" t="s">
        <v>235</v>
      </c>
      <c r="U41" s="229" t="s">
        <v>236</v>
      </c>
      <c r="V41" s="198"/>
      <c r="W41" s="205">
        <v>1</v>
      </c>
      <c r="X41" s="198" t="s">
        <v>106</v>
      </c>
      <c r="AA41" s="237">
        <v>4</v>
      </c>
      <c r="AB41" s="196" t="s">
        <v>251</v>
      </c>
    </row>
    <row r="42" spans="2:28" ht="16.5">
      <c r="B42" s="474"/>
      <c r="C42" s="474"/>
      <c r="D42" s="209">
        <v>6</v>
      </c>
      <c r="E42" s="198" t="s">
        <v>237</v>
      </c>
      <c r="F42" s="199">
        <v>536.33684999999991</v>
      </c>
      <c r="G42" s="234">
        <v>94.031000000000006</v>
      </c>
      <c r="H42" s="234">
        <v>94.585999999999999</v>
      </c>
      <c r="I42" s="210">
        <f t="shared" si="1"/>
        <v>1.005902308813051</v>
      </c>
      <c r="J42" s="198">
        <v>0</v>
      </c>
      <c r="K42" s="210">
        <f t="shared" si="2"/>
        <v>0</v>
      </c>
      <c r="L42" s="234">
        <v>356.37</v>
      </c>
      <c r="M42" s="211">
        <f t="shared" si="3"/>
        <v>1.005902308813051</v>
      </c>
      <c r="N42" s="199">
        <v>197.78534999999738</v>
      </c>
      <c r="O42" s="198">
        <v>1.5049999999999999</v>
      </c>
      <c r="P42" s="200">
        <v>1.6005359934489687E-2</v>
      </c>
      <c r="Q42" s="198">
        <v>-0.95000000000000728</v>
      </c>
      <c r="R42" s="200">
        <v>-1.0103051121438751E-2</v>
      </c>
      <c r="S42" s="199">
        <v>-338.55150000000259</v>
      </c>
      <c r="T42" s="198" t="s">
        <v>235</v>
      </c>
      <c r="U42" s="229" t="s">
        <v>236</v>
      </c>
      <c r="V42" s="198"/>
      <c r="W42" s="205">
        <v>1</v>
      </c>
      <c r="X42" s="198" t="s">
        <v>104</v>
      </c>
      <c r="AA42" s="196">
        <v>5</v>
      </c>
      <c r="AB42" s="196" t="s">
        <v>274</v>
      </c>
    </row>
    <row r="43" spans="2:28" ht="16.5">
      <c r="B43" s="474"/>
      <c r="C43" s="474"/>
      <c r="D43" s="209">
        <v>7</v>
      </c>
      <c r="E43" s="198" t="s">
        <v>241</v>
      </c>
      <c r="F43" s="199">
        <v>461.72539999999998</v>
      </c>
      <c r="G43" s="234">
        <v>46.96</v>
      </c>
      <c r="H43" s="234">
        <v>47.311999999999998</v>
      </c>
      <c r="I43" s="210">
        <f t="shared" si="1"/>
        <v>1.007495741056218</v>
      </c>
      <c r="J43" s="198">
        <v>0</v>
      </c>
      <c r="K43" s="210">
        <f t="shared" si="2"/>
        <v>0</v>
      </c>
      <c r="L43" s="234">
        <v>536.89</v>
      </c>
      <c r="M43" s="211">
        <f t="shared" si="3"/>
        <v>1.007495741056218</v>
      </c>
      <c r="N43" s="199">
        <v>188.98527999999826</v>
      </c>
      <c r="O43" s="198">
        <v>0.86</v>
      </c>
      <c r="P43" s="200">
        <v>1.8313458262350937E-2</v>
      </c>
      <c r="Q43" s="198">
        <v>-0.50800000000000323</v>
      </c>
      <c r="R43" s="200">
        <v>-1.0817717206132947E-2</v>
      </c>
      <c r="S43" s="199">
        <v>-272.74012000000175</v>
      </c>
      <c r="T43" s="198" t="s">
        <v>235</v>
      </c>
      <c r="U43" s="229" t="s">
        <v>236</v>
      </c>
      <c r="V43" s="198"/>
      <c r="W43" s="205">
        <v>1</v>
      </c>
      <c r="X43" s="198" t="s">
        <v>105</v>
      </c>
    </row>
    <row r="44" spans="2:28" ht="16.5">
      <c r="B44" s="474"/>
      <c r="C44" s="474"/>
      <c r="D44" s="209">
        <v>8</v>
      </c>
      <c r="E44" s="198" t="s">
        <v>275</v>
      </c>
      <c r="F44" s="199">
        <v>454.03146000000004</v>
      </c>
      <c r="G44" s="234">
        <v>137.47999999999999</v>
      </c>
      <c r="H44" s="234">
        <v>139.16499999999999</v>
      </c>
      <c r="I44" s="210">
        <f t="shared" si="1"/>
        <v>1.0122563281931918</v>
      </c>
      <c r="J44" s="198">
        <v>0</v>
      </c>
      <c r="K44" s="210">
        <f t="shared" si="2"/>
        <v>0</v>
      </c>
      <c r="L44" s="234">
        <v>108.18</v>
      </c>
      <c r="M44" s="211">
        <f t="shared" si="3"/>
        <v>1.0122563281931918</v>
      </c>
      <c r="N44" s="199">
        <v>182.28330000000025</v>
      </c>
      <c r="O44" s="198">
        <v>4.1970000000000001</v>
      </c>
      <c r="P44" s="200">
        <v>3.0528076811172537E-2</v>
      </c>
      <c r="Q44" s="198">
        <v>-2.5119999999999978</v>
      </c>
      <c r="R44" s="200">
        <v>-1.8271748617980782E-2</v>
      </c>
      <c r="S44" s="199">
        <v>-271.74815999999976</v>
      </c>
      <c r="T44" s="198" t="s">
        <v>235</v>
      </c>
      <c r="U44" s="229" t="s">
        <v>236</v>
      </c>
      <c r="V44" s="198"/>
      <c r="W44" s="205">
        <v>1</v>
      </c>
      <c r="X44" s="198" t="s">
        <v>108</v>
      </c>
    </row>
    <row r="45" spans="2:28" ht="16.5">
      <c r="B45" s="474"/>
      <c r="C45" s="474"/>
      <c r="D45" s="209">
        <v>9</v>
      </c>
      <c r="E45" s="198" t="s">
        <v>266</v>
      </c>
      <c r="F45" s="199">
        <v>422.51204999999999</v>
      </c>
      <c r="G45" s="234">
        <v>56.351999999999997</v>
      </c>
      <c r="H45" s="234">
        <v>57.776000000000003</v>
      </c>
      <c r="I45" s="210">
        <f t="shared" si="1"/>
        <v>1.0252697331061897</v>
      </c>
      <c r="J45" s="198">
        <v>0</v>
      </c>
      <c r="K45" s="210">
        <f t="shared" si="2"/>
        <v>0</v>
      </c>
      <c r="L45" s="234">
        <v>420.41</v>
      </c>
      <c r="M45" s="211">
        <f t="shared" si="3"/>
        <v>1.0252697331061897</v>
      </c>
      <c r="N45" s="199">
        <v>598.66384000000278</v>
      </c>
      <c r="O45" s="198">
        <v>1.0049999999999999</v>
      </c>
      <c r="P45" s="200">
        <v>1.7834327086882453E-2</v>
      </c>
      <c r="Q45" s="198">
        <v>0.4190000000000067</v>
      </c>
      <c r="R45" s="200">
        <v>7.4354060193073312E-3</v>
      </c>
      <c r="S45" s="199">
        <v>176.15179000000282</v>
      </c>
      <c r="T45" s="229" t="s">
        <v>230</v>
      </c>
      <c r="U45" s="229" t="s">
        <v>181</v>
      </c>
      <c r="V45" s="198" t="s">
        <v>267</v>
      </c>
      <c r="W45" s="205">
        <v>1</v>
      </c>
      <c r="X45" s="198" t="s">
        <v>105</v>
      </c>
    </row>
    <row r="46" spans="2:28" ht="16.5">
      <c r="B46" s="474"/>
      <c r="C46" s="474"/>
      <c r="D46" s="209">
        <v>10</v>
      </c>
      <c r="E46" s="198" t="s">
        <v>229</v>
      </c>
      <c r="F46" s="199">
        <v>402.02470000000005</v>
      </c>
      <c r="G46" s="234">
        <v>181.74</v>
      </c>
      <c r="H46" s="234">
        <v>188.26300000000001</v>
      </c>
      <c r="I46" s="210">
        <f t="shared" si="1"/>
        <v>1.0358919335314185</v>
      </c>
      <c r="J46" s="198">
        <v>0</v>
      </c>
      <c r="K46" s="210">
        <f t="shared" si="2"/>
        <v>0</v>
      </c>
      <c r="L46" s="234">
        <v>335.3</v>
      </c>
      <c r="M46" s="211">
        <f t="shared" si="3"/>
        <v>1.0358919335314185</v>
      </c>
      <c r="N46" s="199">
        <v>2187.1618999999987</v>
      </c>
      <c r="O46" s="198">
        <v>1.1990000000000001</v>
      </c>
      <c r="P46" s="200">
        <v>6.5973368548475847E-3</v>
      </c>
      <c r="Q46" s="198">
        <v>5.3239999999999963</v>
      </c>
      <c r="R46" s="200">
        <v>2.9294596676570903E-2</v>
      </c>
      <c r="S46" s="199">
        <v>1785.1371999999988</v>
      </c>
      <c r="T46" s="229" t="s">
        <v>230</v>
      </c>
      <c r="U46" s="229" t="s">
        <v>181</v>
      </c>
      <c r="V46" s="198" t="s">
        <v>276</v>
      </c>
      <c r="W46" s="205">
        <v>1</v>
      </c>
      <c r="X46" s="198" t="s">
        <v>232</v>
      </c>
    </row>
    <row r="47" spans="2:28" ht="16.5">
      <c r="B47" s="473">
        <v>45905</v>
      </c>
      <c r="C47" s="475" t="s">
        <v>60</v>
      </c>
      <c r="D47" s="209">
        <v>1</v>
      </c>
      <c r="E47" s="198" t="s">
        <v>258</v>
      </c>
      <c r="F47" s="199">
        <v>703</v>
      </c>
      <c r="G47" s="234">
        <v>38.6</v>
      </c>
      <c r="H47" s="234">
        <v>38.884999999999998</v>
      </c>
      <c r="I47" s="210">
        <f t="shared" si="1"/>
        <v>1.0073834196891192</v>
      </c>
      <c r="J47" s="198">
        <v>0</v>
      </c>
      <c r="K47" s="210">
        <f t="shared" si="2"/>
        <v>0</v>
      </c>
      <c r="L47" s="199">
        <v>821.74</v>
      </c>
      <c r="M47" s="211">
        <f t="shared" si="3"/>
        <v>1.0073834196891192</v>
      </c>
      <c r="N47" s="199">
        <v>234.19589999999721</v>
      </c>
      <c r="O47" s="198">
        <v>0.85599999999999998</v>
      </c>
      <c r="P47" s="200">
        <v>2.2176165803108806E-2</v>
      </c>
      <c r="Q47" s="198">
        <v>-0.57100000000000339</v>
      </c>
      <c r="R47" s="200">
        <v>-1.4792746113989725E-2</v>
      </c>
      <c r="S47" s="199">
        <v>-469.21354000000281</v>
      </c>
      <c r="T47" s="229" t="s">
        <v>235</v>
      </c>
      <c r="U47" s="229" t="s">
        <v>236</v>
      </c>
      <c r="V47" s="198"/>
      <c r="W47" s="205">
        <v>1</v>
      </c>
      <c r="X47" s="198" t="s">
        <v>108</v>
      </c>
    </row>
    <row r="48" spans="2:28" ht="16.5">
      <c r="B48" s="474"/>
      <c r="C48" s="474"/>
      <c r="D48" s="209">
        <v>2</v>
      </c>
      <c r="E48" s="198" t="s">
        <v>229</v>
      </c>
      <c r="F48" s="199">
        <v>530.7799</v>
      </c>
      <c r="G48" s="234">
        <v>139.19999999999999</v>
      </c>
      <c r="H48" s="234">
        <v>144.85</v>
      </c>
      <c r="I48" s="210">
        <f t="shared" si="1"/>
        <v>1.0405890804597702</v>
      </c>
      <c r="J48" s="198">
        <v>0</v>
      </c>
      <c r="K48" s="210">
        <f t="shared" si="2"/>
        <v>0</v>
      </c>
      <c r="L48" s="199">
        <v>335.3</v>
      </c>
      <c r="M48" s="211">
        <f t="shared" si="3"/>
        <v>1.0405890804597702</v>
      </c>
      <c r="N48" s="199">
        <v>1894.445000000002</v>
      </c>
      <c r="O48" s="198">
        <v>1.583</v>
      </c>
      <c r="P48" s="200">
        <v>1.1372126436781611E-2</v>
      </c>
      <c r="Q48" s="198">
        <v>4.0670000000000055</v>
      </c>
      <c r="R48" s="200">
        <v>2.9216954022988548E-2</v>
      </c>
      <c r="S48" s="199">
        <v>1363.665100000002</v>
      </c>
      <c r="T48" s="229" t="s">
        <v>230</v>
      </c>
      <c r="U48" s="229" t="s">
        <v>181</v>
      </c>
      <c r="V48" s="198" t="s">
        <v>231</v>
      </c>
      <c r="W48" s="205">
        <v>1</v>
      </c>
      <c r="X48" s="198" t="s">
        <v>232</v>
      </c>
    </row>
    <row r="49" spans="2:24" ht="16.5">
      <c r="B49" s="474"/>
      <c r="C49" s="474"/>
      <c r="D49" s="209">
        <v>3</v>
      </c>
      <c r="E49" s="198" t="s">
        <v>249</v>
      </c>
      <c r="F49" s="199">
        <v>451.21496999999999</v>
      </c>
      <c r="G49" s="234">
        <v>8.6199999999999992</v>
      </c>
      <c r="H49" s="234">
        <v>8.8469999999999995</v>
      </c>
      <c r="I49" s="210">
        <f t="shared" si="1"/>
        <v>1.0263341067285383</v>
      </c>
      <c r="J49" s="198">
        <v>0</v>
      </c>
      <c r="K49" s="210">
        <f t="shared" si="2"/>
        <v>0</v>
      </c>
      <c r="L49" s="199">
        <v>922.73</v>
      </c>
      <c r="M49" s="211">
        <f t="shared" si="3"/>
        <v>1.0263341067285383</v>
      </c>
      <c r="N49" s="199">
        <v>209.45971000000029</v>
      </c>
      <c r="O49" s="198">
        <v>0.48899999999999999</v>
      </c>
      <c r="P49" s="200">
        <v>5.6728538283062652E-2</v>
      </c>
      <c r="Q49" s="198">
        <v>-0.26199999999999968</v>
      </c>
      <c r="R49" s="200">
        <v>-3.0394431554524329E-2</v>
      </c>
      <c r="S49" s="199">
        <v>-241.75525999999971</v>
      </c>
      <c r="T49" s="235" t="s">
        <v>235</v>
      </c>
      <c r="U49" s="229" t="s">
        <v>236</v>
      </c>
      <c r="V49" s="198"/>
      <c r="W49" s="205">
        <v>1</v>
      </c>
      <c r="X49" s="198" t="s">
        <v>113</v>
      </c>
    </row>
    <row r="50" spans="2:24" ht="16.5">
      <c r="B50" s="474"/>
      <c r="C50" s="474"/>
      <c r="D50" s="209">
        <v>4</v>
      </c>
      <c r="E50" s="198" t="s">
        <v>275</v>
      </c>
      <c r="F50" s="199">
        <v>401.45598000000001</v>
      </c>
      <c r="G50" s="234">
        <v>108.08</v>
      </c>
      <c r="H50" s="234">
        <v>110.235</v>
      </c>
      <c r="I50" s="210">
        <f t="shared" si="1"/>
        <v>1.019938934122872</v>
      </c>
      <c r="J50" s="198">
        <v>0</v>
      </c>
      <c r="K50" s="210">
        <f t="shared" si="2"/>
        <v>0</v>
      </c>
      <c r="L50" s="199">
        <v>108.18</v>
      </c>
      <c r="M50" s="211">
        <f t="shared" si="3"/>
        <v>1.019938934122872</v>
      </c>
      <c r="N50" s="199">
        <v>233.12790000000012</v>
      </c>
      <c r="O50" s="198">
        <v>3.7109999999999999</v>
      </c>
      <c r="P50" s="200">
        <v>3.4335677276091783E-2</v>
      </c>
      <c r="Q50" s="198">
        <v>-1.5559999999999987</v>
      </c>
      <c r="R50" s="200">
        <v>-1.4396743153219826E-2</v>
      </c>
      <c r="S50" s="199">
        <v>-168.32807999999986</v>
      </c>
      <c r="T50" s="235" t="s">
        <v>235</v>
      </c>
      <c r="U50" s="229" t="s">
        <v>236</v>
      </c>
      <c r="V50" s="198"/>
      <c r="W50" s="205">
        <v>1</v>
      </c>
      <c r="X50" s="198" t="s">
        <v>108</v>
      </c>
    </row>
    <row r="51" spans="2:24" ht="16.5">
      <c r="B51" s="474"/>
      <c r="C51" s="474"/>
      <c r="D51" s="209">
        <v>5</v>
      </c>
      <c r="E51" s="198" t="s">
        <v>160</v>
      </c>
      <c r="F51" s="199">
        <v>313.19168000000002</v>
      </c>
      <c r="G51" s="234">
        <v>92.715000000000003</v>
      </c>
      <c r="H51" s="234">
        <v>93.456000000000003</v>
      </c>
      <c r="I51" s="210">
        <f t="shared" si="1"/>
        <v>1.0079922342662999</v>
      </c>
      <c r="J51" s="198">
        <v>0</v>
      </c>
      <c r="K51" s="210">
        <f t="shared" si="2"/>
        <v>0</v>
      </c>
      <c r="L51" s="199">
        <v>575.72</v>
      </c>
      <c r="M51" s="211">
        <f t="shared" si="3"/>
        <v>1.0079922342662999</v>
      </c>
      <c r="N51" s="199">
        <v>426.60851999999983</v>
      </c>
      <c r="O51" s="198">
        <v>0.54400000000000004</v>
      </c>
      <c r="P51" s="200">
        <v>5.8674432400366719E-3</v>
      </c>
      <c r="Q51" s="198">
        <v>0.19699999999999962</v>
      </c>
      <c r="R51" s="200">
        <v>2.1247910262632758E-3</v>
      </c>
      <c r="S51" s="199">
        <v>113.41683999999978</v>
      </c>
      <c r="T51" s="235" t="s">
        <v>235</v>
      </c>
      <c r="U51" s="229" t="s">
        <v>236</v>
      </c>
      <c r="V51" s="198"/>
      <c r="W51" s="205">
        <v>1</v>
      </c>
      <c r="X51" s="198" t="s">
        <v>106</v>
      </c>
    </row>
    <row r="52" spans="2:24" ht="16.5">
      <c r="B52" s="474"/>
      <c r="C52" s="474"/>
      <c r="D52" s="209">
        <v>6</v>
      </c>
      <c r="E52" s="198" t="s">
        <v>248</v>
      </c>
      <c r="F52" s="199">
        <v>304.71895999999998</v>
      </c>
      <c r="G52" s="234">
        <v>787.38</v>
      </c>
      <c r="H52" s="234">
        <v>801.47</v>
      </c>
      <c r="I52" s="210">
        <f t="shared" si="1"/>
        <v>1.0178947903172548</v>
      </c>
      <c r="J52" s="198">
        <v>0</v>
      </c>
      <c r="K52" s="210">
        <f t="shared" si="2"/>
        <v>0</v>
      </c>
      <c r="L52" s="199">
        <v>34.58</v>
      </c>
      <c r="M52" s="211">
        <f t="shared" si="3"/>
        <v>1.0178947903172548</v>
      </c>
      <c r="N52" s="199">
        <v>487.23220000000106</v>
      </c>
      <c r="O52" s="198">
        <v>8.8119999999999994</v>
      </c>
      <c r="P52" s="200">
        <v>1.1191546648378166E-2</v>
      </c>
      <c r="Q52" s="198">
        <v>5.2780000000000324</v>
      </c>
      <c r="R52" s="200">
        <v>6.7032436688765681E-3</v>
      </c>
      <c r="S52" s="199">
        <v>182.5132400000011</v>
      </c>
      <c r="T52" s="235" t="s">
        <v>235</v>
      </c>
      <c r="U52" s="229" t="s">
        <v>236</v>
      </c>
      <c r="V52" s="198"/>
      <c r="W52" s="205">
        <v>1</v>
      </c>
      <c r="X52" s="198" t="s">
        <v>244</v>
      </c>
    </row>
    <row r="53" spans="2:24" ht="16.5">
      <c r="B53" s="474"/>
      <c r="C53" s="474"/>
      <c r="D53" s="209">
        <v>7</v>
      </c>
      <c r="E53" s="198" t="s">
        <v>265</v>
      </c>
      <c r="F53" s="199">
        <v>298.8175</v>
      </c>
      <c r="G53" s="234">
        <v>180.13200000000001</v>
      </c>
      <c r="H53" s="234">
        <v>180.39500000000001</v>
      </c>
      <c r="I53" s="210">
        <f t="shared" si="1"/>
        <v>1.0014600404148069</v>
      </c>
      <c r="J53" s="198">
        <v>0</v>
      </c>
      <c r="K53" s="210">
        <f t="shared" si="2"/>
        <v>0</v>
      </c>
      <c r="L53" s="199">
        <v>140.62</v>
      </c>
      <c r="M53" s="211">
        <f t="shared" si="3"/>
        <v>1.0014600404148069</v>
      </c>
      <c r="N53" s="199">
        <v>36.983060000000734</v>
      </c>
      <c r="O53" s="198">
        <v>2.125</v>
      </c>
      <c r="P53" s="200">
        <v>1.179690449226123E-2</v>
      </c>
      <c r="Q53" s="198">
        <v>-1.8619999999999948</v>
      </c>
      <c r="R53" s="200">
        <v>-1.0336864077454282E-2</v>
      </c>
      <c r="S53" s="199">
        <v>-261.83443999999929</v>
      </c>
      <c r="T53" s="235" t="s">
        <v>235</v>
      </c>
      <c r="U53" s="229" t="s">
        <v>236</v>
      </c>
      <c r="V53" s="198"/>
      <c r="W53" s="205">
        <v>1</v>
      </c>
      <c r="X53" s="198" t="s">
        <v>106</v>
      </c>
    </row>
    <row r="54" spans="2:24" ht="16.5">
      <c r="B54" s="474"/>
      <c r="C54" s="474"/>
      <c r="D54" s="209">
        <v>8</v>
      </c>
      <c r="E54" s="198" t="s">
        <v>248</v>
      </c>
      <c r="F54" s="199">
        <v>278.92228</v>
      </c>
      <c r="G54" s="234">
        <v>828.96</v>
      </c>
      <c r="H54" s="234">
        <v>848</v>
      </c>
      <c r="I54" s="210">
        <f t="shared" si="1"/>
        <v>1.0229685388921057</v>
      </c>
      <c r="J54" s="198">
        <v>0</v>
      </c>
      <c r="K54" s="210">
        <f t="shared" si="2"/>
        <v>0</v>
      </c>
      <c r="L54" s="199">
        <v>34.58</v>
      </c>
      <c r="M54" s="211">
        <f t="shared" si="3"/>
        <v>1.0229685388921057</v>
      </c>
      <c r="N54" s="199">
        <v>658.40319999999872</v>
      </c>
      <c r="O54" s="198">
        <v>8.0660000000000007</v>
      </c>
      <c r="P54" s="200">
        <v>9.7302644277166579E-3</v>
      </c>
      <c r="Q54" s="198">
        <v>10.973999999999963</v>
      </c>
      <c r="R54" s="200">
        <v>1.3238274464389068E-2</v>
      </c>
      <c r="S54" s="199">
        <v>379.48091999999872</v>
      </c>
      <c r="T54" s="235" t="s">
        <v>235</v>
      </c>
      <c r="U54" s="229" t="s">
        <v>236</v>
      </c>
      <c r="V54" s="198"/>
      <c r="W54" s="205">
        <v>1</v>
      </c>
      <c r="X54" s="198" t="s">
        <v>103</v>
      </c>
    </row>
    <row r="55" spans="2:24" ht="16.5">
      <c r="B55" s="474"/>
      <c r="C55" s="474"/>
      <c r="D55" s="209">
        <v>9</v>
      </c>
      <c r="E55" s="198" t="s">
        <v>277</v>
      </c>
      <c r="F55" s="199">
        <v>274.51</v>
      </c>
      <c r="G55" s="234">
        <v>12930</v>
      </c>
      <c r="H55" s="234">
        <v>13038</v>
      </c>
      <c r="I55" s="210">
        <f t="shared" si="1"/>
        <v>1.0083526682134571</v>
      </c>
      <c r="J55" s="198">
        <v>0</v>
      </c>
      <c r="K55" s="210">
        <f t="shared" si="2"/>
        <v>0</v>
      </c>
      <c r="L55" s="199">
        <v>2.83</v>
      </c>
      <c r="M55" s="211">
        <f t="shared" si="3"/>
        <v>1.0083526682134571</v>
      </c>
      <c r="N55" s="199">
        <v>305.64</v>
      </c>
      <c r="O55" s="198">
        <v>97</v>
      </c>
      <c r="P55" s="200">
        <v>7.5019334880123741E-3</v>
      </c>
      <c r="Q55" s="198">
        <v>11</v>
      </c>
      <c r="R55" s="200">
        <v>8.5073472544470227E-4</v>
      </c>
      <c r="S55" s="199">
        <v>31.130000000000003</v>
      </c>
      <c r="T55" s="235" t="s">
        <v>235</v>
      </c>
      <c r="U55" s="229" t="s">
        <v>236</v>
      </c>
      <c r="V55" s="198"/>
      <c r="W55" s="205">
        <v>1</v>
      </c>
      <c r="X55" s="198" t="s">
        <v>113</v>
      </c>
    </row>
    <row r="56" spans="2:24" ht="16.5">
      <c r="B56" s="474"/>
      <c r="C56" s="474"/>
      <c r="D56" s="209">
        <v>10</v>
      </c>
      <c r="E56" s="198" t="s">
        <v>278</v>
      </c>
      <c r="F56" s="199">
        <v>246.92249999999999</v>
      </c>
      <c r="G56" s="234">
        <v>43.823999999999998</v>
      </c>
      <c r="H56" s="234">
        <v>44.154000000000003</v>
      </c>
      <c r="I56" s="210">
        <f t="shared" si="1"/>
        <v>1.0075301204819278</v>
      </c>
      <c r="J56" s="198">
        <v>0</v>
      </c>
      <c r="K56" s="210">
        <f t="shared" si="2"/>
        <v>0</v>
      </c>
      <c r="L56" s="199">
        <v>299.3</v>
      </c>
      <c r="M56" s="211">
        <f t="shared" si="3"/>
        <v>1.0075301204819278</v>
      </c>
      <c r="N56" s="199">
        <v>98.769000000001625</v>
      </c>
      <c r="O56" s="198">
        <v>0.82499999999999996</v>
      </c>
      <c r="P56" s="200">
        <v>1.8825301204819275E-2</v>
      </c>
      <c r="Q56" s="198">
        <v>-0.49499999999999456</v>
      </c>
      <c r="R56" s="200">
        <v>-1.1295180722891443E-2</v>
      </c>
      <c r="S56" s="199">
        <v>-148.15349999999839</v>
      </c>
      <c r="T56" s="235" t="s">
        <v>235</v>
      </c>
      <c r="U56" s="229" t="s">
        <v>236</v>
      </c>
      <c r="V56" s="198"/>
      <c r="W56" s="205">
        <v>1</v>
      </c>
      <c r="X56" s="198" t="s">
        <v>105</v>
      </c>
    </row>
    <row r="57" spans="2:24" ht="16.5">
      <c r="B57" s="473">
        <v>45906</v>
      </c>
      <c r="C57" s="475" t="s">
        <v>61</v>
      </c>
      <c r="D57" s="209">
        <v>1</v>
      </c>
      <c r="E57" s="198" t="s">
        <v>268</v>
      </c>
      <c r="F57" s="199">
        <v>6298.134</v>
      </c>
      <c r="G57" s="234">
        <v>505.71</v>
      </c>
      <c r="H57" s="234">
        <v>550</v>
      </c>
      <c r="I57" s="210">
        <f t="shared" si="1"/>
        <v>1.0875798382472168</v>
      </c>
      <c r="J57" s="198">
        <v>0</v>
      </c>
      <c r="K57" s="210">
        <f t="shared" si="2"/>
        <v>0</v>
      </c>
      <c r="L57" s="199">
        <v>156.66999999999999</v>
      </c>
      <c r="M57" s="211">
        <f t="shared" si="3"/>
        <v>1.0875798382472168</v>
      </c>
      <c r="N57" s="199">
        <v>6938.9143000000031</v>
      </c>
      <c r="O57" s="198">
        <v>40.200000000000003</v>
      </c>
      <c r="P57" s="200">
        <v>7.9492199086432944E-2</v>
      </c>
      <c r="Q57" s="198">
        <v>4.0900000000000176</v>
      </c>
      <c r="R57" s="200">
        <v>8.0876391607838834E-3</v>
      </c>
      <c r="S57" s="199">
        <v>640.78030000000274</v>
      </c>
      <c r="T57" s="198" t="s">
        <v>251</v>
      </c>
      <c r="U57" s="229" t="s">
        <v>252</v>
      </c>
      <c r="V57" s="198" t="s">
        <v>253</v>
      </c>
      <c r="W57" s="205">
        <v>1</v>
      </c>
      <c r="X57" s="198" t="s">
        <v>244</v>
      </c>
    </row>
    <row r="58" spans="2:24" ht="16.5">
      <c r="B58" s="474"/>
      <c r="C58" s="474"/>
      <c r="D58" s="209">
        <v>2</v>
      </c>
      <c r="E58" s="198" t="s">
        <v>279</v>
      </c>
      <c r="F58" s="199">
        <v>1939.9790000000003</v>
      </c>
      <c r="G58" s="234">
        <v>473.76</v>
      </c>
      <c r="H58" s="234">
        <v>505</v>
      </c>
      <c r="I58" s="210">
        <f t="shared" si="1"/>
        <v>1.0659405606214116</v>
      </c>
      <c r="J58" s="198">
        <v>0</v>
      </c>
      <c r="K58" s="210">
        <f t="shared" si="2"/>
        <v>0</v>
      </c>
      <c r="L58" s="199">
        <v>77.290000000000006</v>
      </c>
      <c r="M58" s="211">
        <f t="shared" si="3"/>
        <v>1.0659405606214116</v>
      </c>
      <c r="N58" s="199">
        <v>2414.539600000001</v>
      </c>
      <c r="O58" s="198">
        <v>25.1</v>
      </c>
      <c r="P58" s="200">
        <v>5.2980412022965218E-2</v>
      </c>
      <c r="Q58" s="198">
        <v>6.1400000000000077</v>
      </c>
      <c r="R58" s="200">
        <v>1.2960148598446488E-2</v>
      </c>
      <c r="S58" s="199">
        <v>474.56060000000065</v>
      </c>
      <c r="T58" s="198" t="s">
        <v>251</v>
      </c>
      <c r="U58" s="229" t="s">
        <v>252</v>
      </c>
      <c r="V58" s="198" t="s">
        <v>253</v>
      </c>
      <c r="W58" s="205">
        <v>1</v>
      </c>
      <c r="X58" s="198" t="s">
        <v>105</v>
      </c>
    </row>
    <row r="59" spans="2:24" ht="16.5">
      <c r="B59" s="474"/>
      <c r="C59" s="474"/>
      <c r="D59" s="209">
        <v>3</v>
      </c>
      <c r="E59" s="198" t="s">
        <v>265</v>
      </c>
      <c r="F59" s="199">
        <v>1335.89</v>
      </c>
      <c r="G59" s="234">
        <v>182.852</v>
      </c>
      <c r="H59" s="234">
        <v>194.5</v>
      </c>
      <c r="I59" s="210">
        <f t="shared" si="1"/>
        <v>1.063701791612889</v>
      </c>
      <c r="J59" s="198">
        <v>0</v>
      </c>
      <c r="K59" s="210">
        <f t="shared" si="2"/>
        <v>0</v>
      </c>
      <c r="L59" s="199">
        <v>140.62</v>
      </c>
      <c r="M59" s="211">
        <f t="shared" si="3"/>
        <v>1.063701791612889</v>
      </c>
      <c r="N59" s="199">
        <v>1637.9417599999995</v>
      </c>
      <c r="O59" s="198">
        <v>9.5</v>
      </c>
      <c r="P59" s="200">
        <v>5.1954586222737513E-2</v>
      </c>
      <c r="Q59" s="198">
        <v>2.1479999999999961</v>
      </c>
      <c r="R59" s="200">
        <v>1.1747205390151576E-2</v>
      </c>
      <c r="S59" s="199">
        <v>302.05175999999949</v>
      </c>
      <c r="T59" s="198" t="s">
        <v>251</v>
      </c>
      <c r="U59" s="229" t="s">
        <v>252</v>
      </c>
      <c r="V59" s="198" t="s">
        <v>253</v>
      </c>
      <c r="W59" s="205">
        <v>1</v>
      </c>
      <c r="X59" s="198" t="s">
        <v>106</v>
      </c>
    </row>
    <row r="60" spans="2:24">
      <c r="B60" s="474"/>
      <c r="C60" s="474"/>
      <c r="D60" s="209">
        <v>4</v>
      </c>
      <c r="E60" s="198" t="s">
        <v>278</v>
      </c>
      <c r="F60" s="199">
        <v>521.67990000000009</v>
      </c>
      <c r="G60" s="234">
        <v>47.375999999999998</v>
      </c>
      <c r="H60" s="234">
        <v>47.512999999999998</v>
      </c>
      <c r="I60" s="210">
        <f t="shared" si="1"/>
        <v>1.0028917595406956</v>
      </c>
      <c r="J60" s="198">
        <v>0</v>
      </c>
      <c r="K60" s="210">
        <f t="shared" si="2"/>
        <v>0</v>
      </c>
      <c r="L60" s="199">
        <v>299.3</v>
      </c>
      <c r="M60" s="211">
        <f t="shared" si="3"/>
        <v>1.0028917595406956</v>
      </c>
      <c r="N60" s="199">
        <v>41.004100000000136</v>
      </c>
      <c r="O60" s="198">
        <v>1.7430000000000001</v>
      </c>
      <c r="P60" s="200">
        <v>3.6790780141843976E-2</v>
      </c>
      <c r="Q60" s="198">
        <v>-1.6059999999999997</v>
      </c>
      <c r="R60" s="200">
        <v>-3.3899020601148258E-2</v>
      </c>
      <c r="S60" s="199">
        <v>-480.67579999999992</v>
      </c>
      <c r="T60" s="198" t="s">
        <v>272</v>
      </c>
      <c r="U60" s="198" t="s">
        <v>165</v>
      </c>
      <c r="V60" s="198"/>
      <c r="W60" s="205">
        <v>1</v>
      </c>
      <c r="X60" s="198" t="s">
        <v>105</v>
      </c>
    </row>
    <row r="61" spans="2:24" ht="16.5">
      <c r="B61" s="474"/>
      <c r="C61" s="474"/>
      <c r="D61" s="209">
        <v>5</v>
      </c>
      <c r="E61" s="198" t="s">
        <v>241</v>
      </c>
      <c r="F61" s="199">
        <v>389.88000000000005</v>
      </c>
      <c r="G61" s="234">
        <v>14.11</v>
      </c>
      <c r="H61" s="234">
        <v>14.507</v>
      </c>
      <c r="I61" s="210">
        <f t="shared" si="1"/>
        <v>1.028136073706591</v>
      </c>
      <c r="J61" s="198">
        <v>0</v>
      </c>
      <c r="K61" s="210">
        <f t="shared" si="2"/>
        <v>0</v>
      </c>
      <c r="L61" s="199">
        <v>570</v>
      </c>
      <c r="M61" s="211">
        <f t="shared" si="3"/>
        <v>1.028136073706591</v>
      </c>
      <c r="N61" s="199">
        <v>226.29000000000013</v>
      </c>
      <c r="O61" s="198">
        <v>0.68400000000000005</v>
      </c>
      <c r="P61" s="200">
        <v>4.8476257973068752E-2</v>
      </c>
      <c r="Q61" s="198">
        <v>-0.28699999999999981</v>
      </c>
      <c r="R61" s="200">
        <v>-2.0340184266477664E-2</v>
      </c>
      <c r="S61" s="199">
        <v>-163.58999999999989</v>
      </c>
      <c r="T61" s="198" t="s">
        <v>235</v>
      </c>
      <c r="U61" s="198" t="s">
        <v>236</v>
      </c>
      <c r="V61" s="231"/>
      <c r="W61" s="205">
        <v>1</v>
      </c>
      <c r="X61" s="198" t="s">
        <v>242</v>
      </c>
    </row>
    <row r="62" spans="2:24" ht="16.5">
      <c r="B62" s="474"/>
      <c r="C62" s="474"/>
      <c r="D62" s="209">
        <v>6</v>
      </c>
      <c r="E62" s="198" t="s">
        <v>273</v>
      </c>
      <c r="F62" s="199">
        <v>330.91419999999999</v>
      </c>
      <c r="G62" s="234">
        <v>139.9</v>
      </c>
      <c r="H62" s="234">
        <v>147.19999999999999</v>
      </c>
      <c r="I62" s="210">
        <f t="shared" si="1"/>
        <v>1.0521801286633308</v>
      </c>
      <c r="J62" s="198">
        <v>0</v>
      </c>
      <c r="K62" s="210">
        <f t="shared" si="2"/>
        <v>0</v>
      </c>
      <c r="L62" s="199">
        <v>112.94</v>
      </c>
      <c r="M62" s="211">
        <f t="shared" si="3"/>
        <v>1.0521801286633308</v>
      </c>
      <c r="N62" s="199">
        <v>824.46199999999806</v>
      </c>
      <c r="O62" s="198">
        <v>2.93</v>
      </c>
      <c r="P62" s="200">
        <v>2.0943531093638314E-2</v>
      </c>
      <c r="Q62" s="198">
        <v>4.3699999999999832</v>
      </c>
      <c r="R62" s="200">
        <v>3.1236597569692517E-2</v>
      </c>
      <c r="S62" s="199">
        <v>493.54779999999812</v>
      </c>
      <c r="T62" s="198" t="s">
        <v>251</v>
      </c>
      <c r="U62" s="229" t="s">
        <v>252</v>
      </c>
      <c r="V62" s="198" t="s">
        <v>253</v>
      </c>
      <c r="W62" s="205">
        <v>1</v>
      </c>
      <c r="X62" s="198" t="s">
        <v>110</v>
      </c>
    </row>
    <row r="63" spans="2:24" ht="16.5">
      <c r="B63" s="474"/>
      <c r="C63" s="474"/>
      <c r="D63" s="209">
        <v>7</v>
      </c>
      <c r="E63" s="198" t="s">
        <v>237</v>
      </c>
      <c r="F63" s="199">
        <v>312.18011999999999</v>
      </c>
      <c r="G63" s="234">
        <v>85.897000000000006</v>
      </c>
      <c r="H63" s="234">
        <v>86.171999999999997</v>
      </c>
      <c r="I63" s="210">
        <f t="shared" si="1"/>
        <v>1.0032015087837758</v>
      </c>
      <c r="J63" s="198">
        <v>0</v>
      </c>
      <c r="K63" s="210">
        <f t="shared" si="2"/>
        <v>0</v>
      </c>
      <c r="L63" s="199">
        <v>356.37</v>
      </c>
      <c r="M63" s="211">
        <f t="shared" si="3"/>
        <v>1.0032015087837758</v>
      </c>
      <c r="N63" s="199">
        <v>98.00174999999696</v>
      </c>
      <c r="O63" s="198">
        <v>0.876</v>
      </c>
      <c r="P63" s="200">
        <v>1.0198260707591649E-2</v>
      </c>
      <c r="Q63" s="198">
        <v>-0.60100000000000853</v>
      </c>
      <c r="R63" s="200">
        <v>-6.9967519238158318E-3</v>
      </c>
      <c r="S63" s="199">
        <v>-214.17837000000304</v>
      </c>
      <c r="T63" s="198" t="s">
        <v>235</v>
      </c>
      <c r="U63" s="198" t="s">
        <v>236</v>
      </c>
      <c r="V63" s="231"/>
      <c r="W63" s="205">
        <v>1</v>
      </c>
      <c r="X63" s="198" t="s">
        <v>104</v>
      </c>
    </row>
    <row r="64" spans="2:24" ht="16.5">
      <c r="B64" s="474"/>
      <c r="C64" s="474"/>
      <c r="D64" s="209">
        <v>8</v>
      </c>
      <c r="E64" s="198" t="s">
        <v>256</v>
      </c>
      <c r="F64" s="199">
        <v>287.55</v>
      </c>
      <c r="G64" s="234">
        <v>105.825</v>
      </c>
      <c r="H64" s="234">
        <v>110.88</v>
      </c>
      <c r="I64" s="210">
        <f t="shared" si="1"/>
        <v>1.0477675407512401</v>
      </c>
      <c r="J64" s="198">
        <v>0</v>
      </c>
      <c r="K64" s="210">
        <f t="shared" si="2"/>
        <v>0</v>
      </c>
      <c r="L64" s="199">
        <v>81</v>
      </c>
      <c r="M64" s="211">
        <f t="shared" si="3"/>
        <v>1.0477675407512401</v>
      </c>
      <c r="N64" s="199">
        <v>409.45499999999942</v>
      </c>
      <c r="O64" s="198">
        <v>3.55</v>
      </c>
      <c r="P64" s="200">
        <v>3.3545948499881878E-2</v>
      </c>
      <c r="Q64" s="198">
        <v>1.5049999999999928</v>
      </c>
      <c r="R64" s="200">
        <v>1.4221592251358306E-2</v>
      </c>
      <c r="S64" s="199">
        <v>121.90499999999942</v>
      </c>
      <c r="T64" s="198" t="s">
        <v>251</v>
      </c>
      <c r="U64" s="229" t="s">
        <v>252</v>
      </c>
      <c r="V64" s="198" t="s">
        <v>253</v>
      </c>
      <c r="W64" s="205">
        <v>1</v>
      </c>
      <c r="X64" s="198" t="s">
        <v>242</v>
      </c>
    </row>
    <row r="65" spans="2:24">
      <c r="B65" s="474"/>
      <c r="C65" s="474"/>
      <c r="D65" s="209">
        <v>9</v>
      </c>
      <c r="E65" s="198" t="s">
        <v>266</v>
      </c>
      <c r="F65" s="199">
        <v>263.17666000000003</v>
      </c>
      <c r="G65" s="234">
        <v>47.375999999999998</v>
      </c>
      <c r="H65" s="234">
        <v>48.472000000000001</v>
      </c>
      <c r="I65" s="210">
        <f t="shared" si="1"/>
        <v>1.0231340763255659</v>
      </c>
      <c r="J65" s="198">
        <v>0</v>
      </c>
      <c r="K65" s="210">
        <f t="shared" si="2"/>
        <v>0</v>
      </c>
      <c r="L65" s="199">
        <v>420.41</v>
      </c>
      <c r="M65" s="211">
        <f t="shared" si="3"/>
        <v>1.0231340763255659</v>
      </c>
      <c r="N65" s="199">
        <v>460.76936000000154</v>
      </c>
      <c r="O65" s="198">
        <v>0.626</v>
      </c>
      <c r="P65" s="200">
        <v>1.3213441404930767E-2</v>
      </c>
      <c r="Q65" s="198">
        <v>0.47000000000000364</v>
      </c>
      <c r="R65" s="200">
        <v>9.9206349206349981E-3</v>
      </c>
      <c r="S65" s="199">
        <v>197.59270000000154</v>
      </c>
      <c r="T65" s="198" t="s">
        <v>235</v>
      </c>
      <c r="U65" s="198" t="s">
        <v>236</v>
      </c>
      <c r="V65" s="198"/>
      <c r="W65" s="205">
        <v>1</v>
      </c>
      <c r="X65" s="198" t="s">
        <v>105</v>
      </c>
    </row>
    <row r="66" spans="2:24" ht="16.5">
      <c r="B66" s="474"/>
      <c r="C66" s="474"/>
      <c r="D66" s="209">
        <v>10</v>
      </c>
      <c r="E66" s="198" t="s">
        <v>239</v>
      </c>
      <c r="F66" s="199">
        <v>249.1482</v>
      </c>
      <c r="G66" s="234">
        <v>202.29</v>
      </c>
      <c r="H66" s="234">
        <v>205</v>
      </c>
      <c r="I66" s="210">
        <f t="shared" si="1"/>
        <v>1.013396608828909</v>
      </c>
      <c r="J66" s="198">
        <v>0</v>
      </c>
      <c r="K66" s="210">
        <f t="shared" si="2"/>
        <v>0</v>
      </c>
      <c r="L66" s="199">
        <v>115.08</v>
      </c>
      <c r="M66" s="211">
        <f t="shared" si="3"/>
        <v>1.013396608828909</v>
      </c>
      <c r="N66" s="199">
        <v>311.86680000000092</v>
      </c>
      <c r="O66" s="198">
        <v>2.165</v>
      </c>
      <c r="P66" s="200">
        <v>1.0702456868851649E-2</v>
      </c>
      <c r="Q66" s="198">
        <v>0.54500000000000792</v>
      </c>
      <c r="R66" s="200">
        <v>2.6941519600573826E-3</v>
      </c>
      <c r="S66" s="199">
        <v>62.718600000000912</v>
      </c>
      <c r="T66" s="198" t="s">
        <v>235</v>
      </c>
      <c r="U66" s="198" t="s">
        <v>236</v>
      </c>
      <c r="V66" s="231"/>
      <c r="W66" s="205">
        <v>1</v>
      </c>
      <c r="X66" s="198" t="s">
        <v>116</v>
      </c>
    </row>
    <row r="67" spans="2:24">
      <c r="B67" s="473">
        <v>45907</v>
      </c>
      <c r="C67" s="475" t="s">
        <v>52</v>
      </c>
      <c r="D67" s="209">
        <v>1</v>
      </c>
      <c r="E67" s="198" t="s">
        <v>260</v>
      </c>
      <c r="F67" s="199">
        <v>1160.7021400000001</v>
      </c>
      <c r="G67" s="234">
        <v>440.64</v>
      </c>
      <c r="H67" s="234">
        <v>430</v>
      </c>
      <c r="I67" s="210">
        <f t="shared" si="1"/>
        <v>0.97585330428467687</v>
      </c>
      <c r="J67" s="198">
        <v>15</v>
      </c>
      <c r="K67" s="210">
        <f t="shared" si="2"/>
        <v>3.4041394335511982E-2</v>
      </c>
      <c r="L67" s="199">
        <v>132.47</v>
      </c>
      <c r="M67" s="211">
        <f t="shared" si="3"/>
        <v>1.0098946986201889</v>
      </c>
      <c r="N67" s="199">
        <v>577.56920000000184</v>
      </c>
      <c r="O67" s="198">
        <v>8.7620000000000005</v>
      </c>
      <c r="P67" s="200">
        <v>1.9884713144517067E-2</v>
      </c>
      <c r="Q67" s="198">
        <v>-4.4019999999999868</v>
      </c>
      <c r="R67" s="200">
        <v>-9.9900145243282199E-3</v>
      </c>
      <c r="S67" s="199">
        <v>-583.13293999999826</v>
      </c>
      <c r="T67" s="198" t="s">
        <v>235</v>
      </c>
      <c r="U67" s="198" t="s">
        <v>236</v>
      </c>
      <c r="V67" s="198"/>
      <c r="W67" s="205">
        <v>1</v>
      </c>
      <c r="X67" s="198" t="s">
        <v>103</v>
      </c>
    </row>
    <row r="68" spans="2:24">
      <c r="B68" s="474"/>
      <c r="C68" s="474"/>
      <c r="D68" s="209">
        <v>2</v>
      </c>
      <c r="E68" s="198" t="s">
        <v>265</v>
      </c>
      <c r="F68" s="199">
        <v>973.6528800000001</v>
      </c>
      <c r="G68" s="234">
        <v>269.416</v>
      </c>
      <c r="H68" s="234">
        <v>270.07299999999998</v>
      </c>
      <c r="I68" s="210">
        <f t="shared" si="1"/>
        <v>1.0024386079520147</v>
      </c>
      <c r="J68" s="198">
        <v>0</v>
      </c>
      <c r="K68" s="210">
        <f t="shared" si="2"/>
        <v>0</v>
      </c>
      <c r="L68" s="199">
        <v>140.62</v>
      </c>
      <c r="M68" s="211">
        <f t="shared" si="3"/>
        <v>1.0024386079520147</v>
      </c>
      <c r="N68" s="199">
        <v>92.387339999997508</v>
      </c>
      <c r="O68" s="198">
        <v>6.9240000000000004</v>
      </c>
      <c r="P68" s="200">
        <v>2.5700032663241976E-2</v>
      </c>
      <c r="Q68" s="198">
        <v>-6.2670000000000181</v>
      </c>
      <c r="R68" s="200">
        <v>-2.3261424711227316E-2</v>
      </c>
      <c r="S68" s="199">
        <v>-881.2655400000026</v>
      </c>
      <c r="T68" s="198" t="s">
        <v>235</v>
      </c>
      <c r="U68" s="198" t="s">
        <v>236</v>
      </c>
      <c r="V68" s="198"/>
      <c r="W68" s="205">
        <v>1</v>
      </c>
      <c r="X68" s="198" t="s">
        <v>106</v>
      </c>
    </row>
    <row r="69" spans="2:24">
      <c r="B69" s="474"/>
      <c r="C69" s="474"/>
      <c r="D69" s="209">
        <v>3</v>
      </c>
      <c r="E69" s="198" t="s">
        <v>262</v>
      </c>
      <c r="F69" s="199">
        <v>956.38682999999992</v>
      </c>
      <c r="G69" s="234">
        <v>310.17500000000001</v>
      </c>
      <c r="H69" s="234">
        <v>311.60300000000001</v>
      </c>
      <c r="I69" s="210">
        <f t="shared" si="1"/>
        <v>1.0046038526638188</v>
      </c>
      <c r="J69" s="198">
        <v>0</v>
      </c>
      <c r="K69" s="210">
        <f t="shared" si="2"/>
        <v>0</v>
      </c>
      <c r="L69" s="199">
        <v>100.02999999999999</v>
      </c>
      <c r="M69" s="211">
        <f t="shared" si="3"/>
        <v>1.0046038526638188</v>
      </c>
      <c r="N69" s="199">
        <v>142.84283999999971</v>
      </c>
      <c r="O69" s="198">
        <v>9.5609999999999999</v>
      </c>
      <c r="P69" s="200">
        <v>3.0824534536954943E-2</v>
      </c>
      <c r="Q69" s="198">
        <v>-8.1330000000000027</v>
      </c>
      <c r="R69" s="200">
        <v>-2.6220681873136139E-2</v>
      </c>
      <c r="S69" s="199">
        <v>-813.54399000000012</v>
      </c>
      <c r="T69" s="198" t="s">
        <v>235</v>
      </c>
      <c r="U69" s="198" t="s">
        <v>236</v>
      </c>
      <c r="V69" s="198"/>
      <c r="W69" s="205">
        <v>1</v>
      </c>
      <c r="X69" s="198" t="s">
        <v>232</v>
      </c>
    </row>
    <row r="70" spans="2:24">
      <c r="B70" s="474"/>
      <c r="C70" s="474"/>
      <c r="D70" s="209">
        <v>4</v>
      </c>
      <c r="E70" s="198" t="s">
        <v>256</v>
      </c>
      <c r="F70" s="199">
        <v>810</v>
      </c>
      <c r="G70" s="234">
        <v>133.57499999999999</v>
      </c>
      <c r="H70" s="234">
        <v>148.19999999999999</v>
      </c>
      <c r="I70" s="210">
        <f t="shared" si="1"/>
        <v>1.1094890510948905</v>
      </c>
      <c r="J70" s="198">
        <v>0</v>
      </c>
      <c r="K70" s="210">
        <f t="shared" si="2"/>
        <v>0</v>
      </c>
      <c r="L70" s="199">
        <v>81</v>
      </c>
      <c r="M70" s="211">
        <f t="shared" si="3"/>
        <v>1.1094890510948905</v>
      </c>
      <c r="N70" s="199">
        <v>1184.625</v>
      </c>
      <c r="O70" s="198">
        <v>10</v>
      </c>
      <c r="P70" s="200">
        <v>7.486430844095078E-2</v>
      </c>
      <c r="Q70" s="198">
        <v>4.625</v>
      </c>
      <c r="R70" s="200">
        <v>3.4624742653939736E-2</v>
      </c>
      <c r="S70" s="199">
        <v>374.625</v>
      </c>
      <c r="T70" s="198" t="s">
        <v>251</v>
      </c>
      <c r="U70" s="198" t="s">
        <v>252</v>
      </c>
      <c r="V70" s="198"/>
      <c r="W70" s="205">
        <v>1</v>
      </c>
      <c r="X70" s="198" t="s">
        <v>242</v>
      </c>
    </row>
    <row r="71" spans="2:24">
      <c r="B71" s="474"/>
      <c r="C71" s="474"/>
      <c r="D71" s="209">
        <v>5</v>
      </c>
      <c r="E71" s="198" t="s">
        <v>243</v>
      </c>
      <c r="F71" s="199">
        <v>726.78458000000001</v>
      </c>
      <c r="G71" s="234">
        <v>54.39</v>
      </c>
      <c r="H71" s="234">
        <v>54.412999999999997</v>
      </c>
      <c r="I71" s="210">
        <f t="shared" si="1"/>
        <v>1.0004228718514432</v>
      </c>
      <c r="J71" s="198">
        <v>0</v>
      </c>
      <c r="K71" s="210">
        <f t="shared" si="2"/>
        <v>0</v>
      </c>
      <c r="L71" s="199">
        <v>697.49</v>
      </c>
      <c r="M71" s="211">
        <f t="shared" si="3"/>
        <v>1.0004228718514432</v>
      </c>
      <c r="N71" s="199">
        <v>16.042269999997306</v>
      </c>
      <c r="O71" s="198">
        <v>1.042</v>
      </c>
      <c r="P71" s="200">
        <v>1.9157933443647728E-2</v>
      </c>
      <c r="Q71" s="198">
        <v>-1.0190000000000039</v>
      </c>
      <c r="R71" s="200">
        <v>-1.8735061592204522E-2</v>
      </c>
      <c r="S71" s="199">
        <v>-710.7423100000027</v>
      </c>
      <c r="T71" s="198" t="s">
        <v>235</v>
      </c>
      <c r="U71" s="198" t="s">
        <v>236</v>
      </c>
      <c r="V71" s="198"/>
      <c r="W71" s="205">
        <v>1</v>
      </c>
      <c r="X71" s="198" t="s">
        <v>244</v>
      </c>
    </row>
    <row r="72" spans="2:24">
      <c r="B72" s="474"/>
      <c r="C72" s="474"/>
      <c r="D72" s="209">
        <v>6</v>
      </c>
      <c r="E72" s="198" t="s">
        <v>280</v>
      </c>
      <c r="F72" s="199">
        <v>662.8895</v>
      </c>
      <c r="G72" s="234">
        <v>201.96</v>
      </c>
      <c r="H72" s="234">
        <v>202.768</v>
      </c>
      <c r="I72" s="210">
        <f t="shared" ref="I72:I126" si="15">H72/G72</f>
        <v>1.0040007922360863</v>
      </c>
      <c r="J72" s="198">
        <v>0</v>
      </c>
      <c r="K72" s="210">
        <f t="shared" ref="K72:K126" si="16">J72/G72</f>
        <v>0</v>
      </c>
      <c r="L72" s="199">
        <v>111.41</v>
      </c>
      <c r="M72" s="211">
        <f t="shared" ref="M72:M126" si="17">(H72+J72)/G72</f>
        <v>1.0040007922360863</v>
      </c>
      <c r="N72" s="199">
        <v>90.019279999999185</v>
      </c>
      <c r="O72" s="198">
        <v>5.95</v>
      </c>
      <c r="P72" s="200">
        <v>2.9461279461279462E-2</v>
      </c>
      <c r="Q72" s="198">
        <v>-5.1420000000000075</v>
      </c>
      <c r="R72" s="200">
        <v>-2.5460487225193142E-2</v>
      </c>
      <c r="S72" s="199">
        <v>-572.87022000000081</v>
      </c>
      <c r="T72" s="198" t="s">
        <v>235</v>
      </c>
      <c r="U72" s="198" t="s">
        <v>236</v>
      </c>
      <c r="V72" s="198"/>
      <c r="W72" s="205">
        <v>1</v>
      </c>
      <c r="X72" s="198" t="s">
        <v>104</v>
      </c>
    </row>
    <row r="73" spans="2:24">
      <c r="B73" s="474"/>
      <c r="C73" s="474"/>
      <c r="D73" s="209">
        <v>7</v>
      </c>
      <c r="E73" s="198" t="s">
        <v>229</v>
      </c>
      <c r="F73" s="199">
        <v>552.57439999999997</v>
      </c>
      <c r="G73" s="234">
        <v>195.9</v>
      </c>
      <c r="H73" s="234">
        <v>204.392</v>
      </c>
      <c r="I73" s="210">
        <f t="shared" si="15"/>
        <v>1.0433486472690148</v>
      </c>
      <c r="J73" s="198">
        <v>0</v>
      </c>
      <c r="K73" s="210">
        <f t="shared" si="16"/>
        <v>0</v>
      </c>
      <c r="L73" s="199">
        <v>335.3</v>
      </c>
      <c r="M73" s="211">
        <f t="shared" si="17"/>
        <v>1.0433486472690148</v>
      </c>
      <c r="N73" s="199">
        <v>2847.3675999999969</v>
      </c>
      <c r="O73" s="198">
        <v>1.6479999999999999</v>
      </c>
      <c r="P73" s="200">
        <v>8.4124553343542623E-3</v>
      </c>
      <c r="Q73" s="198">
        <v>6.8439999999999905</v>
      </c>
      <c r="R73" s="200">
        <v>3.4936191934660493E-2</v>
      </c>
      <c r="S73" s="199">
        <v>2294.7931999999969</v>
      </c>
      <c r="T73" s="198" t="s">
        <v>230</v>
      </c>
      <c r="U73" s="198" t="s">
        <v>181</v>
      </c>
      <c r="V73" s="198" t="s">
        <v>276</v>
      </c>
      <c r="W73" s="205">
        <v>1</v>
      </c>
      <c r="X73" s="198" t="s">
        <v>232</v>
      </c>
    </row>
    <row r="74" spans="2:24">
      <c r="B74" s="474"/>
      <c r="C74" s="474"/>
      <c r="D74" s="209">
        <v>8</v>
      </c>
      <c r="E74" s="198" t="s">
        <v>278</v>
      </c>
      <c r="F74" s="199">
        <v>474.68980000000005</v>
      </c>
      <c r="G74" s="234">
        <v>68.147999999999996</v>
      </c>
      <c r="H74" s="234">
        <v>68.147999999999996</v>
      </c>
      <c r="I74" s="210">
        <f t="shared" si="15"/>
        <v>1</v>
      </c>
      <c r="J74" s="198">
        <v>0</v>
      </c>
      <c r="K74" s="210">
        <f t="shared" si="16"/>
        <v>0</v>
      </c>
      <c r="L74" s="199">
        <v>299.3</v>
      </c>
      <c r="M74" s="211">
        <f t="shared" si="17"/>
        <v>1</v>
      </c>
      <c r="N74" s="199">
        <v>0</v>
      </c>
      <c r="O74" s="198">
        <v>1.5860000000000001</v>
      </c>
      <c r="P74" s="200">
        <v>2.3272876680166699E-2</v>
      </c>
      <c r="Q74" s="198">
        <v>-1.5860000000000001</v>
      </c>
      <c r="R74" s="200">
        <v>-2.3272876680166699E-2</v>
      </c>
      <c r="S74" s="199">
        <v>-474.68980000000005</v>
      </c>
      <c r="T74" s="198" t="s">
        <v>235</v>
      </c>
      <c r="U74" s="198" t="s">
        <v>236</v>
      </c>
      <c r="V74" s="198"/>
      <c r="W74" s="205">
        <v>1</v>
      </c>
      <c r="X74" s="198" t="s">
        <v>105</v>
      </c>
    </row>
    <row r="75" spans="2:24">
      <c r="B75" s="474"/>
      <c r="C75" s="474"/>
      <c r="D75" s="209">
        <v>9</v>
      </c>
      <c r="E75" s="198" t="s">
        <v>248</v>
      </c>
      <c r="F75" s="199">
        <v>363.2629</v>
      </c>
      <c r="G75" s="234">
        <v>1196.58</v>
      </c>
      <c r="H75" s="234">
        <v>1216.3520000000001</v>
      </c>
      <c r="I75" s="210">
        <f t="shared" si="15"/>
        <v>1.0165237593809024</v>
      </c>
      <c r="J75" s="198">
        <v>0</v>
      </c>
      <c r="K75" s="210">
        <f t="shared" si="16"/>
        <v>0</v>
      </c>
      <c r="L75" s="199">
        <v>34.58</v>
      </c>
      <c r="M75" s="211">
        <f t="shared" si="17"/>
        <v>1.0165237593809024</v>
      </c>
      <c r="N75" s="199">
        <v>683.71576000000562</v>
      </c>
      <c r="O75" s="198">
        <v>10.505000000000001</v>
      </c>
      <c r="P75" s="200">
        <v>8.7791873506159225E-3</v>
      </c>
      <c r="Q75" s="198">
        <v>9.2670000000001611</v>
      </c>
      <c r="R75" s="200">
        <v>7.7445720302864512E-3</v>
      </c>
      <c r="S75" s="199">
        <v>320.45286000000556</v>
      </c>
      <c r="T75" s="198" t="s">
        <v>235</v>
      </c>
      <c r="U75" s="198" t="s">
        <v>236</v>
      </c>
      <c r="V75" s="198"/>
      <c r="W75" s="205">
        <v>1</v>
      </c>
      <c r="X75" s="198" t="s">
        <v>244</v>
      </c>
    </row>
    <row r="76" spans="2:24">
      <c r="B76" s="474"/>
      <c r="C76" s="474"/>
      <c r="D76" s="209">
        <v>10</v>
      </c>
      <c r="E76" s="198" t="s">
        <v>234</v>
      </c>
      <c r="F76" s="199">
        <v>300.40300000000002</v>
      </c>
      <c r="G76" s="234">
        <v>139.905</v>
      </c>
      <c r="H76" s="234">
        <v>141.09200000000001</v>
      </c>
      <c r="I76" s="210">
        <f t="shared" si="15"/>
        <v>1.008484328651585</v>
      </c>
      <c r="J76" s="198">
        <v>0</v>
      </c>
      <c r="K76" s="210">
        <f t="shared" si="16"/>
        <v>0</v>
      </c>
      <c r="L76" s="199">
        <v>162.38</v>
      </c>
      <c r="M76" s="211">
        <f t="shared" si="17"/>
        <v>1.008484328651585</v>
      </c>
      <c r="N76" s="199">
        <v>192.74506000000193</v>
      </c>
      <c r="O76" s="198">
        <v>1.85</v>
      </c>
      <c r="P76" s="200">
        <v>1.3223258639791288E-2</v>
      </c>
      <c r="Q76" s="198">
        <v>-0.66299999999998827</v>
      </c>
      <c r="R76" s="200">
        <v>-4.7389299882061985E-3</v>
      </c>
      <c r="S76" s="199">
        <v>-107.65793999999809</v>
      </c>
      <c r="T76" s="198" t="s">
        <v>235</v>
      </c>
      <c r="U76" s="198" t="s">
        <v>236</v>
      </c>
      <c r="V76" s="198"/>
      <c r="W76" s="205">
        <v>1</v>
      </c>
      <c r="X76" s="198" t="s">
        <v>113</v>
      </c>
    </row>
    <row r="77" spans="2:24">
      <c r="B77" s="473">
        <v>45908</v>
      </c>
      <c r="C77" s="475" t="s">
        <v>56</v>
      </c>
      <c r="D77" s="209">
        <v>1</v>
      </c>
      <c r="E77" s="198" t="s">
        <v>241</v>
      </c>
      <c r="F77" s="199">
        <v>2154.6</v>
      </c>
      <c r="G77" s="234">
        <v>18.510000000000002</v>
      </c>
      <c r="H77" s="234">
        <v>17.3</v>
      </c>
      <c r="I77" s="210">
        <f t="shared" si="15"/>
        <v>0.9346299297676931</v>
      </c>
      <c r="J77" s="198">
        <v>5.65</v>
      </c>
      <c r="K77" s="210">
        <f t="shared" si="16"/>
        <v>0.30524041058887086</v>
      </c>
      <c r="L77" s="199">
        <v>570</v>
      </c>
      <c r="M77" s="211">
        <f t="shared" si="17"/>
        <v>1.2398703403565641</v>
      </c>
      <c r="N77" s="199">
        <v>2530.8000000000006</v>
      </c>
      <c r="O77" s="198">
        <v>3.78</v>
      </c>
      <c r="P77" s="200">
        <v>0.20421393841166935</v>
      </c>
      <c r="Q77" s="198">
        <v>0.66000000000000147</v>
      </c>
      <c r="R77" s="200">
        <v>3.5656401944894729E-2</v>
      </c>
      <c r="S77" s="199">
        <v>376.20000000000084</v>
      </c>
      <c r="T77" s="198" t="s">
        <v>272</v>
      </c>
      <c r="U77" s="198" t="s">
        <v>165</v>
      </c>
      <c r="V77" s="198"/>
      <c r="W77" s="205">
        <v>1</v>
      </c>
      <c r="X77" s="198" t="s">
        <v>242</v>
      </c>
    </row>
    <row r="78" spans="2:24">
      <c r="B78" s="474"/>
      <c r="C78" s="474"/>
      <c r="D78" s="209">
        <v>2</v>
      </c>
      <c r="E78" s="198" t="s">
        <v>281</v>
      </c>
      <c r="F78" s="199">
        <v>779.52</v>
      </c>
      <c r="G78" s="234">
        <v>22.512</v>
      </c>
      <c r="H78" s="234">
        <v>22.5</v>
      </c>
      <c r="I78" s="210">
        <f t="shared" si="15"/>
        <v>0.99946695095948823</v>
      </c>
      <c r="J78" s="198">
        <v>2</v>
      </c>
      <c r="K78" s="210">
        <f t="shared" si="16"/>
        <v>8.8841506751954513E-2</v>
      </c>
      <c r="L78" s="199">
        <v>742.4</v>
      </c>
      <c r="M78" s="211">
        <f t="shared" si="17"/>
        <v>1.0883084577114428</v>
      </c>
      <c r="N78" s="199">
        <v>1475.8911999999996</v>
      </c>
      <c r="O78" s="198">
        <v>1.05</v>
      </c>
      <c r="P78" s="200">
        <v>4.6641791044776122E-2</v>
      </c>
      <c r="Q78" s="198">
        <v>0.9379999999999995</v>
      </c>
      <c r="R78" s="200">
        <v>4.1666666666666644E-2</v>
      </c>
      <c r="S78" s="199">
        <v>696.37119999999959</v>
      </c>
      <c r="T78" s="198" t="s">
        <v>272</v>
      </c>
      <c r="U78" s="198" t="s">
        <v>165</v>
      </c>
      <c r="V78" s="198"/>
      <c r="W78" s="205">
        <v>1</v>
      </c>
      <c r="X78" s="198" t="s">
        <v>115</v>
      </c>
    </row>
    <row r="79" spans="2:24">
      <c r="B79" s="474"/>
      <c r="C79" s="474"/>
      <c r="D79" s="209">
        <v>3</v>
      </c>
      <c r="E79" s="198" t="s">
        <v>280</v>
      </c>
      <c r="F79" s="199">
        <v>668.46</v>
      </c>
      <c r="G79" s="234">
        <v>203.4</v>
      </c>
      <c r="H79" s="234">
        <v>204.55</v>
      </c>
      <c r="I79" s="210">
        <f t="shared" si="15"/>
        <v>1.005653883972468</v>
      </c>
      <c r="J79" s="198">
        <v>7.15</v>
      </c>
      <c r="K79" s="210">
        <f t="shared" si="16"/>
        <v>3.5152409046214354E-2</v>
      </c>
      <c r="L79" s="199">
        <v>111.41</v>
      </c>
      <c r="M79" s="211">
        <f t="shared" si="17"/>
        <v>1.0408062930186825</v>
      </c>
      <c r="N79" s="199">
        <v>924.70300000000123</v>
      </c>
      <c r="O79" s="198">
        <v>6</v>
      </c>
      <c r="P79" s="200">
        <v>2.9498525073746312E-2</v>
      </c>
      <c r="Q79" s="198">
        <v>2.3000000000000114</v>
      </c>
      <c r="R79" s="200">
        <v>1.1307767944936141E-2</v>
      </c>
      <c r="S79" s="199">
        <v>256.24300000000125</v>
      </c>
      <c r="T79" s="198" t="s">
        <v>272</v>
      </c>
      <c r="U79" s="198" t="s">
        <v>165</v>
      </c>
      <c r="V79" s="198"/>
      <c r="W79" s="205">
        <v>1</v>
      </c>
      <c r="X79" s="198" t="s">
        <v>104</v>
      </c>
    </row>
    <row r="80" spans="2:24">
      <c r="B80" s="474"/>
      <c r="C80" s="474"/>
      <c r="D80" s="209">
        <v>4</v>
      </c>
      <c r="E80" s="198" t="s">
        <v>234</v>
      </c>
      <c r="F80" s="199">
        <v>509.54843999999997</v>
      </c>
      <c r="G80" s="234">
        <v>142.02000000000001</v>
      </c>
      <c r="H80" s="234">
        <v>142.49700000000001</v>
      </c>
      <c r="I80" s="210">
        <f t="shared" si="15"/>
        <v>1.0033586818757922</v>
      </c>
      <c r="J80" s="198">
        <v>0</v>
      </c>
      <c r="K80" s="210">
        <f t="shared" si="16"/>
        <v>0</v>
      </c>
      <c r="L80" s="199">
        <v>162.38</v>
      </c>
      <c r="M80" s="211">
        <f t="shared" si="17"/>
        <v>1.0033586818757922</v>
      </c>
      <c r="N80" s="199">
        <v>77.455260000000621</v>
      </c>
      <c r="O80" s="198">
        <v>3.1379999999999999</v>
      </c>
      <c r="P80" s="200">
        <v>2.2095479509928177E-2</v>
      </c>
      <c r="Q80" s="198">
        <v>-2.660999999999996</v>
      </c>
      <c r="R80" s="200">
        <v>-1.8736797634136007E-2</v>
      </c>
      <c r="S80" s="199">
        <v>-432.09317999999934</v>
      </c>
      <c r="T80" s="198" t="s">
        <v>235</v>
      </c>
      <c r="U80" s="198" t="s">
        <v>236</v>
      </c>
      <c r="V80" s="198"/>
      <c r="W80" s="205">
        <v>1</v>
      </c>
      <c r="X80" s="198" t="s">
        <v>113</v>
      </c>
    </row>
    <row r="81" spans="2:24">
      <c r="B81" s="474"/>
      <c r="C81" s="474"/>
      <c r="D81" s="209">
        <v>5</v>
      </c>
      <c r="E81" s="198" t="s">
        <v>249</v>
      </c>
      <c r="F81" s="199">
        <v>457.67408</v>
      </c>
      <c r="G81" s="234">
        <v>12.624000000000001</v>
      </c>
      <c r="H81" s="234">
        <v>12.654999999999999</v>
      </c>
      <c r="I81" s="210">
        <f t="shared" si="15"/>
        <v>1.002455640050697</v>
      </c>
      <c r="J81" s="198">
        <v>0</v>
      </c>
      <c r="K81" s="210">
        <f t="shared" si="16"/>
        <v>0</v>
      </c>
      <c r="L81" s="199">
        <v>922.73</v>
      </c>
      <c r="M81" s="211">
        <f t="shared" si="17"/>
        <v>1.002455640050697</v>
      </c>
      <c r="N81" s="199">
        <v>28.604629999998899</v>
      </c>
      <c r="O81" s="198">
        <v>0.496</v>
      </c>
      <c r="P81" s="200">
        <v>3.9290240811153357E-2</v>
      </c>
      <c r="Q81" s="198">
        <v>-0.46500000000000119</v>
      </c>
      <c r="R81" s="200">
        <v>-3.6834600760456367E-2</v>
      </c>
      <c r="S81" s="199">
        <v>-429.0694500000011</v>
      </c>
      <c r="T81" s="198" t="s">
        <v>272</v>
      </c>
      <c r="U81" s="198" t="s">
        <v>165</v>
      </c>
      <c r="V81" s="198"/>
      <c r="W81" s="205">
        <v>1</v>
      </c>
      <c r="X81" s="198" t="s">
        <v>113</v>
      </c>
    </row>
    <row r="82" spans="2:24">
      <c r="B82" s="474"/>
      <c r="C82" s="474"/>
      <c r="D82" s="209">
        <v>6</v>
      </c>
      <c r="E82" s="198" t="s">
        <v>259</v>
      </c>
      <c r="F82" s="199">
        <v>414.18171999999998</v>
      </c>
      <c r="G82" s="234">
        <v>154.77000000000001</v>
      </c>
      <c r="H82" s="234">
        <v>154.97800000000001</v>
      </c>
      <c r="I82" s="210">
        <f t="shared" si="15"/>
        <v>1.0013439297021387</v>
      </c>
      <c r="J82" s="198">
        <v>0</v>
      </c>
      <c r="K82" s="210">
        <f t="shared" si="16"/>
        <v>0</v>
      </c>
      <c r="L82" s="199">
        <v>216.17</v>
      </c>
      <c r="M82" s="211">
        <f t="shared" si="17"/>
        <v>1.0013439297021387</v>
      </c>
      <c r="N82" s="199">
        <v>44.963359999999653</v>
      </c>
      <c r="O82" s="198">
        <v>1.9159999999999999</v>
      </c>
      <c r="P82" s="200">
        <v>1.2379660140854169E-2</v>
      </c>
      <c r="Q82" s="198">
        <v>-1.7080000000000015</v>
      </c>
      <c r="R82" s="200">
        <v>-1.1035730438715523E-2</v>
      </c>
      <c r="S82" s="199">
        <v>-369.2183600000003</v>
      </c>
      <c r="T82" s="198" t="s">
        <v>235</v>
      </c>
      <c r="U82" s="198" t="s">
        <v>236</v>
      </c>
      <c r="V82" s="198"/>
      <c r="W82" s="205">
        <v>1</v>
      </c>
      <c r="X82" s="198" t="s">
        <v>115</v>
      </c>
    </row>
    <row r="83" spans="2:24">
      <c r="B83" s="474"/>
      <c r="C83" s="474"/>
      <c r="D83" s="209">
        <v>7</v>
      </c>
      <c r="E83" s="198" t="s">
        <v>265</v>
      </c>
      <c r="F83" s="199">
        <v>408.36048</v>
      </c>
      <c r="G83" s="234">
        <v>273.02</v>
      </c>
      <c r="H83" s="234">
        <v>273.36900000000003</v>
      </c>
      <c r="I83" s="210">
        <f t="shared" si="15"/>
        <v>1.0012782946304302</v>
      </c>
      <c r="J83" s="198">
        <v>0</v>
      </c>
      <c r="K83" s="210">
        <f t="shared" si="16"/>
        <v>0</v>
      </c>
      <c r="L83" s="199">
        <v>140.62</v>
      </c>
      <c r="M83" s="211">
        <f t="shared" si="17"/>
        <v>1.0012782946304302</v>
      </c>
      <c r="N83" s="199">
        <v>49.076380000006523</v>
      </c>
      <c r="O83" s="198">
        <v>2.9039999999999999</v>
      </c>
      <c r="P83" s="200">
        <v>1.0636583400483481E-2</v>
      </c>
      <c r="Q83" s="198">
        <v>-2.5549999999999535</v>
      </c>
      <c r="R83" s="200">
        <v>-9.3582887700533069E-3</v>
      </c>
      <c r="S83" s="199">
        <v>-359.28409999999349</v>
      </c>
      <c r="T83" s="198" t="s">
        <v>235</v>
      </c>
      <c r="U83" s="198" t="s">
        <v>236</v>
      </c>
      <c r="V83" s="198"/>
      <c r="W83" s="205">
        <v>1</v>
      </c>
      <c r="X83" s="198" t="s">
        <v>106</v>
      </c>
    </row>
    <row r="84" spans="2:24">
      <c r="B84" s="474"/>
      <c r="C84" s="474"/>
      <c r="D84" s="209">
        <v>8</v>
      </c>
      <c r="E84" s="198" t="s">
        <v>237</v>
      </c>
      <c r="F84" s="199">
        <v>405.54906</v>
      </c>
      <c r="G84" s="234">
        <v>110.74</v>
      </c>
      <c r="H84" s="234">
        <v>111.73699999999999</v>
      </c>
      <c r="I84" s="210">
        <f t="shared" si="15"/>
        <v>1.0090030702546506</v>
      </c>
      <c r="J84" s="198">
        <v>0</v>
      </c>
      <c r="K84" s="210">
        <f t="shared" si="16"/>
        <v>0</v>
      </c>
      <c r="L84" s="199">
        <v>356.37</v>
      </c>
      <c r="M84" s="211">
        <f t="shared" si="17"/>
        <v>1.0090030702546506</v>
      </c>
      <c r="N84" s="199">
        <v>355.30088999999998</v>
      </c>
      <c r="O84" s="198">
        <v>1.1379999999999999</v>
      </c>
      <c r="P84" s="200">
        <v>1.027632291854795E-2</v>
      </c>
      <c r="Q84" s="198">
        <v>-0.14100000000000001</v>
      </c>
      <c r="R84" s="200">
        <v>-1.2732526638974176E-3</v>
      </c>
      <c r="S84" s="199">
        <v>-50.248170000000009</v>
      </c>
      <c r="T84" s="198" t="s">
        <v>235</v>
      </c>
      <c r="U84" s="198" t="s">
        <v>236</v>
      </c>
      <c r="V84" s="198"/>
      <c r="W84" s="205">
        <v>1</v>
      </c>
      <c r="X84" s="198" t="s">
        <v>104</v>
      </c>
    </row>
    <row r="85" spans="2:24">
      <c r="B85" s="474"/>
      <c r="C85" s="474"/>
      <c r="D85" s="209">
        <v>9</v>
      </c>
      <c r="E85" s="198" t="s">
        <v>248</v>
      </c>
      <c r="F85" s="199">
        <v>404.30935999999997</v>
      </c>
      <c r="G85" s="234">
        <v>1254.44</v>
      </c>
      <c r="H85" s="234">
        <v>1273.837</v>
      </c>
      <c r="I85" s="210">
        <f t="shared" si="15"/>
        <v>1.0154626765728134</v>
      </c>
      <c r="J85" s="198">
        <v>0</v>
      </c>
      <c r="K85" s="210">
        <f t="shared" si="16"/>
        <v>0</v>
      </c>
      <c r="L85" s="199">
        <v>34.58</v>
      </c>
      <c r="M85" s="211">
        <f t="shared" si="17"/>
        <v>1.0154626765728134</v>
      </c>
      <c r="N85" s="199">
        <v>670.74825999999769</v>
      </c>
      <c r="O85" s="198">
        <v>11.692</v>
      </c>
      <c r="P85" s="200">
        <v>9.3204936067089687E-3</v>
      </c>
      <c r="Q85" s="198">
        <v>7.7049999999999343</v>
      </c>
      <c r="R85" s="200">
        <v>6.1421829661043445E-3</v>
      </c>
      <c r="S85" s="199">
        <v>266.43889999999772</v>
      </c>
      <c r="T85" s="198" t="s">
        <v>235</v>
      </c>
      <c r="U85" s="198" t="s">
        <v>236</v>
      </c>
      <c r="V85" s="198"/>
      <c r="W85" s="205">
        <v>1</v>
      </c>
      <c r="X85" s="198" t="s">
        <v>103</v>
      </c>
    </row>
    <row r="86" spans="2:24">
      <c r="B86" s="474"/>
      <c r="C86" s="474"/>
      <c r="D86" s="209">
        <v>10</v>
      </c>
      <c r="E86" s="198" t="s">
        <v>266</v>
      </c>
      <c r="F86" s="199">
        <v>312.78504000000004</v>
      </c>
      <c r="G86" s="234">
        <v>70.224000000000004</v>
      </c>
      <c r="H86" s="234">
        <v>71.082999999999998</v>
      </c>
      <c r="I86" s="210">
        <f t="shared" si="15"/>
        <v>1.012232285258601</v>
      </c>
      <c r="J86" s="198">
        <v>0</v>
      </c>
      <c r="K86" s="210">
        <f t="shared" si="16"/>
        <v>0</v>
      </c>
      <c r="L86" s="199">
        <v>420.41</v>
      </c>
      <c r="M86" s="211">
        <f t="shared" si="17"/>
        <v>1.012232285258601</v>
      </c>
      <c r="N86" s="199">
        <v>361.13218999999776</v>
      </c>
      <c r="O86" s="198">
        <v>0.74399999999999999</v>
      </c>
      <c r="P86" s="200">
        <v>1.059466848940533E-2</v>
      </c>
      <c r="Q86" s="198">
        <v>0.11499999999999466</v>
      </c>
      <c r="R86" s="200">
        <v>1.6376167691956405E-3</v>
      </c>
      <c r="S86" s="199">
        <v>48.347149999997761</v>
      </c>
      <c r="T86" s="198" t="s">
        <v>235</v>
      </c>
      <c r="U86" s="198" t="s">
        <v>236</v>
      </c>
      <c r="V86" s="198"/>
      <c r="W86" s="205">
        <v>1</v>
      </c>
      <c r="X86" s="198" t="s">
        <v>105</v>
      </c>
    </row>
    <row r="87" spans="2:24">
      <c r="B87" s="473">
        <v>45909</v>
      </c>
      <c r="C87" s="475" t="s">
        <v>57</v>
      </c>
      <c r="D87" s="209">
        <v>1</v>
      </c>
      <c r="E87" s="198" t="s">
        <v>259</v>
      </c>
      <c r="F87" s="199">
        <v>17780.48</v>
      </c>
      <c r="G87" s="234">
        <v>136.07</v>
      </c>
      <c r="H87" s="234">
        <v>160</v>
      </c>
      <c r="I87" s="210">
        <f t="shared" si="15"/>
        <v>1.1758653634158889</v>
      </c>
      <c r="J87" s="198">
        <v>0</v>
      </c>
      <c r="K87" s="210">
        <f t="shared" si="16"/>
        <v>0</v>
      </c>
      <c r="L87" s="199">
        <v>742.4</v>
      </c>
      <c r="M87" s="211">
        <f t="shared" si="17"/>
        <v>1.1758653634158889</v>
      </c>
      <c r="N87" s="199">
        <v>17765.632000000005</v>
      </c>
      <c r="O87" s="198">
        <v>23.95</v>
      </c>
      <c r="P87" s="200">
        <v>0.17601234658631587</v>
      </c>
      <c r="Q87" s="198">
        <v>-1.9999999999992468E-2</v>
      </c>
      <c r="R87" s="200">
        <v>-1.4698317042693076E-4</v>
      </c>
      <c r="S87" s="199">
        <v>-14.847999999994409</v>
      </c>
      <c r="T87" s="198" t="s">
        <v>251</v>
      </c>
      <c r="U87" s="198" t="s">
        <v>252</v>
      </c>
      <c r="V87" s="198" t="s">
        <v>282</v>
      </c>
      <c r="W87" s="205">
        <v>1</v>
      </c>
      <c r="X87" s="198" t="s">
        <v>115</v>
      </c>
    </row>
    <row r="88" spans="2:24">
      <c r="B88" s="474"/>
      <c r="C88" s="474"/>
      <c r="D88" s="209">
        <v>2</v>
      </c>
      <c r="E88" s="198" t="s">
        <v>241</v>
      </c>
      <c r="F88" s="199">
        <v>870.83558000000005</v>
      </c>
      <c r="G88" s="234">
        <v>56.81</v>
      </c>
      <c r="H88" s="234">
        <v>56.899000000000001</v>
      </c>
      <c r="I88" s="210">
        <f t="shared" si="15"/>
        <v>1.0015666255940856</v>
      </c>
      <c r="J88" s="198">
        <v>0</v>
      </c>
      <c r="K88" s="210">
        <f t="shared" si="16"/>
        <v>0</v>
      </c>
      <c r="L88" s="199">
        <v>536.89</v>
      </c>
      <c r="M88" s="211">
        <f t="shared" si="17"/>
        <v>1.0015666255940856</v>
      </c>
      <c r="N88" s="199">
        <v>47.783209999999265</v>
      </c>
      <c r="O88" s="198">
        <v>1.6220000000000001</v>
      </c>
      <c r="P88" s="200">
        <v>2.8551311388839994E-2</v>
      </c>
      <c r="Q88" s="198">
        <v>-1.5330000000000015</v>
      </c>
      <c r="R88" s="200">
        <v>-2.6984685794754468E-2</v>
      </c>
      <c r="S88" s="199">
        <v>-823.05237000000079</v>
      </c>
      <c r="T88" s="198" t="s">
        <v>235</v>
      </c>
      <c r="U88" s="198" t="s">
        <v>236</v>
      </c>
      <c r="V88" s="198"/>
      <c r="W88" s="205">
        <v>1</v>
      </c>
      <c r="X88" s="198" t="s">
        <v>105</v>
      </c>
    </row>
    <row r="89" spans="2:24">
      <c r="B89" s="474"/>
      <c r="C89" s="474"/>
      <c r="D89" s="209">
        <v>3</v>
      </c>
      <c r="E89" s="198" t="s">
        <v>160</v>
      </c>
      <c r="F89" s="199">
        <v>549.58039999999994</v>
      </c>
      <c r="G89" s="234">
        <v>12.645</v>
      </c>
      <c r="H89" s="234">
        <v>12.922000000000001</v>
      </c>
      <c r="I89" s="210">
        <f t="shared" si="15"/>
        <v>1.0219058916567814</v>
      </c>
      <c r="J89" s="198">
        <v>0</v>
      </c>
      <c r="K89" s="210">
        <f t="shared" si="16"/>
        <v>0</v>
      </c>
      <c r="L89" s="199">
        <v>584.66</v>
      </c>
      <c r="M89" s="211">
        <f t="shared" si="17"/>
        <v>1.0219058916567814</v>
      </c>
      <c r="N89" s="199">
        <v>161.95082000000059</v>
      </c>
      <c r="O89" s="198">
        <v>0.94</v>
      </c>
      <c r="P89" s="200">
        <v>7.4337682878608147E-2</v>
      </c>
      <c r="Q89" s="198">
        <v>-0.66299999999999892</v>
      </c>
      <c r="R89" s="200">
        <v>-5.2431791221826729E-2</v>
      </c>
      <c r="S89" s="199">
        <v>-387.62957999999935</v>
      </c>
      <c r="T89" s="198" t="s">
        <v>235</v>
      </c>
      <c r="U89" s="198" t="s">
        <v>236</v>
      </c>
      <c r="V89" s="198"/>
      <c r="W89" s="205">
        <v>1</v>
      </c>
      <c r="X89" s="198" t="s">
        <v>109</v>
      </c>
    </row>
    <row r="90" spans="2:24">
      <c r="B90" s="474"/>
      <c r="C90" s="474"/>
      <c r="D90" s="209">
        <v>4</v>
      </c>
      <c r="E90" s="198" t="s">
        <v>283</v>
      </c>
      <c r="F90" s="199">
        <v>438.48000000000008</v>
      </c>
      <c r="G90" s="234">
        <v>104.64</v>
      </c>
      <c r="H90" s="234">
        <v>101.25</v>
      </c>
      <c r="I90" s="210">
        <f t="shared" si="15"/>
        <v>0.96760321100917435</v>
      </c>
      <c r="J90" s="198">
        <v>0</v>
      </c>
      <c r="K90" s="210">
        <f t="shared" si="16"/>
        <v>0</v>
      </c>
      <c r="L90" s="199">
        <v>146.16000000000003</v>
      </c>
      <c r="M90" s="211">
        <f t="shared" si="17"/>
        <v>0.96760321100917435</v>
      </c>
      <c r="N90" s="199">
        <v>0</v>
      </c>
      <c r="O90" s="198">
        <v>3</v>
      </c>
      <c r="P90" s="200">
        <v>2.86697247706422E-2</v>
      </c>
      <c r="Q90" s="198">
        <v>-6.3900000000000006</v>
      </c>
      <c r="R90" s="200">
        <v>-6.1066513761467892E-2</v>
      </c>
      <c r="S90" s="199">
        <v>-933.96240000000023</v>
      </c>
      <c r="T90" s="198" t="s">
        <v>272</v>
      </c>
      <c r="U90" s="198" t="s">
        <v>165</v>
      </c>
      <c r="V90" s="198"/>
      <c r="W90" s="205">
        <v>1</v>
      </c>
      <c r="X90" s="198" t="s">
        <v>124</v>
      </c>
    </row>
    <row r="91" spans="2:24">
      <c r="B91" s="474"/>
      <c r="C91" s="474"/>
      <c r="D91" s="209">
        <v>5</v>
      </c>
      <c r="E91" s="198" t="s">
        <v>229</v>
      </c>
      <c r="F91" s="199">
        <v>351.39440000000002</v>
      </c>
      <c r="G91" s="234">
        <v>193.92</v>
      </c>
      <c r="H91" s="234">
        <v>200.733</v>
      </c>
      <c r="I91" s="210">
        <f t="shared" si="15"/>
        <v>1.0351330445544555</v>
      </c>
      <c r="J91" s="198">
        <v>0</v>
      </c>
      <c r="K91" s="210">
        <f t="shared" si="16"/>
        <v>0</v>
      </c>
      <c r="L91" s="199">
        <v>335.3</v>
      </c>
      <c r="M91" s="211">
        <f t="shared" si="17"/>
        <v>1.0351330445544555</v>
      </c>
      <c r="N91" s="199">
        <v>2284.3989000000056</v>
      </c>
      <c r="O91" s="198">
        <v>1.048</v>
      </c>
      <c r="P91" s="200">
        <v>5.4042904290429045E-3</v>
      </c>
      <c r="Q91" s="198">
        <v>5.7650000000000166</v>
      </c>
      <c r="R91" s="200">
        <v>2.9728754125412628E-2</v>
      </c>
      <c r="S91" s="199">
        <v>1933.0045000000057</v>
      </c>
      <c r="T91" s="198" t="s">
        <v>230</v>
      </c>
      <c r="U91" s="198" t="s">
        <v>181</v>
      </c>
      <c r="V91" s="198" t="s">
        <v>276</v>
      </c>
      <c r="W91" s="205">
        <v>1</v>
      </c>
      <c r="X91" s="198" t="s">
        <v>232</v>
      </c>
    </row>
    <row r="92" spans="2:24">
      <c r="B92" s="474"/>
      <c r="C92" s="474"/>
      <c r="D92" s="209">
        <v>6</v>
      </c>
      <c r="E92" s="198" t="s">
        <v>278</v>
      </c>
      <c r="F92" s="199">
        <v>290.9196</v>
      </c>
      <c r="G92" s="234">
        <v>68.171999999999997</v>
      </c>
      <c r="H92" s="234">
        <v>68.546999999999997</v>
      </c>
      <c r="I92" s="210">
        <f t="shared" si="15"/>
        <v>1.0055007921140644</v>
      </c>
      <c r="J92" s="198">
        <v>0</v>
      </c>
      <c r="K92" s="210">
        <f t="shared" si="16"/>
        <v>0</v>
      </c>
      <c r="L92" s="199">
        <v>299.3</v>
      </c>
      <c r="M92" s="211">
        <f t="shared" si="17"/>
        <v>1.0055007921140644</v>
      </c>
      <c r="N92" s="199">
        <v>112.23750000000001</v>
      </c>
      <c r="O92" s="198">
        <v>0.97199999999999998</v>
      </c>
      <c r="P92" s="200">
        <v>1.425805315965499E-2</v>
      </c>
      <c r="Q92" s="198">
        <v>-0.59699999999999998</v>
      </c>
      <c r="R92" s="200">
        <v>-8.7572610455905649E-3</v>
      </c>
      <c r="S92" s="199">
        <v>-178.68209999999999</v>
      </c>
      <c r="T92" s="198" t="s">
        <v>235</v>
      </c>
      <c r="U92" s="198" t="s">
        <v>236</v>
      </c>
      <c r="V92" s="198"/>
      <c r="W92" s="205">
        <v>1</v>
      </c>
      <c r="X92" s="198" t="s">
        <v>105</v>
      </c>
    </row>
    <row r="93" spans="2:24">
      <c r="B93" s="474"/>
      <c r="C93" s="474"/>
      <c r="D93" s="209">
        <v>7</v>
      </c>
      <c r="E93" s="198" t="s">
        <v>284</v>
      </c>
      <c r="F93" s="199">
        <v>256.94428571428574</v>
      </c>
      <c r="G93" s="234">
        <v>21.251999999999999</v>
      </c>
      <c r="H93" s="234">
        <v>21.39</v>
      </c>
      <c r="I93" s="210">
        <f t="shared" si="15"/>
        <v>1.0064935064935066</v>
      </c>
      <c r="J93" s="198">
        <v>0</v>
      </c>
      <c r="K93" s="210">
        <f t="shared" si="16"/>
        <v>0</v>
      </c>
      <c r="L93" s="199">
        <v>281.42857142857144</v>
      </c>
      <c r="M93" s="211">
        <f t="shared" si="17"/>
        <v>1.0064935064935066</v>
      </c>
      <c r="N93" s="199">
        <v>38.837142857143334</v>
      </c>
      <c r="O93" s="198">
        <v>0.91300000000000003</v>
      </c>
      <c r="P93" s="200">
        <v>4.296066252587992E-2</v>
      </c>
      <c r="Q93" s="198">
        <v>-0.77499999999999836</v>
      </c>
      <c r="R93" s="200">
        <v>-3.6467156032373348E-2</v>
      </c>
      <c r="S93" s="199">
        <v>-218.10714285714241</v>
      </c>
      <c r="T93" s="198" t="s">
        <v>235</v>
      </c>
      <c r="U93" s="198" t="s">
        <v>236</v>
      </c>
      <c r="V93" s="198"/>
      <c r="W93" s="205">
        <v>1</v>
      </c>
      <c r="X93" s="198" t="s">
        <v>110</v>
      </c>
    </row>
    <row r="94" spans="2:24">
      <c r="B94" s="474"/>
      <c r="C94" s="474"/>
      <c r="D94" s="209">
        <v>8</v>
      </c>
      <c r="E94" s="198" t="s">
        <v>245</v>
      </c>
      <c r="F94" s="199">
        <v>254.94</v>
      </c>
      <c r="G94" s="234">
        <v>3270</v>
      </c>
      <c r="H94" s="234">
        <v>3312</v>
      </c>
      <c r="I94" s="210">
        <f t="shared" si="15"/>
        <v>1.0128440366972478</v>
      </c>
      <c r="J94" s="198">
        <v>0</v>
      </c>
      <c r="K94" s="210">
        <f t="shared" si="16"/>
        <v>0</v>
      </c>
      <c r="L94" s="199">
        <v>6.07</v>
      </c>
      <c r="M94" s="211">
        <f t="shared" si="17"/>
        <v>1.0128440366972478</v>
      </c>
      <c r="N94" s="199">
        <v>254.94</v>
      </c>
      <c r="O94" s="198">
        <v>42</v>
      </c>
      <c r="P94" s="200">
        <v>1.2844036697247707E-2</v>
      </c>
      <c r="Q94" s="198">
        <v>0</v>
      </c>
      <c r="R94" s="200">
        <v>0</v>
      </c>
      <c r="S94" s="199">
        <v>0</v>
      </c>
      <c r="T94" s="198" t="s">
        <v>235</v>
      </c>
      <c r="U94" s="198" t="s">
        <v>236</v>
      </c>
      <c r="V94" s="198"/>
      <c r="W94" s="205">
        <v>1</v>
      </c>
      <c r="X94" s="198" t="s">
        <v>242</v>
      </c>
    </row>
    <row r="95" spans="2:24">
      <c r="B95" s="474"/>
      <c r="C95" s="474"/>
      <c r="D95" s="209">
        <v>9</v>
      </c>
      <c r="E95" s="198" t="s">
        <v>243</v>
      </c>
      <c r="F95" s="199">
        <v>253.18887000000001</v>
      </c>
      <c r="G95" s="234">
        <v>57.84</v>
      </c>
      <c r="H95" s="234">
        <v>58.014000000000003</v>
      </c>
      <c r="I95" s="210">
        <f t="shared" si="15"/>
        <v>1.0030082987551867</v>
      </c>
      <c r="J95" s="198">
        <v>0</v>
      </c>
      <c r="K95" s="210">
        <f t="shared" si="16"/>
        <v>0</v>
      </c>
      <c r="L95" s="199">
        <v>697.49</v>
      </c>
      <c r="M95" s="211">
        <f t="shared" si="17"/>
        <v>1.0030082987551867</v>
      </c>
      <c r="N95" s="199">
        <v>121.36325999999964</v>
      </c>
      <c r="O95" s="198">
        <v>0.36299999999999999</v>
      </c>
      <c r="P95" s="200">
        <v>6.2759336099585056E-3</v>
      </c>
      <c r="Q95" s="198">
        <v>-0.1890000000000005</v>
      </c>
      <c r="R95" s="200">
        <v>-3.2676348547717926E-3</v>
      </c>
      <c r="S95" s="199">
        <v>-131.82561000000035</v>
      </c>
      <c r="T95" s="198" t="s">
        <v>235</v>
      </c>
      <c r="U95" s="198" t="s">
        <v>236</v>
      </c>
      <c r="V95" s="198"/>
      <c r="W95" s="205">
        <v>1</v>
      </c>
      <c r="X95" s="198" t="s">
        <v>244</v>
      </c>
    </row>
    <row r="96" spans="2:24">
      <c r="B96" s="474"/>
      <c r="C96" s="474"/>
      <c r="D96" s="209">
        <v>10</v>
      </c>
      <c r="E96" s="198" t="s">
        <v>285</v>
      </c>
      <c r="F96" s="199">
        <v>246.75</v>
      </c>
      <c r="G96" s="234">
        <v>13.08</v>
      </c>
      <c r="H96" s="234">
        <v>13.507</v>
      </c>
      <c r="I96" s="210">
        <f t="shared" si="15"/>
        <v>1.0326452599388378</v>
      </c>
      <c r="J96" s="198">
        <v>0</v>
      </c>
      <c r="K96" s="210">
        <f t="shared" si="16"/>
        <v>0</v>
      </c>
      <c r="L96" s="199">
        <v>141</v>
      </c>
      <c r="M96" s="211">
        <f t="shared" si="17"/>
        <v>1.0326452599388378</v>
      </c>
      <c r="N96" s="199">
        <v>60.206999999999944</v>
      </c>
      <c r="O96" s="198">
        <v>1.75</v>
      </c>
      <c r="P96" s="200">
        <v>0.13379204892966362</v>
      </c>
      <c r="Q96" s="198">
        <v>-1.3230000000000004</v>
      </c>
      <c r="R96" s="200">
        <v>-0.10114678899082571</v>
      </c>
      <c r="S96" s="199">
        <v>-186.54300000000006</v>
      </c>
      <c r="T96" s="198" t="s">
        <v>235</v>
      </c>
      <c r="U96" s="198" t="s">
        <v>236</v>
      </c>
      <c r="V96" s="198"/>
      <c r="W96" s="205">
        <v>1</v>
      </c>
      <c r="X96" s="198" t="s">
        <v>242</v>
      </c>
    </row>
    <row r="97" spans="2:24" ht="16.5">
      <c r="B97" s="473">
        <v>45910</v>
      </c>
      <c r="C97" s="475" t="s">
        <v>58</v>
      </c>
      <c r="D97" s="209">
        <v>1</v>
      </c>
      <c r="E97" s="198" t="s">
        <v>259</v>
      </c>
      <c r="F97" s="199">
        <v>2885.8694999999998</v>
      </c>
      <c r="G97" s="234">
        <v>133.21</v>
      </c>
      <c r="H97" s="234">
        <v>144.6</v>
      </c>
      <c r="I97" s="210">
        <f t="shared" si="15"/>
        <v>1.085504091284438</v>
      </c>
      <c r="J97" s="198">
        <v>0</v>
      </c>
      <c r="K97" s="210">
        <f t="shared" si="16"/>
        <v>0</v>
      </c>
      <c r="L97" s="199">
        <v>216.17</v>
      </c>
      <c r="M97" s="211">
        <f t="shared" si="17"/>
        <v>1.085504091284438</v>
      </c>
      <c r="N97" s="199">
        <v>2462.1762999999969</v>
      </c>
      <c r="O97" s="198">
        <v>13.35</v>
      </c>
      <c r="P97" s="200">
        <v>0.10021770137377073</v>
      </c>
      <c r="Q97" s="198">
        <v>-1.9600000000000133</v>
      </c>
      <c r="R97" s="200">
        <v>-1.4713610089332732E-2</v>
      </c>
      <c r="S97" s="199">
        <v>-423.69320000000283</v>
      </c>
      <c r="T97" s="198" t="s">
        <v>251</v>
      </c>
      <c r="U97" s="198" t="s">
        <v>252</v>
      </c>
      <c r="V97" s="231" t="s">
        <v>253</v>
      </c>
      <c r="W97" s="205">
        <v>1</v>
      </c>
      <c r="X97" s="198" t="s">
        <v>115</v>
      </c>
    </row>
    <row r="98" spans="2:24" ht="16.5">
      <c r="B98" s="474"/>
      <c r="C98" s="474"/>
      <c r="D98" s="209">
        <v>2</v>
      </c>
      <c r="E98" s="198" t="s">
        <v>239</v>
      </c>
      <c r="F98" s="199">
        <v>1208.3399999999999</v>
      </c>
      <c r="G98" s="234">
        <v>181.5</v>
      </c>
      <c r="H98" s="234">
        <v>191.55</v>
      </c>
      <c r="I98" s="210">
        <f t="shared" si="15"/>
        <v>1.0553719008264464</v>
      </c>
      <c r="J98" s="198">
        <v>0</v>
      </c>
      <c r="K98" s="210">
        <f t="shared" si="16"/>
        <v>0</v>
      </c>
      <c r="L98" s="199">
        <v>115.08</v>
      </c>
      <c r="M98" s="211">
        <f t="shared" si="17"/>
        <v>1.0553719008264464</v>
      </c>
      <c r="N98" s="199">
        <v>1156.5540000000012</v>
      </c>
      <c r="O98" s="198">
        <v>10.5</v>
      </c>
      <c r="P98" s="200">
        <v>5.7851239669421489E-2</v>
      </c>
      <c r="Q98" s="198">
        <v>-0.44999999999998863</v>
      </c>
      <c r="R98" s="200">
        <v>-2.4793388429751439E-3</v>
      </c>
      <c r="S98" s="199">
        <v>-51.785999999998694</v>
      </c>
      <c r="T98" s="198" t="s">
        <v>251</v>
      </c>
      <c r="U98" s="198" t="s">
        <v>252</v>
      </c>
      <c r="V98" s="231" t="s">
        <v>253</v>
      </c>
      <c r="W98" s="205">
        <v>1</v>
      </c>
      <c r="X98" s="198" t="s">
        <v>116</v>
      </c>
    </row>
    <row r="99" spans="2:24" ht="16.5">
      <c r="B99" s="474"/>
      <c r="C99" s="474"/>
      <c r="D99" s="209">
        <v>3</v>
      </c>
      <c r="E99" s="198" t="s">
        <v>273</v>
      </c>
      <c r="F99" s="199">
        <v>1168.9289999999999</v>
      </c>
      <c r="G99" s="234">
        <v>138.9</v>
      </c>
      <c r="H99" s="234">
        <v>150</v>
      </c>
      <c r="I99" s="210">
        <f t="shared" si="15"/>
        <v>1.079913606911447</v>
      </c>
      <c r="J99" s="198">
        <v>0</v>
      </c>
      <c r="K99" s="210">
        <f t="shared" si="16"/>
        <v>0</v>
      </c>
      <c r="L99" s="199">
        <v>112.94</v>
      </c>
      <c r="M99" s="211">
        <f t="shared" si="17"/>
        <v>1.079913606911447</v>
      </c>
      <c r="N99" s="199">
        <v>1253.6339999999993</v>
      </c>
      <c r="O99" s="198">
        <v>10.35</v>
      </c>
      <c r="P99" s="200">
        <v>7.4514038876889843E-2</v>
      </c>
      <c r="Q99" s="198">
        <v>0.74999999999999467</v>
      </c>
      <c r="R99" s="200">
        <v>5.3995680345571969E-3</v>
      </c>
      <c r="S99" s="199">
        <v>84.704999999999401</v>
      </c>
      <c r="T99" s="198" t="s">
        <v>251</v>
      </c>
      <c r="U99" s="198" t="s">
        <v>252</v>
      </c>
      <c r="V99" s="231" t="s">
        <v>253</v>
      </c>
      <c r="W99" s="205">
        <v>1</v>
      </c>
      <c r="X99" s="198" t="s">
        <v>110</v>
      </c>
    </row>
    <row r="100" spans="2:24">
      <c r="B100" s="474"/>
      <c r="C100" s="474"/>
      <c r="D100" s="209">
        <v>4</v>
      </c>
      <c r="E100" s="198" t="s">
        <v>229</v>
      </c>
      <c r="F100" s="199">
        <v>858.36800000000005</v>
      </c>
      <c r="G100" s="234">
        <v>188.1</v>
      </c>
      <c r="H100" s="234">
        <v>196.76300000000001</v>
      </c>
      <c r="I100" s="210">
        <f t="shared" si="15"/>
        <v>1.0460552897395003</v>
      </c>
      <c r="J100" s="198">
        <v>0</v>
      </c>
      <c r="K100" s="210">
        <f t="shared" si="16"/>
        <v>0</v>
      </c>
      <c r="L100" s="199">
        <v>335.3</v>
      </c>
      <c r="M100" s="211">
        <f t="shared" si="17"/>
        <v>1.0460552897395003</v>
      </c>
      <c r="N100" s="199">
        <v>2904.7039000000036</v>
      </c>
      <c r="O100" s="198">
        <v>2.56</v>
      </c>
      <c r="P100" s="200">
        <v>1.3609782030834664E-2</v>
      </c>
      <c r="Q100" s="198">
        <v>6.1030000000000104</v>
      </c>
      <c r="R100" s="200">
        <v>3.2445507708665659E-2</v>
      </c>
      <c r="S100" s="199">
        <v>2046.3359000000034</v>
      </c>
      <c r="T100" s="198" t="s">
        <v>230</v>
      </c>
      <c r="U100" s="198" t="s">
        <v>181</v>
      </c>
      <c r="V100" s="198" t="s">
        <v>276</v>
      </c>
      <c r="W100" s="205">
        <v>1</v>
      </c>
      <c r="X100" s="198" t="s">
        <v>232</v>
      </c>
    </row>
    <row r="101" spans="2:24">
      <c r="B101" s="474"/>
      <c r="C101" s="474"/>
      <c r="D101" s="209">
        <v>5</v>
      </c>
      <c r="E101" s="198" t="s">
        <v>248</v>
      </c>
      <c r="F101" s="199">
        <v>346.80282</v>
      </c>
      <c r="G101" s="234">
        <v>1218.3599999999999</v>
      </c>
      <c r="H101" s="234">
        <v>1231.729</v>
      </c>
      <c r="I101" s="210">
        <f t="shared" si="15"/>
        <v>1.0109729472405531</v>
      </c>
      <c r="J101" s="198">
        <v>0</v>
      </c>
      <c r="K101" s="210">
        <f t="shared" si="16"/>
        <v>0</v>
      </c>
      <c r="L101" s="199">
        <v>34.58</v>
      </c>
      <c r="M101" s="211">
        <f t="shared" si="17"/>
        <v>1.0109729472405531</v>
      </c>
      <c r="N101" s="199">
        <v>462.30002000000491</v>
      </c>
      <c r="O101" s="198">
        <v>10.029</v>
      </c>
      <c r="P101" s="200">
        <v>8.2315571752191469E-3</v>
      </c>
      <c r="Q101" s="198">
        <v>3.340000000000142</v>
      </c>
      <c r="R101" s="200">
        <v>2.741390065333844E-3</v>
      </c>
      <c r="S101" s="199">
        <v>115.49720000000491</v>
      </c>
      <c r="T101" s="198" t="s">
        <v>235</v>
      </c>
      <c r="U101" s="198" t="s">
        <v>236</v>
      </c>
      <c r="V101" s="198"/>
      <c r="W101" s="205">
        <v>1</v>
      </c>
      <c r="X101" s="198" t="s">
        <v>103</v>
      </c>
    </row>
    <row r="102" spans="2:24">
      <c r="B102" s="474"/>
      <c r="C102" s="474"/>
      <c r="D102" s="209">
        <v>6</v>
      </c>
      <c r="E102" s="198" t="s">
        <v>263</v>
      </c>
      <c r="F102" s="199">
        <v>335.83499999999998</v>
      </c>
      <c r="G102" s="234">
        <v>405.81</v>
      </c>
      <c r="H102" s="234">
        <v>412.29700000000003</v>
      </c>
      <c r="I102" s="210">
        <f t="shared" si="15"/>
        <v>1.0159853133239694</v>
      </c>
      <c r="J102" s="198">
        <v>0</v>
      </c>
      <c r="K102" s="210">
        <f t="shared" si="16"/>
        <v>0</v>
      </c>
      <c r="L102" s="199">
        <v>85</v>
      </c>
      <c r="M102" s="211">
        <f t="shared" si="17"/>
        <v>1.0159853133239694</v>
      </c>
      <c r="N102" s="199">
        <v>551.39500000000203</v>
      </c>
      <c r="O102" s="198">
        <v>3.9510000000000001</v>
      </c>
      <c r="P102" s="200">
        <v>9.7360833887779989E-3</v>
      </c>
      <c r="Q102" s="198">
        <v>2.5360000000000231</v>
      </c>
      <c r="R102" s="200">
        <v>6.2492299351914029E-3</v>
      </c>
      <c r="S102" s="199">
        <v>215.56000000000196</v>
      </c>
      <c r="T102" s="198" t="s">
        <v>235</v>
      </c>
      <c r="U102" s="198" t="s">
        <v>236</v>
      </c>
      <c r="V102" s="198"/>
      <c r="W102" s="205">
        <v>1</v>
      </c>
      <c r="X102" s="198" t="s">
        <v>122</v>
      </c>
    </row>
    <row r="103" spans="2:24">
      <c r="B103" s="474"/>
      <c r="C103" s="474"/>
      <c r="D103" s="209">
        <v>7</v>
      </c>
      <c r="E103" s="198" t="s">
        <v>248</v>
      </c>
      <c r="F103" s="199">
        <v>328.78663999999998</v>
      </c>
      <c r="G103" s="234">
        <v>475.2</v>
      </c>
      <c r="H103" s="234">
        <v>476.09</v>
      </c>
      <c r="I103" s="210">
        <f t="shared" si="15"/>
        <v>1.0018728956228955</v>
      </c>
      <c r="J103" s="198">
        <v>0</v>
      </c>
      <c r="K103" s="210">
        <f t="shared" si="16"/>
        <v>0</v>
      </c>
      <c r="L103" s="199">
        <v>34.58</v>
      </c>
      <c r="M103" s="211">
        <f t="shared" si="17"/>
        <v>1.0018728956228955</v>
      </c>
      <c r="N103" s="199">
        <v>30.776199999999527</v>
      </c>
      <c r="O103" s="198">
        <v>9.5079999999999991</v>
      </c>
      <c r="P103" s="200">
        <v>2.0008417508417507E-2</v>
      </c>
      <c r="Q103" s="198">
        <v>-8.6180000000000128</v>
      </c>
      <c r="R103" s="200">
        <v>-1.8135521885521914E-2</v>
      </c>
      <c r="S103" s="199">
        <v>-298.01044000000041</v>
      </c>
      <c r="T103" s="198" t="s">
        <v>235</v>
      </c>
      <c r="U103" s="198" t="s">
        <v>236</v>
      </c>
      <c r="V103" s="198"/>
      <c r="W103" s="205">
        <v>1</v>
      </c>
      <c r="X103" s="198" t="s">
        <v>104</v>
      </c>
    </row>
    <row r="104" spans="2:24">
      <c r="B104" s="474"/>
      <c r="C104" s="474"/>
      <c r="D104" s="209">
        <v>8</v>
      </c>
      <c r="E104" s="198" t="s">
        <v>243</v>
      </c>
      <c r="F104" s="199">
        <v>322.24038000000002</v>
      </c>
      <c r="G104" s="234">
        <v>57.05</v>
      </c>
      <c r="H104" s="234">
        <v>57.079000000000001</v>
      </c>
      <c r="I104" s="210">
        <f t="shared" si="15"/>
        <v>1.0005083260297984</v>
      </c>
      <c r="J104" s="198">
        <v>0</v>
      </c>
      <c r="K104" s="210">
        <f t="shared" si="16"/>
        <v>0</v>
      </c>
      <c r="L104" s="199">
        <v>697.49</v>
      </c>
      <c r="M104" s="211">
        <f t="shared" si="17"/>
        <v>1.0005083260297984</v>
      </c>
      <c r="N104" s="199">
        <v>20.227210000002419</v>
      </c>
      <c r="O104" s="198">
        <v>0.46200000000000002</v>
      </c>
      <c r="P104" s="200">
        <v>8.0981595092024551E-3</v>
      </c>
      <c r="Q104" s="198">
        <v>-0.43299999999999655</v>
      </c>
      <c r="R104" s="200">
        <v>-7.5898334794039712E-3</v>
      </c>
      <c r="S104" s="199">
        <v>-302.01316999999761</v>
      </c>
      <c r="T104" s="198" t="s">
        <v>235</v>
      </c>
      <c r="U104" s="198" t="s">
        <v>236</v>
      </c>
      <c r="V104" s="198"/>
      <c r="W104" s="205">
        <v>1</v>
      </c>
      <c r="X104" s="198" t="s">
        <v>244</v>
      </c>
    </row>
    <row r="105" spans="2:24">
      <c r="B105" s="474"/>
      <c r="C105" s="474"/>
      <c r="D105" s="209">
        <v>9</v>
      </c>
      <c r="E105" s="198" t="s">
        <v>286</v>
      </c>
      <c r="F105" s="199">
        <v>321.77291000000002</v>
      </c>
      <c r="G105" s="234">
        <v>833.14</v>
      </c>
      <c r="H105" s="234">
        <v>835.67600000000004</v>
      </c>
      <c r="I105" s="210">
        <f t="shared" si="15"/>
        <v>1.0030439061862353</v>
      </c>
      <c r="J105" s="198">
        <v>0</v>
      </c>
      <c r="K105" s="210">
        <f t="shared" si="16"/>
        <v>0</v>
      </c>
      <c r="L105" s="199">
        <v>47.89</v>
      </c>
      <c r="M105" s="211">
        <f t="shared" si="17"/>
        <v>1.0030439061862353</v>
      </c>
      <c r="N105" s="199">
        <v>121.4490400000028</v>
      </c>
      <c r="O105" s="198">
        <v>6.7190000000000003</v>
      </c>
      <c r="P105" s="200">
        <v>8.0646710036728526E-3</v>
      </c>
      <c r="Q105" s="198">
        <v>-4.1829999999999421</v>
      </c>
      <c r="R105" s="200">
        <v>-5.0207648174375764E-3</v>
      </c>
      <c r="S105" s="199">
        <v>-200.32386999999724</v>
      </c>
      <c r="T105" s="198" t="s">
        <v>235</v>
      </c>
      <c r="U105" s="198" t="s">
        <v>236</v>
      </c>
      <c r="V105" s="198"/>
      <c r="W105" s="205">
        <v>1</v>
      </c>
      <c r="X105" s="198" t="s">
        <v>106</v>
      </c>
    </row>
    <row r="106" spans="2:24" ht="16.5">
      <c r="B106" s="474"/>
      <c r="C106" s="474"/>
      <c r="D106" s="209">
        <v>10</v>
      </c>
      <c r="E106" s="198" t="s">
        <v>266</v>
      </c>
      <c r="F106" s="199">
        <v>321.61365000000001</v>
      </c>
      <c r="G106" s="234">
        <v>66.012</v>
      </c>
      <c r="H106" s="234">
        <v>66.707999999999998</v>
      </c>
      <c r="I106" s="210">
        <f t="shared" si="15"/>
        <v>1.0105435375386294</v>
      </c>
      <c r="J106" s="198">
        <v>0</v>
      </c>
      <c r="K106" s="210">
        <f t="shared" si="16"/>
        <v>0</v>
      </c>
      <c r="L106" s="199">
        <v>420.41</v>
      </c>
      <c r="M106" s="211">
        <f t="shared" si="17"/>
        <v>1.0105435375386294</v>
      </c>
      <c r="N106" s="199">
        <v>292.60535999999917</v>
      </c>
      <c r="O106" s="198">
        <v>0.76500000000000001</v>
      </c>
      <c r="P106" s="200">
        <v>1.1588802035993455E-2</v>
      </c>
      <c r="Q106" s="198">
        <v>-6.900000000000206E-2</v>
      </c>
      <c r="R106" s="200">
        <v>-1.0452644973641468E-3</v>
      </c>
      <c r="S106" s="199">
        <v>-29.008290000000869</v>
      </c>
      <c r="T106" s="198" t="s">
        <v>235</v>
      </c>
      <c r="U106" s="198" t="s">
        <v>236</v>
      </c>
      <c r="V106" s="231"/>
      <c r="W106" s="205">
        <v>1</v>
      </c>
      <c r="X106" s="198" t="s">
        <v>105</v>
      </c>
    </row>
    <row r="107" spans="2:24" ht="16.5">
      <c r="B107" s="473">
        <v>45911</v>
      </c>
      <c r="C107" s="475" t="s">
        <v>59</v>
      </c>
      <c r="D107" s="209">
        <v>1</v>
      </c>
      <c r="E107" s="198" t="s">
        <v>259</v>
      </c>
      <c r="F107" s="199">
        <v>2161.6999999999998</v>
      </c>
      <c r="G107" s="234">
        <v>127.71</v>
      </c>
      <c r="H107" s="234">
        <v>139.19999999999999</v>
      </c>
      <c r="I107" s="210">
        <f t="shared" si="15"/>
        <v>1.0899694620624854</v>
      </c>
      <c r="J107" s="198">
        <v>0</v>
      </c>
      <c r="K107" s="210">
        <f t="shared" si="16"/>
        <v>0</v>
      </c>
      <c r="L107" s="199">
        <v>216.17</v>
      </c>
      <c r="M107" s="211">
        <f t="shared" si="17"/>
        <v>1.0899694620624854</v>
      </c>
      <c r="N107" s="199">
        <v>2483.7932999999989</v>
      </c>
      <c r="O107" s="198">
        <v>10</v>
      </c>
      <c r="P107" s="200">
        <v>7.8302403883799235E-2</v>
      </c>
      <c r="Q107" s="198">
        <v>1.4899999999999949</v>
      </c>
      <c r="R107" s="200">
        <v>1.1667058178686046E-2</v>
      </c>
      <c r="S107" s="199">
        <v>322.09329999999886</v>
      </c>
      <c r="T107" s="198" t="s">
        <v>251</v>
      </c>
      <c r="U107" s="198" t="s">
        <v>252</v>
      </c>
      <c r="V107" s="231" t="s">
        <v>253</v>
      </c>
      <c r="W107" s="205">
        <v>1</v>
      </c>
      <c r="X107" s="198" t="s">
        <v>115</v>
      </c>
    </row>
    <row r="108" spans="2:24">
      <c r="B108" s="474"/>
      <c r="C108" s="474"/>
      <c r="D108" s="209">
        <v>2</v>
      </c>
      <c r="E108" s="198" t="s">
        <v>278</v>
      </c>
      <c r="F108" s="199">
        <v>505.81700000000001</v>
      </c>
      <c r="G108" s="234">
        <v>56.723999999999997</v>
      </c>
      <c r="H108" s="234">
        <v>56.948</v>
      </c>
      <c r="I108" s="210">
        <f t="shared" si="15"/>
        <v>1.0039489457725126</v>
      </c>
      <c r="J108" s="198">
        <v>0</v>
      </c>
      <c r="K108" s="210">
        <f t="shared" si="16"/>
        <v>0</v>
      </c>
      <c r="L108" s="199">
        <v>299.3</v>
      </c>
      <c r="M108" s="211">
        <f t="shared" si="17"/>
        <v>1.0039489457725126</v>
      </c>
      <c r="N108" s="199">
        <v>67.043200000001121</v>
      </c>
      <c r="O108" s="198">
        <v>1.69</v>
      </c>
      <c r="P108" s="200">
        <v>2.9793385515831043E-2</v>
      </c>
      <c r="Q108" s="198">
        <v>-1.4659999999999962</v>
      </c>
      <c r="R108" s="200">
        <v>-2.5844439743318459E-2</v>
      </c>
      <c r="S108" s="199">
        <v>-438.77379999999886</v>
      </c>
      <c r="T108" s="198" t="s">
        <v>272</v>
      </c>
      <c r="U108" s="198" t="s">
        <v>165</v>
      </c>
      <c r="V108" s="198"/>
      <c r="W108" s="205">
        <v>1</v>
      </c>
      <c r="X108" s="198" t="s">
        <v>105</v>
      </c>
    </row>
    <row r="109" spans="2:24">
      <c r="B109" s="474"/>
      <c r="C109" s="474"/>
      <c r="D109" s="209">
        <v>3</v>
      </c>
      <c r="E109" s="198" t="s">
        <v>229</v>
      </c>
      <c r="F109" s="199">
        <v>486.85559999999998</v>
      </c>
      <c r="G109" s="234">
        <v>179.1</v>
      </c>
      <c r="H109" s="234">
        <v>187.899</v>
      </c>
      <c r="I109" s="210">
        <f t="shared" si="15"/>
        <v>1.0491289782244557</v>
      </c>
      <c r="J109" s="198">
        <v>0</v>
      </c>
      <c r="K109" s="210">
        <f t="shared" si="16"/>
        <v>0</v>
      </c>
      <c r="L109" s="199">
        <v>335.3</v>
      </c>
      <c r="M109" s="211">
        <f t="shared" si="17"/>
        <v>1.0491289782244557</v>
      </c>
      <c r="N109" s="199">
        <v>2950.3047000000024</v>
      </c>
      <c r="O109" s="198">
        <v>1.452</v>
      </c>
      <c r="P109" s="200">
        <v>8.1072026800670018E-3</v>
      </c>
      <c r="Q109" s="198">
        <v>7.3470000000000066</v>
      </c>
      <c r="R109" s="200">
        <v>4.1021775544388649E-2</v>
      </c>
      <c r="S109" s="199">
        <v>2463.4491000000021</v>
      </c>
      <c r="T109" s="198" t="s">
        <v>230</v>
      </c>
      <c r="U109" s="198" t="s">
        <v>181</v>
      </c>
      <c r="V109" s="198" t="s">
        <v>276</v>
      </c>
      <c r="W109" s="205">
        <v>1</v>
      </c>
      <c r="X109" s="198" t="s">
        <v>232</v>
      </c>
    </row>
    <row r="110" spans="2:24">
      <c r="B110" s="474"/>
      <c r="C110" s="474"/>
      <c r="D110" s="209">
        <v>4</v>
      </c>
      <c r="E110" s="198" t="s">
        <v>241</v>
      </c>
      <c r="F110" s="199">
        <v>386.28000000000003</v>
      </c>
      <c r="G110" s="234">
        <v>10.86</v>
      </c>
      <c r="H110" s="234">
        <v>10.928000000000001</v>
      </c>
      <c r="I110" s="210">
        <f t="shared" si="15"/>
        <v>1.0062615101289136</v>
      </c>
      <c r="J110" s="198">
        <v>0</v>
      </c>
      <c r="K110" s="210">
        <f t="shared" si="16"/>
        <v>0</v>
      </c>
      <c r="L110" s="199">
        <v>290</v>
      </c>
      <c r="M110" s="211">
        <f t="shared" si="17"/>
        <v>1.0062615101289136</v>
      </c>
      <c r="N110" s="199">
        <v>19.720000000000404</v>
      </c>
      <c r="O110" s="198">
        <v>1.3320000000000001</v>
      </c>
      <c r="P110" s="200">
        <v>0.12265193370165747</v>
      </c>
      <c r="Q110" s="198">
        <v>-1.2639999999999987</v>
      </c>
      <c r="R110" s="200">
        <v>-0.1163904235727439</v>
      </c>
      <c r="S110" s="199">
        <v>-366.5599999999996</v>
      </c>
      <c r="T110" s="198" t="s">
        <v>235</v>
      </c>
      <c r="U110" s="198" t="s">
        <v>236</v>
      </c>
      <c r="V110" s="198"/>
      <c r="W110" s="205">
        <v>1</v>
      </c>
      <c r="X110" s="198" t="s">
        <v>287</v>
      </c>
    </row>
    <row r="111" spans="2:24">
      <c r="B111" s="474"/>
      <c r="C111" s="474"/>
      <c r="D111" s="209">
        <v>5</v>
      </c>
      <c r="E111" s="198" t="s">
        <v>248</v>
      </c>
      <c r="F111" s="199">
        <v>378.92764</v>
      </c>
      <c r="G111" s="234">
        <v>1143.78</v>
      </c>
      <c r="H111" s="234">
        <v>1167.529</v>
      </c>
      <c r="I111" s="210">
        <f t="shared" si="15"/>
        <v>1.0207636083862281</v>
      </c>
      <c r="J111" s="198">
        <v>0</v>
      </c>
      <c r="K111" s="210">
        <f t="shared" si="16"/>
        <v>0</v>
      </c>
      <c r="L111" s="199">
        <v>34.58</v>
      </c>
      <c r="M111" s="211">
        <f t="shared" si="17"/>
        <v>1.0207636083862281</v>
      </c>
      <c r="N111" s="199">
        <v>821.24042000000077</v>
      </c>
      <c r="O111" s="198">
        <v>10.958</v>
      </c>
      <c r="P111" s="200">
        <v>9.5805137351588597E-3</v>
      </c>
      <c r="Q111" s="198">
        <v>12.791000000000023</v>
      </c>
      <c r="R111" s="200">
        <v>1.1183094651069283E-2</v>
      </c>
      <c r="S111" s="199">
        <v>442.31278000000077</v>
      </c>
      <c r="T111" s="198" t="s">
        <v>235</v>
      </c>
      <c r="U111" s="198" t="s">
        <v>236</v>
      </c>
      <c r="V111" s="198"/>
      <c r="W111" s="205">
        <v>1</v>
      </c>
      <c r="X111" s="198" t="s">
        <v>244</v>
      </c>
    </row>
    <row r="112" spans="2:24">
      <c r="B112" s="474"/>
      <c r="C112" s="474"/>
      <c r="D112" s="209">
        <v>6</v>
      </c>
      <c r="E112" s="198" t="s">
        <v>263</v>
      </c>
      <c r="F112" s="199">
        <v>375.10500000000002</v>
      </c>
      <c r="G112" s="234">
        <v>372.69</v>
      </c>
      <c r="H112" s="234">
        <v>373.53399999999999</v>
      </c>
      <c r="I112" s="210">
        <f t="shared" si="15"/>
        <v>1.0022646167055729</v>
      </c>
      <c r="J112" s="198">
        <v>0</v>
      </c>
      <c r="K112" s="210">
        <f t="shared" si="16"/>
        <v>0</v>
      </c>
      <c r="L112" s="199">
        <v>85</v>
      </c>
      <c r="M112" s="211">
        <f t="shared" si="17"/>
        <v>1.0022646167055729</v>
      </c>
      <c r="N112" s="199">
        <v>71.739999999999498</v>
      </c>
      <c r="O112" s="198">
        <v>4.4130000000000003</v>
      </c>
      <c r="P112" s="200">
        <v>1.1840940191580135E-2</v>
      </c>
      <c r="Q112" s="198">
        <v>-3.5690000000000062</v>
      </c>
      <c r="R112" s="200">
        <v>-9.5763234860071541E-3</v>
      </c>
      <c r="S112" s="199">
        <v>-303.36500000000052</v>
      </c>
      <c r="T112" s="198" t="s">
        <v>235</v>
      </c>
      <c r="U112" s="198" t="s">
        <v>236</v>
      </c>
      <c r="V112" s="198"/>
      <c r="W112" s="205">
        <v>1</v>
      </c>
      <c r="X112" s="198" t="s">
        <v>122</v>
      </c>
    </row>
    <row r="113" spans="2:25" ht="16.5">
      <c r="B113" s="474"/>
      <c r="C113" s="474"/>
      <c r="D113" s="209">
        <v>7</v>
      </c>
      <c r="E113" s="198" t="s">
        <v>237</v>
      </c>
      <c r="F113" s="199">
        <v>372.76302000000004</v>
      </c>
      <c r="G113" s="234">
        <v>96.334000000000003</v>
      </c>
      <c r="H113" s="234">
        <v>97.087000000000003</v>
      </c>
      <c r="I113" s="210">
        <f t="shared" si="15"/>
        <v>1.0078165549027343</v>
      </c>
      <c r="J113" s="198">
        <v>0</v>
      </c>
      <c r="K113" s="210">
        <f t="shared" si="16"/>
        <v>0</v>
      </c>
      <c r="L113" s="199">
        <v>356.37</v>
      </c>
      <c r="M113" s="211">
        <f t="shared" si="17"/>
        <v>1.0078165549027343</v>
      </c>
      <c r="N113" s="199">
        <v>268.34661000000006</v>
      </c>
      <c r="O113" s="198">
        <v>1.046</v>
      </c>
      <c r="P113" s="200">
        <v>1.0858056345630826E-2</v>
      </c>
      <c r="Q113" s="198">
        <v>-0.29299999999999993</v>
      </c>
      <c r="R113" s="200">
        <v>-3.0415014428965882E-3</v>
      </c>
      <c r="S113" s="199">
        <v>-104.41640999999997</v>
      </c>
      <c r="T113" s="198" t="s">
        <v>235</v>
      </c>
      <c r="U113" s="198" t="s">
        <v>236</v>
      </c>
      <c r="V113" s="231"/>
      <c r="W113" s="205">
        <v>1</v>
      </c>
      <c r="X113" s="198" t="s">
        <v>104</v>
      </c>
    </row>
    <row r="114" spans="2:25" ht="16.5">
      <c r="B114" s="474"/>
      <c r="C114" s="474"/>
      <c r="D114" s="209">
        <v>8</v>
      </c>
      <c r="E114" s="198" t="s">
        <v>281</v>
      </c>
      <c r="F114" s="199">
        <v>371.2</v>
      </c>
      <c r="G114" s="234">
        <v>18.576000000000001</v>
      </c>
      <c r="H114" s="234">
        <v>18.613</v>
      </c>
      <c r="I114" s="210">
        <f t="shared" si="15"/>
        <v>1.0019918173987941</v>
      </c>
      <c r="J114" s="198">
        <v>4.7</v>
      </c>
      <c r="K114" s="210">
        <f t="shared" si="16"/>
        <v>0.25301464254952627</v>
      </c>
      <c r="L114" s="199">
        <v>742.4</v>
      </c>
      <c r="M114" s="211">
        <f t="shared" si="17"/>
        <v>1.2550064599483204</v>
      </c>
      <c r="N114" s="199">
        <v>3516.7487999999985</v>
      </c>
      <c r="O114" s="198">
        <v>0.5</v>
      </c>
      <c r="P114" s="200">
        <v>2.6916451335055984E-2</v>
      </c>
      <c r="Q114" s="198">
        <v>4.2369999999999983</v>
      </c>
      <c r="R114" s="200">
        <v>0.22809000861326434</v>
      </c>
      <c r="S114" s="199">
        <v>3145.5487999999987</v>
      </c>
      <c r="T114" s="198" t="s">
        <v>272</v>
      </c>
      <c r="U114" s="198" t="s">
        <v>165</v>
      </c>
      <c r="V114" s="231"/>
      <c r="W114" s="205">
        <v>1</v>
      </c>
      <c r="X114" s="198" t="s">
        <v>115</v>
      </c>
    </row>
    <row r="115" spans="2:25">
      <c r="B115" s="474"/>
      <c r="C115" s="474"/>
      <c r="D115" s="209">
        <v>9</v>
      </c>
      <c r="E115" s="198" t="s">
        <v>266</v>
      </c>
      <c r="F115" s="199">
        <v>339.27087000000006</v>
      </c>
      <c r="G115" s="234">
        <v>56.723999999999997</v>
      </c>
      <c r="H115" s="234">
        <v>56.999000000000002</v>
      </c>
      <c r="I115" s="210">
        <f t="shared" si="15"/>
        <v>1.0048480361046472</v>
      </c>
      <c r="J115" s="198">
        <v>0</v>
      </c>
      <c r="K115" s="210">
        <f t="shared" si="16"/>
        <v>0</v>
      </c>
      <c r="L115" s="199">
        <v>420.41</v>
      </c>
      <c r="M115" s="211">
        <f t="shared" si="17"/>
        <v>1.0048480361046472</v>
      </c>
      <c r="N115" s="199">
        <v>115.61275000000239</v>
      </c>
      <c r="O115" s="198">
        <v>0.80700000000000005</v>
      </c>
      <c r="P115" s="200">
        <v>1.4226782314364292E-2</v>
      </c>
      <c r="Q115" s="198">
        <v>-0.53199999999999437</v>
      </c>
      <c r="R115" s="200">
        <v>-9.3787462097171276E-3</v>
      </c>
      <c r="S115" s="199">
        <v>-223.65811999999764</v>
      </c>
      <c r="T115" s="198" t="s">
        <v>235</v>
      </c>
      <c r="U115" s="198" t="s">
        <v>236</v>
      </c>
      <c r="V115" s="198"/>
      <c r="W115" s="205">
        <v>1</v>
      </c>
      <c r="X115" s="198" t="s">
        <v>105</v>
      </c>
    </row>
    <row r="116" spans="2:25" ht="18.75" customHeight="1">
      <c r="B116" s="474"/>
      <c r="C116" s="474"/>
      <c r="D116" s="209">
        <v>10</v>
      </c>
      <c r="E116" s="198" t="s">
        <v>254</v>
      </c>
      <c r="F116" s="199">
        <v>306.97410810810806</v>
      </c>
      <c r="G116" s="234">
        <v>503.94</v>
      </c>
      <c r="H116" s="234">
        <v>509.55599999999998</v>
      </c>
      <c r="I116" s="210">
        <f t="shared" si="15"/>
        <v>1.0111441838314086</v>
      </c>
      <c r="J116" s="198">
        <v>0</v>
      </c>
      <c r="K116" s="210">
        <f t="shared" si="16"/>
        <v>0</v>
      </c>
      <c r="L116" s="199">
        <v>58.21621621621621</v>
      </c>
      <c r="M116" s="211">
        <f t="shared" si="17"/>
        <v>1.0111441838314086</v>
      </c>
      <c r="N116" s="199">
        <v>326.94227027026938</v>
      </c>
      <c r="O116" s="198">
        <v>5.2729999999999997</v>
      </c>
      <c r="P116" s="200">
        <v>1.0463547247688216E-2</v>
      </c>
      <c r="Q116" s="198">
        <v>0.34299999999998576</v>
      </c>
      <c r="R116" s="200">
        <v>6.8063658372025592E-4</v>
      </c>
      <c r="S116" s="199">
        <v>19.968162162161331</v>
      </c>
      <c r="T116" s="198" t="s">
        <v>235</v>
      </c>
      <c r="U116" s="198" t="s">
        <v>236</v>
      </c>
      <c r="V116" s="231"/>
      <c r="W116" s="205">
        <v>1</v>
      </c>
      <c r="X116" s="198" t="s">
        <v>110</v>
      </c>
    </row>
    <row r="117" spans="2:25">
      <c r="B117" s="473">
        <v>45912</v>
      </c>
      <c r="C117" s="475" t="s">
        <v>60</v>
      </c>
      <c r="D117" s="209">
        <v>11</v>
      </c>
      <c r="E117" s="198" t="s">
        <v>237</v>
      </c>
      <c r="F117" s="199">
        <v>875</v>
      </c>
      <c r="G117" s="234">
        <v>83.6</v>
      </c>
      <c r="H117" s="234">
        <v>84.2</v>
      </c>
      <c r="I117" s="210">
        <f t="shared" si="15"/>
        <v>1.0071770334928232</v>
      </c>
      <c r="J117" s="198">
        <v>0</v>
      </c>
      <c r="K117" s="210">
        <f t="shared" si="16"/>
        <v>0</v>
      </c>
      <c r="L117" s="199">
        <v>356.4</v>
      </c>
      <c r="M117" s="211">
        <f t="shared" si="17"/>
        <v>1.0071770334928232</v>
      </c>
      <c r="N117" s="199">
        <v>205</v>
      </c>
      <c r="O117" s="198">
        <v>2.46</v>
      </c>
      <c r="P117" s="200">
        <v>2.9000000000000001E-2</v>
      </c>
      <c r="Q117" s="198">
        <v>-1.9</v>
      </c>
      <c r="R117" s="200">
        <v>-2.1999999999999999E-2</v>
      </c>
      <c r="S117" s="199">
        <v>-670</v>
      </c>
      <c r="T117" s="198" t="s">
        <v>272</v>
      </c>
      <c r="U117" s="198" t="s">
        <v>165</v>
      </c>
      <c r="V117" s="198"/>
      <c r="W117" s="205">
        <v>1</v>
      </c>
      <c r="X117" s="198" t="s">
        <v>104</v>
      </c>
    </row>
    <row r="118" spans="2:25">
      <c r="B118" s="474"/>
      <c r="C118" s="474"/>
      <c r="D118" s="209">
        <v>12</v>
      </c>
      <c r="E118" s="198" t="s">
        <v>286</v>
      </c>
      <c r="F118" s="199">
        <v>715</v>
      </c>
      <c r="G118" s="234">
        <v>632.9</v>
      </c>
      <c r="H118" s="234">
        <v>640.1</v>
      </c>
      <c r="I118" s="210">
        <f t="shared" si="15"/>
        <v>1.0113762047716859</v>
      </c>
      <c r="J118" s="198">
        <v>0</v>
      </c>
      <c r="K118" s="210">
        <f t="shared" si="16"/>
        <v>0</v>
      </c>
      <c r="L118" s="199">
        <v>47.9</v>
      </c>
      <c r="M118" s="211">
        <f t="shared" si="17"/>
        <v>1.0113762047716859</v>
      </c>
      <c r="N118" s="199">
        <v>342</v>
      </c>
      <c r="O118" s="198">
        <v>14.93</v>
      </c>
      <c r="P118" s="200">
        <v>2.4E-2</v>
      </c>
      <c r="Q118" s="198">
        <v>-7.8</v>
      </c>
      <c r="R118" s="200">
        <v>-1.2E-2</v>
      </c>
      <c r="S118" s="199">
        <v>-373.1</v>
      </c>
      <c r="T118" s="198" t="s">
        <v>235</v>
      </c>
      <c r="U118" s="198" t="s">
        <v>236</v>
      </c>
      <c r="V118" s="198"/>
      <c r="W118" s="205">
        <v>1</v>
      </c>
      <c r="X118" s="198" t="s">
        <v>106</v>
      </c>
    </row>
    <row r="119" spans="2:25">
      <c r="B119" s="474"/>
      <c r="C119" s="474"/>
      <c r="D119" s="209">
        <v>13</v>
      </c>
      <c r="E119" s="198" t="s">
        <v>229</v>
      </c>
      <c r="F119" s="199">
        <v>546</v>
      </c>
      <c r="G119" s="234">
        <v>151.4</v>
      </c>
      <c r="H119" s="234">
        <v>158.19999999999999</v>
      </c>
      <c r="I119" s="210">
        <f t="shared" si="15"/>
        <v>1.044914134742404</v>
      </c>
      <c r="J119" s="198">
        <v>0</v>
      </c>
      <c r="K119" s="210">
        <f t="shared" si="16"/>
        <v>0</v>
      </c>
      <c r="L119" s="199">
        <v>335.3</v>
      </c>
      <c r="M119" s="211">
        <f t="shared" si="17"/>
        <v>1.044914134742404</v>
      </c>
      <c r="N119" s="199">
        <v>2258</v>
      </c>
      <c r="O119" s="198">
        <v>1.63</v>
      </c>
      <c r="P119" s="200">
        <v>1.0999999999999999E-2</v>
      </c>
      <c r="Q119" s="198">
        <v>5.0999999999999996</v>
      </c>
      <c r="R119" s="200">
        <v>3.4000000000000002E-2</v>
      </c>
      <c r="S119" s="199">
        <v>1712.4</v>
      </c>
      <c r="T119" s="198" t="s">
        <v>230</v>
      </c>
      <c r="U119" s="198" t="s">
        <v>181</v>
      </c>
      <c r="V119" s="198" t="s">
        <v>276</v>
      </c>
      <c r="W119" s="205">
        <v>1</v>
      </c>
      <c r="X119" s="198" t="s">
        <v>232</v>
      </c>
    </row>
    <row r="120" spans="2:25" ht="16.5">
      <c r="B120" s="474"/>
      <c r="C120" s="474"/>
      <c r="D120" s="209">
        <v>14</v>
      </c>
      <c r="E120" s="198" t="s">
        <v>160</v>
      </c>
      <c r="F120" s="199">
        <v>492</v>
      </c>
      <c r="G120" s="234">
        <v>10.1</v>
      </c>
      <c r="H120" s="234">
        <v>10.1</v>
      </c>
      <c r="I120" s="210">
        <f t="shared" si="15"/>
        <v>1</v>
      </c>
      <c r="J120" s="198">
        <v>0</v>
      </c>
      <c r="K120" s="210">
        <f t="shared" si="16"/>
        <v>0</v>
      </c>
      <c r="L120" s="199">
        <v>584.70000000000005</v>
      </c>
      <c r="M120" s="211">
        <f t="shared" si="17"/>
        <v>1</v>
      </c>
      <c r="N120" s="199">
        <v>6</v>
      </c>
      <c r="O120" s="198">
        <v>0.84</v>
      </c>
      <c r="P120" s="200">
        <v>8.3000000000000004E-2</v>
      </c>
      <c r="Q120" s="198">
        <v>-0.8</v>
      </c>
      <c r="R120" s="200">
        <v>-8.2000000000000003E-2</v>
      </c>
      <c r="S120" s="199">
        <v>-486.4</v>
      </c>
      <c r="T120" s="198" t="s">
        <v>272</v>
      </c>
      <c r="U120" s="198" t="s">
        <v>165</v>
      </c>
      <c r="V120" s="231"/>
      <c r="W120" s="205">
        <v>1</v>
      </c>
      <c r="X120" s="198" t="s">
        <v>109</v>
      </c>
    </row>
    <row r="121" spans="2:25" ht="16.5">
      <c r="B121" s="474"/>
      <c r="C121" s="474"/>
      <c r="D121" s="209">
        <v>15</v>
      </c>
      <c r="E121" s="198" t="s">
        <v>248</v>
      </c>
      <c r="F121" s="199">
        <v>391</v>
      </c>
      <c r="G121" s="234">
        <v>869</v>
      </c>
      <c r="H121" s="234">
        <v>887.9</v>
      </c>
      <c r="I121" s="210">
        <f t="shared" si="15"/>
        <v>1.0217491369390104</v>
      </c>
      <c r="J121" s="198">
        <v>0</v>
      </c>
      <c r="K121" s="210">
        <f t="shared" si="16"/>
        <v>0</v>
      </c>
      <c r="L121" s="199">
        <v>34.6</v>
      </c>
      <c r="M121" s="211">
        <f t="shared" si="17"/>
        <v>1.0217491369390104</v>
      </c>
      <c r="N121" s="199">
        <v>654</v>
      </c>
      <c r="O121" s="198">
        <v>11.3</v>
      </c>
      <c r="P121" s="200">
        <v>1.2999999999999999E-2</v>
      </c>
      <c r="Q121" s="198">
        <v>7.6</v>
      </c>
      <c r="R121" s="200">
        <v>8.9999999999999993E-3</v>
      </c>
      <c r="S121" s="199">
        <v>263.5</v>
      </c>
      <c r="T121" s="198" t="s">
        <v>235</v>
      </c>
      <c r="U121" s="198" t="s">
        <v>236</v>
      </c>
      <c r="V121" s="231"/>
      <c r="W121" s="205">
        <v>1</v>
      </c>
      <c r="X121" s="198" t="s">
        <v>103</v>
      </c>
    </row>
    <row r="122" spans="2:25" ht="16.5">
      <c r="B122" s="474"/>
      <c r="C122" s="474"/>
      <c r="D122" s="209">
        <v>16</v>
      </c>
      <c r="E122" s="198" t="s">
        <v>288</v>
      </c>
      <c r="F122" s="199">
        <v>387</v>
      </c>
      <c r="G122" s="234">
        <v>11850</v>
      </c>
      <c r="H122" s="234">
        <v>11880</v>
      </c>
      <c r="I122" s="210">
        <f t="shared" si="15"/>
        <v>1.0025316455696203</v>
      </c>
      <c r="J122" s="198">
        <v>0</v>
      </c>
      <c r="K122" s="210">
        <f t="shared" si="16"/>
        <v>0</v>
      </c>
      <c r="L122" s="199">
        <v>4.5</v>
      </c>
      <c r="M122" s="211">
        <f t="shared" si="17"/>
        <v>1.0025316455696203</v>
      </c>
      <c r="N122" s="199">
        <v>135</v>
      </c>
      <c r="O122" s="198">
        <v>86</v>
      </c>
      <c r="P122" s="200">
        <v>7.0000000000000001E-3</v>
      </c>
      <c r="Q122" s="198">
        <v>-56</v>
      </c>
      <c r="R122" s="200">
        <v>-5.0000000000000001E-3</v>
      </c>
      <c r="S122" s="199">
        <v>-252</v>
      </c>
      <c r="T122" s="198" t="s">
        <v>235</v>
      </c>
      <c r="U122" s="198" t="s">
        <v>236</v>
      </c>
      <c r="V122" s="231"/>
      <c r="W122" s="205">
        <v>1</v>
      </c>
      <c r="X122" s="198" t="s">
        <v>103</v>
      </c>
    </row>
    <row r="123" spans="2:25">
      <c r="B123" s="474"/>
      <c r="C123" s="474"/>
      <c r="D123" s="209">
        <v>17</v>
      </c>
      <c r="E123" s="198" t="s">
        <v>263</v>
      </c>
      <c r="F123" s="199">
        <v>381</v>
      </c>
      <c r="G123" s="234">
        <v>303.60000000000002</v>
      </c>
      <c r="H123" s="234">
        <v>307.8</v>
      </c>
      <c r="I123" s="210">
        <f t="shared" si="15"/>
        <v>1.0138339920948616</v>
      </c>
      <c r="J123" s="198">
        <v>0</v>
      </c>
      <c r="K123" s="210">
        <f t="shared" si="16"/>
        <v>0</v>
      </c>
      <c r="L123" s="199">
        <v>85</v>
      </c>
      <c r="M123" s="211">
        <f t="shared" si="17"/>
        <v>1.0138339920948616</v>
      </c>
      <c r="N123" s="199">
        <v>361</v>
      </c>
      <c r="O123" s="198">
        <v>4.49</v>
      </c>
      <c r="P123" s="200">
        <v>1.4999999999999999E-2</v>
      </c>
      <c r="Q123" s="198">
        <v>-0.2</v>
      </c>
      <c r="R123" s="200">
        <v>-1E-3</v>
      </c>
      <c r="S123" s="199">
        <v>-20.6</v>
      </c>
      <c r="T123" s="198" t="s">
        <v>235</v>
      </c>
      <c r="U123" s="198" t="s">
        <v>236</v>
      </c>
      <c r="V123" s="198"/>
      <c r="W123" s="205">
        <v>1</v>
      </c>
      <c r="X123" s="198" t="s">
        <v>122</v>
      </c>
    </row>
    <row r="124" spans="2:25">
      <c r="B124" s="474"/>
      <c r="C124" s="474"/>
      <c r="D124" s="209">
        <v>18</v>
      </c>
      <c r="E124" s="198" t="s">
        <v>266</v>
      </c>
      <c r="F124" s="199">
        <v>334</v>
      </c>
      <c r="G124" s="234">
        <v>47.4</v>
      </c>
      <c r="H124" s="234">
        <v>48.5</v>
      </c>
      <c r="I124" s="210">
        <f t="shared" si="15"/>
        <v>1.0232067510548524</v>
      </c>
      <c r="J124" s="198">
        <v>0</v>
      </c>
      <c r="K124" s="210">
        <f t="shared" si="16"/>
        <v>0</v>
      </c>
      <c r="L124" s="199">
        <v>420.4</v>
      </c>
      <c r="M124" s="211">
        <f t="shared" si="17"/>
        <v>1.0232067510548524</v>
      </c>
      <c r="N124" s="199">
        <v>477</v>
      </c>
      <c r="O124" s="198">
        <v>0.79</v>
      </c>
      <c r="P124" s="200">
        <v>1.7000000000000001E-2</v>
      </c>
      <c r="Q124" s="198">
        <v>0.3</v>
      </c>
      <c r="R124" s="200">
        <v>7.0000000000000001E-3</v>
      </c>
      <c r="S124" s="199">
        <v>143.4</v>
      </c>
      <c r="T124" s="198" t="s">
        <v>235</v>
      </c>
      <c r="U124" s="198" t="s">
        <v>236</v>
      </c>
      <c r="V124" s="198"/>
      <c r="W124" s="205">
        <v>1</v>
      </c>
      <c r="X124" s="198" t="s">
        <v>105</v>
      </c>
    </row>
    <row r="125" spans="2:25">
      <c r="B125" s="474"/>
      <c r="C125" s="474"/>
      <c r="D125" s="209">
        <v>19</v>
      </c>
      <c r="E125" s="198" t="s">
        <v>241</v>
      </c>
      <c r="F125" s="199">
        <v>293</v>
      </c>
      <c r="G125" s="234">
        <v>9.6999999999999993</v>
      </c>
      <c r="H125" s="234">
        <v>9.6999999999999993</v>
      </c>
      <c r="I125" s="210">
        <f t="shared" si="15"/>
        <v>1</v>
      </c>
      <c r="J125" s="198">
        <v>0</v>
      </c>
      <c r="K125" s="210">
        <f t="shared" si="16"/>
        <v>0</v>
      </c>
      <c r="L125" s="199">
        <v>290</v>
      </c>
      <c r="M125" s="211">
        <f t="shared" si="17"/>
        <v>1</v>
      </c>
      <c r="N125" s="199">
        <v>19</v>
      </c>
      <c r="O125" s="198">
        <v>1.01</v>
      </c>
      <c r="P125" s="200">
        <v>0.105</v>
      </c>
      <c r="Q125" s="198">
        <v>-0.9</v>
      </c>
      <c r="R125" s="200">
        <v>-9.8000000000000004E-2</v>
      </c>
      <c r="S125" s="199">
        <v>-274.10000000000002</v>
      </c>
      <c r="T125" s="198" t="s">
        <v>235</v>
      </c>
      <c r="U125" s="198" t="s">
        <v>236</v>
      </c>
      <c r="V125" s="198"/>
      <c r="W125" s="205">
        <v>1</v>
      </c>
      <c r="X125" s="198" t="s">
        <v>287</v>
      </c>
    </row>
    <row r="126" spans="2:25" ht="16.5">
      <c r="B126" s="474"/>
      <c r="C126" s="474"/>
      <c r="D126" s="209">
        <v>20</v>
      </c>
      <c r="E126" s="198" t="s">
        <v>277</v>
      </c>
      <c r="F126" s="199">
        <v>289</v>
      </c>
      <c r="G126" s="234">
        <v>13674</v>
      </c>
      <c r="H126" s="234">
        <v>13776</v>
      </c>
      <c r="I126" s="210">
        <f t="shared" si="15"/>
        <v>1.0074594120228171</v>
      </c>
      <c r="J126" s="198">
        <v>0</v>
      </c>
      <c r="K126" s="210">
        <f t="shared" si="16"/>
        <v>0</v>
      </c>
      <c r="L126" s="199">
        <v>2.8</v>
      </c>
      <c r="M126" s="211">
        <f t="shared" si="17"/>
        <v>1.0074594120228171</v>
      </c>
      <c r="N126" s="199">
        <v>289</v>
      </c>
      <c r="O126" s="198">
        <v>102</v>
      </c>
      <c r="P126" s="200">
        <v>7.0000000000000001E-3</v>
      </c>
      <c r="Q126" s="198">
        <v>0</v>
      </c>
      <c r="R126" s="200">
        <v>0</v>
      </c>
      <c r="S126" s="199">
        <v>0</v>
      </c>
      <c r="T126" s="198" t="s">
        <v>235</v>
      </c>
      <c r="U126" s="198" t="s">
        <v>236</v>
      </c>
      <c r="V126" s="231"/>
      <c r="W126" s="205">
        <v>1</v>
      </c>
      <c r="X126" s="198" t="s">
        <v>113</v>
      </c>
    </row>
    <row r="127" spans="2:25">
      <c r="B127" s="473">
        <v>45913</v>
      </c>
      <c r="C127" s="475" t="s">
        <v>61</v>
      </c>
      <c r="D127" s="209">
        <v>21</v>
      </c>
      <c r="E127" s="198" t="s">
        <v>160</v>
      </c>
      <c r="F127" s="199">
        <v>476</v>
      </c>
      <c r="G127" s="198">
        <v>102.4</v>
      </c>
      <c r="H127" s="198">
        <v>102.6</v>
      </c>
      <c r="I127" s="210">
        <f t="shared" ref="I127:I180" si="18">H127/G127</f>
        <v>1.0019531249999998</v>
      </c>
      <c r="J127" s="198">
        <v>0</v>
      </c>
      <c r="K127" s="210">
        <f t="shared" ref="K127:K180" si="19">J127/G127</f>
        <v>0</v>
      </c>
      <c r="L127" s="199">
        <v>575.70000000000005</v>
      </c>
      <c r="M127" s="211">
        <f t="shared" ref="M127:M180" si="20">(H127+J127)/G127</f>
        <v>1.0019531249999998</v>
      </c>
      <c r="N127" s="199">
        <v>150</v>
      </c>
      <c r="O127" s="198">
        <v>0.83</v>
      </c>
      <c r="P127" s="200">
        <v>8.0000000000000002E-3</v>
      </c>
      <c r="Q127" s="198">
        <v>-0.6</v>
      </c>
      <c r="R127" s="200">
        <v>-6.0000000000000001E-3</v>
      </c>
      <c r="S127" s="199">
        <v>-325.89999999999998</v>
      </c>
      <c r="T127" s="198" t="s">
        <v>235</v>
      </c>
      <c r="U127" s="198" t="s">
        <v>236</v>
      </c>
      <c r="V127" s="198"/>
      <c r="W127" s="205">
        <v>1</v>
      </c>
      <c r="X127" s="198" t="s">
        <v>106</v>
      </c>
      <c r="Y127" s="201" t="s">
        <v>289</v>
      </c>
    </row>
    <row r="128" spans="2:25" ht="16.5">
      <c r="B128" s="474"/>
      <c r="C128" s="474"/>
      <c r="D128" s="209">
        <v>22</v>
      </c>
      <c r="E128" s="198" t="s">
        <v>254</v>
      </c>
      <c r="F128" s="199">
        <v>460</v>
      </c>
      <c r="G128" s="198">
        <v>516.5</v>
      </c>
      <c r="H128" s="198">
        <v>519.79999999999995</v>
      </c>
      <c r="I128" s="210">
        <f t="shared" si="18"/>
        <v>1.0063891577928363</v>
      </c>
      <c r="J128" s="198">
        <v>0</v>
      </c>
      <c r="K128" s="210">
        <f t="shared" si="19"/>
        <v>0</v>
      </c>
      <c r="L128" s="199">
        <v>58.2</v>
      </c>
      <c r="M128" s="211">
        <f t="shared" si="20"/>
        <v>1.0063891577928363</v>
      </c>
      <c r="N128" s="199">
        <v>188</v>
      </c>
      <c r="O128" s="198">
        <v>7.9</v>
      </c>
      <c r="P128" s="200">
        <v>1.4999999999999999E-2</v>
      </c>
      <c r="Q128" s="198">
        <v>-4.7</v>
      </c>
      <c r="R128" s="200">
        <v>-8.9999999999999993E-3</v>
      </c>
      <c r="S128" s="199">
        <v>-271.89999999999998</v>
      </c>
      <c r="T128" s="198" t="s">
        <v>235</v>
      </c>
      <c r="U128" s="198" t="s">
        <v>236</v>
      </c>
      <c r="V128" s="231"/>
      <c r="W128" s="205">
        <v>1</v>
      </c>
      <c r="X128" s="198" t="s">
        <v>110</v>
      </c>
      <c r="Y128" s="203" t="s">
        <v>290</v>
      </c>
    </row>
    <row r="129" spans="2:24" ht="16.5">
      <c r="B129" s="474"/>
      <c r="C129" s="474"/>
      <c r="D129" s="209">
        <v>23</v>
      </c>
      <c r="E129" s="198" t="s">
        <v>249</v>
      </c>
      <c r="F129" s="199">
        <v>436</v>
      </c>
      <c r="G129" s="198">
        <v>10</v>
      </c>
      <c r="H129" s="198">
        <v>10.199999999999999</v>
      </c>
      <c r="I129" s="210">
        <f t="shared" si="18"/>
        <v>1.02</v>
      </c>
      <c r="J129" s="198">
        <v>0</v>
      </c>
      <c r="K129" s="210">
        <f t="shared" si="19"/>
        <v>0</v>
      </c>
      <c r="L129" s="199">
        <v>922.7</v>
      </c>
      <c r="M129" s="211">
        <f t="shared" si="20"/>
        <v>1.02</v>
      </c>
      <c r="N129" s="199">
        <v>211</v>
      </c>
      <c r="O129" s="198">
        <v>0.47</v>
      </c>
      <c r="P129" s="200">
        <v>4.7E-2</v>
      </c>
      <c r="Q129" s="198">
        <v>-0.2</v>
      </c>
      <c r="R129" s="200">
        <v>-2.4E-2</v>
      </c>
      <c r="S129" s="199">
        <v>-225.1</v>
      </c>
      <c r="T129" s="198" t="s">
        <v>235</v>
      </c>
      <c r="U129" s="198" t="s">
        <v>236</v>
      </c>
      <c r="V129" s="231"/>
      <c r="W129" s="205">
        <v>1</v>
      </c>
      <c r="X129" s="198" t="s">
        <v>113</v>
      </c>
    </row>
    <row r="130" spans="2:24" ht="16.5">
      <c r="B130" s="474"/>
      <c r="C130" s="474"/>
      <c r="D130" s="209">
        <v>24</v>
      </c>
      <c r="E130" s="198" t="s">
        <v>266</v>
      </c>
      <c r="F130" s="199">
        <v>399</v>
      </c>
      <c r="G130" s="198">
        <v>49.7</v>
      </c>
      <c r="H130" s="198">
        <v>44</v>
      </c>
      <c r="I130" s="210">
        <f t="shared" si="18"/>
        <v>0.8853118712273641</v>
      </c>
      <c r="J130" s="198">
        <v>6</v>
      </c>
      <c r="K130" s="210">
        <f t="shared" si="19"/>
        <v>0.12072434607645875</v>
      </c>
      <c r="L130" s="199">
        <v>420.4</v>
      </c>
      <c r="M130" s="211">
        <f t="shared" si="20"/>
        <v>1.0060362173038229</v>
      </c>
      <c r="N130" s="199">
        <v>135</v>
      </c>
      <c r="O130" s="198">
        <v>0.95</v>
      </c>
      <c r="P130" s="200">
        <v>1.9E-2</v>
      </c>
      <c r="Q130" s="198">
        <v>-0.6</v>
      </c>
      <c r="R130" s="200">
        <v>-1.2999999999999999E-2</v>
      </c>
      <c r="S130" s="199">
        <v>-264.89999999999998</v>
      </c>
      <c r="T130" s="198" t="s">
        <v>235</v>
      </c>
      <c r="U130" s="198" t="s">
        <v>236</v>
      </c>
      <c r="V130" s="231"/>
      <c r="W130" s="205">
        <v>1</v>
      </c>
      <c r="X130" s="198" t="s">
        <v>105</v>
      </c>
    </row>
    <row r="131" spans="2:24" ht="16.5">
      <c r="B131" s="474"/>
      <c r="C131" s="474"/>
      <c r="D131" s="209">
        <v>25</v>
      </c>
      <c r="E131" s="198" t="s">
        <v>286</v>
      </c>
      <c r="F131" s="199">
        <v>379</v>
      </c>
      <c r="G131" s="198">
        <v>643.5</v>
      </c>
      <c r="H131" s="198">
        <v>652.9</v>
      </c>
      <c r="I131" s="210">
        <f t="shared" si="18"/>
        <v>1.0146076146076146</v>
      </c>
      <c r="J131" s="198">
        <v>0</v>
      </c>
      <c r="K131" s="210">
        <f t="shared" si="19"/>
        <v>0</v>
      </c>
      <c r="L131" s="199">
        <v>47.9</v>
      </c>
      <c r="M131" s="211">
        <f t="shared" si="20"/>
        <v>1.0146076146076146</v>
      </c>
      <c r="N131" s="199">
        <v>450</v>
      </c>
      <c r="O131" s="198">
        <v>7.92</v>
      </c>
      <c r="P131" s="200">
        <v>1.2E-2</v>
      </c>
      <c r="Q131" s="198">
        <v>1.5</v>
      </c>
      <c r="R131" s="200">
        <v>2E-3</v>
      </c>
      <c r="S131" s="199">
        <v>71.099999999999994</v>
      </c>
      <c r="T131" s="198" t="s">
        <v>235</v>
      </c>
      <c r="U131" s="198" t="s">
        <v>236</v>
      </c>
      <c r="V131" s="231"/>
      <c r="W131" s="205">
        <v>1</v>
      </c>
      <c r="X131" s="198" t="s">
        <v>106</v>
      </c>
    </row>
    <row r="132" spans="2:24" ht="16.5">
      <c r="B132" s="474"/>
      <c r="C132" s="474"/>
      <c r="D132" s="209">
        <v>26</v>
      </c>
      <c r="E132" s="198" t="s">
        <v>248</v>
      </c>
      <c r="F132" s="199">
        <v>346</v>
      </c>
      <c r="G132" s="198">
        <v>864.8</v>
      </c>
      <c r="H132" s="198">
        <v>880</v>
      </c>
      <c r="I132" s="210">
        <f t="shared" si="18"/>
        <v>1.0175763182238668</v>
      </c>
      <c r="J132" s="198">
        <v>0</v>
      </c>
      <c r="K132" s="210">
        <f t="shared" si="19"/>
        <v>0</v>
      </c>
      <c r="L132" s="199">
        <v>34.6</v>
      </c>
      <c r="M132" s="211">
        <f t="shared" si="20"/>
        <v>1.0175763182238668</v>
      </c>
      <c r="N132" s="199">
        <v>525</v>
      </c>
      <c r="O132" s="198">
        <v>10.01</v>
      </c>
      <c r="P132" s="200">
        <v>1.2E-2</v>
      </c>
      <c r="Q132" s="198">
        <v>5.2</v>
      </c>
      <c r="R132" s="200">
        <v>6.0000000000000001E-3</v>
      </c>
      <c r="S132" s="199">
        <v>178.7</v>
      </c>
      <c r="T132" s="198" t="s">
        <v>235</v>
      </c>
      <c r="U132" s="198" t="s">
        <v>236</v>
      </c>
      <c r="V132" s="231"/>
      <c r="W132" s="205">
        <v>1</v>
      </c>
      <c r="X132" s="198" t="s">
        <v>244</v>
      </c>
    </row>
    <row r="133" spans="2:24" ht="16.5">
      <c r="B133" s="474"/>
      <c r="C133" s="474"/>
      <c r="D133" s="209">
        <v>27</v>
      </c>
      <c r="E133" s="198" t="s">
        <v>241</v>
      </c>
      <c r="F133" s="199">
        <v>345</v>
      </c>
      <c r="G133" s="198">
        <v>10.1</v>
      </c>
      <c r="H133" s="198">
        <v>10.199999999999999</v>
      </c>
      <c r="I133" s="210">
        <f t="shared" si="18"/>
        <v>1.0099009900990099</v>
      </c>
      <c r="J133" s="198">
        <v>0</v>
      </c>
      <c r="K133" s="210">
        <f t="shared" si="19"/>
        <v>0</v>
      </c>
      <c r="L133" s="199">
        <v>290</v>
      </c>
      <c r="M133" s="211">
        <f t="shared" si="20"/>
        <v>1.0099009900990099</v>
      </c>
      <c r="N133" s="199">
        <v>23</v>
      </c>
      <c r="O133" s="198">
        <v>1.19</v>
      </c>
      <c r="P133" s="200">
        <v>0.11799999999999999</v>
      </c>
      <c r="Q133" s="198">
        <v>-1.1000000000000001</v>
      </c>
      <c r="R133" s="200">
        <v>-0.11</v>
      </c>
      <c r="S133" s="199">
        <v>-322.5</v>
      </c>
      <c r="T133" s="198" t="s">
        <v>235</v>
      </c>
      <c r="U133" s="198" t="s">
        <v>236</v>
      </c>
      <c r="V133" s="231"/>
      <c r="W133" s="205">
        <v>1</v>
      </c>
      <c r="X133" s="198" t="s">
        <v>287</v>
      </c>
    </row>
    <row r="134" spans="2:24">
      <c r="B134" s="474"/>
      <c r="C134" s="474"/>
      <c r="D134" s="209">
        <v>28</v>
      </c>
      <c r="E134" s="198" t="s">
        <v>291</v>
      </c>
      <c r="F134" s="199">
        <v>334</v>
      </c>
      <c r="G134" s="198">
        <v>335.6</v>
      </c>
      <c r="H134" s="198">
        <v>349.3</v>
      </c>
      <c r="I134" s="210">
        <f t="shared" si="18"/>
        <v>1.0408224076281287</v>
      </c>
      <c r="J134" s="198">
        <v>100.8</v>
      </c>
      <c r="K134" s="210">
        <f t="shared" si="19"/>
        <v>0.300357568533969</v>
      </c>
      <c r="L134" s="199">
        <v>41</v>
      </c>
      <c r="M134" s="211">
        <f t="shared" si="20"/>
        <v>1.3411799761620977</v>
      </c>
      <c r="N134" s="199">
        <v>4692</v>
      </c>
      <c r="O134" s="198">
        <v>8.15</v>
      </c>
      <c r="P134" s="200">
        <v>2.4E-2</v>
      </c>
      <c r="Q134" s="198">
        <v>106.3</v>
      </c>
      <c r="R134" s="200">
        <v>0.317</v>
      </c>
      <c r="S134" s="199">
        <v>4358.3</v>
      </c>
      <c r="T134" s="198" t="s">
        <v>272</v>
      </c>
      <c r="U134" s="198" t="s">
        <v>165</v>
      </c>
      <c r="V134" s="198"/>
      <c r="W134" s="205">
        <v>1</v>
      </c>
      <c r="X134" s="198" t="s">
        <v>111</v>
      </c>
    </row>
    <row r="135" spans="2:24">
      <c r="B135" s="474"/>
      <c r="C135" s="474"/>
      <c r="D135" s="209">
        <v>29</v>
      </c>
      <c r="E135" s="198" t="s">
        <v>262</v>
      </c>
      <c r="F135" s="199">
        <v>300</v>
      </c>
      <c r="G135" s="198">
        <v>245.6</v>
      </c>
      <c r="H135" s="198">
        <v>250.2</v>
      </c>
      <c r="I135" s="210">
        <f t="shared" si="18"/>
        <v>1.018729641693811</v>
      </c>
      <c r="J135" s="198">
        <v>0</v>
      </c>
      <c r="K135" s="210">
        <f t="shared" si="19"/>
        <v>0</v>
      </c>
      <c r="L135" s="199">
        <v>100</v>
      </c>
      <c r="M135" s="211">
        <f t="shared" si="20"/>
        <v>1.018729641693811</v>
      </c>
      <c r="N135" s="199">
        <v>463</v>
      </c>
      <c r="O135" s="198">
        <v>3</v>
      </c>
      <c r="P135" s="200">
        <v>1.2E-2</v>
      </c>
      <c r="Q135" s="198">
        <v>1.6</v>
      </c>
      <c r="R135" s="200">
        <v>7.0000000000000001E-3</v>
      </c>
      <c r="S135" s="199">
        <v>162.5</v>
      </c>
      <c r="T135" s="198" t="s">
        <v>235</v>
      </c>
      <c r="U135" s="198" t="s">
        <v>236</v>
      </c>
      <c r="V135" s="198"/>
      <c r="W135" s="205">
        <v>1</v>
      </c>
      <c r="X135" s="198" t="s">
        <v>232</v>
      </c>
    </row>
    <row r="136" spans="2:24">
      <c r="B136" s="474"/>
      <c r="C136" s="474"/>
      <c r="D136" s="209">
        <v>30</v>
      </c>
      <c r="E136" s="198" t="s">
        <v>241</v>
      </c>
      <c r="F136" s="199">
        <v>297</v>
      </c>
      <c r="G136" s="198">
        <v>41.4</v>
      </c>
      <c r="H136" s="198">
        <v>41.5</v>
      </c>
      <c r="I136" s="210">
        <f t="shared" si="18"/>
        <v>1.0024154589371981</v>
      </c>
      <c r="J136" s="198">
        <v>0</v>
      </c>
      <c r="K136" s="210">
        <f t="shared" si="19"/>
        <v>0</v>
      </c>
      <c r="L136" s="199">
        <v>536.9</v>
      </c>
      <c r="M136" s="211">
        <f t="shared" si="20"/>
        <v>1.0024154589371981</v>
      </c>
      <c r="N136" s="199">
        <v>41</v>
      </c>
      <c r="O136" s="198">
        <v>0.55000000000000004</v>
      </c>
      <c r="P136" s="200">
        <v>1.2999999999999999E-2</v>
      </c>
      <c r="Q136" s="198">
        <v>-0.5</v>
      </c>
      <c r="R136" s="200">
        <v>-1.2E-2</v>
      </c>
      <c r="S136" s="199">
        <v>-256.10000000000002</v>
      </c>
      <c r="T136" s="198" t="s">
        <v>235</v>
      </c>
      <c r="U136" s="198" t="s">
        <v>236</v>
      </c>
      <c r="V136" s="198"/>
      <c r="W136" s="205">
        <v>1</v>
      </c>
      <c r="X136" s="198" t="s">
        <v>105</v>
      </c>
    </row>
    <row r="137" spans="2:24">
      <c r="B137" s="473">
        <v>45914</v>
      </c>
      <c r="C137" s="475" t="s">
        <v>52</v>
      </c>
      <c r="D137" s="209">
        <v>31</v>
      </c>
      <c r="E137" s="198" t="s">
        <v>176</v>
      </c>
      <c r="F137" s="199">
        <v>4075</v>
      </c>
      <c r="G137" s="198">
        <v>19134</v>
      </c>
      <c r="H137" s="198">
        <v>19134</v>
      </c>
      <c r="I137" s="210">
        <f t="shared" si="18"/>
        <v>1</v>
      </c>
      <c r="J137" s="198">
        <v>1440</v>
      </c>
      <c r="K137" s="210">
        <f t="shared" si="19"/>
        <v>7.5258701787394161E-2</v>
      </c>
      <c r="L137" s="199">
        <v>2.8</v>
      </c>
      <c r="M137" s="211">
        <f t="shared" si="20"/>
        <v>1.0752587017873942</v>
      </c>
      <c r="N137" s="199">
        <v>4075</v>
      </c>
      <c r="O137" s="198">
        <v>1440</v>
      </c>
      <c r="P137" s="200">
        <v>7.4999999999999997E-2</v>
      </c>
      <c r="Q137" s="198">
        <v>0</v>
      </c>
      <c r="R137" s="200">
        <v>0</v>
      </c>
      <c r="S137" s="199">
        <v>0</v>
      </c>
      <c r="T137" s="198" t="s">
        <v>272</v>
      </c>
      <c r="U137" s="198" t="s">
        <v>165</v>
      </c>
      <c r="V137" s="198"/>
      <c r="W137" s="205">
        <v>1</v>
      </c>
      <c r="X137" s="198" t="s">
        <v>113</v>
      </c>
    </row>
    <row r="138" spans="2:24">
      <c r="B138" s="474"/>
      <c r="C138" s="474"/>
      <c r="D138" s="209">
        <v>32</v>
      </c>
      <c r="E138" s="198" t="s">
        <v>241</v>
      </c>
      <c r="F138" s="199">
        <v>1026</v>
      </c>
      <c r="G138" s="198">
        <v>57</v>
      </c>
      <c r="H138" s="198">
        <v>57.4</v>
      </c>
      <c r="I138" s="210">
        <f t="shared" si="18"/>
        <v>1.0070175438596491</v>
      </c>
      <c r="J138" s="198">
        <v>0</v>
      </c>
      <c r="K138" s="210">
        <f t="shared" si="19"/>
        <v>0</v>
      </c>
      <c r="L138" s="199">
        <v>536.9</v>
      </c>
      <c r="M138" s="211">
        <f t="shared" si="20"/>
        <v>1.0070175438596491</v>
      </c>
      <c r="N138" s="199">
        <v>236</v>
      </c>
      <c r="O138" s="198">
        <v>1.91</v>
      </c>
      <c r="P138" s="200">
        <v>3.4000000000000002E-2</v>
      </c>
      <c r="Q138" s="198">
        <v>-1.5</v>
      </c>
      <c r="R138" s="200">
        <v>-2.5999999999999999E-2</v>
      </c>
      <c r="S138" s="199">
        <v>-790.3</v>
      </c>
      <c r="T138" s="198" t="s">
        <v>272</v>
      </c>
      <c r="U138" s="198" t="s">
        <v>165</v>
      </c>
      <c r="V138" s="198"/>
      <c r="W138" s="205">
        <v>1</v>
      </c>
      <c r="X138" s="198" t="s">
        <v>105</v>
      </c>
    </row>
    <row r="139" spans="2:24" ht="16.5">
      <c r="B139" s="474"/>
      <c r="C139" s="474"/>
      <c r="D139" s="209">
        <v>33</v>
      </c>
      <c r="E139" s="198" t="s">
        <v>237</v>
      </c>
      <c r="F139" s="199">
        <v>738</v>
      </c>
      <c r="G139" s="198">
        <v>114.3</v>
      </c>
      <c r="H139" s="198">
        <v>114.3</v>
      </c>
      <c r="I139" s="210">
        <f t="shared" si="18"/>
        <v>1</v>
      </c>
      <c r="J139" s="198">
        <v>0</v>
      </c>
      <c r="K139" s="210">
        <f t="shared" si="19"/>
        <v>0</v>
      </c>
      <c r="L139" s="199">
        <v>356.4</v>
      </c>
      <c r="M139" s="211">
        <f t="shared" si="20"/>
        <v>1</v>
      </c>
      <c r="N139" s="199">
        <v>4</v>
      </c>
      <c r="O139" s="198">
        <v>2.0699999999999998</v>
      </c>
      <c r="P139" s="200">
        <v>1.7999999999999999E-2</v>
      </c>
      <c r="Q139" s="198">
        <v>-2.1</v>
      </c>
      <c r="R139" s="200">
        <v>-1.7999999999999999E-2</v>
      </c>
      <c r="S139" s="199">
        <v>-734.5</v>
      </c>
      <c r="T139" s="198" t="s">
        <v>235</v>
      </c>
      <c r="U139" s="198" t="s">
        <v>236</v>
      </c>
      <c r="V139" s="231"/>
      <c r="W139" s="205">
        <v>1</v>
      </c>
      <c r="X139" s="198" t="s">
        <v>104</v>
      </c>
    </row>
    <row r="140" spans="2:24">
      <c r="B140" s="474"/>
      <c r="C140" s="474"/>
      <c r="D140" s="209">
        <v>34</v>
      </c>
      <c r="E140" s="198" t="s">
        <v>229</v>
      </c>
      <c r="F140" s="199">
        <v>541</v>
      </c>
      <c r="G140" s="198">
        <v>196.8</v>
      </c>
      <c r="H140" s="198">
        <v>205.8</v>
      </c>
      <c r="I140" s="210">
        <f t="shared" si="18"/>
        <v>1.0457317073170731</v>
      </c>
      <c r="J140" s="198">
        <v>0</v>
      </c>
      <c r="K140" s="210">
        <f t="shared" si="19"/>
        <v>0</v>
      </c>
      <c r="L140" s="199">
        <v>335.3</v>
      </c>
      <c r="M140" s="211">
        <f t="shared" si="20"/>
        <v>1.0457317073170731</v>
      </c>
      <c r="N140" s="199">
        <v>3007</v>
      </c>
      <c r="O140" s="198">
        <v>1.61</v>
      </c>
      <c r="P140" s="200">
        <v>8.0000000000000002E-3</v>
      </c>
      <c r="Q140" s="198">
        <v>7.4</v>
      </c>
      <c r="R140" s="200">
        <v>3.6999999999999998E-2</v>
      </c>
      <c r="S140" s="199">
        <v>2466.1</v>
      </c>
      <c r="T140" s="198" t="s">
        <v>230</v>
      </c>
      <c r="U140" s="198" t="s">
        <v>181</v>
      </c>
      <c r="V140" s="198" t="s">
        <v>276</v>
      </c>
      <c r="W140" s="205">
        <v>1</v>
      </c>
      <c r="X140" s="198" t="s">
        <v>232</v>
      </c>
    </row>
    <row r="141" spans="2:24">
      <c r="B141" s="474"/>
      <c r="C141" s="474"/>
      <c r="D141" s="209">
        <v>35</v>
      </c>
      <c r="E141" s="198" t="s">
        <v>160</v>
      </c>
      <c r="F141" s="199">
        <v>439</v>
      </c>
      <c r="G141" s="198">
        <v>13.1</v>
      </c>
      <c r="H141" s="198">
        <v>13.3</v>
      </c>
      <c r="I141" s="210">
        <f t="shared" si="18"/>
        <v>1.0152671755725191</v>
      </c>
      <c r="J141" s="198">
        <v>0</v>
      </c>
      <c r="K141" s="210">
        <f t="shared" si="19"/>
        <v>0</v>
      </c>
      <c r="L141" s="199">
        <v>584.70000000000005</v>
      </c>
      <c r="M141" s="211">
        <f t="shared" si="20"/>
        <v>1.0152671755725191</v>
      </c>
      <c r="N141" s="199">
        <v>117</v>
      </c>
      <c r="O141" s="198">
        <v>0.75</v>
      </c>
      <c r="P141" s="200">
        <v>5.7000000000000002E-2</v>
      </c>
      <c r="Q141" s="198">
        <v>-0.6</v>
      </c>
      <c r="R141" s="200">
        <v>-4.2000000000000003E-2</v>
      </c>
      <c r="S141" s="199">
        <v>-322.10000000000002</v>
      </c>
      <c r="T141" s="198" t="s">
        <v>272</v>
      </c>
      <c r="U141" s="198" t="s">
        <v>165</v>
      </c>
      <c r="V141" s="198"/>
      <c r="W141" s="205">
        <v>1</v>
      </c>
      <c r="X141" s="198" t="s">
        <v>109</v>
      </c>
    </row>
    <row r="142" spans="2:24">
      <c r="B142" s="474"/>
      <c r="C142" s="474"/>
      <c r="D142" s="209">
        <v>36</v>
      </c>
      <c r="E142" s="198" t="s">
        <v>241</v>
      </c>
      <c r="F142" s="199">
        <v>433</v>
      </c>
      <c r="G142" s="198">
        <v>12</v>
      </c>
      <c r="H142" s="198">
        <v>12</v>
      </c>
      <c r="I142" s="210">
        <f t="shared" si="18"/>
        <v>1</v>
      </c>
      <c r="J142" s="198">
        <v>0</v>
      </c>
      <c r="K142" s="210">
        <f t="shared" si="19"/>
        <v>0</v>
      </c>
      <c r="L142" s="199">
        <v>290</v>
      </c>
      <c r="M142" s="211">
        <f t="shared" si="20"/>
        <v>1</v>
      </c>
      <c r="N142" s="199">
        <v>21</v>
      </c>
      <c r="O142" s="198">
        <v>1.49</v>
      </c>
      <c r="P142" s="200">
        <v>0.125</v>
      </c>
      <c r="Q142" s="198">
        <v>-1.4</v>
      </c>
      <c r="R142" s="200">
        <v>-0.11899999999999999</v>
      </c>
      <c r="S142" s="199">
        <v>-412.4</v>
      </c>
      <c r="T142" s="198" t="s">
        <v>272</v>
      </c>
      <c r="U142" s="198" t="s">
        <v>165</v>
      </c>
      <c r="V142" s="198"/>
      <c r="W142" s="205">
        <v>1</v>
      </c>
      <c r="X142" s="198" t="s">
        <v>287</v>
      </c>
    </row>
    <row r="143" spans="2:24">
      <c r="B143" s="474"/>
      <c r="C143" s="474"/>
      <c r="D143" s="209">
        <v>37</v>
      </c>
      <c r="E143" s="198" t="s">
        <v>248</v>
      </c>
      <c r="F143" s="199">
        <v>380</v>
      </c>
      <c r="G143" s="198">
        <v>1187.5999999999999</v>
      </c>
      <c r="H143" s="198">
        <v>1212.0999999999999</v>
      </c>
      <c r="I143" s="210">
        <f t="shared" si="18"/>
        <v>1.0206298416975412</v>
      </c>
      <c r="J143" s="198">
        <v>0</v>
      </c>
      <c r="K143" s="210">
        <f t="shared" si="19"/>
        <v>0</v>
      </c>
      <c r="L143" s="199">
        <v>34.6</v>
      </c>
      <c r="M143" s="211">
        <f t="shared" si="20"/>
        <v>1.0206298416975412</v>
      </c>
      <c r="N143" s="199">
        <v>847</v>
      </c>
      <c r="O143" s="198">
        <v>10.98</v>
      </c>
      <c r="P143" s="200">
        <v>8.9999999999999993E-3</v>
      </c>
      <c r="Q143" s="198">
        <v>13.5</v>
      </c>
      <c r="R143" s="200">
        <v>1.0999999999999999E-2</v>
      </c>
      <c r="S143" s="199">
        <v>467.6</v>
      </c>
      <c r="T143" s="198" t="s">
        <v>235</v>
      </c>
      <c r="U143" s="198" t="s">
        <v>236</v>
      </c>
      <c r="V143" s="198"/>
      <c r="W143" s="205">
        <v>1</v>
      </c>
      <c r="X143" s="198" t="s">
        <v>244</v>
      </c>
    </row>
    <row r="144" spans="2:24">
      <c r="B144" s="474"/>
      <c r="C144" s="474"/>
      <c r="D144" s="209">
        <v>38</v>
      </c>
      <c r="E144" s="198" t="s">
        <v>160</v>
      </c>
      <c r="F144" s="199">
        <v>351</v>
      </c>
      <c r="G144" s="198">
        <v>136.80000000000001</v>
      </c>
      <c r="H144" s="198">
        <v>137.30000000000001</v>
      </c>
      <c r="I144" s="210">
        <f t="shared" si="18"/>
        <v>1.003654970760234</v>
      </c>
      <c r="J144" s="198">
        <v>0</v>
      </c>
      <c r="K144" s="210">
        <f t="shared" si="19"/>
        <v>0</v>
      </c>
      <c r="L144" s="199">
        <v>575.70000000000005</v>
      </c>
      <c r="M144" s="211">
        <f t="shared" si="20"/>
        <v>1.003654970760234</v>
      </c>
      <c r="N144" s="199">
        <v>275</v>
      </c>
      <c r="O144" s="198">
        <v>0.61</v>
      </c>
      <c r="P144" s="200">
        <v>4.0000000000000001E-3</v>
      </c>
      <c r="Q144" s="198">
        <v>-0.1</v>
      </c>
      <c r="R144" s="200">
        <v>-1E-3</v>
      </c>
      <c r="S144" s="199">
        <v>-76</v>
      </c>
      <c r="T144" s="198" t="s">
        <v>235</v>
      </c>
      <c r="U144" s="198" t="s">
        <v>236</v>
      </c>
      <c r="V144" s="198"/>
      <c r="W144" s="205">
        <v>1</v>
      </c>
      <c r="X144" s="198" t="s">
        <v>106</v>
      </c>
    </row>
    <row r="145" spans="2:24">
      <c r="B145" s="474"/>
      <c r="C145" s="474"/>
      <c r="D145" s="209">
        <v>39</v>
      </c>
      <c r="E145" s="198" t="s">
        <v>278</v>
      </c>
      <c r="F145" s="199">
        <v>331</v>
      </c>
      <c r="G145" s="198">
        <v>68.400000000000006</v>
      </c>
      <c r="H145" s="198">
        <v>68.400000000000006</v>
      </c>
      <c r="I145" s="210">
        <f t="shared" si="18"/>
        <v>1</v>
      </c>
      <c r="J145" s="198">
        <v>0</v>
      </c>
      <c r="K145" s="210">
        <f t="shared" si="19"/>
        <v>0</v>
      </c>
      <c r="L145" s="199">
        <v>299.3</v>
      </c>
      <c r="M145" s="211">
        <f t="shared" si="20"/>
        <v>1</v>
      </c>
      <c r="N145" s="199">
        <v>25</v>
      </c>
      <c r="O145" s="198">
        <v>1.1100000000000001</v>
      </c>
      <c r="P145" s="200">
        <v>1.6E-2</v>
      </c>
      <c r="Q145" s="198">
        <v>-1</v>
      </c>
      <c r="R145" s="200">
        <v>-1.4999999999999999E-2</v>
      </c>
      <c r="S145" s="199">
        <v>-306.2</v>
      </c>
      <c r="T145" s="198" t="s">
        <v>235</v>
      </c>
      <c r="U145" s="198" t="s">
        <v>236</v>
      </c>
      <c r="V145" s="198"/>
      <c r="W145" s="205">
        <v>1</v>
      </c>
      <c r="X145" s="198" t="s">
        <v>105</v>
      </c>
    </row>
    <row r="146" spans="2:24">
      <c r="B146" s="474"/>
      <c r="C146" s="474"/>
      <c r="D146" s="209">
        <v>40</v>
      </c>
      <c r="E146" s="198" t="s">
        <v>266</v>
      </c>
      <c r="F146" s="199">
        <v>301</v>
      </c>
      <c r="G146" s="198">
        <v>68.400000000000006</v>
      </c>
      <c r="H146" s="198">
        <v>68.900000000000006</v>
      </c>
      <c r="I146" s="210">
        <f t="shared" si="18"/>
        <v>1.0073099415204678</v>
      </c>
      <c r="J146" s="198">
        <v>0</v>
      </c>
      <c r="K146" s="210">
        <f t="shared" si="19"/>
        <v>0</v>
      </c>
      <c r="L146" s="199">
        <v>420.4</v>
      </c>
      <c r="M146" s="211">
        <f t="shared" si="20"/>
        <v>1.0073099415204678</v>
      </c>
      <c r="N146" s="199">
        <v>227</v>
      </c>
      <c r="O146" s="198">
        <v>0.72</v>
      </c>
      <c r="P146" s="200">
        <v>0.01</v>
      </c>
      <c r="Q146" s="198">
        <v>-0.2</v>
      </c>
      <c r="R146" s="200">
        <v>-3.0000000000000001E-3</v>
      </c>
      <c r="S146" s="199">
        <v>-74</v>
      </c>
      <c r="T146" s="198" t="s">
        <v>235</v>
      </c>
      <c r="U146" s="198" t="s">
        <v>236</v>
      </c>
      <c r="V146" s="198"/>
      <c r="W146" s="205">
        <v>1</v>
      </c>
      <c r="X146" s="198" t="s">
        <v>105</v>
      </c>
    </row>
    <row r="147" spans="2:24">
      <c r="B147" s="473">
        <v>45915</v>
      </c>
      <c r="C147" s="475" t="s">
        <v>56</v>
      </c>
      <c r="D147" s="209">
        <v>41</v>
      </c>
      <c r="E147" s="198" t="s">
        <v>229</v>
      </c>
      <c r="F147" s="199">
        <v>1447.4901000000002</v>
      </c>
      <c r="G147" s="198">
        <v>198.6</v>
      </c>
      <c r="H147" s="198">
        <v>205.41800000000001</v>
      </c>
      <c r="I147" s="210">
        <f t="shared" si="18"/>
        <v>1.0343303121852971</v>
      </c>
      <c r="J147" s="198">
        <v>0</v>
      </c>
      <c r="K147" s="210">
        <f t="shared" si="19"/>
        <v>0</v>
      </c>
      <c r="L147" s="199">
        <v>335.3</v>
      </c>
      <c r="M147" s="211">
        <f t="shared" si="20"/>
        <v>1.0343303121852971</v>
      </c>
      <c r="N147" s="199">
        <v>2286.0754000000043</v>
      </c>
      <c r="O147" s="198">
        <v>4.3170000000000002</v>
      </c>
      <c r="P147" s="200">
        <v>2.1737160120845922E-2</v>
      </c>
      <c r="Q147" s="198">
        <v>2.5010000000000119</v>
      </c>
      <c r="R147" s="200">
        <v>1.2593152064451218E-2</v>
      </c>
      <c r="S147" s="199">
        <v>838.58530000000405</v>
      </c>
      <c r="T147" s="198" t="s">
        <v>230</v>
      </c>
      <c r="U147" s="198" t="s">
        <v>181</v>
      </c>
      <c r="V147" s="198" t="s">
        <v>276</v>
      </c>
      <c r="W147" s="205">
        <v>1</v>
      </c>
      <c r="X147" s="198" t="s">
        <v>232</v>
      </c>
    </row>
    <row r="148" spans="2:24">
      <c r="B148" s="474"/>
      <c r="C148" s="474"/>
      <c r="D148" s="209">
        <v>42</v>
      </c>
      <c r="E148" s="198" t="s">
        <v>256</v>
      </c>
      <c r="F148" s="199">
        <v>830</v>
      </c>
      <c r="G148" s="198">
        <v>127.35</v>
      </c>
      <c r="H148" s="198">
        <v>140</v>
      </c>
      <c r="I148" s="210">
        <f t="shared" si="18"/>
        <v>1.0993325480957989</v>
      </c>
      <c r="J148" s="198">
        <v>0</v>
      </c>
      <c r="K148" s="210">
        <f t="shared" si="19"/>
        <v>0</v>
      </c>
      <c r="L148" s="199">
        <v>81</v>
      </c>
      <c r="M148" s="211">
        <f t="shared" si="20"/>
        <v>1.0993325480957989</v>
      </c>
      <c r="N148" s="199">
        <v>1024.6500000000005</v>
      </c>
      <c r="O148" s="198">
        <v>10.25</v>
      </c>
      <c r="P148" s="200">
        <v>8.0486847271299566E-2</v>
      </c>
      <c r="Q148" s="198">
        <v>2.4000000000000057</v>
      </c>
      <c r="R148" s="200">
        <v>1.8845700824499458E-2</v>
      </c>
      <c r="S148" s="199">
        <v>194.40000000000046</v>
      </c>
      <c r="T148" s="198" t="s">
        <v>251</v>
      </c>
      <c r="U148" s="198" t="s">
        <v>252</v>
      </c>
      <c r="V148" s="198"/>
      <c r="W148" s="205">
        <v>1</v>
      </c>
      <c r="X148" s="198" t="s">
        <v>242</v>
      </c>
    </row>
    <row r="149" spans="2:24">
      <c r="B149" s="474"/>
      <c r="C149" s="474"/>
      <c r="D149" s="209">
        <v>43</v>
      </c>
      <c r="E149" s="198" t="s">
        <v>286</v>
      </c>
      <c r="F149" s="199">
        <v>694.26133000000004</v>
      </c>
      <c r="G149" s="198">
        <v>884.84</v>
      </c>
      <c r="H149" s="198">
        <v>886.92</v>
      </c>
      <c r="I149" s="210">
        <f t="shared" si="18"/>
        <v>1.0023507074725373</v>
      </c>
      <c r="J149" s="198">
        <v>0</v>
      </c>
      <c r="K149" s="210">
        <f t="shared" si="19"/>
        <v>0</v>
      </c>
      <c r="L149" s="199">
        <v>47.89</v>
      </c>
      <c r="M149" s="211">
        <f t="shared" si="20"/>
        <v>1.0023507074725373</v>
      </c>
      <c r="N149" s="199">
        <v>99.611199999996515</v>
      </c>
      <c r="O149" s="198">
        <v>14.497</v>
      </c>
      <c r="P149" s="200">
        <v>1.6383752994891729E-2</v>
      </c>
      <c r="Q149" s="198">
        <v>-12.417000000000073</v>
      </c>
      <c r="R149" s="200">
        <v>-1.4033045522354405E-2</v>
      </c>
      <c r="S149" s="199">
        <v>-594.65013000000351</v>
      </c>
      <c r="T149" s="198" t="s">
        <v>235</v>
      </c>
      <c r="U149" s="198" t="s">
        <v>236</v>
      </c>
      <c r="V149" s="198"/>
      <c r="W149" s="205">
        <v>1</v>
      </c>
      <c r="X149" s="198" t="s">
        <v>106</v>
      </c>
    </row>
    <row r="150" spans="2:24">
      <c r="B150" s="474"/>
      <c r="C150" s="474"/>
      <c r="D150" s="209">
        <v>44</v>
      </c>
      <c r="E150" s="198" t="s">
        <v>237</v>
      </c>
      <c r="F150" s="199">
        <v>589.07961</v>
      </c>
      <c r="G150" s="198">
        <v>111.083</v>
      </c>
      <c r="H150" s="198">
        <v>111.989</v>
      </c>
      <c r="I150" s="210">
        <f t="shared" si="18"/>
        <v>1.0081560634840616</v>
      </c>
      <c r="J150" s="198">
        <v>0</v>
      </c>
      <c r="K150" s="210">
        <f t="shared" si="19"/>
        <v>0</v>
      </c>
      <c r="L150" s="199">
        <v>356.37</v>
      </c>
      <c r="M150" s="211">
        <f t="shared" si="20"/>
        <v>1.0081560634840616</v>
      </c>
      <c r="N150" s="199">
        <v>322.8712200000021</v>
      </c>
      <c r="O150" s="198">
        <v>1.653</v>
      </c>
      <c r="P150" s="200">
        <v>1.4880764833502877E-2</v>
      </c>
      <c r="Q150" s="198">
        <v>-0.74699999999999411</v>
      </c>
      <c r="R150" s="200">
        <v>-6.7247013494413557E-3</v>
      </c>
      <c r="S150" s="199">
        <v>-266.20838999999791</v>
      </c>
      <c r="T150" s="198" t="s">
        <v>235</v>
      </c>
      <c r="U150" s="198" t="s">
        <v>236</v>
      </c>
      <c r="V150" s="198"/>
      <c r="W150" s="205">
        <v>1</v>
      </c>
      <c r="X150" s="198" t="s">
        <v>104</v>
      </c>
    </row>
    <row r="151" spans="2:24">
      <c r="B151" s="474"/>
      <c r="C151" s="474"/>
      <c r="D151" s="209">
        <v>45</v>
      </c>
      <c r="E151" s="198" t="s">
        <v>278</v>
      </c>
      <c r="F151" s="199">
        <v>588.42380000000003</v>
      </c>
      <c r="G151" s="198">
        <v>71.831999999999994</v>
      </c>
      <c r="H151" s="198">
        <v>72.08</v>
      </c>
      <c r="I151" s="210">
        <f t="shared" si="18"/>
        <v>1.0034525002784276</v>
      </c>
      <c r="J151" s="198">
        <v>0</v>
      </c>
      <c r="K151" s="210">
        <f t="shared" si="19"/>
        <v>0</v>
      </c>
      <c r="L151" s="199">
        <v>299.3</v>
      </c>
      <c r="M151" s="211">
        <f t="shared" si="20"/>
        <v>1.0034525002784276</v>
      </c>
      <c r="N151" s="199">
        <v>74.226400000001391</v>
      </c>
      <c r="O151" s="198">
        <v>1.966</v>
      </c>
      <c r="P151" s="200">
        <v>2.7369417529791738E-2</v>
      </c>
      <c r="Q151" s="198">
        <v>-1.7179999999999953</v>
      </c>
      <c r="R151" s="200">
        <v>-2.3916917251364231E-2</v>
      </c>
      <c r="S151" s="199">
        <v>-514.19739999999865</v>
      </c>
      <c r="T151" s="198" t="s">
        <v>235</v>
      </c>
      <c r="U151" s="198" t="s">
        <v>236</v>
      </c>
      <c r="V151" s="198"/>
      <c r="W151" s="205">
        <v>1</v>
      </c>
      <c r="X151" s="198" t="s">
        <v>105</v>
      </c>
    </row>
    <row r="152" spans="2:24">
      <c r="B152" s="474"/>
      <c r="C152" s="474"/>
      <c r="D152" s="209">
        <v>46</v>
      </c>
      <c r="E152" s="198" t="s">
        <v>160</v>
      </c>
      <c r="F152" s="199">
        <v>492.81632000000002</v>
      </c>
      <c r="G152" s="198">
        <v>140.77000000000001</v>
      </c>
      <c r="H152" s="198">
        <v>141.67400000000001</v>
      </c>
      <c r="I152" s="210">
        <f t="shared" si="18"/>
        <v>1.0064218228315691</v>
      </c>
      <c r="J152" s="198">
        <v>0</v>
      </c>
      <c r="K152" s="210">
        <f t="shared" si="19"/>
        <v>0</v>
      </c>
      <c r="L152" s="199">
        <v>575.72</v>
      </c>
      <c r="M152" s="211">
        <f t="shared" si="20"/>
        <v>1.0064218228315691</v>
      </c>
      <c r="N152" s="199">
        <v>520.45087999999794</v>
      </c>
      <c r="O152" s="198">
        <v>0.85599999999999998</v>
      </c>
      <c r="P152" s="200">
        <v>6.0808410883000635E-3</v>
      </c>
      <c r="Q152" s="198">
        <v>4.7999999999996379E-2</v>
      </c>
      <c r="R152" s="200">
        <v>3.4098174326913669E-4</v>
      </c>
      <c r="S152" s="199">
        <v>27.634559999997915</v>
      </c>
      <c r="T152" s="198" t="s">
        <v>235</v>
      </c>
      <c r="U152" s="198" t="s">
        <v>236</v>
      </c>
      <c r="V152" s="198"/>
      <c r="W152" s="205">
        <v>1</v>
      </c>
      <c r="X152" s="198" t="s">
        <v>106</v>
      </c>
    </row>
    <row r="153" spans="2:24">
      <c r="B153" s="474"/>
      <c r="C153" s="474"/>
      <c r="D153" s="209">
        <v>47</v>
      </c>
      <c r="E153" s="198" t="s">
        <v>160</v>
      </c>
      <c r="F153" s="199">
        <v>369.50511999999998</v>
      </c>
      <c r="G153" s="198">
        <v>13.32</v>
      </c>
      <c r="H153" s="198">
        <v>13.582000000000001</v>
      </c>
      <c r="I153" s="210">
        <f t="shared" si="18"/>
        <v>1.0196696696696697</v>
      </c>
      <c r="J153" s="198">
        <v>0</v>
      </c>
      <c r="K153" s="210">
        <f t="shared" si="19"/>
        <v>0</v>
      </c>
      <c r="L153" s="199">
        <v>584.66</v>
      </c>
      <c r="M153" s="211">
        <f t="shared" si="20"/>
        <v>1.0196696696696697</v>
      </c>
      <c r="N153" s="199">
        <v>153.18092000000027</v>
      </c>
      <c r="O153" s="198">
        <v>0.63200000000000001</v>
      </c>
      <c r="P153" s="200">
        <v>4.7447447447447444E-2</v>
      </c>
      <c r="Q153" s="198">
        <v>-0.36999999999999955</v>
      </c>
      <c r="R153" s="200">
        <v>-2.7777777777777745E-2</v>
      </c>
      <c r="S153" s="199">
        <v>-216.32419999999973</v>
      </c>
      <c r="T153" s="198" t="s">
        <v>272</v>
      </c>
      <c r="U153" s="198" t="s">
        <v>165</v>
      </c>
      <c r="V153" s="198"/>
      <c r="W153" s="205">
        <v>1</v>
      </c>
      <c r="X153" s="198" t="s">
        <v>109</v>
      </c>
    </row>
    <row r="154" spans="2:24">
      <c r="B154" s="474"/>
      <c r="C154" s="474"/>
      <c r="D154" s="209">
        <v>48</v>
      </c>
      <c r="E154" s="198" t="s">
        <v>241</v>
      </c>
      <c r="F154" s="199">
        <v>368.30654000000004</v>
      </c>
      <c r="G154" s="198">
        <v>59.86</v>
      </c>
      <c r="H154" s="198">
        <v>60.002000000000002</v>
      </c>
      <c r="I154" s="210">
        <f t="shared" si="18"/>
        <v>1.0023722018042098</v>
      </c>
      <c r="J154" s="198">
        <v>0</v>
      </c>
      <c r="K154" s="210">
        <f t="shared" si="19"/>
        <v>0</v>
      </c>
      <c r="L154" s="199">
        <v>536.89</v>
      </c>
      <c r="M154" s="211">
        <f t="shared" si="20"/>
        <v>1.0023722018042098</v>
      </c>
      <c r="N154" s="199">
        <v>76.238380000001612</v>
      </c>
      <c r="O154" s="198">
        <v>0.68600000000000005</v>
      </c>
      <c r="P154" s="200">
        <v>1.1460073504844638E-2</v>
      </c>
      <c r="Q154" s="198">
        <v>-0.54399999999999704</v>
      </c>
      <c r="R154" s="200">
        <v>-9.0878717006347646E-3</v>
      </c>
      <c r="S154" s="199">
        <v>-292.06815999999839</v>
      </c>
      <c r="T154" s="198" t="s">
        <v>235</v>
      </c>
      <c r="U154" s="198" t="s">
        <v>236</v>
      </c>
      <c r="V154" s="198"/>
      <c r="W154" s="205">
        <v>1</v>
      </c>
      <c r="X154" s="198" t="s">
        <v>105</v>
      </c>
    </row>
    <row r="155" spans="2:24">
      <c r="B155" s="474"/>
      <c r="C155" s="474"/>
      <c r="D155" s="209">
        <v>49</v>
      </c>
      <c r="E155" s="198" t="s">
        <v>248</v>
      </c>
      <c r="F155" s="199">
        <v>327.04899999999998</v>
      </c>
      <c r="G155" s="198">
        <v>728.2</v>
      </c>
      <c r="H155" s="198">
        <v>733.05399999999997</v>
      </c>
      <c r="I155" s="210">
        <f t="shared" si="18"/>
        <v>1.0066657511672616</v>
      </c>
      <c r="J155" s="198">
        <v>0</v>
      </c>
      <c r="K155" s="210">
        <f t="shared" si="19"/>
        <v>0</v>
      </c>
      <c r="L155" s="199">
        <v>35.9</v>
      </c>
      <c r="M155" s="211">
        <f t="shared" si="20"/>
        <v>1.0066657511672616</v>
      </c>
      <c r="N155" s="199">
        <v>174.25859999999741</v>
      </c>
      <c r="O155" s="198">
        <v>9.11</v>
      </c>
      <c r="P155" s="200">
        <v>1.251029936830541E-2</v>
      </c>
      <c r="Q155" s="198">
        <v>-4.2560000000000713</v>
      </c>
      <c r="R155" s="200">
        <v>-5.8445482010437665E-3</v>
      </c>
      <c r="S155" s="199">
        <v>-152.79040000000256</v>
      </c>
      <c r="T155" s="198" t="s">
        <v>235</v>
      </c>
      <c r="U155" s="198" t="s">
        <v>236</v>
      </c>
      <c r="V155" s="198"/>
      <c r="W155" s="205">
        <v>1</v>
      </c>
      <c r="X155" s="198" t="s">
        <v>232</v>
      </c>
    </row>
    <row r="156" spans="2:24">
      <c r="B156" s="474"/>
      <c r="C156" s="474"/>
      <c r="D156" s="209">
        <v>50</v>
      </c>
      <c r="E156" s="198" t="s">
        <v>248</v>
      </c>
      <c r="F156" s="199">
        <v>301.84881999999993</v>
      </c>
      <c r="G156" s="198">
        <v>1294.7</v>
      </c>
      <c r="H156" s="198">
        <v>1306.99</v>
      </c>
      <c r="I156" s="210">
        <f t="shared" si="18"/>
        <v>1.0094925465358771</v>
      </c>
      <c r="J156" s="198">
        <v>0</v>
      </c>
      <c r="K156" s="210">
        <f t="shared" si="19"/>
        <v>0</v>
      </c>
      <c r="L156" s="199">
        <v>34.58</v>
      </c>
      <c r="M156" s="211">
        <f t="shared" si="20"/>
        <v>1.0094925465358771</v>
      </c>
      <c r="N156" s="199">
        <v>424.9881999999987</v>
      </c>
      <c r="O156" s="198">
        <v>8.7289999999999992</v>
      </c>
      <c r="P156" s="200">
        <v>6.7421024175484661E-3</v>
      </c>
      <c r="Q156" s="198">
        <v>3.5609999999999644</v>
      </c>
      <c r="R156" s="200">
        <v>2.7504441183285426E-3</v>
      </c>
      <c r="S156" s="199">
        <v>123.13937999999877</v>
      </c>
      <c r="T156" s="198" t="s">
        <v>235</v>
      </c>
      <c r="U156" s="198" t="s">
        <v>236</v>
      </c>
      <c r="V156" s="198"/>
      <c r="W156" s="205">
        <v>1</v>
      </c>
      <c r="X156" s="198" t="s">
        <v>103</v>
      </c>
    </row>
    <row r="157" spans="2:24" ht="16.5">
      <c r="B157" s="473">
        <v>45916</v>
      </c>
      <c r="C157" s="475" t="s">
        <v>57</v>
      </c>
      <c r="D157" s="209">
        <v>51</v>
      </c>
      <c r="E157" s="198" t="s">
        <v>292</v>
      </c>
      <c r="F157" s="199">
        <v>5027.6039999999994</v>
      </c>
      <c r="G157" s="198">
        <v>702.1</v>
      </c>
      <c r="H157" s="198">
        <v>752</v>
      </c>
      <c r="I157" s="210">
        <f t="shared" si="18"/>
        <v>1.0710724967953282</v>
      </c>
      <c r="J157" s="198">
        <v>0</v>
      </c>
      <c r="K157" s="210">
        <f t="shared" si="19"/>
        <v>0</v>
      </c>
      <c r="L157" s="199">
        <v>105.17999999999999</v>
      </c>
      <c r="M157" s="211">
        <f t="shared" si="20"/>
        <v>1.0710724967953282</v>
      </c>
      <c r="N157" s="199">
        <v>5248.4819999999972</v>
      </c>
      <c r="O157" s="198">
        <v>47.8</v>
      </c>
      <c r="P157" s="200">
        <v>6.8081469876086015E-2</v>
      </c>
      <c r="Q157" s="198">
        <v>2.0999999999999801</v>
      </c>
      <c r="R157" s="200">
        <v>2.9910269192422448E-3</v>
      </c>
      <c r="S157" s="199">
        <v>220.87799999999788</v>
      </c>
      <c r="T157" s="198" t="s">
        <v>235</v>
      </c>
      <c r="U157" s="198" t="s">
        <v>236</v>
      </c>
      <c r="V157" s="231" t="s">
        <v>293</v>
      </c>
      <c r="W157" s="205">
        <v>1</v>
      </c>
      <c r="X157" s="198" t="s">
        <v>117</v>
      </c>
    </row>
    <row r="158" spans="2:24" ht="16.5">
      <c r="B158" s="474"/>
      <c r="C158" s="474"/>
      <c r="D158" s="209">
        <v>52</v>
      </c>
      <c r="E158" s="198" t="s">
        <v>294</v>
      </c>
      <c r="F158" s="199">
        <v>2981.7644999999998</v>
      </c>
      <c r="G158" s="198">
        <v>308.03800000000001</v>
      </c>
      <c r="H158" s="198">
        <v>330.5</v>
      </c>
      <c r="I158" s="210">
        <f t="shared" si="18"/>
        <v>1.0729195748576474</v>
      </c>
      <c r="J158" s="198">
        <v>0</v>
      </c>
      <c r="K158" s="210">
        <f t="shared" si="19"/>
        <v>0</v>
      </c>
      <c r="L158" s="199">
        <v>139.01</v>
      </c>
      <c r="M158" s="211">
        <f t="shared" si="20"/>
        <v>1.0729195748576474</v>
      </c>
      <c r="N158" s="199">
        <v>3122.4426199999984</v>
      </c>
      <c r="O158" s="198">
        <v>21.45</v>
      </c>
      <c r="P158" s="200">
        <v>6.963426590225881E-2</v>
      </c>
      <c r="Q158" s="198">
        <v>1.0119999999999898</v>
      </c>
      <c r="R158" s="200">
        <v>3.2853089553885875E-3</v>
      </c>
      <c r="S158" s="199">
        <v>140.67811999999859</v>
      </c>
      <c r="T158" s="198" t="s">
        <v>235</v>
      </c>
      <c r="U158" s="198" t="s">
        <v>236</v>
      </c>
      <c r="V158" s="231" t="s">
        <v>293</v>
      </c>
      <c r="W158" s="205">
        <v>1</v>
      </c>
      <c r="X158" s="198" t="s">
        <v>118</v>
      </c>
    </row>
    <row r="159" spans="2:24" ht="16.5">
      <c r="B159" s="474"/>
      <c r="C159" s="474"/>
      <c r="D159" s="209">
        <v>53</v>
      </c>
      <c r="E159" s="198" t="s">
        <v>295</v>
      </c>
      <c r="F159" s="199">
        <v>2377.4075000000003</v>
      </c>
      <c r="G159" s="198">
        <v>300.89999999999998</v>
      </c>
      <c r="H159" s="198">
        <v>315</v>
      </c>
      <c r="I159" s="210">
        <f t="shared" si="18"/>
        <v>1.0468594217347957</v>
      </c>
      <c r="J159" s="198">
        <v>0</v>
      </c>
      <c r="K159" s="210">
        <f t="shared" si="19"/>
        <v>0</v>
      </c>
      <c r="L159" s="199">
        <v>215.15</v>
      </c>
      <c r="M159" s="211">
        <f t="shared" si="20"/>
        <v>1.0468594217347957</v>
      </c>
      <c r="N159" s="199">
        <v>3033.6150000000048</v>
      </c>
      <c r="O159" s="198">
        <v>11.05</v>
      </c>
      <c r="P159" s="200">
        <v>3.6723163841807918E-2</v>
      </c>
      <c r="Q159" s="198">
        <v>3.050000000000022</v>
      </c>
      <c r="R159" s="200">
        <v>1.0136257892987777E-2</v>
      </c>
      <c r="S159" s="199">
        <v>656.20750000000476</v>
      </c>
      <c r="T159" s="198" t="s">
        <v>235</v>
      </c>
      <c r="U159" s="198" t="s">
        <v>236</v>
      </c>
      <c r="V159" s="231" t="s">
        <v>293</v>
      </c>
      <c r="W159" s="205">
        <v>1</v>
      </c>
      <c r="X159" s="198" t="s">
        <v>117</v>
      </c>
    </row>
    <row r="160" spans="2:24" ht="16.5">
      <c r="B160" s="474"/>
      <c r="C160" s="474"/>
      <c r="D160" s="209">
        <v>54</v>
      </c>
      <c r="E160" s="198" t="s">
        <v>296</v>
      </c>
      <c r="F160" s="199">
        <v>2110.8440000000001</v>
      </c>
      <c r="G160" s="198">
        <v>244.30600000000001</v>
      </c>
      <c r="H160" s="198">
        <v>254</v>
      </c>
      <c r="I160" s="210">
        <f t="shared" si="18"/>
        <v>1.0396797458924463</v>
      </c>
      <c r="J160" s="198">
        <v>0</v>
      </c>
      <c r="K160" s="210">
        <f t="shared" si="19"/>
        <v>0</v>
      </c>
      <c r="L160" s="199">
        <v>250.1</v>
      </c>
      <c r="M160" s="211">
        <f t="shared" si="20"/>
        <v>1.0396797458924463</v>
      </c>
      <c r="N160" s="199">
        <v>2424.4693999999972</v>
      </c>
      <c r="O160" s="198">
        <v>8.44</v>
      </c>
      <c r="P160" s="200">
        <v>3.4546838800520653E-2</v>
      </c>
      <c r="Q160" s="198">
        <v>1.2539999999999889</v>
      </c>
      <c r="R160" s="200">
        <v>5.1329070919256536E-3</v>
      </c>
      <c r="S160" s="199">
        <v>313.62539999999723</v>
      </c>
      <c r="T160" s="198" t="s">
        <v>235</v>
      </c>
      <c r="U160" s="198" t="s">
        <v>236</v>
      </c>
      <c r="V160" s="231" t="s">
        <v>293</v>
      </c>
      <c r="W160" s="205">
        <v>1</v>
      </c>
      <c r="X160" s="198" t="s">
        <v>118</v>
      </c>
    </row>
    <row r="161" spans="2:24" ht="16.5">
      <c r="B161" s="474"/>
      <c r="C161" s="474"/>
      <c r="D161" s="209">
        <v>55</v>
      </c>
      <c r="E161" s="198" t="s">
        <v>259</v>
      </c>
      <c r="F161" s="199">
        <v>2107.6574999999998</v>
      </c>
      <c r="G161" s="198">
        <v>128.69999999999999</v>
      </c>
      <c r="H161" s="198">
        <v>140</v>
      </c>
      <c r="I161" s="210">
        <f t="shared" si="18"/>
        <v>1.087801087801088</v>
      </c>
      <c r="J161" s="198">
        <v>0</v>
      </c>
      <c r="K161" s="210">
        <f t="shared" si="19"/>
        <v>0</v>
      </c>
      <c r="L161" s="199">
        <v>216.17</v>
      </c>
      <c r="M161" s="211">
        <f t="shared" si="20"/>
        <v>1.087801087801088</v>
      </c>
      <c r="N161" s="199">
        <v>2442.7210000000023</v>
      </c>
      <c r="O161" s="198">
        <v>9.75</v>
      </c>
      <c r="P161" s="200">
        <v>7.575757575757576E-2</v>
      </c>
      <c r="Q161" s="198">
        <v>1.5500000000000114</v>
      </c>
      <c r="R161" s="200">
        <v>1.2043512043512132E-2</v>
      </c>
      <c r="S161" s="199">
        <v>335.06350000000242</v>
      </c>
      <c r="T161" s="198" t="s">
        <v>251</v>
      </c>
      <c r="U161" s="198" t="s">
        <v>252</v>
      </c>
      <c r="V161" s="231" t="s">
        <v>253</v>
      </c>
      <c r="W161" s="205">
        <v>1</v>
      </c>
      <c r="X161" s="198" t="s">
        <v>115</v>
      </c>
    </row>
    <row r="162" spans="2:24" ht="16.5">
      <c r="B162" s="474"/>
      <c r="C162" s="474"/>
      <c r="D162" s="209">
        <v>56</v>
      </c>
      <c r="E162" s="198" t="s">
        <v>239</v>
      </c>
      <c r="F162" s="199">
        <v>1757.2716</v>
      </c>
      <c r="G162" s="198">
        <v>165.22</v>
      </c>
      <c r="H162" s="198">
        <v>181.5</v>
      </c>
      <c r="I162" s="210">
        <f t="shared" si="18"/>
        <v>1.0985352862849533</v>
      </c>
      <c r="J162" s="198">
        <v>0</v>
      </c>
      <c r="K162" s="210">
        <f t="shared" si="19"/>
        <v>0</v>
      </c>
      <c r="L162" s="199">
        <v>115.08</v>
      </c>
      <c r="M162" s="211">
        <f t="shared" si="20"/>
        <v>1.0985352862849533</v>
      </c>
      <c r="N162" s="199">
        <v>1873.5024000000001</v>
      </c>
      <c r="O162" s="198">
        <v>15.27</v>
      </c>
      <c r="P162" s="200">
        <v>9.2422224912238227E-2</v>
      </c>
      <c r="Q162" s="198">
        <v>1.0100000000000016</v>
      </c>
      <c r="R162" s="200">
        <v>6.1130613727151768E-3</v>
      </c>
      <c r="S162" s="199">
        <v>116.23080000000017</v>
      </c>
      <c r="T162" s="198" t="s">
        <v>251</v>
      </c>
      <c r="U162" s="198" t="s">
        <v>252</v>
      </c>
      <c r="V162" s="231" t="s">
        <v>253</v>
      </c>
      <c r="W162" s="205">
        <v>1</v>
      </c>
      <c r="X162" s="198" t="s">
        <v>116</v>
      </c>
    </row>
    <row r="163" spans="2:24">
      <c r="B163" s="474"/>
      <c r="C163" s="474"/>
      <c r="D163" s="209">
        <v>57</v>
      </c>
      <c r="E163" s="198" t="s">
        <v>229</v>
      </c>
      <c r="F163" s="199">
        <v>1509.1853000000001</v>
      </c>
      <c r="G163" s="198">
        <v>183.06</v>
      </c>
      <c r="H163" s="198">
        <v>189.852</v>
      </c>
      <c r="I163" s="210">
        <f t="shared" si="18"/>
        <v>1.0371025893149788</v>
      </c>
      <c r="J163" s="198">
        <v>0</v>
      </c>
      <c r="K163" s="210">
        <f t="shared" si="19"/>
        <v>0</v>
      </c>
      <c r="L163" s="199">
        <v>335.3</v>
      </c>
      <c r="M163" s="211">
        <f t="shared" si="20"/>
        <v>1.0371025893149788</v>
      </c>
      <c r="N163" s="199">
        <v>2277.3576000000007</v>
      </c>
      <c r="O163" s="198">
        <v>4.5010000000000003</v>
      </c>
      <c r="P163" s="200">
        <v>2.4587566917950401E-2</v>
      </c>
      <c r="Q163" s="198">
        <v>2.2910000000000013</v>
      </c>
      <c r="R163" s="200">
        <v>1.2515022397028303E-2</v>
      </c>
      <c r="S163" s="199">
        <v>768.1723000000004</v>
      </c>
      <c r="T163" s="198" t="s">
        <v>230</v>
      </c>
      <c r="U163" s="198" t="s">
        <v>181</v>
      </c>
      <c r="V163" s="198" t="s">
        <v>276</v>
      </c>
      <c r="W163" s="205">
        <v>1</v>
      </c>
      <c r="X163" s="198" t="s">
        <v>232</v>
      </c>
    </row>
    <row r="164" spans="2:24" ht="16.5">
      <c r="B164" s="474"/>
      <c r="C164" s="474"/>
      <c r="D164" s="209">
        <v>58</v>
      </c>
      <c r="E164" s="198" t="s">
        <v>297</v>
      </c>
      <c r="F164" s="199">
        <v>977.6640000000001</v>
      </c>
      <c r="G164" s="198">
        <v>26.077999999999999</v>
      </c>
      <c r="H164" s="198">
        <v>27.1</v>
      </c>
      <c r="I164" s="210">
        <f t="shared" si="18"/>
        <v>1.0391901219418669</v>
      </c>
      <c r="J164" s="198">
        <v>0</v>
      </c>
      <c r="K164" s="210">
        <f t="shared" si="19"/>
        <v>0</v>
      </c>
      <c r="L164" s="199">
        <v>1029.1200000000001</v>
      </c>
      <c r="M164" s="211">
        <f t="shared" si="20"/>
        <v>1.0391901219418669</v>
      </c>
      <c r="N164" s="199">
        <v>1051.7606400000022</v>
      </c>
      <c r="O164" s="198">
        <v>0.95</v>
      </c>
      <c r="P164" s="200">
        <v>3.6429174016412304E-2</v>
      </c>
      <c r="Q164" s="198">
        <v>7.2000000000002062E-2</v>
      </c>
      <c r="R164" s="200">
        <v>2.7609479254544853E-3</v>
      </c>
      <c r="S164" s="199">
        <v>74.096640000002125</v>
      </c>
      <c r="T164" s="198" t="s">
        <v>235</v>
      </c>
      <c r="U164" s="198" t="s">
        <v>236</v>
      </c>
      <c r="V164" s="231" t="s">
        <v>293</v>
      </c>
      <c r="W164" s="205">
        <v>1</v>
      </c>
      <c r="X164" s="198" t="s">
        <v>117</v>
      </c>
    </row>
    <row r="165" spans="2:24" ht="16.5">
      <c r="B165" s="474"/>
      <c r="C165" s="474"/>
      <c r="D165" s="209">
        <v>59</v>
      </c>
      <c r="E165" s="198" t="s">
        <v>256</v>
      </c>
      <c r="F165" s="199">
        <v>850.5</v>
      </c>
      <c r="G165" s="198">
        <v>112.35</v>
      </c>
      <c r="H165" s="198">
        <v>122.88</v>
      </c>
      <c r="I165" s="210">
        <f t="shared" si="18"/>
        <v>1.0937249666221629</v>
      </c>
      <c r="J165" s="198">
        <v>0</v>
      </c>
      <c r="K165" s="210">
        <f t="shared" si="19"/>
        <v>0</v>
      </c>
      <c r="L165" s="199">
        <v>81</v>
      </c>
      <c r="M165" s="211">
        <f t="shared" si="20"/>
        <v>1.0937249666221629</v>
      </c>
      <c r="N165" s="199">
        <v>852.93000000000006</v>
      </c>
      <c r="O165" s="198">
        <v>10.5</v>
      </c>
      <c r="P165" s="200">
        <v>9.3457943925233655E-2</v>
      </c>
      <c r="Q165" s="198">
        <v>3.0000000000001137E-2</v>
      </c>
      <c r="R165" s="200">
        <v>2.6702269692924913E-4</v>
      </c>
      <c r="S165" s="199">
        <v>2.4300000000000921</v>
      </c>
      <c r="T165" s="198" t="s">
        <v>251</v>
      </c>
      <c r="U165" s="198" t="s">
        <v>252</v>
      </c>
      <c r="V165" s="231" t="s">
        <v>253</v>
      </c>
      <c r="W165" s="205">
        <v>1</v>
      </c>
      <c r="X165" s="198" t="s">
        <v>242</v>
      </c>
    </row>
    <row r="166" spans="2:24">
      <c r="B166" s="474"/>
      <c r="C166" s="474"/>
      <c r="D166" s="209">
        <v>60</v>
      </c>
      <c r="E166" s="198" t="s">
        <v>160</v>
      </c>
      <c r="F166" s="199">
        <v>567.70485999999994</v>
      </c>
      <c r="G166" s="198">
        <v>12.574999999999999</v>
      </c>
      <c r="H166" s="198">
        <v>12.692</v>
      </c>
      <c r="I166" s="210">
        <f t="shared" si="18"/>
        <v>1.0093041749502982</v>
      </c>
      <c r="J166" s="198">
        <v>0</v>
      </c>
      <c r="K166" s="210">
        <f t="shared" si="19"/>
        <v>0</v>
      </c>
      <c r="L166" s="199">
        <v>584.66</v>
      </c>
      <c r="M166" s="211">
        <f t="shared" si="20"/>
        <v>1.0093041749502982</v>
      </c>
      <c r="N166" s="199">
        <v>68.405220000000512</v>
      </c>
      <c r="O166" s="198">
        <v>0.97099999999999997</v>
      </c>
      <c r="P166" s="200">
        <v>7.7216699801192848E-2</v>
      </c>
      <c r="Q166" s="198">
        <v>-0.85399999999999909</v>
      </c>
      <c r="R166" s="200">
        <v>-6.7912524850894565E-2</v>
      </c>
      <c r="S166" s="199">
        <v>-499.29963999999944</v>
      </c>
      <c r="T166" s="198" t="s">
        <v>272</v>
      </c>
      <c r="U166" s="198" t="s">
        <v>165</v>
      </c>
      <c r="V166" s="198"/>
      <c r="W166" s="205">
        <v>1</v>
      </c>
      <c r="X166" s="198" t="s">
        <v>109</v>
      </c>
    </row>
    <row r="167" spans="2:24">
      <c r="B167" s="473">
        <v>45917</v>
      </c>
      <c r="C167" s="475" t="s">
        <v>58</v>
      </c>
      <c r="D167" s="209">
        <v>61</v>
      </c>
      <c r="E167" s="198" t="s">
        <v>296</v>
      </c>
      <c r="F167" s="199">
        <v>1568.127</v>
      </c>
      <c r="G167" s="198">
        <v>154.928</v>
      </c>
      <c r="H167" s="198">
        <v>162.011</v>
      </c>
      <c r="I167" s="210">
        <f t="shared" si="18"/>
        <v>1.0457180109470205</v>
      </c>
      <c r="J167" s="198">
        <v>0</v>
      </c>
      <c r="K167" s="210">
        <f t="shared" si="19"/>
        <v>0</v>
      </c>
      <c r="L167" s="199">
        <v>250.1</v>
      </c>
      <c r="M167" s="211">
        <f t="shared" si="20"/>
        <v>1.0457180109470205</v>
      </c>
      <c r="N167" s="199">
        <v>1771.4582999999996</v>
      </c>
      <c r="O167" s="198">
        <v>6.27</v>
      </c>
      <c r="P167" s="200">
        <v>4.0470412062377357E-2</v>
      </c>
      <c r="Q167" s="198">
        <v>0.81299999999999883</v>
      </c>
      <c r="R167" s="200">
        <v>5.2475988846431816E-3</v>
      </c>
      <c r="S167" s="199">
        <v>203.33129999999971</v>
      </c>
      <c r="T167" s="198" t="s">
        <v>235</v>
      </c>
      <c r="U167" s="198" t="s">
        <v>236</v>
      </c>
      <c r="V167" s="198" t="s">
        <v>298</v>
      </c>
      <c r="W167" s="205">
        <v>1</v>
      </c>
      <c r="X167" s="198" t="s">
        <v>118</v>
      </c>
    </row>
    <row r="168" spans="2:24">
      <c r="B168" s="474"/>
      <c r="C168" s="474"/>
      <c r="D168" s="209">
        <v>62</v>
      </c>
      <c r="E168" s="198" t="s">
        <v>259</v>
      </c>
      <c r="F168" s="199">
        <v>1448.3389999999999</v>
      </c>
      <c r="G168" s="198">
        <v>131.88999999999999</v>
      </c>
      <c r="H168" s="198">
        <v>139.55000000000001</v>
      </c>
      <c r="I168" s="210">
        <f t="shared" si="18"/>
        <v>1.0580787019485938</v>
      </c>
      <c r="J168" s="198">
        <v>0</v>
      </c>
      <c r="K168" s="210">
        <f t="shared" si="19"/>
        <v>0</v>
      </c>
      <c r="L168" s="199">
        <v>216.17</v>
      </c>
      <c r="M168" s="211">
        <f t="shared" si="20"/>
        <v>1.0580787019485938</v>
      </c>
      <c r="N168" s="199">
        <v>1655.8622000000053</v>
      </c>
      <c r="O168" s="198">
        <v>6.7</v>
      </c>
      <c r="P168" s="200">
        <v>5.0799909015088338E-2</v>
      </c>
      <c r="Q168" s="198">
        <v>0.96000000000002483</v>
      </c>
      <c r="R168" s="200">
        <v>7.2787929335053824E-3</v>
      </c>
      <c r="S168" s="199">
        <v>207.52320000000535</v>
      </c>
      <c r="T168" s="198" t="s">
        <v>251</v>
      </c>
      <c r="U168" s="198" t="s">
        <v>252</v>
      </c>
      <c r="V168" s="198" t="s">
        <v>299</v>
      </c>
      <c r="W168" s="205">
        <v>1</v>
      </c>
      <c r="X168" s="198" t="s">
        <v>115</v>
      </c>
    </row>
    <row r="169" spans="2:24">
      <c r="B169" s="474"/>
      <c r="C169" s="474"/>
      <c r="D169" s="209">
        <v>63</v>
      </c>
      <c r="E169" s="198" t="s">
        <v>294</v>
      </c>
      <c r="F169" s="199">
        <v>1344.2266999999999</v>
      </c>
      <c r="G169" s="198">
        <v>195.34399999999999</v>
      </c>
      <c r="H169" s="198">
        <v>205.4</v>
      </c>
      <c r="I169" s="210">
        <f t="shared" si="18"/>
        <v>1.0514784175608158</v>
      </c>
      <c r="J169" s="198">
        <v>0</v>
      </c>
      <c r="K169" s="210">
        <f t="shared" si="19"/>
        <v>0</v>
      </c>
      <c r="L169" s="199">
        <v>139.01</v>
      </c>
      <c r="M169" s="211">
        <f t="shared" si="20"/>
        <v>1.0514784175608158</v>
      </c>
      <c r="N169" s="199">
        <v>1397.8845600000016</v>
      </c>
      <c r="O169" s="198">
        <v>9.67</v>
      </c>
      <c r="P169" s="200">
        <v>4.950241625030715E-2</v>
      </c>
      <c r="Q169" s="198">
        <v>0.38600000000001167</v>
      </c>
      <c r="R169" s="200">
        <v>1.976001310508701E-3</v>
      </c>
      <c r="S169" s="199">
        <v>53.657860000001619</v>
      </c>
      <c r="T169" s="198" t="s">
        <v>235</v>
      </c>
      <c r="U169" s="198" t="s">
        <v>236</v>
      </c>
      <c r="V169" s="198" t="s">
        <v>298</v>
      </c>
      <c r="W169" s="205">
        <v>1</v>
      </c>
      <c r="X169" s="198" t="s">
        <v>118</v>
      </c>
    </row>
    <row r="170" spans="2:24">
      <c r="B170" s="474"/>
      <c r="C170" s="474"/>
      <c r="D170" s="209">
        <v>64</v>
      </c>
      <c r="E170" s="198" t="s">
        <v>292</v>
      </c>
      <c r="F170" s="199">
        <v>1204.3109999999999</v>
      </c>
      <c r="G170" s="198">
        <v>399.77</v>
      </c>
      <c r="H170" s="198">
        <v>415.2</v>
      </c>
      <c r="I170" s="210">
        <f t="shared" si="18"/>
        <v>1.038597193386197</v>
      </c>
      <c r="J170" s="198">
        <v>0</v>
      </c>
      <c r="K170" s="210">
        <f t="shared" si="19"/>
        <v>0</v>
      </c>
      <c r="L170" s="199">
        <v>105.17999999999999</v>
      </c>
      <c r="M170" s="211">
        <f t="shared" si="20"/>
        <v>1.038597193386197</v>
      </c>
      <c r="N170" s="199">
        <v>1622.9274000000007</v>
      </c>
      <c r="O170" s="198">
        <v>11.45</v>
      </c>
      <c r="P170" s="200">
        <v>2.8641468844585637E-2</v>
      </c>
      <c r="Q170" s="198">
        <v>3.9800000000000075</v>
      </c>
      <c r="R170" s="200">
        <v>9.9557245416114458E-3</v>
      </c>
      <c r="S170" s="199">
        <v>418.61640000000074</v>
      </c>
      <c r="T170" s="198" t="s">
        <v>235</v>
      </c>
      <c r="U170" s="198" t="s">
        <v>236</v>
      </c>
      <c r="V170" s="198" t="s">
        <v>298</v>
      </c>
      <c r="W170" s="205">
        <v>1</v>
      </c>
      <c r="X170" s="198" t="s">
        <v>117</v>
      </c>
    </row>
    <row r="171" spans="2:24">
      <c r="B171" s="474"/>
      <c r="C171" s="474"/>
      <c r="D171" s="209">
        <v>65</v>
      </c>
      <c r="E171" s="198" t="s">
        <v>241</v>
      </c>
      <c r="F171" s="199">
        <v>816.07280000000003</v>
      </c>
      <c r="G171" s="198">
        <v>57.42</v>
      </c>
      <c r="H171" s="198">
        <v>57.856000000000002</v>
      </c>
      <c r="I171" s="210">
        <f t="shared" si="18"/>
        <v>1.0075931731104144</v>
      </c>
      <c r="J171" s="198">
        <v>0</v>
      </c>
      <c r="K171" s="210">
        <f t="shared" si="19"/>
        <v>0</v>
      </c>
      <c r="L171" s="199">
        <v>536.89</v>
      </c>
      <c r="M171" s="211">
        <f t="shared" si="20"/>
        <v>1.0075931731104144</v>
      </c>
      <c r="N171" s="199">
        <v>234.08403999999996</v>
      </c>
      <c r="O171" s="198">
        <v>1.52</v>
      </c>
      <c r="P171" s="200">
        <v>2.647161267850923E-2</v>
      </c>
      <c r="Q171" s="198">
        <v>-1.0840000000000001</v>
      </c>
      <c r="R171" s="200">
        <v>-1.8878439568094742E-2</v>
      </c>
      <c r="S171" s="199">
        <v>-581.98876000000007</v>
      </c>
      <c r="T171" s="198" t="s">
        <v>272</v>
      </c>
      <c r="U171" s="198" t="s">
        <v>165</v>
      </c>
      <c r="V171" s="198"/>
      <c r="W171" s="205">
        <v>1</v>
      </c>
      <c r="X171" s="198" t="s">
        <v>105</v>
      </c>
    </row>
    <row r="172" spans="2:24">
      <c r="B172" s="474"/>
      <c r="C172" s="474"/>
      <c r="D172" s="209">
        <v>66</v>
      </c>
      <c r="E172" s="198" t="s">
        <v>266</v>
      </c>
      <c r="F172" s="199">
        <v>561.24734999999998</v>
      </c>
      <c r="G172" s="198">
        <v>68.903999999999996</v>
      </c>
      <c r="H172" s="198">
        <v>70.341999999999999</v>
      </c>
      <c r="I172" s="210">
        <f t="shared" si="18"/>
        <v>1.0208696156972019</v>
      </c>
      <c r="J172" s="198">
        <v>0</v>
      </c>
      <c r="K172" s="210">
        <f t="shared" si="19"/>
        <v>0</v>
      </c>
      <c r="L172" s="199">
        <v>420.41</v>
      </c>
      <c r="M172" s="211">
        <f t="shared" si="20"/>
        <v>1.0208696156972019</v>
      </c>
      <c r="N172" s="199">
        <v>604.54958000000101</v>
      </c>
      <c r="O172" s="198">
        <v>1.335</v>
      </c>
      <c r="P172" s="200">
        <v>1.9374782305816789E-2</v>
      </c>
      <c r="Q172" s="198">
        <v>0.10300000000000242</v>
      </c>
      <c r="R172" s="200">
        <v>1.4948333913851507E-3</v>
      </c>
      <c r="S172" s="199">
        <v>43.302230000001025</v>
      </c>
      <c r="T172" s="198" t="s">
        <v>235</v>
      </c>
      <c r="U172" s="198" t="s">
        <v>236</v>
      </c>
      <c r="V172" s="198"/>
      <c r="W172" s="205">
        <v>1</v>
      </c>
      <c r="X172" s="198" t="s">
        <v>105</v>
      </c>
    </row>
    <row r="173" spans="2:24">
      <c r="B173" s="474"/>
      <c r="C173" s="474"/>
      <c r="D173" s="209">
        <v>67</v>
      </c>
      <c r="E173" s="198" t="s">
        <v>160</v>
      </c>
      <c r="F173" s="199">
        <v>461.15172000000007</v>
      </c>
      <c r="G173" s="198">
        <v>139.72</v>
      </c>
      <c r="H173" s="198">
        <v>140.393</v>
      </c>
      <c r="I173" s="210">
        <f t="shared" si="18"/>
        <v>1.0048167764099627</v>
      </c>
      <c r="J173" s="198">
        <v>0</v>
      </c>
      <c r="K173" s="210">
        <f t="shared" si="19"/>
        <v>0</v>
      </c>
      <c r="L173" s="199">
        <v>575.72</v>
      </c>
      <c r="M173" s="211">
        <f t="shared" si="20"/>
        <v>1.0048167764099627</v>
      </c>
      <c r="N173" s="199">
        <v>387.45956000000109</v>
      </c>
      <c r="O173" s="198">
        <v>0.80100000000000005</v>
      </c>
      <c r="P173" s="200">
        <v>5.7328943601488696E-3</v>
      </c>
      <c r="Q173" s="198">
        <v>-0.12799999999999823</v>
      </c>
      <c r="R173" s="200">
        <v>-9.1611795018607374E-4</v>
      </c>
      <c r="S173" s="199">
        <v>-73.692159999998978</v>
      </c>
      <c r="T173" s="198" t="s">
        <v>235</v>
      </c>
      <c r="U173" s="198" t="s">
        <v>236</v>
      </c>
      <c r="V173" s="198"/>
      <c r="W173" s="205">
        <v>1</v>
      </c>
      <c r="X173" s="198" t="s">
        <v>106</v>
      </c>
    </row>
    <row r="174" spans="2:24">
      <c r="B174" s="474"/>
      <c r="C174" s="474"/>
      <c r="D174" s="209">
        <v>68</v>
      </c>
      <c r="E174" s="198" t="s">
        <v>300</v>
      </c>
      <c r="F174" s="199">
        <v>368.72</v>
      </c>
      <c r="G174" s="198">
        <v>60.46</v>
      </c>
      <c r="H174" s="198">
        <v>67</v>
      </c>
      <c r="I174" s="210">
        <f t="shared" si="18"/>
        <v>1.1081706913661926</v>
      </c>
      <c r="J174" s="198">
        <v>0</v>
      </c>
      <c r="K174" s="210">
        <f t="shared" si="19"/>
        <v>0</v>
      </c>
      <c r="L174" s="199">
        <v>83.8</v>
      </c>
      <c r="M174" s="211">
        <f t="shared" si="20"/>
        <v>1.1081706913661926</v>
      </c>
      <c r="N174" s="199">
        <v>548.05199999999991</v>
      </c>
      <c r="O174" s="198">
        <v>4.4000000000000004</v>
      </c>
      <c r="P174" s="200">
        <v>7.277538868673504E-2</v>
      </c>
      <c r="Q174" s="198">
        <v>2.1399999999999988</v>
      </c>
      <c r="R174" s="200">
        <v>3.5395302679457473E-2</v>
      </c>
      <c r="S174" s="199">
        <v>179.33199999999988</v>
      </c>
      <c r="T174" s="198" t="s">
        <v>251</v>
      </c>
      <c r="U174" s="198" t="s">
        <v>252</v>
      </c>
      <c r="V174" s="198" t="s">
        <v>299</v>
      </c>
      <c r="W174" s="205">
        <v>1</v>
      </c>
      <c r="X174" s="198" t="s">
        <v>232</v>
      </c>
    </row>
    <row r="175" spans="2:24">
      <c r="B175" s="474"/>
      <c r="C175" s="474"/>
      <c r="D175" s="209">
        <v>69</v>
      </c>
      <c r="E175" s="198" t="s">
        <v>288</v>
      </c>
      <c r="F175" s="199">
        <v>333</v>
      </c>
      <c r="G175" s="198">
        <v>17238</v>
      </c>
      <c r="H175" s="198">
        <v>17280</v>
      </c>
      <c r="I175" s="210">
        <f t="shared" si="18"/>
        <v>1.0024364775495997</v>
      </c>
      <c r="J175" s="198">
        <v>0</v>
      </c>
      <c r="K175" s="210">
        <f t="shared" si="19"/>
        <v>0</v>
      </c>
      <c r="L175" s="199">
        <v>4.5</v>
      </c>
      <c r="M175" s="211">
        <f t="shared" si="20"/>
        <v>1.0024364775495997</v>
      </c>
      <c r="N175" s="199">
        <v>189</v>
      </c>
      <c r="O175" s="198">
        <v>74</v>
      </c>
      <c r="P175" s="200">
        <v>4.2928413969137947E-3</v>
      </c>
      <c r="Q175" s="198">
        <v>-32</v>
      </c>
      <c r="R175" s="200">
        <v>-1.8563638473140735E-3</v>
      </c>
      <c r="S175" s="199">
        <v>-144</v>
      </c>
      <c r="T175" s="198" t="s">
        <v>235</v>
      </c>
      <c r="U175" s="198" t="s">
        <v>236</v>
      </c>
      <c r="V175" s="198"/>
      <c r="W175" s="205">
        <v>1</v>
      </c>
      <c r="X175" s="198" t="s">
        <v>103</v>
      </c>
    </row>
    <row r="176" spans="2:24">
      <c r="B176" s="474"/>
      <c r="C176" s="474"/>
      <c r="D176" s="209">
        <v>70</v>
      </c>
      <c r="E176" s="198" t="s">
        <v>286</v>
      </c>
      <c r="F176" s="199">
        <v>306.72575999999998</v>
      </c>
      <c r="G176" s="198">
        <v>669.9</v>
      </c>
      <c r="H176" s="198">
        <v>673.31200000000001</v>
      </c>
      <c r="I176" s="210">
        <f t="shared" si="18"/>
        <v>1.0050932975070908</v>
      </c>
      <c r="J176" s="198">
        <v>0</v>
      </c>
      <c r="K176" s="210">
        <f t="shared" si="19"/>
        <v>0</v>
      </c>
      <c r="L176" s="199">
        <v>46.53</v>
      </c>
      <c r="M176" s="211">
        <f t="shared" si="20"/>
        <v>1.0050932975070908</v>
      </c>
      <c r="N176" s="199">
        <v>158.76036000000161</v>
      </c>
      <c r="O176" s="198">
        <v>6.5919999999999996</v>
      </c>
      <c r="P176" s="200">
        <v>9.8402746678608738E-3</v>
      </c>
      <c r="Q176" s="198">
        <v>-3.1799999999999651</v>
      </c>
      <c r="R176" s="200">
        <v>-4.7469771607702126E-3</v>
      </c>
      <c r="S176" s="199">
        <v>-147.96539999999837</v>
      </c>
      <c r="T176" s="198" t="s">
        <v>235</v>
      </c>
      <c r="U176" s="198" t="s">
        <v>236</v>
      </c>
      <c r="V176" s="198"/>
      <c r="W176" s="205">
        <v>1</v>
      </c>
      <c r="X176" s="198" t="s">
        <v>113</v>
      </c>
    </row>
    <row r="177" spans="2:24" ht="16.5">
      <c r="B177" s="473">
        <v>45918</v>
      </c>
      <c r="C177" s="475" t="s">
        <v>59</v>
      </c>
      <c r="D177" s="209">
        <v>71</v>
      </c>
      <c r="E177" s="198" t="s">
        <v>292</v>
      </c>
      <c r="F177" s="199">
        <v>1767.0239999999999</v>
      </c>
      <c r="G177" s="198">
        <v>368.41</v>
      </c>
      <c r="H177" s="198">
        <v>387.40300000000002</v>
      </c>
      <c r="I177" s="210">
        <f t="shared" si="18"/>
        <v>1.0515539751906842</v>
      </c>
      <c r="J177" s="198">
        <v>0</v>
      </c>
      <c r="K177" s="210">
        <f t="shared" si="19"/>
        <v>0</v>
      </c>
      <c r="L177" s="199">
        <v>105.17999999999999</v>
      </c>
      <c r="M177" s="211">
        <f t="shared" si="20"/>
        <v>1.0515539751906842</v>
      </c>
      <c r="N177" s="199">
        <v>1997.6837399999993</v>
      </c>
      <c r="O177" s="198">
        <v>16.8</v>
      </c>
      <c r="P177" s="200">
        <v>4.5601368041041229E-2</v>
      </c>
      <c r="Q177" s="198">
        <v>2.1929999999999943</v>
      </c>
      <c r="R177" s="200">
        <v>5.9526071496430449E-3</v>
      </c>
      <c r="S177" s="199">
        <v>230.65973999999937</v>
      </c>
      <c r="T177" s="198" t="s">
        <v>235</v>
      </c>
      <c r="U177" s="198" t="s">
        <v>236</v>
      </c>
      <c r="V177" s="231" t="s">
        <v>293</v>
      </c>
      <c r="W177" s="205">
        <v>1</v>
      </c>
      <c r="X177" s="198" t="s">
        <v>117</v>
      </c>
    </row>
    <row r="178" spans="2:24" ht="16.5">
      <c r="B178" s="474"/>
      <c r="C178" s="474"/>
      <c r="D178" s="209">
        <v>72</v>
      </c>
      <c r="E178" s="198" t="s">
        <v>295</v>
      </c>
      <c r="F178" s="199">
        <v>1226.355</v>
      </c>
      <c r="G178" s="198">
        <v>157.88999999999999</v>
      </c>
      <c r="H178" s="198">
        <v>167</v>
      </c>
      <c r="I178" s="210">
        <f t="shared" si="18"/>
        <v>1.0576983976185954</v>
      </c>
      <c r="J178" s="198">
        <v>0</v>
      </c>
      <c r="K178" s="210">
        <f t="shared" si="19"/>
        <v>0</v>
      </c>
      <c r="L178" s="199">
        <v>215.15</v>
      </c>
      <c r="M178" s="211">
        <f t="shared" si="20"/>
        <v>1.0576983976185954</v>
      </c>
      <c r="N178" s="199">
        <v>1960.0165000000029</v>
      </c>
      <c r="O178" s="198">
        <v>5.7</v>
      </c>
      <c r="P178" s="200">
        <v>3.6101083032490981E-2</v>
      </c>
      <c r="Q178" s="198">
        <v>3.4100000000000135</v>
      </c>
      <c r="R178" s="200">
        <v>2.1597314586104338E-2</v>
      </c>
      <c r="S178" s="199">
        <v>733.66150000000289</v>
      </c>
      <c r="T178" s="198" t="s">
        <v>235</v>
      </c>
      <c r="U178" s="198" t="s">
        <v>236</v>
      </c>
      <c r="V178" s="231" t="s">
        <v>293</v>
      </c>
      <c r="W178" s="205">
        <v>1</v>
      </c>
      <c r="X178" s="198" t="s">
        <v>117</v>
      </c>
    </row>
    <row r="179" spans="2:24" ht="16.5">
      <c r="B179" s="474"/>
      <c r="C179" s="474"/>
      <c r="D179" s="209">
        <v>73</v>
      </c>
      <c r="E179" s="198" t="s">
        <v>296</v>
      </c>
      <c r="F179" s="199">
        <v>952.6309</v>
      </c>
      <c r="G179" s="198">
        <v>143.15199999999999</v>
      </c>
      <c r="H179" s="198">
        <v>148.333</v>
      </c>
      <c r="I179" s="210">
        <f t="shared" si="18"/>
        <v>1.0361922990946686</v>
      </c>
      <c r="J179" s="198">
        <v>0</v>
      </c>
      <c r="K179" s="210">
        <f t="shared" si="19"/>
        <v>0</v>
      </c>
      <c r="L179" s="199">
        <v>250.1</v>
      </c>
      <c r="M179" s="211">
        <f t="shared" si="20"/>
        <v>1.0361922990946686</v>
      </c>
      <c r="N179" s="199">
        <v>1295.768100000003</v>
      </c>
      <c r="O179" s="198">
        <v>3.8090000000000002</v>
      </c>
      <c r="P179" s="200">
        <v>2.6608080920979101E-2</v>
      </c>
      <c r="Q179" s="198">
        <v>1.3720000000000114</v>
      </c>
      <c r="R179" s="200">
        <v>9.5842181736895855E-3</v>
      </c>
      <c r="S179" s="199">
        <v>343.13720000000285</v>
      </c>
      <c r="T179" s="198" t="s">
        <v>235</v>
      </c>
      <c r="U179" s="198" t="s">
        <v>236</v>
      </c>
      <c r="V179" s="231" t="s">
        <v>293</v>
      </c>
      <c r="W179" s="205">
        <v>1</v>
      </c>
      <c r="X179" s="198" t="s">
        <v>118</v>
      </c>
    </row>
    <row r="180" spans="2:24">
      <c r="B180" s="474"/>
      <c r="C180" s="474"/>
      <c r="D180" s="209">
        <v>74</v>
      </c>
      <c r="E180" s="198" t="s">
        <v>229</v>
      </c>
      <c r="F180" s="199">
        <v>512.67369999999994</v>
      </c>
      <c r="G180" s="198">
        <v>164.52</v>
      </c>
      <c r="H180" s="198">
        <v>169.87299999999999</v>
      </c>
      <c r="I180" s="210">
        <f t="shared" si="18"/>
        <v>1.0325370775589593</v>
      </c>
      <c r="J180" s="198">
        <v>0</v>
      </c>
      <c r="K180" s="210">
        <f t="shared" si="19"/>
        <v>0</v>
      </c>
      <c r="L180" s="199">
        <v>335.3</v>
      </c>
      <c r="M180" s="211">
        <f t="shared" si="20"/>
        <v>1.0325370775589593</v>
      </c>
      <c r="N180" s="199">
        <v>1794.8608999999935</v>
      </c>
      <c r="O180" s="198">
        <v>1.5289999999999999</v>
      </c>
      <c r="P180" s="200">
        <v>9.2937028932652561E-3</v>
      </c>
      <c r="Q180" s="198">
        <v>3.8239999999999803</v>
      </c>
      <c r="R180" s="200">
        <v>2.3243374665694018E-2</v>
      </c>
      <c r="S180" s="199">
        <v>1282.1871999999935</v>
      </c>
      <c r="T180" s="198" t="s">
        <v>230</v>
      </c>
      <c r="U180" s="198" t="s">
        <v>181</v>
      </c>
      <c r="V180" s="198" t="s">
        <v>276</v>
      </c>
      <c r="W180" s="205">
        <v>1</v>
      </c>
      <c r="X180" s="198" t="s">
        <v>232</v>
      </c>
    </row>
    <row r="181" spans="2:24" ht="16.5">
      <c r="B181" s="474"/>
      <c r="C181" s="474"/>
      <c r="D181" s="209">
        <v>75</v>
      </c>
      <c r="E181" s="198" t="s">
        <v>294</v>
      </c>
      <c r="F181" s="199">
        <v>502.66015999999996</v>
      </c>
      <c r="G181" s="198">
        <v>180.49600000000001</v>
      </c>
      <c r="H181" s="198">
        <v>187.5</v>
      </c>
      <c r="I181" s="210">
        <f t="shared" ref="I181:I244" si="21">H181/G181</f>
        <v>1.0388041840262388</v>
      </c>
      <c r="J181" s="198">
        <v>0</v>
      </c>
      <c r="K181" s="210">
        <f t="shared" ref="K181:K244" si="22">J181/G181</f>
        <v>0</v>
      </c>
      <c r="L181" s="199">
        <v>139.01</v>
      </c>
      <c r="M181" s="211">
        <f t="shared" ref="M181:M244" si="23">(H181+J181)/G181</f>
        <v>1.0388041840262388</v>
      </c>
      <c r="N181" s="199">
        <v>973.62603999999862</v>
      </c>
      <c r="O181" s="198">
        <v>3.6160000000000001</v>
      </c>
      <c r="P181" s="200">
        <v>2.0033684957007358E-2</v>
      </c>
      <c r="Q181" s="198">
        <v>3.3879999999999906</v>
      </c>
      <c r="R181" s="200">
        <v>1.8770499069231398E-2</v>
      </c>
      <c r="S181" s="199">
        <v>470.96587999999866</v>
      </c>
      <c r="T181" s="198" t="s">
        <v>235</v>
      </c>
      <c r="U181" s="198" t="s">
        <v>236</v>
      </c>
      <c r="V181" s="231" t="s">
        <v>293</v>
      </c>
      <c r="W181" s="205">
        <v>1</v>
      </c>
      <c r="X181" s="198" t="s">
        <v>118</v>
      </c>
    </row>
    <row r="182" spans="2:24">
      <c r="B182" s="474"/>
      <c r="C182" s="474"/>
      <c r="D182" s="209">
        <v>76</v>
      </c>
      <c r="E182" s="198" t="s">
        <v>254</v>
      </c>
      <c r="F182" s="199">
        <v>424.68729729729728</v>
      </c>
      <c r="G182" s="198">
        <v>564.62</v>
      </c>
      <c r="H182" s="198">
        <v>574.05799999999999</v>
      </c>
      <c r="I182" s="210">
        <f t="shared" si="21"/>
        <v>1.0167156671743827</v>
      </c>
      <c r="J182" s="198">
        <v>0</v>
      </c>
      <c r="K182" s="210">
        <f t="shared" si="22"/>
        <v>0</v>
      </c>
      <c r="L182" s="199">
        <v>58.21621621621621</v>
      </c>
      <c r="M182" s="211">
        <f t="shared" si="23"/>
        <v>1.0167156671743827</v>
      </c>
      <c r="N182" s="199">
        <v>549.4446486486479</v>
      </c>
      <c r="O182" s="198">
        <v>7.2949999999999999</v>
      </c>
      <c r="P182" s="200">
        <v>1.2920194112854663E-2</v>
      </c>
      <c r="Q182" s="198">
        <v>2.1429999999999882</v>
      </c>
      <c r="R182" s="200">
        <v>3.7954730615280866E-3</v>
      </c>
      <c r="S182" s="199">
        <v>124.75735135135065</v>
      </c>
      <c r="T182" s="198" t="s">
        <v>235</v>
      </c>
      <c r="U182" s="198" t="s">
        <v>236</v>
      </c>
      <c r="V182" s="198"/>
      <c r="W182" s="205">
        <v>1</v>
      </c>
      <c r="X182" s="198" t="s">
        <v>110</v>
      </c>
    </row>
    <row r="183" spans="2:24">
      <c r="B183" s="474"/>
      <c r="C183" s="474"/>
      <c r="D183" s="209">
        <v>77</v>
      </c>
      <c r="E183" s="198" t="s">
        <v>237</v>
      </c>
      <c r="F183" s="199">
        <v>301.84539000000001</v>
      </c>
      <c r="G183" s="198">
        <v>105.399</v>
      </c>
      <c r="H183" s="198">
        <v>105.637</v>
      </c>
      <c r="I183" s="210">
        <f t="shared" si="21"/>
        <v>1.0022580859400942</v>
      </c>
      <c r="J183" s="198">
        <v>0</v>
      </c>
      <c r="K183" s="210">
        <f t="shared" si="22"/>
        <v>0</v>
      </c>
      <c r="L183" s="199">
        <v>356.37</v>
      </c>
      <c r="M183" s="211">
        <f t="shared" si="23"/>
        <v>1.0022580859400942</v>
      </c>
      <c r="N183" s="199">
        <v>84.816059999999837</v>
      </c>
      <c r="O183" s="198">
        <v>0.84699999999999998</v>
      </c>
      <c r="P183" s="200">
        <v>8.0361293750415078E-3</v>
      </c>
      <c r="Q183" s="198">
        <v>-0.60900000000000043</v>
      </c>
      <c r="R183" s="200">
        <v>-5.7780434349472051E-3</v>
      </c>
      <c r="S183" s="199">
        <v>-217.02933000000016</v>
      </c>
      <c r="T183" s="198" t="s">
        <v>235</v>
      </c>
      <c r="U183" s="198" t="s">
        <v>236</v>
      </c>
      <c r="V183" s="198"/>
      <c r="W183" s="205">
        <v>1</v>
      </c>
      <c r="X183" s="198" t="s">
        <v>104</v>
      </c>
    </row>
    <row r="184" spans="2:24">
      <c r="B184" s="474"/>
      <c r="C184" s="474"/>
      <c r="D184" s="209">
        <v>78</v>
      </c>
      <c r="E184" s="198" t="s">
        <v>160</v>
      </c>
      <c r="F184" s="199">
        <v>275.76988</v>
      </c>
      <c r="G184" s="198">
        <v>129.535</v>
      </c>
      <c r="H184" s="198">
        <v>130.47800000000001</v>
      </c>
      <c r="I184" s="210">
        <f t="shared" si="21"/>
        <v>1.0072798857451655</v>
      </c>
      <c r="J184" s="198">
        <v>0</v>
      </c>
      <c r="K184" s="210">
        <f t="shared" si="22"/>
        <v>0</v>
      </c>
      <c r="L184" s="199">
        <v>575.72</v>
      </c>
      <c r="M184" s="211">
        <f t="shared" si="23"/>
        <v>1.0072798857451655</v>
      </c>
      <c r="N184" s="199">
        <v>542.90396000000692</v>
      </c>
      <c r="O184" s="198">
        <v>0.47899999999999998</v>
      </c>
      <c r="P184" s="200">
        <v>3.6978422820087235E-3</v>
      </c>
      <c r="Q184" s="198">
        <v>0.46400000000001207</v>
      </c>
      <c r="R184" s="200">
        <v>3.582043463156769E-3</v>
      </c>
      <c r="S184" s="199">
        <v>267.13408000000697</v>
      </c>
      <c r="T184" s="198" t="s">
        <v>235</v>
      </c>
      <c r="U184" s="198" t="s">
        <v>236</v>
      </c>
      <c r="V184" s="198"/>
      <c r="W184" s="205">
        <v>1</v>
      </c>
      <c r="X184" s="198" t="s">
        <v>106</v>
      </c>
    </row>
    <row r="185" spans="2:24">
      <c r="B185" s="474"/>
      <c r="C185" s="474"/>
      <c r="D185" s="209">
        <v>79</v>
      </c>
      <c r="E185" s="198" t="s">
        <v>301</v>
      </c>
      <c r="F185" s="199">
        <v>273.52</v>
      </c>
      <c r="G185" s="198">
        <v>15789</v>
      </c>
      <c r="H185" s="198">
        <v>15841</v>
      </c>
      <c r="I185" s="210">
        <f t="shared" si="21"/>
        <v>1.0032934321362974</v>
      </c>
      <c r="J185" s="198">
        <v>0</v>
      </c>
      <c r="K185" s="210">
        <f t="shared" si="22"/>
        <v>0</v>
      </c>
      <c r="L185" s="199">
        <v>5.26</v>
      </c>
      <c r="M185" s="211">
        <f t="shared" si="23"/>
        <v>1.0032934321362974</v>
      </c>
      <c r="N185" s="199">
        <v>273.52</v>
      </c>
      <c r="O185" s="198">
        <v>52</v>
      </c>
      <c r="P185" s="200">
        <v>3.2934321362974224E-3</v>
      </c>
      <c r="Q185" s="198">
        <v>0</v>
      </c>
      <c r="R185" s="200">
        <v>0</v>
      </c>
      <c r="S185" s="199">
        <v>0</v>
      </c>
      <c r="T185" s="198" t="s">
        <v>235</v>
      </c>
      <c r="U185" s="198" t="s">
        <v>236</v>
      </c>
      <c r="V185" s="198" t="s">
        <v>298</v>
      </c>
      <c r="W185" s="205">
        <v>1</v>
      </c>
      <c r="X185" s="198" t="s">
        <v>117</v>
      </c>
    </row>
    <row r="186" spans="2:24">
      <c r="B186" s="474"/>
      <c r="C186" s="474"/>
      <c r="D186" s="209">
        <v>80</v>
      </c>
      <c r="E186" s="198" t="s">
        <v>245</v>
      </c>
      <c r="F186" s="199">
        <v>248.87</v>
      </c>
      <c r="G186" s="198">
        <v>3126</v>
      </c>
      <c r="H186" s="198">
        <v>3167</v>
      </c>
      <c r="I186" s="210">
        <f t="shared" si="21"/>
        <v>1.0131158029430583</v>
      </c>
      <c r="J186" s="198">
        <v>0</v>
      </c>
      <c r="K186" s="210">
        <f t="shared" si="22"/>
        <v>0</v>
      </c>
      <c r="L186" s="199">
        <v>6.07</v>
      </c>
      <c r="M186" s="211">
        <f t="shared" si="23"/>
        <v>1.0131158029430583</v>
      </c>
      <c r="N186" s="199">
        <v>248.87</v>
      </c>
      <c r="O186" s="198">
        <v>41</v>
      </c>
      <c r="P186" s="200">
        <v>1.3115802943058221E-2</v>
      </c>
      <c r="Q186" s="198">
        <v>0</v>
      </c>
      <c r="R186" s="200">
        <v>0</v>
      </c>
      <c r="S186" s="199">
        <v>0</v>
      </c>
      <c r="T186" s="198" t="s">
        <v>235</v>
      </c>
      <c r="U186" s="198" t="s">
        <v>236</v>
      </c>
      <c r="V186" s="198"/>
      <c r="W186" s="205">
        <v>1</v>
      </c>
      <c r="X186" s="198" t="s">
        <v>242</v>
      </c>
    </row>
    <row r="187" spans="2:24">
      <c r="B187" s="473">
        <v>45919</v>
      </c>
      <c r="C187" s="475" t="s">
        <v>60</v>
      </c>
      <c r="D187" s="209">
        <v>81</v>
      </c>
      <c r="E187" s="198" t="s">
        <v>259</v>
      </c>
      <c r="F187" s="199">
        <v>8463.0554999999986</v>
      </c>
      <c r="G187" s="198">
        <v>93.5</v>
      </c>
      <c r="H187" s="198">
        <v>132</v>
      </c>
      <c r="I187" s="210">
        <f t="shared" si="21"/>
        <v>1.411764705882353</v>
      </c>
      <c r="J187" s="198">
        <v>0</v>
      </c>
      <c r="K187" s="210">
        <f t="shared" si="22"/>
        <v>0</v>
      </c>
      <c r="L187" s="199">
        <v>216.17</v>
      </c>
      <c r="M187" s="211">
        <f t="shared" si="23"/>
        <v>1.411764705882353</v>
      </c>
      <c r="N187" s="199">
        <v>8322.5450000000001</v>
      </c>
      <c r="O187" s="198">
        <v>39.15</v>
      </c>
      <c r="P187" s="200">
        <v>0.41871657754010694</v>
      </c>
      <c r="Q187" s="198">
        <v>-0.64999999999999858</v>
      </c>
      <c r="R187" s="200">
        <v>-6.9518716577539955E-3</v>
      </c>
      <c r="S187" s="199">
        <v>-140.51049999999969</v>
      </c>
      <c r="T187" s="198" t="s">
        <v>251</v>
      </c>
      <c r="U187" s="198" t="s">
        <v>252</v>
      </c>
      <c r="V187" s="198" t="s">
        <v>299</v>
      </c>
      <c r="W187" s="205">
        <v>1</v>
      </c>
      <c r="X187" s="198" t="s">
        <v>115</v>
      </c>
    </row>
    <row r="188" spans="2:24">
      <c r="B188" s="474"/>
      <c r="C188" s="474"/>
      <c r="D188" s="209">
        <v>82</v>
      </c>
      <c r="E188" s="198" t="s">
        <v>292</v>
      </c>
      <c r="F188" s="199">
        <v>8110.429799999999</v>
      </c>
      <c r="G188" s="198">
        <v>130.13</v>
      </c>
      <c r="H188" s="198">
        <v>216.55</v>
      </c>
      <c r="I188" s="210">
        <f t="shared" si="21"/>
        <v>1.6641051256435873</v>
      </c>
      <c r="J188" s="198">
        <v>0</v>
      </c>
      <c r="K188" s="210">
        <f t="shared" si="22"/>
        <v>0</v>
      </c>
      <c r="L188" s="199">
        <v>105.17999999999999</v>
      </c>
      <c r="M188" s="211">
        <f t="shared" si="23"/>
        <v>1.6641051256435873</v>
      </c>
      <c r="N188" s="199">
        <v>9089.6556000000019</v>
      </c>
      <c r="O188" s="198">
        <v>77.11</v>
      </c>
      <c r="P188" s="200">
        <v>0.59256128486897719</v>
      </c>
      <c r="Q188" s="198">
        <v>9.3100000000000165</v>
      </c>
      <c r="R188" s="200">
        <v>7.1543840774610137E-2</v>
      </c>
      <c r="S188" s="199">
        <v>979.22580000000164</v>
      </c>
      <c r="T188" s="198" t="s">
        <v>251</v>
      </c>
      <c r="U188" s="198" t="s">
        <v>252</v>
      </c>
      <c r="V188" s="198" t="s">
        <v>299</v>
      </c>
      <c r="W188" s="205">
        <v>1</v>
      </c>
      <c r="X188" s="198" t="s">
        <v>117</v>
      </c>
    </row>
    <row r="189" spans="2:24">
      <c r="B189" s="474"/>
      <c r="C189" s="474"/>
      <c r="D189" s="209">
        <v>83</v>
      </c>
      <c r="E189" s="198" t="s">
        <v>239</v>
      </c>
      <c r="F189" s="199">
        <v>3549.0672</v>
      </c>
      <c r="G189" s="198">
        <v>127.16</v>
      </c>
      <c r="H189" s="198">
        <v>165</v>
      </c>
      <c r="I189" s="210">
        <f t="shared" si="21"/>
        <v>1.2975778546712804</v>
      </c>
      <c r="J189" s="198">
        <v>0</v>
      </c>
      <c r="K189" s="210">
        <f t="shared" si="22"/>
        <v>0</v>
      </c>
      <c r="L189" s="199">
        <v>115.08</v>
      </c>
      <c r="M189" s="211">
        <f t="shared" si="23"/>
        <v>1.2975778546712804</v>
      </c>
      <c r="N189" s="199">
        <v>4354.6271999999999</v>
      </c>
      <c r="O189" s="198">
        <v>30.84</v>
      </c>
      <c r="P189" s="200">
        <v>0.24252909720037749</v>
      </c>
      <c r="Q189" s="198">
        <v>7.0000000000000036</v>
      </c>
      <c r="R189" s="200">
        <v>5.5048757470902827E-2</v>
      </c>
      <c r="S189" s="199">
        <v>805.5600000000004</v>
      </c>
      <c r="T189" s="198" t="s">
        <v>251</v>
      </c>
      <c r="U189" s="198" t="s">
        <v>252</v>
      </c>
      <c r="V189" s="198" t="s">
        <v>299</v>
      </c>
      <c r="W189" s="205">
        <v>1</v>
      </c>
      <c r="X189" s="198" t="s">
        <v>116</v>
      </c>
    </row>
    <row r="190" spans="2:24">
      <c r="B190" s="474"/>
      <c r="C190" s="474"/>
      <c r="D190" s="209">
        <v>84</v>
      </c>
      <c r="E190" s="198" t="s">
        <v>296</v>
      </c>
      <c r="F190" s="199">
        <v>3083.7330000000002</v>
      </c>
      <c r="G190" s="198">
        <v>71.713999999999999</v>
      </c>
      <c r="H190" s="198">
        <v>87.6</v>
      </c>
      <c r="I190" s="210">
        <f t="shared" si="21"/>
        <v>1.2215188108319157</v>
      </c>
      <c r="J190" s="198">
        <v>0</v>
      </c>
      <c r="K190" s="210">
        <f t="shared" si="22"/>
        <v>0</v>
      </c>
      <c r="L190" s="199">
        <v>250.1</v>
      </c>
      <c r="M190" s="211">
        <f t="shared" si="23"/>
        <v>1.2215188108319157</v>
      </c>
      <c r="N190" s="199">
        <v>3973.0885999999987</v>
      </c>
      <c r="O190" s="198">
        <v>12.33</v>
      </c>
      <c r="P190" s="200">
        <v>0.17193295590819088</v>
      </c>
      <c r="Q190" s="198">
        <v>3.5559999999999956</v>
      </c>
      <c r="R190" s="200">
        <v>4.9585854923724734E-2</v>
      </c>
      <c r="S190" s="199">
        <v>889.35559999999884</v>
      </c>
      <c r="T190" s="198" t="s">
        <v>251</v>
      </c>
      <c r="U190" s="198" t="s">
        <v>252</v>
      </c>
      <c r="V190" s="198" t="s">
        <v>299</v>
      </c>
      <c r="W190" s="205">
        <v>1</v>
      </c>
      <c r="X190" s="198" t="s">
        <v>118</v>
      </c>
    </row>
    <row r="191" spans="2:24">
      <c r="B191" s="474"/>
      <c r="C191" s="474"/>
      <c r="D191" s="209">
        <v>85</v>
      </c>
      <c r="E191" s="198" t="s">
        <v>234</v>
      </c>
      <c r="F191" s="199">
        <v>2476.2950000000001</v>
      </c>
      <c r="G191" s="198">
        <v>100.62</v>
      </c>
      <c r="H191" s="198">
        <v>115.65</v>
      </c>
      <c r="I191" s="210">
        <f t="shared" si="21"/>
        <v>1.1493738819320214</v>
      </c>
      <c r="J191" s="198">
        <v>0</v>
      </c>
      <c r="K191" s="210">
        <f t="shared" si="22"/>
        <v>0</v>
      </c>
      <c r="L191" s="199">
        <v>162.38</v>
      </c>
      <c r="M191" s="211">
        <f t="shared" si="23"/>
        <v>1.1493738819320214</v>
      </c>
      <c r="N191" s="199">
        <v>2440.5714000000003</v>
      </c>
      <c r="O191" s="198">
        <v>15.25</v>
      </c>
      <c r="P191" s="200">
        <v>0.15156032597893063</v>
      </c>
      <c r="Q191" s="198">
        <v>-0.21999999999999886</v>
      </c>
      <c r="R191" s="200">
        <v>-2.186444046909152E-3</v>
      </c>
      <c r="S191" s="199">
        <v>-35.723599999999813</v>
      </c>
      <c r="T191" s="198" t="s">
        <v>251</v>
      </c>
      <c r="U191" s="198" t="s">
        <v>252</v>
      </c>
      <c r="V191" s="198" t="s">
        <v>299</v>
      </c>
      <c r="W191" s="205">
        <v>1</v>
      </c>
      <c r="X191" s="198" t="s">
        <v>113</v>
      </c>
    </row>
    <row r="192" spans="2:24">
      <c r="B192" s="474"/>
      <c r="C192" s="474"/>
      <c r="D192" s="209">
        <v>86</v>
      </c>
      <c r="E192" s="198" t="s">
        <v>294</v>
      </c>
      <c r="F192" s="199">
        <v>1174.6344999999999</v>
      </c>
      <c r="G192" s="198">
        <v>90.421999999999997</v>
      </c>
      <c r="H192" s="198">
        <v>99</v>
      </c>
      <c r="I192" s="210">
        <f t="shared" si="21"/>
        <v>1.0948662936011149</v>
      </c>
      <c r="J192" s="198">
        <v>0</v>
      </c>
      <c r="K192" s="210">
        <f t="shared" si="22"/>
        <v>0</v>
      </c>
      <c r="L192" s="199">
        <v>139.01</v>
      </c>
      <c r="M192" s="211">
        <f t="shared" si="23"/>
        <v>1.0948662936011149</v>
      </c>
      <c r="N192" s="199">
        <v>1192.4277800000004</v>
      </c>
      <c r="O192" s="198">
        <v>8.4499999999999993</v>
      </c>
      <c r="P192" s="200">
        <v>9.345070889827696E-2</v>
      </c>
      <c r="Q192" s="198">
        <v>0.12800000000000367</v>
      </c>
      <c r="R192" s="200">
        <v>1.4155847028378455E-3</v>
      </c>
      <c r="S192" s="199">
        <v>17.793280000000507</v>
      </c>
      <c r="T192" s="198" t="s">
        <v>251</v>
      </c>
      <c r="U192" s="198" t="s">
        <v>252</v>
      </c>
      <c r="V192" s="198" t="s">
        <v>299</v>
      </c>
      <c r="W192" s="205">
        <v>1</v>
      </c>
      <c r="X192" s="198" t="s">
        <v>118</v>
      </c>
    </row>
    <row r="193" spans="2:24">
      <c r="B193" s="474"/>
      <c r="C193" s="474"/>
      <c r="D193" s="209">
        <v>87</v>
      </c>
      <c r="E193" s="198" t="s">
        <v>300</v>
      </c>
      <c r="F193" s="199">
        <v>946.94</v>
      </c>
      <c r="G193" s="198">
        <v>47.08</v>
      </c>
      <c r="H193" s="198">
        <v>60.5</v>
      </c>
      <c r="I193" s="210">
        <f t="shared" si="21"/>
        <v>1.2850467289719627</v>
      </c>
      <c r="J193" s="198">
        <v>0</v>
      </c>
      <c r="K193" s="210">
        <f t="shared" si="22"/>
        <v>0</v>
      </c>
      <c r="L193" s="199">
        <v>83.8</v>
      </c>
      <c r="M193" s="211">
        <f t="shared" si="23"/>
        <v>1.2850467289719627</v>
      </c>
      <c r="N193" s="199">
        <v>1124.596</v>
      </c>
      <c r="O193" s="198">
        <v>11.3</v>
      </c>
      <c r="P193" s="200">
        <v>0.24001699235344098</v>
      </c>
      <c r="Q193" s="198">
        <v>2.120000000000001</v>
      </c>
      <c r="R193" s="200">
        <v>4.5029736618521686E-2</v>
      </c>
      <c r="S193" s="199">
        <v>177.65600000000009</v>
      </c>
      <c r="T193" s="198" t="s">
        <v>251</v>
      </c>
      <c r="U193" s="198" t="s">
        <v>252</v>
      </c>
      <c r="V193" s="198" t="s">
        <v>299</v>
      </c>
      <c r="W193" s="205">
        <v>1</v>
      </c>
      <c r="X193" s="198" t="s">
        <v>232</v>
      </c>
    </row>
    <row r="194" spans="2:24">
      <c r="B194" s="474"/>
      <c r="C194" s="474"/>
      <c r="D194" s="209">
        <v>88</v>
      </c>
      <c r="E194" s="198" t="s">
        <v>297</v>
      </c>
      <c r="F194" s="199">
        <v>926.20800000000008</v>
      </c>
      <c r="G194" s="198">
        <v>4.8334000000000001</v>
      </c>
      <c r="H194" s="198">
        <v>6</v>
      </c>
      <c r="I194" s="210">
        <f t="shared" si="21"/>
        <v>1.2413621881077501</v>
      </c>
      <c r="J194" s="198">
        <v>0</v>
      </c>
      <c r="K194" s="210">
        <f t="shared" si="22"/>
        <v>0</v>
      </c>
      <c r="L194" s="199">
        <v>1029.1200000000001</v>
      </c>
      <c r="M194" s="211">
        <f t="shared" si="23"/>
        <v>1.2413621881077501</v>
      </c>
      <c r="N194" s="199">
        <v>1200.5713920000001</v>
      </c>
      <c r="O194" s="198">
        <v>0.9</v>
      </c>
      <c r="P194" s="200">
        <v>0.18620432821616253</v>
      </c>
      <c r="Q194" s="198">
        <v>0.26659999999999984</v>
      </c>
      <c r="R194" s="200">
        <v>5.5157859891587668E-2</v>
      </c>
      <c r="S194" s="199">
        <v>274.36339199999986</v>
      </c>
      <c r="T194" s="198" t="s">
        <v>251</v>
      </c>
      <c r="U194" s="198" t="s">
        <v>252</v>
      </c>
      <c r="V194" s="198" t="s">
        <v>299</v>
      </c>
      <c r="W194" s="205">
        <v>1</v>
      </c>
      <c r="X194" s="198" t="s">
        <v>117</v>
      </c>
    </row>
    <row r="195" spans="2:24">
      <c r="B195" s="474"/>
      <c r="C195" s="474"/>
      <c r="D195" s="209">
        <v>89</v>
      </c>
      <c r="E195" s="198" t="s">
        <v>256</v>
      </c>
      <c r="F195" s="199">
        <v>562.95000000000005</v>
      </c>
      <c r="G195" s="198">
        <v>98.85</v>
      </c>
      <c r="H195" s="198">
        <v>105.45</v>
      </c>
      <c r="I195" s="210">
        <f t="shared" si="21"/>
        <v>1.0667678300455237</v>
      </c>
      <c r="J195" s="198">
        <v>0</v>
      </c>
      <c r="K195" s="210">
        <f t="shared" si="22"/>
        <v>0</v>
      </c>
      <c r="L195" s="199">
        <v>81</v>
      </c>
      <c r="M195" s="211">
        <f t="shared" si="23"/>
        <v>1.0667678300455237</v>
      </c>
      <c r="N195" s="199">
        <v>534.6000000000007</v>
      </c>
      <c r="O195" s="198">
        <v>6.95</v>
      </c>
      <c r="P195" s="200">
        <v>7.0308548305513405E-2</v>
      </c>
      <c r="Q195" s="198">
        <v>-0.34999999999999165</v>
      </c>
      <c r="R195" s="200">
        <v>-3.5407182599897992E-3</v>
      </c>
      <c r="S195" s="199">
        <v>-28.349999999999323</v>
      </c>
      <c r="T195" s="198" t="s">
        <v>251</v>
      </c>
      <c r="U195" s="198" t="s">
        <v>252</v>
      </c>
      <c r="V195" s="198" t="s">
        <v>299</v>
      </c>
      <c r="W195" s="205">
        <v>1</v>
      </c>
      <c r="X195" s="198" t="s">
        <v>242</v>
      </c>
    </row>
    <row r="196" spans="2:24">
      <c r="B196" s="474"/>
      <c r="C196" s="474"/>
      <c r="D196" s="209">
        <v>90</v>
      </c>
      <c r="E196" s="198" t="s">
        <v>302</v>
      </c>
      <c r="F196" s="199">
        <v>501.41840000000002</v>
      </c>
      <c r="G196" s="198">
        <v>36.045000000000002</v>
      </c>
      <c r="H196" s="198">
        <v>41.88</v>
      </c>
      <c r="I196" s="210">
        <f t="shared" si="21"/>
        <v>1.1618809821057012</v>
      </c>
      <c r="J196" s="198">
        <v>0</v>
      </c>
      <c r="K196" s="210">
        <f t="shared" si="22"/>
        <v>0</v>
      </c>
      <c r="L196" s="199">
        <v>155.72</v>
      </c>
      <c r="M196" s="211">
        <f t="shared" si="23"/>
        <v>1.1618809821057012</v>
      </c>
      <c r="N196" s="199">
        <v>908.62620000000015</v>
      </c>
      <c r="O196" s="198">
        <v>3.22</v>
      </c>
      <c r="P196" s="200">
        <v>8.9332778471355248E-2</v>
      </c>
      <c r="Q196" s="198">
        <v>2.6150000000000007</v>
      </c>
      <c r="R196" s="200">
        <v>7.254820363434597E-2</v>
      </c>
      <c r="S196" s="199">
        <v>407.20780000000008</v>
      </c>
      <c r="T196" s="198" t="s">
        <v>251</v>
      </c>
      <c r="U196" s="198" t="s">
        <v>252</v>
      </c>
      <c r="V196" s="198" t="s">
        <v>299</v>
      </c>
      <c r="W196" s="205">
        <v>1</v>
      </c>
      <c r="X196" s="198" t="s">
        <v>114</v>
      </c>
    </row>
    <row r="197" spans="2:24">
      <c r="B197" s="473">
        <v>45920</v>
      </c>
      <c r="C197" s="475" t="s">
        <v>61</v>
      </c>
      <c r="D197" s="209">
        <v>91</v>
      </c>
      <c r="E197" s="198" t="s">
        <v>259</v>
      </c>
      <c r="F197" s="199">
        <v>2215.7424999999998</v>
      </c>
      <c r="G197" s="198">
        <v>107.91</v>
      </c>
      <c r="H197" s="198">
        <v>150.30000000000001</v>
      </c>
      <c r="I197" s="210">
        <f t="shared" si="21"/>
        <v>1.3928273561301086</v>
      </c>
      <c r="J197" s="198">
        <v>0</v>
      </c>
      <c r="K197" s="210">
        <f t="shared" si="22"/>
        <v>0</v>
      </c>
      <c r="L197" s="199">
        <v>216.17</v>
      </c>
      <c r="M197" s="211">
        <f t="shared" si="23"/>
        <v>1.3928273561301086</v>
      </c>
      <c r="N197" s="199">
        <v>9163.4463000000032</v>
      </c>
      <c r="O197" s="198">
        <v>40.799999999999997</v>
      </c>
      <c r="P197" s="200">
        <v>0.3780928551570753</v>
      </c>
      <c r="Q197" s="198">
        <v>1.5900000000000176</v>
      </c>
      <c r="R197" s="200">
        <v>1.4734500973033247E-2</v>
      </c>
      <c r="S197" s="199">
        <v>343.71030000000377</v>
      </c>
      <c r="T197" s="198" t="s">
        <v>251</v>
      </c>
      <c r="U197" s="198" t="s">
        <v>252</v>
      </c>
      <c r="V197" s="198" t="s">
        <v>299</v>
      </c>
      <c r="W197" s="205">
        <v>1</v>
      </c>
      <c r="X197" s="198" t="s">
        <v>115</v>
      </c>
    </row>
    <row r="198" spans="2:24">
      <c r="B198" s="474"/>
      <c r="C198" s="474"/>
      <c r="D198" s="209">
        <v>92</v>
      </c>
      <c r="E198" s="198" t="s">
        <v>239</v>
      </c>
      <c r="F198" s="199">
        <v>2091.3362000000002</v>
      </c>
      <c r="G198" s="198">
        <v>144.1</v>
      </c>
      <c r="H198" s="198">
        <v>186.6</v>
      </c>
      <c r="I198" s="210">
        <f t="shared" si="21"/>
        <v>1.2949340735600279</v>
      </c>
      <c r="J198" s="198">
        <v>0</v>
      </c>
      <c r="K198" s="210">
        <f t="shared" si="22"/>
        <v>0</v>
      </c>
      <c r="L198" s="199">
        <v>115.08</v>
      </c>
      <c r="M198" s="211">
        <f t="shared" si="23"/>
        <v>1.2949340735600279</v>
      </c>
      <c r="N198" s="199">
        <v>4890.8999999999996</v>
      </c>
      <c r="O198" s="198">
        <v>34.6</v>
      </c>
      <c r="P198" s="200">
        <v>0.24011103400416378</v>
      </c>
      <c r="Q198" s="198">
        <v>7.8999999999999986</v>
      </c>
      <c r="R198" s="200">
        <v>5.4823039555863977E-2</v>
      </c>
      <c r="S198" s="199">
        <v>909.13199999999983</v>
      </c>
      <c r="T198" s="198" t="s">
        <v>251</v>
      </c>
      <c r="U198" s="198" t="s">
        <v>252</v>
      </c>
      <c r="V198" s="198" t="s">
        <v>299</v>
      </c>
      <c r="W198" s="205">
        <v>1</v>
      </c>
      <c r="X198" s="198" t="s">
        <v>116</v>
      </c>
    </row>
    <row r="199" spans="2:24">
      <c r="B199" s="474"/>
      <c r="C199" s="474"/>
      <c r="D199" s="209">
        <v>93</v>
      </c>
      <c r="E199" s="198" t="s">
        <v>297</v>
      </c>
      <c r="F199" s="199">
        <v>1193.7929999999999</v>
      </c>
      <c r="G199" s="198">
        <v>7.3684000000000003</v>
      </c>
      <c r="H199" s="198">
        <v>9.0500000000000007</v>
      </c>
      <c r="I199" s="210">
        <f t="shared" si="21"/>
        <v>1.2282177949079855</v>
      </c>
      <c r="J199" s="198">
        <v>0</v>
      </c>
      <c r="K199" s="210">
        <f t="shared" si="22"/>
        <v>0</v>
      </c>
      <c r="L199" s="199">
        <v>1029.1200000000001</v>
      </c>
      <c r="M199" s="211">
        <f t="shared" si="23"/>
        <v>1.2282177949079855</v>
      </c>
      <c r="N199" s="199">
        <v>1730.5681920000006</v>
      </c>
      <c r="O199" s="198">
        <v>1.8</v>
      </c>
      <c r="P199" s="200">
        <v>0.24428641224689213</v>
      </c>
      <c r="Q199" s="198">
        <v>-0.11839999999999962</v>
      </c>
      <c r="R199" s="200">
        <v>-1.6068617338906629E-2</v>
      </c>
      <c r="S199" s="199">
        <v>-121.84780799999962</v>
      </c>
      <c r="T199" s="198" t="s">
        <v>251</v>
      </c>
      <c r="U199" s="198" t="s">
        <v>252</v>
      </c>
      <c r="V199" s="198" t="s">
        <v>299</v>
      </c>
      <c r="W199" s="205">
        <v>1</v>
      </c>
      <c r="X199" s="198" t="s">
        <v>117</v>
      </c>
    </row>
    <row r="200" spans="2:24">
      <c r="B200" s="474"/>
      <c r="C200" s="474"/>
      <c r="D200" s="209">
        <v>94</v>
      </c>
      <c r="E200" s="198" t="s">
        <v>234</v>
      </c>
      <c r="F200" s="199">
        <v>540</v>
      </c>
      <c r="G200" s="198">
        <v>106.425</v>
      </c>
      <c r="H200" s="198">
        <v>117.35</v>
      </c>
      <c r="I200" s="210">
        <f t="shared" si="21"/>
        <v>1.1026544514916607</v>
      </c>
      <c r="J200" s="198">
        <v>0</v>
      </c>
      <c r="K200" s="210">
        <f t="shared" si="22"/>
        <v>0</v>
      </c>
      <c r="L200" s="199">
        <v>162.38</v>
      </c>
      <c r="M200" s="211">
        <f t="shared" si="23"/>
        <v>1.1026544514916607</v>
      </c>
      <c r="N200" s="199">
        <v>1774.0014999999994</v>
      </c>
      <c r="O200" s="198">
        <v>9.8699999999999992</v>
      </c>
      <c r="P200" s="200">
        <v>9.2741367159971805E-2</v>
      </c>
      <c r="Q200" s="198">
        <v>1.0549999999999979</v>
      </c>
      <c r="R200" s="200">
        <v>9.9130843316889636E-3</v>
      </c>
      <c r="S200" s="199">
        <v>171.31089999999966</v>
      </c>
      <c r="T200" s="198" t="s">
        <v>251</v>
      </c>
      <c r="U200" s="198" t="s">
        <v>252</v>
      </c>
      <c r="V200" s="198" t="s">
        <v>299</v>
      </c>
      <c r="W200" s="205">
        <v>1</v>
      </c>
      <c r="X200" s="198" t="s">
        <v>113</v>
      </c>
    </row>
    <row r="201" spans="2:24">
      <c r="B201" s="474"/>
      <c r="C201" s="474"/>
      <c r="D201" s="209">
        <v>95</v>
      </c>
      <c r="E201" s="198" t="s">
        <v>294</v>
      </c>
      <c r="F201" s="199">
        <v>529.44799999999998</v>
      </c>
      <c r="G201" s="198">
        <v>112.81</v>
      </c>
      <c r="H201" s="198">
        <v>121.71000000000001</v>
      </c>
      <c r="I201" s="210">
        <f t="shared" si="21"/>
        <v>1.0788937150961795</v>
      </c>
      <c r="J201" s="198">
        <v>0</v>
      </c>
      <c r="K201" s="210">
        <f t="shared" si="22"/>
        <v>0</v>
      </c>
      <c r="L201" s="199">
        <v>139.01</v>
      </c>
      <c r="M201" s="211">
        <f t="shared" si="23"/>
        <v>1.0788937150961795</v>
      </c>
      <c r="N201" s="199">
        <v>1237.1890000000008</v>
      </c>
      <c r="O201" s="198">
        <v>7.5</v>
      </c>
      <c r="P201" s="200">
        <v>6.6483467777679287E-2</v>
      </c>
      <c r="Q201" s="198">
        <v>1.4000000000000057</v>
      </c>
      <c r="R201" s="200">
        <v>1.2410247318500184E-2</v>
      </c>
      <c r="S201" s="199">
        <v>194.61400000000077</v>
      </c>
      <c r="T201" s="198" t="s">
        <v>251</v>
      </c>
      <c r="U201" s="198" t="s">
        <v>252</v>
      </c>
      <c r="V201" s="198" t="s">
        <v>299</v>
      </c>
      <c r="W201" s="205">
        <v>1</v>
      </c>
      <c r="X201" s="198" t="s">
        <v>118</v>
      </c>
    </row>
    <row r="202" spans="2:24">
      <c r="B202" s="474"/>
      <c r="C202" s="474"/>
      <c r="D202" s="209">
        <v>96</v>
      </c>
      <c r="E202" s="198" t="s">
        <v>296</v>
      </c>
      <c r="F202" s="199">
        <v>455.53460000000001</v>
      </c>
      <c r="G202" s="198">
        <v>89.47</v>
      </c>
      <c r="H202" s="198">
        <v>95</v>
      </c>
      <c r="I202" s="210">
        <f t="shared" si="21"/>
        <v>1.0618084274058344</v>
      </c>
      <c r="J202" s="198">
        <v>0</v>
      </c>
      <c r="K202" s="210">
        <f t="shared" si="22"/>
        <v>0</v>
      </c>
      <c r="L202" s="199">
        <v>250.1</v>
      </c>
      <c r="M202" s="211">
        <f t="shared" si="23"/>
        <v>1.0618084274058344</v>
      </c>
      <c r="N202" s="199">
        <v>1383.0530000000003</v>
      </c>
      <c r="O202" s="198">
        <v>3.36</v>
      </c>
      <c r="P202" s="200">
        <v>3.7554487537722142E-2</v>
      </c>
      <c r="Q202" s="198">
        <v>2.1700000000000013</v>
      </c>
      <c r="R202" s="200">
        <v>2.425393986811223E-2</v>
      </c>
      <c r="S202" s="199">
        <v>542.71700000000033</v>
      </c>
      <c r="T202" s="198" t="s">
        <v>251</v>
      </c>
      <c r="U202" s="198" t="s">
        <v>252</v>
      </c>
      <c r="V202" s="198" t="s">
        <v>299</v>
      </c>
      <c r="W202" s="205">
        <v>1</v>
      </c>
      <c r="X202" s="198" t="s">
        <v>118</v>
      </c>
    </row>
    <row r="203" spans="2:24">
      <c r="B203" s="474"/>
      <c r="C203" s="474"/>
      <c r="D203" s="209">
        <v>97</v>
      </c>
      <c r="E203" s="198" t="s">
        <v>229</v>
      </c>
      <c r="F203" s="199">
        <v>425.21999999999997</v>
      </c>
      <c r="G203" s="198">
        <v>152.76</v>
      </c>
      <c r="H203" s="198">
        <v>160.077</v>
      </c>
      <c r="I203" s="210">
        <f t="shared" si="21"/>
        <v>1.0478986645718775</v>
      </c>
      <c r="J203" s="198">
        <v>0</v>
      </c>
      <c r="K203" s="210">
        <f t="shared" si="22"/>
        <v>0</v>
      </c>
      <c r="L203" s="199">
        <v>335.3</v>
      </c>
      <c r="M203" s="211">
        <f t="shared" si="23"/>
        <v>1.0478986645718775</v>
      </c>
      <c r="N203" s="199">
        <v>2453.3901000000023</v>
      </c>
      <c r="O203" s="198">
        <v>1.53</v>
      </c>
      <c r="P203" s="200">
        <v>1.0015710919088767E-2</v>
      </c>
      <c r="Q203" s="198">
        <v>5.787000000000007</v>
      </c>
      <c r="R203" s="200">
        <v>3.7882953652788737E-2</v>
      </c>
      <c r="S203" s="199">
        <v>1940.3811000000023</v>
      </c>
      <c r="T203" s="198" t="s">
        <v>230</v>
      </c>
      <c r="U203" s="198" t="s">
        <v>181</v>
      </c>
      <c r="V203" s="198" t="s">
        <v>276</v>
      </c>
      <c r="W203" s="205">
        <v>1</v>
      </c>
      <c r="X203" s="198" t="s">
        <v>232</v>
      </c>
    </row>
    <row r="204" spans="2:24">
      <c r="B204" s="474"/>
      <c r="C204" s="474"/>
      <c r="D204" s="209">
        <v>98</v>
      </c>
      <c r="E204" s="198" t="s">
        <v>280</v>
      </c>
      <c r="F204" s="199">
        <v>412.41899999999998</v>
      </c>
      <c r="G204" s="198">
        <v>166.77</v>
      </c>
      <c r="H204" s="198">
        <v>166.9</v>
      </c>
      <c r="I204" s="210">
        <f t="shared" si="21"/>
        <v>1.0007795166996463</v>
      </c>
      <c r="J204" s="198">
        <v>9.9499999999999993</v>
      </c>
      <c r="K204" s="210">
        <f t="shared" si="22"/>
        <v>5.9663008934460623E-2</v>
      </c>
      <c r="L204" s="199">
        <v>111.41</v>
      </c>
      <c r="M204" s="211">
        <f t="shared" si="23"/>
        <v>1.0604425256341068</v>
      </c>
      <c r="N204" s="199">
        <v>1123.0127999999982</v>
      </c>
      <c r="O204" s="198">
        <v>3.85</v>
      </c>
      <c r="P204" s="200">
        <v>2.3085686874138034E-2</v>
      </c>
      <c r="Q204" s="198">
        <v>6.2299999999999844</v>
      </c>
      <c r="R204" s="200">
        <v>3.7356838759968723E-2</v>
      </c>
      <c r="S204" s="199">
        <v>694.08429999999828</v>
      </c>
      <c r="T204" s="198" t="s">
        <v>272</v>
      </c>
      <c r="U204" s="198" t="s">
        <v>165</v>
      </c>
      <c r="V204" s="198"/>
      <c r="W204" s="205">
        <v>1</v>
      </c>
      <c r="X204" s="198" t="s">
        <v>104</v>
      </c>
    </row>
    <row r="205" spans="2:24">
      <c r="B205" s="474"/>
      <c r="C205" s="474"/>
      <c r="D205" s="209">
        <v>99</v>
      </c>
      <c r="E205" s="198" t="s">
        <v>241</v>
      </c>
      <c r="F205" s="199">
        <v>391.16551999999996</v>
      </c>
      <c r="G205" s="198">
        <v>13.32</v>
      </c>
      <c r="H205" s="198">
        <v>13.4</v>
      </c>
      <c r="I205" s="210">
        <f t="shared" si="21"/>
        <v>1.0060060060060061</v>
      </c>
      <c r="J205" s="198">
        <v>0</v>
      </c>
      <c r="K205" s="210">
        <f t="shared" si="22"/>
        <v>0</v>
      </c>
      <c r="L205" s="199">
        <v>570</v>
      </c>
      <c r="M205" s="211">
        <f t="shared" si="23"/>
        <v>1.0060060060060061</v>
      </c>
      <c r="N205" s="199">
        <v>45.600000000000037</v>
      </c>
      <c r="O205" s="198">
        <v>0.746</v>
      </c>
      <c r="P205" s="200">
        <v>5.6006006006006005E-2</v>
      </c>
      <c r="Q205" s="198">
        <v>-0.66599999999999993</v>
      </c>
      <c r="R205" s="200">
        <v>-4.9999999999999996E-2</v>
      </c>
      <c r="S205" s="199">
        <v>-379.61999999999995</v>
      </c>
      <c r="T205" s="198" t="s">
        <v>235</v>
      </c>
      <c r="U205" s="198" t="s">
        <v>236</v>
      </c>
      <c r="V205" s="198"/>
      <c r="W205" s="205">
        <v>1</v>
      </c>
      <c r="X205" s="198" t="s">
        <v>242</v>
      </c>
    </row>
    <row r="206" spans="2:24">
      <c r="B206" s="474"/>
      <c r="C206" s="474"/>
      <c r="D206" s="209">
        <v>100</v>
      </c>
      <c r="E206" s="198" t="s">
        <v>254</v>
      </c>
      <c r="F206" s="199">
        <v>375.84654</v>
      </c>
      <c r="G206" s="198">
        <v>534.28</v>
      </c>
      <c r="H206" s="198">
        <v>538.66499999999996</v>
      </c>
      <c r="I206" s="210">
        <f t="shared" si="21"/>
        <v>1.0082073070300217</v>
      </c>
      <c r="J206" s="198">
        <v>0</v>
      </c>
      <c r="K206" s="210">
        <f t="shared" si="22"/>
        <v>0</v>
      </c>
      <c r="L206" s="199">
        <v>58.21621621621621</v>
      </c>
      <c r="M206" s="211">
        <f t="shared" si="23"/>
        <v>1.0082073070300217</v>
      </c>
      <c r="N206" s="199">
        <v>255.27810810810755</v>
      </c>
      <c r="O206" s="198">
        <v>5.6769999999999996</v>
      </c>
      <c r="P206" s="200">
        <v>1.0625514711387287E-2</v>
      </c>
      <c r="Q206" s="198">
        <v>-1.2920000000000087</v>
      </c>
      <c r="R206" s="200">
        <v>-2.4182076813655923E-3</v>
      </c>
      <c r="S206" s="199">
        <v>-75.215351351351856</v>
      </c>
      <c r="T206" s="198" t="s">
        <v>235</v>
      </c>
      <c r="U206" s="198" t="s">
        <v>236</v>
      </c>
      <c r="V206" s="198"/>
      <c r="W206" s="205">
        <v>1</v>
      </c>
      <c r="X206" s="198" t="s">
        <v>110</v>
      </c>
    </row>
    <row r="207" spans="2:24">
      <c r="B207" s="473">
        <v>45921</v>
      </c>
      <c r="C207" s="475" t="s">
        <v>52</v>
      </c>
      <c r="D207" s="209">
        <v>101</v>
      </c>
      <c r="E207" s="198" t="s">
        <v>296</v>
      </c>
      <c r="F207" s="199">
        <v>3397.1082999999999</v>
      </c>
      <c r="G207" s="198">
        <v>92.046000000000006</v>
      </c>
      <c r="H207" s="198">
        <v>98.608999999999995</v>
      </c>
      <c r="I207" s="210">
        <f t="shared" si="21"/>
        <v>1.0713013058688046</v>
      </c>
      <c r="J207" s="198">
        <v>0</v>
      </c>
      <c r="K207" s="210">
        <f t="shared" si="22"/>
        <v>0</v>
      </c>
      <c r="L207" s="199">
        <v>250.1</v>
      </c>
      <c r="M207" s="211">
        <f t="shared" si="23"/>
        <v>1.0713013058688046</v>
      </c>
      <c r="N207" s="199">
        <v>1641.4062999999969</v>
      </c>
      <c r="O207" s="198">
        <v>13.583</v>
      </c>
      <c r="P207" s="200">
        <v>0.14756752058753231</v>
      </c>
      <c r="Q207" s="198">
        <v>-7.020000000000012</v>
      </c>
      <c r="R207" s="200">
        <v>-7.6266214718727715E-2</v>
      </c>
      <c r="S207" s="199">
        <v>-1755.702000000003</v>
      </c>
      <c r="T207" s="198" t="s">
        <v>235</v>
      </c>
      <c r="U207" s="198" t="s">
        <v>236</v>
      </c>
      <c r="V207" s="198" t="s">
        <v>298</v>
      </c>
      <c r="W207" s="205">
        <v>1</v>
      </c>
      <c r="X207" s="198" t="s">
        <v>118</v>
      </c>
    </row>
    <row r="208" spans="2:24">
      <c r="B208" s="474"/>
      <c r="C208" s="474"/>
      <c r="D208" s="209">
        <v>102</v>
      </c>
      <c r="E208" s="198" t="s">
        <v>259</v>
      </c>
      <c r="F208" s="199">
        <v>2187.6403999999998</v>
      </c>
      <c r="G208" s="198">
        <v>126.39</v>
      </c>
      <c r="H208" s="198">
        <v>140.19999999999999</v>
      </c>
      <c r="I208" s="210">
        <f t="shared" si="21"/>
        <v>1.1092649734947384</v>
      </c>
      <c r="J208" s="198">
        <v>0</v>
      </c>
      <c r="K208" s="210">
        <f t="shared" si="22"/>
        <v>0</v>
      </c>
      <c r="L208" s="199">
        <v>216.17</v>
      </c>
      <c r="M208" s="211">
        <f t="shared" si="23"/>
        <v>1.1092649734947384</v>
      </c>
      <c r="N208" s="199">
        <v>2985.3076999999971</v>
      </c>
      <c r="O208" s="198">
        <v>10.119999999999999</v>
      </c>
      <c r="P208" s="200">
        <v>8.006962576153176E-2</v>
      </c>
      <c r="Q208" s="198">
        <v>3.6899999999999888</v>
      </c>
      <c r="R208" s="200">
        <v>2.9195347733206652E-2</v>
      </c>
      <c r="S208" s="199">
        <v>797.66729999999757</v>
      </c>
      <c r="T208" s="198" t="s">
        <v>251</v>
      </c>
      <c r="U208" s="198" t="s">
        <v>252</v>
      </c>
      <c r="V208" s="198" t="s">
        <v>299</v>
      </c>
      <c r="W208" s="205">
        <v>1</v>
      </c>
      <c r="X208" s="198" t="s">
        <v>115</v>
      </c>
    </row>
    <row r="209" spans="2:24">
      <c r="B209" s="474"/>
      <c r="C209" s="474"/>
      <c r="D209" s="209">
        <v>103</v>
      </c>
      <c r="E209" s="198" t="s">
        <v>302</v>
      </c>
      <c r="F209" s="199">
        <v>1144.5419999999999</v>
      </c>
      <c r="G209" s="198">
        <v>52.784999999999997</v>
      </c>
      <c r="H209" s="198">
        <v>92.25</v>
      </c>
      <c r="I209" s="210">
        <f t="shared" si="21"/>
        <v>1.7476555839727197</v>
      </c>
      <c r="J209" s="198">
        <v>0</v>
      </c>
      <c r="K209" s="210">
        <f t="shared" si="22"/>
        <v>0</v>
      </c>
      <c r="L209" s="199">
        <v>155.72</v>
      </c>
      <c r="M209" s="211">
        <f t="shared" si="23"/>
        <v>1.7476555839727197</v>
      </c>
      <c r="N209" s="199">
        <v>6145.4898000000003</v>
      </c>
      <c r="O209" s="198">
        <v>7.35</v>
      </c>
      <c r="P209" s="200">
        <v>0.13924410343847685</v>
      </c>
      <c r="Q209" s="198">
        <v>32.115000000000002</v>
      </c>
      <c r="R209" s="200">
        <v>0.60841148053424277</v>
      </c>
      <c r="S209" s="199">
        <v>5000.9477999999999</v>
      </c>
      <c r="T209" s="198" t="s">
        <v>251</v>
      </c>
      <c r="U209" s="198" t="s">
        <v>252</v>
      </c>
      <c r="V209" s="198" t="s">
        <v>299</v>
      </c>
      <c r="W209" s="205">
        <v>1</v>
      </c>
      <c r="X209" s="198" t="s">
        <v>114</v>
      </c>
    </row>
    <row r="210" spans="2:24">
      <c r="B210" s="474"/>
      <c r="C210" s="474"/>
      <c r="D210" s="209">
        <v>104</v>
      </c>
      <c r="E210" s="198" t="s">
        <v>286</v>
      </c>
      <c r="F210" s="199">
        <v>681.57047999999998</v>
      </c>
      <c r="G210" s="198">
        <v>929.72</v>
      </c>
      <c r="H210" s="198">
        <v>938.57399999999996</v>
      </c>
      <c r="I210" s="210">
        <f t="shared" si="21"/>
        <v>1.0095232973368324</v>
      </c>
      <c r="J210" s="198">
        <v>0</v>
      </c>
      <c r="K210" s="210">
        <f t="shared" si="22"/>
        <v>0</v>
      </c>
      <c r="L210" s="199">
        <v>47.89</v>
      </c>
      <c r="M210" s="211">
        <f t="shared" si="23"/>
        <v>1.0095232973368324</v>
      </c>
      <c r="N210" s="199">
        <v>424.01805999999658</v>
      </c>
      <c r="O210" s="198">
        <v>14.231999999999999</v>
      </c>
      <c r="P210" s="200">
        <v>1.5307834616873897E-2</v>
      </c>
      <c r="Q210" s="198">
        <v>-5.3780000000000712</v>
      </c>
      <c r="R210" s="200">
        <v>-5.7845372800413792E-3</v>
      </c>
      <c r="S210" s="199">
        <v>-257.55242000000339</v>
      </c>
      <c r="T210" s="198" t="s">
        <v>235</v>
      </c>
      <c r="U210" s="198" t="s">
        <v>236</v>
      </c>
      <c r="V210" s="198"/>
      <c r="W210" s="205">
        <v>1</v>
      </c>
      <c r="X210" s="198" t="s">
        <v>106</v>
      </c>
    </row>
    <row r="211" spans="2:24">
      <c r="B211" s="474"/>
      <c r="C211" s="474"/>
      <c r="D211" s="209">
        <v>105</v>
      </c>
      <c r="E211" s="198" t="s">
        <v>237</v>
      </c>
      <c r="F211" s="199">
        <v>466.84470000000005</v>
      </c>
      <c r="G211" s="198">
        <v>118.923</v>
      </c>
      <c r="H211" s="198">
        <v>119.598</v>
      </c>
      <c r="I211" s="210">
        <f t="shared" si="21"/>
        <v>1.0056759415756413</v>
      </c>
      <c r="J211" s="198">
        <v>0</v>
      </c>
      <c r="K211" s="210">
        <f t="shared" si="22"/>
        <v>0</v>
      </c>
      <c r="L211" s="199">
        <v>356.37</v>
      </c>
      <c r="M211" s="211">
        <f t="shared" si="23"/>
        <v>1.0056759415756413</v>
      </c>
      <c r="N211" s="199">
        <v>240.54974999999899</v>
      </c>
      <c r="O211" s="198">
        <v>1.31</v>
      </c>
      <c r="P211" s="200">
        <v>1.1015531057911422E-2</v>
      </c>
      <c r="Q211" s="198">
        <v>-0.6350000000000029</v>
      </c>
      <c r="R211" s="200">
        <v>-5.3395894822700646E-3</v>
      </c>
      <c r="S211" s="199">
        <v>-226.29495000000102</v>
      </c>
      <c r="T211" s="198" t="s">
        <v>235</v>
      </c>
      <c r="U211" s="198" t="s">
        <v>236</v>
      </c>
      <c r="V211" s="198"/>
      <c r="W211" s="205">
        <v>1</v>
      </c>
      <c r="X211" s="198" t="s">
        <v>104</v>
      </c>
    </row>
    <row r="212" spans="2:24" ht="16.5">
      <c r="B212" s="474"/>
      <c r="C212" s="474"/>
      <c r="D212" s="209">
        <v>106</v>
      </c>
      <c r="E212" s="198" t="s">
        <v>241</v>
      </c>
      <c r="F212" s="199">
        <v>420.38486999999998</v>
      </c>
      <c r="G212" s="198">
        <v>65.88</v>
      </c>
      <c r="H212" s="198">
        <v>65.997</v>
      </c>
      <c r="I212" s="210">
        <f t="shared" si="21"/>
        <v>1.0017759562841531</v>
      </c>
      <c r="J212" s="198">
        <v>0</v>
      </c>
      <c r="K212" s="210">
        <f t="shared" si="22"/>
        <v>0</v>
      </c>
      <c r="L212" s="199">
        <v>536.89</v>
      </c>
      <c r="M212" s="211">
        <f t="shared" si="23"/>
        <v>1.0017759562841531</v>
      </c>
      <c r="N212" s="199">
        <v>62.816130000002381</v>
      </c>
      <c r="O212" s="198">
        <v>0.78300000000000003</v>
      </c>
      <c r="P212" s="200">
        <v>1.1885245901639346E-2</v>
      </c>
      <c r="Q212" s="198">
        <v>-0.6659999999999956</v>
      </c>
      <c r="R212" s="200">
        <v>-1.0109289617486273E-2</v>
      </c>
      <c r="S212" s="199">
        <v>-357.5687399999976</v>
      </c>
      <c r="T212" s="198" t="s">
        <v>235</v>
      </c>
      <c r="U212" s="198" t="s">
        <v>236</v>
      </c>
      <c r="V212" s="231"/>
      <c r="W212" s="205">
        <v>1</v>
      </c>
      <c r="X212" s="198" t="s">
        <v>105</v>
      </c>
    </row>
    <row r="213" spans="2:24">
      <c r="B213" s="474"/>
      <c r="C213" s="474"/>
      <c r="D213" s="209">
        <v>107</v>
      </c>
      <c r="E213" s="198" t="s">
        <v>160</v>
      </c>
      <c r="F213" s="199">
        <v>405.88259999999997</v>
      </c>
      <c r="G213" s="198">
        <v>147.91</v>
      </c>
      <c r="H213" s="198">
        <v>148.61199999999999</v>
      </c>
      <c r="I213" s="210">
        <f t="shared" si="21"/>
        <v>1.0047461294030153</v>
      </c>
      <c r="J213" s="198">
        <v>0</v>
      </c>
      <c r="K213" s="210">
        <f t="shared" si="22"/>
        <v>0</v>
      </c>
      <c r="L213" s="199">
        <v>575.72</v>
      </c>
      <c r="M213" s="211">
        <f t="shared" si="23"/>
        <v>1.0047461294030153</v>
      </c>
      <c r="N213" s="199">
        <v>404.15543999999898</v>
      </c>
      <c r="O213" s="198">
        <v>0.70499999999999996</v>
      </c>
      <c r="P213" s="200">
        <v>4.7664120073017376E-3</v>
      </c>
      <c r="Q213" s="198">
        <v>-3.000000000001779E-3</v>
      </c>
      <c r="R213" s="200">
        <v>-2.0282604286402401E-5</v>
      </c>
      <c r="S213" s="199">
        <v>-1.7271600000010243</v>
      </c>
      <c r="T213" s="198" t="s">
        <v>235</v>
      </c>
      <c r="U213" s="198" t="s">
        <v>236</v>
      </c>
      <c r="V213" s="198"/>
      <c r="W213" s="205">
        <v>1</v>
      </c>
      <c r="X213" s="198" t="s">
        <v>106</v>
      </c>
    </row>
    <row r="214" spans="2:24">
      <c r="B214" s="474"/>
      <c r="C214" s="474"/>
      <c r="D214" s="209">
        <v>108</v>
      </c>
      <c r="E214" s="198" t="s">
        <v>248</v>
      </c>
      <c r="F214" s="199">
        <v>372.53033999999997</v>
      </c>
      <c r="G214" s="198">
        <v>1257.08</v>
      </c>
      <c r="H214" s="198">
        <v>1276.951</v>
      </c>
      <c r="I214" s="210">
        <f t="shared" si="21"/>
        <v>1.0158072676361092</v>
      </c>
      <c r="J214" s="198">
        <v>0</v>
      </c>
      <c r="K214" s="210">
        <f t="shared" si="22"/>
        <v>0</v>
      </c>
      <c r="L214" s="199">
        <v>34.58</v>
      </c>
      <c r="M214" s="211">
        <f t="shared" si="23"/>
        <v>1.0158072676361092</v>
      </c>
      <c r="N214" s="199">
        <v>687.13918000000319</v>
      </c>
      <c r="O214" s="198">
        <v>10.773</v>
      </c>
      <c r="P214" s="200">
        <v>8.569860311197379E-3</v>
      </c>
      <c r="Q214" s="198">
        <v>9.0980000000000949</v>
      </c>
      <c r="R214" s="200">
        <v>7.2374073249117758E-3</v>
      </c>
      <c r="S214" s="199">
        <v>314.60884000000328</v>
      </c>
      <c r="T214" s="198" t="s">
        <v>235</v>
      </c>
      <c r="U214" s="198" t="s">
        <v>236</v>
      </c>
      <c r="V214" s="198"/>
      <c r="W214" s="205">
        <v>1</v>
      </c>
      <c r="X214" s="198" t="s">
        <v>244</v>
      </c>
    </row>
    <row r="215" spans="2:24">
      <c r="B215" s="474"/>
      <c r="C215" s="474"/>
      <c r="D215" s="209">
        <v>109</v>
      </c>
      <c r="E215" s="198" t="s">
        <v>248</v>
      </c>
      <c r="F215" s="199">
        <v>335.80637999999999</v>
      </c>
      <c r="G215" s="198">
        <v>1299.54</v>
      </c>
      <c r="H215" s="198">
        <v>1315.9190000000001</v>
      </c>
      <c r="I215" s="210">
        <f t="shared" si="21"/>
        <v>1.0126036905366516</v>
      </c>
      <c r="J215" s="198">
        <v>0</v>
      </c>
      <c r="K215" s="210">
        <f t="shared" si="22"/>
        <v>0</v>
      </c>
      <c r="L215" s="199">
        <v>34.58</v>
      </c>
      <c r="M215" s="211">
        <f t="shared" si="23"/>
        <v>1.0126036905366516</v>
      </c>
      <c r="N215" s="199">
        <v>566.38582000000451</v>
      </c>
      <c r="O215" s="198">
        <v>9.7110000000000003</v>
      </c>
      <c r="P215" s="200">
        <v>7.4726441663973409E-3</v>
      </c>
      <c r="Q215" s="198">
        <v>6.6680000000001325</v>
      </c>
      <c r="R215" s="200">
        <v>5.1310463702541921E-3</v>
      </c>
      <c r="S215" s="199">
        <v>230.57944000000458</v>
      </c>
      <c r="T215" s="198" t="s">
        <v>235</v>
      </c>
      <c r="U215" s="198" t="s">
        <v>236</v>
      </c>
      <c r="V215" s="198"/>
      <c r="W215" s="205">
        <v>1</v>
      </c>
      <c r="X215" s="198" t="s">
        <v>103</v>
      </c>
    </row>
    <row r="216" spans="2:24">
      <c r="B216" s="474"/>
      <c r="C216" s="474"/>
      <c r="D216" s="209">
        <v>110</v>
      </c>
      <c r="E216" s="198" t="s">
        <v>229</v>
      </c>
      <c r="F216" s="199">
        <v>327.92340000000002</v>
      </c>
      <c r="G216" s="198">
        <v>200.16</v>
      </c>
      <c r="H216" s="198">
        <v>210.053</v>
      </c>
      <c r="I216" s="210">
        <f t="shared" si="21"/>
        <v>1.0494254596322943</v>
      </c>
      <c r="J216" s="198">
        <v>0</v>
      </c>
      <c r="K216" s="210">
        <f t="shared" si="22"/>
        <v>0</v>
      </c>
      <c r="L216" s="199">
        <v>335.3</v>
      </c>
      <c r="M216" s="211">
        <f t="shared" si="23"/>
        <v>1.0494254596322943</v>
      </c>
      <c r="N216" s="199">
        <v>3317.1229000000003</v>
      </c>
      <c r="O216" s="198">
        <v>0.97799999999999998</v>
      </c>
      <c r="P216" s="200">
        <v>4.886091127098321E-3</v>
      </c>
      <c r="Q216" s="198">
        <v>8.9150000000000009</v>
      </c>
      <c r="R216" s="200">
        <v>4.4539368505195846E-2</v>
      </c>
      <c r="S216" s="199">
        <v>2989.1995000000006</v>
      </c>
      <c r="T216" s="198" t="s">
        <v>230</v>
      </c>
      <c r="U216" s="198" t="s">
        <v>181</v>
      </c>
      <c r="V216" s="198" t="s">
        <v>276</v>
      </c>
      <c r="W216" s="205">
        <v>1</v>
      </c>
      <c r="X216" s="198" t="s">
        <v>232</v>
      </c>
    </row>
    <row r="217" spans="2:24">
      <c r="B217" s="473">
        <v>45922</v>
      </c>
      <c r="C217" s="475" t="s">
        <v>56</v>
      </c>
      <c r="D217" s="209">
        <v>111</v>
      </c>
      <c r="E217" s="198" t="s">
        <v>259</v>
      </c>
      <c r="F217" s="199">
        <v>10183.768699999999</v>
      </c>
      <c r="G217" s="198">
        <v>118.36</v>
      </c>
      <c r="H217" s="198">
        <v>165.05</v>
      </c>
      <c r="I217" s="210">
        <f t="shared" si="21"/>
        <v>1.3944744846231836</v>
      </c>
      <c r="J217" s="198">
        <v>0</v>
      </c>
      <c r="K217" s="210">
        <f t="shared" si="22"/>
        <v>0</v>
      </c>
      <c r="L217" s="199">
        <v>216.17</v>
      </c>
      <c r="M217" s="211">
        <f t="shared" si="23"/>
        <v>1.3944744846231836</v>
      </c>
      <c r="N217" s="199">
        <v>10092.977300000002</v>
      </c>
      <c r="O217" s="198">
        <v>47.11</v>
      </c>
      <c r="P217" s="200">
        <v>0.39802298073673537</v>
      </c>
      <c r="Q217" s="198">
        <v>-0.41999999999998749</v>
      </c>
      <c r="R217" s="200">
        <v>-3.5484961135517699E-3</v>
      </c>
      <c r="S217" s="199">
        <v>-90.791399999997296</v>
      </c>
      <c r="T217" s="198" t="s">
        <v>251</v>
      </c>
      <c r="U217" s="198" t="s">
        <v>252</v>
      </c>
      <c r="V217" s="198" t="s">
        <v>299</v>
      </c>
      <c r="W217" s="205">
        <v>1</v>
      </c>
      <c r="X217" s="198" t="s">
        <v>115</v>
      </c>
    </row>
    <row r="218" spans="2:24">
      <c r="B218" s="474"/>
      <c r="C218" s="474"/>
      <c r="D218" s="209">
        <v>112</v>
      </c>
      <c r="E218" s="198" t="s">
        <v>292</v>
      </c>
      <c r="F218" s="199">
        <v>4922.4239999999991</v>
      </c>
      <c r="G218" s="198">
        <v>148.88999999999999</v>
      </c>
      <c r="H218" s="198">
        <v>195.8</v>
      </c>
      <c r="I218" s="210">
        <f t="shared" si="21"/>
        <v>1.3150648129491573</v>
      </c>
      <c r="J218" s="198">
        <v>0</v>
      </c>
      <c r="K218" s="210">
        <f t="shared" si="22"/>
        <v>0</v>
      </c>
      <c r="L218" s="199">
        <v>105.17999999999999</v>
      </c>
      <c r="M218" s="211">
        <f t="shared" si="23"/>
        <v>1.3150648129491573</v>
      </c>
      <c r="N218" s="199">
        <v>4933.993800000002</v>
      </c>
      <c r="O218" s="198">
        <v>46.8</v>
      </c>
      <c r="P218" s="200">
        <v>0.31432601249244407</v>
      </c>
      <c r="Q218" s="198">
        <v>0.11000000000002785</v>
      </c>
      <c r="R218" s="200">
        <v>7.3880045671319674E-4</v>
      </c>
      <c r="S218" s="199">
        <v>11.569800000002928</v>
      </c>
      <c r="T218" s="198" t="s">
        <v>251</v>
      </c>
      <c r="U218" s="198" t="s">
        <v>252</v>
      </c>
      <c r="V218" s="198" t="s">
        <v>299</v>
      </c>
      <c r="W218" s="205">
        <v>1</v>
      </c>
      <c r="X218" s="198" t="s">
        <v>117</v>
      </c>
    </row>
    <row r="219" spans="2:24">
      <c r="B219" s="474"/>
      <c r="C219" s="474"/>
      <c r="D219" s="209">
        <v>113</v>
      </c>
      <c r="E219" s="198" t="s">
        <v>296</v>
      </c>
      <c r="F219" s="199">
        <v>2213.3849999999998</v>
      </c>
      <c r="G219" s="198">
        <v>91.402000000000001</v>
      </c>
      <c r="H219" s="198">
        <v>101.5</v>
      </c>
      <c r="I219" s="210">
        <f t="shared" si="21"/>
        <v>1.110478982954421</v>
      </c>
      <c r="J219" s="198">
        <v>0</v>
      </c>
      <c r="K219" s="210">
        <f t="shared" si="22"/>
        <v>0</v>
      </c>
      <c r="L219" s="199">
        <v>250.1</v>
      </c>
      <c r="M219" s="211">
        <f t="shared" si="23"/>
        <v>1.110478982954421</v>
      </c>
      <c r="N219" s="199">
        <v>2525.5097999999998</v>
      </c>
      <c r="O219" s="198">
        <v>8.85</v>
      </c>
      <c r="P219" s="200">
        <v>9.6825014769917506E-2</v>
      </c>
      <c r="Q219" s="198">
        <v>1.2479999999999993</v>
      </c>
      <c r="R219" s="200">
        <v>1.3653968184503614E-2</v>
      </c>
      <c r="S219" s="199">
        <v>312.12479999999982</v>
      </c>
      <c r="T219" s="198" t="s">
        <v>251</v>
      </c>
      <c r="U219" s="198" t="s">
        <v>252</v>
      </c>
      <c r="V219" s="198" t="s">
        <v>299</v>
      </c>
      <c r="W219" s="205">
        <v>1</v>
      </c>
      <c r="X219" s="198" t="s">
        <v>118</v>
      </c>
    </row>
    <row r="220" spans="2:24">
      <c r="B220" s="474"/>
      <c r="C220" s="474"/>
      <c r="D220" s="209">
        <v>114</v>
      </c>
      <c r="E220" s="198" t="s">
        <v>239</v>
      </c>
      <c r="F220" s="199">
        <v>1881.5580000000002</v>
      </c>
      <c r="G220" s="198">
        <v>169.95</v>
      </c>
      <c r="H220" s="198">
        <v>194</v>
      </c>
      <c r="I220" s="210">
        <f t="shared" si="21"/>
        <v>1.1415122094733745</v>
      </c>
      <c r="J220" s="198">
        <v>0</v>
      </c>
      <c r="K220" s="210">
        <f t="shared" si="22"/>
        <v>0</v>
      </c>
      <c r="L220" s="199">
        <v>115.08</v>
      </c>
      <c r="M220" s="211">
        <f t="shared" si="23"/>
        <v>1.1415122094733745</v>
      </c>
      <c r="N220" s="199">
        <v>2767.6740000000013</v>
      </c>
      <c r="O220" s="198">
        <v>16.350000000000001</v>
      </c>
      <c r="P220" s="200">
        <v>9.6204766107678738E-2</v>
      </c>
      <c r="Q220" s="198">
        <v>7.7000000000000099</v>
      </c>
      <c r="R220" s="200">
        <v>4.5307443365695851E-2</v>
      </c>
      <c r="S220" s="199">
        <v>886.11600000000112</v>
      </c>
      <c r="T220" s="198" t="s">
        <v>251</v>
      </c>
      <c r="U220" s="198" t="s">
        <v>252</v>
      </c>
      <c r="V220" s="198" t="s">
        <v>299</v>
      </c>
      <c r="W220" s="205">
        <v>1</v>
      </c>
      <c r="X220" s="198" t="s">
        <v>116</v>
      </c>
    </row>
    <row r="221" spans="2:24">
      <c r="B221" s="474"/>
      <c r="C221" s="474"/>
      <c r="D221" s="209">
        <v>115</v>
      </c>
      <c r="E221" s="198" t="s">
        <v>229</v>
      </c>
      <c r="F221" s="199">
        <v>1359.9768000000001</v>
      </c>
      <c r="G221" s="198">
        <v>195</v>
      </c>
      <c r="H221" s="198">
        <v>200.74199999999999</v>
      </c>
      <c r="I221" s="210">
        <f t="shared" si="21"/>
        <v>1.0294461538461539</v>
      </c>
      <c r="J221" s="198">
        <v>0</v>
      </c>
      <c r="K221" s="210">
        <f t="shared" si="22"/>
        <v>0</v>
      </c>
      <c r="L221" s="199">
        <v>335.3</v>
      </c>
      <c r="M221" s="211">
        <f t="shared" si="23"/>
        <v>1.0294461538461539</v>
      </c>
      <c r="N221" s="199">
        <v>1925.2925999999968</v>
      </c>
      <c r="O221" s="198">
        <v>4.056</v>
      </c>
      <c r="P221" s="200">
        <v>2.0799999999999999E-2</v>
      </c>
      <c r="Q221" s="198">
        <v>1.6859999999999902</v>
      </c>
      <c r="R221" s="200">
        <v>8.6461538461537965E-3</v>
      </c>
      <c r="S221" s="199">
        <v>565.31579999999667</v>
      </c>
      <c r="T221" s="198" t="s">
        <v>230</v>
      </c>
      <c r="U221" s="198" t="s">
        <v>181</v>
      </c>
      <c r="V221" s="198" t="s">
        <v>276</v>
      </c>
      <c r="W221" s="205">
        <v>1</v>
      </c>
      <c r="X221" s="198" t="s">
        <v>232</v>
      </c>
    </row>
    <row r="222" spans="2:24">
      <c r="B222" s="474"/>
      <c r="C222" s="474"/>
      <c r="D222" s="209">
        <v>116</v>
      </c>
      <c r="E222" s="198" t="s">
        <v>256</v>
      </c>
      <c r="F222" s="199">
        <v>1352.7</v>
      </c>
      <c r="G222" s="198">
        <v>124.35</v>
      </c>
      <c r="H222" s="198">
        <v>140.9</v>
      </c>
      <c r="I222" s="210">
        <f t="shared" si="21"/>
        <v>1.1330920788098111</v>
      </c>
      <c r="J222" s="198">
        <v>0</v>
      </c>
      <c r="K222" s="210">
        <f t="shared" si="22"/>
        <v>0</v>
      </c>
      <c r="L222" s="199">
        <v>81</v>
      </c>
      <c r="M222" s="211">
        <f t="shared" si="23"/>
        <v>1.1330920788098111</v>
      </c>
      <c r="N222" s="199">
        <v>1340.5500000000009</v>
      </c>
      <c r="O222" s="198">
        <v>16.7</v>
      </c>
      <c r="P222" s="200">
        <v>0.13429835142742261</v>
      </c>
      <c r="Q222" s="198">
        <v>-0.14999999999998792</v>
      </c>
      <c r="R222" s="200">
        <v>-1.2062726176114832E-3</v>
      </c>
      <c r="S222" s="199">
        <v>-12.149999999999022</v>
      </c>
      <c r="T222" s="198" t="s">
        <v>251</v>
      </c>
      <c r="U222" s="198" t="s">
        <v>252</v>
      </c>
      <c r="V222" s="198" t="s">
        <v>299</v>
      </c>
      <c r="W222" s="205">
        <v>1</v>
      </c>
      <c r="X222" s="198" t="s">
        <v>242</v>
      </c>
    </row>
    <row r="223" spans="2:24">
      <c r="B223" s="474"/>
      <c r="C223" s="474"/>
      <c r="D223" s="209">
        <v>117</v>
      </c>
      <c r="E223" s="198" t="s">
        <v>295</v>
      </c>
      <c r="F223" s="199">
        <v>1011.205</v>
      </c>
      <c r="G223" s="198">
        <v>63.81</v>
      </c>
      <c r="H223" s="198">
        <v>70.3</v>
      </c>
      <c r="I223" s="210">
        <f t="shared" si="21"/>
        <v>1.1017081962074908</v>
      </c>
      <c r="J223" s="198">
        <v>0</v>
      </c>
      <c r="K223" s="210">
        <f t="shared" si="22"/>
        <v>0</v>
      </c>
      <c r="L223" s="199">
        <v>215.15</v>
      </c>
      <c r="M223" s="211">
        <f t="shared" si="23"/>
        <v>1.1017081962074908</v>
      </c>
      <c r="N223" s="199">
        <v>1396.3234999999988</v>
      </c>
      <c r="O223" s="198">
        <v>4.7</v>
      </c>
      <c r="P223" s="200">
        <v>7.3656166745024287E-2</v>
      </c>
      <c r="Q223" s="198">
        <v>1.7899999999999947</v>
      </c>
      <c r="R223" s="200">
        <v>2.8052029462466613E-2</v>
      </c>
      <c r="S223" s="199">
        <v>385.11849999999885</v>
      </c>
      <c r="T223" s="198" t="s">
        <v>251</v>
      </c>
      <c r="U223" s="198" t="s">
        <v>252</v>
      </c>
      <c r="V223" s="198" t="s">
        <v>299</v>
      </c>
      <c r="W223" s="205">
        <v>1</v>
      </c>
      <c r="X223" s="198" t="s">
        <v>117</v>
      </c>
    </row>
    <row r="224" spans="2:24">
      <c r="B224" s="474"/>
      <c r="C224" s="474"/>
      <c r="D224" s="209">
        <v>118</v>
      </c>
      <c r="E224" s="198" t="s">
        <v>303</v>
      </c>
      <c r="F224" s="199">
        <v>915.25049999999987</v>
      </c>
      <c r="G224" s="198">
        <v>79.165999999999997</v>
      </c>
      <c r="H224" s="198">
        <v>103.2</v>
      </c>
      <c r="I224" s="210">
        <f t="shared" si="21"/>
        <v>1.3035899249677894</v>
      </c>
      <c r="J224" s="198">
        <v>0</v>
      </c>
      <c r="K224" s="210">
        <f t="shared" si="22"/>
        <v>0</v>
      </c>
      <c r="L224" s="199">
        <v>54.97</v>
      </c>
      <c r="M224" s="211">
        <f t="shared" si="23"/>
        <v>1.3035899249677894</v>
      </c>
      <c r="N224" s="199">
        <v>1321.1489800000004</v>
      </c>
      <c r="O224" s="198">
        <v>16.649999999999999</v>
      </c>
      <c r="P224" s="200">
        <v>0.21031756056893108</v>
      </c>
      <c r="Q224" s="198">
        <v>7.3840000000000074</v>
      </c>
      <c r="R224" s="200">
        <v>9.3272364398858193E-2</v>
      </c>
      <c r="S224" s="199">
        <v>405.8984800000004</v>
      </c>
      <c r="T224" s="198" t="s">
        <v>251</v>
      </c>
      <c r="U224" s="198" t="s">
        <v>252</v>
      </c>
      <c r="V224" s="198" t="s">
        <v>299</v>
      </c>
      <c r="W224" s="205">
        <v>1</v>
      </c>
      <c r="X224" s="198" t="s">
        <v>124</v>
      </c>
    </row>
    <row r="225" spans="2:24">
      <c r="B225" s="474"/>
      <c r="C225" s="474"/>
      <c r="D225" s="209">
        <v>119</v>
      </c>
      <c r="E225" s="198" t="s">
        <v>294</v>
      </c>
      <c r="F225" s="199">
        <v>792.35699999999997</v>
      </c>
      <c r="G225" s="198">
        <v>115.246</v>
      </c>
      <c r="H225" s="198">
        <v>123.6</v>
      </c>
      <c r="I225" s="210">
        <f t="shared" si="21"/>
        <v>1.0724884160838555</v>
      </c>
      <c r="J225" s="198">
        <v>0</v>
      </c>
      <c r="K225" s="210">
        <f t="shared" si="22"/>
        <v>0</v>
      </c>
      <c r="L225" s="199">
        <v>139.01</v>
      </c>
      <c r="M225" s="211">
        <f t="shared" si="23"/>
        <v>1.0724884160838555</v>
      </c>
      <c r="N225" s="199">
        <v>1161.2895399999998</v>
      </c>
      <c r="O225" s="198">
        <v>5.7</v>
      </c>
      <c r="P225" s="200">
        <v>4.945941724658557E-2</v>
      </c>
      <c r="Q225" s="198">
        <v>2.653999999999999</v>
      </c>
      <c r="R225" s="200">
        <v>2.3028998837269832E-2</v>
      </c>
      <c r="S225" s="199">
        <v>368.93253999999985</v>
      </c>
      <c r="T225" s="198" t="s">
        <v>251</v>
      </c>
      <c r="U225" s="198" t="s">
        <v>252</v>
      </c>
      <c r="V225" s="198" t="s">
        <v>299</v>
      </c>
      <c r="W225" s="205">
        <v>1</v>
      </c>
      <c r="X225" s="198" t="s">
        <v>118</v>
      </c>
    </row>
    <row r="226" spans="2:24">
      <c r="B226" s="474"/>
      <c r="C226" s="474"/>
      <c r="D226" s="209">
        <v>120</v>
      </c>
      <c r="E226" s="198" t="s">
        <v>302</v>
      </c>
      <c r="F226" s="199">
        <v>661.81</v>
      </c>
      <c r="G226" s="198">
        <v>53.13</v>
      </c>
      <c r="H226" s="198">
        <v>60.25</v>
      </c>
      <c r="I226" s="210">
        <f t="shared" si="21"/>
        <v>1.1340109166196122</v>
      </c>
      <c r="J226" s="198">
        <v>0</v>
      </c>
      <c r="K226" s="210">
        <f t="shared" si="22"/>
        <v>0</v>
      </c>
      <c r="L226" s="199">
        <v>155.72</v>
      </c>
      <c r="M226" s="211">
        <f t="shared" si="23"/>
        <v>1.1340109166196122</v>
      </c>
      <c r="N226" s="199">
        <v>1108.7263999999996</v>
      </c>
      <c r="O226" s="198">
        <v>4.25</v>
      </c>
      <c r="P226" s="200">
        <v>7.999247129681912E-2</v>
      </c>
      <c r="Q226" s="198">
        <v>2.8699999999999974</v>
      </c>
      <c r="R226" s="200">
        <v>5.4018445322793096E-2</v>
      </c>
      <c r="S226" s="199">
        <v>446.91639999999961</v>
      </c>
      <c r="T226" s="198" t="s">
        <v>251</v>
      </c>
      <c r="U226" s="198" t="s">
        <v>252</v>
      </c>
      <c r="V226" s="198" t="s">
        <v>299</v>
      </c>
      <c r="W226" s="205">
        <v>1</v>
      </c>
      <c r="X226" s="198" t="s">
        <v>114</v>
      </c>
    </row>
    <row r="227" spans="2:24">
      <c r="B227" s="473">
        <v>45923</v>
      </c>
      <c r="C227" s="475" t="s">
        <v>57</v>
      </c>
      <c r="D227" s="209">
        <v>121</v>
      </c>
      <c r="E227" s="198" t="s">
        <v>260</v>
      </c>
      <c r="F227" s="199">
        <v>5133.2124999999996</v>
      </c>
      <c r="G227" s="198">
        <v>431.76</v>
      </c>
      <c r="H227" s="198">
        <v>470.5</v>
      </c>
      <c r="I227" s="210">
        <f t="shared" si="21"/>
        <v>1.0897257735779138</v>
      </c>
      <c r="J227" s="198">
        <v>0</v>
      </c>
      <c r="K227" s="210">
        <f t="shared" si="22"/>
        <v>0</v>
      </c>
      <c r="L227" s="199">
        <v>132.47</v>
      </c>
      <c r="M227" s="211">
        <f t="shared" si="23"/>
        <v>1.0897257735779138</v>
      </c>
      <c r="N227" s="199">
        <v>5131.8878000000013</v>
      </c>
      <c r="O227" s="198">
        <v>38.75</v>
      </c>
      <c r="P227" s="200">
        <v>8.974893459329257E-2</v>
      </c>
      <c r="Q227" s="198">
        <v>-9.9999999999909051E-3</v>
      </c>
      <c r="R227" s="200">
        <v>-2.3161015378893147E-5</v>
      </c>
      <c r="S227" s="199">
        <v>-1.3246999999987952</v>
      </c>
      <c r="T227" s="198" t="s">
        <v>251</v>
      </c>
      <c r="U227" s="198" t="s">
        <v>252</v>
      </c>
      <c r="V227" s="198" t="s">
        <v>299</v>
      </c>
      <c r="W227" s="205">
        <v>1</v>
      </c>
      <c r="X227" s="198" t="s">
        <v>103</v>
      </c>
    </row>
    <row r="228" spans="2:24">
      <c r="B228" s="474"/>
      <c r="C228" s="474"/>
      <c r="D228" s="209">
        <v>122</v>
      </c>
      <c r="E228" s="198" t="s">
        <v>259</v>
      </c>
      <c r="F228" s="199">
        <v>2150.8914999999997</v>
      </c>
      <c r="G228" s="198">
        <v>103.62</v>
      </c>
      <c r="H228" s="198">
        <v>113.2</v>
      </c>
      <c r="I228" s="210">
        <f t="shared" si="21"/>
        <v>1.0924531943640223</v>
      </c>
      <c r="J228" s="198">
        <v>0</v>
      </c>
      <c r="K228" s="210">
        <f t="shared" si="22"/>
        <v>0</v>
      </c>
      <c r="L228" s="199">
        <v>216.17</v>
      </c>
      <c r="M228" s="211">
        <f t="shared" si="23"/>
        <v>1.0924531943640223</v>
      </c>
      <c r="N228" s="199">
        <v>2070.9085999999993</v>
      </c>
      <c r="O228" s="198">
        <v>9.9499999999999993</v>
      </c>
      <c r="P228" s="200">
        <v>9.6023933603551423E-2</v>
      </c>
      <c r="Q228" s="198">
        <v>-0.37000000000000099</v>
      </c>
      <c r="R228" s="200">
        <v>-3.5707392395290579E-3</v>
      </c>
      <c r="S228" s="199">
        <v>-79.982900000000214</v>
      </c>
      <c r="T228" s="198" t="s">
        <v>251</v>
      </c>
      <c r="U228" s="198" t="s">
        <v>252</v>
      </c>
      <c r="V228" s="198" t="s">
        <v>299</v>
      </c>
      <c r="W228" s="205">
        <v>1</v>
      </c>
      <c r="X228" s="198" t="s">
        <v>115</v>
      </c>
    </row>
    <row r="229" spans="2:24">
      <c r="B229" s="474"/>
      <c r="C229" s="474"/>
      <c r="D229" s="209">
        <v>123</v>
      </c>
      <c r="E229" s="198" t="s">
        <v>239</v>
      </c>
      <c r="F229" s="199">
        <v>1990.884</v>
      </c>
      <c r="G229" s="198">
        <v>145.19999999999999</v>
      </c>
      <c r="H229" s="198">
        <v>166.3</v>
      </c>
      <c r="I229" s="210">
        <f t="shared" si="21"/>
        <v>1.1453168044077138</v>
      </c>
      <c r="J229" s="198">
        <v>0</v>
      </c>
      <c r="K229" s="210">
        <f t="shared" si="22"/>
        <v>0</v>
      </c>
      <c r="L229" s="199">
        <v>115.08</v>
      </c>
      <c r="M229" s="211">
        <f t="shared" si="23"/>
        <v>1.1453168044077138</v>
      </c>
      <c r="N229" s="199">
        <v>2428.1880000000024</v>
      </c>
      <c r="O229" s="198">
        <v>17.3</v>
      </c>
      <c r="P229" s="200">
        <v>0.11914600550964188</v>
      </c>
      <c r="Q229" s="198">
        <v>3.800000000000022</v>
      </c>
      <c r="R229" s="200">
        <v>2.6170798898071779E-2</v>
      </c>
      <c r="S229" s="199">
        <v>437.30400000000253</v>
      </c>
      <c r="T229" s="198" t="s">
        <v>251</v>
      </c>
      <c r="U229" s="198" t="s">
        <v>252</v>
      </c>
      <c r="V229" s="198" t="s">
        <v>299</v>
      </c>
      <c r="W229" s="205">
        <v>1</v>
      </c>
      <c r="X229" s="198" t="s">
        <v>116</v>
      </c>
    </row>
    <row r="230" spans="2:24">
      <c r="B230" s="474"/>
      <c r="C230" s="474"/>
      <c r="D230" s="209">
        <v>124</v>
      </c>
      <c r="E230" s="198" t="s">
        <v>234</v>
      </c>
      <c r="F230" s="199">
        <v>1290.921</v>
      </c>
      <c r="G230" s="198">
        <v>129.69</v>
      </c>
      <c r="H230" s="198">
        <v>144</v>
      </c>
      <c r="I230" s="210">
        <f t="shared" si="21"/>
        <v>1.1103400416377516</v>
      </c>
      <c r="J230" s="198">
        <v>0</v>
      </c>
      <c r="K230" s="210">
        <f t="shared" si="22"/>
        <v>0</v>
      </c>
      <c r="L230" s="199">
        <v>162.38</v>
      </c>
      <c r="M230" s="211">
        <f t="shared" si="23"/>
        <v>1.1103400416377516</v>
      </c>
      <c r="N230" s="199">
        <v>2323.6578000000004</v>
      </c>
      <c r="O230" s="198">
        <v>7.95</v>
      </c>
      <c r="P230" s="200">
        <v>6.13000231320842E-2</v>
      </c>
      <c r="Q230" s="198">
        <v>6.3600000000000021</v>
      </c>
      <c r="R230" s="200">
        <v>4.9040018505667381E-2</v>
      </c>
      <c r="S230" s="199">
        <v>1032.7368000000004</v>
      </c>
      <c r="T230" s="198" t="s">
        <v>251</v>
      </c>
      <c r="U230" s="198" t="s">
        <v>252</v>
      </c>
      <c r="V230" s="198" t="s">
        <v>299</v>
      </c>
      <c r="W230" s="205">
        <v>1</v>
      </c>
      <c r="X230" s="198" t="s">
        <v>113</v>
      </c>
    </row>
    <row r="231" spans="2:24">
      <c r="B231" s="474"/>
      <c r="C231" s="474"/>
      <c r="D231" s="209">
        <v>125</v>
      </c>
      <c r="E231" s="198" t="s">
        <v>291</v>
      </c>
      <c r="F231" s="199">
        <v>701.1</v>
      </c>
      <c r="G231" s="198">
        <v>373.2</v>
      </c>
      <c r="H231" s="198">
        <v>374.8</v>
      </c>
      <c r="I231" s="210">
        <f t="shared" si="21"/>
        <v>1.0042872454448017</v>
      </c>
      <c r="J231" s="198">
        <v>25.2</v>
      </c>
      <c r="K231" s="210">
        <f t="shared" si="22"/>
        <v>6.7524115755627015E-2</v>
      </c>
      <c r="L231" s="199">
        <v>41</v>
      </c>
      <c r="M231" s="211">
        <f t="shared" si="23"/>
        <v>1.0718113612004287</v>
      </c>
      <c r="N231" s="199">
        <v>1098.8000000000004</v>
      </c>
      <c r="O231" s="198">
        <v>17.100000000000001</v>
      </c>
      <c r="P231" s="200">
        <v>4.5819935691318335E-2</v>
      </c>
      <c r="Q231" s="198">
        <v>9.7000000000000099</v>
      </c>
      <c r="R231" s="200">
        <v>2.5991425509110423E-2</v>
      </c>
      <c r="S231" s="199">
        <v>397.70000000000039</v>
      </c>
      <c r="T231" s="198" t="s">
        <v>272</v>
      </c>
      <c r="U231" s="198" t="s">
        <v>165</v>
      </c>
      <c r="V231" s="198"/>
      <c r="W231" s="205">
        <v>1</v>
      </c>
      <c r="X231" s="198" t="s">
        <v>111</v>
      </c>
    </row>
    <row r="232" spans="2:24">
      <c r="B232" s="474"/>
      <c r="C232" s="474"/>
      <c r="D232" s="209">
        <v>126</v>
      </c>
      <c r="E232" s="198" t="s">
        <v>229</v>
      </c>
      <c r="F232" s="199">
        <v>637.40530000000001</v>
      </c>
      <c r="G232" s="198">
        <v>170.16</v>
      </c>
      <c r="H232" s="198">
        <v>179.86699999999999</v>
      </c>
      <c r="I232" s="210">
        <f t="shared" si="21"/>
        <v>1.0570463093559004</v>
      </c>
      <c r="J232" s="198">
        <v>0</v>
      </c>
      <c r="K232" s="210">
        <f t="shared" si="22"/>
        <v>0</v>
      </c>
      <c r="L232" s="199">
        <v>335.3</v>
      </c>
      <c r="M232" s="211">
        <f t="shared" si="23"/>
        <v>1.0570463093559004</v>
      </c>
      <c r="N232" s="199">
        <v>3254.757099999998</v>
      </c>
      <c r="O232" s="198">
        <v>1.901</v>
      </c>
      <c r="P232" s="200">
        <v>1.1171838269863657E-2</v>
      </c>
      <c r="Q232" s="198">
        <v>7.8059999999999938</v>
      </c>
      <c r="R232" s="200">
        <v>4.5874471086036636E-2</v>
      </c>
      <c r="S232" s="199">
        <v>2617.3517999999981</v>
      </c>
      <c r="T232" s="198" t="s">
        <v>230</v>
      </c>
      <c r="U232" s="198" t="s">
        <v>181</v>
      </c>
      <c r="V232" s="198" t="s">
        <v>276</v>
      </c>
      <c r="W232" s="205">
        <v>1</v>
      </c>
      <c r="X232" s="198" t="s">
        <v>232</v>
      </c>
    </row>
    <row r="233" spans="2:24">
      <c r="B233" s="474"/>
      <c r="C233" s="474"/>
      <c r="D233" s="209">
        <v>127</v>
      </c>
      <c r="E233" s="198" t="s">
        <v>286</v>
      </c>
      <c r="F233" s="199">
        <v>634.11149</v>
      </c>
      <c r="G233" s="198">
        <v>851.84</v>
      </c>
      <c r="H233" s="198">
        <v>863.80700000000002</v>
      </c>
      <c r="I233" s="210">
        <f t="shared" si="21"/>
        <v>1.0140484128474831</v>
      </c>
      <c r="J233" s="198">
        <v>0</v>
      </c>
      <c r="K233" s="210">
        <f t="shared" si="22"/>
        <v>0</v>
      </c>
      <c r="L233" s="199">
        <v>47.89</v>
      </c>
      <c r="M233" s="211">
        <f t="shared" si="23"/>
        <v>1.0140484128474831</v>
      </c>
      <c r="N233" s="199">
        <v>573.09962999999925</v>
      </c>
      <c r="O233" s="198">
        <v>13.241</v>
      </c>
      <c r="P233" s="200">
        <v>1.5543998873027797E-2</v>
      </c>
      <c r="Q233" s="198">
        <v>-1.2740000000000151</v>
      </c>
      <c r="R233" s="200">
        <v>-1.495586025544721E-3</v>
      </c>
      <c r="S233" s="199">
        <v>-61.011860000000723</v>
      </c>
      <c r="T233" s="198" t="s">
        <v>235</v>
      </c>
      <c r="U233" s="198" t="s">
        <v>236</v>
      </c>
      <c r="V233" s="198"/>
      <c r="W233" s="205">
        <v>1</v>
      </c>
      <c r="X233" s="198" t="s">
        <v>106</v>
      </c>
    </row>
    <row r="234" spans="2:24">
      <c r="B234" s="474"/>
      <c r="C234" s="474"/>
      <c r="D234" s="209">
        <v>128</v>
      </c>
      <c r="E234" s="198" t="s">
        <v>300</v>
      </c>
      <c r="F234" s="199">
        <v>490.22999999999996</v>
      </c>
      <c r="G234" s="198">
        <v>56.72</v>
      </c>
      <c r="H234" s="198">
        <v>60.3</v>
      </c>
      <c r="I234" s="210">
        <f t="shared" si="21"/>
        <v>1.06311706629055</v>
      </c>
      <c r="J234" s="198">
        <v>0</v>
      </c>
      <c r="K234" s="210">
        <f t="shared" si="22"/>
        <v>0</v>
      </c>
      <c r="L234" s="199">
        <v>83.8</v>
      </c>
      <c r="M234" s="211">
        <f t="shared" si="23"/>
        <v>1.06311706629055</v>
      </c>
      <c r="N234" s="199">
        <v>300.00399999999985</v>
      </c>
      <c r="O234" s="198">
        <v>5.85</v>
      </c>
      <c r="P234" s="200">
        <v>0.10313822284908321</v>
      </c>
      <c r="Q234" s="198">
        <v>-2.2700000000000014</v>
      </c>
      <c r="R234" s="200">
        <v>-4.0021156558533173E-2</v>
      </c>
      <c r="S234" s="199">
        <v>-190.22600000000011</v>
      </c>
      <c r="T234" s="198" t="s">
        <v>251</v>
      </c>
      <c r="U234" s="198" t="s">
        <v>252</v>
      </c>
      <c r="V234" s="198" t="s">
        <v>299</v>
      </c>
      <c r="W234" s="205">
        <v>1</v>
      </c>
      <c r="X234" s="198" t="s">
        <v>232</v>
      </c>
    </row>
    <row r="235" spans="2:24">
      <c r="B235" s="474"/>
      <c r="C235" s="474"/>
      <c r="D235" s="209">
        <v>129</v>
      </c>
      <c r="E235" s="198" t="s">
        <v>254</v>
      </c>
      <c r="F235" s="199">
        <v>403.67124324324323</v>
      </c>
      <c r="G235" s="198">
        <v>565.36</v>
      </c>
      <c r="H235" s="198">
        <v>573.274</v>
      </c>
      <c r="I235" s="210">
        <f t="shared" si="21"/>
        <v>1.0139981604641291</v>
      </c>
      <c r="J235" s="198">
        <v>0</v>
      </c>
      <c r="K235" s="210">
        <f t="shared" si="22"/>
        <v>0</v>
      </c>
      <c r="L235" s="199">
        <v>58.21621621621621</v>
      </c>
      <c r="M235" s="211">
        <f t="shared" si="23"/>
        <v>1.0139981604641291</v>
      </c>
      <c r="N235" s="199">
        <v>460.72313513513433</v>
      </c>
      <c r="O235" s="198">
        <v>6.9340000000000002</v>
      </c>
      <c r="P235" s="200">
        <v>1.2264751662657421E-2</v>
      </c>
      <c r="Q235" s="198">
        <v>0.9799999999999871</v>
      </c>
      <c r="R235" s="200">
        <v>1.7334088014716057E-3</v>
      </c>
      <c r="S235" s="199">
        <v>57.051891891891138</v>
      </c>
      <c r="T235" s="198" t="s">
        <v>235</v>
      </c>
      <c r="U235" s="198" t="s">
        <v>236</v>
      </c>
      <c r="V235" s="198"/>
      <c r="W235" s="205">
        <v>1</v>
      </c>
      <c r="X235" s="198" t="s">
        <v>110</v>
      </c>
    </row>
    <row r="236" spans="2:24">
      <c r="B236" s="474"/>
      <c r="C236" s="474"/>
      <c r="D236" s="209">
        <v>130</v>
      </c>
      <c r="E236" s="198" t="s">
        <v>248</v>
      </c>
      <c r="F236" s="199">
        <v>339.78307999999998</v>
      </c>
      <c r="G236" s="198">
        <v>1163.3599999999999</v>
      </c>
      <c r="H236" s="198">
        <v>1173.4929999999999</v>
      </c>
      <c r="I236" s="210">
        <f t="shared" si="21"/>
        <v>1.0087101155274378</v>
      </c>
      <c r="J236" s="198">
        <v>0</v>
      </c>
      <c r="K236" s="210">
        <f t="shared" si="22"/>
        <v>0</v>
      </c>
      <c r="L236" s="199">
        <v>34.58</v>
      </c>
      <c r="M236" s="211">
        <f t="shared" si="23"/>
        <v>1.0087101155274378</v>
      </c>
      <c r="N236" s="199">
        <v>350.3991400000013</v>
      </c>
      <c r="O236" s="198">
        <v>9.8260000000000005</v>
      </c>
      <c r="P236" s="200">
        <v>8.4462247283729891E-3</v>
      </c>
      <c r="Q236" s="198">
        <v>0.30700000000003769</v>
      </c>
      <c r="R236" s="200">
        <v>2.6389079906481033E-4</v>
      </c>
      <c r="S236" s="199">
        <v>10.616060000001303</v>
      </c>
      <c r="T236" s="198" t="s">
        <v>235</v>
      </c>
      <c r="U236" s="198" t="s">
        <v>236</v>
      </c>
      <c r="V236" s="198"/>
      <c r="W236" s="205">
        <v>1</v>
      </c>
      <c r="X236" s="198" t="s">
        <v>244</v>
      </c>
    </row>
    <row r="237" spans="2:24">
      <c r="B237" s="473">
        <v>45924</v>
      </c>
      <c r="C237" s="475" t="s">
        <v>58</v>
      </c>
      <c r="D237" s="209">
        <v>131</v>
      </c>
      <c r="E237" s="198" t="s">
        <v>260</v>
      </c>
      <c r="F237" s="199">
        <v>6491.03</v>
      </c>
      <c r="G237" s="198">
        <v>428.08</v>
      </c>
      <c r="H237" s="198">
        <v>476.35</v>
      </c>
      <c r="I237" s="210">
        <f t="shared" si="21"/>
        <v>1.1127592973276024</v>
      </c>
      <c r="J237" s="198">
        <v>0</v>
      </c>
      <c r="K237" s="210">
        <f t="shared" si="22"/>
        <v>0</v>
      </c>
      <c r="L237" s="199">
        <v>132.47</v>
      </c>
      <c r="M237" s="211">
        <f t="shared" si="23"/>
        <v>1.1127592973276024</v>
      </c>
      <c r="N237" s="199">
        <v>6394.3269000000055</v>
      </c>
      <c r="O237" s="198">
        <v>49</v>
      </c>
      <c r="P237" s="200">
        <v>0.11446458605868062</v>
      </c>
      <c r="Q237" s="198">
        <v>-0.72999999999996135</v>
      </c>
      <c r="R237" s="200">
        <v>-1.7052887310782128E-3</v>
      </c>
      <c r="S237" s="199">
        <v>-96.703099999994876</v>
      </c>
      <c r="T237" s="198" t="s">
        <v>251</v>
      </c>
      <c r="U237" s="198" t="s">
        <v>252</v>
      </c>
      <c r="V237" s="198" t="s">
        <v>299</v>
      </c>
      <c r="W237" s="205">
        <v>1</v>
      </c>
      <c r="X237" s="198" t="s">
        <v>103</v>
      </c>
    </row>
    <row r="238" spans="2:24">
      <c r="B238" s="474"/>
      <c r="C238" s="474"/>
      <c r="D238" s="209">
        <v>132</v>
      </c>
      <c r="E238" s="198" t="s">
        <v>259</v>
      </c>
      <c r="F238" s="199">
        <v>3058.8054999999999</v>
      </c>
      <c r="G238" s="198">
        <v>100.21</v>
      </c>
      <c r="H238" s="198">
        <v>121.2</v>
      </c>
      <c r="I238" s="210">
        <f t="shared" si="21"/>
        <v>1.2094601337191897</v>
      </c>
      <c r="J238" s="198">
        <v>0</v>
      </c>
      <c r="K238" s="210">
        <f t="shared" si="22"/>
        <v>0</v>
      </c>
      <c r="L238" s="199">
        <v>216.17</v>
      </c>
      <c r="M238" s="211">
        <f t="shared" si="23"/>
        <v>1.2094601337191897</v>
      </c>
      <c r="N238" s="199">
        <v>4537.4083000000019</v>
      </c>
      <c r="O238" s="198">
        <v>14.15</v>
      </c>
      <c r="P238" s="200">
        <v>0.14120347270731465</v>
      </c>
      <c r="Q238" s="198">
        <v>6.8400000000000087</v>
      </c>
      <c r="R238" s="200">
        <v>6.825666101187515E-2</v>
      </c>
      <c r="S238" s="199">
        <v>1478.6028000000017</v>
      </c>
      <c r="T238" s="198" t="s">
        <v>251</v>
      </c>
      <c r="U238" s="198" t="s">
        <v>252</v>
      </c>
      <c r="V238" s="198" t="s">
        <v>299</v>
      </c>
      <c r="W238" s="205">
        <v>1</v>
      </c>
      <c r="X238" s="198" t="s">
        <v>115</v>
      </c>
    </row>
    <row r="239" spans="2:24">
      <c r="B239" s="474"/>
      <c r="C239" s="474"/>
      <c r="D239" s="209">
        <v>133</v>
      </c>
      <c r="E239" s="198" t="s">
        <v>239</v>
      </c>
      <c r="F239" s="199">
        <v>1392.4679999999998</v>
      </c>
      <c r="G239" s="198">
        <v>148.06</v>
      </c>
      <c r="H239" s="198">
        <v>163.85</v>
      </c>
      <c r="I239" s="210">
        <f t="shared" si="21"/>
        <v>1.106645954342834</v>
      </c>
      <c r="J239" s="198">
        <v>0</v>
      </c>
      <c r="K239" s="210">
        <f t="shared" si="22"/>
        <v>0</v>
      </c>
      <c r="L239" s="199">
        <v>115.08</v>
      </c>
      <c r="M239" s="211">
        <f t="shared" si="23"/>
        <v>1.106645954342834</v>
      </c>
      <c r="N239" s="199">
        <v>1817.1131999999991</v>
      </c>
      <c r="O239" s="198">
        <v>12.1</v>
      </c>
      <c r="P239" s="200">
        <v>8.1723625557206539E-2</v>
      </c>
      <c r="Q239" s="198">
        <v>3.6899999999999924</v>
      </c>
      <c r="R239" s="200">
        <v>2.4922328785627397E-2</v>
      </c>
      <c r="S239" s="199">
        <v>424.64519999999914</v>
      </c>
      <c r="T239" s="198" t="s">
        <v>251</v>
      </c>
      <c r="U239" s="198" t="s">
        <v>252</v>
      </c>
      <c r="V239" s="198" t="s">
        <v>299</v>
      </c>
      <c r="W239" s="205">
        <v>1</v>
      </c>
      <c r="X239" s="198" t="s">
        <v>116</v>
      </c>
    </row>
    <row r="240" spans="2:24">
      <c r="B240" s="474"/>
      <c r="C240" s="474"/>
      <c r="D240" s="209">
        <v>134</v>
      </c>
      <c r="E240" s="198" t="s">
        <v>296</v>
      </c>
      <c r="F240" s="199">
        <v>1005.4019999999998</v>
      </c>
      <c r="G240" s="198">
        <v>89.102000000000004</v>
      </c>
      <c r="H240" s="198">
        <v>93.12</v>
      </c>
      <c r="I240" s="210">
        <f t="shared" si="21"/>
        <v>1.0450943862090638</v>
      </c>
      <c r="J240" s="198">
        <v>0</v>
      </c>
      <c r="K240" s="210">
        <f t="shared" si="22"/>
        <v>0</v>
      </c>
      <c r="L240" s="199">
        <v>250.1</v>
      </c>
      <c r="M240" s="211">
        <f t="shared" si="23"/>
        <v>1.0450943862090638</v>
      </c>
      <c r="N240" s="199">
        <v>1004.9018000000001</v>
      </c>
      <c r="O240" s="198">
        <v>4.0199999999999996</v>
      </c>
      <c r="P240" s="200">
        <v>4.5116832394334574E-2</v>
      </c>
      <c r="Q240" s="198">
        <v>-1.9999999999988916E-3</v>
      </c>
      <c r="R240" s="200">
        <v>-2.2446185270800785E-5</v>
      </c>
      <c r="S240" s="199">
        <v>-0.50019999999972276</v>
      </c>
      <c r="T240" s="198" t="s">
        <v>251</v>
      </c>
      <c r="U240" s="198" t="s">
        <v>252</v>
      </c>
      <c r="V240" s="198" t="s">
        <v>299</v>
      </c>
      <c r="W240" s="205">
        <v>1</v>
      </c>
      <c r="X240" s="198" t="s">
        <v>118</v>
      </c>
    </row>
    <row r="241" spans="2:24">
      <c r="B241" s="474"/>
      <c r="C241" s="474"/>
      <c r="D241" s="209">
        <v>135</v>
      </c>
      <c r="E241" s="198" t="s">
        <v>229</v>
      </c>
      <c r="F241" s="199">
        <v>680.99430000000007</v>
      </c>
      <c r="G241" s="198">
        <v>171.42</v>
      </c>
      <c r="H241" s="198">
        <v>178.40600000000001</v>
      </c>
      <c r="I241" s="210">
        <f t="shared" si="21"/>
        <v>1.0407537043518844</v>
      </c>
      <c r="J241" s="198">
        <v>0</v>
      </c>
      <c r="K241" s="210">
        <f t="shared" si="22"/>
        <v>0</v>
      </c>
      <c r="L241" s="199">
        <v>335.3</v>
      </c>
      <c r="M241" s="211">
        <f t="shared" si="23"/>
        <v>1.0407537043518844</v>
      </c>
      <c r="N241" s="199">
        <v>2342.4058000000064</v>
      </c>
      <c r="O241" s="198">
        <v>2.0310000000000001</v>
      </c>
      <c r="P241" s="200">
        <v>1.1848092404620232E-2</v>
      </c>
      <c r="Q241" s="198">
        <v>4.9550000000000178</v>
      </c>
      <c r="R241" s="200">
        <v>2.8905611947264136E-2</v>
      </c>
      <c r="S241" s="199">
        <v>1661.4115000000061</v>
      </c>
      <c r="T241" s="198" t="s">
        <v>230</v>
      </c>
      <c r="U241" s="198" t="s">
        <v>181</v>
      </c>
      <c r="V241" s="198" t="s">
        <v>276</v>
      </c>
      <c r="W241" s="205">
        <v>1</v>
      </c>
      <c r="X241" s="198" t="s">
        <v>232</v>
      </c>
    </row>
    <row r="242" spans="2:24">
      <c r="B242" s="474"/>
      <c r="C242" s="474"/>
      <c r="D242" s="209">
        <v>136</v>
      </c>
      <c r="E242" s="198" t="s">
        <v>265</v>
      </c>
      <c r="F242" s="199">
        <v>676.38220000000001</v>
      </c>
      <c r="G242" s="198">
        <v>263.56799999999998</v>
      </c>
      <c r="H242" s="198">
        <v>265.39999999999998</v>
      </c>
      <c r="I242" s="210">
        <f t="shared" si="21"/>
        <v>1.0069507679232683</v>
      </c>
      <c r="J242" s="198">
        <v>8.75</v>
      </c>
      <c r="K242" s="210">
        <f t="shared" si="22"/>
        <v>3.3198263825654099E-2</v>
      </c>
      <c r="L242" s="199">
        <v>140.62</v>
      </c>
      <c r="M242" s="211">
        <f t="shared" si="23"/>
        <v>1.0401490317489224</v>
      </c>
      <c r="N242" s="199">
        <v>1488.0408399999992</v>
      </c>
      <c r="O242" s="198">
        <v>4.8099999999999996</v>
      </c>
      <c r="P242" s="200">
        <v>1.8249559885873855E-2</v>
      </c>
      <c r="Q242" s="198">
        <v>5.771999999999994</v>
      </c>
      <c r="R242" s="200">
        <v>2.1899471863048605E-2</v>
      </c>
      <c r="S242" s="199">
        <v>811.6586399999992</v>
      </c>
      <c r="T242" s="198" t="s">
        <v>272</v>
      </c>
      <c r="U242" s="198" t="s">
        <v>165</v>
      </c>
      <c r="V242" s="198"/>
      <c r="W242" s="205">
        <v>1</v>
      </c>
      <c r="X242" s="198" t="s">
        <v>106</v>
      </c>
    </row>
    <row r="243" spans="2:24">
      <c r="B243" s="474"/>
      <c r="C243" s="474"/>
      <c r="D243" s="209">
        <v>137</v>
      </c>
      <c r="E243" s="198" t="s">
        <v>256</v>
      </c>
      <c r="F243" s="199">
        <v>562.95000000000005</v>
      </c>
      <c r="G243" s="198">
        <v>127.5</v>
      </c>
      <c r="H243" s="198">
        <v>133</v>
      </c>
      <c r="I243" s="210">
        <f t="shared" si="21"/>
        <v>1.0431372549019609</v>
      </c>
      <c r="J243" s="198">
        <v>0</v>
      </c>
      <c r="K243" s="210">
        <f t="shared" si="22"/>
        <v>0</v>
      </c>
      <c r="L243" s="199">
        <v>81</v>
      </c>
      <c r="M243" s="211">
        <f t="shared" si="23"/>
        <v>1.0431372549019609</v>
      </c>
      <c r="N243" s="199">
        <v>445.5</v>
      </c>
      <c r="O243" s="198">
        <v>6.95</v>
      </c>
      <c r="P243" s="200">
        <v>5.4509803921568629E-2</v>
      </c>
      <c r="Q243" s="198">
        <v>-1.4500000000000002</v>
      </c>
      <c r="R243" s="200">
        <v>-1.1372549019607844E-2</v>
      </c>
      <c r="S243" s="199">
        <v>-117.45000000000002</v>
      </c>
      <c r="T243" s="198" t="s">
        <v>251</v>
      </c>
      <c r="U243" s="198" t="s">
        <v>252</v>
      </c>
      <c r="V243" s="198" t="s">
        <v>299</v>
      </c>
      <c r="W243" s="205">
        <v>1</v>
      </c>
      <c r="X243" s="198" t="s">
        <v>242</v>
      </c>
    </row>
    <row r="244" spans="2:24">
      <c r="B244" s="474"/>
      <c r="C244" s="474"/>
      <c r="D244" s="209">
        <v>138</v>
      </c>
      <c r="E244" s="198" t="s">
        <v>160</v>
      </c>
      <c r="F244" s="199">
        <v>525.63236000000006</v>
      </c>
      <c r="G244" s="198">
        <v>135.66</v>
      </c>
      <c r="H244" s="198">
        <v>136</v>
      </c>
      <c r="I244" s="210">
        <f t="shared" si="21"/>
        <v>1.0025062656641603</v>
      </c>
      <c r="J244" s="198">
        <v>4.1500000000000004</v>
      </c>
      <c r="K244" s="210">
        <f t="shared" si="22"/>
        <v>3.0591183841957838E-2</v>
      </c>
      <c r="L244" s="199">
        <v>575.72</v>
      </c>
      <c r="M244" s="211">
        <f t="shared" si="23"/>
        <v>1.0330974495061183</v>
      </c>
      <c r="N244" s="199">
        <v>2584.9828000000052</v>
      </c>
      <c r="O244" s="198">
        <v>0.91300000000000003</v>
      </c>
      <c r="P244" s="200">
        <v>6.7300604452307242E-3</v>
      </c>
      <c r="Q244" s="198">
        <v>3.5770000000000088</v>
      </c>
      <c r="R244" s="200">
        <v>2.6367389060887578E-2</v>
      </c>
      <c r="S244" s="199">
        <v>2059.3504400000052</v>
      </c>
      <c r="T244" s="198" t="s">
        <v>272</v>
      </c>
      <c r="U244" s="198" t="s">
        <v>165</v>
      </c>
      <c r="V244" s="198"/>
      <c r="W244" s="205">
        <v>1</v>
      </c>
      <c r="X244" s="198" t="s">
        <v>106</v>
      </c>
    </row>
    <row r="245" spans="2:24">
      <c r="B245" s="474"/>
      <c r="C245" s="474"/>
      <c r="D245" s="209">
        <v>139</v>
      </c>
      <c r="E245" s="198" t="s">
        <v>254</v>
      </c>
      <c r="F245" s="199">
        <v>412.98583783783783</v>
      </c>
      <c r="G245" s="198">
        <v>602.73</v>
      </c>
      <c r="H245" s="198">
        <v>603.63699999999994</v>
      </c>
      <c r="I245" s="210">
        <f t="shared" ref="I245:I308" si="24">H245/G245</f>
        <v>1.0015048197368639</v>
      </c>
      <c r="J245" s="198">
        <v>0</v>
      </c>
      <c r="K245" s="210">
        <f t="shared" ref="K245:K308" si="25">J245/G245</f>
        <v>0</v>
      </c>
      <c r="L245" s="199">
        <v>58.21621621621621</v>
      </c>
      <c r="M245" s="211">
        <f t="shared" ref="M245:M308" si="26">(H245+J245)/G245</f>
        <v>1.0015048197368639</v>
      </c>
      <c r="N245" s="199">
        <v>52.802108108103759</v>
      </c>
      <c r="O245" s="198">
        <v>7.0940000000000003</v>
      </c>
      <c r="P245" s="200">
        <v>1.1769780830554312E-2</v>
      </c>
      <c r="Q245" s="198">
        <v>-6.1870000000000749</v>
      </c>
      <c r="R245" s="200">
        <v>-1.0264961093690499E-2</v>
      </c>
      <c r="S245" s="199">
        <v>-360.18372972973407</v>
      </c>
      <c r="T245" s="198" t="s">
        <v>235</v>
      </c>
      <c r="U245" s="198" t="s">
        <v>236</v>
      </c>
      <c r="V245" s="198"/>
      <c r="W245" s="205">
        <v>1</v>
      </c>
      <c r="X245" s="198" t="s">
        <v>110</v>
      </c>
    </row>
    <row r="246" spans="2:24">
      <c r="B246" s="474"/>
      <c r="C246" s="474"/>
      <c r="D246" s="209">
        <v>140</v>
      </c>
      <c r="E246" s="198" t="s">
        <v>234</v>
      </c>
      <c r="F246" s="199">
        <v>381.59300000000002</v>
      </c>
      <c r="G246" s="198">
        <v>130.22999999999999</v>
      </c>
      <c r="H246" s="198">
        <v>134.9</v>
      </c>
      <c r="I246" s="210">
        <f t="shared" si="24"/>
        <v>1.0358596329570762</v>
      </c>
      <c r="J246" s="198">
        <v>0</v>
      </c>
      <c r="K246" s="210">
        <f t="shared" si="25"/>
        <v>0</v>
      </c>
      <c r="L246" s="199">
        <v>162.38</v>
      </c>
      <c r="M246" s="211">
        <f t="shared" si="26"/>
        <v>1.0358596329570762</v>
      </c>
      <c r="N246" s="199">
        <v>758.31460000000254</v>
      </c>
      <c r="O246" s="198">
        <v>2.35</v>
      </c>
      <c r="P246" s="200">
        <v>1.8044997312447211E-2</v>
      </c>
      <c r="Q246" s="198">
        <v>2.3200000000000158</v>
      </c>
      <c r="R246" s="200">
        <v>1.7814635644628856E-2</v>
      </c>
      <c r="S246" s="199">
        <v>376.72160000000258</v>
      </c>
      <c r="T246" s="198" t="s">
        <v>251</v>
      </c>
      <c r="U246" s="198" t="s">
        <v>252</v>
      </c>
      <c r="V246" s="198" t="s">
        <v>299</v>
      </c>
      <c r="W246" s="205">
        <v>1</v>
      </c>
      <c r="X246" s="198" t="s">
        <v>113</v>
      </c>
    </row>
    <row r="247" spans="2:24">
      <c r="B247" s="473">
        <v>45925</v>
      </c>
      <c r="C247" s="475" t="s">
        <v>59</v>
      </c>
      <c r="D247" s="209">
        <v>141</v>
      </c>
      <c r="E247" s="198" t="s">
        <v>259</v>
      </c>
      <c r="F247" s="199">
        <v>3286</v>
      </c>
      <c r="G247" s="198">
        <v>91.5</v>
      </c>
      <c r="H247" s="198">
        <v>105.3</v>
      </c>
      <c r="I247" s="210">
        <f t="shared" si="24"/>
        <v>1.1508196721311474</v>
      </c>
      <c r="J247" s="198"/>
      <c r="K247" s="210">
        <f t="shared" si="25"/>
        <v>0</v>
      </c>
      <c r="L247" s="199">
        <v>216.2</v>
      </c>
      <c r="M247" s="211">
        <f t="shared" si="26"/>
        <v>1.1508196721311474</v>
      </c>
      <c r="N247" s="199">
        <v>2979</v>
      </c>
      <c r="O247" s="198">
        <v>15.2</v>
      </c>
      <c r="P247" s="200">
        <v>0.16600000000000001</v>
      </c>
      <c r="Q247" s="198">
        <v>-1.4</v>
      </c>
      <c r="R247" s="200">
        <v>-1.6E-2</v>
      </c>
      <c r="S247" s="199">
        <v>-307</v>
      </c>
      <c r="T247" s="198" t="s">
        <v>251</v>
      </c>
      <c r="U247" s="198" t="s">
        <v>252</v>
      </c>
      <c r="V247" s="198" t="s">
        <v>299</v>
      </c>
      <c r="W247" s="205">
        <v>1</v>
      </c>
      <c r="X247" s="198" t="s">
        <v>115</v>
      </c>
    </row>
    <row r="248" spans="2:24">
      <c r="B248" s="474"/>
      <c r="C248" s="474"/>
      <c r="D248" s="209">
        <v>142</v>
      </c>
      <c r="E248" s="198" t="s">
        <v>239</v>
      </c>
      <c r="F248" s="199">
        <v>2589</v>
      </c>
      <c r="G248" s="198">
        <v>136.1</v>
      </c>
      <c r="H248" s="198">
        <v>158.4</v>
      </c>
      <c r="I248" s="210">
        <f t="shared" si="24"/>
        <v>1.1638501102130787</v>
      </c>
      <c r="J248" s="198"/>
      <c r="K248" s="210">
        <f t="shared" si="25"/>
        <v>0</v>
      </c>
      <c r="L248" s="199">
        <v>115.1</v>
      </c>
      <c r="M248" s="211">
        <f t="shared" si="26"/>
        <v>1.1638501102130787</v>
      </c>
      <c r="N248" s="199">
        <v>2564</v>
      </c>
      <c r="O248" s="198">
        <v>22.5</v>
      </c>
      <c r="P248" s="200">
        <v>0.16500000000000001</v>
      </c>
      <c r="Q248" s="198">
        <v>-0.2</v>
      </c>
      <c r="R248" s="200">
        <v>-2E-3</v>
      </c>
      <c r="S248" s="199">
        <v>-25.3</v>
      </c>
      <c r="T248" s="198" t="s">
        <v>251</v>
      </c>
      <c r="U248" s="198" t="s">
        <v>252</v>
      </c>
      <c r="V248" s="198" t="s">
        <v>299</v>
      </c>
      <c r="W248" s="205">
        <v>1</v>
      </c>
      <c r="X248" s="198" t="s">
        <v>116</v>
      </c>
    </row>
    <row r="249" spans="2:24">
      <c r="B249" s="474"/>
      <c r="C249" s="474"/>
      <c r="D249" s="209">
        <v>143</v>
      </c>
      <c r="E249" s="198" t="s">
        <v>266</v>
      </c>
      <c r="F249" s="199">
        <v>416</v>
      </c>
      <c r="G249" s="198">
        <v>65.099999999999994</v>
      </c>
      <c r="H249" s="198">
        <v>66.5</v>
      </c>
      <c r="I249" s="210">
        <f t="shared" si="24"/>
        <v>1.021505376344086</v>
      </c>
      <c r="J249" s="198"/>
      <c r="K249" s="210">
        <f t="shared" si="25"/>
        <v>0</v>
      </c>
      <c r="L249" s="199">
        <v>420.4</v>
      </c>
      <c r="M249" s="211">
        <f t="shared" si="26"/>
        <v>1.021505376344086</v>
      </c>
      <c r="N249" s="199">
        <v>589</v>
      </c>
      <c r="O249" s="198">
        <v>0.99</v>
      </c>
      <c r="P249" s="200">
        <v>1.4999999999999999E-2</v>
      </c>
      <c r="Q249" s="198">
        <v>0.4</v>
      </c>
      <c r="R249" s="200">
        <v>6.0000000000000001E-3</v>
      </c>
      <c r="S249" s="199">
        <v>172.8</v>
      </c>
      <c r="T249" s="198" t="s">
        <v>235</v>
      </c>
      <c r="U249" s="198" t="s">
        <v>236</v>
      </c>
      <c r="V249" s="198"/>
      <c r="W249" s="205">
        <v>1</v>
      </c>
      <c r="X249" s="198" t="s">
        <v>105</v>
      </c>
    </row>
    <row r="250" spans="2:24">
      <c r="B250" s="474"/>
      <c r="C250" s="474"/>
      <c r="D250" s="209">
        <v>144</v>
      </c>
      <c r="E250" s="198" t="s">
        <v>301</v>
      </c>
      <c r="F250" s="199">
        <v>305</v>
      </c>
      <c r="G250" s="198">
        <v>7242</v>
      </c>
      <c r="H250" s="198">
        <v>7300</v>
      </c>
      <c r="I250" s="210">
        <f t="shared" si="24"/>
        <v>1.008008837337752</v>
      </c>
      <c r="J250" s="198"/>
      <c r="K250" s="210">
        <f t="shared" si="25"/>
        <v>0</v>
      </c>
      <c r="L250" s="199">
        <v>5.3</v>
      </c>
      <c r="M250" s="211">
        <f t="shared" si="26"/>
        <v>1.008008837337752</v>
      </c>
      <c r="N250" s="199">
        <v>305</v>
      </c>
      <c r="O250" s="198">
        <v>58</v>
      </c>
      <c r="P250" s="200">
        <v>8.0000000000000002E-3</v>
      </c>
      <c r="Q250" s="198">
        <v>0</v>
      </c>
      <c r="R250" s="200">
        <v>0</v>
      </c>
      <c r="S250" s="199">
        <v>0</v>
      </c>
      <c r="T250" s="198" t="s">
        <v>274</v>
      </c>
      <c r="U250" s="198" t="s">
        <v>172</v>
      </c>
      <c r="V250" s="198" t="s">
        <v>304</v>
      </c>
      <c r="W250" s="205">
        <v>1</v>
      </c>
      <c r="X250" s="198" t="s">
        <v>117</v>
      </c>
    </row>
    <row r="251" spans="2:24">
      <c r="B251" s="474"/>
      <c r="C251" s="474"/>
      <c r="D251" s="209">
        <v>145</v>
      </c>
      <c r="E251" s="198" t="s">
        <v>277</v>
      </c>
      <c r="F251" s="199">
        <v>255</v>
      </c>
      <c r="G251" s="198">
        <v>16638</v>
      </c>
      <c r="H251" s="198">
        <v>16728</v>
      </c>
      <c r="I251" s="210">
        <f t="shared" si="24"/>
        <v>1.0054093040028849</v>
      </c>
      <c r="J251" s="198"/>
      <c r="K251" s="210">
        <f t="shared" si="25"/>
        <v>0</v>
      </c>
      <c r="L251" s="199">
        <v>2.8</v>
      </c>
      <c r="M251" s="211">
        <f t="shared" si="26"/>
        <v>1.0054093040028849</v>
      </c>
      <c r="N251" s="199">
        <v>255</v>
      </c>
      <c r="O251" s="198">
        <v>90</v>
      </c>
      <c r="P251" s="200">
        <v>5.0000000000000001E-3</v>
      </c>
      <c r="Q251" s="198">
        <v>0</v>
      </c>
      <c r="R251" s="200">
        <v>0</v>
      </c>
      <c r="S251" s="199">
        <v>0</v>
      </c>
      <c r="T251" s="198" t="s">
        <v>274</v>
      </c>
      <c r="U251" s="198" t="s">
        <v>172</v>
      </c>
      <c r="V251" s="198" t="s">
        <v>305</v>
      </c>
      <c r="W251" s="205">
        <v>1</v>
      </c>
      <c r="X251" s="198" t="s">
        <v>113</v>
      </c>
    </row>
    <row r="252" spans="2:24">
      <c r="B252" s="474"/>
      <c r="C252" s="474"/>
      <c r="D252" s="209">
        <v>146</v>
      </c>
      <c r="E252" s="198" t="s">
        <v>237</v>
      </c>
      <c r="F252" s="199">
        <v>220</v>
      </c>
      <c r="G252" s="198">
        <v>103.4</v>
      </c>
      <c r="H252" s="198">
        <v>103.6</v>
      </c>
      <c r="I252" s="210">
        <f t="shared" si="24"/>
        <v>1.0019342359767891</v>
      </c>
      <c r="J252" s="198"/>
      <c r="K252" s="210">
        <f t="shared" si="25"/>
        <v>0</v>
      </c>
      <c r="L252" s="199">
        <v>356.4</v>
      </c>
      <c r="M252" s="211">
        <f t="shared" si="26"/>
        <v>1.0019342359767891</v>
      </c>
      <c r="N252" s="199">
        <v>63</v>
      </c>
      <c r="O252" s="198">
        <v>0.62</v>
      </c>
      <c r="P252" s="200">
        <v>6.0000000000000001E-3</v>
      </c>
      <c r="Q252" s="198">
        <v>-0.4</v>
      </c>
      <c r="R252" s="200">
        <v>-4.0000000000000001E-3</v>
      </c>
      <c r="S252" s="199">
        <v>-157.19999999999999</v>
      </c>
      <c r="T252" s="198" t="s">
        <v>235</v>
      </c>
      <c r="U252" s="198" t="s">
        <v>236</v>
      </c>
      <c r="V252" s="198"/>
      <c r="W252" s="205">
        <v>1</v>
      </c>
      <c r="X252" s="198" t="s">
        <v>104</v>
      </c>
    </row>
    <row r="253" spans="2:24">
      <c r="B253" s="474"/>
      <c r="C253" s="474"/>
      <c r="D253" s="209">
        <v>147</v>
      </c>
      <c r="E253" s="198" t="s">
        <v>288</v>
      </c>
      <c r="F253" s="199">
        <v>203</v>
      </c>
      <c r="G253" s="198">
        <v>14403</v>
      </c>
      <c r="H253" s="198">
        <v>14490</v>
      </c>
      <c r="I253" s="210">
        <f t="shared" si="24"/>
        <v>1.0060404082482817</v>
      </c>
      <c r="J253" s="198"/>
      <c r="K253" s="210">
        <f t="shared" si="25"/>
        <v>0</v>
      </c>
      <c r="L253" s="199">
        <v>4.5</v>
      </c>
      <c r="M253" s="211">
        <f t="shared" si="26"/>
        <v>1.0060404082482817</v>
      </c>
      <c r="N253" s="199">
        <v>392</v>
      </c>
      <c r="O253" s="198">
        <v>45</v>
      </c>
      <c r="P253" s="200">
        <v>3.0000000000000001E-3</v>
      </c>
      <c r="Q253" s="198">
        <v>42</v>
      </c>
      <c r="R253" s="200">
        <v>3.0000000000000001E-3</v>
      </c>
      <c r="S253" s="199">
        <v>189</v>
      </c>
      <c r="T253" s="198" t="s">
        <v>274</v>
      </c>
      <c r="U253" s="198" t="s">
        <v>172</v>
      </c>
      <c r="V253" s="198" t="s">
        <v>306</v>
      </c>
      <c r="W253" s="205">
        <v>1</v>
      </c>
      <c r="X253" s="198" t="s">
        <v>103</v>
      </c>
    </row>
    <row r="254" spans="2:24">
      <c r="B254" s="474"/>
      <c r="C254" s="474"/>
      <c r="D254" s="209">
        <v>148</v>
      </c>
      <c r="E254" s="198" t="s">
        <v>160</v>
      </c>
      <c r="F254" s="199">
        <v>193</v>
      </c>
      <c r="G254" s="198">
        <v>130.6</v>
      </c>
      <c r="H254" s="198">
        <v>131.5</v>
      </c>
      <c r="I254" s="210">
        <f t="shared" si="24"/>
        <v>1.0068912710566615</v>
      </c>
      <c r="J254" s="198"/>
      <c r="K254" s="210">
        <f t="shared" si="25"/>
        <v>0</v>
      </c>
      <c r="L254" s="199">
        <v>575.70000000000005</v>
      </c>
      <c r="M254" s="211">
        <f t="shared" si="26"/>
        <v>1.0068912710566615</v>
      </c>
      <c r="N254" s="199">
        <v>556</v>
      </c>
      <c r="O254" s="198">
        <v>0.34</v>
      </c>
      <c r="P254" s="200">
        <v>3.0000000000000001E-3</v>
      </c>
      <c r="Q254" s="198">
        <v>0.6</v>
      </c>
      <c r="R254" s="200">
        <v>5.0000000000000001E-3</v>
      </c>
      <c r="S254" s="199">
        <v>362.1</v>
      </c>
      <c r="T254" s="198" t="s">
        <v>235</v>
      </c>
      <c r="U254" s="198" t="s">
        <v>236</v>
      </c>
      <c r="V254" s="198"/>
      <c r="W254" s="205">
        <v>1</v>
      </c>
      <c r="X254" s="198" t="s">
        <v>106</v>
      </c>
    </row>
    <row r="255" spans="2:24">
      <c r="B255" s="474"/>
      <c r="C255" s="474"/>
      <c r="D255" s="209">
        <v>149</v>
      </c>
      <c r="E255" s="198" t="s">
        <v>307</v>
      </c>
      <c r="F255" s="199">
        <v>161</v>
      </c>
      <c r="G255" s="198">
        <v>9300</v>
      </c>
      <c r="H255" s="198">
        <v>9355</v>
      </c>
      <c r="I255" s="210">
        <f t="shared" si="24"/>
        <v>1.0059139784946236</v>
      </c>
      <c r="J255" s="198"/>
      <c r="K255" s="210">
        <f t="shared" si="25"/>
        <v>0</v>
      </c>
      <c r="L255" s="199">
        <v>2.9</v>
      </c>
      <c r="M255" s="211">
        <f t="shared" si="26"/>
        <v>1.0059139784946236</v>
      </c>
      <c r="N255" s="199">
        <v>161</v>
      </c>
      <c r="O255" s="198">
        <v>55</v>
      </c>
      <c r="P255" s="200">
        <v>6.0000000000000001E-3</v>
      </c>
      <c r="Q255" s="198">
        <v>0</v>
      </c>
      <c r="R255" s="200">
        <v>0</v>
      </c>
      <c r="S255" s="199">
        <v>0</v>
      </c>
      <c r="T255" s="198" t="s">
        <v>274</v>
      </c>
      <c r="U255" s="198" t="s">
        <v>172</v>
      </c>
      <c r="V255" s="198" t="s">
        <v>308</v>
      </c>
      <c r="W255" s="205">
        <v>1</v>
      </c>
      <c r="X255" s="198" t="s">
        <v>114</v>
      </c>
    </row>
    <row r="256" spans="2:24">
      <c r="B256" s="474"/>
      <c r="C256" s="474"/>
      <c r="D256" s="209">
        <v>150</v>
      </c>
      <c r="E256" s="198" t="s">
        <v>303</v>
      </c>
      <c r="F256" s="199">
        <v>137</v>
      </c>
      <c r="G256" s="198">
        <v>66.5</v>
      </c>
      <c r="H256" s="198">
        <v>71</v>
      </c>
      <c r="I256" s="210">
        <f t="shared" si="24"/>
        <v>1.0676691729323309</v>
      </c>
      <c r="J256" s="198"/>
      <c r="K256" s="210">
        <f t="shared" si="25"/>
        <v>0</v>
      </c>
      <c r="L256" s="199">
        <v>55</v>
      </c>
      <c r="M256" s="211">
        <f t="shared" si="26"/>
        <v>1.0676691729323309</v>
      </c>
      <c r="N256" s="199">
        <v>249</v>
      </c>
      <c r="O256" s="198">
        <v>2.5</v>
      </c>
      <c r="P256" s="200">
        <v>3.7999999999999999E-2</v>
      </c>
      <c r="Q256" s="198">
        <v>2</v>
      </c>
      <c r="R256" s="200">
        <v>3.1E-2</v>
      </c>
      <c r="S256" s="199">
        <v>111.6</v>
      </c>
      <c r="T256" s="198" t="s">
        <v>251</v>
      </c>
      <c r="U256" s="198" t="s">
        <v>252</v>
      </c>
      <c r="V256" s="198" t="s">
        <v>299</v>
      </c>
      <c r="W256" s="205">
        <v>1</v>
      </c>
      <c r="X256" s="198" t="s">
        <v>124</v>
      </c>
    </row>
    <row r="257" spans="2:24">
      <c r="B257" s="473">
        <v>45926</v>
      </c>
      <c r="C257" s="475" t="s">
        <v>60</v>
      </c>
      <c r="D257" s="209">
        <v>151</v>
      </c>
      <c r="E257" s="198" t="s">
        <v>296</v>
      </c>
      <c r="F257" s="199">
        <v>2638.5550000000003</v>
      </c>
      <c r="G257" s="198">
        <v>64.492000000000004</v>
      </c>
      <c r="H257" s="198">
        <v>74.900000000000006</v>
      </c>
      <c r="I257" s="210">
        <f t="shared" si="24"/>
        <v>1.1613843577497984</v>
      </c>
      <c r="J257" s="234"/>
      <c r="K257" s="210">
        <f t="shared" si="25"/>
        <v>0</v>
      </c>
      <c r="L257" s="199">
        <v>250.1</v>
      </c>
      <c r="M257" s="211">
        <f t="shared" si="26"/>
        <v>1.1613843577497984</v>
      </c>
      <c r="N257" s="199">
        <v>2603.0408000000002</v>
      </c>
      <c r="O257" s="198">
        <v>10.55</v>
      </c>
      <c r="P257" s="200">
        <v>0.16358618123178068</v>
      </c>
      <c r="Q257" s="198">
        <v>-0.14199999999999946</v>
      </c>
      <c r="R257" s="200">
        <v>-2.201823481982253E-3</v>
      </c>
      <c r="S257" s="199">
        <v>-35.514199999999867</v>
      </c>
      <c r="T257" s="198" t="s">
        <v>251</v>
      </c>
      <c r="U257" s="198" t="s">
        <v>252</v>
      </c>
      <c r="V257" s="198" t="s">
        <v>299</v>
      </c>
      <c r="W257" s="205">
        <v>1</v>
      </c>
      <c r="X257" s="198" t="s">
        <v>118</v>
      </c>
    </row>
    <row r="258" spans="2:24">
      <c r="B258" s="474"/>
      <c r="C258" s="474"/>
      <c r="D258" s="209">
        <v>152</v>
      </c>
      <c r="E258" s="198" t="s">
        <v>259</v>
      </c>
      <c r="F258" s="199">
        <v>1839.6066999999998</v>
      </c>
      <c r="G258" s="198">
        <v>66.989999999999995</v>
      </c>
      <c r="H258" s="198">
        <v>75.900000000000006</v>
      </c>
      <c r="I258" s="210">
        <f t="shared" si="24"/>
        <v>1.1330049261083746</v>
      </c>
      <c r="J258" s="234"/>
      <c r="K258" s="210">
        <f t="shared" si="25"/>
        <v>0</v>
      </c>
      <c r="L258" s="199">
        <v>216.17</v>
      </c>
      <c r="M258" s="211">
        <f t="shared" si="26"/>
        <v>1.1330049261083746</v>
      </c>
      <c r="N258" s="199">
        <v>1926.0747000000022</v>
      </c>
      <c r="O258" s="198">
        <v>8.51</v>
      </c>
      <c r="P258" s="200">
        <v>0.12703388565457532</v>
      </c>
      <c r="Q258" s="198">
        <v>0.40000000000001101</v>
      </c>
      <c r="R258" s="200">
        <v>5.971040453799239E-3</v>
      </c>
      <c r="S258" s="199">
        <v>86.468000000002377</v>
      </c>
      <c r="T258" s="198" t="s">
        <v>251</v>
      </c>
      <c r="U258" s="198" t="s">
        <v>252</v>
      </c>
      <c r="V258" s="198" t="s">
        <v>299</v>
      </c>
      <c r="W258" s="205">
        <v>1</v>
      </c>
      <c r="X258" s="198" t="s">
        <v>115</v>
      </c>
    </row>
    <row r="259" spans="2:24">
      <c r="B259" s="474"/>
      <c r="C259" s="474"/>
      <c r="D259" s="209">
        <v>153</v>
      </c>
      <c r="E259" s="198" t="s">
        <v>294</v>
      </c>
      <c r="F259" s="199">
        <v>1654.2190000000001</v>
      </c>
      <c r="G259" s="198">
        <v>81.316000000000003</v>
      </c>
      <c r="H259" s="198">
        <v>93.6</v>
      </c>
      <c r="I259" s="210">
        <f t="shared" si="24"/>
        <v>1.1510649810615377</v>
      </c>
      <c r="J259" s="234"/>
      <c r="K259" s="210">
        <f t="shared" si="25"/>
        <v>0</v>
      </c>
      <c r="L259" s="199">
        <v>139.01</v>
      </c>
      <c r="M259" s="211">
        <f t="shared" si="26"/>
        <v>1.1510649810615377</v>
      </c>
      <c r="N259" s="199">
        <v>1707.5988399999987</v>
      </c>
      <c r="O259" s="198">
        <v>11.9</v>
      </c>
      <c r="P259" s="200">
        <v>0.146342663190516</v>
      </c>
      <c r="Q259" s="198">
        <v>0.38399999999999146</v>
      </c>
      <c r="R259" s="200">
        <v>4.7223178710215884E-3</v>
      </c>
      <c r="S259" s="199">
        <v>53.379839999998808</v>
      </c>
      <c r="T259" s="198" t="s">
        <v>251</v>
      </c>
      <c r="U259" s="198" t="s">
        <v>252</v>
      </c>
      <c r="V259" s="198" t="s">
        <v>299</v>
      </c>
      <c r="W259" s="205">
        <v>1</v>
      </c>
      <c r="X259" s="198" t="s">
        <v>118</v>
      </c>
    </row>
    <row r="260" spans="2:24">
      <c r="B260" s="474"/>
      <c r="C260" s="474"/>
      <c r="D260" s="209">
        <v>154</v>
      </c>
      <c r="E260" s="198" t="s">
        <v>229</v>
      </c>
      <c r="F260" s="199">
        <v>1309.3464999999999</v>
      </c>
      <c r="G260" s="198">
        <v>146.69999999999999</v>
      </c>
      <c r="H260" s="198">
        <v>151.971</v>
      </c>
      <c r="I260" s="210">
        <f t="shared" si="24"/>
        <v>1.0359304703476484</v>
      </c>
      <c r="J260" s="234"/>
      <c r="K260" s="210">
        <f t="shared" si="25"/>
        <v>0</v>
      </c>
      <c r="L260" s="199">
        <v>335.3</v>
      </c>
      <c r="M260" s="211">
        <f t="shared" si="26"/>
        <v>1.0359304703476484</v>
      </c>
      <c r="N260" s="199">
        <v>1767.3663000000051</v>
      </c>
      <c r="O260" s="198">
        <v>3.9049999999999998</v>
      </c>
      <c r="P260" s="200">
        <v>2.6618950238582142E-2</v>
      </c>
      <c r="Q260" s="198">
        <v>1.3660000000000152</v>
      </c>
      <c r="R260" s="200">
        <v>9.311520109066225E-3</v>
      </c>
      <c r="S260" s="199">
        <v>458.01980000000509</v>
      </c>
      <c r="T260" s="198" t="s">
        <v>230</v>
      </c>
      <c r="U260" s="198" t="s">
        <v>181</v>
      </c>
      <c r="V260" s="198" t="s">
        <v>276</v>
      </c>
      <c r="W260" s="205">
        <v>1</v>
      </c>
      <c r="X260" s="198" t="s">
        <v>232</v>
      </c>
    </row>
    <row r="261" spans="2:24">
      <c r="B261" s="474"/>
      <c r="C261" s="474"/>
      <c r="D261" s="209">
        <v>155</v>
      </c>
      <c r="E261" s="198" t="s">
        <v>239</v>
      </c>
      <c r="F261" s="199">
        <v>1145.0459999999998</v>
      </c>
      <c r="G261" s="198">
        <v>93.28</v>
      </c>
      <c r="H261" s="198">
        <v>106</v>
      </c>
      <c r="I261" s="210">
        <f t="shared" si="24"/>
        <v>1.1363636363636362</v>
      </c>
      <c r="J261" s="234"/>
      <c r="K261" s="210">
        <f t="shared" si="25"/>
        <v>0</v>
      </c>
      <c r="L261" s="199">
        <v>115.08</v>
      </c>
      <c r="M261" s="211">
        <f t="shared" si="26"/>
        <v>1.1363636363636362</v>
      </c>
      <c r="N261" s="199">
        <v>1463.8175999999999</v>
      </c>
      <c r="O261" s="198">
        <v>9.9499999999999993</v>
      </c>
      <c r="P261" s="200">
        <v>0.1066680960548885</v>
      </c>
      <c r="Q261" s="198">
        <v>2.7699999999999996</v>
      </c>
      <c r="R261" s="200">
        <v>2.969554030874785E-2</v>
      </c>
      <c r="S261" s="199">
        <v>318.77159999999992</v>
      </c>
      <c r="T261" s="198" t="s">
        <v>251</v>
      </c>
      <c r="U261" s="198" t="s">
        <v>252</v>
      </c>
      <c r="V261" s="198" t="s">
        <v>299</v>
      </c>
      <c r="W261" s="205">
        <v>1</v>
      </c>
      <c r="X261" s="198" t="s">
        <v>116</v>
      </c>
    </row>
    <row r="262" spans="2:24">
      <c r="B262" s="474"/>
      <c r="C262" s="474"/>
      <c r="D262" s="209">
        <v>156</v>
      </c>
      <c r="E262" s="198" t="s">
        <v>256</v>
      </c>
      <c r="F262" s="199">
        <v>797.85</v>
      </c>
      <c r="G262" s="198">
        <v>88.8</v>
      </c>
      <c r="H262" s="198">
        <v>99.15</v>
      </c>
      <c r="I262" s="210">
        <f t="shared" si="24"/>
        <v>1.1165540540540542</v>
      </c>
      <c r="J262" s="234"/>
      <c r="K262" s="210">
        <f t="shared" si="25"/>
        <v>0</v>
      </c>
      <c r="L262" s="199">
        <v>81</v>
      </c>
      <c r="M262" s="211">
        <f t="shared" si="26"/>
        <v>1.1165540540540542</v>
      </c>
      <c r="N262" s="199">
        <v>838.3500000000007</v>
      </c>
      <c r="O262" s="198">
        <v>9.85</v>
      </c>
      <c r="P262" s="200">
        <v>0.11092342342342343</v>
      </c>
      <c r="Q262" s="198">
        <v>0.50000000000000888</v>
      </c>
      <c r="R262" s="200">
        <v>5.630630630630731E-3</v>
      </c>
      <c r="S262" s="199">
        <v>40.500000000000718</v>
      </c>
      <c r="T262" s="198" t="s">
        <v>251</v>
      </c>
      <c r="U262" s="198" t="s">
        <v>252</v>
      </c>
      <c r="V262" s="198" t="s">
        <v>299</v>
      </c>
      <c r="W262" s="205">
        <v>1</v>
      </c>
      <c r="X262" s="198" t="s">
        <v>242</v>
      </c>
    </row>
    <row r="263" spans="2:24">
      <c r="B263" s="474"/>
      <c r="C263" s="474"/>
      <c r="D263" s="209">
        <v>157</v>
      </c>
      <c r="E263" s="198" t="s">
        <v>303</v>
      </c>
      <c r="F263" s="199">
        <v>794.31649999999991</v>
      </c>
      <c r="G263" s="198">
        <v>48.851999999999997</v>
      </c>
      <c r="H263" s="198">
        <v>68.95</v>
      </c>
      <c r="I263" s="210">
        <f t="shared" si="24"/>
        <v>1.4114058789814135</v>
      </c>
      <c r="J263" s="234"/>
      <c r="K263" s="210">
        <f t="shared" si="25"/>
        <v>0</v>
      </c>
      <c r="L263" s="199">
        <v>54.97</v>
      </c>
      <c r="M263" s="211">
        <f t="shared" si="26"/>
        <v>1.4114058789814135</v>
      </c>
      <c r="N263" s="199">
        <v>1104.7870600000003</v>
      </c>
      <c r="O263" s="198">
        <v>14.45</v>
      </c>
      <c r="P263" s="200">
        <v>0.29579136985179727</v>
      </c>
      <c r="Q263" s="198">
        <v>5.6480000000000068</v>
      </c>
      <c r="R263" s="200">
        <v>0.11561450912961613</v>
      </c>
      <c r="S263" s="199">
        <v>310.47056000000038</v>
      </c>
      <c r="T263" s="198" t="s">
        <v>251</v>
      </c>
      <c r="U263" s="198" t="s">
        <v>252</v>
      </c>
      <c r="V263" s="198" t="s">
        <v>299</v>
      </c>
      <c r="W263" s="205">
        <v>1</v>
      </c>
      <c r="X263" s="198" t="s">
        <v>124</v>
      </c>
    </row>
    <row r="264" spans="2:24">
      <c r="B264" s="474"/>
      <c r="C264" s="474"/>
      <c r="D264" s="209">
        <v>158</v>
      </c>
      <c r="E264" s="198" t="s">
        <v>309</v>
      </c>
      <c r="F264" s="199">
        <v>618.65920000000006</v>
      </c>
      <c r="G264" s="198">
        <v>19.628</v>
      </c>
      <c r="H264" s="198">
        <v>24</v>
      </c>
      <c r="I264" s="210">
        <f t="shared" si="24"/>
        <v>1.2227430201752598</v>
      </c>
      <c r="J264" s="234"/>
      <c r="K264" s="210">
        <f t="shared" si="25"/>
        <v>0</v>
      </c>
      <c r="L264" s="199">
        <v>150.16</v>
      </c>
      <c r="M264" s="211">
        <f t="shared" si="26"/>
        <v>1.2227430201752598</v>
      </c>
      <c r="N264" s="199">
        <v>656.49951999999996</v>
      </c>
      <c r="O264" s="198">
        <v>4.12</v>
      </c>
      <c r="P264" s="200">
        <v>0.20990421846341961</v>
      </c>
      <c r="Q264" s="198">
        <v>0.25199999999999978</v>
      </c>
      <c r="R264" s="200">
        <v>1.2838801711840217E-2</v>
      </c>
      <c r="S264" s="199">
        <v>37.840319999999963</v>
      </c>
      <c r="T264" s="198" t="s">
        <v>251</v>
      </c>
      <c r="U264" s="198" t="s">
        <v>252</v>
      </c>
      <c r="V264" s="198" t="s">
        <v>299</v>
      </c>
      <c r="W264" s="205">
        <v>1</v>
      </c>
      <c r="X264" s="198" t="s">
        <v>118</v>
      </c>
    </row>
    <row r="265" spans="2:24">
      <c r="B265" s="474"/>
      <c r="C265" s="474"/>
      <c r="D265" s="209">
        <v>159</v>
      </c>
      <c r="E265" s="198" t="s">
        <v>310</v>
      </c>
      <c r="F265" s="199">
        <v>603.83519999999999</v>
      </c>
      <c r="G265" s="198">
        <v>19.628</v>
      </c>
      <c r="H265" s="198">
        <v>28.18</v>
      </c>
      <c r="I265" s="210">
        <f t="shared" si="24"/>
        <v>1.4357040961891177</v>
      </c>
      <c r="J265" s="234"/>
      <c r="K265" s="210">
        <f t="shared" si="25"/>
        <v>0</v>
      </c>
      <c r="L265" s="199">
        <v>66.210000000000008</v>
      </c>
      <c r="M265" s="211">
        <f t="shared" si="26"/>
        <v>1.4357040961891177</v>
      </c>
      <c r="N265" s="199">
        <v>566.22792000000004</v>
      </c>
      <c r="O265" s="198">
        <v>9.1199999999999992</v>
      </c>
      <c r="P265" s="200">
        <v>0.46464234766659868</v>
      </c>
      <c r="Q265" s="198">
        <v>-0.56799999999999962</v>
      </c>
      <c r="R265" s="200">
        <v>-2.8938251477481129E-2</v>
      </c>
      <c r="S265" s="199">
        <v>-37.607279999999982</v>
      </c>
      <c r="T265" s="198" t="s">
        <v>251</v>
      </c>
      <c r="U265" s="198" t="s">
        <v>252</v>
      </c>
      <c r="V265" s="198" t="s">
        <v>299</v>
      </c>
      <c r="W265" s="205">
        <v>1</v>
      </c>
      <c r="X265" s="198" t="s">
        <v>118</v>
      </c>
    </row>
    <row r="266" spans="2:24">
      <c r="B266" s="474"/>
      <c r="C266" s="474"/>
      <c r="D266" s="209">
        <v>160</v>
      </c>
      <c r="E266" s="198" t="s">
        <v>241</v>
      </c>
      <c r="F266" s="199">
        <v>508.43482999999998</v>
      </c>
      <c r="G266" s="198">
        <v>38.130000000000003</v>
      </c>
      <c r="H266" s="198">
        <v>38.140999999999998</v>
      </c>
      <c r="I266" s="210">
        <f t="shared" si="24"/>
        <v>1.0002884867558353</v>
      </c>
      <c r="J266" s="234"/>
      <c r="K266" s="210">
        <f t="shared" si="25"/>
        <v>0</v>
      </c>
      <c r="L266" s="199">
        <v>536.89</v>
      </c>
      <c r="M266" s="211">
        <f t="shared" si="26"/>
        <v>1.0002884867558353</v>
      </c>
      <c r="N266" s="199">
        <v>5.9057899999976806</v>
      </c>
      <c r="O266" s="198">
        <v>0.94699999999999995</v>
      </c>
      <c r="P266" s="200">
        <v>2.4836087070548123E-2</v>
      </c>
      <c r="Q266" s="198">
        <v>-0.93600000000000427</v>
      </c>
      <c r="R266" s="200">
        <v>-2.4547600314712936E-2</v>
      </c>
      <c r="S266" s="199">
        <v>-502.52904000000228</v>
      </c>
      <c r="T266" s="198" t="s">
        <v>272</v>
      </c>
      <c r="U266" s="198" t="s">
        <v>165</v>
      </c>
      <c r="V266" s="198"/>
      <c r="W266" s="205">
        <v>1</v>
      </c>
      <c r="X266" s="198" t="s">
        <v>105</v>
      </c>
    </row>
    <row r="267" spans="2:24">
      <c r="B267" s="473">
        <v>45927</v>
      </c>
      <c r="C267" s="475" t="s">
        <v>61</v>
      </c>
      <c r="D267" s="209">
        <v>161</v>
      </c>
      <c r="E267" s="198" t="s">
        <v>259</v>
      </c>
      <c r="F267" s="199">
        <v>4853.0164999999997</v>
      </c>
      <c r="G267" s="198">
        <v>73.040000000000006</v>
      </c>
      <c r="H267" s="198">
        <v>94.05</v>
      </c>
      <c r="I267" s="210">
        <f t="shared" si="24"/>
        <v>1.2876506024096384</v>
      </c>
      <c r="J267" s="198"/>
      <c r="K267" s="210">
        <f t="shared" si="25"/>
        <v>0</v>
      </c>
      <c r="L267" s="199">
        <v>216.17</v>
      </c>
      <c r="M267" s="211">
        <f t="shared" si="26"/>
        <v>1.2876506024096384</v>
      </c>
      <c r="N267" s="199">
        <v>4541.7316999999975</v>
      </c>
      <c r="O267" s="198">
        <v>22.45</v>
      </c>
      <c r="P267" s="200">
        <v>0.30736582694414016</v>
      </c>
      <c r="Q267" s="198">
        <v>-1.4400000000000084</v>
      </c>
      <c r="R267" s="200">
        <v>-1.9715224534501755E-2</v>
      </c>
      <c r="S267" s="199">
        <v>-311.28480000000178</v>
      </c>
      <c r="T267" s="198" t="s">
        <v>251</v>
      </c>
      <c r="U267" s="198" t="s">
        <v>252</v>
      </c>
      <c r="V267" s="198" t="s">
        <v>299</v>
      </c>
      <c r="W267" s="205">
        <v>1</v>
      </c>
      <c r="X267" s="198" t="s">
        <v>115</v>
      </c>
    </row>
    <row r="268" spans="2:24">
      <c r="B268" s="474"/>
      <c r="C268" s="474"/>
      <c r="D268" s="209">
        <v>162</v>
      </c>
      <c r="E268" s="198" t="s">
        <v>296</v>
      </c>
      <c r="F268" s="199">
        <v>4351.74</v>
      </c>
      <c r="G268" s="198">
        <v>65.09</v>
      </c>
      <c r="H268" s="198">
        <v>86.09</v>
      </c>
      <c r="I268" s="210">
        <f t="shared" si="24"/>
        <v>1.3226302043324627</v>
      </c>
      <c r="J268" s="198"/>
      <c r="K268" s="210">
        <f t="shared" si="25"/>
        <v>0</v>
      </c>
      <c r="L268" s="199">
        <v>250.1</v>
      </c>
      <c r="M268" s="211">
        <f t="shared" si="26"/>
        <v>1.3226302043324627</v>
      </c>
      <c r="N268" s="199">
        <v>5252.0999999999995</v>
      </c>
      <c r="O268" s="198">
        <v>17.399999999999999</v>
      </c>
      <c r="P268" s="200">
        <v>0.26732216930404051</v>
      </c>
      <c r="Q268" s="198">
        <v>3.6000000000000014</v>
      </c>
      <c r="R268" s="200">
        <v>5.5308035028422201E-2</v>
      </c>
      <c r="S268" s="199">
        <v>900.36000000000035</v>
      </c>
      <c r="T268" s="198" t="s">
        <v>251</v>
      </c>
      <c r="U268" s="198" t="s">
        <v>252</v>
      </c>
      <c r="V268" s="198" t="s">
        <v>299</v>
      </c>
      <c r="W268" s="205">
        <v>1</v>
      </c>
      <c r="X268" s="198" t="s">
        <v>118</v>
      </c>
    </row>
    <row r="269" spans="2:24">
      <c r="B269" s="474"/>
      <c r="C269" s="474"/>
      <c r="D269" s="209">
        <v>163</v>
      </c>
      <c r="E269" s="198" t="s">
        <v>294</v>
      </c>
      <c r="F269" s="199">
        <v>3683.7649999999999</v>
      </c>
      <c r="G269" s="198">
        <v>82.07</v>
      </c>
      <c r="H269" s="198">
        <v>108.7</v>
      </c>
      <c r="I269" s="210">
        <f t="shared" si="24"/>
        <v>1.3244791032045815</v>
      </c>
      <c r="J269" s="198"/>
      <c r="K269" s="210">
        <f t="shared" si="25"/>
        <v>0</v>
      </c>
      <c r="L269" s="199">
        <v>139.01</v>
      </c>
      <c r="M269" s="211">
        <f t="shared" si="26"/>
        <v>1.3244791032045815</v>
      </c>
      <c r="N269" s="199">
        <v>3701.8363000000013</v>
      </c>
      <c r="O269" s="198">
        <v>26.5</v>
      </c>
      <c r="P269" s="200">
        <v>0.32289508955769469</v>
      </c>
      <c r="Q269" s="198">
        <v>0.13000000000000966</v>
      </c>
      <c r="R269" s="200">
        <v>1.5840136468869219E-3</v>
      </c>
      <c r="S269" s="199">
        <v>18.071300000001344</v>
      </c>
      <c r="T269" s="198" t="s">
        <v>251</v>
      </c>
      <c r="U269" s="198" t="s">
        <v>252</v>
      </c>
      <c r="V269" s="198" t="s">
        <v>299</v>
      </c>
      <c r="W269" s="205">
        <v>1</v>
      </c>
      <c r="X269" s="198" t="s">
        <v>118</v>
      </c>
    </row>
    <row r="270" spans="2:24">
      <c r="B270" s="474"/>
      <c r="C270" s="474"/>
      <c r="D270" s="209">
        <v>164</v>
      </c>
      <c r="E270" s="198" t="s">
        <v>263</v>
      </c>
      <c r="F270" s="199">
        <v>2337.5</v>
      </c>
      <c r="G270" s="198">
        <v>276.93</v>
      </c>
      <c r="H270" s="198">
        <v>308</v>
      </c>
      <c r="I270" s="210">
        <f t="shared" si="24"/>
        <v>1.1121944173617881</v>
      </c>
      <c r="J270" s="198"/>
      <c r="K270" s="210">
        <f t="shared" si="25"/>
        <v>0</v>
      </c>
      <c r="L270" s="199">
        <v>85</v>
      </c>
      <c r="M270" s="211">
        <f t="shared" si="26"/>
        <v>1.1121944173617881</v>
      </c>
      <c r="N270" s="199">
        <v>2640.9499999999994</v>
      </c>
      <c r="O270" s="198">
        <v>27.5</v>
      </c>
      <c r="P270" s="200">
        <v>9.9303072978731088E-2</v>
      </c>
      <c r="Q270" s="198">
        <v>3.5699999999999932</v>
      </c>
      <c r="R270" s="200">
        <v>1.2891344383057066E-2</v>
      </c>
      <c r="S270" s="199">
        <v>303.44999999999942</v>
      </c>
      <c r="T270" s="198" t="s">
        <v>251</v>
      </c>
      <c r="U270" s="198" t="s">
        <v>252</v>
      </c>
      <c r="V270" s="198" t="s">
        <v>299</v>
      </c>
      <c r="W270" s="205">
        <v>1</v>
      </c>
      <c r="X270" s="198" t="s">
        <v>122</v>
      </c>
    </row>
    <row r="271" spans="2:24">
      <c r="B271" s="474"/>
      <c r="C271" s="474"/>
      <c r="D271" s="209">
        <v>165</v>
      </c>
      <c r="E271" s="198" t="s">
        <v>239</v>
      </c>
      <c r="F271" s="199">
        <v>949.41</v>
      </c>
      <c r="G271" s="198">
        <v>103.07</v>
      </c>
      <c r="H271" s="198">
        <v>114.9</v>
      </c>
      <c r="I271" s="210">
        <f t="shared" si="24"/>
        <v>1.1147763655767926</v>
      </c>
      <c r="J271" s="198"/>
      <c r="K271" s="210">
        <f t="shared" si="25"/>
        <v>0</v>
      </c>
      <c r="L271" s="199">
        <v>115.08</v>
      </c>
      <c r="M271" s="211">
        <f t="shared" si="26"/>
        <v>1.1147763655767926</v>
      </c>
      <c r="N271" s="199">
        <v>1361.3964000000014</v>
      </c>
      <c r="O271" s="198">
        <v>8.25</v>
      </c>
      <c r="P271" s="200">
        <v>8.0042689434365002E-2</v>
      </c>
      <c r="Q271" s="198">
        <v>3.5800000000000125</v>
      </c>
      <c r="R271" s="200">
        <v>3.4733676142427602E-2</v>
      </c>
      <c r="S271" s="199">
        <v>411.98640000000142</v>
      </c>
      <c r="T271" s="198" t="s">
        <v>251</v>
      </c>
      <c r="U271" s="198" t="s">
        <v>252</v>
      </c>
      <c r="V271" s="198" t="s">
        <v>299</v>
      </c>
      <c r="W271" s="205">
        <v>1</v>
      </c>
      <c r="X271" s="198" t="s">
        <v>116</v>
      </c>
    </row>
    <row r="272" spans="2:24">
      <c r="B272" s="474"/>
      <c r="C272" s="474"/>
      <c r="D272" s="209">
        <v>166</v>
      </c>
      <c r="E272" s="198" t="s">
        <v>229</v>
      </c>
      <c r="F272" s="199">
        <v>797.67870000000005</v>
      </c>
      <c r="G272" s="198">
        <v>154.38</v>
      </c>
      <c r="H272" s="198">
        <v>160.11500000000001</v>
      </c>
      <c r="I272" s="210">
        <f t="shared" si="24"/>
        <v>1.0371485943775101</v>
      </c>
      <c r="J272" s="198"/>
      <c r="K272" s="210">
        <f t="shared" si="25"/>
        <v>0</v>
      </c>
      <c r="L272" s="199">
        <v>335.3</v>
      </c>
      <c r="M272" s="211">
        <f t="shared" si="26"/>
        <v>1.0371485943775101</v>
      </c>
      <c r="N272" s="199">
        <v>1922.9455000000046</v>
      </c>
      <c r="O272" s="198">
        <v>2.379</v>
      </c>
      <c r="P272" s="200">
        <v>1.5410027205596581E-2</v>
      </c>
      <c r="Q272" s="198">
        <v>3.3560000000000136</v>
      </c>
      <c r="R272" s="200">
        <v>2.173856717191355E-2</v>
      </c>
      <c r="S272" s="199">
        <v>1125.2668000000047</v>
      </c>
      <c r="T272" s="198" t="s">
        <v>230</v>
      </c>
      <c r="U272" s="198" t="s">
        <v>181</v>
      </c>
      <c r="V272" s="198" t="s">
        <v>276</v>
      </c>
      <c r="W272" s="205">
        <v>1</v>
      </c>
      <c r="X272" s="198" t="s">
        <v>232</v>
      </c>
    </row>
    <row r="273" spans="2:24">
      <c r="B273" s="474"/>
      <c r="C273" s="474"/>
      <c r="D273" s="209">
        <v>167</v>
      </c>
      <c r="E273" s="198" t="s">
        <v>241</v>
      </c>
      <c r="F273" s="199">
        <v>499.30770000000001</v>
      </c>
      <c r="G273" s="198">
        <v>41.87</v>
      </c>
      <c r="H273" s="198">
        <v>42.331000000000003</v>
      </c>
      <c r="I273" s="210">
        <f t="shared" si="24"/>
        <v>1.0110102698829713</v>
      </c>
      <c r="J273" s="198"/>
      <c r="K273" s="210">
        <f t="shared" si="25"/>
        <v>0</v>
      </c>
      <c r="L273" s="199">
        <v>536.89</v>
      </c>
      <c r="M273" s="211">
        <f t="shared" si="26"/>
        <v>1.0110102698829713</v>
      </c>
      <c r="N273" s="199">
        <v>247.50629000000302</v>
      </c>
      <c r="O273" s="198">
        <v>0.93</v>
      </c>
      <c r="P273" s="200">
        <v>2.2211607356102225E-2</v>
      </c>
      <c r="Q273" s="198">
        <v>-0.46899999999999442</v>
      </c>
      <c r="R273" s="200">
        <v>-1.1201337473130988E-2</v>
      </c>
      <c r="S273" s="199">
        <v>-251.80140999999699</v>
      </c>
      <c r="T273" s="198" t="s">
        <v>235</v>
      </c>
      <c r="U273" s="198" t="s">
        <v>236</v>
      </c>
      <c r="V273" s="198"/>
      <c r="W273" s="205">
        <v>1</v>
      </c>
      <c r="X273" s="198" t="s">
        <v>105</v>
      </c>
    </row>
    <row r="274" spans="2:24">
      <c r="B274" s="474"/>
      <c r="C274" s="474"/>
      <c r="D274" s="209">
        <v>168</v>
      </c>
      <c r="E274" s="198" t="s">
        <v>303</v>
      </c>
      <c r="F274" s="199">
        <v>431.5145</v>
      </c>
      <c r="G274" s="198">
        <v>52.302</v>
      </c>
      <c r="H274" s="198">
        <v>72.7</v>
      </c>
      <c r="I274" s="210">
        <f t="shared" si="24"/>
        <v>1.3900042063401017</v>
      </c>
      <c r="J274" s="198"/>
      <c r="K274" s="210">
        <f t="shared" si="25"/>
        <v>0</v>
      </c>
      <c r="L274" s="199">
        <v>54.97</v>
      </c>
      <c r="M274" s="211">
        <f t="shared" si="26"/>
        <v>1.3900042063401017</v>
      </c>
      <c r="N274" s="199">
        <v>1121.2780600000001</v>
      </c>
      <c r="O274" s="198">
        <v>7.85</v>
      </c>
      <c r="P274" s="200">
        <v>0.15008986272035485</v>
      </c>
      <c r="Q274" s="198">
        <v>12.548000000000004</v>
      </c>
      <c r="R274" s="200">
        <v>0.23991434361974692</v>
      </c>
      <c r="S274" s="199">
        <v>689.76356000000021</v>
      </c>
      <c r="T274" s="198" t="s">
        <v>251</v>
      </c>
      <c r="U274" s="198" t="s">
        <v>252</v>
      </c>
      <c r="V274" s="198" t="s">
        <v>299</v>
      </c>
      <c r="W274" s="205">
        <v>1</v>
      </c>
      <c r="X274" s="198" t="s">
        <v>124</v>
      </c>
    </row>
    <row r="275" spans="2:24">
      <c r="B275" s="474"/>
      <c r="C275" s="474"/>
      <c r="D275" s="209">
        <v>169</v>
      </c>
      <c r="E275" s="198" t="s">
        <v>241</v>
      </c>
      <c r="F275" s="199">
        <v>418.38</v>
      </c>
      <c r="G275" s="198">
        <v>13.7</v>
      </c>
      <c r="H275" s="198">
        <v>13.734</v>
      </c>
      <c r="I275" s="210">
        <f t="shared" si="24"/>
        <v>1.0024817518248175</v>
      </c>
      <c r="J275" s="198"/>
      <c r="K275" s="210">
        <f t="shared" si="25"/>
        <v>0</v>
      </c>
      <c r="L275" s="199">
        <v>570</v>
      </c>
      <c r="M275" s="211">
        <f t="shared" si="26"/>
        <v>1.0024817518248175</v>
      </c>
      <c r="N275" s="199">
        <v>19.380000000000397</v>
      </c>
      <c r="O275" s="198">
        <v>0.73399999999999999</v>
      </c>
      <c r="P275" s="200">
        <v>5.3576642335766422E-2</v>
      </c>
      <c r="Q275" s="198">
        <v>-0.69999999999999929</v>
      </c>
      <c r="R275" s="200">
        <v>-5.1094890510948857E-2</v>
      </c>
      <c r="S275" s="199">
        <v>-398.9999999999996</v>
      </c>
      <c r="T275" s="198" t="s">
        <v>235</v>
      </c>
      <c r="U275" s="198" t="s">
        <v>236</v>
      </c>
      <c r="V275" s="198"/>
      <c r="W275" s="205">
        <v>1</v>
      </c>
      <c r="X275" s="198" t="s">
        <v>242</v>
      </c>
    </row>
    <row r="276" spans="2:24">
      <c r="B276" s="474"/>
      <c r="C276" s="474"/>
      <c r="D276" s="209">
        <v>170</v>
      </c>
      <c r="E276" s="198" t="s">
        <v>311</v>
      </c>
      <c r="F276" s="199">
        <v>370.43999999999994</v>
      </c>
      <c r="G276" s="198">
        <v>76.924999999999997</v>
      </c>
      <c r="H276" s="198">
        <v>90.95</v>
      </c>
      <c r="I276" s="210">
        <f t="shared" si="24"/>
        <v>1.1823204419889504</v>
      </c>
      <c r="J276" s="198"/>
      <c r="K276" s="210">
        <f t="shared" si="25"/>
        <v>0</v>
      </c>
      <c r="L276" s="199">
        <v>39.199999999999996</v>
      </c>
      <c r="M276" s="211">
        <f t="shared" si="26"/>
        <v>1.1823204419889504</v>
      </c>
      <c r="N276" s="199">
        <v>549.7800000000002</v>
      </c>
      <c r="O276" s="198">
        <v>9.4499999999999993</v>
      </c>
      <c r="P276" s="200">
        <v>0.12284692882677932</v>
      </c>
      <c r="Q276" s="198">
        <v>4.5750000000000064</v>
      </c>
      <c r="R276" s="200">
        <v>5.9473513162171032E-2</v>
      </c>
      <c r="S276" s="199">
        <v>179.34000000000023</v>
      </c>
      <c r="T276" s="198" t="s">
        <v>251</v>
      </c>
      <c r="U276" s="198" t="s">
        <v>252</v>
      </c>
      <c r="V276" s="198" t="s">
        <v>299</v>
      </c>
      <c r="W276" s="205">
        <v>1</v>
      </c>
      <c r="X276" s="198" t="s">
        <v>122</v>
      </c>
    </row>
    <row r="277" spans="2:24">
      <c r="B277" s="473">
        <v>45928</v>
      </c>
      <c r="C277" s="475" t="s">
        <v>52</v>
      </c>
      <c r="D277" s="209">
        <v>171</v>
      </c>
      <c r="E277" s="198" t="s">
        <v>263</v>
      </c>
      <c r="F277" s="199">
        <v>7272.6</v>
      </c>
      <c r="G277" s="198">
        <v>301.86</v>
      </c>
      <c r="H277" s="198">
        <v>398</v>
      </c>
      <c r="I277" s="210">
        <f t="shared" si="24"/>
        <v>1.3184920161664346</v>
      </c>
      <c r="J277" s="198"/>
      <c r="K277" s="210">
        <f t="shared" si="25"/>
        <v>0</v>
      </c>
      <c r="L277" s="199">
        <v>85</v>
      </c>
      <c r="M277" s="211">
        <f t="shared" si="26"/>
        <v>1.3184920161664346</v>
      </c>
      <c r="N277" s="199">
        <v>8171.8999999999987</v>
      </c>
      <c r="O277" s="198">
        <v>85.56</v>
      </c>
      <c r="P277" s="200">
        <v>0.28344265553567877</v>
      </c>
      <c r="Q277" s="198">
        <v>10.579999999999984</v>
      </c>
      <c r="R277" s="200">
        <v>3.5049360630755928E-2</v>
      </c>
      <c r="S277" s="199">
        <v>899.29999999999859</v>
      </c>
      <c r="T277" s="198" t="s">
        <v>251</v>
      </c>
      <c r="U277" s="198" t="s">
        <v>252</v>
      </c>
      <c r="V277" s="198" t="s">
        <v>299</v>
      </c>
      <c r="W277" s="205">
        <v>1</v>
      </c>
      <c r="X277" s="198" t="s">
        <v>122</v>
      </c>
    </row>
    <row r="278" spans="2:24">
      <c r="B278" s="474"/>
      <c r="C278" s="474"/>
      <c r="D278" s="209">
        <v>172</v>
      </c>
      <c r="E278" s="198" t="s">
        <v>296</v>
      </c>
      <c r="F278" s="199">
        <v>6557.6219999999994</v>
      </c>
      <c r="G278" s="198">
        <v>69.046000000000006</v>
      </c>
      <c r="H278" s="198">
        <v>94.6</v>
      </c>
      <c r="I278" s="210">
        <f t="shared" si="24"/>
        <v>1.3701010920256058</v>
      </c>
      <c r="J278" s="198"/>
      <c r="K278" s="210">
        <f t="shared" si="25"/>
        <v>0</v>
      </c>
      <c r="L278" s="199">
        <v>250.1</v>
      </c>
      <c r="M278" s="211">
        <f t="shared" si="26"/>
        <v>1.3701010920256058</v>
      </c>
      <c r="N278" s="199">
        <v>6391.0553999999966</v>
      </c>
      <c r="O278" s="198">
        <v>26.22</v>
      </c>
      <c r="P278" s="200">
        <v>0.37974683544303794</v>
      </c>
      <c r="Q278" s="198">
        <v>-0.66600000000001103</v>
      </c>
      <c r="R278" s="200">
        <v>-9.6457434174320161E-3</v>
      </c>
      <c r="S278" s="199">
        <v>-166.56660000000275</v>
      </c>
      <c r="T278" s="198" t="s">
        <v>251</v>
      </c>
      <c r="U278" s="198" t="s">
        <v>252</v>
      </c>
      <c r="V278" s="198" t="s">
        <v>299</v>
      </c>
      <c r="W278" s="205">
        <v>1</v>
      </c>
      <c r="X278" s="198" t="s">
        <v>118</v>
      </c>
    </row>
    <row r="279" spans="2:24">
      <c r="B279" s="474"/>
      <c r="C279" s="474"/>
      <c r="D279" s="209">
        <v>173</v>
      </c>
      <c r="E279" s="198" t="s">
        <v>268</v>
      </c>
      <c r="F279" s="199">
        <v>5859.4579999999996</v>
      </c>
      <c r="G279" s="198">
        <v>643.95000000000005</v>
      </c>
      <c r="H279" s="198">
        <v>683</v>
      </c>
      <c r="I279" s="210">
        <f t="shared" si="24"/>
        <v>1.0606413541424022</v>
      </c>
      <c r="J279" s="198"/>
      <c r="K279" s="210">
        <f t="shared" si="25"/>
        <v>0</v>
      </c>
      <c r="L279" s="199">
        <v>156.66999999999999</v>
      </c>
      <c r="M279" s="211">
        <f t="shared" si="26"/>
        <v>1.0606413541424022</v>
      </c>
      <c r="N279" s="199">
        <v>6117.9634999999926</v>
      </c>
      <c r="O279" s="198">
        <v>37.4</v>
      </c>
      <c r="P279" s="200">
        <v>5.8079043403990983E-2</v>
      </c>
      <c r="Q279" s="198">
        <v>1.6499999999999559</v>
      </c>
      <c r="R279" s="200">
        <v>2.5623107384112986E-3</v>
      </c>
      <c r="S279" s="199">
        <v>258.50549999999311</v>
      </c>
      <c r="T279" s="198" t="s">
        <v>251</v>
      </c>
      <c r="U279" s="198" t="s">
        <v>252</v>
      </c>
      <c r="V279" s="198" t="s">
        <v>299</v>
      </c>
      <c r="W279" s="205">
        <v>1</v>
      </c>
      <c r="X279" s="198" t="s">
        <v>244</v>
      </c>
    </row>
    <row r="280" spans="2:24">
      <c r="B280" s="474"/>
      <c r="C280" s="474"/>
      <c r="D280" s="209">
        <v>174</v>
      </c>
      <c r="E280" s="198" t="s">
        <v>259</v>
      </c>
      <c r="F280" s="199">
        <v>4345.0169999999998</v>
      </c>
      <c r="G280" s="198">
        <v>70.84</v>
      </c>
      <c r="H280" s="198">
        <v>90.4</v>
      </c>
      <c r="I280" s="210">
        <f t="shared" si="24"/>
        <v>1.2761151891586675</v>
      </c>
      <c r="J280" s="198"/>
      <c r="K280" s="210">
        <f t="shared" si="25"/>
        <v>0</v>
      </c>
      <c r="L280" s="199">
        <v>216.17</v>
      </c>
      <c r="M280" s="211">
        <f t="shared" si="26"/>
        <v>1.2761151891586675</v>
      </c>
      <c r="N280" s="199">
        <v>4228.2852000000003</v>
      </c>
      <c r="O280" s="198">
        <v>20.100000000000001</v>
      </c>
      <c r="P280" s="200">
        <v>0.28373800112930547</v>
      </c>
      <c r="Q280" s="198">
        <v>-0.53999999999999915</v>
      </c>
      <c r="R280" s="200">
        <v>-7.6228119706380449E-3</v>
      </c>
      <c r="S280" s="199">
        <v>-116.73179999999981</v>
      </c>
      <c r="T280" s="198" t="s">
        <v>251</v>
      </c>
      <c r="U280" s="198" t="s">
        <v>252</v>
      </c>
      <c r="V280" s="198" t="s">
        <v>299</v>
      </c>
      <c r="W280" s="205">
        <v>1</v>
      </c>
      <c r="X280" s="198" t="s">
        <v>115</v>
      </c>
    </row>
    <row r="281" spans="2:24">
      <c r="B281" s="474"/>
      <c r="C281" s="474"/>
      <c r="D281" s="209">
        <v>175</v>
      </c>
      <c r="E281" s="198" t="s">
        <v>234</v>
      </c>
      <c r="F281" s="199">
        <v>3815.93</v>
      </c>
      <c r="G281" s="198">
        <v>119.88</v>
      </c>
      <c r="H281" s="198">
        <v>142.80000000000001</v>
      </c>
      <c r="I281" s="210">
        <f t="shared" si="24"/>
        <v>1.1911911911911914</v>
      </c>
      <c r="J281" s="198"/>
      <c r="K281" s="210">
        <f t="shared" si="25"/>
        <v>0</v>
      </c>
      <c r="L281" s="199">
        <v>162.38</v>
      </c>
      <c r="M281" s="211">
        <f t="shared" si="26"/>
        <v>1.1911911911911914</v>
      </c>
      <c r="N281" s="199">
        <v>3721.7496000000024</v>
      </c>
      <c r="O281" s="198">
        <v>23.5</v>
      </c>
      <c r="P281" s="200">
        <v>0.19602936269602936</v>
      </c>
      <c r="Q281" s="198">
        <v>-0.57999999999998408</v>
      </c>
      <c r="R281" s="200">
        <v>-4.838171504838039E-3</v>
      </c>
      <c r="S281" s="199">
        <v>-94.18039999999742</v>
      </c>
      <c r="T281" s="198" t="s">
        <v>251</v>
      </c>
      <c r="U281" s="198" t="s">
        <v>252</v>
      </c>
      <c r="V281" s="198" t="s">
        <v>299</v>
      </c>
      <c r="W281" s="205">
        <v>1</v>
      </c>
      <c r="X281" s="198" t="s">
        <v>113</v>
      </c>
    </row>
    <row r="282" spans="2:24">
      <c r="B282" s="474"/>
      <c r="C282" s="474"/>
      <c r="D282" s="209">
        <v>176</v>
      </c>
      <c r="E282" s="198" t="s">
        <v>294</v>
      </c>
      <c r="F282" s="199">
        <v>3649.0124999999998</v>
      </c>
      <c r="G282" s="198">
        <v>87.058000000000007</v>
      </c>
      <c r="H282" s="198">
        <v>117.05</v>
      </c>
      <c r="I282" s="210">
        <f t="shared" si="24"/>
        <v>1.3445059615428794</v>
      </c>
      <c r="J282" s="198"/>
      <c r="K282" s="210">
        <f t="shared" si="25"/>
        <v>0</v>
      </c>
      <c r="L282" s="199">
        <v>139.01</v>
      </c>
      <c r="M282" s="211">
        <f t="shared" si="26"/>
        <v>1.3445059615428794</v>
      </c>
      <c r="N282" s="199">
        <v>4169.1879199999985</v>
      </c>
      <c r="O282" s="198">
        <v>26.25</v>
      </c>
      <c r="P282" s="200">
        <v>0.30152312251602376</v>
      </c>
      <c r="Q282" s="198">
        <v>3.7419999999999902</v>
      </c>
      <c r="R282" s="200">
        <v>4.298283902685554E-2</v>
      </c>
      <c r="S282" s="199">
        <v>520.17541999999855</v>
      </c>
      <c r="T282" s="198" t="s">
        <v>251</v>
      </c>
      <c r="U282" s="198" t="s">
        <v>252</v>
      </c>
      <c r="V282" s="198" t="s">
        <v>299</v>
      </c>
      <c r="W282" s="205">
        <v>1</v>
      </c>
      <c r="X282" s="198" t="s">
        <v>118</v>
      </c>
    </row>
    <row r="283" spans="2:24">
      <c r="B283" s="474"/>
      <c r="C283" s="474"/>
      <c r="D283" s="209">
        <v>177</v>
      </c>
      <c r="E283" s="198" t="s">
        <v>312</v>
      </c>
      <c r="F283" s="199">
        <v>3292.7999999999997</v>
      </c>
      <c r="G283" s="198">
        <v>67.08</v>
      </c>
      <c r="H283" s="198">
        <v>90.8</v>
      </c>
      <c r="I283" s="210">
        <f t="shared" si="24"/>
        <v>1.3536076326774</v>
      </c>
      <c r="J283" s="198"/>
      <c r="K283" s="210">
        <f t="shared" si="25"/>
        <v>0</v>
      </c>
      <c r="L283" s="199">
        <v>147</v>
      </c>
      <c r="M283" s="211">
        <f t="shared" si="26"/>
        <v>1.3536076326774</v>
      </c>
      <c r="N283" s="199">
        <v>3486.8399999999997</v>
      </c>
      <c r="O283" s="198">
        <v>22.4</v>
      </c>
      <c r="P283" s="200">
        <v>0.33392963625521765</v>
      </c>
      <c r="Q283" s="198">
        <v>1.3200000000000003</v>
      </c>
      <c r="R283" s="200">
        <v>1.9677996422182473E-2</v>
      </c>
      <c r="S283" s="199">
        <v>194.04000000000005</v>
      </c>
      <c r="T283" s="198" t="s">
        <v>251</v>
      </c>
      <c r="U283" s="198" t="s">
        <v>252</v>
      </c>
      <c r="V283" s="198" t="s">
        <v>299</v>
      </c>
      <c r="W283" s="205">
        <v>1</v>
      </c>
      <c r="X283" s="198" t="s">
        <v>122</v>
      </c>
    </row>
    <row r="284" spans="2:24">
      <c r="B284" s="474"/>
      <c r="C284" s="474"/>
      <c r="D284" s="209">
        <v>178</v>
      </c>
      <c r="E284" s="198" t="s">
        <v>273</v>
      </c>
      <c r="F284" s="199">
        <v>1869.1570000000002</v>
      </c>
      <c r="G284" s="198">
        <v>147.30000000000001</v>
      </c>
      <c r="H284" s="198">
        <v>164</v>
      </c>
      <c r="I284" s="210">
        <f t="shared" si="24"/>
        <v>1.1133740665308893</v>
      </c>
      <c r="J284" s="198"/>
      <c r="K284" s="210">
        <f t="shared" si="25"/>
        <v>0</v>
      </c>
      <c r="L284" s="199">
        <v>112.94</v>
      </c>
      <c r="M284" s="211">
        <f t="shared" si="26"/>
        <v>1.1133740665308893</v>
      </c>
      <c r="N284" s="199">
        <v>1886.0979999999986</v>
      </c>
      <c r="O284" s="198">
        <v>16.55</v>
      </c>
      <c r="P284" s="200">
        <v>0.11235573659198914</v>
      </c>
      <c r="Q284" s="198">
        <v>0.14999999999998792</v>
      </c>
      <c r="R284" s="200">
        <v>1.0183299389001216E-3</v>
      </c>
      <c r="S284" s="199">
        <v>16.940999999998635</v>
      </c>
      <c r="T284" s="198" t="s">
        <v>251</v>
      </c>
      <c r="U284" s="198" t="s">
        <v>252</v>
      </c>
      <c r="V284" s="198" t="s">
        <v>299</v>
      </c>
      <c r="W284" s="205">
        <v>1</v>
      </c>
      <c r="X284" s="198" t="s">
        <v>110</v>
      </c>
    </row>
    <row r="285" spans="2:24">
      <c r="B285" s="474"/>
      <c r="C285" s="474"/>
      <c r="D285" s="209">
        <v>179</v>
      </c>
      <c r="E285" s="198" t="s">
        <v>280</v>
      </c>
      <c r="F285" s="199">
        <v>1793.701</v>
      </c>
      <c r="G285" s="198">
        <v>169.92</v>
      </c>
      <c r="H285" s="198">
        <v>192.5</v>
      </c>
      <c r="I285" s="210">
        <f t="shared" si="24"/>
        <v>1.1328860640301319</v>
      </c>
      <c r="J285" s="198"/>
      <c r="K285" s="210">
        <f t="shared" si="25"/>
        <v>0</v>
      </c>
      <c r="L285" s="199">
        <v>111.41</v>
      </c>
      <c r="M285" s="211">
        <f t="shared" si="26"/>
        <v>1.1328860640301319</v>
      </c>
      <c r="N285" s="199">
        <v>2515.6378000000013</v>
      </c>
      <c r="O285" s="198">
        <v>16.100000000000001</v>
      </c>
      <c r="P285" s="200">
        <v>9.4750470809792861E-2</v>
      </c>
      <c r="Q285" s="198">
        <v>6.4800000000000111</v>
      </c>
      <c r="R285" s="200">
        <v>3.8135593220339048E-2</v>
      </c>
      <c r="S285" s="199">
        <v>721.9368000000012</v>
      </c>
      <c r="T285" s="198" t="s">
        <v>251</v>
      </c>
      <c r="U285" s="198" t="s">
        <v>252</v>
      </c>
      <c r="V285" s="198" t="s">
        <v>299</v>
      </c>
      <c r="W285" s="205">
        <v>1</v>
      </c>
      <c r="X285" s="198" t="s">
        <v>104</v>
      </c>
    </row>
    <row r="286" spans="2:24">
      <c r="B286" s="474"/>
      <c r="C286" s="474"/>
      <c r="D286" s="209">
        <v>180</v>
      </c>
      <c r="E286" s="198" t="s">
        <v>302</v>
      </c>
      <c r="F286" s="199">
        <v>1681.7760000000001</v>
      </c>
      <c r="G286" s="198">
        <v>40.994999999999997</v>
      </c>
      <c r="H286" s="198">
        <v>56.8</v>
      </c>
      <c r="I286" s="210">
        <f t="shared" si="24"/>
        <v>1.3855348213196732</v>
      </c>
      <c r="J286" s="198"/>
      <c r="K286" s="210">
        <f t="shared" si="25"/>
        <v>0</v>
      </c>
      <c r="L286" s="199">
        <v>155.72</v>
      </c>
      <c r="M286" s="211">
        <f t="shared" si="26"/>
        <v>1.3855348213196732</v>
      </c>
      <c r="N286" s="199">
        <v>2461.1545999999998</v>
      </c>
      <c r="O286" s="198">
        <v>10.8</v>
      </c>
      <c r="P286" s="200">
        <v>0.26344676180021959</v>
      </c>
      <c r="Q286" s="198">
        <v>5.004999999999999</v>
      </c>
      <c r="R286" s="200">
        <v>0.12208805951945358</v>
      </c>
      <c r="S286" s="199">
        <v>779.37859999999989</v>
      </c>
      <c r="T286" s="198" t="s">
        <v>251</v>
      </c>
      <c r="U286" s="198" t="s">
        <v>252</v>
      </c>
      <c r="V286" s="198" t="s">
        <v>299</v>
      </c>
      <c r="W286" s="205">
        <v>1</v>
      </c>
      <c r="X286" s="198" t="s">
        <v>114</v>
      </c>
    </row>
    <row r="287" spans="2:24">
      <c r="B287" s="473">
        <v>45929</v>
      </c>
      <c r="C287" s="475" t="s">
        <v>56</v>
      </c>
      <c r="D287" s="209">
        <v>181</v>
      </c>
      <c r="E287" s="198" t="s">
        <v>259</v>
      </c>
      <c r="F287" s="199">
        <v>3253.3584999999998</v>
      </c>
      <c r="G287" s="198">
        <v>112.75</v>
      </c>
      <c r="H287" s="198">
        <v>128.6</v>
      </c>
      <c r="I287" s="210">
        <f t="shared" si="24"/>
        <v>1.1405764966740577</v>
      </c>
      <c r="J287" s="198"/>
      <c r="K287" s="210">
        <f t="shared" si="25"/>
        <v>0</v>
      </c>
      <c r="L287" s="199">
        <v>216.17</v>
      </c>
      <c r="M287" s="211">
        <f t="shared" si="26"/>
        <v>1.1405764966740577</v>
      </c>
      <c r="N287" s="199">
        <v>3426.2944999999986</v>
      </c>
      <c r="O287" s="198">
        <v>15.05</v>
      </c>
      <c r="P287" s="200">
        <v>0.13348115299334812</v>
      </c>
      <c r="Q287" s="198">
        <v>0.79999999999999361</v>
      </c>
      <c r="R287" s="200">
        <v>7.095343680709478E-3</v>
      </c>
      <c r="S287" s="199">
        <v>172.93599999999861</v>
      </c>
      <c r="T287" s="198" t="s">
        <v>251</v>
      </c>
      <c r="U287" s="198" t="s">
        <v>252</v>
      </c>
      <c r="V287" s="198" t="s">
        <v>299</v>
      </c>
      <c r="W287" s="205">
        <v>1</v>
      </c>
      <c r="X287" s="198" t="s">
        <v>115</v>
      </c>
    </row>
    <row r="288" spans="2:24">
      <c r="B288" s="474"/>
      <c r="C288" s="474"/>
      <c r="D288" s="209">
        <v>182</v>
      </c>
      <c r="E288" s="198" t="s">
        <v>239</v>
      </c>
      <c r="F288" s="199">
        <v>1645.644</v>
      </c>
      <c r="G288" s="198">
        <v>162.69</v>
      </c>
      <c r="H288" s="198">
        <v>177.95</v>
      </c>
      <c r="I288" s="210">
        <f t="shared" si="24"/>
        <v>1.0937980207757083</v>
      </c>
      <c r="J288" s="198"/>
      <c r="K288" s="210">
        <f t="shared" si="25"/>
        <v>0</v>
      </c>
      <c r="L288" s="199">
        <v>115.08</v>
      </c>
      <c r="M288" s="211">
        <f t="shared" si="26"/>
        <v>1.0937980207757083</v>
      </c>
      <c r="N288" s="199">
        <v>1756.120799999999</v>
      </c>
      <c r="O288" s="198">
        <v>14.3</v>
      </c>
      <c r="P288" s="200">
        <v>8.7897227856659904E-2</v>
      </c>
      <c r="Q288" s="198">
        <v>0.95999999999999019</v>
      </c>
      <c r="R288" s="200">
        <v>5.9007929190484374E-3</v>
      </c>
      <c r="S288" s="199">
        <v>110.47679999999887</v>
      </c>
      <c r="T288" s="198" t="s">
        <v>251</v>
      </c>
      <c r="U288" s="198" t="s">
        <v>252</v>
      </c>
      <c r="V288" s="198" t="s">
        <v>299</v>
      </c>
      <c r="W288" s="205">
        <v>1</v>
      </c>
      <c r="X288" s="198" t="s">
        <v>116</v>
      </c>
    </row>
    <row r="289" spans="2:24">
      <c r="B289" s="474"/>
      <c r="C289" s="474"/>
      <c r="D289" s="209">
        <v>183</v>
      </c>
      <c r="E289" s="198" t="s">
        <v>266</v>
      </c>
      <c r="F289" s="199">
        <v>466.23469</v>
      </c>
      <c r="G289" s="198">
        <v>78.347999999999999</v>
      </c>
      <c r="H289" s="198">
        <v>78.55</v>
      </c>
      <c r="I289" s="210">
        <f t="shared" si="24"/>
        <v>1.002578240669832</v>
      </c>
      <c r="J289" s="198"/>
      <c r="K289" s="210">
        <f t="shared" si="25"/>
        <v>0</v>
      </c>
      <c r="L289" s="199">
        <v>420.41</v>
      </c>
      <c r="M289" s="211">
        <f t="shared" si="26"/>
        <v>1.002578240669832</v>
      </c>
      <c r="N289" s="199">
        <v>84.922819999999234</v>
      </c>
      <c r="O289" s="198">
        <v>1.109</v>
      </c>
      <c r="P289" s="200">
        <v>1.4154796548731301E-2</v>
      </c>
      <c r="Q289" s="198">
        <v>-0.9070000000000018</v>
      </c>
      <c r="R289" s="200">
        <v>-1.1576555878899292E-2</v>
      </c>
      <c r="S289" s="199">
        <v>-381.31187000000079</v>
      </c>
      <c r="T289" s="198" t="s">
        <v>235</v>
      </c>
      <c r="U289" s="198" t="s">
        <v>236</v>
      </c>
      <c r="V289" s="198"/>
      <c r="W289" s="205">
        <v>1</v>
      </c>
      <c r="X289" s="198" t="s">
        <v>105</v>
      </c>
    </row>
    <row r="290" spans="2:24">
      <c r="B290" s="474"/>
      <c r="C290" s="474"/>
      <c r="D290" s="209">
        <v>184</v>
      </c>
      <c r="E290" s="198" t="s">
        <v>160</v>
      </c>
      <c r="F290" s="199">
        <v>443.17228</v>
      </c>
      <c r="G290" s="198">
        <v>13.67</v>
      </c>
      <c r="H290" s="198">
        <v>13.914</v>
      </c>
      <c r="I290" s="210">
        <f t="shared" si="24"/>
        <v>1.0178493050475494</v>
      </c>
      <c r="J290" s="198"/>
      <c r="K290" s="210">
        <f t="shared" si="25"/>
        <v>0</v>
      </c>
      <c r="L290" s="199">
        <v>584.66</v>
      </c>
      <c r="M290" s="211">
        <f t="shared" si="26"/>
        <v>1.0178493050475494</v>
      </c>
      <c r="N290" s="199">
        <v>142.65703999999985</v>
      </c>
      <c r="O290" s="198">
        <v>0.75800000000000001</v>
      </c>
      <c r="P290" s="200">
        <v>5.5449890270665693E-2</v>
      </c>
      <c r="Q290" s="198">
        <v>-0.51400000000000023</v>
      </c>
      <c r="R290" s="200">
        <v>-3.760058522311633E-2</v>
      </c>
      <c r="S290" s="199">
        <v>-300.51524000000012</v>
      </c>
      <c r="T290" s="198" t="s">
        <v>235</v>
      </c>
      <c r="U290" s="198" t="s">
        <v>236</v>
      </c>
      <c r="V290" s="198"/>
      <c r="W290" s="205">
        <v>1</v>
      </c>
      <c r="X290" s="198" t="s">
        <v>109</v>
      </c>
    </row>
    <row r="291" spans="2:24">
      <c r="B291" s="474"/>
      <c r="C291" s="474"/>
      <c r="D291" s="209">
        <v>185</v>
      </c>
      <c r="E291" s="198" t="s">
        <v>229</v>
      </c>
      <c r="F291" s="199">
        <v>344.01780000000002</v>
      </c>
      <c r="G291" s="198">
        <v>198.54</v>
      </c>
      <c r="H291" s="198">
        <v>205.98</v>
      </c>
      <c r="I291" s="210">
        <f t="shared" si="24"/>
        <v>1.0374735569658506</v>
      </c>
      <c r="J291" s="198"/>
      <c r="K291" s="210">
        <f t="shared" si="25"/>
        <v>0</v>
      </c>
      <c r="L291" s="199">
        <v>335.3</v>
      </c>
      <c r="M291" s="211">
        <f t="shared" si="26"/>
        <v>1.0374735569658506</v>
      </c>
      <c r="N291" s="199">
        <v>2494.6319999999992</v>
      </c>
      <c r="O291" s="198">
        <v>1.026</v>
      </c>
      <c r="P291" s="200">
        <v>5.1677243880326384E-3</v>
      </c>
      <c r="Q291" s="198">
        <v>6.4139999999999979</v>
      </c>
      <c r="R291" s="200">
        <v>3.2305832577818064E-2</v>
      </c>
      <c r="S291" s="199">
        <v>2150.6141999999995</v>
      </c>
      <c r="T291" s="198" t="s">
        <v>230</v>
      </c>
      <c r="U291" s="198" t="s">
        <v>181</v>
      </c>
      <c r="V291" s="198" t="s">
        <v>276</v>
      </c>
      <c r="W291" s="205">
        <v>1</v>
      </c>
      <c r="X291" s="198" t="s">
        <v>232</v>
      </c>
    </row>
    <row r="292" spans="2:24">
      <c r="B292" s="474"/>
      <c r="C292" s="474"/>
      <c r="D292" s="209">
        <v>186</v>
      </c>
      <c r="E292" s="198" t="s">
        <v>237</v>
      </c>
      <c r="F292" s="199">
        <v>315.38745</v>
      </c>
      <c r="G292" s="198">
        <v>131.71199999999999</v>
      </c>
      <c r="H292" s="198">
        <v>132.38999999999999</v>
      </c>
      <c r="I292" s="210">
        <f t="shared" si="24"/>
        <v>1.0051475947521866</v>
      </c>
      <c r="J292" s="198"/>
      <c r="K292" s="210">
        <f t="shared" si="25"/>
        <v>0</v>
      </c>
      <c r="L292" s="199">
        <v>356.37</v>
      </c>
      <c r="M292" s="211">
        <f t="shared" si="26"/>
        <v>1.0051475947521866</v>
      </c>
      <c r="N292" s="199">
        <v>241.61885999999902</v>
      </c>
      <c r="O292" s="198">
        <v>0.88500000000000001</v>
      </c>
      <c r="P292" s="200">
        <v>6.719205539358601E-3</v>
      </c>
      <c r="Q292" s="198">
        <v>-0.20700000000000274</v>
      </c>
      <c r="R292" s="200">
        <v>-1.5716107871720326E-3</v>
      </c>
      <c r="S292" s="199">
        <v>-73.76859000000097</v>
      </c>
      <c r="T292" s="198" t="s">
        <v>235</v>
      </c>
      <c r="U292" s="198" t="s">
        <v>236</v>
      </c>
      <c r="V292" s="198"/>
      <c r="W292" s="205">
        <v>1</v>
      </c>
      <c r="X292" s="198" t="s">
        <v>104</v>
      </c>
    </row>
    <row r="293" spans="2:24">
      <c r="B293" s="474"/>
      <c r="C293" s="474"/>
      <c r="D293" s="209">
        <v>187</v>
      </c>
      <c r="E293" s="198" t="s">
        <v>313</v>
      </c>
      <c r="F293" s="199">
        <v>292.41199999999998</v>
      </c>
      <c r="G293" s="198">
        <v>202.68600000000001</v>
      </c>
      <c r="H293" s="198">
        <v>205.512</v>
      </c>
      <c r="I293" s="210">
        <f t="shared" si="24"/>
        <v>1.0139427488825079</v>
      </c>
      <c r="J293" s="198"/>
      <c r="K293" s="210">
        <f t="shared" si="25"/>
        <v>0</v>
      </c>
      <c r="L293" s="199">
        <v>164</v>
      </c>
      <c r="M293" s="211">
        <f t="shared" si="26"/>
        <v>1.0139427488825079</v>
      </c>
      <c r="N293" s="199">
        <v>463.46399999999892</v>
      </c>
      <c r="O293" s="198">
        <v>1.7829999999999999</v>
      </c>
      <c r="P293" s="200">
        <v>8.7968581944485556E-3</v>
      </c>
      <c r="Q293" s="198">
        <v>1.0429999999999935</v>
      </c>
      <c r="R293" s="200">
        <v>5.1458906880593302E-3</v>
      </c>
      <c r="S293" s="199">
        <v>171.05199999999894</v>
      </c>
      <c r="T293" s="198" t="s">
        <v>235</v>
      </c>
      <c r="U293" s="198" t="s">
        <v>236</v>
      </c>
      <c r="V293" s="198"/>
      <c r="W293" s="205">
        <v>1</v>
      </c>
      <c r="X293" s="198" t="s">
        <v>287</v>
      </c>
    </row>
    <row r="294" spans="2:24">
      <c r="B294" s="474"/>
      <c r="C294" s="474"/>
      <c r="D294" s="209">
        <v>188</v>
      </c>
      <c r="E294" s="198" t="s">
        <v>241</v>
      </c>
      <c r="F294" s="199">
        <v>250.8</v>
      </c>
      <c r="G294" s="198">
        <v>16.61</v>
      </c>
      <c r="H294" s="198">
        <v>16.806999999999999</v>
      </c>
      <c r="I294" s="210">
        <f t="shared" si="24"/>
        <v>1.0118603251053582</v>
      </c>
      <c r="J294" s="198"/>
      <c r="K294" s="210">
        <f t="shared" si="25"/>
        <v>0</v>
      </c>
      <c r="L294" s="199">
        <v>570</v>
      </c>
      <c r="M294" s="211">
        <f t="shared" si="26"/>
        <v>1.0118603251053582</v>
      </c>
      <c r="N294" s="199">
        <v>112.28999999999954</v>
      </c>
      <c r="O294" s="198">
        <v>0.44</v>
      </c>
      <c r="P294" s="200">
        <v>2.6490066225165563E-2</v>
      </c>
      <c r="Q294" s="198">
        <v>-0.24300000000000083</v>
      </c>
      <c r="R294" s="200">
        <v>-1.4629741119807395E-2</v>
      </c>
      <c r="S294" s="199">
        <v>-138.51000000000047</v>
      </c>
      <c r="T294" s="198" t="s">
        <v>235</v>
      </c>
      <c r="U294" s="198" t="s">
        <v>236</v>
      </c>
      <c r="V294" s="198"/>
      <c r="W294" s="205">
        <v>1</v>
      </c>
      <c r="X294" s="198" t="s">
        <v>242</v>
      </c>
    </row>
    <row r="295" spans="2:24">
      <c r="B295" s="474"/>
      <c r="C295" s="474"/>
      <c r="D295" s="209">
        <v>189</v>
      </c>
      <c r="E295" s="198" t="s">
        <v>314</v>
      </c>
      <c r="F295" s="199">
        <v>244.17684</v>
      </c>
      <c r="G295" s="198">
        <v>62.62</v>
      </c>
      <c r="H295" s="198">
        <v>62.9</v>
      </c>
      <c r="I295" s="210">
        <f t="shared" si="24"/>
        <v>1.004471414883424</v>
      </c>
      <c r="J295" s="198"/>
      <c r="K295" s="210">
        <f t="shared" si="25"/>
        <v>0</v>
      </c>
      <c r="L295" s="199">
        <v>304.83999999999997</v>
      </c>
      <c r="M295" s="211">
        <f t="shared" si="26"/>
        <v>1.004471414883424</v>
      </c>
      <c r="N295" s="199">
        <v>85.355200000000337</v>
      </c>
      <c r="O295" s="198">
        <v>0.80100000000000005</v>
      </c>
      <c r="P295" s="200">
        <v>1.2791440434366018E-2</v>
      </c>
      <c r="Q295" s="198">
        <v>-0.52099999999999891</v>
      </c>
      <c r="R295" s="200">
        <v>-8.3200255509421738E-3</v>
      </c>
      <c r="S295" s="199">
        <v>-158.82163999999966</v>
      </c>
      <c r="T295" s="198" t="s">
        <v>235</v>
      </c>
      <c r="U295" s="198" t="s">
        <v>236</v>
      </c>
      <c r="V295" s="198"/>
      <c r="W295" s="205">
        <v>1</v>
      </c>
      <c r="X295" s="198" t="s">
        <v>103</v>
      </c>
    </row>
    <row r="296" spans="2:24">
      <c r="B296" s="474"/>
      <c r="C296" s="474"/>
      <c r="D296" s="209">
        <v>190</v>
      </c>
      <c r="E296" s="198" t="s">
        <v>285</v>
      </c>
      <c r="F296" s="199">
        <v>220.94046</v>
      </c>
      <c r="G296" s="198">
        <v>37.607999999999997</v>
      </c>
      <c r="H296" s="198">
        <v>37.701999999999998</v>
      </c>
      <c r="I296" s="210">
        <f t="shared" si="24"/>
        <v>1.0024994681982557</v>
      </c>
      <c r="J296" s="198"/>
      <c r="K296" s="210">
        <f t="shared" si="25"/>
        <v>0</v>
      </c>
      <c r="L296" s="199">
        <v>136.88999999999999</v>
      </c>
      <c r="M296" s="211">
        <f t="shared" si="26"/>
        <v>1.0024994681982557</v>
      </c>
      <c r="N296" s="199">
        <v>12.867660000000162</v>
      </c>
      <c r="O296" s="198">
        <v>1.6140000000000001</v>
      </c>
      <c r="P296" s="200">
        <v>4.2916400765794518E-2</v>
      </c>
      <c r="Q296" s="198">
        <v>-1.5199999999999989</v>
      </c>
      <c r="R296" s="200">
        <v>-4.0416932567538796E-2</v>
      </c>
      <c r="S296" s="199">
        <v>-208.07279999999983</v>
      </c>
      <c r="T296" s="198" t="s">
        <v>272</v>
      </c>
      <c r="U296" s="198" t="s">
        <v>252</v>
      </c>
      <c r="V296" s="198" t="s">
        <v>315</v>
      </c>
      <c r="W296" s="205">
        <v>1</v>
      </c>
      <c r="X296" s="198" t="s">
        <v>106</v>
      </c>
    </row>
    <row r="297" spans="2:24">
      <c r="B297" s="473">
        <v>45930</v>
      </c>
      <c r="C297" s="475" t="s">
        <v>57</v>
      </c>
      <c r="D297" s="209">
        <v>191</v>
      </c>
      <c r="E297" s="198" t="s">
        <v>277</v>
      </c>
      <c r="F297" s="199">
        <v>5433.6</v>
      </c>
      <c r="G297" s="198">
        <v>17700</v>
      </c>
      <c r="H297" s="198">
        <v>17700</v>
      </c>
      <c r="I297" s="210">
        <f t="shared" si="24"/>
        <v>1</v>
      </c>
      <c r="J297" s="198">
        <v>1920</v>
      </c>
      <c r="K297" s="210">
        <f t="shared" si="25"/>
        <v>0.10847457627118644</v>
      </c>
      <c r="L297" s="199">
        <v>2.83</v>
      </c>
      <c r="M297" s="211">
        <f t="shared" si="26"/>
        <v>1.1084745762711865</v>
      </c>
      <c r="N297" s="199">
        <v>5433.6</v>
      </c>
      <c r="O297" s="198">
        <v>1920</v>
      </c>
      <c r="P297" s="200">
        <v>0.10847457627118644</v>
      </c>
      <c r="Q297" s="198">
        <v>0</v>
      </c>
      <c r="R297" s="200">
        <v>0</v>
      </c>
      <c r="S297" s="199">
        <v>0</v>
      </c>
      <c r="T297" s="198" t="s">
        <v>272</v>
      </c>
      <c r="U297" s="198" t="s">
        <v>252</v>
      </c>
      <c r="V297" s="198" t="s">
        <v>315</v>
      </c>
      <c r="W297" s="205">
        <v>1</v>
      </c>
      <c r="X297" s="198" t="s">
        <v>113</v>
      </c>
    </row>
    <row r="298" spans="2:24">
      <c r="B298" s="474"/>
      <c r="C298" s="474"/>
      <c r="D298" s="209">
        <v>192</v>
      </c>
      <c r="E298" s="198" t="s">
        <v>286</v>
      </c>
      <c r="F298" s="199">
        <v>5395.1535000000003</v>
      </c>
      <c r="G298" s="198">
        <v>649</v>
      </c>
      <c r="H298" s="198">
        <v>649.19100000000003</v>
      </c>
      <c r="I298" s="210">
        <f t="shared" si="24"/>
        <v>1.0002942989214176</v>
      </c>
      <c r="J298" s="198">
        <v>121.3</v>
      </c>
      <c r="K298" s="210">
        <f t="shared" si="25"/>
        <v>0.18690292758089369</v>
      </c>
      <c r="L298" s="199">
        <v>46.53</v>
      </c>
      <c r="M298" s="211">
        <f t="shared" si="26"/>
        <v>1.1871972265023112</v>
      </c>
      <c r="N298" s="199">
        <v>5652.9762299999993</v>
      </c>
      <c r="O298" s="198">
        <v>115.95</v>
      </c>
      <c r="P298" s="200">
        <v>0.17865947611710323</v>
      </c>
      <c r="Q298" s="198">
        <v>5.5409999999999826</v>
      </c>
      <c r="R298" s="200">
        <v>8.5377503852079855E-3</v>
      </c>
      <c r="S298" s="199">
        <v>257.82272999999918</v>
      </c>
      <c r="T298" s="198" t="s">
        <v>272</v>
      </c>
      <c r="U298" s="198" t="s">
        <v>252</v>
      </c>
      <c r="V298" s="198" t="s">
        <v>315</v>
      </c>
      <c r="W298" s="205">
        <v>1</v>
      </c>
      <c r="X298" s="198" t="s">
        <v>113</v>
      </c>
    </row>
    <row r="299" spans="2:24">
      <c r="B299" s="474"/>
      <c r="C299" s="474"/>
      <c r="D299" s="209">
        <v>193</v>
      </c>
      <c r="E299" s="198" t="s">
        <v>234</v>
      </c>
      <c r="F299" s="199">
        <v>3215.1240000000003</v>
      </c>
      <c r="G299" s="198">
        <v>132.75</v>
      </c>
      <c r="H299" s="198">
        <v>132.75</v>
      </c>
      <c r="I299" s="210">
        <f t="shared" si="24"/>
        <v>1</v>
      </c>
      <c r="J299" s="198">
        <v>19.8</v>
      </c>
      <c r="K299" s="210">
        <f t="shared" si="25"/>
        <v>0.14915254237288136</v>
      </c>
      <c r="L299" s="199">
        <v>162.38</v>
      </c>
      <c r="M299" s="211">
        <f t="shared" si="26"/>
        <v>1.1491525423728814</v>
      </c>
      <c r="N299" s="199">
        <v>3215.1240000000016</v>
      </c>
      <c r="O299" s="198">
        <v>19.8</v>
      </c>
      <c r="P299" s="200">
        <v>0.14915254237288136</v>
      </c>
      <c r="Q299" s="198">
        <v>0</v>
      </c>
      <c r="R299" s="200">
        <v>0</v>
      </c>
      <c r="S299" s="199">
        <v>0</v>
      </c>
      <c r="T299" s="198" t="s">
        <v>230</v>
      </c>
      <c r="U299" s="198" t="s">
        <v>181</v>
      </c>
      <c r="V299" s="198" t="s">
        <v>276</v>
      </c>
      <c r="W299" s="205">
        <v>1</v>
      </c>
      <c r="X299" s="198" t="s">
        <v>113</v>
      </c>
    </row>
    <row r="300" spans="2:24">
      <c r="B300" s="474"/>
      <c r="C300" s="474"/>
      <c r="D300" s="209">
        <v>194</v>
      </c>
      <c r="E300" s="198" t="s">
        <v>229</v>
      </c>
      <c r="F300" s="199">
        <v>752.0779</v>
      </c>
      <c r="G300" s="198">
        <v>172.98</v>
      </c>
      <c r="H300" s="198">
        <v>179.69900000000001</v>
      </c>
      <c r="I300" s="210">
        <f t="shared" si="24"/>
        <v>1.0388426407677189</v>
      </c>
      <c r="J300" s="198">
        <v>0</v>
      </c>
      <c r="K300" s="210">
        <f t="shared" si="25"/>
        <v>0</v>
      </c>
      <c r="L300" s="199">
        <v>335.3</v>
      </c>
      <c r="M300" s="211">
        <f t="shared" si="26"/>
        <v>1.0388426407677189</v>
      </c>
      <c r="N300" s="199">
        <v>2252.8807000000074</v>
      </c>
      <c r="O300" s="198">
        <v>2.2429999999999999</v>
      </c>
      <c r="P300" s="200">
        <v>1.296681697306047E-2</v>
      </c>
      <c r="Q300" s="198">
        <v>4.4760000000000222</v>
      </c>
      <c r="R300" s="200">
        <v>2.587582379465847E-2</v>
      </c>
      <c r="S300" s="199">
        <v>1500.8028000000074</v>
      </c>
      <c r="T300" s="198" t="s">
        <v>251</v>
      </c>
      <c r="U300" s="198" t="s">
        <v>252</v>
      </c>
      <c r="V300" s="198" t="s">
        <v>299</v>
      </c>
      <c r="W300" s="205">
        <v>1</v>
      </c>
      <c r="X300" s="198" t="s">
        <v>232</v>
      </c>
    </row>
    <row r="301" spans="2:24">
      <c r="B301" s="474"/>
      <c r="C301" s="474"/>
      <c r="D301" s="209">
        <v>195</v>
      </c>
      <c r="E301" s="198" t="s">
        <v>239</v>
      </c>
      <c r="F301" s="199">
        <v>730.75799999999992</v>
      </c>
      <c r="G301" s="198">
        <v>133.65</v>
      </c>
      <c r="H301" s="198">
        <v>140.35</v>
      </c>
      <c r="I301" s="210">
        <f t="shared" si="24"/>
        <v>1.0501309390198279</v>
      </c>
      <c r="J301" s="198">
        <v>0</v>
      </c>
      <c r="K301" s="210">
        <f t="shared" si="25"/>
        <v>0</v>
      </c>
      <c r="L301" s="199">
        <v>115.08</v>
      </c>
      <c r="M301" s="211">
        <f t="shared" si="26"/>
        <v>1.0501309390198279</v>
      </c>
      <c r="N301" s="199">
        <v>771.03599999999869</v>
      </c>
      <c r="O301" s="198">
        <v>6.35</v>
      </c>
      <c r="P301" s="200">
        <v>4.7512158623269726E-2</v>
      </c>
      <c r="Q301" s="198">
        <v>0.34999999999998899</v>
      </c>
      <c r="R301" s="200">
        <v>2.6187803965580917E-3</v>
      </c>
      <c r="S301" s="199">
        <v>40.277999999998734</v>
      </c>
      <c r="T301" s="198" t="s">
        <v>251</v>
      </c>
      <c r="U301" s="198" t="s">
        <v>252</v>
      </c>
      <c r="V301" s="198" t="s">
        <v>299</v>
      </c>
      <c r="W301" s="205">
        <v>1</v>
      </c>
      <c r="X301" s="198" t="s">
        <v>116</v>
      </c>
    </row>
    <row r="302" spans="2:24">
      <c r="B302" s="474"/>
      <c r="C302" s="474"/>
      <c r="D302" s="209">
        <v>196</v>
      </c>
      <c r="E302" s="198" t="s">
        <v>160</v>
      </c>
      <c r="F302" s="199">
        <v>567.70485999999994</v>
      </c>
      <c r="G302" s="198">
        <v>11.94</v>
      </c>
      <c r="H302" s="198">
        <v>12.086</v>
      </c>
      <c r="I302" s="210">
        <f t="shared" si="24"/>
        <v>1.0122278056951424</v>
      </c>
      <c r="J302" s="198">
        <v>0</v>
      </c>
      <c r="K302" s="210">
        <f t="shared" si="25"/>
        <v>0</v>
      </c>
      <c r="L302" s="199">
        <v>584.66</v>
      </c>
      <c r="M302" s="211">
        <f t="shared" si="26"/>
        <v>1.0122278056951424</v>
      </c>
      <c r="N302" s="199">
        <v>85.360360000000455</v>
      </c>
      <c r="O302" s="198">
        <v>0.97099999999999997</v>
      </c>
      <c r="P302" s="200">
        <v>8.132328308207705E-2</v>
      </c>
      <c r="Q302" s="198">
        <v>-0.82499999999999918</v>
      </c>
      <c r="R302" s="200">
        <v>-6.9095477386934612E-2</v>
      </c>
      <c r="S302" s="199">
        <v>-482.34449999999947</v>
      </c>
      <c r="T302" s="198" t="s">
        <v>235</v>
      </c>
      <c r="U302" s="198" t="s">
        <v>236</v>
      </c>
      <c r="V302" s="198"/>
      <c r="W302" s="205">
        <v>1</v>
      </c>
      <c r="X302" s="198" t="s">
        <v>109</v>
      </c>
    </row>
    <row r="303" spans="2:24">
      <c r="B303" s="474"/>
      <c r="C303" s="474"/>
      <c r="D303" s="209">
        <v>197</v>
      </c>
      <c r="E303" s="198" t="s">
        <v>266</v>
      </c>
      <c r="F303" s="199">
        <v>436.80599000000001</v>
      </c>
      <c r="G303" s="198">
        <v>73.835999999999999</v>
      </c>
      <c r="H303" s="198">
        <v>74.296999999999997</v>
      </c>
      <c r="I303" s="210">
        <f t="shared" si="24"/>
        <v>1.0062435668237715</v>
      </c>
      <c r="J303" s="198">
        <v>0</v>
      </c>
      <c r="K303" s="210">
        <f t="shared" si="25"/>
        <v>0</v>
      </c>
      <c r="L303" s="199">
        <v>420.41</v>
      </c>
      <c r="M303" s="211">
        <f t="shared" si="26"/>
        <v>1.0062435668237715</v>
      </c>
      <c r="N303" s="199">
        <v>193.8090099999994</v>
      </c>
      <c r="O303" s="198">
        <v>1.0389999999999999</v>
      </c>
      <c r="P303" s="200">
        <v>1.4071726529064412E-2</v>
      </c>
      <c r="Q303" s="198">
        <v>-0.5780000000000014</v>
      </c>
      <c r="R303" s="200">
        <v>-7.8281597052928305E-3</v>
      </c>
      <c r="S303" s="199">
        <v>-242.9969800000006</v>
      </c>
      <c r="T303" s="198" t="s">
        <v>235</v>
      </c>
      <c r="U303" s="198" t="s">
        <v>236</v>
      </c>
      <c r="V303" s="198"/>
      <c r="W303" s="205">
        <v>1</v>
      </c>
      <c r="X303" s="198" t="s">
        <v>105</v>
      </c>
    </row>
    <row r="304" spans="2:24">
      <c r="B304" s="474"/>
      <c r="C304" s="474"/>
      <c r="D304" s="209">
        <v>198</v>
      </c>
      <c r="E304" s="198" t="s">
        <v>160</v>
      </c>
      <c r="F304" s="199">
        <v>279.2242</v>
      </c>
      <c r="G304" s="198">
        <v>148.33000000000001</v>
      </c>
      <c r="H304" s="198">
        <v>148.739</v>
      </c>
      <c r="I304" s="210">
        <f t="shared" si="24"/>
        <v>1.0027573653340525</v>
      </c>
      <c r="J304" s="198">
        <v>0</v>
      </c>
      <c r="K304" s="210">
        <f t="shared" si="25"/>
        <v>0</v>
      </c>
      <c r="L304" s="199">
        <v>575.72</v>
      </c>
      <c r="M304" s="211">
        <f t="shared" si="26"/>
        <v>1.0027573653340525</v>
      </c>
      <c r="N304" s="199">
        <v>235.46947999999529</v>
      </c>
      <c r="O304" s="198">
        <v>0.48499999999999999</v>
      </c>
      <c r="P304" s="200">
        <v>3.2697363985707542E-3</v>
      </c>
      <c r="Q304" s="198">
        <v>-7.6000000000008172E-2</v>
      </c>
      <c r="R304" s="200">
        <v>-5.1237106451835883E-4</v>
      </c>
      <c r="S304" s="199">
        <v>-43.75472000000471</v>
      </c>
      <c r="T304" s="198" t="s">
        <v>235</v>
      </c>
      <c r="U304" s="198" t="s">
        <v>236</v>
      </c>
      <c r="V304" s="198"/>
      <c r="W304" s="205">
        <v>1</v>
      </c>
      <c r="X304" s="198" t="s">
        <v>106</v>
      </c>
    </row>
    <row r="305" spans="2:24">
      <c r="B305" s="474"/>
      <c r="C305" s="474"/>
      <c r="D305" s="209">
        <v>199</v>
      </c>
      <c r="E305" s="198" t="s">
        <v>312</v>
      </c>
      <c r="F305" s="199">
        <v>264.15899999999999</v>
      </c>
      <c r="G305" s="198">
        <v>98.5</v>
      </c>
      <c r="H305" s="198">
        <v>98.912999999999997</v>
      </c>
      <c r="I305" s="210">
        <f t="shared" si="24"/>
        <v>1.0041928934010151</v>
      </c>
      <c r="J305" s="198">
        <v>0</v>
      </c>
      <c r="K305" s="210">
        <f t="shared" si="25"/>
        <v>0</v>
      </c>
      <c r="L305" s="199">
        <v>147</v>
      </c>
      <c r="M305" s="211">
        <f t="shared" si="26"/>
        <v>1.0041928934010151</v>
      </c>
      <c r="N305" s="199">
        <v>60.710999999999515</v>
      </c>
      <c r="O305" s="198">
        <v>1.7969999999999999</v>
      </c>
      <c r="P305" s="200">
        <v>1.8243654822335025E-2</v>
      </c>
      <c r="Q305" s="198">
        <v>-1.3840000000000032</v>
      </c>
      <c r="R305" s="200">
        <v>-1.405076142131983E-2</v>
      </c>
      <c r="S305" s="199">
        <v>-203.44800000000046</v>
      </c>
      <c r="T305" s="198" t="s">
        <v>235</v>
      </c>
      <c r="U305" s="198" t="s">
        <v>236</v>
      </c>
      <c r="V305" s="198"/>
      <c r="W305" s="205">
        <v>1</v>
      </c>
      <c r="X305" s="198" t="s">
        <v>122</v>
      </c>
    </row>
    <row r="306" spans="2:24">
      <c r="B306" s="474"/>
      <c r="C306" s="474"/>
      <c r="D306" s="209">
        <v>200</v>
      </c>
      <c r="E306" s="198" t="s">
        <v>249</v>
      </c>
      <c r="F306" s="199">
        <v>261.13258999999999</v>
      </c>
      <c r="G306" s="198">
        <v>11.8</v>
      </c>
      <c r="H306" s="198">
        <v>11.930999999999999</v>
      </c>
      <c r="I306" s="210">
        <f t="shared" si="24"/>
        <v>1.011101694915254</v>
      </c>
      <c r="J306" s="198"/>
      <c r="K306" s="210">
        <f t="shared" si="25"/>
        <v>0</v>
      </c>
      <c r="L306" s="199">
        <v>922.73</v>
      </c>
      <c r="M306" s="211">
        <f t="shared" si="26"/>
        <v>1.011101694915254</v>
      </c>
      <c r="N306" s="199">
        <v>120.87762999999858</v>
      </c>
      <c r="O306" s="198">
        <v>0.28299999999999997</v>
      </c>
      <c r="P306" s="200">
        <v>2.3983050847457624E-2</v>
      </c>
      <c r="Q306" s="198">
        <v>-0.15200000000000152</v>
      </c>
      <c r="R306" s="200">
        <v>-1.2881355932203518E-2</v>
      </c>
      <c r="S306" s="199">
        <v>-140.2549600000014</v>
      </c>
      <c r="T306" s="198" t="s">
        <v>235</v>
      </c>
      <c r="U306" s="198" t="s">
        <v>236</v>
      </c>
      <c r="V306" s="198"/>
      <c r="W306" s="205">
        <v>1</v>
      </c>
      <c r="X306" s="198" t="s">
        <v>113</v>
      </c>
    </row>
    <row r="307" spans="2:24">
      <c r="B307" s="493"/>
      <c r="C307" s="474"/>
      <c r="D307" s="209">
        <v>201</v>
      </c>
      <c r="E307" s="198"/>
      <c r="F307" s="199"/>
      <c r="G307" s="198"/>
      <c r="H307" s="198"/>
      <c r="I307" s="210" t="e">
        <f t="shared" si="24"/>
        <v>#DIV/0!</v>
      </c>
      <c r="J307" s="198"/>
      <c r="K307" s="210" t="e">
        <f t="shared" si="25"/>
        <v>#DIV/0!</v>
      </c>
      <c r="L307" s="199"/>
      <c r="M307" s="211" t="e">
        <f t="shared" si="26"/>
        <v>#DIV/0!</v>
      </c>
      <c r="N307" s="199"/>
      <c r="O307" s="198"/>
      <c r="P307" s="200"/>
      <c r="Q307" s="198"/>
      <c r="R307" s="200"/>
      <c r="S307" s="199"/>
      <c r="T307" s="198"/>
      <c r="U307" s="198"/>
      <c r="V307" s="198"/>
      <c r="W307" s="205">
        <v>1</v>
      </c>
      <c r="X307" s="198"/>
    </row>
    <row r="308" spans="2:24">
      <c r="B308" s="494"/>
      <c r="C308" s="474"/>
      <c r="D308" s="209">
        <v>202</v>
      </c>
      <c r="E308" s="198"/>
      <c r="F308" s="199"/>
      <c r="G308" s="198"/>
      <c r="H308" s="198"/>
      <c r="I308" s="210" t="e">
        <f t="shared" si="24"/>
        <v>#DIV/0!</v>
      </c>
      <c r="J308" s="198"/>
      <c r="K308" s="210" t="e">
        <f t="shared" si="25"/>
        <v>#DIV/0!</v>
      </c>
      <c r="L308" s="199"/>
      <c r="M308" s="211" t="e">
        <f t="shared" si="26"/>
        <v>#DIV/0!</v>
      </c>
      <c r="N308" s="199"/>
      <c r="O308" s="198"/>
      <c r="P308" s="200"/>
      <c r="Q308" s="198"/>
      <c r="R308" s="200"/>
      <c r="S308" s="199"/>
      <c r="T308" s="198"/>
      <c r="U308" s="198"/>
      <c r="V308" s="198"/>
      <c r="W308" s="205">
        <v>1</v>
      </c>
      <c r="X308" s="198"/>
    </row>
    <row r="309" spans="2:24">
      <c r="B309" s="494"/>
      <c r="C309" s="474"/>
      <c r="D309" s="209">
        <v>203</v>
      </c>
      <c r="E309" s="198"/>
      <c r="F309" s="199"/>
      <c r="G309" s="198"/>
      <c r="H309" s="198"/>
      <c r="I309" s="210" t="e">
        <f t="shared" ref="I309:I316" si="27">H309/G309</f>
        <v>#DIV/0!</v>
      </c>
      <c r="J309" s="198"/>
      <c r="K309" s="210" t="e">
        <f t="shared" ref="K309:K316" si="28">J309/G309</f>
        <v>#DIV/0!</v>
      </c>
      <c r="L309" s="199"/>
      <c r="M309" s="211" t="e">
        <f t="shared" ref="M309:M316" si="29">(H309+J309)/G309</f>
        <v>#DIV/0!</v>
      </c>
      <c r="N309" s="199"/>
      <c r="O309" s="198"/>
      <c r="P309" s="200"/>
      <c r="Q309" s="198"/>
      <c r="R309" s="200"/>
      <c r="S309" s="199"/>
      <c r="T309" s="198"/>
      <c r="U309" s="198"/>
      <c r="V309" s="198"/>
      <c r="W309" s="205">
        <v>1</v>
      </c>
      <c r="X309" s="198"/>
    </row>
    <row r="310" spans="2:24">
      <c r="B310" s="494"/>
      <c r="C310" s="474"/>
      <c r="D310" s="209">
        <v>204</v>
      </c>
      <c r="E310" s="198"/>
      <c r="F310" s="199"/>
      <c r="G310" s="198"/>
      <c r="H310" s="198"/>
      <c r="I310" s="210" t="e">
        <f t="shared" si="27"/>
        <v>#DIV/0!</v>
      </c>
      <c r="J310" s="198"/>
      <c r="K310" s="210" t="e">
        <f t="shared" si="28"/>
        <v>#DIV/0!</v>
      </c>
      <c r="L310" s="199"/>
      <c r="M310" s="211" t="e">
        <f t="shared" si="29"/>
        <v>#DIV/0!</v>
      </c>
      <c r="N310" s="199"/>
      <c r="O310" s="198"/>
      <c r="P310" s="200"/>
      <c r="Q310" s="198"/>
      <c r="R310" s="200"/>
      <c r="S310" s="199"/>
      <c r="T310" s="198"/>
      <c r="U310" s="198"/>
      <c r="V310" s="198"/>
      <c r="W310" s="205">
        <v>1</v>
      </c>
      <c r="X310" s="198"/>
    </row>
    <row r="311" spans="2:24">
      <c r="B311" s="494"/>
      <c r="C311" s="474"/>
      <c r="D311" s="209">
        <v>205</v>
      </c>
      <c r="E311" s="198"/>
      <c r="F311" s="199"/>
      <c r="G311" s="198"/>
      <c r="H311" s="198"/>
      <c r="I311" s="210" t="e">
        <f t="shared" si="27"/>
        <v>#DIV/0!</v>
      </c>
      <c r="J311" s="198"/>
      <c r="K311" s="210" t="e">
        <f t="shared" si="28"/>
        <v>#DIV/0!</v>
      </c>
      <c r="L311" s="199"/>
      <c r="M311" s="211" t="e">
        <f t="shared" si="29"/>
        <v>#DIV/0!</v>
      </c>
      <c r="N311" s="199"/>
      <c r="O311" s="198"/>
      <c r="P311" s="200"/>
      <c r="Q311" s="198"/>
      <c r="R311" s="200"/>
      <c r="S311" s="199"/>
      <c r="T311" s="198"/>
      <c r="U311" s="198"/>
      <c r="V311" s="198"/>
      <c r="W311" s="205">
        <v>1</v>
      </c>
      <c r="X311" s="198"/>
    </row>
    <row r="312" spans="2:24">
      <c r="B312" s="494"/>
      <c r="C312" s="474"/>
      <c r="D312" s="209">
        <v>206</v>
      </c>
      <c r="E312" s="198"/>
      <c r="F312" s="199"/>
      <c r="G312" s="198"/>
      <c r="H312" s="198"/>
      <c r="I312" s="210" t="e">
        <f t="shared" si="27"/>
        <v>#DIV/0!</v>
      </c>
      <c r="J312" s="198"/>
      <c r="K312" s="210" t="e">
        <f t="shared" si="28"/>
        <v>#DIV/0!</v>
      </c>
      <c r="L312" s="199"/>
      <c r="M312" s="211" t="e">
        <f t="shared" si="29"/>
        <v>#DIV/0!</v>
      </c>
      <c r="N312" s="199"/>
      <c r="O312" s="198"/>
      <c r="P312" s="200"/>
      <c r="Q312" s="198"/>
      <c r="R312" s="200"/>
      <c r="S312" s="199"/>
      <c r="T312" s="198"/>
      <c r="U312" s="198"/>
      <c r="V312" s="198"/>
      <c r="W312" s="205">
        <v>1</v>
      </c>
      <c r="X312" s="198"/>
    </row>
    <row r="313" spans="2:24">
      <c r="B313" s="494"/>
      <c r="C313" s="474"/>
      <c r="D313" s="209">
        <v>207</v>
      </c>
      <c r="E313" s="198"/>
      <c r="F313" s="199"/>
      <c r="G313" s="198"/>
      <c r="H313" s="198"/>
      <c r="I313" s="210" t="e">
        <f t="shared" si="27"/>
        <v>#DIV/0!</v>
      </c>
      <c r="J313" s="198"/>
      <c r="K313" s="210" t="e">
        <f t="shared" si="28"/>
        <v>#DIV/0!</v>
      </c>
      <c r="L313" s="199"/>
      <c r="M313" s="211" t="e">
        <f t="shared" si="29"/>
        <v>#DIV/0!</v>
      </c>
      <c r="N313" s="199"/>
      <c r="O313" s="198"/>
      <c r="P313" s="200"/>
      <c r="Q313" s="198"/>
      <c r="R313" s="200"/>
      <c r="S313" s="199"/>
      <c r="T313" s="198"/>
      <c r="U313" s="198"/>
      <c r="V313" s="198"/>
      <c r="W313" s="205">
        <v>1</v>
      </c>
      <c r="X313" s="198"/>
    </row>
    <row r="314" spans="2:24">
      <c r="B314" s="494"/>
      <c r="C314" s="474"/>
      <c r="D314" s="209">
        <v>208</v>
      </c>
      <c r="E314" s="198"/>
      <c r="F314" s="199"/>
      <c r="G314" s="198"/>
      <c r="H314" s="198"/>
      <c r="I314" s="210" t="e">
        <f t="shared" si="27"/>
        <v>#DIV/0!</v>
      </c>
      <c r="J314" s="198"/>
      <c r="K314" s="210" t="e">
        <f t="shared" si="28"/>
        <v>#DIV/0!</v>
      </c>
      <c r="L314" s="199"/>
      <c r="M314" s="211" t="e">
        <f t="shared" si="29"/>
        <v>#DIV/0!</v>
      </c>
      <c r="N314" s="199"/>
      <c r="O314" s="198"/>
      <c r="P314" s="200"/>
      <c r="Q314" s="198"/>
      <c r="R314" s="200"/>
      <c r="S314" s="199"/>
      <c r="T314" s="198"/>
      <c r="U314" s="198"/>
      <c r="V314" s="198"/>
      <c r="W314" s="205">
        <v>1</v>
      </c>
      <c r="X314" s="198"/>
    </row>
    <row r="315" spans="2:24">
      <c r="B315" s="494"/>
      <c r="C315" s="474"/>
      <c r="D315" s="209">
        <v>209</v>
      </c>
      <c r="E315" s="198"/>
      <c r="F315" s="199"/>
      <c r="G315" s="198"/>
      <c r="H315" s="198"/>
      <c r="I315" s="210" t="e">
        <f t="shared" si="27"/>
        <v>#DIV/0!</v>
      </c>
      <c r="J315" s="198"/>
      <c r="K315" s="210" t="e">
        <f t="shared" si="28"/>
        <v>#DIV/0!</v>
      </c>
      <c r="L315" s="199"/>
      <c r="M315" s="211" t="e">
        <f t="shared" si="29"/>
        <v>#DIV/0!</v>
      </c>
      <c r="N315" s="199"/>
      <c r="O315" s="198"/>
      <c r="P315" s="200"/>
      <c r="Q315" s="198"/>
      <c r="R315" s="200"/>
      <c r="S315" s="199"/>
      <c r="T315" s="198"/>
      <c r="U315" s="198"/>
      <c r="V315" s="198"/>
      <c r="W315" s="205">
        <v>1</v>
      </c>
      <c r="X315" s="198"/>
    </row>
    <row r="316" spans="2:24">
      <c r="B316" s="494"/>
      <c r="C316" s="474"/>
      <c r="D316" s="209">
        <v>210</v>
      </c>
      <c r="E316" s="198"/>
      <c r="F316" s="199"/>
      <c r="G316" s="198"/>
      <c r="H316" s="198"/>
      <c r="I316" s="210" t="e">
        <f t="shared" si="27"/>
        <v>#DIV/0!</v>
      </c>
      <c r="J316" s="198"/>
      <c r="K316" s="210" t="e">
        <f t="shared" si="28"/>
        <v>#DIV/0!</v>
      </c>
      <c r="L316" s="199"/>
      <c r="M316" s="211" t="e">
        <f t="shared" si="29"/>
        <v>#DIV/0!</v>
      </c>
      <c r="N316" s="199"/>
      <c r="O316" s="198"/>
      <c r="P316" s="200"/>
      <c r="Q316" s="198"/>
      <c r="R316" s="200"/>
      <c r="S316" s="199"/>
      <c r="T316" s="198"/>
      <c r="U316" s="198"/>
      <c r="V316" s="198"/>
      <c r="W316" s="205">
        <v>1</v>
      </c>
      <c r="X316" s="198"/>
    </row>
    <row r="317" spans="2:24">
      <c r="C317" s="495"/>
    </row>
    <row r="318" spans="2:24">
      <c r="C318" s="495"/>
    </row>
    <row r="319" spans="2:24">
      <c r="C319" s="495"/>
    </row>
    <row r="320" spans="2:24">
      <c r="C320" s="495"/>
    </row>
    <row r="321" spans="3:3">
      <c r="C321" s="495"/>
    </row>
    <row r="322" spans="3:3">
      <c r="C322" s="495"/>
    </row>
    <row r="323" spans="3:3">
      <c r="C323" s="495"/>
    </row>
    <row r="324" spans="3:3">
      <c r="C324" s="495"/>
    </row>
    <row r="325" spans="3:3">
      <c r="C325" s="495"/>
    </row>
    <row r="326" spans="3:3">
      <c r="C326" s="495"/>
    </row>
  </sheetData>
  <mergeCells count="82"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247:B256"/>
    <mergeCell ref="B257:B266"/>
    <mergeCell ref="B267:B276"/>
    <mergeCell ref="B277:B286"/>
    <mergeCell ref="B187:B196"/>
    <mergeCell ref="B197:B20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</mergeCells>
  <phoneticPr fontId="17" type="noConversion"/>
  <dataValidations count="2">
    <dataValidation type="list" allowBlank="1" showInputMessage="1" showErrorMessage="1" sqref="U1:U1048576" xr:uid="{00000000-0002-0000-0C00-000000000000}">
      <formula1>$AB$28:$AB$35</formula1>
    </dataValidation>
    <dataValidation type="list" allowBlank="1" showInputMessage="1" showErrorMessage="1" sqref="T1:T1048576" xr:uid="{00000000-0002-0000-0C00-000001000000}">
      <formula1>$AB$38:$AB$42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B2:AH326"/>
  <sheetViews>
    <sheetView zoomScale="70" zoomScaleNormal="70" workbookViewId="0">
      <pane xSplit="4" ySplit="6" topLeftCell="L7" activePane="bottomRight" state="frozen"/>
      <selection pane="bottomRight" activeCell="O33" sqref="O33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6.85546875" style="196" customWidth="1"/>
    <col min="5" max="5" width="39.28515625" style="196" bestFit="1" customWidth="1"/>
    <col min="6" max="6" width="13.5703125" style="196" bestFit="1" customWidth="1"/>
    <col min="7" max="7" width="16" style="196" bestFit="1" customWidth="1"/>
    <col min="8" max="8" width="13.5703125" style="196" bestFit="1" customWidth="1"/>
    <col min="9" max="9" width="16.85546875" style="196" customWidth="1"/>
    <col min="10" max="10" width="10.28515625" style="196" bestFit="1" customWidth="1"/>
    <col min="11" max="11" width="11.5703125" style="196" bestFit="1" customWidth="1"/>
    <col min="12" max="12" width="10.28515625" style="196" bestFit="1" customWidth="1"/>
    <col min="13" max="13" width="19.42578125" style="196" customWidth="1"/>
    <col min="14" max="14" width="13.5703125" style="196" bestFit="1" customWidth="1"/>
    <col min="15" max="18" width="14" style="196" customWidth="1"/>
    <col min="19" max="19" width="17.42578125" style="196" bestFit="1" customWidth="1"/>
    <col min="20" max="20" width="16.42578125" style="196" bestFit="1" customWidth="1"/>
    <col min="21" max="21" width="35.28515625" style="196" bestFit="1" customWidth="1"/>
    <col min="22" max="22" width="96.28515625" style="196" customWidth="1"/>
    <col min="23" max="23" width="7.42578125" style="196" bestFit="1" customWidth="1"/>
    <col min="24" max="24" width="39.285156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478" t="s">
        <v>316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Z2" s="197"/>
      <c r="AA2" s="197"/>
    </row>
    <row r="3" spans="2:34" ht="17.100000000000001" customHeight="1">
      <c r="B3" s="480" t="s">
        <v>45</v>
      </c>
      <c r="C3" s="481"/>
      <c r="D3" s="477" t="s">
        <v>193</v>
      </c>
      <c r="E3" s="477"/>
      <c r="F3" s="477"/>
      <c r="G3" s="477" t="s">
        <v>194</v>
      </c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 t="s">
        <v>195</v>
      </c>
      <c r="U3" s="489" t="s">
        <v>196</v>
      </c>
      <c r="V3" s="489" t="s">
        <v>197</v>
      </c>
      <c r="W3" s="489" t="s">
        <v>198</v>
      </c>
      <c r="X3" s="492" t="s">
        <v>199</v>
      </c>
      <c r="Z3" s="477" t="s">
        <v>200</v>
      </c>
      <c r="AA3" s="477"/>
      <c r="AB3" s="477"/>
      <c r="AC3" s="477"/>
      <c r="AD3" s="477"/>
      <c r="AE3" s="477"/>
      <c r="AF3" s="477"/>
      <c r="AG3" s="477"/>
      <c r="AH3" s="477"/>
    </row>
    <row r="4" spans="2:34" ht="17.100000000000001" customHeight="1">
      <c r="B4" s="482"/>
      <c r="C4" s="483"/>
      <c r="D4" s="476" t="s">
        <v>201</v>
      </c>
      <c r="E4" s="477" t="s">
        <v>202</v>
      </c>
      <c r="F4" s="477"/>
      <c r="G4" s="477" t="s">
        <v>203</v>
      </c>
      <c r="H4" s="477"/>
      <c r="I4" s="477"/>
      <c r="J4" s="477"/>
      <c r="K4" s="477"/>
      <c r="L4" s="477"/>
      <c r="M4" s="477"/>
      <c r="N4" s="477"/>
      <c r="O4" s="477" t="s">
        <v>204</v>
      </c>
      <c r="P4" s="477"/>
      <c r="Q4" s="477"/>
      <c r="R4" s="477"/>
      <c r="S4" s="477"/>
      <c r="T4" s="477"/>
      <c r="U4" s="490"/>
      <c r="V4" s="490"/>
      <c r="W4" s="490"/>
      <c r="X4" s="492"/>
      <c r="Z4" s="477"/>
      <c r="AA4" s="477"/>
      <c r="AB4" s="477"/>
      <c r="AC4" s="477"/>
      <c r="AD4" s="477"/>
      <c r="AE4" s="477"/>
      <c r="AF4" s="477"/>
      <c r="AG4" s="477"/>
      <c r="AH4" s="477"/>
    </row>
    <row r="5" spans="2:34" ht="17.100000000000001" customHeight="1">
      <c r="B5" s="482"/>
      <c r="C5" s="483"/>
      <c r="D5" s="476"/>
      <c r="E5" s="476" t="s">
        <v>205</v>
      </c>
      <c r="F5" s="492" t="s">
        <v>317</v>
      </c>
      <c r="G5" s="472" t="s">
        <v>207</v>
      </c>
      <c r="H5" s="472"/>
      <c r="I5" s="472"/>
      <c r="J5" s="472"/>
      <c r="K5" s="472"/>
      <c r="L5" s="472"/>
      <c r="M5" s="472"/>
      <c r="N5" s="472"/>
      <c r="O5" s="496" t="s">
        <v>208</v>
      </c>
      <c r="P5" s="497"/>
      <c r="Q5" s="498"/>
      <c r="R5" s="472" t="s">
        <v>209</v>
      </c>
      <c r="S5" s="472"/>
      <c r="T5" s="477"/>
      <c r="U5" s="490"/>
      <c r="V5" s="490"/>
      <c r="W5" s="490"/>
      <c r="X5" s="492"/>
      <c r="Z5" s="477"/>
      <c r="AA5" s="477"/>
      <c r="AB5" s="477"/>
      <c r="AC5" s="477"/>
      <c r="AD5" s="477"/>
      <c r="AE5" s="477"/>
      <c r="AF5" s="477"/>
      <c r="AG5" s="477"/>
      <c r="AH5" s="477"/>
    </row>
    <row r="6" spans="2:34" ht="38.450000000000003" customHeight="1">
      <c r="B6" s="484"/>
      <c r="C6" s="485"/>
      <c r="D6" s="476"/>
      <c r="E6" s="476"/>
      <c r="F6" s="492"/>
      <c r="G6" s="207" t="s">
        <v>210</v>
      </c>
      <c r="H6" s="207" t="s">
        <v>211</v>
      </c>
      <c r="I6" s="207" t="s">
        <v>212</v>
      </c>
      <c r="J6" s="207" t="s">
        <v>213</v>
      </c>
      <c r="K6" s="207" t="s">
        <v>214</v>
      </c>
      <c r="L6" s="207" t="s">
        <v>215</v>
      </c>
      <c r="M6" s="207" t="s">
        <v>216</v>
      </c>
      <c r="N6" s="207" t="s">
        <v>217</v>
      </c>
      <c r="O6" s="208" t="s">
        <v>218</v>
      </c>
      <c r="P6" s="208" t="s">
        <v>219</v>
      </c>
      <c r="Q6" s="207" t="s">
        <v>220</v>
      </c>
      <c r="R6" s="208" t="s">
        <v>218</v>
      </c>
      <c r="S6" s="208" t="s">
        <v>219</v>
      </c>
      <c r="T6" s="477"/>
      <c r="U6" s="491"/>
      <c r="V6" s="491"/>
      <c r="W6" s="491"/>
      <c r="X6" s="492"/>
      <c r="Z6" s="228" t="s">
        <v>221</v>
      </c>
      <c r="AA6" s="228" t="s">
        <v>222</v>
      </c>
      <c r="AB6" s="222" t="s">
        <v>223</v>
      </c>
      <c r="AC6" s="222" t="s">
        <v>164</v>
      </c>
      <c r="AD6" s="222" t="s">
        <v>224</v>
      </c>
      <c r="AE6" s="222" t="s">
        <v>225</v>
      </c>
      <c r="AF6" s="222" t="s">
        <v>226</v>
      </c>
      <c r="AG6" s="222" t="s">
        <v>227</v>
      </c>
      <c r="AH6" s="222" t="s">
        <v>228</v>
      </c>
    </row>
    <row r="7" spans="2:34" ht="16.5">
      <c r="B7" s="473">
        <v>45901</v>
      </c>
      <c r="C7" s="475" t="s">
        <v>56</v>
      </c>
      <c r="D7" s="209">
        <v>1</v>
      </c>
      <c r="E7" s="198" t="s">
        <v>229</v>
      </c>
      <c r="F7" s="273">
        <v>2251.204200000006</v>
      </c>
      <c r="G7" s="273">
        <v>222.48</v>
      </c>
      <c r="H7" s="273">
        <v>231.57900000000001</v>
      </c>
      <c r="I7" s="210">
        <f>H7/G7</f>
        <v>1.0408980582524272</v>
      </c>
      <c r="J7" s="233">
        <v>0</v>
      </c>
      <c r="K7" s="210">
        <f>J7/G7</f>
        <v>0</v>
      </c>
      <c r="L7" s="233">
        <v>335.3</v>
      </c>
      <c r="M7" s="211">
        <f>(H7+J7)/G7</f>
        <v>1.0408980582524272</v>
      </c>
      <c r="N7" s="273">
        <v>3050.8947000000062</v>
      </c>
      <c r="O7" s="273">
        <v>2.3849999999999998</v>
      </c>
      <c r="P7" s="206">
        <v>1.0720064724919093E-2</v>
      </c>
      <c r="Q7" s="273">
        <v>799.69049999999993</v>
      </c>
      <c r="R7" s="273">
        <v>6.7140000000000182</v>
      </c>
      <c r="S7" s="206">
        <v>3.0177993527508173E-2</v>
      </c>
      <c r="T7" s="229" t="s">
        <v>230</v>
      </c>
      <c r="U7" s="198" t="s">
        <v>181</v>
      </c>
      <c r="V7" s="205" t="s">
        <v>231</v>
      </c>
      <c r="W7" s="205">
        <v>1</v>
      </c>
      <c r="X7" s="205" t="s">
        <v>232</v>
      </c>
      <c r="Y7" s="201" t="s">
        <v>233</v>
      </c>
      <c r="Z7" s="225">
        <f>SUM(W7:W46)</f>
        <v>40</v>
      </c>
      <c r="AA7" s="224">
        <f ca="1">SUMIF($U$7:$U$10000,TRIM(AA6),$W$7:$W$46)</f>
        <v>0</v>
      </c>
      <c r="AB7" s="224">
        <f ca="1">SUMIF($U$7:$U$10000,TRIM(AB6),$W$7:$W$46)</f>
        <v>0</v>
      </c>
      <c r="AC7" s="224">
        <f t="shared" ref="AC7:AH7" ca="1" si="0">SUMIF($U$7:$U$10000,TRIM(AC6),$W$7:$W$46)</f>
        <v>2</v>
      </c>
      <c r="AD7" s="224">
        <f t="shared" ca="1" si="0"/>
        <v>250</v>
      </c>
      <c r="AE7" s="224">
        <f t="shared" ca="1" si="0"/>
        <v>15</v>
      </c>
      <c r="AF7" s="224">
        <f t="shared" ca="1" si="0"/>
        <v>30</v>
      </c>
      <c r="AG7" s="224">
        <f t="shared" ca="1" si="0"/>
        <v>1</v>
      </c>
      <c r="AH7" s="224">
        <f t="shared" ca="1" si="0"/>
        <v>0</v>
      </c>
    </row>
    <row r="8" spans="2:34" ht="16.5">
      <c r="B8" s="474"/>
      <c r="C8" s="474"/>
      <c r="D8" s="209">
        <v>2</v>
      </c>
      <c r="E8" s="198" t="s">
        <v>303</v>
      </c>
      <c r="F8" s="273">
        <v>901</v>
      </c>
      <c r="G8" s="273">
        <v>98.21</v>
      </c>
      <c r="H8" s="273">
        <v>118.1</v>
      </c>
      <c r="I8" s="210">
        <f t="shared" ref="I8:I71" si="1">H8/G8</f>
        <v>1.2025252010996843</v>
      </c>
      <c r="J8" s="233">
        <v>0</v>
      </c>
      <c r="K8" s="210">
        <f t="shared" ref="K8:K71" si="2">J8/G8</f>
        <v>0</v>
      </c>
      <c r="L8" s="233">
        <v>54.97</v>
      </c>
      <c r="M8" s="211">
        <f t="shared" ref="M8:M71" si="3">(H8+J8)/G8</f>
        <v>1.2025252010996843</v>
      </c>
      <c r="N8" s="273">
        <v>1093.3533</v>
      </c>
      <c r="O8" s="273">
        <v>3.5</v>
      </c>
      <c r="P8" s="206">
        <v>3.5637918745545262E-2</v>
      </c>
      <c r="Q8" s="273">
        <v>192.39499999999998</v>
      </c>
      <c r="R8" s="273">
        <v>16.39</v>
      </c>
      <c r="S8" s="206">
        <v>0.1668872823541391</v>
      </c>
      <c r="T8" s="229" t="s">
        <v>272</v>
      </c>
      <c r="U8" s="198" t="s">
        <v>165</v>
      </c>
      <c r="V8" s="229" t="s">
        <v>253</v>
      </c>
      <c r="W8" s="205">
        <v>1</v>
      </c>
      <c r="X8" s="205" t="s">
        <v>124</v>
      </c>
      <c r="Y8" s="201"/>
      <c r="Z8" s="225"/>
      <c r="AA8" s="227">
        <f t="shared" ref="AA8:AH8" ca="1" si="4">SUMIF($U$7:$U$466,TRIM(AA6),$F$7:$F$46)</f>
        <v>0</v>
      </c>
      <c r="AB8" s="227">
        <f t="shared" ca="1" si="4"/>
        <v>0</v>
      </c>
      <c r="AC8" s="227">
        <f t="shared" ca="1" si="4"/>
        <v>1549.151180000003</v>
      </c>
      <c r="AD8" s="227">
        <f t="shared" ca="1" si="4"/>
        <v>276646.34998567577</v>
      </c>
      <c r="AE8" s="227">
        <f t="shared" ca="1" si="4"/>
        <v>16809.281909999998</v>
      </c>
      <c r="AF8" s="227">
        <f t="shared" ca="1" si="4"/>
        <v>55834.435600000012</v>
      </c>
      <c r="AG8" s="227">
        <f t="shared" ca="1" si="4"/>
        <v>1348.5</v>
      </c>
      <c r="AH8" s="227">
        <f t="shared" ca="1" si="4"/>
        <v>0</v>
      </c>
    </row>
    <row r="9" spans="2:34" ht="15.75">
      <c r="B9" s="474"/>
      <c r="C9" s="474"/>
      <c r="D9" s="209">
        <v>3</v>
      </c>
      <c r="E9" s="198" t="s">
        <v>271</v>
      </c>
      <c r="F9" s="273">
        <v>899.45580000000109</v>
      </c>
      <c r="G9" s="273">
        <v>247.14</v>
      </c>
      <c r="H9" s="273">
        <v>247</v>
      </c>
      <c r="I9" s="210">
        <f t="shared" si="1"/>
        <v>0.9994335194626528</v>
      </c>
      <c r="J9" s="233">
        <v>7.6</v>
      </c>
      <c r="K9" s="210">
        <f t="shared" si="2"/>
        <v>3.0751800598850854E-2</v>
      </c>
      <c r="L9" s="233">
        <v>141.87</v>
      </c>
      <c r="M9" s="211">
        <f t="shared" si="3"/>
        <v>1.0301853200615037</v>
      </c>
      <c r="N9" s="273">
        <v>1058.3502000000012</v>
      </c>
      <c r="O9" s="273">
        <v>1.1200000000000001</v>
      </c>
      <c r="P9" s="206">
        <v>4.5318442987780216E-3</v>
      </c>
      <c r="Q9" s="273">
        <v>158.89440000000002</v>
      </c>
      <c r="R9" s="273">
        <v>6.3400000000000079</v>
      </c>
      <c r="S9" s="206">
        <v>2.5653475762725614E-2</v>
      </c>
      <c r="T9" s="235" t="s">
        <v>272</v>
      </c>
      <c r="U9" s="198" t="s">
        <v>165</v>
      </c>
      <c r="V9" s="205"/>
      <c r="W9" s="205">
        <v>1</v>
      </c>
      <c r="X9" s="205" t="s">
        <v>109</v>
      </c>
      <c r="Y9" s="201"/>
      <c r="Z9" s="225">
        <f>SUM(W47:W116)</f>
        <v>70</v>
      </c>
      <c r="AA9" s="224">
        <f t="shared" ref="AA9:AH9" si="5">SUMIF($U$47:$U$116,TRIM(AA6),$W$47:$W$116)</f>
        <v>0</v>
      </c>
      <c r="AB9" s="224">
        <f t="shared" si="5"/>
        <v>0</v>
      </c>
      <c r="AC9" s="224">
        <f t="shared" si="5"/>
        <v>1</v>
      </c>
      <c r="AD9" s="224">
        <f t="shared" si="5"/>
        <v>58</v>
      </c>
      <c r="AE9" s="224">
        <f t="shared" si="5"/>
        <v>4</v>
      </c>
      <c r="AF9" s="224">
        <f t="shared" si="5"/>
        <v>7</v>
      </c>
      <c r="AG9" s="224">
        <f t="shared" si="5"/>
        <v>0</v>
      </c>
      <c r="AH9" s="224">
        <f t="shared" si="5"/>
        <v>0</v>
      </c>
    </row>
    <row r="10" spans="2:34" ht="15.75">
      <c r="B10" s="474"/>
      <c r="C10" s="474"/>
      <c r="D10" s="209">
        <v>4</v>
      </c>
      <c r="E10" s="198" t="s">
        <v>286</v>
      </c>
      <c r="F10" s="273">
        <v>885.4658999999956</v>
      </c>
      <c r="G10" s="273">
        <v>748.22</v>
      </c>
      <c r="H10" s="273">
        <v>754.49199999999996</v>
      </c>
      <c r="I10" s="210">
        <f t="shared" si="1"/>
        <v>1.0083825612787682</v>
      </c>
      <c r="J10" s="233">
        <v>17.707999999999998</v>
      </c>
      <c r="K10" s="210">
        <f t="shared" si="2"/>
        <v>2.3666835957338747E-2</v>
      </c>
      <c r="L10" s="233">
        <v>46.53</v>
      </c>
      <c r="M10" s="211">
        <f t="shared" si="3"/>
        <v>1.0320493972361069</v>
      </c>
      <c r="N10" s="273">
        <v>1115.7893999999956</v>
      </c>
      <c r="O10" s="273">
        <v>4.95</v>
      </c>
      <c r="P10" s="206">
        <v>6.6157012643340198E-3</v>
      </c>
      <c r="Q10" s="273">
        <v>230.32350000000002</v>
      </c>
      <c r="R10" s="273">
        <v>19.029999999999905</v>
      </c>
      <c r="S10" s="206">
        <v>2.543369597177288E-2</v>
      </c>
      <c r="T10" s="235" t="s">
        <v>272</v>
      </c>
      <c r="U10" s="198" t="s">
        <v>165</v>
      </c>
      <c r="V10" s="205"/>
      <c r="W10" s="205">
        <v>1</v>
      </c>
      <c r="X10" s="205" t="s">
        <v>113</v>
      </c>
      <c r="Y10" s="201" t="s">
        <v>240</v>
      </c>
      <c r="Z10" s="224"/>
      <c r="AA10" s="227">
        <f t="shared" ref="AA10:AH10" si="6">SUMIF($U$47:$U$116,TRIM(AA6),$F$47:$F$116)</f>
        <v>0</v>
      </c>
      <c r="AB10" s="227">
        <f t="shared" si="6"/>
        <v>0</v>
      </c>
      <c r="AC10" s="227">
        <f t="shared" si="6"/>
        <v>288.762</v>
      </c>
      <c r="AD10" s="227">
        <f t="shared" si="6"/>
        <v>41242.525380000014</v>
      </c>
      <c r="AE10" s="227">
        <f t="shared" si="6"/>
        <v>5750.8500799999993</v>
      </c>
      <c r="AF10" s="227">
        <f t="shared" si="6"/>
        <v>14435.335600000011</v>
      </c>
      <c r="AG10" s="227">
        <f t="shared" si="6"/>
        <v>0</v>
      </c>
      <c r="AH10" s="227">
        <f t="shared" si="6"/>
        <v>0</v>
      </c>
    </row>
    <row r="11" spans="2:34" ht="15.75">
      <c r="B11" s="474"/>
      <c r="C11" s="474"/>
      <c r="D11" s="209">
        <v>5</v>
      </c>
      <c r="E11" s="198" t="s">
        <v>268</v>
      </c>
      <c r="F11" s="273">
        <v>817.03404999999157</v>
      </c>
      <c r="G11" s="273">
        <v>806.49</v>
      </c>
      <c r="H11" s="273">
        <v>811.92499999999995</v>
      </c>
      <c r="I11" s="210">
        <f t="shared" si="1"/>
        <v>1.006739079219829</v>
      </c>
      <c r="J11" s="233">
        <v>0</v>
      </c>
      <c r="K11" s="210">
        <f t="shared" si="2"/>
        <v>0</v>
      </c>
      <c r="L11" s="233">
        <v>156.67000000000002</v>
      </c>
      <c r="M11" s="211">
        <f t="shared" si="3"/>
        <v>1.006739079219829</v>
      </c>
      <c r="N11" s="273">
        <v>851.50144999999156</v>
      </c>
      <c r="O11" s="273">
        <v>0.22</v>
      </c>
      <c r="P11" s="206">
        <v>2.7278701533806993E-4</v>
      </c>
      <c r="Q11" s="273">
        <v>34.467400000000005</v>
      </c>
      <c r="R11" s="273">
        <v>5.2149999999999457</v>
      </c>
      <c r="S11" s="206">
        <v>6.466292204490999E-3</v>
      </c>
      <c r="T11" s="235" t="s">
        <v>272</v>
      </c>
      <c r="U11" s="198" t="s">
        <v>165</v>
      </c>
      <c r="V11" s="205"/>
      <c r="W11" s="205">
        <v>1</v>
      </c>
      <c r="X11" s="205" t="s">
        <v>244</v>
      </c>
      <c r="Y11" s="201"/>
      <c r="Z11" s="224"/>
      <c r="AA11" s="225"/>
      <c r="AB11" s="225"/>
      <c r="AC11" s="224"/>
      <c r="AD11" s="224"/>
      <c r="AE11" s="224"/>
      <c r="AF11" s="224"/>
      <c r="AG11" s="224"/>
      <c r="AH11" s="224"/>
    </row>
    <row r="12" spans="2:34" ht="15.75">
      <c r="B12" s="474"/>
      <c r="C12" s="474"/>
      <c r="D12" s="209">
        <v>6</v>
      </c>
      <c r="E12" s="198" t="s">
        <v>318</v>
      </c>
      <c r="F12" s="273">
        <v>699.20000000000186</v>
      </c>
      <c r="G12" s="273">
        <v>168.50399999999999</v>
      </c>
      <c r="H12" s="273">
        <v>172</v>
      </c>
      <c r="I12" s="210">
        <f t="shared" si="1"/>
        <v>1.020747281963633</v>
      </c>
      <c r="J12" s="233">
        <v>0</v>
      </c>
      <c r="K12" s="210">
        <f t="shared" si="2"/>
        <v>0</v>
      </c>
      <c r="L12" s="233">
        <v>200</v>
      </c>
      <c r="M12" s="211">
        <f t="shared" si="3"/>
        <v>1.020747281963633</v>
      </c>
      <c r="N12" s="273">
        <v>699.20000000000186</v>
      </c>
      <c r="O12" s="273">
        <v>0</v>
      </c>
      <c r="P12" s="206">
        <v>0</v>
      </c>
      <c r="Q12" s="273">
        <v>0</v>
      </c>
      <c r="R12" s="273">
        <v>3.4960000000000093</v>
      </c>
      <c r="S12" s="206">
        <v>2.0747281963632968E-2</v>
      </c>
      <c r="T12" s="235" t="s">
        <v>272</v>
      </c>
      <c r="U12" s="198" t="s">
        <v>165</v>
      </c>
      <c r="V12" s="205"/>
      <c r="W12" s="205">
        <v>1</v>
      </c>
      <c r="X12" s="205" t="s">
        <v>105</v>
      </c>
      <c r="Y12" s="201"/>
      <c r="Z12" s="225">
        <f>SUM(W117:W186)</f>
        <v>68</v>
      </c>
      <c r="AA12" s="224">
        <f t="shared" ref="AA12:AH12" si="7">SUMIF($U$117:$U$186,TRIM(AA6),$W$117:$W$186)</f>
        <v>0</v>
      </c>
      <c r="AB12" s="224">
        <f t="shared" si="7"/>
        <v>0</v>
      </c>
      <c r="AC12" s="224">
        <f t="shared" si="7"/>
        <v>1</v>
      </c>
      <c r="AD12" s="224">
        <f t="shared" si="7"/>
        <v>55</v>
      </c>
      <c r="AE12" s="224">
        <f t="shared" si="7"/>
        <v>5</v>
      </c>
      <c r="AF12" s="224">
        <f t="shared" si="7"/>
        <v>7</v>
      </c>
      <c r="AG12" s="224">
        <f t="shared" si="7"/>
        <v>0</v>
      </c>
      <c r="AH12" s="224">
        <f t="shared" si="7"/>
        <v>0</v>
      </c>
    </row>
    <row r="13" spans="2:34" ht="15.75">
      <c r="B13" s="474"/>
      <c r="C13" s="474"/>
      <c r="D13" s="209">
        <v>7</v>
      </c>
      <c r="E13" s="198" t="s">
        <v>263</v>
      </c>
      <c r="F13" s="273">
        <v>679.99999999999761</v>
      </c>
      <c r="G13" s="273">
        <v>405.72</v>
      </c>
      <c r="H13" s="273">
        <v>415</v>
      </c>
      <c r="I13" s="210">
        <f t="shared" si="1"/>
        <v>1.022872917282855</v>
      </c>
      <c r="J13" s="233">
        <v>0</v>
      </c>
      <c r="K13" s="210">
        <f t="shared" si="2"/>
        <v>0</v>
      </c>
      <c r="L13" s="233">
        <v>85</v>
      </c>
      <c r="M13" s="211">
        <f t="shared" si="3"/>
        <v>1.022872917282855</v>
      </c>
      <c r="N13" s="273">
        <v>788.79999999999768</v>
      </c>
      <c r="O13" s="273">
        <v>1.28</v>
      </c>
      <c r="P13" s="206">
        <v>3.1548851424627821E-3</v>
      </c>
      <c r="Q13" s="273">
        <v>108.8</v>
      </c>
      <c r="R13" s="273">
        <v>7.9999999999999725</v>
      </c>
      <c r="S13" s="206">
        <v>1.9718032140392319E-2</v>
      </c>
      <c r="T13" s="235" t="s">
        <v>272</v>
      </c>
      <c r="U13" s="198" t="s">
        <v>165</v>
      </c>
      <c r="V13" s="205"/>
      <c r="W13" s="205">
        <v>1</v>
      </c>
      <c r="X13" s="205" t="s">
        <v>122</v>
      </c>
      <c r="Y13" s="201" t="s">
        <v>247</v>
      </c>
      <c r="Z13" s="224"/>
      <c r="AA13" s="227">
        <f t="shared" ref="AA13:AH13" si="8">SUMIF($U$117:$U$186,TRIM(AA6),$F$117:$F$186)</f>
        <v>0</v>
      </c>
      <c r="AB13" s="227">
        <f t="shared" si="8"/>
        <v>0</v>
      </c>
      <c r="AC13" s="227">
        <f t="shared" si="8"/>
        <v>1260.3891800000031</v>
      </c>
      <c r="AD13" s="227">
        <f t="shared" si="8"/>
        <v>73851.940090000004</v>
      </c>
      <c r="AE13" s="227">
        <f t="shared" si="8"/>
        <v>5941.5132699999986</v>
      </c>
      <c r="AF13" s="227">
        <f t="shared" si="8"/>
        <v>12187.093400000002</v>
      </c>
      <c r="AG13" s="227">
        <f t="shared" si="8"/>
        <v>0</v>
      </c>
      <c r="AH13" s="227">
        <f t="shared" si="8"/>
        <v>0</v>
      </c>
    </row>
    <row r="14" spans="2:34" ht="15.75">
      <c r="B14" s="474"/>
      <c r="C14" s="474"/>
      <c r="D14" s="209">
        <v>8</v>
      </c>
      <c r="E14" s="198" t="s">
        <v>270</v>
      </c>
      <c r="F14" s="273">
        <v>561.87823999999796</v>
      </c>
      <c r="G14" s="273">
        <v>730.60900000000004</v>
      </c>
      <c r="H14" s="273">
        <v>741</v>
      </c>
      <c r="I14" s="210">
        <f t="shared" si="1"/>
        <v>1.0142223816021976</v>
      </c>
      <c r="J14" s="233">
        <v>0</v>
      </c>
      <c r="K14" s="210">
        <f t="shared" si="2"/>
        <v>0</v>
      </c>
      <c r="L14" s="233">
        <v>54.11</v>
      </c>
      <c r="M14" s="211">
        <f t="shared" si="3"/>
        <v>1.0142223816021976</v>
      </c>
      <c r="N14" s="273">
        <v>562.25700999999799</v>
      </c>
      <c r="O14" s="273">
        <v>7.0000000000000001E-3</v>
      </c>
      <c r="P14" s="206">
        <v>9.5810481392920151E-6</v>
      </c>
      <c r="Q14" s="273">
        <v>0.37877</v>
      </c>
      <c r="R14" s="273">
        <v>10.383999999999963</v>
      </c>
      <c r="S14" s="206">
        <v>1.4212800554058276E-2</v>
      </c>
      <c r="T14" s="235" t="s">
        <v>272</v>
      </c>
      <c r="U14" s="198" t="s">
        <v>165</v>
      </c>
      <c r="V14" s="205"/>
      <c r="W14" s="205">
        <v>1</v>
      </c>
      <c r="X14" s="205" t="s">
        <v>114</v>
      </c>
      <c r="Y14" s="201"/>
      <c r="Z14" s="224"/>
      <c r="AA14" s="225"/>
      <c r="AB14" s="225"/>
      <c r="AC14" s="224"/>
      <c r="AD14" s="224"/>
      <c r="AE14" s="224"/>
      <c r="AF14" s="224"/>
      <c r="AG14" s="224"/>
      <c r="AH14" s="224"/>
    </row>
    <row r="15" spans="2:34" ht="15.75">
      <c r="B15" s="474"/>
      <c r="C15" s="474"/>
      <c r="D15" s="209">
        <v>9</v>
      </c>
      <c r="E15" s="198" t="s">
        <v>319</v>
      </c>
      <c r="F15" s="273">
        <v>486.33</v>
      </c>
      <c r="G15" s="273">
        <v>10.755000000000001</v>
      </c>
      <c r="H15" s="273">
        <v>13.55</v>
      </c>
      <c r="I15" s="210">
        <f t="shared" si="1"/>
        <v>1.2598791259879125</v>
      </c>
      <c r="J15" s="233">
        <v>0</v>
      </c>
      <c r="K15" s="210">
        <f t="shared" si="2"/>
        <v>0</v>
      </c>
      <c r="L15" s="233">
        <v>174</v>
      </c>
      <c r="M15" s="211">
        <f t="shared" si="3"/>
        <v>1.2598791259879125</v>
      </c>
      <c r="N15" s="273">
        <v>486.33</v>
      </c>
      <c r="O15" s="273">
        <v>0</v>
      </c>
      <c r="P15" s="206">
        <v>0</v>
      </c>
      <c r="Q15" s="273">
        <v>0</v>
      </c>
      <c r="R15" s="273">
        <v>2.7949999999999999</v>
      </c>
      <c r="S15" s="206">
        <v>0.25987912598791257</v>
      </c>
      <c r="T15" s="235" t="s">
        <v>272</v>
      </c>
      <c r="U15" s="198" t="s">
        <v>165</v>
      </c>
      <c r="V15" s="205"/>
      <c r="W15" s="205">
        <v>1</v>
      </c>
      <c r="X15" s="205" t="s">
        <v>242</v>
      </c>
      <c r="Y15" s="201"/>
      <c r="Z15" s="225">
        <f>SUM(W187:W256)</f>
        <v>70</v>
      </c>
      <c r="AA15" s="224">
        <f t="shared" ref="AA15:AH15" si="9">SUMIF($U$187:$U$256,TRIM(AA6),$W$187:$W$256)</f>
        <v>0</v>
      </c>
      <c r="AB15" s="224">
        <f t="shared" si="9"/>
        <v>0</v>
      </c>
      <c r="AC15" s="224">
        <f t="shared" si="9"/>
        <v>0</v>
      </c>
      <c r="AD15" s="224">
        <f t="shared" si="9"/>
        <v>59</v>
      </c>
      <c r="AE15" s="224">
        <f t="shared" si="9"/>
        <v>3</v>
      </c>
      <c r="AF15" s="224">
        <f t="shared" si="9"/>
        <v>7</v>
      </c>
      <c r="AG15" s="224">
        <f t="shared" si="9"/>
        <v>1</v>
      </c>
      <c r="AH15" s="224">
        <f t="shared" si="9"/>
        <v>0</v>
      </c>
    </row>
    <row r="16" spans="2:34" ht="15.75">
      <c r="B16" s="474"/>
      <c r="C16" s="474"/>
      <c r="D16" s="209">
        <v>10</v>
      </c>
      <c r="E16" s="198" t="s">
        <v>320</v>
      </c>
      <c r="F16" s="273">
        <v>421.72799999999995</v>
      </c>
      <c r="G16" s="273">
        <v>0.74160000000000004</v>
      </c>
      <c r="H16" s="273">
        <v>1.2</v>
      </c>
      <c r="I16" s="210">
        <f t="shared" si="1"/>
        <v>1.6181229773462782</v>
      </c>
      <c r="J16" s="233">
        <v>0</v>
      </c>
      <c r="K16" s="210">
        <f t="shared" si="2"/>
        <v>0</v>
      </c>
      <c r="L16" s="233">
        <v>920</v>
      </c>
      <c r="M16" s="211">
        <f t="shared" si="3"/>
        <v>1.6181229773462782</v>
      </c>
      <c r="N16" s="273">
        <v>421.72799999999995</v>
      </c>
      <c r="O16" s="273">
        <v>0</v>
      </c>
      <c r="P16" s="206">
        <v>0</v>
      </c>
      <c r="Q16" s="273">
        <v>0</v>
      </c>
      <c r="R16" s="273">
        <v>0.45839999999999992</v>
      </c>
      <c r="S16" s="206">
        <v>0.61812297734627819</v>
      </c>
      <c r="T16" s="235" t="s">
        <v>272</v>
      </c>
      <c r="U16" s="198" t="s">
        <v>165</v>
      </c>
      <c r="V16" s="205"/>
      <c r="W16" s="205">
        <v>1</v>
      </c>
      <c r="X16" s="205" t="s">
        <v>232</v>
      </c>
      <c r="Y16" s="201" t="s">
        <v>250</v>
      </c>
      <c r="Z16" s="224"/>
      <c r="AA16" s="227">
        <f t="shared" ref="AA16:AH16" si="10">SUMIF($U$187:$U$256,TRIM(AA6),$F$187:$F$256)</f>
        <v>0</v>
      </c>
      <c r="AB16" s="227">
        <f t="shared" si="10"/>
        <v>0</v>
      </c>
      <c r="AC16" s="227">
        <f t="shared" si="10"/>
        <v>0</v>
      </c>
      <c r="AD16" s="227">
        <f t="shared" si="10"/>
        <v>52566.26117000002</v>
      </c>
      <c r="AE16" s="227">
        <f t="shared" si="10"/>
        <v>2287.6094399999997</v>
      </c>
      <c r="AF16" s="227">
        <f t="shared" si="10"/>
        <v>15094.535399999999</v>
      </c>
      <c r="AG16" s="227">
        <f t="shared" si="10"/>
        <v>1348.5</v>
      </c>
      <c r="AH16" s="227">
        <f t="shared" si="10"/>
        <v>0</v>
      </c>
    </row>
    <row r="17" spans="2:34" ht="16.5">
      <c r="B17" s="473">
        <v>45902</v>
      </c>
      <c r="C17" s="475" t="s">
        <v>57</v>
      </c>
      <c r="D17" s="209">
        <v>1</v>
      </c>
      <c r="E17" s="198" t="s">
        <v>229</v>
      </c>
      <c r="F17" s="273">
        <v>1533.6622000000002</v>
      </c>
      <c r="G17" s="273">
        <v>212.4</v>
      </c>
      <c r="H17" s="273">
        <v>221.42400000000001</v>
      </c>
      <c r="I17" s="210">
        <f t="shared" si="1"/>
        <v>1.0424858757062148</v>
      </c>
      <c r="J17" s="233">
        <v>0</v>
      </c>
      <c r="K17" s="210">
        <f t="shared" si="2"/>
        <v>0</v>
      </c>
      <c r="L17" s="233">
        <v>335.3</v>
      </c>
      <c r="M17" s="211">
        <f t="shared" si="3"/>
        <v>1.0424858757062148</v>
      </c>
      <c r="N17" s="273">
        <v>3025.7472000000002</v>
      </c>
      <c r="O17" s="273">
        <v>4.45</v>
      </c>
      <c r="P17" s="206">
        <v>2.0951035781544256E-2</v>
      </c>
      <c r="Q17" s="273">
        <v>1492.085</v>
      </c>
      <c r="R17" s="273">
        <v>4.5740000000000007</v>
      </c>
      <c r="S17" s="206">
        <v>2.1534839924670438E-2</v>
      </c>
      <c r="T17" s="229" t="s">
        <v>230</v>
      </c>
      <c r="U17" s="198" t="s">
        <v>181</v>
      </c>
      <c r="V17" s="205" t="s">
        <v>231</v>
      </c>
      <c r="W17" s="205">
        <v>1</v>
      </c>
      <c r="X17" s="205" t="s">
        <v>232</v>
      </c>
      <c r="Y17" s="201"/>
      <c r="Z17" s="224"/>
      <c r="AA17" s="225"/>
      <c r="AB17" s="225"/>
      <c r="AC17" s="224"/>
      <c r="AD17" s="224"/>
      <c r="AE17" s="224"/>
      <c r="AF17" s="224"/>
      <c r="AG17" s="224"/>
      <c r="AH17" s="224"/>
    </row>
    <row r="18" spans="2:34" ht="16.5">
      <c r="B18" s="474"/>
      <c r="C18" s="474"/>
      <c r="D18" s="209">
        <v>2</v>
      </c>
      <c r="E18" s="198" t="s">
        <v>321</v>
      </c>
      <c r="F18" s="273">
        <v>1001.5999999999991</v>
      </c>
      <c r="G18" s="273">
        <v>94.992000000000004</v>
      </c>
      <c r="H18" s="273">
        <v>100</v>
      </c>
      <c r="I18" s="210">
        <f t="shared" si="1"/>
        <v>1.0527202290719218</v>
      </c>
      <c r="J18" s="233">
        <v>0</v>
      </c>
      <c r="K18" s="210">
        <f t="shared" si="2"/>
        <v>0</v>
      </c>
      <c r="L18" s="233">
        <v>200</v>
      </c>
      <c r="M18" s="211">
        <f t="shared" si="3"/>
        <v>1.0527202290719218</v>
      </c>
      <c r="N18" s="273">
        <v>1001.5999999999991</v>
      </c>
      <c r="O18" s="273">
        <v>0</v>
      </c>
      <c r="P18" s="206">
        <v>0</v>
      </c>
      <c r="Q18" s="273">
        <v>0</v>
      </c>
      <c r="R18" s="273">
        <v>5.0079999999999956</v>
      </c>
      <c r="S18" s="206">
        <v>5.2720229071921795E-2</v>
      </c>
      <c r="T18" s="229" t="s">
        <v>272</v>
      </c>
      <c r="U18" s="198" t="s">
        <v>165</v>
      </c>
      <c r="V18" s="205"/>
      <c r="W18" s="205">
        <v>1</v>
      </c>
      <c r="X18" s="205" t="s">
        <v>244</v>
      </c>
      <c r="Y18" s="201"/>
      <c r="Z18" s="225">
        <f>SUM(W257:W326)</f>
        <v>60</v>
      </c>
      <c r="AA18" s="224">
        <f t="shared" ref="AA18:AH18" si="11">SUMIF($U$257:$U$326,TRIM(AA6),$W$257:$W$326)</f>
        <v>0</v>
      </c>
      <c r="AB18" s="224">
        <f t="shared" si="11"/>
        <v>0</v>
      </c>
      <c r="AC18" s="224">
        <f t="shared" si="11"/>
        <v>0</v>
      </c>
      <c r="AD18" s="224">
        <f t="shared" si="11"/>
        <v>42</v>
      </c>
      <c r="AE18" s="224">
        <f t="shared" si="11"/>
        <v>3</v>
      </c>
      <c r="AF18" s="224">
        <f t="shared" si="11"/>
        <v>5</v>
      </c>
      <c r="AG18" s="224">
        <f t="shared" si="11"/>
        <v>0</v>
      </c>
      <c r="AH18" s="224">
        <f t="shared" si="11"/>
        <v>0</v>
      </c>
    </row>
    <row r="19" spans="2:34" ht="16.5">
      <c r="B19" s="474"/>
      <c r="C19" s="474"/>
      <c r="D19" s="209">
        <v>3</v>
      </c>
      <c r="E19" s="198" t="s">
        <v>322</v>
      </c>
      <c r="F19" s="273">
        <v>804.42999999999881</v>
      </c>
      <c r="G19" s="273">
        <v>16.219000000000001</v>
      </c>
      <c r="H19" s="273">
        <v>17</v>
      </c>
      <c r="I19" s="210">
        <f t="shared" si="1"/>
        <v>1.0481534003329427</v>
      </c>
      <c r="J19" s="233">
        <v>0</v>
      </c>
      <c r="K19" s="210">
        <f t="shared" si="2"/>
        <v>0</v>
      </c>
      <c r="L19" s="233">
        <v>1030</v>
      </c>
      <c r="M19" s="211">
        <f t="shared" si="3"/>
        <v>1.0481534003329427</v>
      </c>
      <c r="N19" s="273">
        <v>804.42999999999881</v>
      </c>
      <c r="O19" s="273">
        <v>0</v>
      </c>
      <c r="P19" s="206">
        <v>0</v>
      </c>
      <c r="Q19" s="273">
        <v>0</v>
      </c>
      <c r="R19" s="273">
        <v>0.78099999999999881</v>
      </c>
      <c r="S19" s="206">
        <v>4.815340033294277E-2</v>
      </c>
      <c r="T19" s="229" t="s">
        <v>272</v>
      </c>
      <c r="U19" s="198" t="s">
        <v>165</v>
      </c>
      <c r="V19" s="205"/>
      <c r="W19" s="205">
        <v>1</v>
      </c>
      <c r="X19" s="205" t="s">
        <v>116</v>
      </c>
      <c r="Y19" s="201" t="s">
        <v>255</v>
      </c>
      <c r="Z19" s="224"/>
      <c r="AA19" s="227">
        <f t="shared" ref="AA19:AH19" si="12">SUMIF($U$257:$U$326,TRIM(AA6),$F$257:$F$326)</f>
        <v>0</v>
      </c>
      <c r="AB19" s="227">
        <f t="shared" si="12"/>
        <v>0</v>
      </c>
      <c r="AC19" s="227">
        <f t="shared" si="12"/>
        <v>0</v>
      </c>
      <c r="AD19" s="227">
        <f t="shared" si="12"/>
        <v>86033.682255675682</v>
      </c>
      <c r="AE19" s="227">
        <f t="shared" si="12"/>
        <v>2829.3091200000008</v>
      </c>
      <c r="AF19" s="227">
        <f t="shared" si="12"/>
        <v>6284.1926000000103</v>
      </c>
      <c r="AG19" s="227">
        <f t="shared" si="12"/>
        <v>0</v>
      </c>
      <c r="AH19" s="227">
        <f t="shared" si="12"/>
        <v>0</v>
      </c>
    </row>
    <row r="20" spans="2:34" ht="16.5">
      <c r="B20" s="474"/>
      <c r="C20" s="474"/>
      <c r="D20" s="209">
        <v>4</v>
      </c>
      <c r="E20" s="198" t="s">
        <v>268</v>
      </c>
      <c r="F20" s="273">
        <v>803.09041999999636</v>
      </c>
      <c r="G20" s="273">
        <v>801.495</v>
      </c>
      <c r="H20" s="273">
        <v>806.62099999999998</v>
      </c>
      <c r="I20" s="210">
        <f t="shared" si="1"/>
        <v>1.0063955483190787</v>
      </c>
      <c r="J20" s="233">
        <v>0</v>
      </c>
      <c r="K20" s="210">
        <f t="shared" si="2"/>
        <v>0</v>
      </c>
      <c r="L20" s="233">
        <v>156.67000000000002</v>
      </c>
      <c r="M20" s="211">
        <f t="shared" si="3"/>
        <v>1.0063955483190787</v>
      </c>
      <c r="N20" s="273">
        <v>803.09041999999636</v>
      </c>
      <c r="O20" s="273">
        <v>0</v>
      </c>
      <c r="P20" s="206">
        <v>0</v>
      </c>
      <c r="Q20" s="273">
        <v>0</v>
      </c>
      <c r="R20" s="273">
        <v>5.1259999999999764</v>
      </c>
      <c r="S20" s="206">
        <v>6.3955483190786923E-3</v>
      </c>
      <c r="T20" s="229" t="s">
        <v>272</v>
      </c>
      <c r="U20" s="198" t="s">
        <v>165</v>
      </c>
      <c r="V20" s="205"/>
      <c r="W20" s="205">
        <v>1</v>
      </c>
      <c r="X20" s="205" t="s">
        <v>244</v>
      </c>
      <c r="Y20" s="201"/>
      <c r="Z20" s="224"/>
      <c r="AA20" s="225"/>
      <c r="AB20" s="225"/>
      <c r="AC20" s="224"/>
      <c r="AD20" s="224"/>
      <c r="AE20" s="224"/>
      <c r="AF20" s="224"/>
      <c r="AG20" s="224"/>
      <c r="AH20" s="224"/>
    </row>
    <row r="21" spans="2:34" ht="16.5">
      <c r="B21" s="474"/>
      <c r="C21" s="474"/>
      <c r="D21" s="209">
        <v>5</v>
      </c>
      <c r="E21" s="198" t="s">
        <v>323</v>
      </c>
      <c r="F21" s="273">
        <v>611.6078799999998</v>
      </c>
      <c r="G21" s="273">
        <v>218.1</v>
      </c>
      <c r="H21" s="273">
        <v>221.32599999999999</v>
      </c>
      <c r="I21" s="210">
        <f t="shared" si="1"/>
        <v>1.0147913801008712</v>
      </c>
      <c r="J21" s="233">
        <v>0</v>
      </c>
      <c r="K21" s="210">
        <f t="shared" si="2"/>
        <v>0</v>
      </c>
      <c r="L21" s="233">
        <v>193.17999999999998</v>
      </c>
      <c r="M21" s="211">
        <f t="shared" si="3"/>
        <v>1.0147913801008712</v>
      </c>
      <c r="N21" s="273">
        <v>623.19867999999974</v>
      </c>
      <c r="O21" s="273">
        <v>0.06</v>
      </c>
      <c r="P21" s="206">
        <v>2.7510316368638239E-4</v>
      </c>
      <c r="Q21" s="273">
        <v>11.590799999999998</v>
      </c>
      <c r="R21" s="273">
        <v>3.165999999999999</v>
      </c>
      <c r="S21" s="206">
        <v>1.4516276937184774E-2</v>
      </c>
      <c r="T21" s="229" t="s">
        <v>272</v>
      </c>
      <c r="U21" s="198" t="s">
        <v>165</v>
      </c>
      <c r="V21" s="205"/>
      <c r="W21" s="205">
        <v>1</v>
      </c>
      <c r="X21" s="205" t="s">
        <v>114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74"/>
      <c r="C22" s="474"/>
      <c r="D22" s="209">
        <v>6</v>
      </c>
      <c r="E22" s="198" t="s">
        <v>248</v>
      </c>
      <c r="F22" s="273">
        <v>610.58720000000267</v>
      </c>
      <c r="G22" s="273">
        <v>778.8</v>
      </c>
      <c r="H22" s="273">
        <v>798.34500000000003</v>
      </c>
      <c r="I22" s="210">
        <f t="shared" si="1"/>
        <v>1.0250963020030817</v>
      </c>
      <c r="J22" s="233">
        <v>0</v>
      </c>
      <c r="K22" s="210">
        <f t="shared" si="2"/>
        <v>0</v>
      </c>
      <c r="L22" s="233">
        <v>35.9</v>
      </c>
      <c r="M22" s="211">
        <f t="shared" si="3"/>
        <v>1.0250963020030817</v>
      </c>
      <c r="N22" s="273">
        <v>701.66550000000257</v>
      </c>
      <c r="O22" s="273">
        <v>2.5369999999999999</v>
      </c>
      <c r="P22" s="206">
        <v>3.2575757575757577E-3</v>
      </c>
      <c r="Q22" s="273">
        <v>91.078299999999999</v>
      </c>
      <c r="R22" s="273">
        <v>17.008000000000074</v>
      </c>
      <c r="S22" s="206">
        <v>2.1838726245506004E-2</v>
      </c>
      <c r="T22" s="229" t="s">
        <v>272</v>
      </c>
      <c r="U22" s="198" t="s">
        <v>165</v>
      </c>
      <c r="V22" s="205"/>
      <c r="W22" s="205">
        <v>1</v>
      </c>
      <c r="X22" s="205" t="s">
        <v>232</v>
      </c>
      <c r="Y22" s="226" t="s">
        <v>257</v>
      </c>
      <c r="Z22" s="224">
        <f>SUM(W7:W10000)</f>
        <v>308</v>
      </c>
      <c r="AA22" s="225">
        <f t="shared" ref="AA22:AH22" si="13">SUMIF($U$7:$U$10000,TRIM(AA6),$W$7:$W$10000)</f>
        <v>0</v>
      </c>
      <c r="AB22" s="225">
        <f t="shared" si="13"/>
        <v>0</v>
      </c>
      <c r="AC22" s="224">
        <f t="shared" si="13"/>
        <v>2</v>
      </c>
      <c r="AD22" s="224">
        <f t="shared" si="13"/>
        <v>250</v>
      </c>
      <c r="AE22" s="224">
        <f t="shared" si="13"/>
        <v>15</v>
      </c>
      <c r="AF22" s="224">
        <f t="shared" si="13"/>
        <v>30</v>
      </c>
      <c r="AG22" s="224">
        <f t="shared" si="13"/>
        <v>1</v>
      </c>
      <c r="AH22" s="224">
        <f t="shared" si="13"/>
        <v>0</v>
      </c>
    </row>
    <row r="23" spans="2:34" ht="16.5">
      <c r="B23" s="474"/>
      <c r="C23" s="474"/>
      <c r="D23" s="209">
        <v>7</v>
      </c>
      <c r="E23" s="198" t="s">
        <v>324</v>
      </c>
      <c r="F23" s="273">
        <v>417.67300000000142</v>
      </c>
      <c r="G23" s="273">
        <v>1151.8</v>
      </c>
      <c r="H23" s="273">
        <v>1169</v>
      </c>
      <c r="I23" s="210">
        <f t="shared" si="1"/>
        <v>1.0149331481159924</v>
      </c>
      <c r="J23" s="233">
        <v>0</v>
      </c>
      <c r="K23" s="210">
        <f t="shared" si="2"/>
        <v>0</v>
      </c>
      <c r="L23" s="233">
        <v>31.099999999999998</v>
      </c>
      <c r="M23" s="211">
        <f t="shared" si="3"/>
        <v>1.0149331481159924</v>
      </c>
      <c r="N23" s="273">
        <v>534.92000000000132</v>
      </c>
      <c r="O23" s="273">
        <v>3.77</v>
      </c>
      <c r="P23" s="206">
        <v>3.2731376975169302E-3</v>
      </c>
      <c r="Q23" s="273">
        <v>117.24699999999999</v>
      </c>
      <c r="R23" s="273">
        <v>13.430000000000046</v>
      </c>
      <c r="S23" s="206">
        <v>1.166001041847547E-2</v>
      </c>
      <c r="T23" s="229" t="s">
        <v>272</v>
      </c>
      <c r="U23" s="198" t="s">
        <v>165</v>
      </c>
      <c r="V23" s="205"/>
      <c r="W23" s="205">
        <v>1</v>
      </c>
      <c r="X23" s="205" t="s">
        <v>105</v>
      </c>
      <c r="Z23" s="224"/>
      <c r="AA23" s="227">
        <f t="shared" ref="AA23:AH23" si="14">SUMIF($U$7:$U$10000,TRIM(AA6),$F$7:$F$10000)</f>
        <v>0</v>
      </c>
      <c r="AB23" s="227">
        <f t="shared" si="14"/>
        <v>0</v>
      </c>
      <c r="AC23" s="227">
        <f t="shared" si="14"/>
        <v>1549.151180000003</v>
      </c>
      <c r="AD23" s="227">
        <f t="shared" si="14"/>
        <v>276646.34998567577</v>
      </c>
      <c r="AE23" s="227">
        <f t="shared" si="14"/>
        <v>16809.281909999998</v>
      </c>
      <c r="AF23" s="227">
        <f t="shared" si="14"/>
        <v>55834.435600000012</v>
      </c>
      <c r="AG23" s="227">
        <f t="shared" si="14"/>
        <v>1348.5</v>
      </c>
      <c r="AH23" s="227">
        <f t="shared" si="14"/>
        <v>0</v>
      </c>
    </row>
    <row r="24" spans="2:34" ht="16.5">
      <c r="B24" s="474"/>
      <c r="C24" s="474"/>
      <c r="D24" s="209">
        <v>8</v>
      </c>
      <c r="E24" s="198" t="s">
        <v>248</v>
      </c>
      <c r="F24" s="273">
        <v>410.1187999999965</v>
      </c>
      <c r="G24" s="273">
        <v>1306.1400000000001</v>
      </c>
      <c r="H24" s="273">
        <v>1318</v>
      </c>
      <c r="I24" s="210">
        <f t="shared" si="1"/>
        <v>1.0090801904849402</v>
      </c>
      <c r="J24" s="233">
        <v>0</v>
      </c>
      <c r="K24" s="210">
        <f t="shared" si="2"/>
        <v>0</v>
      </c>
      <c r="L24" s="233">
        <v>34.58</v>
      </c>
      <c r="M24" s="211">
        <f t="shared" si="3"/>
        <v>1.0090801904849402</v>
      </c>
      <c r="N24" s="273">
        <v>410.1187999999965</v>
      </c>
      <c r="O24" s="273">
        <v>0</v>
      </c>
      <c r="P24" s="206">
        <v>0</v>
      </c>
      <c r="Q24" s="273">
        <v>0</v>
      </c>
      <c r="R24" s="273">
        <v>11.8599999999999</v>
      </c>
      <c r="S24" s="206">
        <v>9.0801904849402808E-3</v>
      </c>
      <c r="T24" s="229" t="s">
        <v>272</v>
      </c>
      <c r="U24" s="198" t="s">
        <v>165</v>
      </c>
      <c r="V24" s="205"/>
      <c r="W24" s="205">
        <v>1</v>
      </c>
      <c r="X24" s="205" t="s">
        <v>244</v>
      </c>
    </row>
    <row r="25" spans="2:34" ht="16.5">
      <c r="B25" s="474"/>
      <c r="C25" s="474"/>
      <c r="D25" s="209">
        <v>9</v>
      </c>
      <c r="E25" s="198" t="s">
        <v>248</v>
      </c>
      <c r="F25" s="273">
        <v>399.74479999999807</v>
      </c>
      <c r="G25" s="273">
        <v>1243.44</v>
      </c>
      <c r="H25" s="273">
        <v>1255</v>
      </c>
      <c r="I25" s="210">
        <f t="shared" si="1"/>
        <v>1.0092967895515665</v>
      </c>
      <c r="J25" s="233">
        <v>0</v>
      </c>
      <c r="K25" s="210">
        <f t="shared" si="2"/>
        <v>0</v>
      </c>
      <c r="L25" s="233">
        <v>34.58</v>
      </c>
      <c r="M25" s="211">
        <f t="shared" si="3"/>
        <v>1.0092967895515665</v>
      </c>
      <c r="N25" s="273">
        <v>399.74479999999807</v>
      </c>
      <c r="O25" s="273">
        <v>0</v>
      </c>
      <c r="P25" s="206">
        <v>0</v>
      </c>
      <c r="Q25" s="273">
        <v>0</v>
      </c>
      <c r="R25" s="273">
        <v>11.559999999999945</v>
      </c>
      <c r="S25" s="206">
        <v>9.2967895515665769E-3</v>
      </c>
      <c r="T25" s="229" t="s">
        <v>272</v>
      </c>
      <c r="U25" s="198" t="s">
        <v>165</v>
      </c>
      <c r="V25" s="205"/>
      <c r="W25" s="205">
        <v>1</v>
      </c>
      <c r="X25" s="205" t="s">
        <v>103</v>
      </c>
    </row>
    <row r="26" spans="2:34" ht="16.5">
      <c r="B26" s="474"/>
      <c r="C26" s="474"/>
      <c r="D26" s="209">
        <v>10</v>
      </c>
      <c r="E26" s="198" t="s">
        <v>258</v>
      </c>
      <c r="F26" s="273">
        <v>349</v>
      </c>
      <c r="G26" s="273">
        <v>52.725000000000001</v>
      </c>
      <c r="H26" s="273">
        <v>53.7</v>
      </c>
      <c r="I26" s="210">
        <f t="shared" si="1"/>
        <v>1.0184921763869133</v>
      </c>
      <c r="J26" s="233">
        <v>0</v>
      </c>
      <c r="K26" s="210">
        <f t="shared" si="2"/>
        <v>0</v>
      </c>
      <c r="L26" s="233">
        <v>821.74</v>
      </c>
      <c r="M26" s="211">
        <f t="shared" si="3"/>
        <v>1.0184921763869133</v>
      </c>
      <c r="N26" s="273">
        <v>801.19650000000115</v>
      </c>
      <c r="O26" s="273">
        <v>0.55000000000000004</v>
      </c>
      <c r="P26" s="206">
        <v>1.0431484115694643E-2</v>
      </c>
      <c r="Q26" s="273">
        <v>451.95700000000005</v>
      </c>
      <c r="R26" s="273">
        <v>0.42500000000000138</v>
      </c>
      <c r="S26" s="206">
        <v>8.0606922712186131E-3</v>
      </c>
      <c r="T26" s="229" t="s">
        <v>272</v>
      </c>
      <c r="U26" s="198" t="s">
        <v>165</v>
      </c>
      <c r="V26" s="205"/>
      <c r="W26" s="205">
        <v>1</v>
      </c>
      <c r="X26" s="205" t="s">
        <v>108</v>
      </c>
    </row>
    <row r="27" spans="2:34" ht="16.5">
      <c r="B27" s="473">
        <v>45903</v>
      </c>
      <c r="C27" s="475" t="s">
        <v>58</v>
      </c>
      <c r="D27" s="209">
        <v>1</v>
      </c>
      <c r="E27" s="198" t="s">
        <v>321</v>
      </c>
      <c r="F27" s="274">
        <v>2668.7999999999988</v>
      </c>
      <c r="G27" s="274">
        <v>88.656000000000006</v>
      </c>
      <c r="H27" s="274">
        <v>102</v>
      </c>
      <c r="I27" s="210">
        <f t="shared" si="1"/>
        <v>1.1505143475906876</v>
      </c>
      <c r="J27" s="234">
        <v>0</v>
      </c>
      <c r="K27" s="210">
        <f t="shared" si="2"/>
        <v>0</v>
      </c>
      <c r="L27" s="234">
        <v>200</v>
      </c>
      <c r="M27" s="211">
        <f t="shared" si="3"/>
        <v>1.1505143475906876</v>
      </c>
      <c r="N27" s="274">
        <v>2668.7999999999988</v>
      </c>
      <c r="O27" s="274">
        <v>0</v>
      </c>
      <c r="P27" s="200">
        <v>0</v>
      </c>
      <c r="Q27" s="274">
        <v>0</v>
      </c>
      <c r="R27" s="274">
        <v>13.343999999999994</v>
      </c>
      <c r="S27" s="200">
        <v>0.15051434759068752</v>
      </c>
      <c r="T27" s="229" t="s">
        <v>272</v>
      </c>
      <c r="U27" s="198" t="s">
        <v>165</v>
      </c>
      <c r="V27" s="198"/>
      <c r="W27" s="205">
        <v>1</v>
      </c>
      <c r="X27" s="198" t="s">
        <v>244</v>
      </c>
    </row>
    <row r="28" spans="2:34" ht="15.75">
      <c r="B28" s="474"/>
      <c r="C28" s="474"/>
      <c r="D28" s="209">
        <v>2</v>
      </c>
      <c r="E28" s="198" t="s">
        <v>229</v>
      </c>
      <c r="F28" s="274">
        <v>2263.2749999999978</v>
      </c>
      <c r="G28" s="274">
        <v>201.18</v>
      </c>
      <c r="H28" s="274">
        <v>209.012</v>
      </c>
      <c r="I28" s="210">
        <f t="shared" si="1"/>
        <v>1.0389303111641315</v>
      </c>
      <c r="J28" s="234">
        <v>0</v>
      </c>
      <c r="K28" s="210">
        <f t="shared" si="2"/>
        <v>0</v>
      </c>
      <c r="L28" s="234">
        <v>335.3</v>
      </c>
      <c r="M28" s="211">
        <f t="shared" si="3"/>
        <v>1.0389303111641315</v>
      </c>
      <c r="N28" s="274">
        <v>2626.069599999998</v>
      </c>
      <c r="O28" s="274">
        <v>1.0820000000000001</v>
      </c>
      <c r="P28" s="200">
        <v>5.3782682175166517E-3</v>
      </c>
      <c r="Q28" s="274">
        <v>362.79460000000006</v>
      </c>
      <c r="R28" s="274">
        <v>6.7499999999999938</v>
      </c>
      <c r="S28" s="200">
        <v>3.3552042946614936E-2</v>
      </c>
      <c r="T28" s="235" t="s">
        <v>230</v>
      </c>
      <c r="U28" s="198" t="s">
        <v>181</v>
      </c>
      <c r="V28" s="205" t="s">
        <v>231</v>
      </c>
      <c r="W28" s="205">
        <v>1</v>
      </c>
      <c r="X28" s="198" t="s">
        <v>232</v>
      </c>
    </row>
    <row r="29" spans="2:34" ht="16.5">
      <c r="B29" s="474"/>
      <c r="C29" s="474"/>
      <c r="D29" s="209">
        <v>3</v>
      </c>
      <c r="E29" s="198" t="s">
        <v>256</v>
      </c>
      <c r="F29" s="274">
        <v>577.125</v>
      </c>
      <c r="G29" s="274">
        <v>123.375</v>
      </c>
      <c r="H29" s="274">
        <v>134</v>
      </c>
      <c r="I29" s="210">
        <f t="shared" si="1"/>
        <v>1.0861195542046607</v>
      </c>
      <c r="J29" s="234">
        <v>0</v>
      </c>
      <c r="K29" s="210">
        <f t="shared" si="2"/>
        <v>0</v>
      </c>
      <c r="L29" s="234">
        <v>81</v>
      </c>
      <c r="M29" s="211">
        <f t="shared" si="3"/>
        <v>1.0861195542046607</v>
      </c>
      <c r="N29" s="274">
        <v>860.625</v>
      </c>
      <c r="O29" s="274">
        <v>3.5</v>
      </c>
      <c r="P29" s="200">
        <v>2.8368794326241134E-2</v>
      </c>
      <c r="Q29" s="274">
        <v>283.5</v>
      </c>
      <c r="R29" s="274">
        <v>7.125</v>
      </c>
      <c r="S29" s="200">
        <v>5.7750759878419454E-2</v>
      </c>
      <c r="T29" s="229" t="s">
        <v>272</v>
      </c>
      <c r="U29" s="198" t="s">
        <v>165</v>
      </c>
      <c r="V29" s="198"/>
      <c r="W29" s="205">
        <v>1</v>
      </c>
      <c r="X29" s="198" t="s">
        <v>242</v>
      </c>
    </row>
    <row r="30" spans="2:34" ht="16.5">
      <c r="B30" s="474"/>
      <c r="C30" s="474"/>
      <c r="D30" s="209">
        <v>4</v>
      </c>
      <c r="E30" s="198" t="s">
        <v>325</v>
      </c>
      <c r="F30" s="274">
        <v>504.07499999999987</v>
      </c>
      <c r="G30" s="274">
        <v>15.855</v>
      </c>
      <c r="H30" s="274">
        <v>18</v>
      </c>
      <c r="I30" s="210">
        <f t="shared" si="1"/>
        <v>1.1352885525070955</v>
      </c>
      <c r="J30" s="234">
        <v>0</v>
      </c>
      <c r="K30" s="210">
        <f t="shared" si="2"/>
        <v>0</v>
      </c>
      <c r="L30" s="234">
        <v>235</v>
      </c>
      <c r="M30" s="211">
        <f t="shared" si="3"/>
        <v>1.1352885525070955</v>
      </c>
      <c r="N30" s="274">
        <v>504.07499999999987</v>
      </c>
      <c r="O30" s="274">
        <v>0</v>
      </c>
      <c r="P30" s="200">
        <v>0</v>
      </c>
      <c r="Q30" s="274">
        <v>0</v>
      </c>
      <c r="R30" s="274">
        <v>2.1449999999999996</v>
      </c>
      <c r="S30" s="200">
        <v>0.13528855250709551</v>
      </c>
      <c r="T30" s="229" t="s">
        <v>272</v>
      </c>
      <c r="U30" s="198" t="s">
        <v>165</v>
      </c>
      <c r="V30" s="198"/>
      <c r="W30" s="205">
        <v>1</v>
      </c>
      <c r="X30" s="198" t="s">
        <v>103</v>
      </c>
      <c r="AA30" s="196">
        <v>1</v>
      </c>
      <c r="AB30" s="196" t="s">
        <v>261</v>
      </c>
    </row>
    <row r="31" spans="2:34" ht="16.5">
      <c r="B31" s="474"/>
      <c r="C31" s="474"/>
      <c r="D31" s="209">
        <v>5</v>
      </c>
      <c r="E31" s="198" t="s">
        <v>248</v>
      </c>
      <c r="F31" s="274">
        <v>485.18850000000231</v>
      </c>
      <c r="G31" s="274">
        <v>737.66</v>
      </c>
      <c r="H31" s="274">
        <v>756.21500000000003</v>
      </c>
      <c r="I31" s="210">
        <f t="shared" si="1"/>
        <v>1.02515386492422</v>
      </c>
      <c r="J31" s="234">
        <v>0</v>
      </c>
      <c r="K31" s="210">
        <f t="shared" si="2"/>
        <v>0</v>
      </c>
      <c r="L31" s="234">
        <v>35.9</v>
      </c>
      <c r="M31" s="211">
        <f t="shared" si="3"/>
        <v>1.02515386492422</v>
      </c>
      <c r="N31" s="274">
        <v>666.12450000000229</v>
      </c>
      <c r="O31" s="274">
        <v>5.04</v>
      </c>
      <c r="P31" s="200">
        <v>6.8324160182197764E-3</v>
      </c>
      <c r="Q31" s="274">
        <v>180.93600000000001</v>
      </c>
      <c r="R31" s="274">
        <v>13.515000000000065</v>
      </c>
      <c r="S31" s="200">
        <v>1.8321448906000144E-2</v>
      </c>
      <c r="T31" s="229" t="s">
        <v>272</v>
      </c>
      <c r="U31" s="198" t="s">
        <v>165</v>
      </c>
      <c r="V31" s="205"/>
      <c r="W31" s="205">
        <v>1</v>
      </c>
      <c r="X31" s="198" t="s">
        <v>232</v>
      </c>
      <c r="AA31" s="196">
        <v>2</v>
      </c>
      <c r="AB31" s="196" t="s">
        <v>236</v>
      </c>
    </row>
    <row r="32" spans="2:34" ht="16.5">
      <c r="B32" s="474"/>
      <c r="C32" s="474"/>
      <c r="D32" s="209">
        <v>6</v>
      </c>
      <c r="E32" s="198" t="s">
        <v>248</v>
      </c>
      <c r="F32" s="274">
        <v>457.83919999999841</v>
      </c>
      <c r="G32" s="274">
        <v>1162.7</v>
      </c>
      <c r="H32" s="274">
        <v>1177</v>
      </c>
      <c r="I32" s="210">
        <f t="shared" si="1"/>
        <v>1.0122989593188267</v>
      </c>
      <c r="J32" s="234">
        <v>0</v>
      </c>
      <c r="K32" s="210">
        <f t="shared" si="2"/>
        <v>0</v>
      </c>
      <c r="L32" s="234">
        <v>34.58</v>
      </c>
      <c r="M32" s="211">
        <f t="shared" si="3"/>
        <v>1.0122989593188267</v>
      </c>
      <c r="N32" s="274">
        <v>494.49399999999838</v>
      </c>
      <c r="O32" s="274">
        <v>1.06</v>
      </c>
      <c r="P32" s="200">
        <v>9.1167111034660703E-4</v>
      </c>
      <c r="Q32" s="274">
        <v>36.654800000000002</v>
      </c>
      <c r="R32" s="274">
        <v>13.239999999999954</v>
      </c>
      <c r="S32" s="200">
        <v>1.1387288208480222E-2</v>
      </c>
      <c r="T32" s="229" t="s">
        <v>272</v>
      </c>
      <c r="U32" s="198" t="s">
        <v>165</v>
      </c>
      <c r="V32" s="198"/>
      <c r="W32" s="205">
        <v>1</v>
      </c>
      <c r="X32" s="198" t="s">
        <v>103</v>
      </c>
      <c r="AA32" s="196">
        <v>3</v>
      </c>
      <c r="AB32" s="196" t="s">
        <v>264</v>
      </c>
    </row>
    <row r="33" spans="2:28" ht="16.5">
      <c r="B33" s="474"/>
      <c r="C33" s="474"/>
      <c r="D33" s="209">
        <v>7</v>
      </c>
      <c r="E33" s="198" t="s">
        <v>313</v>
      </c>
      <c r="F33" s="274">
        <v>424.92399999999765</v>
      </c>
      <c r="G33" s="274">
        <v>187.49700000000001</v>
      </c>
      <c r="H33" s="274">
        <v>190.244</v>
      </c>
      <c r="I33" s="210">
        <f t="shared" si="1"/>
        <v>1.0146509010810838</v>
      </c>
      <c r="J33" s="234">
        <v>0</v>
      </c>
      <c r="K33" s="210">
        <f t="shared" si="2"/>
        <v>0</v>
      </c>
      <c r="L33" s="234">
        <v>164</v>
      </c>
      <c r="M33" s="211">
        <f t="shared" si="3"/>
        <v>1.0146509010810838</v>
      </c>
      <c r="N33" s="274">
        <v>450.50799999999765</v>
      </c>
      <c r="O33" s="274">
        <v>0.156</v>
      </c>
      <c r="P33" s="200">
        <v>8.320133122129953E-4</v>
      </c>
      <c r="Q33" s="274">
        <v>25.584</v>
      </c>
      <c r="R33" s="274">
        <v>2.5909999999999855</v>
      </c>
      <c r="S33" s="200">
        <v>1.3818887768870891E-2</v>
      </c>
      <c r="T33" s="229" t="s">
        <v>272</v>
      </c>
      <c r="U33" s="198" t="s">
        <v>165</v>
      </c>
      <c r="V33" s="198"/>
      <c r="W33" s="205">
        <v>1</v>
      </c>
      <c r="X33" s="198" t="s">
        <v>287</v>
      </c>
      <c r="AA33" s="196">
        <v>4</v>
      </c>
      <c r="AB33" s="196" t="s">
        <v>165</v>
      </c>
    </row>
    <row r="34" spans="2:28" ht="16.5">
      <c r="B34" s="474"/>
      <c r="C34" s="474"/>
      <c r="D34" s="209">
        <v>8</v>
      </c>
      <c r="E34" s="198" t="s">
        <v>273</v>
      </c>
      <c r="F34" s="274">
        <v>408.8427999999987</v>
      </c>
      <c r="G34" s="274">
        <v>157.4</v>
      </c>
      <c r="H34" s="274">
        <v>151.19999999999999</v>
      </c>
      <c r="I34" s="210">
        <f t="shared" si="1"/>
        <v>0.96060991105463778</v>
      </c>
      <c r="J34" s="234">
        <v>12</v>
      </c>
      <c r="K34" s="210">
        <f t="shared" si="2"/>
        <v>7.6238881829733166E-2</v>
      </c>
      <c r="L34" s="234">
        <v>112.94</v>
      </c>
      <c r="M34" s="211">
        <f t="shared" si="3"/>
        <v>1.0368487928843708</v>
      </c>
      <c r="N34" s="274">
        <v>530.81799999999873</v>
      </c>
      <c r="O34" s="274">
        <v>1.08</v>
      </c>
      <c r="P34" s="200">
        <v>6.8614993646759848E-3</v>
      </c>
      <c r="Q34" s="274">
        <v>121.9752</v>
      </c>
      <c r="R34" s="274">
        <v>4.7199999999999829</v>
      </c>
      <c r="S34" s="200">
        <v>2.9987293519694935E-2</v>
      </c>
      <c r="T34" s="229" t="s">
        <v>272</v>
      </c>
      <c r="U34" s="198" t="s">
        <v>165</v>
      </c>
      <c r="V34" s="205"/>
      <c r="W34" s="205">
        <v>1</v>
      </c>
      <c r="X34" s="198" t="s">
        <v>110</v>
      </c>
      <c r="AA34" s="196">
        <v>5</v>
      </c>
      <c r="AB34" s="196" t="s">
        <v>172</v>
      </c>
    </row>
    <row r="35" spans="2:28" ht="16.5">
      <c r="B35" s="474"/>
      <c r="C35" s="474"/>
      <c r="D35" s="209">
        <v>9</v>
      </c>
      <c r="E35" s="198" t="s">
        <v>291</v>
      </c>
      <c r="F35" s="274">
        <v>337.51199999999966</v>
      </c>
      <c r="G35" s="274">
        <v>381.2</v>
      </c>
      <c r="H35" s="274">
        <v>389.88299999999998</v>
      </c>
      <c r="I35" s="210">
        <f t="shared" si="1"/>
        <v>1.0227780692549842</v>
      </c>
      <c r="J35" s="234">
        <v>0</v>
      </c>
      <c r="K35" s="210">
        <f t="shared" si="2"/>
        <v>0</v>
      </c>
      <c r="L35" s="234">
        <v>41</v>
      </c>
      <c r="M35" s="211">
        <f t="shared" si="3"/>
        <v>1.0227780692549842</v>
      </c>
      <c r="N35" s="274">
        <v>356.0029999999997</v>
      </c>
      <c r="O35" s="274">
        <v>0.45100000000000001</v>
      </c>
      <c r="P35" s="200">
        <v>1.1831059811122772E-3</v>
      </c>
      <c r="Q35" s="274">
        <v>18.491</v>
      </c>
      <c r="R35" s="274">
        <v>8.2319999999999922</v>
      </c>
      <c r="S35" s="200">
        <v>2.1594963273871965E-2</v>
      </c>
      <c r="T35" s="229" t="s">
        <v>272</v>
      </c>
      <c r="U35" s="198" t="s">
        <v>165</v>
      </c>
      <c r="V35" s="198"/>
      <c r="W35" s="205">
        <v>1</v>
      </c>
      <c r="X35" s="198" t="s">
        <v>111</v>
      </c>
      <c r="AA35" s="196">
        <v>6</v>
      </c>
      <c r="AB35" s="196" t="s">
        <v>181</v>
      </c>
    </row>
    <row r="36" spans="2:28" ht="16.5">
      <c r="B36" s="474"/>
      <c r="C36" s="474"/>
      <c r="D36" s="209">
        <v>10</v>
      </c>
      <c r="E36" s="198" t="s">
        <v>270</v>
      </c>
      <c r="F36" s="274">
        <v>274.55414000000127</v>
      </c>
      <c r="G36" s="274">
        <v>654.12599999999998</v>
      </c>
      <c r="H36" s="274">
        <v>666</v>
      </c>
      <c r="I36" s="210">
        <f t="shared" si="1"/>
        <v>1.0181524660386532</v>
      </c>
      <c r="J36" s="234">
        <v>0</v>
      </c>
      <c r="K36" s="210">
        <f t="shared" si="2"/>
        <v>0</v>
      </c>
      <c r="L36" s="234">
        <v>54.11</v>
      </c>
      <c r="M36" s="211">
        <f t="shared" si="3"/>
        <v>1.0181524660386532</v>
      </c>
      <c r="N36" s="274">
        <v>642.5021400000013</v>
      </c>
      <c r="O36" s="274">
        <v>6.8</v>
      </c>
      <c r="P36" s="200">
        <v>1.039555070429856E-2</v>
      </c>
      <c r="Q36" s="274">
        <v>367.94799999999998</v>
      </c>
      <c r="R36" s="274">
        <v>5.0740000000000238</v>
      </c>
      <c r="S36" s="200">
        <v>7.7569153343545801E-3</v>
      </c>
      <c r="T36" s="229" t="s">
        <v>272</v>
      </c>
      <c r="U36" s="198" t="s">
        <v>165</v>
      </c>
      <c r="V36" s="198"/>
      <c r="W36" s="205">
        <v>1</v>
      </c>
      <c r="X36" s="198" t="s">
        <v>114</v>
      </c>
      <c r="AA36" s="196">
        <v>7</v>
      </c>
      <c r="AB36" s="196" t="s">
        <v>252</v>
      </c>
    </row>
    <row r="37" spans="2:28" ht="16.5">
      <c r="B37" s="473">
        <v>45904</v>
      </c>
      <c r="C37" s="475" t="s">
        <v>59</v>
      </c>
      <c r="D37" s="209">
        <v>1</v>
      </c>
      <c r="E37" s="198" t="s">
        <v>229</v>
      </c>
      <c r="F37" s="274">
        <v>1785.1371999999988</v>
      </c>
      <c r="G37" s="274">
        <v>181.74</v>
      </c>
      <c r="H37" s="274">
        <v>188.26300000000001</v>
      </c>
      <c r="I37" s="210">
        <f t="shared" si="1"/>
        <v>1.0358919335314185</v>
      </c>
      <c r="J37" s="234">
        <v>0</v>
      </c>
      <c r="K37" s="210">
        <f t="shared" si="2"/>
        <v>0</v>
      </c>
      <c r="L37" s="234">
        <v>335.3</v>
      </c>
      <c r="M37" s="211">
        <f t="shared" si="3"/>
        <v>1.0358919335314185</v>
      </c>
      <c r="N37" s="274">
        <v>2187.1618999999987</v>
      </c>
      <c r="O37" s="274">
        <v>1.1990000000000001</v>
      </c>
      <c r="P37" s="200">
        <v>6.5973368548475847E-3</v>
      </c>
      <c r="Q37" s="274">
        <v>402.02470000000005</v>
      </c>
      <c r="R37" s="274">
        <v>5.3239999999999963</v>
      </c>
      <c r="S37" s="200">
        <v>2.9294596676570903E-2</v>
      </c>
      <c r="T37" s="229" t="s">
        <v>230</v>
      </c>
      <c r="U37" s="198" t="s">
        <v>181</v>
      </c>
      <c r="V37" s="198" t="s">
        <v>276</v>
      </c>
      <c r="W37" s="205">
        <v>1</v>
      </c>
      <c r="X37" s="198" t="s">
        <v>232</v>
      </c>
      <c r="AA37" s="196">
        <v>8</v>
      </c>
      <c r="AB37" s="196" t="s">
        <v>269</v>
      </c>
    </row>
    <row r="38" spans="2:28" ht="15.75">
      <c r="B38" s="474"/>
      <c r="C38" s="474"/>
      <c r="D38" s="209">
        <v>2</v>
      </c>
      <c r="E38" s="198" t="s">
        <v>325</v>
      </c>
      <c r="F38" s="274">
        <v>990.52499999999998</v>
      </c>
      <c r="G38" s="274">
        <v>13.785</v>
      </c>
      <c r="H38" s="274">
        <v>18</v>
      </c>
      <c r="I38" s="210">
        <f t="shared" si="1"/>
        <v>1.3057671381936888</v>
      </c>
      <c r="J38" s="234">
        <v>0</v>
      </c>
      <c r="K38" s="210">
        <f t="shared" si="2"/>
        <v>0</v>
      </c>
      <c r="L38" s="234">
        <v>235</v>
      </c>
      <c r="M38" s="211">
        <f t="shared" si="3"/>
        <v>1.3057671381936888</v>
      </c>
      <c r="N38" s="274">
        <v>990.52499999999998</v>
      </c>
      <c r="O38" s="274">
        <v>0</v>
      </c>
      <c r="P38" s="200">
        <v>0</v>
      </c>
      <c r="Q38" s="274">
        <v>0</v>
      </c>
      <c r="R38" s="274">
        <v>4.2149999999999999</v>
      </c>
      <c r="S38" s="200">
        <v>0.30576713819368878</v>
      </c>
      <c r="T38" s="235" t="s">
        <v>272</v>
      </c>
      <c r="U38" s="198" t="s">
        <v>165</v>
      </c>
      <c r="V38" s="198"/>
      <c r="W38" s="205">
        <v>1</v>
      </c>
      <c r="X38" s="198" t="s">
        <v>103</v>
      </c>
    </row>
    <row r="39" spans="2:28" ht="15.75">
      <c r="B39" s="474"/>
      <c r="C39" s="474"/>
      <c r="D39" s="209">
        <v>3</v>
      </c>
      <c r="E39" s="198" t="s">
        <v>248</v>
      </c>
      <c r="F39" s="274">
        <v>625.88059999999996</v>
      </c>
      <c r="G39" s="274">
        <v>666.38</v>
      </c>
      <c r="H39" s="274">
        <v>686.303</v>
      </c>
      <c r="I39" s="210">
        <f t="shared" si="1"/>
        <v>1.0298973558630211</v>
      </c>
      <c r="J39" s="234">
        <v>1</v>
      </c>
      <c r="K39" s="210">
        <f t="shared" si="2"/>
        <v>1.5006452774693117E-3</v>
      </c>
      <c r="L39" s="234">
        <v>35.9</v>
      </c>
      <c r="M39" s="211">
        <f t="shared" si="3"/>
        <v>1.0313980011404904</v>
      </c>
      <c r="N39" s="274">
        <v>715.23570000000007</v>
      </c>
      <c r="O39" s="274">
        <v>2.4889999999999999</v>
      </c>
      <c r="P39" s="200">
        <v>3.7351060956211171E-3</v>
      </c>
      <c r="Q39" s="274">
        <v>89.355099999999993</v>
      </c>
      <c r="R39" s="274">
        <v>18.434000000000001</v>
      </c>
      <c r="S39" s="200">
        <v>2.7662895044869296E-2</v>
      </c>
      <c r="T39" s="235" t="s">
        <v>272</v>
      </c>
      <c r="U39" s="198" t="s">
        <v>165</v>
      </c>
      <c r="V39" s="198"/>
      <c r="W39" s="205">
        <v>1</v>
      </c>
      <c r="X39" s="198" t="s">
        <v>232</v>
      </c>
    </row>
    <row r="40" spans="2:28" ht="16.5">
      <c r="B40" s="474"/>
      <c r="C40" s="474"/>
      <c r="D40" s="209">
        <v>4</v>
      </c>
      <c r="E40" s="198" t="s">
        <v>262</v>
      </c>
      <c r="F40" s="274">
        <v>621.3863599999986</v>
      </c>
      <c r="G40" s="274">
        <v>287.755</v>
      </c>
      <c r="H40" s="274">
        <v>295.29399999999998</v>
      </c>
      <c r="I40" s="210">
        <f t="shared" si="1"/>
        <v>1.0261993709926847</v>
      </c>
      <c r="J40" s="234">
        <v>0</v>
      </c>
      <c r="K40" s="210">
        <f t="shared" si="2"/>
        <v>0</v>
      </c>
      <c r="L40" s="234">
        <v>100.02999999999999</v>
      </c>
      <c r="M40" s="211">
        <f t="shared" si="3"/>
        <v>1.0261993709926847</v>
      </c>
      <c r="N40" s="274">
        <v>754.12616999999864</v>
      </c>
      <c r="O40" s="274">
        <v>1.327</v>
      </c>
      <c r="P40" s="200">
        <v>4.611561918993588E-3</v>
      </c>
      <c r="Q40" s="274">
        <v>132.73980999999998</v>
      </c>
      <c r="R40" s="274">
        <v>6.2119999999999873</v>
      </c>
      <c r="S40" s="200">
        <v>2.1587809073691119E-2</v>
      </c>
      <c r="T40" s="235" t="s">
        <v>272</v>
      </c>
      <c r="U40" s="198" t="s">
        <v>165</v>
      </c>
      <c r="V40" s="231"/>
      <c r="W40" s="205">
        <v>1</v>
      </c>
      <c r="X40" s="198" t="s">
        <v>232</v>
      </c>
      <c r="AA40" s="236">
        <v>1</v>
      </c>
      <c r="AB40" s="196" t="s">
        <v>235</v>
      </c>
    </row>
    <row r="41" spans="2:28" ht="15.75">
      <c r="B41" s="474"/>
      <c r="C41" s="474"/>
      <c r="D41" s="209">
        <v>5</v>
      </c>
      <c r="E41" s="198" t="s">
        <v>248</v>
      </c>
      <c r="F41" s="274">
        <v>538.65266000000406</v>
      </c>
      <c r="G41" s="274">
        <v>1010.9</v>
      </c>
      <c r="H41" s="274">
        <v>1033.2940000000001</v>
      </c>
      <c r="I41" s="210">
        <f t="shared" si="1"/>
        <v>1.0221525373429619</v>
      </c>
      <c r="J41" s="234">
        <v>0</v>
      </c>
      <c r="K41" s="210">
        <f t="shared" si="2"/>
        <v>0</v>
      </c>
      <c r="L41" s="234">
        <v>34.58</v>
      </c>
      <c r="M41" s="211">
        <f t="shared" si="3"/>
        <v>1.0221525373429619</v>
      </c>
      <c r="N41" s="274">
        <v>774.38452000000404</v>
      </c>
      <c r="O41" s="274">
        <v>6.8170000000000002</v>
      </c>
      <c r="P41" s="200">
        <v>6.743495894747255E-3</v>
      </c>
      <c r="Q41" s="274">
        <v>235.73185999999998</v>
      </c>
      <c r="R41" s="274">
        <v>15.577000000000119</v>
      </c>
      <c r="S41" s="200">
        <v>1.540904144821458E-2</v>
      </c>
      <c r="T41" s="235" t="s">
        <v>272</v>
      </c>
      <c r="U41" s="198" t="s">
        <v>165</v>
      </c>
      <c r="V41" s="198"/>
      <c r="W41" s="205">
        <v>1</v>
      </c>
      <c r="X41" s="198" t="s">
        <v>103</v>
      </c>
      <c r="AA41" s="196">
        <v>2</v>
      </c>
      <c r="AB41" s="196" t="s">
        <v>272</v>
      </c>
    </row>
    <row r="42" spans="2:28" ht="16.5">
      <c r="B42" s="474"/>
      <c r="C42" s="474"/>
      <c r="D42" s="209">
        <v>6</v>
      </c>
      <c r="E42" s="198" t="s">
        <v>160</v>
      </c>
      <c r="F42" s="274">
        <v>503.75500000000443</v>
      </c>
      <c r="G42" s="274">
        <v>119.49</v>
      </c>
      <c r="H42" s="274">
        <v>120.441</v>
      </c>
      <c r="I42" s="210">
        <f t="shared" si="1"/>
        <v>1.0079588250062768</v>
      </c>
      <c r="J42" s="234">
        <v>0</v>
      </c>
      <c r="K42" s="210">
        <f t="shared" si="2"/>
        <v>0</v>
      </c>
      <c r="L42" s="234">
        <v>575.72</v>
      </c>
      <c r="M42" s="211">
        <f t="shared" si="3"/>
        <v>1.0079588250062768</v>
      </c>
      <c r="N42" s="274">
        <v>547.50972000000445</v>
      </c>
      <c r="O42" s="274">
        <v>7.5999999999999998E-2</v>
      </c>
      <c r="P42" s="200">
        <v>6.3603648840907185E-4</v>
      </c>
      <c r="Q42" s="274">
        <v>43.754719999999999</v>
      </c>
      <c r="R42" s="274">
        <v>0.87500000000000766</v>
      </c>
      <c r="S42" s="200">
        <v>7.3227885178676682E-3</v>
      </c>
      <c r="T42" s="235" t="s">
        <v>272</v>
      </c>
      <c r="U42" s="198" t="s">
        <v>165</v>
      </c>
      <c r="V42" s="198"/>
      <c r="W42" s="205">
        <v>1</v>
      </c>
      <c r="X42" s="198" t="s">
        <v>106</v>
      </c>
      <c r="AA42" s="237">
        <v>3</v>
      </c>
      <c r="AB42" s="196" t="s">
        <v>230</v>
      </c>
    </row>
    <row r="43" spans="2:28" ht="16.5">
      <c r="B43" s="474"/>
      <c r="C43" s="474"/>
      <c r="D43" s="209">
        <v>7</v>
      </c>
      <c r="E43" s="198" t="s">
        <v>239</v>
      </c>
      <c r="F43" s="274">
        <v>484.02647999999812</v>
      </c>
      <c r="G43" s="274">
        <v>216.81</v>
      </c>
      <c r="H43" s="274">
        <v>221.75899999999999</v>
      </c>
      <c r="I43" s="210">
        <f t="shared" si="1"/>
        <v>1.022826437894931</v>
      </c>
      <c r="J43" s="234">
        <v>0</v>
      </c>
      <c r="K43" s="210">
        <f t="shared" si="2"/>
        <v>0</v>
      </c>
      <c r="L43" s="234">
        <v>115.08</v>
      </c>
      <c r="M43" s="211">
        <f t="shared" si="3"/>
        <v>1.022826437894931</v>
      </c>
      <c r="N43" s="274">
        <v>569.5309199999981</v>
      </c>
      <c r="O43" s="274">
        <v>0.74299999999999999</v>
      </c>
      <c r="P43" s="200">
        <v>3.4269637009363037E-3</v>
      </c>
      <c r="Q43" s="274">
        <v>85.504440000000002</v>
      </c>
      <c r="R43" s="274">
        <v>4.2059999999999835</v>
      </c>
      <c r="S43" s="200">
        <v>1.9399474193994667E-2</v>
      </c>
      <c r="T43" s="235" t="s">
        <v>272</v>
      </c>
      <c r="U43" s="198" t="s">
        <v>165</v>
      </c>
      <c r="V43" s="198"/>
      <c r="W43" s="205">
        <v>1</v>
      </c>
      <c r="X43" s="198" t="s">
        <v>116</v>
      </c>
      <c r="AA43" s="237">
        <v>4</v>
      </c>
      <c r="AB43" s="196" t="s">
        <v>251</v>
      </c>
    </row>
    <row r="44" spans="2:28" ht="15.75">
      <c r="B44" s="474"/>
      <c r="C44" s="474"/>
      <c r="D44" s="209">
        <v>8</v>
      </c>
      <c r="E44" s="198" t="s">
        <v>321</v>
      </c>
      <c r="F44" s="274">
        <v>460.80000000000041</v>
      </c>
      <c r="G44" s="274">
        <v>77.695999999999998</v>
      </c>
      <c r="H44" s="274">
        <v>80</v>
      </c>
      <c r="I44" s="210">
        <f t="shared" si="1"/>
        <v>1.029654036243822</v>
      </c>
      <c r="J44" s="234">
        <v>0</v>
      </c>
      <c r="K44" s="210">
        <f t="shared" si="2"/>
        <v>0</v>
      </c>
      <c r="L44" s="234">
        <v>200</v>
      </c>
      <c r="M44" s="211">
        <f t="shared" si="3"/>
        <v>1.029654036243822</v>
      </c>
      <c r="N44" s="274">
        <v>460.80000000000041</v>
      </c>
      <c r="O44" s="274">
        <v>0</v>
      </c>
      <c r="P44" s="200">
        <v>0</v>
      </c>
      <c r="Q44" s="274">
        <v>0</v>
      </c>
      <c r="R44" s="274">
        <v>2.304000000000002</v>
      </c>
      <c r="S44" s="200">
        <v>2.9654036243822103E-2</v>
      </c>
      <c r="T44" s="235" t="s">
        <v>272</v>
      </c>
      <c r="U44" s="198" t="s">
        <v>165</v>
      </c>
      <c r="V44" s="198"/>
      <c r="W44" s="205">
        <v>1</v>
      </c>
      <c r="X44" s="198" t="s">
        <v>244</v>
      </c>
      <c r="AA44" s="196">
        <v>5</v>
      </c>
      <c r="AB44" s="196" t="s">
        <v>274</v>
      </c>
    </row>
    <row r="45" spans="2:28" ht="16.5">
      <c r="B45" s="474"/>
      <c r="C45" s="474"/>
      <c r="D45" s="209">
        <v>9</v>
      </c>
      <c r="E45" s="198" t="s">
        <v>271</v>
      </c>
      <c r="F45" s="274">
        <v>456.53765999999774</v>
      </c>
      <c r="G45" s="274">
        <v>189.9</v>
      </c>
      <c r="H45" s="274">
        <v>204.71799999999999</v>
      </c>
      <c r="I45" s="210">
        <f t="shared" si="1"/>
        <v>1.0780305423907319</v>
      </c>
      <c r="J45" s="234">
        <v>0</v>
      </c>
      <c r="K45" s="210">
        <f t="shared" si="2"/>
        <v>0</v>
      </c>
      <c r="L45" s="234">
        <v>141.87</v>
      </c>
      <c r="M45" s="211">
        <f t="shared" si="3"/>
        <v>1.0780305423907319</v>
      </c>
      <c r="N45" s="274">
        <v>2102.2296599999977</v>
      </c>
      <c r="O45" s="274">
        <v>11.6</v>
      </c>
      <c r="P45" s="200">
        <v>6.108478146392838E-2</v>
      </c>
      <c r="Q45" s="274">
        <v>1645.692</v>
      </c>
      <c r="R45" s="274">
        <v>3.217999999999984</v>
      </c>
      <c r="S45" s="200">
        <v>1.6945760926803496E-2</v>
      </c>
      <c r="T45" s="235" t="s">
        <v>272</v>
      </c>
      <c r="U45" s="198" t="s">
        <v>165</v>
      </c>
      <c r="V45" s="231"/>
      <c r="W45" s="205">
        <v>1</v>
      </c>
      <c r="X45" s="198" t="s">
        <v>109</v>
      </c>
    </row>
    <row r="46" spans="2:28" ht="15.75">
      <c r="B46" s="474"/>
      <c r="C46" s="474"/>
      <c r="D46" s="209">
        <v>10</v>
      </c>
      <c r="E46" s="198" t="s">
        <v>273</v>
      </c>
      <c r="F46" s="274">
        <v>371.57260000000127</v>
      </c>
      <c r="G46" s="274">
        <v>131.69999999999999</v>
      </c>
      <c r="H46" s="274">
        <v>142</v>
      </c>
      <c r="I46" s="210">
        <f t="shared" si="1"/>
        <v>1.0782080485952925</v>
      </c>
      <c r="J46" s="234">
        <v>0</v>
      </c>
      <c r="K46" s="210">
        <f t="shared" si="2"/>
        <v>0</v>
      </c>
      <c r="L46" s="234">
        <v>112.94</v>
      </c>
      <c r="M46" s="211">
        <f t="shared" si="3"/>
        <v>1.0782080485952925</v>
      </c>
      <c r="N46" s="274">
        <v>1163.2820000000013</v>
      </c>
      <c r="O46" s="274">
        <v>7.01</v>
      </c>
      <c r="P46" s="200">
        <v>5.3227031131359154E-2</v>
      </c>
      <c r="Q46" s="274">
        <v>791.70939999999996</v>
      </c>
      <c r="R46" s="274">
        <v>3.2900000000000116</v>
      </c>
      <c r="S46" s="200">
        <v>2.4981017463933271E-2</v>
      </c>
      <c r="T46" s="235" t="s">
        <v>272</v>
      </c>
      <c r="U46" s="198" t="s">
        <v>165</v>
      </c>
      <c r="V46" s="198"/>
      <c r="W46" s="205">
        <v>1</v>
      </c>
      <c r="X46" s="198" t="s">
        <v>110</v>
      </c>
    </row>
    <row r="47" spans="2:28" ht="16.5">
      <c r="B47" s="473">
        <v>45905</v>
      </c>
      <c r="C47" s="475" t="s">
        <v>60</v>
      </c>
      <c r="D47" s="209">
        <v>1</v>
      </c>
      <c r="E47" s="198" t="s">
        <v>229</v>
      </c>
      <c r="F47" s="274">
        <v>1363.665100000002</v>
      </c>
      <c r="G47" s="274">
        <v>139.19999999999999</v>
      </c>
      <c r="H47" s="274">
        <v>144.85</v>
      </c>
      <c r="I47" s="210">
        <f t="shared" si="1"/>
        <v>1.0405890804597702</v>
      </c>
      <c r="J47" s="234">
        <v>0</v>
      </c>
      <c r="K47" s="210">
        <f t="shared" si="2"/>
        <v>0</v>
      </c>
      <c r="L47" s="234">
        <v>335.3</v>
      </c>
      <c r="M47" s="211">
        <f t="shared" si="3"/>
        <v>1.0405890804597702</v>
      </c>
      <c r="N47" s="274">
        <v>1894.445000000002</v>
      </c>
      <c r="O47" s="274">
        <v>1.583</v>
      </c>
      <c r="P47" s="200">
        <v>1.1372126436781611E-2</v>
      </c>
      <c r="Q47" s="274">
        <v>530.7799</v>
      </c>
      <c r="R47" s="274">
        <v>4.0670000000000055</v>
      </c>
      <c r="S47" s="200">
        <v>2.9216954022988548E-2</v>
      </c>
      <c r="T47" s="229" t="s">
        <v>230</v>
      </c>
      <c r="U47" s="198" t="s">
        <v>181</v>
      </c>
      <c r="V47" s="198" t="s">
        <v>276</v>
      </c>
      <c r="W47" s="205">
        <v>1</v>
      </c>
      <c r="X47" s="198" t="s">
        <v>232</v>
      </c>
    </row>
    <row r="48" spans="2:28">
      <c r="B48" s="474"/>
      <c r="C48" s="474"/>
      <c r="D48" s="209">
        <v>2</v>
      </c>
      <c r="E48" s="198" t="s">
        <v>291</v>
      </c>
      <c r="F48" s="274">
        <v>582.20000000000141</v>
      </c>
      <c r="G48" s="274">
        <v>292.39999999999998</v>
      </c>
      <c r="H48" s="274">
        <v>295.8</v>
      </c>
      <c r="I48" s="210">
        <f t="shared" si="1"/>
        <v>1.0116279069767442</v>
      </c>
      <c r="J48" s="234">
        <v>12.5</v>
      </c>
      <c r="K48" s="210">
        <f t="shared" si="2"/>
        <v>4.2749658002735981E-2</v>
      </c>
      <c r="L48" s="234">
        <v>41</v>
      </c>
      <c r="M48" s="211">
        <f t="shared" si="3"/>
        <v>1.0543775649794802</v>
      </c>
      <c r="N48" s="274">
        <v>651.90000000000146</v>
      </c>
      <c r="O48" s="274">
        <v>1.7</v>
      </c>
      <c r="P48" s="200">
        <v>5.8139534883720929E-3</v>
      </c>
      <c r="Q48" s="274">
        <v>69.7</v>
      </c>
      <c r="R48" s="274">
        <v>14.200000000000035</v>
      </c>
      <c r="S48" s="200">
        <v>4.8563611491108195E-2</v>
      </c>
      <c r="T48" s="198" t="s">
        <v>272</v>
      </c>
      <c r="U48" s="198" t="s">
        <v>165</v>
      </c>
      <c r="V48" s="198"/>
      <c r="W48" s="205">
        <v>1</v>
      </c>
      <c r="X48" s="198" t="s">
        <v>111</v>
      </c>
    </row>
    <row r="49" spans="2:24">
      <c r="B49" s="474"/>
      <c r="C49" s="474"/>
      <c r="D49" s="209">
        <v>3</v>
      </c>
      <c r="E49" s="198" t="s">
        <v>323</v>
      </c>
      <c r="F49" s="274">
        <v>508.83611999999795</v>
      </c>
      <c r="G49" s="274">
        <v>152.4</v>
      </c>
      <c r="H49" s="274">
        <v>155.499</v>
      </c>
      <c r="I49" s="210">
        <f t="shared" si="1"/>
        <v>1.0203346456692912</v>
      </c>
      <c r="J49" s="234">
        <v>0</v>
      </c>
      <c r="K49" s="210">
        <f t="shared" si="2"/>
        <v>0</v>
      </c>
      <c r="L49" s="234">
        <v>193.17999999999998</v>
      </c>
      <c r="M49" s="211">
        <f t="shared" si="3"/>
        <v>1.0203346456692912</v>
      </c>
      <c r="N49" s="274">
        <v>598.66481999999792</v>
      </c>
      <c r="O49" s="274">
        <v>0.46500000000000002</v>
      </c>
      <c r="P49" s="200">
        <v>3.0511811023622047E-3</v>
      </c>
      <c r="Q49" s="274">
        <v>89.828699999999998</v>
      </c>
      <c r="R49" s="274">
        <v>2.6339999999999897</v>
      </c>
      <c r="S49" s="200">
        <v>1.7283464566929065E-2</v>
      </c>
      <c r="T49" s="198" t="s">
        <v>272</v>
      </c>
      <c r="U49" s="198" t="s">
        <v>165</v>
      </c>
      <c r="V49" s="198"/>
      <c r="W49" s="205">
        <v>1</v>
      </c>
      <c r="X49" s="198" t="s">
        <v>114</v>
      </c>
    </row>
    <row r="50" spans="2:24">
      <c r="B50" s="474"/>
      <c r="C50" s="474"/>
      <c r="D50" s="209">
        <v>4</v>
      </c>
      <c r="E50" s="198" t="s">
        <v>324</v>
      </c>
      <c r="F50" s="274">
        <v>383.30750000000234</v>
      </c>
      <c r="G50" s="274">
        <v>730.4</v>
      </c>
      <c r="H50" s="274">
        <v>742.76700000000005</v>
      </c>
      <c r="I50" s="210">
        <f t="shared" si="1"/>
        <v>1.0169318181818183</v>
      </c>
      <c r="J50" s="234">
        <v>0</v>
      </c>
      <c r="K50" s="210">
        <f t="shared" si="2"/>
        <v>0</v>
      </c>
      <c r="L50" s="234">
        <v>31.099999999999998</v>
      </c>
      <c r="M50" s="211">
        <f t="shared" si="3"/>
        <v>1.0169318181818183</v>
      </c>
      <c r="N50" s="274">
        <v>384.61370000000232</v>
      </c>
      <c r="O50" s="274">
        <v>4.2000000000000003E-2</v>
      </c>
      <c r="P50" s="200">
        <v>5.7502738225629795E-5</v>
      </c>
      <c r="Q50" s="274">
        <v>1.3062</v>
      </c>
      <c r="R50" s="274">
        <v>12.325000000000076</v>
      </c>
      <c r="S50" s="200">
        <v>1.6874315443592657E-2</v>
      </c>
      <c r="T50" s="198" t="s">
        <v>272</v>
      </c>
      <c r="U50" s="198" t="s">
        <v>165</v>
      </c>
      <c r="V50" s="198"/>
      <c r="W50" s="205">
        <v>1</v>
      </c>
      <c r="X50" s="198" t="s">
        <v>105</v>
      </c>
    </row>
    <row r="51" spans="2:24">
      <c r="B51" s="474"/>
      <c r="C51" s="474"/>
      <c r="D51" s="209">
        <v>5</v>
      </c>
      <c r="E51" s="198" t="s">
        <v>248</v>
      </c>
      <c r="F51" s="274">
        <v>379.48091999999872</v>
      </c>
      <c r="G51" s="274">
        <v>828.96</v>
      </c>
      <c r="H51" s="274">
        <v>848</v>
      </c>
      <c r="I51" s="210">
        <f t="shared" si="1"/>
        <v>1.0229685388921057</v>
      </c>
      <c r="J51" s="234">
        <v>0</v>
      </c>
      <c r="K51" s="210">
        <f t="shared" si="2"/>
        <v>0</v>
      </c>
      <c r="L51" s="234">
        <v>34.58</v>
      </c>
      <c r="M51" s="211">
        <f t="shared" si="3"/>
        <v>1.0229685388921057</v>
      </c>
      <c r="N51" s="274">
        <v>658.40319999999872</v>
      </c>
      <c r="O51" s="274">
        <v>8.0660000000000007</v>
      </c>
      <c r="P51" s="200">
        <v>9.7302644277166579E-3</v>
      </c>
      <c r="Q51" s="274">
        <v>278.92228</v>
      </c>
      <c r="R51" s="274">
        <v>10.973999999999963</v>
      </c>
      <c r="S51" s="200">
        <v>1.3238274464389068E-2</v>
      </c>
      <c r="T51" s="198" t="s">
        <v>272</v>
      </c>
      <c r="U51" s="198" t="s">
        <v>165</v>
      </c>
      <c r="V51" s="198"/>
      <c r="W51" s="205">
        <v>1</v>
      </c>
      <c r="X51" s="198" t="s">
        <v>103</v>
      </c>
    </row>
    <row r="52" spans="2:24">
      <c r="B52" s="474"/>
      <c r="C52" s="474"/>
      <c r="D52" s="209">
        <v>6</v>
      </c>
      <c r="E52" s="198" t="s">
        <v>322</v>
      </c>
      <c r="F52" s="274">
        <v>368.74000000000058</v>
      </c>
      <c r="G52" s="274">
        <v>12.641999999999999</v>
      </c>
      <c r="H52" s="274">
        <v>13</v>
      </c>
      <c r="I52" s="210">
        <f t="shared" si="1"/>
        <v>1.0283183040658124</v>
      </c>
      <c r="J52" s="234">
        <v>0</v>
      </c>
      <c r="K52" s="210">
        <f t="shared" si="2"/>
        <v>0</v>
      </c>
      <c r="L52" s="234">
        <v>1030</v>
      </c>
      <c r="M52" s="211">
        <f t="shared" si="3"/>
        <v>1.0283183040658124</v>
      </c>
      <c r="N52" s="274">
        <v>368.74000000000058</v>
      </c>
      <c r="O52" s="274">
        <v>0</v>
      </c>
      <c r="P52" s="200">
        <v>0</v>
      </c>
      <c r="Q52" s="274">
        <v>0</v>
      </c>
      <c r="R52" s="274">
        <v>0.35800000000000054</v>
      </c>
      <c r="S52" s="200">
        <v>2.8318304065812417E-2</v>
      </c>
      <c r="T52" s="198" t="s">
        <v>272</v>
      </c>
      <c r="U52" s="198" t="s">
        <v>165</v>
      </c>
      <c r="V52" s="198"/>
      <c r="W52" s="205">
        <v>1</v>
      </c>
      <c r="X52" s="198" t="s">
        <v>116</v>
      </c>
    </row>
    <row r="53" spans="2:24">
      <c r="B53" s="474"/>
      <c r="C53" s="474"/>
      <c r="D53" s="209">
        <v>7</v>
      </c>
      <c r="E53" s="198" t="s">
        <v>271</v>
      </c>
      <c r="F53" s="274">
        <v>346.16280000000131</v>
      </c>
      <c r="G53" s="274">
        <v>170.01</v>
      </c>
      <c r="H53" s="274">
        <v>173.5</v>
      </c>
      <c r="I53" s="210">
        <f t="shared" si="1"/>
        <v>1.0205282042232811</v>
      </c>
      <c r="J53" s="234">
        <v>0</v>
      </c>
      <c r="K53" s="210">
        <f t="shared" si="2"/>
        <v>0</v>
      </c>
      <c r="L53" s="234">
        <v>141.87</v>
      </c>
      <c r="M53" s="211">
        <f t="shared" si="3"/>
        <v>1.0205282042232811</v>
      </c>
      <c r="N53" s="274">
        <v>495.12630000000132</v>
      </c>
      <c r="O53" s="274">
        <v>1.05</v>
      </c>
      <c r="P53" s="200">
        <v>6.1761072878065999E-3</v>
      </c>
      <c r="Q53" s="274">
        <v>148.96350000000001</v>
      </c>
      <c r="R53" s="274">
        <v>2.4400000000000093</v>
      </c>
      <c r="S53" s="200">
        <v>1.4352096935474439E-2</v>
      </c>
      <c r="T53" s="198" t="s">
        <v>272</v>
      </c>
      <c r="U53" s="198" t="s">
        <v>165</v>
      </c>
      <c r="V53" s="198"/>
      <c r="W53" s="205">
        <v>1</v>
      </c>
      <c r="X53" s="198" t="s">
        <v>109</v>
      </c>
    </row>
    <row r="54" spans="2:24">
      <c r="B54" s="474"/>
      <c r="C54" s="474"/>
      <c r="D54" s="209">
        <v>8</v>
      </c>
      <c r="E54" s="198" t="s">
        <v>313</v>
      </c>
      <c r="F54" s="274">
        <v>339.80800000000011</v>
      </c>
      <c r="G54" s="274">
        <v>152.05600000000001</v>
      </c>
      <c r="H54" s="274">
        <v>154.56800000000001</v>
      </c>
      <c r="I54" s="210">
        <f t="shared" si="1"/>
        <v>1.0165202293891724</v>
      </c>
      <c r="J54" s="234">
        <v>0</v>
      </c>
      <c r="K54" s="210">
        <f t="shared" si="2"/>
        <v>0</v>
      </c>
      <c r="L54" s="234">
        <v>164</v>
      </c>
      <c r="M54" s="211">
        <f t="shared" si="3"/>
        <v>1.0165202293891724</v>
      </c>
      <c r="N54" s="274">
        <v>411.96800000000007</v>
      </c>
      <c r="O54" s="274">
        <v>0.44</v>
      </c>
      <c r="P54" s="200">
        <v>2.8936707528805176E-3</v>
      </c>
      <c r="Q54" s="274">
        <v>72.16</v>
      </c>
      <c r="R54" s="274">
        <v>2.0720000000000005</v>
      </c>
      <c r="S54" s="200">
        <v>1.3626558636291895E-2</v>
      </c>
      <c r="T54" s="198" t="s">
        <v>272</v>
      </c>
      <c r="U54" s="198" t="s">
        <v>165</v>
      </c>
      <c r="V54" s="198"/>
      <c r="W54" s="205">
        <v>1</v>
      </c>
      <c r="X54" s="198" t="s">
        <v>287</v>
      </c>
    </row>
    <row r="55" spans="2:24">
      <c r="B55" s="474"/>
      <c r="C55" s="474"/>
      <c r="D55" s="209">
        <v>9</v>
      </c>
      <c r="E55" s="198" t="s">
        <v>326</v>
      </c>
      <c r="F55" s="274">
        <v>288.762</v>
      </c>
      <c r="G55" s="274">
        <v>7.31</v>
      </c>
      <c r="H55" s="274">
        <v>7.5259999999999998</v>
      </c>
      <c r="I55" s="210">
        <f t="shared" si="1"/>
        <v>1.0295485636114912</v>
      </c>
      <c r="J55" s="234">
        <v>0.93300000000000005</v>
      </c>
      <c r="K55" s="210">
        <f t="shared" si="2"/>
        <v>0.12763337893296856</v>
      </c>
      <c r="L55" s="234">
        <v>298</v>
      </c>
      <c r="M55" s="211">
        <f t="shared" si="3"/>
        <v>1.1571819425444596</v>
      </c>
      <c r="N55" s="274">
        <v>342.40199999999999</v>
      </c>
      <c r="O55" s="274">
        <v>0.18</v>
      </c>
      <c r="P55" s="200">
        <v>2.4623803009575923E-2</v>
      </c>
      <c r="Q55" s="274">
        <v>53.64</v>
      </c>
      <c r="R55" s="274">
        <v>0.96900000000000008</v>
      </c>
      <c r="S55" s="200">
        <v>0.13255813953488374</v>
      </c>
      <c r="T55" s="198" t="s">
        <v>235</v>
      </c>
      <c r="U55" s="198" t="s">
        <v>264</v>
      </c>
      <c r="V55" s="198" t="s">
        <v>327</v>
      </c>
      <c r="W55" s="205">
        <v>1</v>
      </c>
      <c r="X55" s="198" t="s">
        <v>111</v>
      </c>
    </row>
    <row r="56" spans="2:24">
      <c r="B56" s="474"/>
      <c r="C56" s="474"/>
      <c r="D56" s="209">
        <v>10</v>
      </c>
      <c r="E56" s="198" t="s">
        <v>286</v>
      </c>
      <c r="F56" s="274">
        <v>215.80657999999946</v>
      </c>
      <c r="G56" s="274">
        <v>308.8</v>
      </c>
      <c r="H56" s="274">
        <v>315</v>
      </c>
      <c r="I56" s="210">
        <f t="shared" si="1"/>
        <v>1.020077720207254</v>
      </c>
      <c r="J56" s="234">
        <v>0</v>
      </c>
      <c r="K56" s="210">
        <f t="shared" si="2"/>
        <v>0</v>
      </c>
      <c r="L56" s="234">
        <v>46.489999999999995</v>
      </c>
      <c r="M56" s="211">
        <f t="shared" si="3"/>
        <v>1.020077720207254</v>
      </c>
      <c r="N56" s="274">
        <v>288.23799999999943</v>
      </c>
      <c r="O56" s="274">
        <v>1.5580000000000001</v>
      </c>
      <c r="P56" s="200">
        <v>5.045336787564767E-3</v>
      </c>
      <c r="Q56" s="274">
        <v>72.431419999999989</v>
      </c>
      <c r="R56" s="274">
        <v>4.6419999999999888</v>
      </c>
      <c r="S56" s="200">
        <v>1.5032383419689082E-2</v>
      </c>
      <c r="T56" s="198" t="s">
        <v>272</v>
      </c>
      <c r="U56" s="198" t="s">
        <v>165</v>
      </c>
      <c r="V56" s="198"/>
      <c r="W56" s="205">
        <v>1</v>
      </c>
      <c r="X56" s="198" t="s">
        <v>108</v>
      </c>
    </row>
    <row r="57" spans="2:24">
      <c r="B57" s="473">
        <v>45906</v>
      </c>
      <c r="C57" s="475" t="s">
        <v>61</v>
      </c>
      <c r="D57" s="209">
        <v>1</v>
      </c>
      <c r="E57" s="198" t="s">
        <v>270</v>
      </c>
      <c r="F57" s="274">
        <v>1863.0614099999991</v>
      </c>
      <c r="G57" s="274">
        <v>502.46899999999999</v>
      </c>
      <c r="H57" s="274">
        <v>503</v>
      </c>
      <c r="I57" s="210">
        <f t="shared" si="1"/>
        <v>1.0010567816123981</v>
      </c>
      <c r="J57" s="234">
        <v>33.9</v>
      </c>
      <c r="K57" s="210">
        <f t="shared" si="2"/>
        <v>6.7466848701113899E-2</v>
      </c>
      <c r="L57" s="234">
        <v>54.11</v>
      </c>
      <c r="M57" s="211">
        <f t="shared" si="3"/>
        <v>1.0685236303135119</v>
      </c>
      <c r="N57" s="274">
        <v>1863.0614099999991</v>
      </c>
      <c r="O57" s="274">
        <v>0</v>
      </c>
      <c r="P57" s="200">
        <v>0</v>
      </c>
      <c r="Q57" s="274">
        <v>0</v>
      </c>
      <c r="R57" s="274">
        <v>34.430999999999983</v>
      </c>
      <c r="S57" s="200">
        <v>6.8523630313511844E-2</v>
      </c>
      <c r="T57" s="198" t="s">
        <v>272</v>
      </c>
      <c r="U57" s="198" t="s">
        <v>165</v>
      </c>
      <c r="V57" s="198"/>
      <c r="W57" s="205">
        <v>1</v>
      </c>
      <c r="X57" s="198" t="s">
        <v>114</v>
      </c>
    </row>
    <row r="58" spans="2:24" ht="16.5">
      <c r="B58" s="474"/>
      <c r="C58" s="474"/>
      <c r="D58" s="209">
        <v>2</v>
      </c>
      <c r="E58" s="198" t="s">
        <v>229</v>
      </c>
      <c r="F58" s="274">
        <v>1244.298300000002</v>
      </c>
      <c r="G58" s="274">
        <v>146.46</v>
      </c>
      <c r="H58" s="274">
        <v>150.73500000000001</v>
      </c>
      <c r="I58" s="210">
        <f t="shared" si="1"/>
        <v>1.0291888570258092</v>
      </c>
      <c r="J58" s="234">
        <v>0</v>
      </c>
      <c r="K58" s="210">
        <f t="shared" si="2"/>
        <v>0</v>
      </c>
      <c r="L58" s="234">
        <v>335.3</v>
      </c>
      <c r="M58" s="211">
        <f t="shared" si="3"/>
        <v>1.0291888570258092</v>
      </c>
      <c r="N58" s="274">
        <v>1433.4075000000018</v>
      </c>
      <c r="O58" s="274">
        <v>0.56399999999999995</v>
      </c>
      <c r="P58" s="200">
        <v>3.8508807865628835E-3</v>
      </c>
      <c r="Q58" s="274">
        <v>189.10919999999999</v>
      </c>
      <c r="R58" s="274">
        <v>3.7110000000000056</v>
      </c>
      <c r="S58" s="200">
        <v>2.5337976239246246E-2</v>
      </c>
      <c r="T58" s="229" t="s">
        <v>230</v>
      </c>
      <c r="U58" s="198" t="s">
        <v>181</v>
      </c>
      <c r="V58" s="198" t="s">
        <v>276</v>
      </c>
      <c r="W58" s="205">
        <v>1</v>
      </c>
      <c r="X58" s="198" t="s">
        <v>232</v>
      </c>
    </row>
    <row r="59" spans="2:24">
      <c r="B59" s="474"/>
      <c r="C59" s="474"/>
      <c r="D59" s="209">
        <v>3</v>
      </c>
      <c r="E59" s="198" t="s">
        <v>291</v>
      </c>
      <c r="F59" s="274">
        <v>990.60099999999818</v>
      </c>
      <c r="G59" s="274">
        <v>329</v>
      </c>
      <c r="H59" s="274">
        <v>331.4</v>
      </c>
      <c r="I59" s="210">
        <f t="shared" si="1"/>
        <v>1.0072948328267477</v>
      </c>
      <c r="J59" s="234">
        <v>23.15</v>
      </c>
      <c r="K59" s="210">
        <f t="shared" si="2"/>
        <v>7.0364741641337381E-2</v>
      </c>
      <c r="L59" s="234">
        <v>41</v>
      </c>
      <c r="M59" s="211">
        <f t="shared" si="3"/>
        <v>1.077659574468085</v>
      </c>
      <c r="N59" s="274">
        <v>1047.5499999999981</v>
      </c>
      <c r="O59" s="274">
        <v>1.389</v>
      </c>
      <c r="P59" s="200">
        <v>4.2218844984802436E-3</v>
      </c>
      <c r="Q59" s="274">
        <v>56.948999999999998</v>
      </c>
      <c r="R59" s="274">
        <v>24.160999999999955</v>
      </c>
      <c r="S59" s="200">
        <v>7.343768996960473E-2</v>
      </c>
      <c r="T59" s="198" t="s">
        <v>272</v>
      </c>
      <c r="U59" s="198" t="s">
        <v>165</v>
      </c>
      <c r="V59" s="198"/>
      <c r="W59" s="205">
        <v>1</v>
      </c>
      <c r="X59" s="198" t="s">
        <v>111</v>
      </c>
    </row>
    <row r="60" spans="2:24">
      <c r="B60" s="474"/>
      <c r="C60" s="474"/>
      <c r="D60" s="209">
        <v>4</v>
      </c>
      <c r="E60" s="198" t="s">
        <v>328</v>
      </c>
      <c r="F60" s="274">
        <v>867.50664000000006</v>
      </c>
      <c r="G60" s="274">
        <v>1903</v>
      </c>
      <c r="H60" s="274">
        <v>1914</v>
      </c>
      <c r="I60" s="210">
        <f t="shared" si="1"/>
        <v>1.0057803468208093</v>
      </c>
      <c r="J60" s="234">
        <v>193</v>
      </c>
      <c r="K60" s="210">
        <f t="shared" si="2"/>
        <v>0.10141881240147137</v>
      </c>
      <c r="L60" s="234">
        <v>4.29</v>
      </c>
      <c r="M60" s="211">
        <f t="shared" si="3"/>
        <v>1.1071991592222805</v>
      </c>
      <c r="N60" s="274">
        <v>875.16</v>
      </c>
      <c r="O60" s="274">
        <v>1.784</v>
      </c>
      <c r="P60" s="200">
        <v>9.3746715712033637E-4</v>
      </c>
      <c r="Q60" s="274">
        <v>7.6533600000000002</v>
      </c>
      <c r="R60" s="274">
        <v>202.21600000000001</v>
      </c>
      <c r="S60" s="200">
        <v>0.10626169206516027</v>
      </c>
      <c r="T60" s="198" t="s">
        <v>272</v>
      </c>
      <c r="U60" s="198" t="s">
        <v>165</v>
      </c>
      <c r="V60" s="198"/>
      <c r="W60" s="205">
        <v>1</v>
      </c>
      <c r="X60" s="198" t="s">
        <v>124</v>
      </c>
    </row>
    <row r="61" spans="2:24">
      <c r="B61" s="474"/>
      <c r="C61" s="474"/>
      <c r="D61" s="209">
        <v>5</v>
      </c>
      <c r="E61" s="198" t="s">
        <v>286</v>
      </c>
      <c r="F61" s="274">
        <v>803.573099999997</v>
      </c>
      <c r="G61" s="274">
        <v>512.38</v>
      </c>
      <c r="H61" s="274">
        <v>517.65</v>
      </c>
      <c r="I61" s="210">
        <f t="shared" si="1"/>
        <v>1.0102853351028533</v>
      </c>
      <c r="J61" s="234">
        <v>13.05</v>
      </c>
      <c r="K61" s="210">
        <f t="shared" si="2"/>
        <v>2.5469378195870255E-2</v>
      </c>
      <c r="L61" s="234">
        <v>46.53</v>
      </c>
      <c r="M61" s="211">
        <f t="shared" si="3"/>
        <v>1.0357547132987235</v>
      </c>
      <c r="N61" s="274">
        <v>852.42959999999709</v>
      </c>
      <c r="O61" s="274">
        <v>1.05</v>
      </c>
      <c r="P61" s="200">
        <v>2.0492603146102504E-3</v>
      </c>
      <c r="Q61" s="274">
        <v>48.856500000000004</v>
      </c>
      <c r="R61" s="274">
        <v>17.269999999999936</v>
      </c>
      <c r="S61" s="200">
        <v>3.3705452984113225E-2</v>
      </c>
      <c r="T61" s="198" t="s">
        <v>272</v>
      </c>
      <c r="U61" s="198" t="s">
        <v>165</v>
      </c>
      <c r="V61" s="198"/>
      <c r="W61" s="205">
        <v>1</v>
      </c>
      <c r="X61" s="198" t="s">
        <v>113</v>
      </c>
    </row>
    <row r="62" spans="2:24">
      <c r="B62" s="474"/>
      <c r="C62" s="474"/>
      <c r="D62" s="209">
        <v>6</v>
      </c>
      <c r="E62" s="198" t="s">
        <v>248</v>
      </c>
      <c r="F62" s="274">
        <v>769.40500000000179</v>
      </c>
      <c r="G62" s="274">
        <v>850.3</v>
      </c>
      <c r="H62" s="274">
        <v>874.59100000000001</v>
      </c>
      <c r="I62" s="210">
        <f t="shared" si="1"/>
        <v>1.0285675643890393</v>
      </c>
      <c r="J62" s="234">
        <v>0</v>
      </c>
      <c r="K62" s="210">
        <f t="shared" si="2"/>
        <v>0</v>
      </c>
      <c r="L62" s="234">
        <v>34.58</v>
      </c>
      <c r="M62" s="211">
        <f t="shared" si="3"/>
        <v>1.0285675643890393</v>
      </c>
      <c r="N62" s="274">
        <v>839.98278000000187</v>
      </c>
      <c r="O62" s="274">
        <v>2.0409999999999999</v>
      </c>
      <c r="P62" s="200">
        <v>2.4003292955427497E-3</v>
      </c>
      <c r="Q62" s="274">
        <v>70.57777999999999</v>
      </c>
      <c r="R62" s="274">
        <v>22.250000000000053</v>
      </c>
      <c r="S62" s="200">
        <v>2.6167235093496478E-2</v>
      </c>
      <c r="T62" s="198" t="s">
        <v>272</v>
      </c>
      <c r="U62" s="198" t="s">
        <v>165</v>
      </c>
      <c r="V62" s="198"/>
      <c r="W62" s="205">
        <v>1</v>
      </c>
      <c r="X62" s="198" t="s">
        <v>103</v>
      </c>
    </row>
    <row r="63" spans="2:24">
      <c r="B63" s="474"/>
      <c r="C63" s="474"/>
      <c r="D63" s="209">
        <v>7</v>
      </c>
      <c r="E63" s="198" t="s">
        <v>283</v>
      </c>
      <c r="F63" s="274">
        <v>731.5308</v>
      </c>
      <c r="G63" s="274">
        <v>91.343999999999994</v>
      </c>
      <c r="H63" s="274">
        <v>91.602999999999994</v>
      </c>
      <c r="I63" s="210">
        <f t="shared" si="1"/>
        <v>1.0028354352776319</v>
      </c>
      <c r="J63" s="234">
        <v>5.72</v>
      </c>
      <c r="K63" s="210">
        <f t="shared" si="2"/>
        <v>6.2620423892100194E-2</v>
      </c>
      <c r="L63" s="234">
        <v>146.16000000000003</v>
      </c>
      <c r="M63" s="211">
        <f t="shared" si="3"/>
        <v>1.0654558591697321</v>
      </c>
      <c r="N63" s="274">
        <v>873.89064000000008</v>
      </c>
      <c r="O63" s="274">
        <v>0.97399999999999998</v>
      </c>
      <c r="P63" s="200">
        <v>1.0662988264144333E-2</v>
      </c>
      <c r="Q63" s="274">
        <v>142.35984000000002</v>
      </c>
      <c r="R63" s="274">
        <v>5.004999999999999</v>
      </c>
      <c r="S63" s="200">
        <v>5.4792870905587661E-2</v>
      </c>
      <c r="T63" s="198" t="s">
        <v>272</v>
      </c>
      <c r="U63" s="198" t="s">
        <v>165</v>
      </c>
      <c r="V63" s="198"/>
      <c r="W63" s="205">
        <v>1</v>
      </c>
      <c r="X63" s="198" t="s">
        <v>124</v>
      </c>
    </row>
    <row r="64" spans="2:24">
      <c r="B64" s="474"/>
      <c r="C64" s="474"/>
      <c r="D64" s="209">
        <v>8</v>
      </c>
      <c r="E64" s="198" t="s">
        <v>268</v>
      </c>
      <c r="F64" s="274">
        <v>640.78030000000274</v>
      </c>
      <c r="G64" s="274">
        <v>505.71</v>
      </c>
      <c r="H64" s="274">
        <v>550</v>
      </c>
      <c r="I64" s="210">
        <f t="shared" si="1"/>
        <v>1.0875798382472168</v>
      </c>
      <c r="J64" s="234">
        <v>0</v>
      </c>
      <c r="K64" s="210">
        <f t="shared" si="2"/>
        <v>0</v>
      </c>
      <c r="L64" s="234">
        <v>156.66999999999999</v>
      </c>
      <c r="M64" s="211">
        <f t="shared" si="3"/>
        <v>1.0875798382472168</v>
      </c>
      <c r="N64" s="274">
        <v>6938.9143000000031</v>
      </c>
      <c r="O64" s="274">
        <v>40.200000000000003</v>
      </c>
      <c r="P64" s="200">
        <v>7.9492199086432944E-2</v>
      </c>
      <c r="Q64" s="274">
        <v>6298.134</v>
      </c>
      <c r="R64" s="274">
        <v>4.0900000000000176</v>
      </c>
      <c r="S64" s="200">
        <v>8.0876391607838834E-3</v>
      </c>
      <c r="T64" s="198" t="s">
        <v>272</v>
      </c>
      <c r="U64" s="198" t="s">
        <v>165</v>
      </c>
      <c r="V64" s="198"/>
      <c r="W64" s="205">
        <v>1</v>
      </c>
      <c r="X64" s="198" t="s">
        <v>244</v>
      </c>
    </row>
    <row r="65" spans="2:24">
      <c r="B65" s="474"/>
      <c r="C65" s="474"/>
      <c r="D65" s="209">
        <v>9</v>
      </c>
      <c r="E65" s="198" t="s">
        <v>273</v>
      </c>
      <c r="F65" s="274">
        <v>493.54779999999812</v>
      </c>
      <c r="G65" s="274">
        <v>139.9</v>
      </c>
      <c r="H65" s="274">
        <v>147.19999999999999</v>
      </c>
      <c r="I65" s="210">
        <f t="shared" si="1"/>
        <v>1.0521801286633308</v>
      </c>
      <c r="J65" s="234">
        <v>0</v>
      </c>
      <c r="K65" s="210">
        <f t="shared" si="2"/>
        <v>0</v>
      </c>
      <c r="L65" s="234">
        <v>112.94</v>
      </c>
      <c r="M65" s="211">
        <f t="shared" si="3"/>
        <v>1.0521801286633308</v>
      </c>
      <c r="N65" s="274">
        <v>824.46199999999806</v>
      </c>
      <c r="O65" s="274">
        <v>2.93</v>
      </c>
      <c r="P65" s="200">
        <v>2.0943531093638314E-2</v>
      </c>
      <c r="Q65" s="274">
        <v>330.91419999999999</v>
      </c>
      <c r="R65" s="274">
        <v>4.3699999999999832</v>
      </c>
      <c r="S65" s="200">
        <v>3.1236597569692517E-2</v>
      </c>
      <c r="T65" s="198" t="s">
        <v>272</v>
      </c>
      <c r="U65" s="198" t="s">
        <v>165</v>
      </c>
      <c r="V65" s="198"/>
      <c r="W65" s="205">
        <v>1</v>
      </c>
      <c r="X65" s="198" t="s">
        <v>110</v>
      </c>
    </row>
    <row r="66" spans="2:24">
      <c r="B66" s="474"/>
      <c r="C66" s="474"/>
      <c r="D66" s="209">
        <v>10</v>
      </c>
      <c r="E66" s="198" t="s">
        <v>160</v>
      </c>
      <c r="F66" s="274">
        <v>487.63484000000392</v>
      </c>
      <c r="G66" s="274">
        <v>94.114999999999995</v>
      </c>
      <c r="H66" s="274">
        <v>95.042000000000002</v>
      </c>
      <c r="I66" s="210">
        <f t="shared" si="1"/>
        <v>1.0098496520214633</v>
      </c>
      <c r="J66" s="234">
        <v>0</v>
      </c>
      <c r="K66" s="210">
        <f t="shared" si="2"/>
        <v>0</v>
      </c>
      <c r="L66" s="234">
        <v>575.72</v>
      </c>
      <c r="M66" s="211">
        <f t="shared" si="3"/>
        <v>1.0098496520214633</v>
      </c>
      <c r="N66" s="274">
        <v>533.6924400000039</v>
      </c>
      <c r="O66" s="274">
        <v>0.08</v>
      </c>
      <c r="P66" s="200">
        <v>8.5002390692238223E-4</v>
      </c>
      <c r="Q66" s="274">
        <v>46.057600000000001</v>
      </c>
      <c r="R66" s="274">
        <v>0.84700000000000675</v>
      </c>
      <c r="S66" s="200">
        <v>8.9996281145407944E-3</v>
      </c>
      <c r="T66" s="198" t="s">
        <v>272</v>
      </c>
      <c r="U66" s="198" t="s">
        <v>165</v>
      </c>
      <c r="V66" s="198"/>
      <c r="W66" s="205">
        <v>1</v>
      </c>
      <c r="X66" s="198" t="s">
        <v>106</v>
      </c>
    </row>
    <row r="67" spans="2:24" ht="16.5">
      <c r="B67" s="473">
        <v>45907</v>
      </c>
      <c r="C67" s="475" t="s">
        <v>52</v>
      </c>
      <c r="D67" s="209">
        <v>1</v>
      </c>
      <c r="E67" s="198" t="s">
        <v>229</v>
      </c>
      <c r="F67" s="274">
        <v>2294.7931999999969</v>
      </c>
      <c r="G67" s="274">
        <v>195.9</v>
      </c>
      <c r="H67" s="274">
        <v>204.392</v>
      </c>
      <c r="I67" s="210">
        <f t="shared" si="1"/>
        <v>1.0433486472690148</v>
      </c>
      <c r="J67" s="234">
        <v>0</v>
      </c>
      <c r="K67" s="210">
        <f t="shared" si="2"/>
        <v>0</v>
      </c>
      <c r="L67" s="234">
        <v>335.3</v>
      </c>
      <c r="M67" s="211">
        <f t="shared" si="3"/>
        <v>1.0433486472690148</v>
      </c>
      <c r="N67" s="274">
        <v>2847.3675999999969</v>
      </c>
      <c r="O67" s="274">
        <v>1.6479999999999999</v>
      </c>
      <c r="P67" s="200">
        <v>8.4124553343542623E-3</v>
      </c>
      <c r="Q67" s="274">
        <v>552.57439999999997</v>
      </c>
      <c r="R67" s="274">
        <v>6.8439999999999905</v>
      </c>
      <c r="S67" s="200">
        <v>3.4936191934660493E-2</v>
      </c>
      <c r="T67" s="229" t="s">
        <v>230</v>
      </c>
      <c r="U67" s="198" t="s">
        <v>181</v>
      </c>
      <c r="V67" s="198" t="s">
        <v>276</v>
      </c>
      <c r="W67" s="205">
        <v>1</v>
      </c>
      <c r="X67" s="198" t="s">
        <v>232</v>
      </c>
    </row>
    <row r="68" spans="2:24">
      <c r="B68" s="474"/>
      <c r="C68" s="474"/>
      <c r="D68" s="209">
        <v>2</v>
      </c>
      <c r="E68" s="198" t="s">
        <v>329</v>
      </c>
      <c r="F68" s="274">
        <v>1309.4323199999999</v>
      </c>
      <c r="G68" s="274">
        <v>60.372</v>
      </c>
      <c r="H68" s="274">
        <v>76.5</v>
      </c>
      <c r="I68" s="210">
        <f t="shared" si="1"/>
        <v>1.2671437090041742</v>
      </c>
      <c r="J68" s="234">
        <v>0</v>
      </c>
      <c r="K68" s="210">
        <f t="shared" si="2"/>
        <v>0</v>
      </c>
      <c r="L68" s="234">
        <v>81.19</v>
      </c>
      <c r="M68" s="211">
        <f t="shared" si="3"/>
        <v>1.2671437090041742</v>
      </c>
      <c r="N68" s="274">
        <v>1309.4323199999999</v>
      </c>
      <c r="O68" s="274">
        <v>0</v>
      </c>
      <c r="P68" s="200">
        <v>0</v>
      </c>
      <c r="Q68" s="274">
        <v>0</v>
      </c>
      <c r="R68" s="274">
        <v>16.128</v>
      </c>
      <c r="S68" s="200">
        <v>0.26714370900417411</v>
      </c>
      <c r="T68" s="198" t="s">
        <v>274</v>
      </c>
      <c r="U68" s="198" t="s">
        <v>172</v>
      </c>
      <c r="V68" s="198" t="s">
        <v>330</v>
      </c>
      <c r="W68" s="205">
        <v>1</v>
      </c>
      <c r="X68" s="198" t="s">
        <v>124</v>
      </c>
    </row>
    <row r="69" spans="2:24" ht="16.5">
      <c r="B69" s="474"/>
      <c r="C69" s="474"/>
      <c r="D69" s="209">
        <v>3</v>
      </c>
      <c r="E69" s="198" t="s">
        <v>291</v>
      </c>
      <c r="F69" s="274">
        <v>1103.6379999999995</v>
      </c>
      <c r="G69" s="274">
        <v>415.8</v>
      </c>
      <c r="H69" s="274">
        <v>420.81799999999998</v>
      </c>
      <c r="I69" s="210">
        <f t="shared" si="1"/>
        <v>1.0120683020683019</v>
      </c>
      <c r="J69" s="234">
        <v>25.3</v>
      </c>
      <c r="K69" s="210">
        <f t="shared" si="2"/>
        <v>6.0846560846560843E-2</v>
      </c>
      <c r="L69" s="234">
        <v>41</v>
      </c>
      <c r="M69" s="211">
        <f t="shared" si="3"/>
        <v>1.0729148629148628</v>
      </c>
      <c r="N69" s="274">
        <v>1243.0379999999993</v>
      </c>
      <c r="O69" s="274">
        <v>3.4</v>
      </c>
      <c r="P69" s="200">
        <v>8.1770081770081767E-3</v>
      </c>
      <c r="Q69" s="274">
        <v>139.4</v>
      </c>
      <c r="R69" s="274">
        <v>26.917999999999985</v>
      </c>
      <c r="S69" s="200">
        <v>6.4737854737854705E-2</v>
      </c>
      <c r="T69" s="198" t="s">
        <v>272</v>
      </c>
      <c r="U69" s="198" t="s">
        <v>165</v>
      </c>
      <c r="V69" s="231"/>
      <c r="W69" s="205">
        <v>1</v>
      </c>
      <c r="X69" s="198" t="s">
        <v>111</v>
      </c>
    </row>
    <row r="70" spans="2:24">
      <c r="B70" s="474"/>
      <c r="C70" s="474"/>
      <c r="D70" s="209">
        <v>4</v>
      </c>
      <c r="E70" s="198" t="s">
        <v>271</v>
      </c>
      <c r="F70" s="274">
        <v>965.14160999999945</v>
      </c>
      <c r="G70" s="274">
        <v>233.28</v>
      </c>
      <c r="H70" s="274">
        <v>240.535</v>
      </c>
      <c r="I70" s="210">
        <f t="shared" si="1"/>
        <v>1.0310999657064472</v>
      </c>
      <c r="J70" s="234">
        <v>0</v>
      </c>
      <c r="K70" s="210">
        <f t="shared" si="2"/>
        <v>0</v>
      </c>
      <c r="L70" s="234">
        <v>141.87</v>
      </c>
      <c r="M70" s="211">
        <f t="shared" si="3"/>
        <v>1.0310999657064472</v>
      </c>
      <c r="N70" s="274">
        <v>1029.2668499999993</v>
      </c>
      <c r="O70" s="274">
        <v>0.45200000000000001</v>
      </c>
      <c r="P70" s="200">
        <v>1.9375857338820301E-3</v>
      </c>
      <c r="Q70" s="274">
        <v>64.125240000000005</v>
      </c>
      <c r="R70" s="274">
        <v>6.8029999999999955</v>
      </c>
      <c r="S70" s="200">
        <v>2.9162379972565138E-2</v>
      </c>
      <c r="T70" s="198" t="s">
        <v>272</v>
      </c>
      <c r="U70" s="198" t="s">
        <v>165</v>
      </c>
      <c r="V70" s="198"/>
      <c r="W70" s="205">
        <v>1</v>
      </c>
      <c r="X70" s="198" t="s">
        <v>109</v>
      </c>
    </row>
    <row r="71" spans="2:24" ht="16.5">
      <c r="B71" s="474"/>
      <c r="C71" s="474"/>
      <c r="D71" s="209">
        <v>5</v>
      </c>
      <c r="E71" s="198" t="s">
        <v>268</v>
      </c>
      <c r="F71" s="274">
        <v>879.70205000000135</v>
      </c>
      <c r="G71" s="274">
        <v>734.26499999999999</v>
      </c>
      <c r="H71" s="274">
        <v>739.88</v>
      </c>
      <c r="I71" s="210">
        <f t="shared" si="1"/>
        <v>1.0076471028851981</v>
      </c>
      <c r="J71" s="234">
        <v>0</v>
      </c>
      <c r="K71" s="210">
        <f t="shared" si="2"/>
        <v>0</v>
      </c>
      <c r="L71" s="234">
        <v>156.66999999999999</v>
      </c>
      <c r="M71" s="211">
        <f t="shared" si="3"/>
        <v>1.0076471028851981</v>
      </c>
      <c r="N71" s="274">
        <v>879.70205000000135</v>
      </c>
      <c r="O71" s="274">
        <v>0</v>
      </c>
      <c r="P71" s="200">
        <v>0</v>
      </c>
      <c r="Q71" s="274">
        <v>0</v>
      </c>
      <c r="R71" s="274">
        <v>5.6150000000000091</v>
      </c>
      <c r="S71" s="200">
        <v>7.6471028851981355E-3</v>
      </c>
      <c r="T71" s="198" t="s">
        <v>272</v>
      </c>
      <c r="U71" s="198" t="s">
        <v>165</v>
      </c>
      <c r="V71" s="231"/>
      <c r="W71" s="205">
        <v>1</v>
      </c>
      <c r="X71" s="198" t="s">
        <v>244</v>
      </c>
    </row>
    <row r="72" spans="2:24">
      <c r="B72" s="474"/>
      <c r="C72" s="474"/>
      <c r="D72" s="209">
        <v>6</v>
      </c>
      <c r="E72" s="198" t="s">
        <v>160</v>
      </c>
      <c r="F72" s="274">
        <v>535.99532000000704</v>
      </c>
      <c r="G72" s="274">
        <v>138.66999999999999</v>
      </c>
      <c r="H72" s="274">
        <v>139.619</v>
      </c>
      <c r="I72" s="210">
        <f t="shared" ref="I72:I135" si="15">H72/G72</f>
        <v>1.0068435854907334</v>
      </c>
      <c r="J72" s="234">
        <v>0</v>
      </c>
      <c r="K72" s="210">
        <f t="shared" ref="K72:K135" si="16">J72/G72</f>
        <v>0</v>
      </c>
      <c r="L72" s="234">
        <v>575.72</v>
      </c>
      <c r="M72" s="211">
        <f t="shared" ref="M72:M135" si="17">(H72+J72)/G72</f>
        <v>1.0068435854907334</v>
      </c>
      <c r="N72" s="274">
        <v>546.35828000000708</v>
      </c>
      <c r="O72" s="274">
        <v>1.7999999999999999E-2</v>
      </c>
      <c r="P72" s="200">
        <v>1.2980457200548065E-4</v>
      </c>
      <c r="Q72" s="274">
        <v>10.362959999999999</v>
      </c>
      <c r="R72" s="274">
        <v>0.93100000000001226</v>
      </c>
      <c r="S72" s="200">
        <v>6.7137809187280042E-3</v>
      </c>
      <c r="T72" s="198" t="s">
        <v>272</v>
      </c>
      <c r="U72" s="198" t="s">
        <v>165</v>
      </c>
      <c r="V72" s="198"/>
      <c r="W72" s="205">
        <v>1</v>
      </c>
      <c r="X72" s="198" t="s">
        <v>106</v>
      </c>
    </row>
    <row r="73" spans="2:24">
      <c r="B73" s="474"/>
      <c r="C73" s="474"/>
      <c r="D73" s="209">
        <v>7</v>
      </c>
      <c r="E73" s="198" t="s">
        <v>331</v>
      </c>
      <c r="F73" s="274">
        <v>430.75200000000001</v>
      </c>
      <c r="G73" s="274">
        <v>12.436</v>
      </c>
      <c r="H73" s="274">
        <v>15</v>
      </c>
      <c r="I73" s="210">
        <f t="shared" si="15"/>
        <v>1.2061756191701511</v>
      </c>
      <c r="J73" s="234">
        <v>0</v>
      </c>
      <c r="K73" s="210">
        <f t="shared" si="16"/>
        <v>0</v>
      </c>
      <c r="L73" s="234">
        <v>168</v>
      </c>
      <c r="M73" s="211">
        <f t="shared" si="17"/>
        <v>1.2061756191701511</v>
      </c>
      <c r="N73" s="274">
        <v>430.75200000000001</v>
      </c>
      <c r="O73" s="274">
        <v>0</v>
      </c>
      <c r="P73" s="200">
        <v>0</v>
      </c>
      <c r="Q73" s="274">
        <v>0</v>
      </c>
      <c r="R73" s="274">
        <v>2.5640000000000001</v>
      </c>
      <c r="S73" s="200">
        <v>0.20617561917015118</v>
      </c>
      <c r="T73" s="198" t="s">
        <v>272</v>
      </c>
      <c r="U73" s="198" t="s">
        <v>165</v>
      </c>
      <c r="V73" s="198"/>
      <c r="W73" s="205">
        <v>1</v>
      </c>
      <c r="X73" s="198" t="s">
        <v>113</v>
      </c>
    </row>
    <row r="74" spans="2:24">
      <c r="B74" s="474"/>
      <c r="C74" s="474"/>
      <c r="D74" s="209">
        <v>8</v>
      </c>
      <c r="E74" s="198" t="s">
        <v>256</v>
      </c>
      <c r="F74" s="274">
        <v>374.625</v>
      </c>
      <c r="G74" s="274">
        <v>133.57499999999999</v>
      </c>
      <c r="H74" s="274">
        <v>148.19999999999999</v>
      </c>
      <c r="I74" s="210">
        <f t="shared" si="15"/>
        <v>1.1094890510948905</v>
      </c>
      <c r="J74" s="234">
        <v>0</v>
      </c>
      <c r="K74" s="210">
        <f t="shared" si="16"/>
        <v>0</v>
      </c>
      <c r="L74" s="234">
        <v>81</v>
      </c>
      <c r="M74" s="211">
        <f t="shared" si="17"/>
        <v>1.1094890510948905</v>
      </c>
      <c r="N74" s="274">
        <v>1184.625</v>
      </c>
      <c r="O74" s="274">
        <v>10</v>
      </c>
      <c r="P74" s="200">
        <v>7.486430844095078E-2</v>
      </c>
      <c r="Q74" s="274">
        <v>810</v>
      </c>
      <c r="R74" s="274">
        <v>4.625</v>
      </c>
      <c r="S74" s="200">
        <v>3.4624742653939736E-2</v>
      </c>
      <c r="T74" s="198" t="s">
        <v>272</v>
      </c>
      <c r="U74" s="198" t="s">
        <v>165</v>
      </c>
      <c r="V74" s="198"/>
      <c r="W74" s="205">
        <v>1</v>
      </c>
      <c r="X74" s="198" t="s">
        <v>242</v>
      </c>
    </row>
    <row r="75" spans="2:24">
      <c r="B75" s="474"/>
      <c r="C75" s="474"/>
      <c r="D75" s="209">
        <v>9</v>
      </c>
      <c r="E75" s="198" t="s">
        <v>283</v>
      </c>
      <c r="F75" s="274">
        <v>371.83103999999912</v>
      </c>
      <c r="G75" s="274">
        <v>107.328</v>
      </c>
      <c r="H75" s="274">
        <v>110.279</v>
      </c>
      <c r="I75" s="210">
        <f t="shared" si="15"/>
        <v>1.0274951550387597</v>
      </c>
      <c r="J75" s="234">
        <v>0</v>
      </c>
      <c r="K75" s="210">
        <f t="shared" si="16"/>
        <v>0</v>
      </c>
      <c r="L75" s="234">
        <v>146.16000000000003</v>
      </c>
      <c r="M75" s="211">
        <f t="shared" si="17"/>
        <v>1.0274951550387597</v>
      </c>
      <c r="N75" s="274">
        <v>431.31815999999912</v>
      </c>
      <c r="O75" s="274">
        <v>0.40699999999999997</v>
      </c>
      <c r="P75" s="200">
        <v>3.7921138938580797E-3</v>
      </c>
      <c r="Q75" s="274">
        <v>59.487120000000004</v>
      </c>
      <c r="R75" s="274">
        <v>2.5439999999999934</v>
      </c>
      <c r="S75" s="200">
        <v>2.3703041144901547E-2</v>
      </c>
      <c r="T75" s="198" t="s">
        <v>272</v>
      </c>
      <c r="U75" s="198" t="s">
        <v>165</v>
      </c>
      <c r="V75" s="198"/>
      <c r="W75" s="205">
        <v>1</v>
      </c>
      <c r="X75" s="198" t="s">
        <v>124</v>
      </c>
    </row>
    <row r="76" spans="2:24">
      <c r="B76" s="474"/>
      <c r="C76" s="474"/>
      <c r="D76" s="209">
        <v>10</v>
      </c>
      <c r="E76" s="198" t="s">
        <v>320</v>
      </c>
      <c r="F76" s="274">
        <v>365.24</v>
      </c>
      <c r="G76" s="274">
        <v>0.65300000000000002</v>
      </c>
      <c r="H76" s="274">
        <v>1.05</v>
      </c>
      <c r="I76" s="210">
        <f t="shared" si="15"/>
        <v>1.6079632465543645</v>
      </c>
      <c r="J76" s="234">
        <v>0</v>
      </c>
      <c r="K76" s="210">
        <f t="shared" si="16"/>
        <v>0</v>
      </c>
      <c r="L76" s="234">
        <v>920</v>
      </c>
      <c r="M76" s="211">
        <f t="shared" si="17"/>
        <v>1.6079632465543645</v>
      </c>
      <c r="N76" s="274">
        <v>365.24</v>
      </c>
      <c r="O76" s="274">
        <v>0</v>
      </c>
      <c r="P76" s="200">
        <v>0</v>
      </c>
      <c r="Q76" s="274">
        <v>0</v>
      </c>
      <c r="R76" s="274">
        <v>0.39700000000000002</v>
      </c>
      <c r="S76" s="200">
        <v>0.60796324655436451</v>
      </c>
      <c r="T76" s="198" t="s">
        <v>272</v>
      </c>
      <c r="U76" s="198" t="s">
        <v>165</v>
      </c>
      <c r="V76" s="198"/>
      <c r="W76" s="205">
        <v>1</v>
      </c>
      <c r="X76" s="198" t="s">
        <v>232</v>
      </c>
    </row>
    <row r="77" spans="2:24" ht="16.5">
      <c r="B77" s="473">
        <v>45908</v>
      </c>
      <c r="C77" s="475" t="s">
        <v>56</v>
      </c>
      <c r="D77" s="209">
        <v>1</v>
      </c>
      <c r="E77" s="198" t="s">
        <v>229</v>
      </c>
      <c r="F77" s="274">
        <v>3089.7894999999985</v>
      </c>
      <c r="G77" s="274">
        <v>203.82</v>
      </c>
      <c r="H77" s="274">
        <v>213.40799999999999</v>
      </c>
      <c r="I77" s="210">
        <f t="shared" si="15"/>
        <v>1.0470415072122461</v>
      </c>
      <c r="J77" s="234">
        <v>0</v>
      </c>
      <c r="K77" s="210">
        <f t="shared" si="16"/>
        <v>0</v>
      </c>
      <c r="L77" s="234">
        <v>335.3</v>
      </c>
      <c r="M77" s="211">
        <f t="shared" si="17"/>
        <v>1.0470415072122461</v>
      </c>
      <c r="N77" s="274">
        <v>3214.8563999999978</v>
      </c>
      <c r="O77" s="274">
        <v>0.373</v>
      </c>
      <c r="P77" s="200">
        <v>1.830046119124718E-3</v>
      </c>
      <c r="Q77" s="274">
        <v>125.0669</v>
      </c>
      <c r="R77" s="274">
        <v>9.2149999999999945</v>
      </c>
      <c r="S77" s="200">
        <v>4.5211461093121359E-2</v>
      </c>
      <c r="T77" s="229" t="s">
        <v>230</v>
      </c>
      <c r="U77" s="198" t="s">
        <v>181</v>
      </c>
      <c r="V77" s="198" t="s">
        <v>276</v>
      </c>
      <c r="W77" s="205">
        <v>1</v>
      </c>
      <c r="X77" s="198" t="s">
        <v>232</v>
      </c>
    </row>
    <row r="78" spans="2:24">
      <c r="B78" s="474"/>
      <c r="C78" s="474"/>
      <c r="D78" s="209">
        <v>2</v>
      </c>
      <c r="E78" s="198" t="s">
        <v>329</v>
      </c>
      <c r="F78" s="274">
        <v>1691.5936499999993</v>
      </c>
      <c r="G78" s="274">
        <v>55.215000000000003</v>
      </c>
      <c r="H78" s="274">
        <v>76.05</v>
      </c>
      <c r="I78" s="210">
        <f t="shared" si="15"/>
        <v>1.3773431132844334</v>
      </c>
      <c r="J78" s="234">
        <v>0</v>
      </c>
      <c r="K78" s="210">
        <f t="shared" si="16"/>
        <v>0</v>
      </c>
      <c r="L78" s="234">
        <v>81.19</v>
      </c>
      <c r="M78" s="211">
        <f t="shared" si="17"/>
        <v>1.3773431132844334</v>
      </c>
      <c r="N78" s="274">
        <v>1691.5936499999993</v>
      </c>
      <c r="O78" s="274">
        <v>0</v>
      </c>
      <c r="P78" s="200">
        <v>0</v>
      </c>
      <c r="Q78" s="274">
        <v>0</v>
      </c>
      <c r="R78" s="274">
        <v>20.834999999999994</v>
      </c>
      <c r="S78" s="200">
        <v>0.37734311328443343</v>
      </c>
      <c r="T78" s="198" t="s">
        <v>274</v>
      </c>
      <c r="U78" s="198" t="s">
        <v>172</v>
      </c>
      <c r="V78" s="198" t="s">
        <v>330</v>
      </c>
      <c r="W78" s="205">
        <v>1</v>
      </c>
      <c r="X78" s="198" t="s">
        <v>124</v>
      </c>
    </row>
    <row r="79" spans="2:24">
      <c r="B79" s="474"/>
      <c r="C79" s="474"/>
      <c r="D79" s="209">
        <v>3</v>
      </c>
      <c r="E79" s="198" t="s">
        <v>271</v>
      </c>
      <c r="F79" s="274">
        <v>1649.8062299999995</v>
      </c>
      <c r="G79" s="274">
        <v>241.65</v>
      </c>
      <c r="H79" s="274">
        <v>253.679</v>
      </c>
      <c r="I79" s="210">
        <f t="shared" si="15"/>
        <v>1.0497786054210636</v>
      </c>
      <c r="J79" s="234">
        <v>0</v>
      </c>
      <c r="K79" s="210">
        <f t="shared" si="16"/>
        <v>0</v>
      </c>
      <c r="L79" s="234">
        <v>141.87</v>
      </c>
      <c r="M79" s="211">
        <f t="shared" si="17"/>
        <v>1.0497786054210636</v>
      </c>
      <c r="N79" s="274">
        <v>1706.5542299999995</v>
      </c>
      <c r="O79" s="274">
        <v>0.4</v>
      </c>
      <c r="P79" s="200">
        <v>1.6552865714876889E-3</v>
      </c>
      <c r="Q79" s="274">
        <v>56.748000000000005</v>
      </c>
      <c r="R79" s="274">
        <v>11.628999999999996</v>
      </c>
      <c r="S79" s="200">
        <v>4.8123318849575818E-2</v>
      </c>
      <c r="T79" s="198" t="s">
        <v>272</v>
      </c>
      <c r="U79" s="198" t="s">
        <v>165</v>
      </c>
      <c r="V79" s="198"/>
      <c r="W79" s="205">
        <v>1</v>
      </c>
      <c r="X79" s="198" t="s">
        <v>109</v>
      </c>
    </row>
    <row r="80" spans="2:24">
      <c r="B80" s="474"/>
      <c r="C80" s="474"/>
      <c r="D80" s="209">
        <v>4</v>
      </c>
      <c r="E80" s="198" t="s">
        <v>262</v>
      </c>
      <c r="F80" s="274">
        <v>743.1423999999987</v>
      </c>
      <c r="G80" s="274">
        <v>322.71499999999997</v>
      </c>
      <c r="H80" s="274">
        <v>319.8</v>
      </c>
      <c r="I80" s="210">
        <f t="shared" si="15"/>
        <v>0.99096726213532071</v>
      </c>
      <c r="J80" s="234">
        <v>12.25</v>
      </c>
      <c r="K80" s="210">
        <f t="shared" si="16"/>
        <v>3.7959189997366097E-2</v>
      </c>
      <c r="L80" s="234">
        <v>742.4</v>
      </c>
      <c r="M80" s="211">
        <f t="shared" si="17"/>
        <v>1.0289264521326869</v>
      </c>
      <c r="N80" s="274">
        <v>933.78005000000348</v>
      </c>
      <c r="O80" s="274">
        <v>0</v>
      </c>
      <c r="P80" s="200">
        <v>0</v>
      </c>
      <c r="Q80" s="274">
        <v>0</v>
      </c>
      <c r="R80" s="274">
        <v>9.3350000000000364</v>
      </c>
      <c r="S80" s="200">
        <v>2.8926452132686849E-2</v>
      </c>
      <c r="T80" s="198" t="s">
        <v>272</v>
      </c>
      <c r="U80" s="198" t="s">
        <v>165</v>
      </c>
      <c r="V80" s="198"/>
      <c r="W80" s="205">
        <v>1</v>
      </c>
      <c r="X80" s="198" t="s">
        <v>232</v>
      </c>
    </row>
    <row r="81" spans="2:24">
      <c r="B81" s="474"/>
      <c r="C81" s="474"/>
      <c r="D81" s="209">
        <v>5</v>
      </c>
      <c r="E81" s="198" t="s">
        <v>281</v>
      </c>
      <c r="F81" s="274">
        <v>682.17770000000041</v>
      </c>
      <c r="G81" s="274">
        <v>22.512</v>
      </c>
      <c r="H81" s="274">
        <v>22.5</v>
      </c>
      <c r="I81" s="210">
        <f t="shared" si="15"/>
        <v>0.99946695095948823</v>
      </c>
      <c r="J81" s="234">
        <v>2</v>
      </c>
      <c r="K81" s="210">
        <f t="shared" si="16"/>
        <v>8.8841506751954513E-2</v>
      </c>
      <c r="L81" s="234">
        <v>54.97</v>
      </c>
      <c r="M81" s="211">
        <f t="shared" si="17"/>
        <v>1.0883084577114428</v>
      </c>
      <c r="N81" s="274">
        <v>1475.8911999999996</v>
      </c>
      <c r="O81" s="274">
        <v>1.05</v>
      </c>
      <c r="P81" s="200">
        <v>4.6641791044776122E-2</v>
      </c>
      <c r="Q81" s="274">
        <v>57.718499999999999</v>
      </c>
      <c r="R81" s="274">
        <v>0.9379999999999995</v>
      </c>
      <c r="S81" s="200">
        <v>4.1666666666666644E-2</v>
      </c>
      <c r="T81" s="198" t="s">
        <v>272</v>
      </c>
      <c r="U81" s="198" t="s">
        <v>165</v>
      </c>
      <c r="V81" s="198"/>
      <c r="W81" s="205">
        <v>1</v>
      </c>
      <c r="X81" s="198" t="s">
        <v>115</v>
      </c>
    </row>
    <row r="82" spans="2:24">
      <c r="B82" s="474"/>
      <c r="C82" s="474"/>
      <c r="D82" s="209">
        <v>6</v>
      </c>
      <c r="E82" s="198" t="s">
        <v>268</v>
      </c>
      <c r="F82" s="274">
        <v>619.31650999999601</v>
      </c>
      <c r="G82" s="274">
        <v>775.57500000000005</v>
      </c>
      <c r="H82" s="274">
        <v>779.52800000000002</v>
      </c>
      <c r="I82" s="210">
        <f t="shared" si="15"/>
        <v>1.0050968636173161</v>
      </c>
      <c r="J82" s="234">
        <v>0</v>
      </c>
      <c r="K82" s="210">
        <f t="shared" si="16"/>
        <v>0</v>
      </c>
      <c r="L82" s="234">
        <v>156.66999999999999</v>
      </c>
      <c r="M82" s="211">
        <f t="shared" si="17"/>
        <v>1.0050968636173161</v>
      </c>
      <c r="N82" s="274">
        <v>619.31650999999601</v>
      </c>
      <c r="O82" s="274">
        <v>0</v>
      </c>
      <c r="P82" s="200">
        <v>0</v>
      </c>
      <c r="Q82" s="274">
        <v>0</v>
      </c>
      <c r="R82" s="274">
        <v>3.9529999999999745</v>
      </c>
      <c r="S82" s="200">
        <v>5.0968636173161514E-3</v>
      </c>
      <c r="T82" s="198" t="s">
        <v>272</v>
      </c>
      <c r="U82" s="198" t="s">
        <v>165</v>
      </c>
      <c r="V82" s="198"/>
      <c r="W82" s="205">
        <v>1</v>
      </c>
      <c r="X82" s="198" t="s">
        <v>244</v>
      </c>
    </row>
    <row r="83" spans="2:24">
      <c r="B83" s="474"/>
      <c r="C83" s="474"/>
      <c r="D83" s="209">
        <v>7</v>
      </c>
      <c r="E83" s="198" t="s">
        <v>303</v>
      </c>
      <c r="F83" s="274">
        <v>609.08266999999978</v>
      </c>
      <c r="G83" s="274">
        <v>94.07</v>
      </c>
      <c r="H83" s="274">
        <v>92.3</v>
      </c>
      <c r="I83" s="210">
        <f t="shared" si="15"/>
        <v>0.98118422451366005</v>
      </c>
      <c r="J83" s="234">
        <v>13</v>
      </c>
      <c r="K83" s="210">
        <f t="shared" si="16"/>
        <v>0.13819496119910707</v>
      </c>
      <c r="L83" s="234">
        <v>100.02999999999999</v>
      </c>
      <c r="M83" s="211">
        <f t="shared" si="17"/>
        <v>1.1193791857127671</v>
      </c>
      <c r="N83" s="274">
        <v>617.31310000000019</v>
      </c>
      <c r="O83" s="274">
        <v>1.5</v>
      </c>
      <c r="P83" s="200">
        <v>1.5945572446050816E-2</v>
      </c>
      <c r="Q83" s="274">
        <v>150.04499999999999</v>
      </c>
      <c r="R83" s="274">
        <v>9.730000000000004</v>
      </c>
      <c r="S83" s="200">
        <v>0.10343361326671632</v>
      </c>
      <c r="T83" s="198" t="s">
        <v>272</v>
      </c>
      <c r="U83" s="198" t="s">
        <v>165</v>
      </c>
      <c r="V83" s="198"/>
      <c r="W83" s="205">
        <v>1</v>
      </c>
      <c r="X83" s="198" t="s">
        <v>124</v>
      </c>
    </row>
    <row r="84" spans="2:24">
      <c r="B84" s="474"/>
      <c r="C84" s="474"/>
      <c r="D84" s="209">
        <v>8</v>
      </c>
      <c r="E84" s="198" t="s">
        <v>248</v>
      </c>
      <c r="F84" s="274">
        <v>472.32821999999788</v>
      </c>
      <c r="G84" s="274">
        <v>1263.9000000000001</v>
      </c>
      <c r="H84" s="274">
        <v>1286.191</v>
      </c>
      <c r="I84" s="210">
        <f t="shared" si="15"/>
        <v>1.0176366801170977</v>
      </c>
      <c r="J84" s="234">
        <v>0</v>
      </c>
      <c r="K84" s="210">
        <f t="shared" si="16"/>
        <v>0</v>
      </c>
      <c r="L84" s="234">
        <v>34.58</v>
      </c>
      <c r="M84" s="211">
        <f t="shared" si="17"/>
        <v>1.0176366801170977</v>
      </c>
      <c r="N84" s="274">
        <v>770.82277999999792</v>
      </c>
      <c r="O84" s="274">
        <v>8.6319999999999997</v>
      </c>
      <c r="P84" s="200">
        <v>6.829654244797847E-3</v>
      </c>
      <c r="Q84" s="274">
        <v>298.49455999999998</v>
      </c>
      <c r="R84" s="274">
        <v>13.65899999999994</v>
      </c>
      <c r="S84" s="200">
        <v>1.0807025872299975E-2</v>
      </c>
      <c r="T84" s="198" t="s">
        <v>272</v>
      </c>
      <c r="U84" s="198" t="s">
        <v>165</v>
      </c>
      <c r="V84" s="198"/>
      <c r="W84" s="205">
        <v>1</v>
      </c>
      <c r="X84" s="198" t="s">
        <v>244</v>
      </c>
    </row>
    <row r="85" spans="2:24" ht="16.5">
      <c r="B85" s="474"/>
      <c r="C85" s="474"/>
      <c r="D85" s="209">
        <v>9</v>
      </c>
      <c r="E85" s="198" t="s">
        <v>325</v>
      </c>
      <c r="F85" s="274">
        <v>445.08999999999963</v>
      </c>
      <c r="G85" s="274">
        <v>17.106000000000002</v>
      </c>
      <c r="H85" s="274">
        <v>19</v>
      </c>
      <c r="I85" s="210">
        <f t="shared" si="15"/>
        <v>1.1107213843095989</v>
      </c>
      <c r="J85" s="234">
        <v>0</v>
      </c>
      <c r="K85" s="210">
        <f t="shared" si="16"/>
        <v>0</v>
      </c>
      <c r="L85" s="234">
        <v>235</v>
      </c>
      <c r="M85" s="211">
        <f t="shared" si="17"/>
        <v>1.1107213843095989</v>
      </c>
      <c r="N85" s="274">
        <v>445.08999999999963</v>
      </c>
      <c r="O85" s="274">
        <v>0</v>
      </c>
      <c r="P85" s="200">
        <v>0</v>
      </c>
      <c r="Q85" s="274">
        <v>0</v>
      </c>
      <c r="R85" s="274">
        <v>1.8939999999999984</v>
      </c>
      <c r="S85" s="200">
        <v>0.11072138430959887</v>
      </c>
      <c r="T85" s="198" t="s">
        <v>272</v>
      </c>
      <c r="U85" s="198" t="s">
        <v>165</v>
      </c>
      <c r="V85" s="231"/>
      <c r="W85" s="205">
        <v>1</v>
      </c>
      <c r="X85" s="198" t="s">
        <v>103</v>
      </c>
    </row>
    <row r="86" spans="2:24">
      <c r="B86" s="474"/>
      <c r="C86" s="474"/>
      <c r="D86" s="209">
        <v>10</v>
      </c>
      <c r="E86" s="198" t="s">
        <v>288</v>
      </c>
      <c r="F86" s="274">
        <v>377.334</v>
      </c>
      <c r="G86" s="274">
        <v>17106</v>
      </c>
      <c r="H86" s="274">
        <v>17190</v>
      </c>
      <c r="I86" s="210">
        <f t="shared" si="15"/>
        <v>1.0049105576990529</v>
      </c>
      <c r="J86" s="234">
        <v>0</v>
      </c>
      <c r="K86" s="210">
        <f t="shared" si="16"/>
        <v>0</v>
      </c>
      <c r="L86" s="234">
        <v>4.5</v>
      </c>
      <c r="M86" s="211">
        <f t="shared" si="17"/>
        <v>1.0049105576990529</v>
      </c>
      <c r="N86" s="274">
        <v>378</v>
      </c>
      <c r="O86" s="274">
        <v>0.14799999999999999</v>
      </c>
      <c r="P86" s="200">
        <v>8.6519349935695072E-6</v>
      </c>
      <c r="Q86" s="274">
        <v>0.66599999999999993</v>
      </c>
      <c r="R86" s="274">
        <v>83.852000000000004</v>
      </c>
      <c r="S86" s="200">
        <v>4.9019057640593946E-3</v>
      </c>
      <c r="T86" s="198" t="s">
        <v>272</v>
      </c>
      <c r="U86" s="198" t="s">
        <v>165</v>
      </c>
      <c r="V86" s="198"/>
      <c r="W86" s="205">
        <v>1</v>
      </c>
      <c r="X86" s="198" t="s">
        <v>103</v>
      </c>
    </row>
    <row r="87" spans="2:24" ht="16.5">
      <c r="B87" s="473">
        <v>45909</v>
      </c>
      <c r="C87" s="475" t="s">
        <v>57</v>
      </c>
      <c r="D87" s="209">
        <v>1</v>
      </c>
      <c r="E87" s="198" t="s">
        <v>229</v>
      </c>
      <c r="F87" s="274">
        <v>1933.0045000000057</v>
      </c>
      <c r="G87" s="274">
        <v>193.92</v>
      </c>
      <c r="H87" s="274">
        <v>200.733</v>
      </c>
      <c r="I87" s="210">
        <f t="shared" si="15"/>
        <v>1.0351330445544555</v>
      </c>
      <c r="J87" s="234">
        <v>0</v>
      </c>
      <c r="K87" s="210">
        <f t="shared" si="16"/>
        <v>0</v>
      </c>
      <c r="L87" s="234">
        <v>335.3</v>
      </c>
      <c r="M87" s="211">
        <f t="shared" si="17"/>
        <v>1.0351330445544555</v>
      </c>
      <c r="N87" s="274">
        <v>2284.3989000000056</v>
      </c>
      <c r="O87" s="274">
        <v>1.048</v>
      </c>
      <c r="P87" s="200">
        <v>5.4042904290429045E-3</v>
      </c>
      <c r="Q87" s="274">
        <v>351.39440000000002</v>
      </c>
      <c r="R87" s="274">
        <v>5.7650000000000166</v>
      </c>
      <c r="S87" s="200">
        <v>2.9728754125412628E-2</v>
      </c>
      <c r="T87" s="229" t="s">
        <v>230</v>
      </c>
      <c r="U87" s="198" t="s">
        <v>181</v>
      </c>
      <c r="V87" s="198" t="s">
        <v>276</v>
      </c>
      <c r="W87" s="205">
        <v>1</v>
      </c>
      <c r="X87" s="198" t="s">
        <v>232</v>
      </c>
    </row>
    <row r="88" spans="2:24">
      <c r="B88" s="474"/>
      <c r="C88" s="474"/>
      <c r="D88" s="209">
        <v>2</v>
      </c>
      <c r="E88" s="198" t="s">
        <v>329</v>
      </c>
      <c r="F88" s="274">
        <v>1635.9785000000004</v>
      </c>
      <c r="G88" s="274">
        <v>59</v>
      </c>
      <c r="H88" s="274">
        <v>79.150000000000006</v>
      </c>
      <c r="I88" s="210">
        <f t="shared" si="15"/>
        <v>1.3415254237288137</v>
      </c>
      <c r="J88" s="234">
        <v>0</v>
      </c>
      <c r="K88" s="210">
        <f t="shared" si="16"/>
        <v>0</v>
      </c>
      <c r="L88" s="234">
        <v>81.19</v>
      </c>
      <c r="M88" s="211">
        <f t="shared" si="17"/>
        <v>1.3415254237288137</v>
      </c>
      <c r="N88" s="274">
        <v>1635.9785000000004</v>
      </c>
      <c r="O88" s="274">
        <v>0</v>
      </c>
      <c r="P88" s="200">
        <v>0</v>
      </c>
      <c r="Q88" s="274">
        <v>0</v>
      </c>
      <c r="R88" s="274">
        <v>20.150000000000006</v>
      </c>
      <c r="S88" s="200">
        <v>0.34152542372881367</v>
      </c>
      <c r="T88" s="198" t="s">
        <v>274</v>
      </c>
      <c r="U88" s="198" t="s">
        <v>172</v>
      </c>
      <c r="V88" s="198" t="s">
        <v>330</v>
      </c>
      <c r="W88" s="205">
        <v>1</v>
      </c>
      <c r="X88" s="198" t="s">
        <v>124</v>
      </c>
    </row>
    <row r="89" spans="2:24">
      <c r="B89" s="474"/>
      <c r="C89" s="474"/>
      <c r="D89" s="209">
        <v>3</v>
      </c>
      <c r="E89" s="198" t="s">
        <v>268</v>
      </c>
      <c r="F89" s="274">
        <v>850.56142999999577</v>
      </c>
      <c r="G89" s="274">
        <v>780.84</v>
      </c>
      <c r="H89" s="274">
        <v>786.26900000000001</v>
      </c>
      <c r="I89" s="210">
        <f t="shared" si="15"/>
        <v>1.0069527688130731</v>
      </c>
      <c r="J89" s="234">
        <v>0</v>
      </c>
      <c r="K89" s="210">
        <f t="shared" si="16"/>
        <v>0</v>
      </c>
      <c r="L89" s="234">
        <v>156.66999999999999</v>
      </c>
      <c r="M89" s="211">
        <f t="shared" si="17"/>
        <v>1.0069527688130731</v>
      </c>
      <c r="N89" s="274">
        <v>850.56142999999577</v>
      </c>
      <c r="O89" s="274">
        <v>0</v>
      </c>
      <c r="P89" s="200">
        <v>0</v>
      </c>
      <c r="Q89" s="274">
        <v>0</v>
      </c>
      <c r="R89" s="274">
        <v>5.4289999999999736</v>
      </c>
      <c r="S89" s="200">
        <v>6.952768813073067E-3</v>
      </c>
      <c r="T89" s="198" t="s">
        <v>272</v>
      </c>
      <c r="U89" s="198" t="s">
        <v>165</v>
      </c>
      <c r="V89" s="198"/>
      <c r="W89" s="205">
        <v>1</v>
      </c>
      <c r="X89" s="198" t="s">
        <v>244</v>
      </c>
    </row>
    <row r="90" spans="2:24">
      <c r="B90" s="474"/>
      <c r="C90" s="474"/>
      <c r="D90" s="209">
        <v>4</v>
      </c>
      <c r="E90" s="198" t="s">
        <v>263</v>
      </c>
      <c r="F90" s="274">
        <v>559.29999999999859</v>
      </c>
      <c r="G90" s="274">
        <v>417.42</v>
      </c>
      <c r="H90" s="274">
        <v>425</v>
      </c>
      <c r="I90" s="210">
        <f t="shared" si="15"/>
        <v>1.0181591682238513</v>
      </c>
      <c r="J90" s="234">
        <v>0</v>
      </c>
      <c r="K90" s="210">
        <f t="shared" si="16"/>
        <v>0</v>
      </c>
      <c r="L90" s="234">
        <v>85</v>
      </c>
      <c r="M90" s="211">
        <f t="shared" si="17"/>
        <v>1.0181591682238513</v>
      </c>
      <c r="N90" s="274">
        <v>644.29999999999859</v>
      </c>
      <c r="O90" s="274">
        <v>1</v>
      </c>
      <c r="P90" s="200">
        <v>2.3956686311149443E-3</v>
      </c>
      <c r="Q90" s="274">
        <v>85</v>
      </c>
      <c r="R90" s="274">
        <v>6.5799999999999841</v>
      </c>
      <c r="S90" s="200">
        <v>1.5763499592736294E-2</v>
      </c>
      <c r="T90" s="198" t="s">
        <v>272</v>
      </c>
      <c r="U90" s="198" t="s">
        <v>165</v>
      </c>
      <c r="V90" s="198"/>
      <c r="W90" s="205">
        <v>1</v>
      </c>
      <c r="X90" s="198" t="s">
        <v>122</v>
      </c>
    </row>
    <row r="91" spans="2:24">
      <c r="B91" s="474"/>
      <c r="C91" s="474"/>
      <c r="D91" s="209">
        <v>5</v>
      </c>
      <c r="E91" s="198" t="s">
        <v>291</v>
      </c>
      <c r="F91" s="274">
        <v>501.30700000000002</v>
      </c>
      <c r="G91" s="274">
        <v>371.6</v>
      </c>
      <c r="H91" s="274">
        <v>381.46100000000001</v>
      </c>
      <c r="I91" s="210">
        <f t="shared" si="15"/>
        <v>1.0265365984930033</v>
      </c>
      <c r="J91" s="234">
        <v>4.8</v>
      </c>
      <c r="K91" s="210">
        <f t="shared" si="16"/>
        <v>1.2917115177610333E-2</v>
      </c>
      <c r="L91" s="234">
        <v>41</v>
      </c>
      <c r="M91" s="211">
        <f t="shared" si="17"/>
        <v>1.0394537136706135</v>
      </c>
      <c r="N91" s="274">
        <v>601.10100000000011</v>
      </c>
      <c r="O91" s="274">
        <v>2.4340000000000002</v>
      </c>
      <c r="P91" s="200">
        <v>6.5500538213132398E-3</v>
      </c>
      <c r="Q91" s="274">
        <v>99.794000000000011</v>
      </c>
      <c r="R91" s="274">
        <v>12.227</v>
      </c>
      <c r="S91" s="200">
        <v>3.2903659849300319E-2</v>
      </c>
      <c r="T91" s="198" t="s">
        <v>272</v>
      </c>
      <c r="U91" s="198" t="s">
        <v>165</v>
      </c>
      <c r="V91" s="198"/>
      <c r="W91" s="205">
        <v>1</v>
      </c>
      <c r="X91" s="198" t="s">
        <v>111</v>
      </c>
    </row>
    <row r="92" spans="2:24">
      <c r="B92" s="474"/>
      <c r="C92" s="474"/>
      <c r="D92" s="209">
        <v>6</v>
      </c>
      <c r="E92" s="198" t="s">
        <v>332</v>
      </c>
      <c r="F92" s="274">
        <v>467.57003999999904</v>
      </c>
      <c r="G92" s="274">
        <v>187.44</v>
      </c>
      <c r="H92" s="274">
        <v>191.72399999999999</v>
      </c>
      <c r="I92" s="210">
        <f t="shared" si="15"/>
        <v>1.0228553137003842</v>
      </c>
      <c r="J92" s="234">
        <v>0</v>
      </c>
      <c r="K92" s="210">
        <f t="shared" si="16"/>
        <v>0</v>
      </c>
      <c r="L92" s="234">
        <v>115.08</v>
      </c>
      <c r="M92" s="211">
        <f t="shared" si="17"/>
        <v>1.0228553137003842</v>
      </c>
      <c r="N92" s="274">
        <v>493.00271999999904</v>
      </c>
      <c r="O92" s="274">
        <v>0.221</v>
      </c>
      <c r="P92" s="200">
        <v>1.1790439607341017E-3</v>
      </c>
      <c r="Q92" s="274">
        <v>25.432680000000001</v>
      </c>
      <c r="R92" s="274">
        <v>4.0629999999999917</v>
      </c>
      <c r="S92" s="200">
        <v>2.1676269739649978E-2</v>
      </c>
      <c r="T92" s="198" t="s">
        <v>272</v>
      </c>
      <c r="U92" s="198" t="s">
        <v>165</v>
      </c>
      <c r="V92" s="198"/>
      <c r="W92" s="205">
        <v>1</v>
      </c>
      <c r="X92" s="198" t="s">
        <v>116</v>
      </c>
    </row>
    <row r="93" spans="2:24">
      <c r="B93" s="474"/>
      <c r="C93" s="474"/>
      <c r="D93" s="209">
        <v>7</v>
      </c>
      <c r="E93" s="198" t="s">
        <v>333</v>
      </c>
      <c r="F93" s="274">
        <v>352.2525600000003</v>
      </c>
      <c r="G93" s="274">
        <v>25.29</v>
      </c>
      <c r="H93" s="274">
        <v>26.436</v>
      </c>
      <c r="I93" s="210">
        <f t="shared" si="15"/>
        <v>1.0453143534994069</v>
      </c>
      <c r="J93" s="234">
        <v>0</v>
      </c>
      <c r="K93" s="210">
        <f t="shared" si="16"/>
        <v>0</v>
      </c>
      <c r="L93" s="234">
        <v>341.33000000000004</v>
      </c>
      <c r="M93" s="211">
        <f t="shared" si="17"/>
        <v>1.0453143534994069</v>
      </c>
      <c r="N93" s="274">
        <v>391.16418000000033</v>
      </c>
      <c r="O93" s="274">
        <v>0.114</v>
      </c>
      <c r="P93" s="200">
        <v>4.5077105575326215E-3</v>
      </c>
      <c r="Q93" s="274">
        <v>38.911620000000006</v>
      </c>
      <c r="R93" s="274">
        <v>1.0320000000000007</v>
      </c>
      <c r="S93" s="200">
        <v>4.0806642941874284E-2</v>
      </c>
      <c r="T93" s="198" t="s">
        <v>272</v>
      </c>
      <c r="U93" s="198" t="s">
        <v>165</v>
      </c>
      <c r="V93" s="198"/>
      <c r="W93" s="205">
        <v>1</v>
      </c>
      <c r="X93" s="198" t="s">
        <v>109</v>
      </c>
    </row>
    <row r="94" spans="2:24">
      <c r="B94" s="474"/>
      <c r="C94" s="474"/>
      <c r="D94" s="209">
        <v>8</v>
      </c>
      <c r="E94" s="198" t="s">
        <v>331</v>
      </c>
      <c r="F94" s="274">
        <v>290.17306000000099</v>
      </c>
      <c r="G94" s="274">
        <v>135.58500000000001</v>
      </c>
      <c r="H94" s="274">
        <v>137.37200000000001</v>
      </c>
      <c r="I94" s="210">
        <f t="shared" si="15"/>
        <v>1.0131799240328945</v>
      </c>
      <c r="J94" s="234">
        <v>0</v>
      </c>
      <c r="K94" s="210">
        <f t="shared" si="16"/>
        <v>0</v>
      </c>
      <c r="L94" s="234">
        <v>162.38</v>
      </c>
      <c r="M94" s="211">
        <f t="shared" si="17"/>
        <v>1.0131799240328945</v>
      </c>
      <c r="N94" s="274">
        <v>290.17306000000099</v>
      </c>
      <c r="O94" s="274">
        <v>0</v>
      </c>
      <c r="P94" s="200">
        <v>0</v>
      </c>
      <c r="Q94" s="274">
        <v>0</v>
      </c>
      <c r="R94" s="274">
        <v>1.7870000000000061</v>
      </c>
      <c r="S94" s="200">
        <v>1.3179924032894539E-2</v>
      </c>
      <c r="T94" s="198" t="s">
        <v>272</v>
      </c>
      <c r="U94" s="198" t="s">
        <v>165</v>
      </c>
      <c r="V94" s="198"/>
      <c r="W94" s="205">
        <v>1</v>
      </c>
      <c r="X94" s="198" t="s">
        <v>113</v>
      </c>
    </row>
    <row r="95" spans="2:24">
      <c r="B95" s="474"/>
      <c r="C95" s="474"/>
      <c r="D95" s="209">
        <v>9</v>
      </c>
      <c r="E95" s="198" t="s">
        <v>237</v>
      </c>
      <c r="F95" s="274">
        <v>276.54312000000044</v>
      </c>
      <c r="G95" s="274">
        <v>105.203</v>
      </c>
      <c r="H95" s="274">
        <v>106.111</v>
      </c>
      <c r="I95" s="210">
        <f t="shared" si="15"/>
        <v>1.0086309325779683</v>
      </c>
      <c r="J95" s="234">
        <v>0</v>
      </c>
      <c r="K95" s="210">
        <f t="shared" si="16"/>
        <v>0</v>
      </c>
      <c r="L95" s="234">
        <v>356.37</v>
      </c>
      <c r="M95" s="211">
        <f t="shared" si="17"/>
        <v>1.0086309325779683</v>
      </c>
      <c r="N95" s="274">
        <v>323.58396000000045</v>
      </c>
      <c r="O95" s="274">
        <v>0.13200000000000001</v>
      </c>
      <c r="P95" s="200">
        <v>1.2547170708059657E-3</v>
      </c>
      <c r="Q95" s="274">
        <v>47.040840000000003</v>
      </c>
      <c r="R95" s="274">
        <v>0.77600000000000124</v>
      </c>
      <c r="S95" s="200">
        <v>7.3762155071623548E-3</v>
      </c>
      <c r="T95" s="198" t="s">
        <v>272</v>
      </c>
      <c r="U95" s="198" t="s">
        <v>165</v>
      </c>
      <c r="V95" s="198"/>
      <c r="W95" s="205">
        <v>1</v>
      </c>
      <c r="X95" s="198" t="s">
        <v>104</v>
      </c>
    </row>
    <row r="96" spans="2:24">
      <c r="B96" s="474"/>
      <c r="C96" s="474"/>
      <c r="D96" s="209">
        <v>10</v>
      </c>
      <c r="E96" s="198" t="s">
        <v>248</v>
      </c>
      <c r="F96" s="274">
        <v>243.3394600000029</v>
      </c>
      <c r="G96" s="274">
        <v>1277.32</v>
      </c>
      <c r="H96" s="274">
        <v>1288.153</v>
      </c>
      <c r="I96" s="210">
        <f t="shared" si="15"/>
        <v>1.0084810384242007</v>
      </c>
      <c r="J96" s="234">
        <v>0</v>
      </c>
      <c r="K96" s="210">
        <f t="shared" si="16"/>
        <v>0</v>
      </c>
      <c r="L96" s="234">
        <v>34.58</v>
      </c>
      <c r="M96" s="211">
        <f t="shared" si="17"/>
        <v>1.0084810384242007</v>
      </c>
      <c r="N96" s="274">
        <v>374.60514000000285</v>
      </c>
      <c r="O96" s="274">
        <v>3.7959999999999998</v>
      </c>
      <c r="P96" s="200">
        <v>2.9718473052954622E-3</v>
      </c>
      <c r="Q96" s="274">
        <v>131.26567999999997</v>
      </c>
      <c r="R96" s="274">
        <v>7.0370000000000843</v>
      </c>
      <c r="S96" s="200">
        <v>5.5091911189052737E-3</v>
      </c>
      <c r="T96" s="198" t="s">
        <v>272</v>
      </c>
      <c r="U96" s="198" t="s">
        <v>165</v>
      </c>
      <c r="V96" s="198"/>
      <c r="W96" s="205">
        <v>1</v>
      </c>
      <c r="X96" s="198" t="s">
        <v>103</v>
      </c>
    </row>
    <row r="97" spans="2:24">
      <c r="B97" s="473">
        <v>45910</v>
      </c>
      <c r="C97" s="475" t="s">
        <v>58</v>
      </c>
      <c r="D97" s="209">
        <v>1</v>
      </c>
      <c r="E97" s="198" t="s">
        <v>321</v>
      </c>
      <c r="F97" s="274">
        <v>3344</v>
      </c>
      <c r="G97" s="274">
        <v>91.28</v>
      </c>
      <c r="H97" s="274">
        <v>108</v>
      </c>
      <c r="I97" s="210">
        <f t="shared" si="15"/>
        <v>1.1831726555652935</v>
      </c>
      <c r="J97" s="234">
        <v>0</v>
      </c>
      <c r="K97" s="210">
        <f t="shared" si="16"/>
        <v>0</v>
      </c>
      <c r="L97" s="234">
        <v>200</v>
      </c>
      <c r="M97" s="211">
        <f t="shared" si="17"/>
        <v>1.1831726555652935</v>
      </c>
      <c r="N97" s="274">
        <v>3344</v>
      </c>
      <c r="O97" s="274">
        <v>0</v>
      </c>
      <c r="P97" s="200">
        <v>0</v>
      </c>
      <c r="Q97" s="274">
        <v>0</v>
      </c>
      <c r="R97" s="274">
        <v>16.72</v>
      </c>
      <c r="S97" s="200">
        <v>0.18317265556529358</v>
      </c>
      <c r="T97" s="198" t="s">
        <v>272</v>
      </c>
      <c r="U97" s="198" t="s">
        <v>165</v>
      </c>
      <c r="V97" s="198"/>
      <c r="W97" s="205">
        <v>1</v>
      </c>
      <c r="X97" s="198" t="s">
        <v>244</v>
      </c>
    </row>
    <row r="98" spans="2:24" ht="16.5">
      <c r="B98" s="474"/>
      <c r="C98" s="474"/>
      <c r="D98" s="209">
        <v>2</v>
      </c>
      <c r="E98" s="198" t="s">
        <v>229</v>
      </c>
      <c r="F98" s="274">
        <v>2046.3359000000034</v>
      </c>
      <c r="G98" s="274">
        <v>188.1</v>
      </c>
      <c r="H98" s="274">
        <v>196.76300000000001</v>
      </c>
      <c r="I98" s="210">
        <f t="shared" si="15"/>
        <v>1.0460552897395003</v>
      </c>
      <c r="J98" s="234">
        <v>0</v>
      </c>
      <c r="K98" s="210">
        <f t="shared" si="16"/>
        <v>0</v>
      </c>
      <c r="L98" s="234">
        <v>335.3</v>
      </c>
      <c r="M98" s="211">
        <f t="shared" si="17"/>
        <v>1.0460552897395003</v>
      </c>
      <c r="N98" s="274">
        <v>2904.7039000000036</v>
      </c>
      <c r="O98" s="274">
        <v>2.56</v>
      </c>
      <c r="P98" s="200">
        <v>1.3609782030834664E-2</v>
      </c>
      <c r="Q98" s="274">
        <v>858.36800000000005</v>
      </c>
      <c r="R98" s="274">
        <v>6.1030000000000104</v>
      </c>
      <c r="S98" s="200">
        <v>3.2445507708665659E-2</v>
      </c>
      <c r="T98" s="229" t="s">
        <v>230</v>
      </c>
      <c r="U98" s="198" t="s">
        <v>181</v>
      </c>
      <c r="V98" s="198" t="s">
        <v>276</v>
      </c>
      <c r="W98" s="205">
        <v>1</v>
      </c>
      <c r="X98" s="198" t="s">
        <v>232</v>
      </c>
    </row>
    <row r="99" spans="2:24">
      <c r="B99" s="474"/>
      <c r="C99" s="474"/>
      <c r="D99" s="209">
        <v>3</v>
      </c>
      <c r="E99" s="198" t="s">
        <v>314</v>
      </c>
      <c r="F99" s="274">
        <v>1896.1047999999994</v>
      </c>
      <c r="G99" s="274">
        <v>55.38</v>
      </c>
      <c r="H99" s="274">
        <v>61.6</v>
      </c>
      <c r="I99" s="210">
        <f t="shared" si="15"/>
        <v>1.1123149151318166</v>
      </c>
      <c r="J99" s="234">
        <v>0</v>
      </c>
      <c r="K99" s="210">
        <f t="shared" si="16"/>
        <v>0</v>
      </c>
      <c r="L99" s="234">
        <v>304.83999999999997</v>
      </c>
      <c r="M99" s="211">
        <f t="shared" si="17"/>
        <v>1.1123149151318166</v>
      </c>
      <c r="N99" s="274">
        <v>1896.1047999999994</v>
      </c>
      <c r="O99" s="274">
        <v>0</v>
      </c>
      <c r="P99" s="200">
        <v>0</v>
      </c>
      <c r="Q99" s="274">
        <v>0</v>
      </c>
      <c r="R99" s="274">
        <v>6.2199999999999989</v>
      </c>
      <c r="S99" s="200">
        <v>0.11231491513181652</v>
      </c>
      <c r="T99" s="198" t="s">
        <v>272</v>
      </c>
      <c r="U99" s="198" t="s">
        <v>165</v>
      </c>
      <c r="V99" s="198"/>
      <c r="W99" s="205">
        <v>1</v>
      </c>
      <c r="X99" s="198" t="s">
        <v>103</v>
      </c>
    </row>
    <row r="100" spans="2:24">
      <c r="B100" s="474"/>
      <c r="C100" s="474"/>
      <c r="D100" s="209">
        <v>4</v>
      </c>
      <c r="E100" s="198" t="s">
        <v>268</v>
      </c>
      <c r="F100" s="274">
        <v>825.8075700000112</v>
      </c>
      <c r="G100" s="274">
        <v>770.17499999999995</v>
      </c>
      <c r="H100" s="274">
        <v>775.44600000000003</v>
      </c>
      <c r="I100" s="210">
        <f t="shared" si="15"/>
        <v>1.0068438991138378</v>
      </c>
      <c r="J100" s="234">
        <v>0</v>
      </c>
      <c r="K100" s="210">
        <f t="shared" si="16"/>
        <v>0</v>
      </c>
      <c r="L100" s="234">
        <v>156.66999999999999</v>
      </c>
      <c r="M100" s="211">
        <f t="shared" si="17"/>
        <v>1.0068438991138378</v>
      </c>
      <c r="N100" s="274">
        <v>825.8075700000112</v>
      </c>
      <c r="O100" s="274">
        <v>0</v>
      </c>
      <c r="P100" s="200">
        <v>0</v>
      </c>
      <c r="Q100" s="274">
        <v>0</v>
      </c>
      <c r="R100" s="274">
        <v>5.2710000000000719</v>
      </c>
      <c r="S100" s="200">
        <v>6.8438991138378581E-3</v>
      </c>
      <c r="T100" s="198" t="s">
        <v>272</v>
      </c>
      <c r="U100" s="198" t="s">
        <v>165</v>
      </c>
      <c r="V100" s="198"/>
      <c r="W100" s="205">
        <v>1</v>
      </c>
      <c r="X100" s="198" t="s">
        <v>244</v>
      </c>
    </row>
    <row r="101" spans="2:24">
      <c r="B101" s="474"/>
      <c r="C101" s="474"/>
      <c r="D101" s="209">
        <v>5</v>
      </c>
      <c r="E101" s="198" t="s">
        <v>323</v>
      </c>
      <c r="F101" s="274">
        <v>804.98106000000018</v>
      </c>
      <c r="G101" s="274">
        <v>206.46</v>
      </c>
      <c r="H101" s="274">
        <v>210.62700000000001</v>
      </c>
      <c r="I101" s="210">
        <f t="shared" si="15"/>
        <v>1.0201830863121186</v>
      </c>
      <c r="J101" s="234">
        <v>0</v>
      </c>
      <c r="K101" s="210">
        <f t="shared" si="16"/>
        <v>0</v>
      </c>
      <c r="L101" s="234">
        <v>193.17999999999998</v>
      </c>
      <c r="M101" s="211">
        <f t="shared" si="17"/>
        <v>1.0201830863121186</v>
      </c>
      <c r="N101" s="274">
        <v>804.98106000000018</v>
      </c>
      <c r="O101" s="274">
        <v>0</v>
      </c>
      <c r="P101" s="200">
        <v>0</v>
      </c>
      <c r="Q101" s="274">
        <v>0</v>
      </c>
      <c r="R101" s="274">
        <v>4.1670000000000016</v>
      </c>
      <c r="S101" s="200">
        <v>2.0183086312118577E-2</v>
      </c>
      <c r="T101" s="198" t="s">
        <v>272</v>
      </c>
      <c r="U101" s="198" t="s">
        <v>165</v>
      </c>
      <c r="V101" s="198"/>
      <c r="W101" s="205">
        <v>1</v>
      </c>
      <c r="X101" s="198" t="s">
        <v>114</v>
      </c>
    </row>
    <row r="102" spans="2:24" ht="16.5">
      <c r="B102" s="474"/>
      <c r="C102" s="474"/>
      <c r="D102" s="209">
        <v>6</v>
      </c>
      <c r="E102" s="198" t="s">
        <v>325</v>
      </c>
      <c r="F102" s="274">
        <v>592.19999999999993</v>
      </c>
      <c r="G102" s="274">
        <v>6.48</v>
      </c>
      <c r="H102" s="274">
        <v>9</v>
      </c>
      <c r="I102" s="210">
        <f t="shared" si="15"/>
        <v>1.3888888888888888</v>
      </c>
      <c r="J102" s="234">
        <v>0</v>
      </c>
      <c r="K102" s="210">
        <f t="shared" si="16"/>
        <v>0</v>
      </c>
      <c r="L102" s="234">
        <v>235</v>
      </c>
      <c r="M102" s="211">
        <f t="shared" si="17"/>
        <v>1.3888888888888888</v>
      </c>
      <c r="N102" s="274">
        <v>592.19999999999993</v>
      </c>
      <c r="O102" s="274">
        <v>0</v>
      </c>
      <c r="P102" s="200">
        <v>0</v>
      </c>
      <c r="Q102" s="274">
        <v>0</v>
      </c>
      <c r="R102" s="274">
        <v>2.5199999999999996</v>
      </c>
      <c r="S102" s="200">
        <v>0.38888888888888878</v>
      </c>
      <c r="T102" s="198" t="s">
        <v>272</v>
      </c>
      <c r="U102" s="198" t="s">
        <v>165</v>
      </c>
      <c r="V102" s="231"/>
      <c r="W102" s="205">
        <v>1</v>
      </c>
      <c r="X102" s="198" t="s">
        <v>104</v>
      </c>
    </row>
    <row r="103" spans="2:24">
      <c r="B103" s="474"/>
      <c r="C103" s="474"/>
      <c r="D103" s="209">
        <v>7</v>
      </c>
      <c r="E103" s="198" t="s">
        <v>303</v>
      </c>
      <c r="F103" s="274">
        <v>585.32056000000011</v>
      </c>
      <c r="G103" s="274">
        <v>98.853999999999999</v>
      </c>
      <c r="H103" s="274">
        <v>87.7</v>
      </c>
      <c r="I103" s="210">
        <f t="shared" si="15"/>
        <v>0.88716693305278493</v>
      </c>
      <c r="J103" s="234">
        <v>23</v>
      </c>
      <c r="K103" s="210">
        <f t="shared" si="16"/>
        <v>0.23266635644485809</v>
      </c>
      <c r="L103" s="234">
        <v>54.97</v>
      </c>
      <c r="M103" s="211">
        <f t="shared" si="17"/>
        <v>1.119833289497643</v>
      </c>
      <c r="N103" s="274">
        <v>651.17462000000023</v>
      </c>
      <c r="O103" s="274">
        <v>1.198</v>
      </c>
      <c r="P103" s="200">
        <v>1.2118882392214781E-2</v>
      </c>
      <c r="Q103" s="274">
        <v>65.85405999999999</v>
      </c>
      <c r="R103" s="274">
        <v>10.648000000000003</v>
      </c>
      <c r="S103" s="200">
        <v>0.10771440710542825</v>
      </c>
      <c r="T103" s="198" t="s">
        <v>272</v>
      </c>
      <c r="U103" s="198" t="s">
        <v>165</v>
      </c>
      <c r="V103" s="198"/>
      <c r="W103" s="205">
        <v>1</v>
      </c>
      <c r="X103" s="198" t="s">
        <v>124</v>
      </c>
    </row>
    <row r="104" spans="2:24" ht="16.5">
      <c r="B104" s="474"/>
      <c r="C104" s="474"/>
      <c r="D104" s="209">
        <v>8</v>
      </c>
      <c r="E104" s="198" t="s">
        <v>286</v>
      </c>
      <c r="F104" s="274">
        <v>405.60200999999904</v>
      </c>
      <c r="G104" s="274">
        <v>665.28</v>
      </c>
      <c r="H104" s="274">
        <v>674.00199999999995</v>
      </c>
      <c r="I104" s="210">
        <f t="shared" si="15"/>
        <v>1.0131102693602694</v>
      </c>
      <c r="J104" s="234">
        <v>0</v>
      </c>
      <c r="K104" s="210">
        <f t="shared" si="16"/>
        <v>0</v>
      </c>
      <c r="L104" s="234">
        <v>46.53</v>
      </c>
      <c r="M104" s="211">
        <f t="shared" si="17"/>
        <v>1.0131102693602694</v>
      </c>
      <c r="N104" s="274">
        <v>405.83465999999908</v>
      </c>
      <c r="O104" s="274">
        <v>5.0000000000000001E-3</v>
      </c>
      <c r="P104" s="200">
        <v>7.5156325156325159E-6</v>
      </c>
      <c r="Q104" s="274">
        <v>0.23265000000000002</v>
      </c>
      <c r="R104" s="274">
        <v>8.7169999999999792</v>
      </c>
      <c r="S104" s="200">
        <v>1.3102753727753698E-2</v>
      </c>
      <c r="T104" s="198" t="s">
        <v>272</v>
      </c>
      <c r="U104" s="198" t="s">
        <v>165</v>
      </c>
      <c r="V104" s="231"/>
      <c r="W104" s="205">
        <v>1</v>
      </c>
      <c r="X104" s="198" t="s">
        <v>113</v>
      </c>
    </row>
    <row r="105" spans="2:24">
      <c r="B105" s="474"/>
      <c r="C105" s="474"/>
      <c r="D105" s="209">
        <v>9</v>
      </c>
      <c r="E105" s="198" t="s">
        <v>291</v>
      </c>
      <c r="F105" s="274">
        <v>397.65900000000005</v>
      </c>
      <c r="G105" s="274">
        <v>379.2</v>
      </c>
      <c r="H105" s="274">
        <v>389.13499999999999</v>
      </c>
      <c r="I105" s="210">
        <f t="shared" si="15"/>
        <v>1.0261998945147679</v>
      </c>
      <c r="J105" s="234">
        <v>0</v>
      </c>
      <c r="K105" s="210">
        <f t="shared" si="16"/>
        <v>0</v>
      </c>
      <c r="L105" s="234">
        <v>41</v>
      </c>
      <c r="M105" s="211">
        <f t="shared" si="17"/>
        <v>1.0261998945147679</v>
      </c>
      <c r="N105" s="274">
        <v>407.33500000000009</v>
      </c>
      <c r="O105" s="274">
        <v>0.23599999999999999</v>
      </c>
      <c r="P105" s="200">
        <v>6.2236286919831218E-4</v>
      </c>
      <c r="Q105" s="274">
        <v>9.6760000000000002</v>
      </c>
      <c r="R105" s="274">
        <v>9.6990000000000016</v>
      </c>
      <c r="S105" s="200">
        <v>2.5577531645569626E-2</v>
      </c>
      <c r="T105" s="198" t="s">
        <v>272</v>
      </c>
      <c r="U105" s="198" t="s">
        <v>165</v>
      </c>
      <c r="V105" s="198"/>
      <c r="W105" s="205">
        <v>1</v>
      </c>
      <c r="X105" s="198" t="s">
        <v>111</v>
      </c>
    </row>
    <row r="106" spans="2:24">
      <c r="B106" s="474"/>
      <c r="C106" s="474"/>
      <c r="D106" s="209">
        <v>10</v>
      </c>
      <c r="E106" s="198" t="s">
        <v>262</v>
      </c>
      <c r="F106" s="274">
        <v>327.59825000000336</v>
      </c>
      <c r="G106" s="274">
        <v>297.82499999999999</v>
      </c>
      <c r="H106" s="274">
        <v>301.10000000000002</v>
      </c>
      <c r="I106" s="210">
        <f t="shared" si="15"/>
        <v>1.0109963904977757</v>
      </c>
      <c r="J106" s="234">
        <v>0</v>
      </c>
      <c r="K106" s="210">
        <f t="shared" si="16"/>
        <v>0</v>
      </c>
      <c r="L106" s="234">
        <v>100.02999999999999</v>
      </c>
      <c r="M106" s="211">
        <f t="shared" si="17"/>
        <v>1.0109963904977757</v>
      </c>
      <c r="N106" s="274">
        <v>27.306399999999421</v>
      </c>
      <c r="O106" s="274">
        <v>0.152</v>
      </c>
      <c r="P106" s="200">
        <v>5.1036682615629989E-4</v>
      </c>
      <c r="Q106" s="274">
        <v>15.204559999999997</v>
      </c>
      <c r="R106" s="274">
        <v>3.123000000000034</v>
      </c>
      <c r="S106" s="200">
        <v>1.0486023671619354E-2</v>
      </c>
      <c r="T106" s="198" t="s">
        <v>272</v>
      </c>
      <c r="U106" s="198" t="s">
        <v>165</v>
      </c>
      <c r="V106" s="198"/>
      <c r="W106" s="205">
        <v>1</v>
      </c>
      <c r="X106" s="198" t="s">
        <v>232</v>
      </c>
    </row>
    <row r="107" spans="2:24">
      <c r="B107" s="473">
        <v>45911</v>
      </c>
      <c r="C107" s="475" t="s">
        <v>59</v>
      </c>
      <c r="D107" s="209">
        <v>1</v>
      </c>
      <c r="E107" s="198" t="s">
        <v>281</v>
      </c>
      <c r="F107" s="274">
        <v>3145.5487999999987</v>
      </c>
      <c r="G107" s="274">
        <v>18.576000000000001</v>
      </c>
      <c r="H107" s="274">
        <v>18.613</v>
      </c>
      <c r="I107" s="210">
        <f t="shared" si="15"/>
        <v>1.0019918173987941</v>
      </c>
      <c r="J107" s="234">
        <v>4.7</v>
      </c>
      <c r="K107" s="210">
        <f t="shared" si="16"/>
        <v>0.25301464254952627</v>
      </c>
      <c r="L107" s="234">
        <v>742.4</v>
      </c>
      <c r="M107" s="211">
        <f t="shared" si="17"/>
        <v>1.2550064599483204</v>
      </c>
      <c r="N107" s="274">
        <v>3516.7487999999985</v>
      </c>
      <c r="O107" s="274">
        <v>0.5</v>
      </c>
      <c r="P107" s="200">
        <v>2.6916451335055984E-2</v>
      </c>
      <c r="Q107" s="274">
        <v>371.2</v>
      </c>
      <c r="R107" s="274">
        <v>4.2369999999999983</v>
      </c>
      <c r="S107" s="200">
        <v>0.22809000861326434</v>
      </c>
      <c r="T107" s="198" t="s">
        <v>272</v>
      </c>
      <c r="U107" s="198" t="s">
        <v>165</v>
      </c>
      <c r="V107" s="198"/>
      <c r="W107" s="205">
        <v>1</v>
      </c>
      <c r="X107" s="198" t="s">
        <v>115</v>
      </c>
    </row>
    <row r="108" spans="2:24" ht="16.5">
      <c r="B108" s="474"/>
      <c r="C108" s="474"/>
      <c r="D108" s="209">
        <v>2</v>
      </c>
      <c r="E108" s="198" t="s">
        <v>229</v>
      </c>
      <c r="F108" s="274">
        <v>2463.4491000000021</v>
      </c>
      <c r="G108" s="274">
        <v>179.1</v>
      </c>
      <c r="H108" s="274">
        <v>187.899</v>
      </c>
      <c r="I108" s="210">
        <f t="shared" si="15"/>
        <v>1.0491289782244557</v>
      </c>
      <c r="J108" s="234">
        <v>0</v>
      </c>
      <c r="K108" s="210">
        <f t="shared" si="16"/>
        <v>0</v>
      </c>
      <c r="L108" s="234">
        <v>335.3</v>
      </c>
      <c r="M108" s="211">
        <f t="shared" si="17"/>
        <v>1.0491289782244557</v>
      </c>
      <c r="N108" s="274">
        <v>2950.3047000000024</v>
      </c>
      <c r="O108" s="274">
        <v>1.452</v>
      </c>
      <c r="P108" s="200">
        <v>8.1072026800670018E-3</v>
      </c>
      <c r="Q108" s="274">
        <v>486.85559999999998</v>
      </c>
      <c r="R108" s="274">
        <v>7.3470000000000066</v>
      </c>
      <c r="S108" s="200">
        <v>4.1021775544388649E-2</v>
      </c>
      <c r="T108" s="229" t="s">
        <v>230</v>
      </c>
      <c r="U108" s="198" t="s">
        <v>181</v>
      </c>
      <c r="V108" s="198" t="s">
        <v>276</v>
      </c>
      <c r="W108" s="205">
        <v>1</v>
      </c>
      <c r="X108" s="198" t="s">
        <v>232</v>
      </c>
    </row>
    <row r="109" spans="2:24">
      <c r="B109" s="474"/>
      <c r="C109" s="474"/>
      <c r="D109" s="209">
        <v>3</v>
      </c>
      <c r="E109" s="198" t="s">
        <v>329</v>
      </c>
      <c r="F109" s="274">
        <v>1113.8456099999994</v>
      </c>
      <c r="G109" s="274">
        <v>54.081000000000003</v>
      </c>
      <c r="H109" s="274">
        <v>67.8</v>
      </c>
      <c r="I109" s="210">
        <f t="shared" si="15"/>
        <v>1.2536750429910688</v>
      </c>
      <c r="J109" s="234">
        <v>0</v>
      </c>
      <c r="K109" s="210">
        <f t="shared" si="16"/>
        <v>0</v>
      </c>
      <c r="L109" s="234">
        <v>81.19</v>
      </c>
      <c r="M109" s="211">
        <f t="shared" si="17"/>
        <v>1.2536750429910688</v>
      </c>
      <c r="N109" s="274">
        <v>1113.8456099999994</v>
      </c>
      <c r="O109" s="274">
        <v>0</v>
      </c>
      <c r="P109" s="200">
        <v>0</v>
      </c>
      <c r="Q109" s="274">
        <v>0</v>
      </c>
      <c r="R109" s="274">
        <v>13.718999999999994</v>
      </c>
      <c r="S109" s="200">
        <v>0.25367504299106886</v>
      </c>
      <c r="T109" s="198" t="s">
        <v>274</v>
      </c>
      <c r="U109" s="198" t="s">
        <v>172</v>
      </c>
      <c r="V109" s="198" t="s">
        <v>334</v>
      </c>
      <c r="W109" s="205">
        <v>1</v>
      </c>
      <c r="X109" s="198" t="s">
        <v>124</v>
      </c>
    </row>
    <row r="110" spans="2:24">
      <c r="B110" s="474"/>
      <c r="C110" s="474"/>
      <c r="D110" s="209">
        <v>4</v>
      </c>
      <c r="E110" s="198" t="s">
        <v>271</v>
      </c>
      <c r="F110" s="274">
        <v>1031.5367700000022</v>
      </c>
      <c r="G110" s="274">
        <v>200.16</v>
      </c>
      <c r="H110" s="274">
        <v>207.43100000000001</v>
      </c>
      <c r="I110" s="210">
        <f t="shared" si="15"/>
        <v>1.0363259392486013</v>
      </c>
      <c r="J110" s="234">
        <v>0</v>
      </c>
      <c r="K110" s="210">
        <f t="shared" si="16"/>
        <v>0</v>
      </c>
      <c r="L110" s="234">
        <v>141.87</v>
      </c>
      <c r="M110" s="211">
        <f t="shared" si="17"/>
        <v>1.0363259392486013</v>
      </c>
      <c r="N110" s="274">
        <v>1031.5367700000022</v>
      </c>
      <c r="O110" s="274">
        <v>0</v>
      </c>
      <c r="P110" s="200">
        <v>0</v>
      </c>
      <c r="Q110" s="274">
        <v>0</v>
      </c>
      <c r="R110" s="274">
        <v>7.271000000000015</v>
      </c>
      <c r="S110" s="200">
        <v>3.6325939248601197E-2</v>
      </c>
      <c r="T110" s="198" t="s">
        <v>272</v>
      </c>
      <c r="U110" s="198" t="s">
        <v>165</v>
      </c>
      <c r="V110" s="198"/>
      <c r="W110" s="205">
        <v>1</v>
      </c>
      <c r="X110" s="198" t="s">
        <v>109</v>
      </c>
    </row>
    <row r="111" spans="2:24">
      <c r="B111" s="474"/>
      <c r="C111" s="474"/>
      <c r="D111" s="209">
        <v>5</v>
      </c>
      <c r="E111" s="198" t="s">
        <v>323</v>
      </c>
      <c r="F111" s="274">
        <v>752.2429200000023</v>
      </c>
      <c r="G111" s="274">
        <v>193.44</v>
      </c>
      <c r="H111" s="274">
        <v>197.75800000000001</v>
      </c>
      <c r="I111" s="210">
        <f t="shared" si="15"/>
        <v>1.0223221670802316</v>
      </c>
      <c r="J111" s="234">
        <v>0</v>
      </c>
      <c r="K111" s="210">
        <f t="shared" si="16"/>
        <v>0</v>
      </c>
      <c r="L111" s="234">
        <v>193.17999999999998</v>
      </c>
      <c r="M111" s="211">
        <f t="shared" si="17"/>
        <v>1.0223221670802316</v>
      </c>
      <c r="N111" s="274">
        <v>834.15124000000219</v>
      </c>
      <c r="O111" s="274">
        <v>0.42399999999999999</v>
      </c>
      <c r="P111" s="200">
        <v>2.1918941273779981E-3</v>
      </c>
      <c r="Q111" s="274">
        <v>81.908319999999989</v>
      </c>
      <c r="R111" s="274">
        <v>3.8940000000000121</v>
      </c>
      <c r="S111" s="200">
        <v>2.0130272952853662E-2</v>
      </c>
      <c r="T111" s="198" t="s">
        <v>272</v>
      </c>
      <c r="U111" s="198" t="s">
        <v>165</v>
      </c>
      <c r="V111" s="198"/>
      <c r="W111" s="205">
        <v>1</v>
      </c>
      <c r="X111" s="198" t="s">
        <v>114</v>
      </c>
    </row>
    <row r="112" spans="2:24">
      <c r="B112" s="474"/>
      <c r="C112" s="474"/>
      <c r="D112" s="209">
        <v>6</v>
      </c>
      <c r="E112" s="198" t="s">
        <v>268</v>
      </c>
      <c r="F112" s="274">
        <v>523.12112999999079</v>
      </c>
      <c r="G112" s="274">
        <v>701.86500000000001</v>
      </c>
      <c r="H112" s="274">
        <v>705.20399999999995</v>
      </c>
      <c r="I112" s="210">
        <f t="shared" si="15"/>
        <v>1.0047573251266269</v>
      </c>
      <c r="J112" s="234">
        <v>0</v>
      </c>
      <c r="K112" s="210">
        <f t="shared" si="16"/>
        <v>0</v>
      </c>
      <c r="L112" s="234">
        <v>156.66999999999999</v>
      </c>
      <c r="M112" s="211">
        <f t="shared" si="17"/>
        <v>1.0047573251266269</v>
      </c>
      <c r="N112" s="274">
        <v>523.12112999999079</v>
      </c>
      <c r="O112" s="274">
        <v>0</v>
      </c>
      <c r="P112" s="200">
        <v>0</v>
      </c>
      <c r="Q112" s="274">
        <v>0</v>
      </c>
      <c r="R112" s="274">
        <v>3.3389999999999418</v>
      </c>
      <c r="S112" s="200">
        <v>4.757325126626832E-3</v>
      </c>
      <c r="T112" s="198" t="s">
        <v>272</v>
      </c>
      <c r="U112" s="198" t="s">
        <v>165</v>
      </c>
      <c r="V112" s="198"/>
      <c r="W112" s="205">
        <v>1</v>
      </c>
      <c r="X112" s="198" t="s">
        <v>244</v>
      </c>
    </row>
    <row r="113" spans="2:25">
      <c r="B113" s="474"/>
      <c r="C113" s="474"/>
      <c r="D113" s="209">
        <v>7</v>
      </c>
      <c r="E113" s="198" t="s">
        <v>248</v>
      </c>
      <c r="F113" s="274">
        <v>518.59625999999946</v>
      </c>
      <c r="G113" s="274">
        <v>1067</v>
      </c>
      <c r="H113" s="274">
        <v>1088.068</v>
      </c>
      <c r="I113" s="210">
        <f t="shared" si="15"/>
        <v>1.0197450796626055</v>
      </c>
      <c r="J113" s="234">
        <v>0</v>
      </c>
      <c r="K113" s="210">
        <f t="shared" si="16"/>
        <v>0</v>
      </c>
      <c r="L113" s="234">
        <v>34.58</v>
      </c>
      <c r="M113" s="211">
        <f t="shared" si="17"/>
        <v>1.0197450796626055</v>
      </c>
      <c r="N113" s="274">
        <v>728.53143999999941</v>
      </c>
      <c r="O113" s="274">
        <v>6.0709999999999997</v>
      </c>
      <c r="P113" s="200">
        <v>5.6897844423617616E-3</v>
      </c>
      <c r="Q113" s="274">
        <v>209.93517999999997</v>
      </c>
      <c r="R113" s="274">
        <v>14.996999999999984</v>
      </c>
      <c r="S113" s="200">
        <v>1.4055295220243659E-2</v>
      </c>
      <c r="T113" s="198" t="s">
        <v>272</v>
      </c>
      <c r="U113" s="198" t="s">
        <v>165</v>
      </c>
      <c r="V113" s="198"/>
      <c r="W113" s="205">
        <v>1</v>
      </c>
      <c r="X113" s="198" t="s">
        <v>103</v>
      </c>
    </row>
    <row r="114" spans="2:25">
      <c r="B114" s="474"/>
      <c r="C114" s="474"/>
      <c r="D114" s="209">
        <v>8</v>
      </c>
      <c r="E114" s="198" t="s">
        <v>248</v>
      </c>
      <c r="F114" s="274">
        <v>442.31278000000077</v>
      </c>
      <c r="G114" s="274">
        <v>1143.78</v>
      </c>
      <c r="H114" s="274">
        <v>1167.529</v>
      </c>
      <c r="I114" s="210">
        <f t="shared" si="15"/>
        <v>1.0207636083862281</v>
      </c>
      <c r="J114" s="234">
        <v>0</v>
      </c>
      <c r="K114" s="210">
        <f t="shared" si="16"/>
        <v>0</v>
      </c>
      <c r="L114" s="234">
        <v>34.58</v>
      </c>
      <c r="M114" s="211">
        <f t="shared" si="17"/>
        <v>1.0207636083862281</v>
      </c>
      <c r="N114" s="274">
        <v>821.24042000000077</v>
      </c>
      <c r="O114" s="274">
        <v>10.958</v>
      </c>
      <c r="P114" s="200">
        <v>9.5805137351588597E-3</v>
      </c>
      <c r="Q114" s="274">
        <v>378.92764</v>
      </c>
      <c r="R114" s="274">
        <v>12.791000000000023</v>
      </c>
      <c r="S114" s="200">
        <v>1.1183094651069283E-2</v>
      </c>
      <c r="T114" s="198" t="s">
        <v>272</v>
      </c>
      <c r="U114" s="198" t="s">
        <v>165</v>
      </c>
      <c r="V114" s="198"/>
      <c r="W114" s="205">
        <v>1</v>
      </c>
      <c r="X114" s="198" t="s">
        <v>244</v>
      </c>
    </row>
    <row r="115" spans="2:25">
      <c r="B115" s="474"/>
      <c r="C115" s="474"/>
      <c r="D115" s="209">
        <v>9</v>
      </c>
      <c r="E115" s="198" t="s">
        <v>262</v>
      </c>
      <c r="F115" s="274">
        <v>370.91123999999991</v>
      </c>
      <c r="G115" s="274">
        <v>283.57499999999999</v>
      </c>
      <c r="H115" s="274">
        <v>288.30099999999999</v>
      </c>
      <c r="I115" s="210">
        <f t="shared" si="15"/>
        <v>1.0166657850656793</v>
      </c>
      <c r="J115" s="234">
        <v>0</v>
      </c>
      <c r="K115" s="210">
        <f t="shared" si="16"/>
        <v>0</v>
      </c>
      <c r="L115" s="234">
        <v>100.02999999999999</v>
      </c>
      <c r="M115" s="211">
        <f t="shared" si="17"/>
        <v>1.0166657850656793</v>
      </c>
      <c r="N115" s="274">
        <v>472.74177999999984</v>
      </c>
      <c r="O115" s="274">
        <v>1.018</v>
      </c>
      <c r="P115" s="200">
        <v>3.5898792206647272E-3</v>
      </c>
      <c r="Q115" s="274">
        <v>101.83053999999998</v>
      </c>
      <c r="R115" s="274">
        <v>3.7079999999999993</v>
      </c>
      <c r="S115" s="200">
        <v>1.3075905845014545E-2</v>
      </c>
      <c r="T115" s="198" t="s">
        <v>272</v>
      </c>
      <c r="U115" s="198" t="s">
        <v>165</v>
      </c>
      <c r="V115" s="198"/>
      <c r="W115" s="205">
        <v>1</v>
      </c>
      <c r="X115" s="198" t="s">
        <v>232</v>
      </c>
    </row>
    <row r="116" spans="2:25">
      <c r="B116" s="474"/>
      <c r="C116" s="474"/>
      <c r="D116" s="209">
        <v>10</v>
      </c>
      <c r="E116" s="198" t="s">
        <v>325</v>
      </c>
      <c r="F116" s="274">
        <v>340.74999999999983</v>
      </c>
      <c r="G116" s="274">
        <v>14.55</v>
      </c>
      <c r="H116" s="274">
        <v>16</v>
      </c>
      <c r="I116" s="210">
        <f t="shared" si="15"/>
        <v>1.099656357388316</v>
      </c>
      <c r="J116" s="234">
        <v>0</v>
      </c>
      <c r="K116" s="210">
        <f t="shared" si="16"/>
        <v>0</v>
      </c>
      <c r="L116" s="234">
        <v>235</v>
      </c>
      <c r="M116" s="211">
        <f t="shared" si="17"/>
        <v>1.099656357388316</v>
      </c>
      <c r="N116" s="274">
        <v>340.74999999999983</v>
      </c>
      <c r="O116" s="274">
        <v>0</v>
      </c>
      <c r="P116" s="200">
        <v>0</v>
      </c>
      <c r="Q116" s="274">
        <v>0</v>
      </c>
      <c r="R116" s="274">
        <v>1.4499999999999993</v>
      </c>
      <c r="S116" s="200">
        <v>9.9656357388316102E-2</v>
      </c>
      <c r="T116" s="198" t="s">
        <v>272</v>
      </c>
      <c r="U116" s="198" t="s">
        <v>165</v>
      </c>
      <c r="V116" s="198"/>
      <c r="W116" s="205">
        <v>1</v>
      </c>
      <c r="X116" s="198" t="s">
        <v>103</v>
      </c>
    </row>
    <row r="117" spans="2:25" ht="16.5">
      <c r="B117" s="473">
        <v>45912</v>
      </c>
      <c r="C117" s="475" t="s">
        <v>60</v>
      </c>
      <c r="D117" s="209">
        <v>11</v>
      </c>
      <c r="E117" s="198" t="s">
        <v>229</v>
      </c>
      <c r="F117" s="274">
        <v>1712.3771000000047</v>
      </c>
      <c r="G117" s="274">
        <v>151.44</v>
      </c>
      <c r="H117" s="274">
        <v>158.17500000000001</v>
      </c>
      <c r="I117" s="210">
        <f t="shared" si="15"/>
        <v>1.0444730586370841</v>
      </c>
      <c r="J117" s="234">
        <v>0</v>
      </c>
      <c r="K117" s="210">
        <f t="shared" si="16"/>
        <v>0</v>
      </c>
      <c r="L117" s="234">
        <v>335.3</v>
      </c>
      <c r="M117" s="211">
        <f t="shared" si="17"/>
        <v>1.0444730586370841</v>
      </c>
      <c r="N117" s="274">
        <v>3516.7487999999985</v>
      </c>
      <c r="O117" s="274">
        <v>0.5</v>
      </c>
      <c r="P117" s="200">
        <v>3.3016376122556789E-3</v>
      </c>
      <c r="Q117" s="274">
        <v>167.65</v>
      </c>
      <c r="R117" s="274">
        <v>6.2350000000000136</v>
      </c>
      <c r="S117" s="200">
        <v>4.1171421024828403E-2</v>
      </c>
      <c r="T117" s="229" t="s">
        <v>230</v>
      </c>
      <c r="U117" s="198" t="s">
        <v>181</v>
      </c>
      <c r="V117" s="198" t="s">
        <v>276</v>
      </c>
      <c r="W117" s="205">
        <v>1</v>
      </c>
      <c r="X117" s="198" t="s">
        <v>232</v>
      </c>
    </row>
    <row r="118" spans="2:25">
      <c r="B118" s="474"/>
      <c r="C118" s="474"/>
      <c r="D118" s="209">
        <v>12</v>
      </c>
      <c r="E118" s="198" t="s">
        <v>329</v>
      </c>
      <c r="F118" s="274">
        <v>1313.16706</v>
      </c>
      <c r="G118" s="274">
        <v>52.326000000000001</v>
      </c>
      <c r="H118" s="274">
        <v>68.5</v>
      </c>
      <c r="I118" s="210">
        <f t="shared" si="15"/>
        <v>1.3091006383060046</v>
      </c>
      <c r="J118" s="234">
        <v>0</v>
      </c>
      <c r="K118" s="210">
        <f t="shared" si="16"/>
        <v>0</v>
      </c>
      <c r="L118" s="234">
        <v>81.19</v>
      </c>
      <c r="M118" s="211">
        <f t="shared" si="17"/>
        <v>1.3091006383060046</v>
      </c>
      <c r="N118" s="274">
        <v>2950.3047000000024</v>
      </c>
      <c r="O118" s="274">
        <v>1.452</v>
      </c>
      <c r="P118" s="200">
        <v>2.7749111340442608E-2</v>
      </c>
      <c r="Q118" s="274">
        <v>117.88788</v>
      </c>
      <c r="R118" s="274">
        <v>14.722</v>
      </c>
      <c r="S118" s="200">
        <v>0.28135152696556204</v>
      </c>
      <c r="T118" s="198" t="s">
        <v>274</v>
      </c>
      <c r="U118" s="198" t="s">
        <v>172</v>
      </c>
      <c r="V118" s="198" t="s">
        <v>334</v>
      </c>
      <c r="W118" s="205">
        <v>1</v>
      </c>
      <c r="X118" s="198" t="s">
        <v>124</v>
      </c>
    </row>
    <row r="119" spans="2:25">
      <c r="B119" s="474"/>
      <c r="C119" s="474"/>
      <c r="D119" s="209">
        <v>13</v>
      </c>
      <c r="E119" s="198" t="s">
        <v>268</v>
      </c>
      <c r="F119" s="274">
        <v>879.23203999999464</v>
      </c>
      <c r="G119" s="274">
        <v>540.27</v>
      </c>
      <c r="H119" s="274">
        <v>545.88199999999995</v>
      </c>
      <c r="I119" s="210">
        <f t="shared" si="15"/>
        <v>1.010387398893146</v>
      </c>
      <c r="J119" s="234">
        <v>0</v>
      </c>
      <c r="K119" s="210">
        <f t="shared" si="16"/>
        <v>0</v>
      </c>
      <c r="L119" s="234">
        <v>156.66999999999999</v>
      </c>
      <c r="M119" s="211">
        <f t="shared" si="17"/>
        <v>1.010387398893146</v>
      </c>
      <c r="N119" s="274">
        <v>1113.8456099999994</v>
      </c>
      <c r="O119" s="274">
        <v>0</v>
      </c>
      <c r="P119" s="200">
        <v>0</v>
      </c>
      <c r="Q119" s="274">
        <v>0</v>
      </c>
      <c r="R119" s="274">
        <v>5.6119999999999663</v>
      </c>
      <c r="S119" s="200">
        <v>1.0387398893145957E-2</v>
      </c>
      <c r="T119" s="198" t="s">
        <v>272</v>
      </c>
      <c r="U119" s="198" t="s">
        <v>165</v>
      </c>
      <c r="V119" s="198"/>
      <c r="W119" s="205">
        <v>1</v>
      </c>
      <c r="X119" s="198" t="s">
        <v>244</v>
      </c>
    </row>
    <row r="120" spans="2:25">
      <c r="B120" s="474"/>
      <c r="C120" s="474"/>
      <c r="D120" s="209">
        <v>14</v>
      </c>
      <c r="E120" s="198" t="s">
        <v>271</v>
      </c>
      <c r="F120" s="274">
        <v>723.67886999999985</v>
      </c>
      <c r="G120" s="274">
        <v>181.8</v>
      </c>
      <c r="H120" s="274">
        <v>186.90100000000001</v>
      </c>
      <c r="I120" s="210">
        <f t="shared" si="15"/>
        <v>1.028058305830583</v>
      </c>
      <c r="J120" s="234">
        <v>0</v>
      </c>
      <c r="K120" s="210">
        <f t="shared" si="16"/>
        <v>0</v>
      </c>
      <c r="L120" s="234">
        <v>141.87</v>
      </c>
      <c r="M120" s="211">
        <f t="shared" si="17"/>
        <v>1.028058305830583</v>
      </c>
      <c r="N120" s="274">
        <v>1031.5367700000022</v>
      </c>
      <c r="O120" s="274">
        <v>0</v>
      </c>
      <c r="P120" s="200">
        <v>0</v>
      </c>
      <c r="Q120" s="274">
        <v>0</v>
      </c>
      <c r="R120" s="274">
        <v>5.1009999999999991</v>
      </c>
      <c r="S120" s="200">
        <v>2.8058305830583052E-2</v>
      </c>
      <c r="T120" s="198" t="s">
        <v>272</v>
      </c>
      <c r="U120" s="198" t="s">
        <v>165</v>
      </c>
      <c r="V120" s="198"/>
      <c r="W120" s="205">
        <v>1</v>
      </c>
      <c r="X120" s="198" t="s">
        <v>109</v>
      </c>
    </row>
    <row r="121" spans="2:25" ht="16.5">
      <c r="B121" s="474"/>
      <c r="C121" s="474"/>
      <c r="D121" s="209">
        <v>15</v>
      </c>
      <c r="E121" s="198" t="s">
        <v>318</v>
      </c>
      <c r="F121" s="274">
        <v>704.52</v>
      </c>
      <c r="G121" s="274">
        <v>11.58</v>
      </c>
      <c r="H121" s="274">
        <v>15</v>
      </c>
      <c r="I121" s="210">
        <f t="shared" si="15"/>
        <v>1.2953367875647668</v>
      </c>
      <c r="J121" s="234">
        <v>0</v>
      </c>
      <c r="K121" s="210">
        <f t="shared" si="16"/>
        <v>0</v>
      </c>
      <c r="L121" s="234">
        <v>206</v>
      </c>
      <c r="M121" s="211">
        <f t="shared" si="17"/>
        <v>1.2953367875647668</v>
      </c>
      <c r="N121" s="274">
        <v>834.15124000000219</v>
      </c>
      <c r="O121" s="274">
        <v>0.42399999999999999</v>
      </c>
      <c r="P121" s="200">
        <v>3.6614853195164075E-2</v>
      </c>
      <c r="Q121" s="274">
        <v>87.343999999999994</v>
      </c>
      <c r="R121" s="274">
        <v>2.996</v>
      </c>
      <c r="S121" s="200">
        <v>0.25872193436960278</v>
      </c>
      <c r="T121" s="198" t="s">
        <v>272</v>
      </c>
      <c r="U121" s="198" t="s">
        <v>165</v>
      </c>
      <c r="V121" s="231"/>
      <c r="W121" s="205">
        <v>1</v>
      </c>
      <c r="X121" s="198" t="s">
        <v>287</v>
      </c>
    </row>
    <row r="122" spans="2:25">
      <c r="B122" s="474"/>
      <c r="C122" s="474"/>
      <c r="D122" s="209">
        <v>16</v>
      </c>
      <c r="E122" s="198" t="s">
        <v>262</v>
      </c>
      <c r="F122" s="274">
        <v>606.58192000000031</v>
      </c>
      <c r="G122" s="274">
        <v>239.78</v>
      </c>
      <c r="H122" s="274">
        <v>248.358</v>
      </c>
      <c r="I122" s="210">
        <f t="shared" si="15"/>
        <v>1.0357744599215948</v>
      </c>
      <c r="J122" s="234">
        <v>0</v>
      </c>
      <c r="K122" s="210">
        <f t="shared" si="16"/>
        <v>0</v>
      </c>
      <c r="L122" s="234">
        <v>100.02999999999999</v>
      </c>
      <c r="M122" s="211">
        <f t="shared" si="17"/>
        <v>1.0357744599215948</v>
      </c>
      <c r="N122" s="274">
        <v>523.12112999999079</v>
      </c>
      <c r="O122" s="274">
        <v>0</v>
      </c>
      <c r="P122" s="200">
        <v>0</v>
      </c>
      <c r="Q122" s="274">
        <v>0</v>
      </c>
      <c r="R122" s="274">
        <v>8.578000000000003</v>
      </c>
      <c r="S122" s="200">
        <v>3.5774459921594809E-2</v>
      </c>
      <c r="T122" s="198" t="s">
        <v>272</v>
      </c>
      <c r="U122" s="198" t="s">
        <v>165</v>
      </c>
      <c r="V122" s="198"/>
      <c r="W122" s="205">
        <v>1</v>
      </c>
      <c r="X122" s="198" t="s">
        <v>232</v>
      </c>
    </row>
    <row r="123" spans="2:25">
      <c r="B123" s="474"/>
      <c r="C123" s="474"/>
      <c r="D123" s="209">
        <v>17</v>
      </c>
      <c r="E123" s="198" t="s">
        <v>323</v>
      </c>
      <c r="F123" s="274">
        <v>404.51891999999879</v>
      </c>
      <c r="G123" s="274">
        <v>159.36000000000001</v>
      </c>
      <c r="H123" s="274">
        <v>161.45400000000001</v>
      </c>
      <c r="I123" s="210">
        <f t="shared" si="15"/>
        <v>1.0131400602409639</v>
      </c>
      <c r="J123" s="234">
        <v>0</v>
      </c>
      <c r="K123" s="210">
        <f t="shared" si="16"/>
        <v>0</v>
      </c>
      <c r="L123" s="234">
        <v>193.17999999999998</v>
      </c>
      <c r="M123" s="211">
        <f t="shared" si="17"/>
        <v>1.0131400602409639</v>
      </c>
      <c r="N123" s="274">
        <v>728.53143999999941</v>
      </c>
      <c r="O123" s="274">
        <v>6.0709999999999997</v>
      </c>
      <c r="P123" s="200">
        <v>3.8096134538152603E-2</v>
      </c>
      <c r="Q123" s="274">
        <v>1172.7957799999999</v>
      </c>
      <c r="R123" s="274">
        <v>-3.9770000000000056</v>
      </c>
      <c r="S123" s="200">
        <v>-2.4956074297188789E-2</v>
      </c>
      <c r="T123" s="198" t="s">
        <v>272</v>
      </c>
      <c r="U123" s="198" t="s">
        <v>165</v>
      </c>
      <c r="V123" s="198"/>
      <c r="W123" s="205">
        <v>1</v>
      </c>
      <c r="X123" s="198" t="s">
        <v>114</v>
      </c>
    </row>
    <row r="124" spans="2:25">
      <c r="B124" s="474"/>
      <c r="C124" s="474"/>
      <c r="D124" s="209">
        <v>18</v>
      </c>
      <c r="E124" s="198" t="s">
        <v>313</v>
      </c>
      <c r="F124" s="274">
        <v>367.85199999999872</v>
      </c>
      <c r="G124" s="274">
        <v>160.19</v>
      </c>
      <c r="H124" s="274">
        <v>162.49199999999999</v>
      </c>
      <c r="I124" s="210">
        <f t="shared" si="15"/>
        <v>1.0143704351083089</v>
      </c>
      <c r="J124" s="234">
        <v>0</v>
      </c>
      <c r="K124" s="210">
        <f t="shared" si="16"/>
        <v>0</v>
      </c>
      <c r="L124" s="234">
        <v>164</v>
      </c>
      <c r="M124" s="211">
        <f t="shared" si="17"/>
        <v>1.0143704351083089</v>
      </c>
      <c r="N124" s="274">
        <v>821.24042000000077</v>
      </c>
      <c r="O124" s="274">
        <v>10.958</v>
      </c>
      <c r="P124" s="200">
        <v>6.8406267557275732E-2</v>
      </c>
      <c r="Q124" s="274">
        <v>1797.1120000000001</v>
      </c>
      <c r="R124" s="274">
        <v>-8.6560000000000077</v>
      </c>
      <c r="S124" s="200">
        <v>-5.4035832448966897E-2</v>
      </c>
      <c r="T124" s="198" t="s">
        <v>272</v>
      </c>
      <c r="U124" s="198" t="s">
        <v>165</v>
      </c>
      <c r="V124" s="198"/>
      <c r="W124" s="205">
        <v>1</v>
      </c>
      <c r="X124" s="198" t="s">
        <v>287</v>
      </c>
    </row>
    <row r="125" spans="2:25">
      <c r="B125" s="474"/>
      <c r="C125" s="474"/>
      <c r="D125" s="209">
        <v>19</v>
      </c>
      <c r="E125" s="198" t="s">
        <v>324</v>
      </c>
      <c r="F125" s="274">
        <v>364.98960000000028</v>
      </c>
      <c r="G125" s="274">
        <v>789.8</v>
      </c>
      <c r="H125" s="274">
        <v>802.18899999999996</v>
      </c>
      <c r="I125" s="210">
        <f t="shared" si="15"/>
        <v>1.0156862496834642</v>
      </c>
      <c r="J125" s="234">
        <v>0</v>
      </c>
      <c r="K125" s="210">
        <f t="shared" si="16"/>
        <v>0</v>
      </c>
      <c r="L125" s="234">
        <v>31.099999999999998</v>
      </c>
      <c r="M125" s="211">
        <f t="shared" si="17"/>
        <v>1.0156862496834642</v>
      </c>
      <c r="N125" s="274">
        <v>472.74177999999984</v>
      </c>
      <c r="O125" s="274">
        <v>1.018</v>
      </c>
      <c r="P125" s="200">
        <v>1.2889339073183085E-3</v>
      </c>
      <c r="Q125" s="274">
        <v>31.659799999999997</v>
      </c>
      <c r="R125" s="274">
        <v>11.371000000000009</v>
      </c>
      <c r="S125" s="200">
        <v>1.4397315776145872E-2</v>
      </c>
      <c r="T125" s="198" t="s">
        <v>272</v>
      </c>
      <c r="U125" s="198" t="s">
        <v>165</v>
      </c>
      <c r="V125" s="198"/>
      <c r="W125" s="205">
        <v>1</v>
      </c>
      <c r="X125" s="198" t="s">
        <v>105</v>
      </c>
    </row>
    <row r="126" spans="2:25" ht="16.5">
      <c r="B126" s="474"/>
      <c r="C126" s="474"/>
      <c r="D126" s="209">
        <v>20</v>
      </c>
      <c r="E126" s="198" t="s">
        <v>248</v>
      </c>
      <c r="F126" s="274">
        <v>306.13673999999736</v>
      </c>
      <c r="G126" s="274">
        <v>880.44</v>
      </c>
      <c r="H126" s="274">
        <v>895.19799999999998</v>
      </c>
      <c r="I126" s="210">
        <f t="shared" si="15"/>
        <v>1.0167620735087002</v>
      </c>
      <c r="J126" s="234">
        <v>0</v>
      </c>
      <c r="K126" s="210">
        <f t="shared" si="16"/>
        <v>0</v>
      </c>
      <c r="L126" s="234">
        <v>34.58</v>
      </c>
      <c r="M126" s="211">
        <f t="shared" si="17"/>
        <v>1.0167620735087002</v>
      </c>
      <c r="N126" s="274">
        <v>340.74999999999983</v>
      </c>
      <c r="O126" s="274">
        <v>0</v>
      </c>
      <c r="P126" s="200">
        <v>0</v>
      </c>
      <c r="Q126" s="274">
        <v>0</v>
      </c>
      <c r="R126" s="274">
        <v>14.757999999999925</v>
      </c>
      <c r="S126" s="200">
        <v>1.6762073508700109E-2</v>
      </c>
      <c r="T126" s="198" t="s">
        <v>272</v>
      </c>
      <c r="U126" s="198" t="s">
        <v>165</v>
      </c>
      <c r="V126" s="231"/>
      <c r="W126" s="205">
        <v>1</v>
      </c>
      <c r="X126" s="198" t="s">
        <v>244</v>
      </c>
    </row>
    <row r="127" spans="2:25">
      <c r="B127" s="473">
        <v>45913</v>
      </c>
      <c r="C127" s="475" t="s">
        <v>61</v>
      </c>
      <c r="D127" s="209">
        <v>21</v>
      </c>
      <c r="E127" s="198" t="s">
        <v>291</v>
      </c>
      <c r="F127" s="274">
        <v>4358</v>
      </c>
      <c r="G127" s="274">
        <v>335.6</v>
      </c>
      <c r="H127" s="274">
        <v>349.3</v>
      </c>
      <c r="I127" s="210">
        <f t="shared" si="15"/>
        <v>1.0408224076281287</v>
      </c>
      <c r="J127" s="234">
        <v>100.8</v>
      </c>
      <c r="K127" s="210">
        <f t="shared" si="16"/>
        <v>0.300357568533969</v>
      </c>
      <c r="L127" s="234">
        <v>41</v>
      </c>
      <c r="M127" s="211">
        <f t="shared" si="17"/>
        <v>1.3411799761620977</v>
      </c>
      <c r="N127" s="274">
        <v>4692</v>
      </c>
      <c r="O127" s="274">
        <v>8.15</v>
      </c>
      <c r="P127" s="200">
        <v>2.4E-2</v>
      </c>
      <c r="Q127" s="274">
        <v>334</v>
      </c>
      <c r="R127" s="274">
        <v>106.3</v>
      </c>
      <c r="S127" s="200">
        <v>0.317</v>
      </c>
      <c r="T127" s="198" t="s">
        <v>272</v>
      </c>
      <c r="U127" s="198" t="s">
        <v>165</v>
      </c>
      <c r="V127" s="198"/>
      <c r="W127" s="205">
        <v>1</v>
      </c>
      <c r="X127" s="198" t="s">
        <v>111</v>
      </c>
      <c r="Y127" s="201" t="s">
        <v>289</v>
      </c>
    </row>
    <row r="128" spans="2:25" ht="16.5">
      <c r="B128" s="474"/>
      <c r="C128" s="474"/>
      <c r="D128" s="209">
        <v>22</v>
      </c>
      <c r="E128" s="198" t="s">
        <v>229</v>
      </c>
      <c r="F128" s="274">
        <v>3056</v>
      </c>
      <c r="G128" s="274">
        <v>155.1</v>
      </c>
      <c r="H128" s="274">
        <v>164.3</v>
      </c>
      <c r="I128" s="210">
        <f t="shared" si="15"/>
        <v>1.0593165699548679</v>
      </c>
      <c r="J128" s="234">
        <v>0</v>
      </c>
      <c r="K128" s="210">
        <f t="shared" si="16"/>
        <v>0</v>
      </c>
      <c r="L128" s="234">
        <v>335.3</v>
      </c>
      <c r="M128" s="211">
        <f t="shared" si="17"/>
        <v>1.0593165699548679</v>
      </c>
      <c r="N128" s="274">
        <v>3083</v>
      </c>
      <c r="O128" s="274">
        <v>0.08</v>
      </c>
      <c r="P128" s="200">
        <v>1E-3</v>
      </c>
      <c r="Q128" s="274">
        <v>27</v>
      </c>
      <c r="R128" s="274">
        <v>9.1</v>
      </c>
      <c r="S128" s="200">
        <v>5.8999999999999997E-2</v>
      </c>
      <c r="T128" s="229" t="s">
        <v>230</v>
      </c>
      <c r="U128" s="198" t="s">
        <v>181</v>
      </c>
      <c r="V128" s="198" t="s">
        <v>276</v>
      </c>
      <c r="W128" s="205">
        <v>1</v>
      </c>
      <c r="X128" s="198" t="s">
        <v>232</v>
      </c>
      <c r="Y128" s="203" t="s">
        <v>290</v>
      </c>
    </row>
    <row r="129" spans="2:24">
      <c r="B129" s="474"/>
      <c r="C129" s="474"/>
      <c r="D129" s="209">
        <v>23</v>
      </c>
      <c r="E129" s="198" t="s">
        <v>329</v>
      </c>
      <c r="F129" s="274">
        <v>1042</v>
      </c>
      <c r="G129" s="274">
        <v>53.3</v>
      </c>
      <c r="H129" s="274">
        <v>66.099999999999994</v>
      </c>
      <c r="I129" s="210">
        <f t="shared" si="15"/>
        <v>1.2401500938086303</v>
      </c>
      <c r="J129" s="234">
        <v>0</v>
      </c>
      <c r="K129" s="210">
        <f t="shared" si="16"/>
        <v>0</v>
      </c>
      <c r="L129" s="234">
        <v>81.2</v>
      </c>
      <c r="M129" s="211">
        <f t="shared" si="17"/>
        <v>1.2401500938086303</v>
      </c>
      <c r="N129" s="274">
        <v>1042</v>
      </c>
      <c r="O129" s="274">
        <v>0</v>
      </c>
      <c r="P129" s="200">
        <v>0</v>
      </c>
      <c r="Q129" s="274">
        <v>0</v>
      </c>
      <c r="R129" s="274">
        <v>12.8</v>
      </c>
      <c r="S129" s="200">
        <v>0.24099999999999999</v>
      </c>
      <c r="T129" s="198" t="s">
        <v>274</v>
      </c>
      <c r="U129" s="198" t="s">
        <v>172</v>
      </c>
      <c r="V129" s="198" t="s">
        <v>334</v>
      </c>
      <c r="W129" s="205">
        <v>1</v>
      </c>
      <c r="X129" s="198" t="s">
        <v>124</v>
      </c>
    </row>
    <row r="130" spans="2:24">
      <c r="B130" s="474"/>
      <c r="C130" s="474"/>
      <c r="D130" s="209">
        <v>24</v>
      </c>
      <c r="E130" s="198" t="s">
        <v>271</v>
      </c>
      <c r="F130" s="274">
        <v>614</v>
      </c>
      <c r="G130" s="274">
        <v>194.7</v>
      </c>
      <c r="H130" s="274">
        <v>199</v>
      </c>
      <c r="I130" s="210">
        <f t="shared" si="15"/>
        <v>1.0220852593733951</v>
      </c>
      <c r="J130" s="234">
        <v>0</v>
      </c>
      <c r="K130" s="210">
        <f t="shared" si="16"/>
        <v>0</v>
      </c>
      <c r="L130" s="234">
        <v>141.9</v>
      </c>
      <c r="M130" s="211">
        <f t="shared" si="17"/>
        <v>1.0220852593733951</v>
      </c>
      <c r="N130" s="274">
        <v>614</v>
      </c>
      <c r="O130" s="274">
        <v>0</v>
      </c>
      <c r="P130" s="200">
        <v>0</v>
      </c>
      <c r="Q130" s="274">
        <v>0</v>
      </c>
      <c r="R130" s="274">
        <v>4.3</v>
      </c>
      <c r="S130" s="200">
        <v>2.1999999999999999E-2</v>
      </c>
      <c r="T130" s="198" t="s">
        <v>272</v>
      </c>
      <c r="U130" s="198" t="s">
        <v>165</v>
      </c>
      <c r="V130" s="198"/>
      <c r="W130" s="205">
        <v>1</v>
      </c>
      <c r="X130" s="198" t="s">
        <v>109</v>
      </c>
    </row>
    <row r="131" spans="2:24" ht="16.5">
      <c r="B131" s="474"/>
      <c r="C131" s="474"/>
      <c r="D131" s="209">
        <v>25</v>
      </c>
      <c r="E131" s="198" t="s">
        <v>323</v>
      </c>
      <c r="F131" s="274">
        <v>561</v>
      </c>
      <c r="G131" s="274">
        <v>165</v>
      </c>
      <c r="H131" s="274">
        <v>167.9</v>
      </c>
      <c r="I131" s="210">
        <f t="shared" si="15"/>
        <v>1.0175757575757576</v>
      </c>
      <c r="J131" s="234">
        <v>0</v>
      </c>
      <c r="K131" s="210">
        <f t="shared" si="16"/>
        <v>0</v>
      </c>
      <c r="L131" s="234">
        <v>193.2</v>
      </c>
      <c r="M131" s="211">
        <f t="shared" si="17"/>
        <v>1.0175757575757576</v>
      </c>
      <c r="N131" s="274">
        <v>561</v>
      </c>
      <c r="O131" s="274">
        <v>0</v>
      </c>
      <c r="P131" s="200">
        <v>0</v>
      </c>
      <c r="Q131" s="274">
        <v>0</v>
      </c>
      <c r="R131" s="274">
        <v>2.9</v>
      </c>
      <c r="S131" s="200">
        <v>1.7999999999999999E-2</v>
      </c>
      <c r="T131" s="198" t="s">
        <v>272</v>
      </c>
      <c r="U131" s="198" t="s">
        <v>165</v>
      </c>
      <c r="V131" s="231"/>
      <c r="W131" s="205">
        <v>1</v>
      </c>
      <c r="X131" s="198" t="s">
        <v>114</v>
      </c>
    </row>
    <row r="132" spans="2:24">
      <c r="B132" s="474"/>
      <c r="C132" s="474"/>
      <c r="D132" s="209">
        <v>26</v>
      </c>
      <c r="E132" s="198" t="s">
        <v>263</v>
      </c>
      <c r="F132" s="274">
        <v>493</v>
      </c>
      <c r="G132" s="274">
        <v>334</v>
      </c>
      <c r="H132" s="274">
        <v>341.6</v>
      </c>
      <c r="I132" s="210">
        <f t="shared" si="15"/>
        <v>1.0227544910179642</v>
      </c>
      <c r="J132" s="234">
        <v>0</v>
      </c>
      <c r="K132" s="210">
        <f t="shared" si="16"/>
        <v>0</v>
      </c>
      <c r="L132" s="234">
        <v>85</v>
      </c>
      <c r="M132" s="211">
        <f t="shared" si="17"/>
        <v>1.0227544910179642</v>
      </c>
      <c r="N132" s="274">
        <v>647</v>
      </c>
      <c r="O132" s="274">
        <v>1.81</v>
      </c>
      <c r="P132" s="200">
        <v>5.0000000000000001E-3</v>
      </c>
      <c r="Q132" s="274">
        <v>154</v>
      </c>
      <c r="R132" s="274">
        <v>5.8</v>
      </c>
      <c r="S132" s="200">
        <v>1.7000000000000001E-2</v>
      </c>
      <c r="T132" s="198" t="s">
        <v>272</v>
      </c>
      <c r="U132" s="198" t="s">
        <v>165</v>
      </c>
      <c r="V132" s="198"/>
      <c r="W132" s="205">
        <v>1</v>
      </c>
      <c r="X132" s="198" t="s">
        <v>122</v>
      </c>
    </row>
    <row r="133" spans="2:24">
      <c r="B133" s="474"/>
      <c r="C133" s="474"/>
      <c r="D133" s="209">
        <v>27</v>
      </c>
      <c r="E133" s="198" t="s">
        <v>248</v>
      </c>
      <c r="F133" s="274">
        <v>353</v>
      </c>
      <c r="G133" s="274">
        <v>914.1</v>
      </c>
      <c r="H133" s="274">
        <v>929.2</v>
      </c>
      <c r="I133" s="210">
        <f t="shared" si="15"/>
        <v>1.0165189804178973</v>
      </c>
      <c r="J133" s="234">
        <v>0</v>
      </c>
      <c r="K133" s="210">
        <f t="shared" si="16"/>
        <v>0</v>
      </c>
      <c r="L133" s="234">
        <v>34.6</v>
      </c>
      <c r="M133" s="211">
        <f t="shared" si="17"/>
        <v>1.0165189804178973</v>
      </c>
      <c r="N133" s="274">
        <v>521</v>
      </c>
      <c r="O133" s="274">
        <v>4.8499999999999996</v>
      </c>
      <c r="P133" s="200">
        <v>5.0000000000000001E-3</v>
      </c>
      <c r="Q133" s="274">
        <v>168</v>
      </c>
      <c r="R133" s="274">
        <v>10.199999999999999</v>
      </c>
      <c r="S133" s="200">
        <v>1.0999999999999999E-2</v>
      </c>
      <c r="T133" s="198" t="s">
        <v>272</v>
      </c>
      <c r="U133" s="198" t="s">
        <v>165</v>
      </c>
      <c r="V133" s="198"/>
      <c r="W133" s="205">
        <v>1</v>
      </c>
      <c r="X133" s="198" t="s">
        <v>103</v>
      </c>
    </row>
    <row r="134" spans="2:24">
      <c r="B134" s="474"/>
      <c r="C134" s="474"/>
      <c r="D134" s="209">
        <v>28</v>
      </c>
      <c r="E134" s="198" t="s">
        <v>335</v>
      </c>
      <c r="F134" s="274">
        <v>337</v>
      </c>
      <c r="G134" s="274">
        <v>8.1</v>
      </c>
      <c r="H134" s="274">
        <v>12.8</v>
      </c>
      <c r="I134" s="210">
        <f t="shared" si="15"/>
        <v>1.580246913580247</v>
      </c>
      <c r="J134" s="234">
        <v>0</v>
      </c>
      <c r="K134" s="210">
        <f t="shared" si="16"/>
        <v>0</v>
      </c>
      <c r="L134" s="234">
        <v>72</v>
      </c>
      <c r="M134" s="211">
        <f t="shared" si="17"/>
        <v>1.580246913580247</v>
      </c>
      <c r="N134" s="274">
        <v>337</v>
      </c>
      <c r="O134" s="274">
        <v>0</v>
      </c>
      <c r="P134" s="200">
        <v>0</v>
      </c>
      <c r="Q134" s="274">
        <v>0</v>
      </c>
      <c r="R134" s="274">
        <v>4.7</v>
      </c>
      <c r="S134" s="200">
        <v>0.57899999999999996</v>
      </c>
      <c r="T134" s="198" t="s">
        <v>272</v>
      </c>
      <c r="U134" s="198" t="s">
        <v>165</v>
      </c>
      <c r="V134" s="198"/>
      <c r="W134" s="205">
        <v>1</v>
      </c>
      <c r="X134" s="198" t="s">
        <v>287</v>
      </c>
    </row>
    <row r="135" spans="2:24">
      <c r="B135" s="474"/>
      <c r="C135" s="474"/>
      <c r="D135" s="209">
        <v>29</v>
      </c>
      <c r="E135" s="198" t="s">
        <v>324</v>
      </c>
      <c r="F135" s="274">
        <v>278</v>
      </c>
      <c r="G135" s="274">
        <v>828</v>
      </c>
      <c r="H135" s="274">
        <v>838.1</v>
      </c>
      <c r="I135" s="210">
        <f t="shared" si="15"/>
        <v>1.0121980676328504</v>
      </c>
      <c r="J135" s="234">
        <v>0</v>
      </c>
      <c r="K135" s="210">
        <f t="shared" si="16"/>
        <v>0</v>
      </c>
      <c r="L135" s="234">
        <v>31.1</v>
      </c>
      <c r="M135" s="211">
        <f t="shared" si="17"/>
        <v>1.0121980676328504</v>
      </c>
      <c r="N135" s="274">
        <v>315</v>
      </c>
      <c r="O135" s="274">
        <v>1.17</v>
      </c>
      <c r="P135" s="200">
        <v>1E-3</v>
      </c>
      <c r="Q135" s="274">
        <v>36</v>
      </c>
      <c r="R135" s="274">
        <v>8.9</v>
      </c>
      <c r="S135" s="200">
        <v>1.0999999999999999E-2</v>
      </c>
      <c r="T135" s="198" t="s">
        <v>272</v>
      </c>
      <c r="U135" s="198" t="s">
        <v>165</v>
      </c>
      <c r="V135" s="198"/>
      <c r="W135" s="205">
        <v>1</v>
      </c>
      <c r="X135" s="198" t="s">
        <v>105</v>
      </c>
    </row>
    <row r="136" spans="2:24">
      <c r="B136" s="474"/>
      <c r="C136" s="474"/>
      <c r="D136" s="209">
        <v>30</v>
      </c>
      <c r="E136" s="198" t="s">
        <v>268</v>
      </c>
      <c r="F136" s="274">
        <v>266</v>
      </c>
      <c r="G136" s="274">
        <v>530.70000000000005</v>
      </c>
      <c r="H136" s="274">
        <v>532.4</v>
      </c>
      <c r="I136" s="210">
        <f t="shared" ref="I136:I199" si="18">H136/G136</f>
        <v>1.0032033163745995</v>
      </c>
      <c r="J136" s="234">
        <v>0</v>
      </c>
      <c r="K136" s="210">
        <f t="shared" ref="K136:K199" si="19">J136/G136</f>
        <v>0</v>
      </c>
      <c r="L136" s="234">
        <v>156.69999999999999</v>
      </c>
      <c r="M136" s="211">
        <f t="shared" ref="M136:M199" si="20">(H136+J136)/G136</f>
        <v>1.0032033163745995</v>
      </c>
      <c r="N136" s="274">
        <v>266</v>
      </c>
      <c r="O136" s="274">
        <v>0</v>
      </c>
      <c r="P136" s="200">
        <v>0</v>
      </c>
      <c r="Q136" s="274">
        <v>0</v>
      </c>
      <c r="R136" s="274">
        <v>1.7</v>
      </c>
      <c r="S136" s="200">
        <v>3.0000000000000001E-3</v>
      </c>
      <c r="T136" s="198" t="s">
        <v>272</v>
      </c>
      <c r="U136" s="198" t="s">
        <v>165</v>
      </c>
      <c r="V136" s="198"/>
      <c r="W136" s="205">
        <v>1</v>
      </c>
      <c r="X136" s="198" t="s">
        <v>244</v>
      </c>
    </row>
    <row r="137" spans="2:24" ht="16.5">
      <c r="B137" s="473">
        <v>45914</v>
      </c>
      <c r="C137" s="475" t="s">
        <v>52</v>
      </c>
      <c r="D137" s="209">
        <v>31</v>
      </c>
      <c r="E137" s="198" t="s">
        <v>336</v>
      </c>
      <c r="F137" s="274">
        <v>10092</v>
      </c>
      <c r="G137" s="274">
        <v>54.2</v>
      </c>
      <c r="H137" s="274">
        <v>70.599999999999994</v>
      </c>
      <c r="I137" s="210">
        <f t="shared" si="18"/>
        <v>1.3025830258302582</v>
      </c>
      <c r="J137" s="234">
        <v>0</v>
      </c>
      <c r="K137" s="210">
        <f t="shared" si="19"/>
        <v>0</v>
      </c>
      <c r="L137" s="234">
        <v>617</v>
      </c>
      <c r="M137" s="211">
        <f t="shared" si="20"/>
        <v>1.3025830258302582</v>
      </c>
      <c r="N137" s="274">
        <v>10092</v>
      </c>
      <c r="O137" s="274">
        <v>0</v>
      </c>
      <c r="P137" s="200">
        <v>0</v>
      </c>
      <c r="Q137" s="274">
        <v>0</v>
      </c>
      <c r="R137" s="274">
        <v>16.399999999999999</v>
      </c>
      <c r="S137" s="200">
        <v>0.30199999999999999</v>
      </c>
      <c r="T137" s="198" t="s">
        <v>272</v>
      </c>
      <c r="U137" s="198" t="s">
        <v>165</v>
      </c>
      <c r="V137" s="231" t="s">
        <v>337</v>
      </c>
      <c r="W137" s="205">
        <v>1</v>
      </c>
      <c r="X137" s="198" t="s">
        <v>111</v>
      </c>
    </row>
    <row r="138" spans="2:24" ht="16.5">
      <c r="B138" s="474"/>
      <c r="C138" s="474"/>
      <c r="D138" s="209">
        <v>32</v>
      </c>
      <c r="E138" s="198" t="s">
        <v>229</v>
      </c>
      <c r="F138" s="274">
        <v>2466</v>
      </c>
      <c r="G138" s="274">
        <v>196.8</v>
      </c>
      <c r="H138" s="274">
        <v>205.8</v>
      </c>
      <c r="I138" s="210">
        <f t="shared" si="18"/>
        <v>1.0457317073170731</v>
      </c>
      <c r="J138" s="234">
        <v>0</v>
      </c>
      <c r="K138" s="210">
        <f t="shared" si="19"/>
        <v>0</v>
      </c>
      <c r="L138" s="234">
        <v>335.3</v>
      </c>
      <c r="M138" s="211">
        <f t="shared" si="20"/>
        <v>1.0457317073170731</v>
      </c>
      <c r="N138" s="274">
        <v>3007</v>
      </c>
      <c r="O138" s="274">
        <v>1.61</v>
      </c>
      <c r="P138" s="200">
        <v>8.0000000000000002E-3</v>
      </c>
      <c r="Q138" s="274">
        <v>541</v>
      </c>
      <c r="R138" s="274">
        <v>7.4</v>
      </c>
      <c r="S138" s="200">
        <v>3.6999999999999998E-2</v>
      </c>
      <c r="T138" s="229" t="s">
        <v>230</v>
      </c>
      <c r="U138" s="198" t="s">
        <v>181</v>
      </c>
      <c r="V138" s="198" t="s">
        <v>276</v>
      </c>
      <c r="W138" s="205">
        <v>1</v>
      </c>
      <c r="X138" s="198" t="s">
        <v>232</v>
      </c>
    </row>
    <row r="139" spans="2:24" ht="16.5">
      <c r="B139" s="474"/>
      <c r="C139" s="474"/>
      <c r="D139" s="209">
        <v>33</v>
      </c>
      <c r="E139" s="198" t="s">
        <v>318</v>
      </c>
      <c r="F139" s="274">
        <v>1166</v>
      </c>
      <c r="G139" s="274">
        <v>14.3</v>
      </c>
      <c r="H139" s="274">
        <v>20</v>
      </c>
      <c r="I139" s="210">
        <f t="shared" si="18"/>
        <v>1.3986013986013985</v>
      </c>
      <c r="J139" s="234">
        <v>0</v>
      </c>
      <c r="K139" s="210">
        <f t="shared" si="19"/>
        <v>0</v>
      </c>
      <c r="L139" s="234">
        <v>206</v>
      </c>
      <c r="M139" s="211">
        <f t="shared" si="20"/>
        <v>1.3986013986013985</v>
      </c>
      <c r="N139" s="274">
        <v>1166</v>
      </c>
      <c r="O139" s="274">
        <v>0</v>
      </c>
      <c r="P139" s="200">
        <v>0</v>
      </c>
      <c r="Q139" s="274">
        <v>0</v>
      </c>
      <c r="R139" s="274">
        <v>5.7</v>
      </c>
      <c r="S139" s="200">
        <v>0.39500000000000002</v>
      </c>
      <c r="T139" s="198" t="s">
        <v>272</v>
      </c>
      <c r="U139" s="198" t="s">
        <v>165</v>
      </c>
      <c r="V139" s="231"/>
      <c r="W139" s="205">
        <v>1</v>
      </c>
      <c r="X139" s="198" t="s">
        <v>287</v>
      </c>
    </row>
    <row r="140" spans="2:24">
      <c r="B140" s="474"/>
      <c r="C140" s="474"/>
      <c r="D140" s="209">
        <v>34</v>
      </c>
      <c r="E140" s="198" t="s">
        <v>329</v>
      </c>
      <c r="F140" s="274">
        <v>951</v>
      </c>
      <c r="G140" s="274">
        <v>60.2</v>
      </c>
      <c r="H140" s="274">
        <v>71.900000000000006</v>
      </c>
      <c r="I140" s="210">
        <f t="shared" si="18"/>
        <v>1.1943521594684385</v>
      </c>
      <c r="J140" s="234">
        <v>0</v>
      </c>
      <c r="K140" s="210">
        <f t="shared" si="19"/>
        <v>0</v>
      </c>
      <c r="L140" s="234">
        <v>81.2</v>
      </c>
      <c r="M140" s="211">
        <f t="shared" si="20"/>
        <v>1.1943521594684385</v>
      </c>
      <c r="N140" s="274">
        <v>951</v>
      </c>
      <c r="O140" s="274">
        <v>0</v>
      </c>
      <c r="P140" s="200">
        <v>0</v>
      </c>
      <c r="Q140" s="274">
        <v>0</v>
      </c>
      <c r="R140" s="274">
        <v>11.7</v>
      </c>
      <c r="S140" s="200">
        <v>0.19500000000000001</v>
      </c>
      <c r="T140" s="198" t="s">
        <v>274</v>
      </c>
      <c r="U140" s="198" t="s">
        <v>172</v>
      </c>
      <c r="V140" s="198" t="s">
        <v>334</v>
      </c>
      <c r="W140" s="205">
        <v>1</v>
      </c>
      <c r="X140" s="198" t="s">
        <v>124</v>
      </c>
    </row>
    <row r="141" spans="2:24">
      <c r="B141" s="474"/>
      <c r="C141" s="474"/>
      <c r="D141" s="209">
        <v>35</v>
      </c>
      <c r="E141" s="198" t="s">
        <v>325</v>
      </c>
      <c r="F141" s="274">
        <v>817</v>
      </c>
      <c r="G141" s="274">
        <v>17</v>
      </c>
      <c r="H141" s="274">
        <v>20.5</v>
      </c>
      <c r="I141" s="210">
        <f t="shared" si="18"/>
        <v>1.2058823529411764</v>
      </c>
      <c r="J141" s="234">
        <v>0</v>
      </c>
      <c r="K141" s="210">
        <f t="shared" si="19"/>
        <v>0</v>
      </c>
      <c r="L141" s="234">
        <v>235</v>
      </c>
      <c r="M141" s="211">
        <f t="shared" si="20"/>
        <v>1.2058823529411764</v>
      </c>
      <c r="N141" s="274">
        <v>817</v>
      </c>
      <c r="O141" s="274">
        <v>0</v>
      </c>
      <c r="P141" s="200">
        <v>0</v>
      </c>
      <c r="Q141" s="274">
        <v>0</v>
      </c>
      <c r="R141" s="274">
        <v>3.5</v>
      </c>
      <c r="S141" s="200">
        <v>0.20499999999999999</v>
      </c>
      <c r="T141" s="198" t="s">
        <v>272</v>
      </c>
      <c r="U141" s="198" t="s">
        <v>165</v>
      </c>
      <c r="V141" s="198"/>
      <c r="W141" s="205">
        <v>1</v>
      </c>
      <c r="X141" s="198" t="s">
        <v>103</v>
      </c>
    </row>
    <row r="142" spans="2:24">
      <c r="B142" s="474"/>
      <c r="C142" s="474"/>
      <c r="D142" s="209">
        <v>36</v>
      </c>
      <c r="E142" s="198" t="s">
        <v>268</v>
      </c>
      <c r="F142" s="274">
        <v>793</v>
      </c>
      <c r="G142" s="274">
        <v>728.7</v>
      </c>
      <c r="H142" s="274">
        <v>733.8</v>
      </c>
      <c r="I142" s="210">
        <f t="shared" si="18"/>
        <v>1.0069987649238368</v>
      </c>
      <c r="J142" s="234">
        <v>0</v>
      </c>
      <c r="K142" s="210">
        <f t="shared" si="19"/>
        <v>0</v>
      </c>
      <c r="L142" s="234">
        <v>156.69999999999999</v>
      </c>
      <c r="M142" s="211">
        <f t="shared" si="20"/>
        <v>1.0069987649238368</v>
      </c>
      <c r="N142" s="274">
        <v>793</v>
      </c>
      <c r="O142" s="274">
        <v>0</v>
      </c>
      <c r="P142" s="200">
        <v>0</v>
      </c>
      <c r="Q142" s="274">
        <v>0</v>
      </c>
      <c r="R142" s="274">
        <v>5.0999999999999996</v>
      </c>
      <c r="S142" s="200">
        <v>7.0000000000000001E-3</v>
      </c>
      <c r="T142" s="198" t="s">
        <v>272</v>
      </c>
      <c r="U142" s="198" t="s">
        <v>165</v>
      </c>
      <c r="V142" s="198"/>
      <c r="W142" s="205">
        <v>1</v>
      </c>
      <c r="X142" s="198" t="s">
        <v>244</v>
      </c>
    </row>
    <row r="143" spans="2:24">
      <c r="B143" s="474"/>
      <c r="C143" s="474"/>
      <c r="D143" s="209">
        <v>37</v>
      </c>
      <c r="E143" s="198" t="s">
        <v>323</v>
      </c>
      <c r="F143" s="274">
        <v>550</v>
      </c>
      <c r="G143" s="274">
        <v>221</v>
      </c>
      <c r="H143" s="274">
        <v>223.9</v>
      </c>
      <c r="I143" s="210">
        <f t="shared" si="18"/>
        <v>1.0131221719457013</v>
      </c>
      <c r="J143" s="234">
        <v>0</v>
      </c>
      <c r="K143" s="210">
        <f t="shared" si="19"/>
        <v>0</v>
      </c>
      <c r="L143" s="234">
        <v>193.2</v>
      </c>
      <c r="M143" s="211">
        <f t="shared" si="20"/>
        <v>1.0131221719457013</v>
      </c>
      <c r="N143" s="274">
        <v>550</v>
      </c>
      <c r="O143" s="274">
        <v>0</v>
      </c>
      <c r="P143" s="200">
        <v>0</v>
      </c>
      <c r="Q143" s="274">
        <v>0</v>
      </c>
      <c r="R143" s="274">
        <v>2.8</v>
      </c>
      <c r="S143" s="200">
        <v>1.2999999999999999E-2</v>
      </c>
      <c r="T143" s="198" t="s">
        <v>272</v>
      </c>
      <c r="U143" s="198" t="s">
        <v>165</v>
      </c>
      <c r="V143" s="198"/>
      <c r="W143" s="205">
        <v>1</v>
      </c>
      <c r="X143" s="198" t="s">
        <v>114</v>
      </c>
    </row>
    <row r="144" spans="2:24">
      <c r="B144" s="474"/>
      <c r="C144" s="474"/>
      <c r="D144" s="209">
        <v>38</v>
      </c>
      <c r="E144" s="198" t="s">
        <v>254</v>
      </c>
      <c r="F144" s="274">
        <v>480</v>
      </c>
      <c r="G144" s="274">
        <v>565</v>
      </c>
      <c r="H144" s="274">
        <v>573.20000000000005</v>
      </c>
      <c r="I144" s="210">
        <f t="shared" si="18"/>
        <v>1.0145132743362832</v>
      </c>
      <c r="J144" s="234">
        <v>0</v>
      </c>
      <c r="K144" s="210">
        <f t="shared" si="19"/>
        <v>0</v>
      </c>
      <c r="L144" s="234">
        <v>58.2</v>
      </c>
      <c r="M144" s="211">
        <f t="shared" si="20"/>
        <v>1.0145132743362832</v>
      </c>
      <c r="N144" s="274">
        <v>480</v>
      </c>
      <c r="O144" s="274">
        <v>0</v>
      </c>
      <c r="P144" s="200">
        <v>0</v>
      </c>
      <c r="Q144" s="274">
        <v>0</v>
      </c>
      <c r="R144" s="274">
        <v>8.3000000000000007</v>
      </c>
      <c r="S144" s="200">
        <v>1.4999999999999999E-2</v>
      </c>
      <c r="T144" s="198" t="s">
        <v>272</v>
      </c>
      <c r="U144" s="198" t="s">
        <v>165</v>
      </c>
      <c r="V144" s="198"/>
      <c r="W144" s="205">
        <v>1</v>
      </c>
      <c r="X144" s="198" t="s">
        <v>110</v>
      </c>
    </row>
    <row r="145" spans="2:24">
      <c r="B145" s="474"/>
      <c r="C145" s="474"/>
      <c r="D145" s="209">
        <v>39</v>
      </c>
      <c r="E145" s="198" t="s">
        <v>248</v>
      </c>
      <c r="F145" s="274">
        <v>468</v>
      </c>
      <c r="G145" s="274">
        <v>1187.5999999999999</v>
      </c>
      <c r="H145" s="274">
        <v>1212.0999999999999</v>
      </c>
      <c r="I145" s="210">
        <f t="shared" si="18"/>
        <v>1.0206298416975412</v>
      </c>
      <c r="J145" s="234">
        <v>0</v>
      </c>
      <c r="K145" s="210">
        <f t="shared" si="19"/>
        <v>0</v>
      </c>
      <c r="L145" s="234">
        <v>34.6</v>
      </c>
      <c r="M145" s="211">
        <f t="shared" si="20"/>
        <v>1.0206298416975412</v>
      </c>
      <c r="N145" s="274">
        <v>847</v>
      </c>
      <c r="O145" s="274">
        <v>10.98</v>
      </c>
      <c r="P145" s="200">
        <v>8.9999999999999993E-3</v>
      </c>
      <c r="Q145" s="274">
        <v>380</v>
      </c>
      <c r="R145" s="274">
        <v>13.5</v>
      </c>
      <c r="S145" s="200">
        <v>1.0999999999999999E-2</v>
      </c>
      <c r="T145" s="198" t="s">
        <v>272</v>
      </c>
      <c r="U145" s="198" t="s">
        <v>165</v>
      </c>
      <c r="V145" s="198"/>
      <c r="W145" s="205">
        <v>1</v>
      </c>
      <c r="X145" s="198" t="s">
        <v>244</v>
      </c>
    </row>
    <row r="146" spans="2:24">
      <c r="B146" s="474"/>
      <c r="C146" s="474"/>
      <c r="D146" s="209">
        <v>40</v>
      </c>
      <c r="E146" s="198" t="s">
        <v>283</v>
      </c>
      <c r="F146" s="274">
        <v>347</v>
      </c>
      <c r="G146" s="274">
        <v>107</v>
      </c>
      <c r="H146" s="274">
        <v>109.4</v>
      </c>
      <c r="I146" s="210">
        <f t="shared" si="18"/>
        <v>1.0224299065420561</v>
      </c>
      <c r="J146" s="234">
        <v>0.4</v>
      </c>
      <c r="K146" s="210">
        <f t="shared" si="19"/>
        <v>3.7383177570093459E-3</v>
      </c>
      <c r="L146" s="234">
        <v>146.19999999999999</v>
      </c>
      <c r="M146" s="211">
        <f t="shared" si="20"/>
        <v>1.0261682242990655</v>
      </c>
      <c r="N146" s="274">
        <v>403</v>
      </c>
      <c r="O146" s="274">
        <v>0.39</v>
      </c>
      <c r="P146" s="200">
        <v>4.0000000000000001E-3</v>
      </c>
      <c r="Q146" s="274">
        <v>56</v>
      </c>
      <c r="R146" s="274">
        <v>2.4</v>
      </c>
      <c r="S146" s="200">
        <v>2.1999999999999999E-2</v>
      </c>
      <c r="T146" s="198" t="s">
        <v>272</v>
      </c>
      <c r="U146" s="198" t="s">
        <v>165</v>
      </c>
      <c r="V146" s="198"/>
      <c r="W146" s="205">
        <v>1</v>
      </c>
      <c r="X146" s="198" t="s">
        <v>124</v>
      </c>
    </row>
    <row r="147" spans="2:24" ht="16.5">
      <c r="B147" s="473">
        <v>45915</v>
      </c>
      <c r="C147" s="475" t="s">
        <v>56</v>
      </c>
      <c r="D147" s="209">
        <v>41</v>
      </c>
      <c r="E147" s="198" t="s">
        <v>336</v>
      </c>
      <c r="F147" s="274">
        <v>8836.6740000000009</v>
      </c>
      <c r="G147" s="274">
        <v>51.677999999999997</v>
      </c>
      <c r="H147" s="274">
        <v>66</v>
      </c>
      <c r="I147" s="210">
        <f t="shared" si="18"/>
        <v>1.277139208173691</v>
      </c>
      <c r="J147" s="234">
        <v>0</v>
      </c>
      <c r="K147" s="210">
        <f t="shared" si="19"/>
        <v>0</v>
      </c>
      <c r="L147" s="234">
        <v>617</v>
      </c>
      <c r="M147" s="211">
        <f t="shared" si="20"/>
        <v>1.277139208173691</v>
      </c>
      <c r="N147" s="274">
        <v>8836.6740000000009</v>
      </c>
      <c r="O147" s="274">
        <v>0</v>
      </c>
      <c r="P147" s="200">
        <v>0</v>
      </c>
      <c r="Q147" s="274">
        <v>0</v>
      </c>
      <c r="R147" s="274">
        <v>14.322000000000003</v>
      </c>
      <c r="S147" s="200">
        <v>0.27713920817369098</v>
      </c>
      <c r="T147" s="198" t="s">
        <v>272</v>
      </c>
      <c r="U147" s="198" t="s">
        <v>165</v>
      </c>
      <c r="V147" s="231" t="s">
        <v>337</v>
      </c>
      <c r="W147" s="205">
        <v>1</v>
      </c>
      <c r="X147" s="198" t="s">
        <v>111</v>
      </c>
    </row>
    <row r="148" spans="2:24">
      <c r="B148" s="474"/>
      <c r="C148" s="474"/>
      <c r="D148" s="209">
        <v>42</v>
      </c>
      <c r="E148" s="198" t="s">
        <v>321</v>
      </c>
      <c r="F148" s="274">
        <v>6126.4000000000015</v>
      </c>
      <c r="G148" s="274">
        <v>92.367999999999995</v>
      </c>
      <c r="H148" s="274">
        <v>123</v>
      </c>
      <c r="I148" s="210">
        <f t="shared" si="18"/>
        <v>1.3316300017322018</v>
      </c>
      <c r="J148" s="234">
        <v>0</v>
      </c>
      <c r="K148" s="210">
        <f t="shared" si="19"/>
        <v>0</v>
      </c>
      <c r="L148" s="234">
        <v>200</v>
      </c>
      <c r="M148" s="211">
        <f t="shared" si="20"/>
        <v>1.3316300017322018</v>
      </c>
      <c r="N148" s="274">
        <v>6126.4000000000015</v>
      </c>
      <c r="O148" s="274">
        <v>0</v>
      </c>
      <c r="P148" s="200">
        <v>0</v>
      </c>
      <c r="Q148" s="274">
        <v>0</v>
      </c>
      <c r="R148" s="274">
        <v>30.632000000000005</v>
      </c>
      <c r="S148" s="200">
        <v>0.3316300017322017</v>
      </c>
      <c r="T148" s="198" t="s">
        <v>272</v>
      </c>
      <c r="U148" s="198" t="s">
        <v>165</v>
      </c>
      <c r="V148" s="198"/>
      <c r="W148" s="205">
        <v>1</v>
      </c>
      <c r="X148" s="198" t="s">
        <v>244</v>
      </c>
    </row>
    <row r="149" spans="2:24">
      <c r="B149" s="474"/>
      <c r="C149" s="474"/>
      <c r="D149" s="209">
        <v>43</v>
      </c>
      <c r="E149" s="198" t="s">
        <v>329</v>
      </c>
      <c r="F149" s="274">
        <v>1399.1472699999997</v>
      </c>
      <c r="G149" s="274">
        <v>54.567</v>
      </c>
      <c r="H149" s="274">
        <v>71.8</v>
      </c>
      <c r="I149" s="210">
        <f t="shared" si="18"/>
        <v>1.3158135869664815</v>
      </c>
      <c r="J149" s="234">
        <v>0</v>
      </c>
      <c r="K149" s="210">
        <f t="shared" si="19"/>
        <v>0</v>
      </c>
      <c r="L149" s="234">
        <v>81.19</v>
      </c>
      <c r="M149" s="211">
        <f t="shared" si="20"/>
        <v>1.3158135869664815</v>
      </c>
      <c r="N149" s="274">
        <v>1399.1472699999997</v>
      </c>
      <c r="O149" s="274">
        <v>0</v>
      </c>
      <c r="P149" s="200">
        <v>0</v>
      </c>
      <c r="Q149" s="274">
        <v>0</v>
      </c>
      <c r="R149" s="274">
        <v>17.232999999999997</v>
      </c>
      <c r="S149" s="200">
        <v>0.31581358696648154</v>
      </c>
      <c r="T149" s="198" t="s">
        <v>274</v>
      </c>
      <c r="U149" s="198" t="s">
        <v>172</v>
      </c>
      <c r="V149" s="198" t="s">
        <v>334</v>
      </c>
      <c r="W149" s="205">
        <v>1</v>
      </c>
      <c r="X149" s="198" t="s">
        <v>124</v>
      </c>
    </row>
    <row r="150" spans="2:24">
      <c r="B150" s="474"/>
      <c r="C150" s="474"/>
      <c r="D150" s="209">
        <v>44</v>
      </c>
      <c r="E150" s="198" t="s">
        <v>268</v>
      </c>
      <c r="F150" s="274">
        <v>882.83544999999856</v>
      </c>
      <c r="G150" s="274">
        <v>779.35500000000002</v>
      </c>
      <c r="H150" s="274">
        <v>784.99</v>
      </c>
      <c r="I150" s="210">
        <f t="shared" si="18"/>
        <v>1.0072303379076288</v>
      </c>
      <c r="J150" s="234">
        <v>0</v>
      </c>
      <c r="K150" s="210">
        <f t="shared" si="19"/>
        <v>0</v>
      </c>
      <c r="L150" s="234">
        <v>156.66999999999999</v>
      </c>
      <c r="M150" s="211">
        <f t="shared" si="20"/>
        <v>1.0072303379076288</v>
      </c>
      <c r="N150" s="274">
        <v>882.83544999999856</v>
      </c>
      <c r="O150" s="274">
        <v>0</v>
      </c>
      <c r="P150" s="200">
        <v>0</v>
      </c>
      <c r="Q150" s="274">
        <v>0</v>
      </c>
      <c r="R150" s="274">
        <v>5.6349999999999909</v>
      </c>
      <c r="S150" s="200">
        <v>7.2303379076287325E-3</v>
      </c>
      <c r="T150" s="198" t="s">
        <v>272</v>
      </c>
      <c r="U150" s="198" t="s">
        <v>165</v>
      </c>
      <c r="V150" s="198"/>
      <c r="W150" s="205">
        <v>1</v>
      </c>
      <c r="X150" s="198" t="s">
        <v>244</v>
      </c>
    </row>
    <row r="151" spans="2:24" ht="16.5">
      <c r="B151" s="474"/>
      <c r="C151" s="474"/>
      <c r="D151" s="209">
        <v>45</v>
      </c>
      <c r="E151" s="198" t="s">
        <v>229</v>
      </c>
      <c r="F151" s="274">
        <v>838.58530000000405</v>
      </c>
      <c r="G151" s="274">
        <v>198.6</v>
      </c>
      <c r="H151" s="274">
        <v>205.41800000000001</v>
      </c>
      <c r="I151" s="210">
        <f t="shared" si="18"/>
        <v>1.0343303121852971</v>
      </c>
      <c r="J151" s="234">
        <v>0</v>
      </c>
      <c r="K151" s="210">
        <f t="shared" si="19"/>
        <v>0</v>
      </c>
      <c r="L151" s="234">
        <v>335.3</v>
      </c>
      <c r="M151" s="211">
        <f t="shared" si="20"/>
        <v>1.0343303121852971</v>
      </c>
      <c r="N151" s="274">
        <v>2286.0754000000043</v>
      </c>
      <c r="O151" s="274">
        <v>4.3170000000000002</v>
      </c>
      <c r="P151" s="200">
        <v>2.1737160120845922E-2</v>
      </c>
      <c r="Q151" s="274">
        <v>1447.4901000000002</v>
      </c>
      <c r="R151" s="274">
        <v>2.5010000000000119</v>
      </c>
      <c r="S151" s="200">
        <v>1.2593152064451218E-2</v>
      </c>
      <c r="T151" s="229" t="s">
        <v>230</v>
      </c>
      <c r="U151" s="198" t="s">
        <v>181</v>
      </c>
      <c r="V151" s="198" t="s">
        <v>276</v>
      </c>
      <c r="W151" s="205">
        <v>1</v>
      </c>
      <c r="X151" s="198" t="s">
        <v>232</v>
      </c>
    </row>
    <row r="152" spans="2:24">
      <c r="B152" s="474"/>
      <c r="C152" s="474"/>
      <c r="D152" s="209">
        <v>46</v>
      </c>
      <c r="E152" s="198" t="s">
        <v>248</v>
      </c>
      <c r="F152" s="274">
        <v>738.94002000000239</v>
      </c>
      <c r="G152" s="274">
        <v>1270.06</v>
      </c>
      <c r="H152" s="274">
        <v>1294.807</v>
      </c>
      <c r="I152" s="210">
        <f t="shared" si="18"/>
        <v>1.0194849062249027</v>
      </c>
      <c r="J152" s="234">
        <v>0</v>
      </c>
      <c r="K152" s="210">
        <f t="shared" si="19"/>
        <v>0</v>
      </c>
      <c r="L152" s="234">
        <v>34.58</v>
      </c>
      <c r="M152" s="211">
        <f t="shared" si="20"/>
        <v>1.0194849062249027</v>
      </c>
      <c r="N152" s="274">
        <v>855.75126000000239</v>
      </c>
      <c r="O152" s="274">
        <v>3.3780000000000001</v>
      </c>
      <c r="P152" s="200">
        <v>2.6597168637702158E-3</v>
      </c>
      <c r="Q152" s="274">
        <v>116.81124</v>
      </c>
      <c r="R152" s="274">
        <v>21.369000000000071</v>
      </c>
      <c r="S152" s="200">
        <v>1.68251893611326E-2</v>
      </c>
      <c r="T152" s="198" t="s">
        <v>272</v>
      </c>
      <c r="U152" s="198" t="s">
        <v>165</v>
      </c>
      <c r="V152" s="198"/>
      <c r="W152" s="205">
        <v>1</v>
      </c>
      <c r="X152" s="198" t="s">
        <v>244</v>
      </c>
    </row>
    <row r="153" spans="2:24">
      <c r="B153" s="474"/>
      <c r="C153" s="474"/>
      <c r="D153" s="209">
        <v>47</v>
      </c>
      <c r="E153" s="198" t="s">
        <v>313</v>
      </c>
      <c r="F153" s="274">
        <v>702.41199999999776</v>
      </c>
      <c r="G153" s="274">
        <v>208.24700000000001</v>
      </c>
      <c r="H153" s="274">
        <v>213</v>
      </c>
      <c r="I153" s="210">
        <f t="shared" si="18"/>
        <v>1.0228238582068407</v>
      </c>
      <c r="J153" s="234">
        <v>0</v>
      </c>
      <c r="K153" s="210">
        <f t="shared" si="19"/>
        <v>0</v>
      </c>
      <c r="L153" s="234">
        <v>164</v>
      </c>
      <c r="M153" s="211">
        <f t="shared" si="20"/>
        <v>1.0228238582068407</v>
      </c>
      <c r="N153" s="274">
        <v>779.49199999999769</v>
      </c>
      <c r="O153" s="274">
        <v>0.47</v>
      </c>
      <c r="P153" s="200">
        <v>2.2569352739775358E-3</v>
      </c>
      <c r="Q153" s="274">
        <v>77.08</v>
      </c>
      <c r="R153" s="274">
        <v>4.2829999999999862</v>
      </c>
      <c r="S153" s="200">
        <v>2.0566922932863312E-2</v>
      </c>
      <c r="T153" s="198" t="s">
        <v>272</v>
      </c>
      <c r="U153" s="198" t="s">
        <v>165</v>
      </c>
      <c r="V153" s="198"/>
      <c r="W153" s="205">
        <v>1</v>
      </c>
      <c r="X153" s="198" t="s">
        <v>287</v>
      </c>
    </row>
    <row r="154" spans="2:24">
      <c r="B154" s="474"/>
      <c r="C154" s="474"/>
      <c r="D154" s="209">
        <v>48</v>
      </c>
      <c r="E154" s="198" t="s">
        <v>291</v>
      </c>
      <c r="F154" s="274">
        <v>686.75000000000045</v>
      </c>
      <c r="G154" s="274">
        <v>382.8</v>
      </c>
      <c r="H154" s="274">
        <v>390.55</v>
      </c>
      <c r="I154" s="210">
        <f t="shared" si="18"/>
        <v>1.0202455590386625</v>
      </c>
      <c r="J154" s="234">
        <v>10.55</v>
      </c>
      <c r="K154" s="210">
        <f t="shared" si="19"/>
        <v>2.7560083594566354E-2</v>
      </c>
      <c r="L154" s="234">
        <v>41</v>
      </c>
      <c r="M154" s="211">
        <f t="shared" si="20"/>
        <v>1.047805642633229</v>
      </c>
      <c r="N154" s="274">
        <v>750.30000000000041</v>
      </c>
      <c r="O154" s="274">
        <v>1.55</v>
      </c>
      <c r="P154" s="200">
        <v>4.0491118077324974E-3</v>
      </c>
      <c r="Q154" s="274">
        <v>63.550000000000004</v>
      </c>
      <c r="R154" s="274">
        <v>16.750000000000011</v>
      </c>
      <c r="S154" s="200">
        <v>4.3756530825496368E-2</v>
      </c>
      <c r="T154" s="198" t="s">
        <v>272</v>
      </c>
      <c r="U154" s="198" t="s">
        <v>165</v>
      </c>
      <c r="V154" s="198"/>
      <c r="W154" s="205">
        <v>1</v>
      </c>
      <c r="X154" s="198" t="s">
        <v>111</v>
      </c>
    </row>
    <row r="155" spans="2:24">
      <c r="B155" s="474"/>
      <c r="C155" s="474"/>
      <c r="D155" s="209">
        <v>49</v>
      </c>
      <c r="E155" s="198" t="s">
        <v>239</v>
      </c>
      <c r="F155" s="274">
        <v>502.32420000000104</v>
      </c>
      <c r="G155" s="274">
        <v>201.41</v>
      </c>
      <c r="H155" s="274">
        <v>205.77500000000001</v>
      </c>
      <c r="I155" s="210">
        <f t="shared" si="18"/>
        <v>1.0216722109130629</v>
      </c>
      <c r="J155" s="234">
        <v>0</v>
      </c>
      <c r="K155" s="210">
        <f t="shared" si="19"/>
        <v>0</v>
      </c>
      <c r="L155" s="234">
        <v>115.08</v>
      </c>
      <c r="M155" s="211">
        <f t="shared" si="20"/>
        <v>1.0216722109130629</v>
      </c>
      <c r="N155" s="274">
        <v>502.32420000000104</v>
      </c>
      <c r="O155" s="274">
        <v>0</v>
      </c>
      <c r="P155" s="200">
        <v>0</v>
      </c>
      <c r="Q155" s="274">
        <v>0</v>
      </c>
      <c r="R155" s="274">
        <v>4.3650000000000091</v>
      </c>
      <c r="S155" s="200">
        <v>2.1672210913062952E-2</v>
      </c>
      <c r="T155" s="198" t="s">
        <v>272</v>
      </c>
      <c r="U155" s="198" t="s">
        <v>165</v>
      </c>
      <c r="V155" s="198"/>
      <c r="W155" s="205">
        <v>1</v>
      </c>
      <c r="X155" s="198" t="s">
        <v>116</v>
      </c>
    </row>
    <row r="156" spans="2:24">
      <c r="B156" s="474"/>
      <c r="C156" s="474"/>
      <c r="D156" s="209">
        <v>50</v>
      </c>
      <c r="E156" s="198" t="s">
        <v>323</v>
      </c>
      <c r="F156" s="274">
        <v>410.89386000000178</v>
      </c>
      <c r="G156" s="274">
        <v>222.48</v>
      </c>
      <c r="H156" s="274">
        <v>224.607</v>
      </c>
      <c r="I156" s="210">
        <f t="shared" si="18"/>
        <v>1.0095604099244877</v>
      </c>
      <c r="J156" s="234">
        <v>0</v>
      </c>
      <c r="K156" s="210">
        <f t="shared" si="19"/>
        <v>0</v>
      </c>
      <c r="L156" s="234">
        <v>193.17999999999998</v>
      </c>
      <c r="M156" s="211">
        <f t="shared" si="20"/>
        <v>1.0095604099244877</v>
      </c>
      <c r="N156" s="274">
        <v>410.89386000000178</v>
      </c>
      <c r="O156" s="274">
        <v>0</v>
      </c>
      <c r="P156" s="200">
        <v>0</v>
      </c>
      <c r="Q156" s="274">
        <v>0</v>
      </c>
      <c r="R156" s="274">
        <v>2.1270000000000095</v>
      </c>
      <c r="S156" s="200">
        <v>9.5604099244876381E-3</v>
      </c>
      <c r="T156" s="198" t="s">
        <v>272</v>
      </c>
      <c r="U156" s="198" t="s">
        <v>165</v>
      </c>
      <c r="V156" s="198"/>
      <c r="W156" s="205">
        <v>1</v>
      </c>
      <c r="X156" s="198" t="s">
        <v>114</v>
      </c>
    </row>
    <row r="157" spans="2:24">
      <c r="B157" s="473">
        <v>45916</v>
      </c>
      <c r="C157" s="475" t="s">
        <v>57</v>
      </c>
      <c r="D157" s="209">
        <v>51</v>
      </c>
      <c r="E157" s="198" t="s">
        <v>321</v>
      </c>
      <c r="F157" s="274">
        <v>4769.5999999999995</v>
      </c>
      <c r="G157" s="274">
        <v>97.152000000000001</v>
      </c>
      <c r="H157" s="274">
        <v>121</v>
      </c>
      <c r="I157" s="210">
        <f t="shared" si="18"/>
        <v>1.2454710144927537</v>
      </c>
      <c r="J157" s="234">
        <v>0</v>
      </c>
      <c r="K157" s="210">
        <f t="shared" si="19"/>
        <v>0</v>
      </c>
      <c r="L157" s="234">
        <v>200</v>
      </c>
      <c r="M157" s="211">
        <f t="shared" si="20"/>
        <v>1.2454710144927537</v>
      </c>
      <c r="N157" s="274">
        <v>4769.5999999999995</v>
      </c>
      <c r="O157" s="274">
        <v>0</v>
      </c>
      <c r="P157" s="200">
        <v>0</v>
      </c>
      <c r="Q157" s="274">
        <v>0</v>
      </c>
      <c r="R157" s="274">
        <v>23.847999999999999</v>
      </c>
      <c r="S157" s="200">
        <v>0.2454710144927536</v>
      </c>
      <c r="T157" s="198" t="s">
        <v>272</v>
      </c>
      <c r="U157" s="198" t="s">
        <v>165</v>
      </c>
      <c r="V157" s="198"/>
      <c r="W157" s="205">
        <v>1</v>
      </c>
      <c r="X157" s="198" t="s">
        <v>244</v>
      </c>
    </row>
    <row r="158" spans="2:24">
      <c r="B158" s="474"/>
      <c r="C158" s="474"/>
      <c r="D158" s="209">
        <v>52</v>
      </c>
      <c r="E158" s="198" t="s">
        <v>338</v>
      </c>
      <c r="F158" s="274">
        <v>3742.9539899999982</v>
      </c>
      <c r="G158" s="274">
        <v>1062.2</v>
      </c>
      <c r="H158" s="274">
        <v>1071.3150000000001</v>
      </c>
      <c r="I158" s="210">
        <f t="shared" si="18"/>
        <v>1.0085812464695914</v>
      </c>
      <c r="J158" s="234">
        <v>76.8</v>
      </c>
      <c r="K158" s="210">
        <f t="shared" si="19"/>
        <v>7.2302767840331378E-2</v>
      </c>
      <c r="L158" s="234">
        <v>45.47</v>
      </c>
      <c r="M158" s="211">
        <f t="shared" si="20"/>
        <v>1.0808840143099228</v>
      </c>
      <c r="N158" s="274">
        <v>3906.5550499999981</v>
      </c>
      <c r="O158" s="274">
        <v>3.5979999999999999</v>
      </c>
      <c r="P158" s="200">
        <v>3.3873093579363583E-3</v>
      </c>
      <c r="Q158" s="274">
        <v>163.60105999999999</v>
      </c>
      <c r="R158" s="274">
        <v>82.316999999999965</v>
      </c>
      <c r="S158" s="200">
        <v>7.7496704951986406E-2</v>
      </c>
      <c r="T158" s="198" t="s">
        <v>272</v>
      </c>
      <c r="U158" s="198" t="s">
        <v>165</v>
      </c>
      <c r="V158" s="198"/>
      <c r="W158" s="205">
        <v>1</v>
      </c>
      <c r="X158" s="198" t="s">
        <v>118</v>
      </c>
    </row>
    <row r="159" spans="2:24" ht="16.5">
      <c r="B159" s="474"/>
      <c r="C159" s="474"/>
      <c r="D159" s="209">
        <v>53</v>
      </c>
      <c r="E159" s="198" t="s">
        <v>318</v>
      </c>
      <c r="F159" s="274">
        <v>2477.3559999999998</v>
      </c>
      <c r="G159" s="274">
        <v>13.974</v>
      </c>
      <c r="H159" s="274">
        <v>26</v>
      </c>
      <c r="I159" s="210">
        <f t="shared" si="18"/>
        <v>1.8605982539001003</v>
      </c>
      <c r="J159" s="234">
        <v>0</v>
      </c>
      <c r="K159" s="210">
        <f t="shared" si="19"/>
        <v>0</v>
      </c>
      <c r="L159" s="234">
        <v>206</v>
      </c>
      <c r="M159" s="211">
        <f t="shared" si="20"/>
        <v>1.8605982539001003</v>
      </c>
      <c r="N159" s="274">
        <v>2477.3559999999998</v>
      </c>
      <c r="O159" s="274">
        <v>0</v>
      </c>
      <c r="P159" s="200">
        <v>0</v>
      </c>
      <c r="Q159" s="274">
        <v>0</v>
      </c>
      <c r="R159" s="274">
        <v>12.026</v>
      </c>
      <c r="S159" s="200">
        <v>0.86059825390010014</v>
      </c>
      <c r="T159" s="198" t="s">
        <v>272</v>
      </c>
      <c r="U159" s="198" t="s">
        <v>165</v>
      </c>
      <c r="V159" s="231"/>
      <c r="W159" s="205">
        <v>1</v>
      </c>
      <c r="X159" s="198" t="s">
        <v>287</v>
      </c>
    </row>
    <row r="160" spans="2:24" ht="15.75" customHeight="1">
      <c r="B160" s="474"/>
      <c r="C160" s="474"/>
      <c r="D160" s="209">
        <v>54</v>
      </c>
      <c r="E160" s="198" t="s">
        <v>329</v>
      </c>
      <c r="F160" s="274">
        <v>1236.1989399999995</v>
      </c>
      <c r="G160" s="274">
        <v>42.957000000000001</v>
      </c>
      <c r="H160" s="274">
        <v>58.55</v>
      </c>
      <c r="I160" s="210">
        <f t="shared" si="18"/>
        <v>1.3629908978746188</v>
      </c>
      <c r="J160" s="234">
        <v>0</v>
      </c>
      <c r="K160" s="210">
        <f t="shared" si="19"/>
        <v>0</v>
      </c>
      <c r="L160" s="234">
        <v>81.19</v>
      </c>
      <c r="M160" s="211">
        <f t="shared" si="20"/>
        <v>1.3629908978746188</v>
      </c>
      <c r="N160" s="274">
        <v>1265.9956699999996</v>
      </c>
      <c r="O160" s="274">
        <v>0.36699999999999999</v>
      </c>
      <c r="P160" s="200">
        <v>8.543427148078311E-3</v>
      </c>
      <c r="Q160" s="274">
        <v>29.79673</v>
      </c>
      <c r="R160" s="274">
        <v>15.225999999999996</v>
      </c>
      <c r="S160" s="200">
        <v>0.35444747072654037</v>
      </c>
      <c r="T160" s="198" t="s">
        <v>274</v>
      </c>
      <c r="U160" s="198" t="s">
        <v>172</v>
      </c>
      <c r="V160" s="198" t="s">
        <v>339</v>
      </c>
      <c r="W160" s="205">
        <v>1</v>
      </c>
      <c r="X160" s="198" t="s">
        <v>124</v>
      </c>
    </row>
    <row r="161" spans="2:24">
      <c r="B161" s="474"/>
      <c r="C161" s="474"/>
      <c r="D161" s="209">
        <v>55</v>
      </c>
      <c r="E161" s="198" t="s">
        <v>318</v>
      </c>
      <c r="F161" s="274">
        <v>964</v>
      </c>
      <c r="G161" s="274">
        <v>30.18</v>
      </c>
      <c r="H161" s="274">
        <v>35</v>
      </c>
      <c r="I161" s="210">
        <f t="shared" si="18"/>
        <v>1.1597084161696487</v>
      </c>
      <c r="J161" s="234">
        <v>0</v>
      </c>
      <c r="K161" s="210">
        <f t="shared" si="19"/>
        <v>0</v>
      </c>
      <c r="L161" s="234">
        <v>200</v>
      </c>
      <c r="M161" s="211">
        <f t="shared" si="20"/>
        <v>1.1597084161696487</v>
      </c>
      <c r="N161" s="274">
        <v>964</v>
      </c>
      <c r="O161" s="274">
        <v>0</v>
      </c>
      <c r="P161" s="200">
        <v>0</v>
      </c>
      <c r="Q161" s="274">
        <v>0</v>
      </c>
      <c r="R161" s="274">
        <v>4.82</v>
      </c>
      <c r="S161" s="200">
        <v>0.15970841616964879</v>
      </c>
      <c r="T161" s="198" t="s">
        <v>272</v>
      </c>
      <c r="U161" s="198" t="s">
        <v>165</v>
      </c>
      <c r="V161" s="198"/>
      <c r="W161" s="205">
        <v>1</v>
      </c>
      <c r="X161" s="198" t="s">
        <v>109</v>
      </c>
    </row>
    <row r="162" spans="2:24">
      <c r="B162" s="474"/>
      <c r="C162" s="474"/>
      <c r="D162" s="209">
        <v>56</v>
      </c>
      <c r="E162" s="198" t="s">
        <v>268</v>
      </c>
      <c r="F162" s="274">
        <v>878.9187000000021</v>
      </c>
      <c r="G162" s="274">
        <v>819.72</v>
      </c>
      <c r="H162" s="274">
        <v>825.33</v>
      </c>
      <c r="I162" s="210">
        <f t="shared" si="18"/>
        <v>1.0068438003220612</v>
      </c>
      <c r="J162" s="234">
        <v>0</v>
      </c>
      <c r="K162" s="210">
        <f t="shared" si="19"/>
        <v>0</v>
      </c>
      <c r="L162" s="234">
        <v>156.66999999999999</v>
      </c>
      <c r="M162" s="211">
        <f t="shared" si="20"/>
        <v>1.0068438003220612</v>
      </c>
      <c r="N162" s="274">
        <v>878.9187000000021</v>
      </c>
      <c r="O162" s="274">
        <v>0</v>
      </c>
      <c r="P162" s="200">
        <v>0</v>
      </c>
      <c r="Q162" s="274">
        <v>0</v>
      </c>
      <c r="R162" s="274">
        <v>5.6100000000000136</v>
      </c>
      <c r="S162" s="200">
        <v>6.8438003220612081E-3</v>
      </c>
      <c r="T162" s="198" t="s">
        <v>272</v>
      </c>
      <c r="U162" s="198" t="s">
        <v>165</v>
      </c>
      <c r="V162" s="198"/>
      <c r="W162" s="205">
        <v>1</v>
      </c>
      <c r="X162" s="198" t="s">
        <v>244</v>
      </c>
    </row>
    <row r="163" spans="2:24" ht="16.5">
      <c r="B163" s="474"/>
      <c r="C163" s="474"/>
      <c r="D163" s="209">
        <v>57</v>
      </c>
      <c r="E163" s="198" t="s">
        <v>229</v>
      </c>
      <c r="F163" s="274">
        <v>768.1723000000004</v>
      </c>
      <c r="G163" s="274">
        <v>183.06</v>
      </c>
      <c r="H163" s="274">
        <v>189.852</v>
      </c>
      <c r="I163" s="210">
        <f t="shared" si="18"/>
        <v>1.0371025893149788</v>
      </c>
      <c r="J163" s="234">
        <v>0</v>
      </c>
      <c r="K163" s="210">
        <f t="shared" si="19"/>
        <v>0</v>
      </c>
      <c r="L163" s="234">
        <v>335.3</v>
      </c>
      <c r="M163" s="211">
        <f t="shared" si="20"/>
        <v>1.0371025893149788</v>
      </c>
      <c r="N163" s="274">
        <v>2277.3576000000007</v>
      </c>
      <c r="O163" s="274">
        <v>4.5010000000000003</v>
      </c>
      <c r="P163" s="200">
        <v>2.4587566917950401E-2</v>
      </c>
      <c r="Q163" s="274">
        <v>1509.1853000000001</v>
      </c>
      <c r="R163" s="274">
        <v>2.2910000000000013</v>
      </c>
      <c r="S163" s="200">
        <v>1.2515022397028303E-2</v>
      </c>
      <c r="T163" s="229" t="s">
        <v>230</v>
      </c>
      <c r="U163" s="198" t="s">
        <v>181</v>
      </c>
      <c r="V163" s="198" t="s">
        <v>276</v>
      </c>
      <c r="W163" s="205">
        <v>1</v>
      </c>
      <c r="X163" s="198" t="s">
        <v>232</v>
      </c>
    </row>
    <row r="164" spans="2:24" ht="16.5">
      <c r="B164" s="474"/>
      <c r="C164" s="474"/>
      <c r="D164" s="209">
        <v>58</v>
      </c>
      <c r="E164" s="198" t="s">
        <v>295</v>
      </c>
      <c r="F164" s="274">
        <v>656.20750000000476</v>
      </c>
      <c r="G164" s="274">
        <v>300.89999999999998</v>
      </c>
      <c r="H164" s="274">
        <v>315</v>
      </c>
      <c r="I164" s="210">
        <f t="shared" si="18"/>
        <v>1.0468594217347957</v>
      </c>
      <c r="J164" s="234">
        <v>0</v>
      </c>
      <c r="K164" s="210">
        <f t="shared" si="19"/>
        <v>0</v>
      </c>
      <c r="L164" s="234">
        <v>215.15</v>
      </c>
      <c r="M164" s="211">
        <f t="shared" si="20"/>
        <v>1.0468594217347957</v>
      </c>
      <c r="N164" s="274">
        <v>3033.6150000000048</v>
      </c>
      <c r="O164" s="274">
        <v>11.05</v>
      </c>
      <c r="P164" s="200">
        <v>3.6723163841807918E-2</v>
      </c>
      <c r="Q164" s="274">
        <v>2377.4075000000003</v>
      </c>
      <c r="R164" s="274">
        <v>3.050000000000022</v>
      </c>
      <c r="S164" s="200">
        <v>1.0136257892987777E-2</v>
      </c>
      <c r="T164" s="198" t="s">
        <v>272</v>
      </c>
      <c r="U164" s="198" t="s">
        <v>165</v>
      </c>
      <c r="V164" s="231" t="s">
        <v>293</v>
      </c>
      <c r="W164" s="205">
        <v>1</v>
      </c>
      <c r="X164" s="198" t="s">
        <v>117</v>
      </c>
    </row>
    <row r="165" spans="2:24">
      <c r="B165" s="474"/>
      <c r="C165" s="474"/>
      <c r="D165" s="209">
        <v>59</v>
      </c>
      <c r="E165" s="198" t="s">
        <v>248</v>
      </c>
      <c r="F165" s="274">
        <v>606.77526000000444</v>
      </c>
      <c r="G165" s="274">
        <v>1303.06</v>
      </c>
      <c r="H165" s="274">
        <v>1325.92</v>
      </c>
      <c r="I165" s="210">
        <f t="shared" si="18"/>
        <v>1.0175433211057052</v>
      </c>
      <c r="J165" s="234">
        <v>0</v>
      </c>
      <c r="K165" s="210">
        <f t="shared" si="19"/>
        <v>0</v>
      </c>
      <c r="L165" s="234">
        <v>34.58</v>
      </c>
      <c r="M165" s="211">
        <f t="shared" si="20"/>
        <v>1.0175433211057052</v>
      </c>
      <c r="N165" s="274">
        <v>790.49880000000439</v>
      </c>
      <c r="O165" s="274">
        <v>5.3129999999999997</v>
      </c>
      <c r="P165" s="200">
        <v>4.0773256795542797E-3</v>
      </c>
      <c r="Q165" s="274">
        <v>183.72353999999999</v>
      </c>
      <c r="R165" s="274">
        <v>17.547000000000128</v>
      </c>
      <c r="S165" s="200">
        <v>1.3465995426150852E-2</v>
      </c>
      <c r="T165" s="198" t="s">
        <v>272</v>
      </c>
      <c r="U165" s="198" t="s">
        <v>165</v>
      </c>
      <c r="V165" s="198"/>
      <c r="W165" s="205">
        <v>1</v>
      </c>
      <c r="X165" s="198" t="s">
        <v>103</v>
      </c>
    </row>
    <row r="166" spans="2:24">
      <c r="B166" s="474"/>
      <c r="C166" s="474"/>
      <c r="D166" s="209">
        <v>60</v>
      </c>
      <c r="E166" s="198" t="s">
        <v>262</v>
      </c>
      <c r="F166" s="274">
        <v>589.4767899999971</v>
      </c>
      <c r="G166" s="274">
        <v>289.84500000000003</v>
      </c>
      <c r="H166" s="274">
        <v>295.738</v>
      </c>
      <c r="I166" s="210">
        <f t="shared" si="18"/>
        <v>1.0203315565215891</v>
      </c>
      <c r="J166" s="234">
        <v>0</v>
      </c>
      <c r="K166" s="210">
        <f t="shared" si="19"/>
        <v>0</v>
      </c>
      <c r="L166" s="234">
        <v>100.02999999999999</v>
      </c>
      <c r="M166" s="211">
        <f t="shared" si="20"/>
        <v>1.0203315565215891</v>
      </c>
      <c r="N166" s="274">
        <v>589.4767899999971</v>
      </c>
      <c r="O166" s="274">
        <v>0</v>
      </c>
      <c r="P166" s="200">
        <v>0</v>
      </c>
      <c r="Q166" s="274">
        <v>0</v>
      </c>
      <c r="R166" s="274">
        <v>5.8929999999999723</v>
      </c>
      <c r="S166" s="200">
        <v>2.0331556521589026E-2</v>
      </c>
      <c r="T166" s="198" t="s">
        <v>272</v>
      </c>
      <c r="U166" s="198" t="s">
        <v>165</v>
      </c>
      <c r="V166" s="198"/>
      <c r="W166" s="205">
        <v>1</v>
      </c>
      <c r="X166" s="198" t="s">
        <v>232</v>
      </c>
    </row>
    <row r="167" spans="2:24">
      <c r="B167" s="473">
        <v>45917</v>
      </c>
      <c r="C167" s="475" t="s">
        <v>58</v>
      </c>
      <c r="D167" s="209">
        <v>61</v>
      </c>
      <c r="E167" s="198" t="s">
        <v>265</v>
      </c>
      <c r="F167" s="274">
        <v>2776.4012799999959</v>
      </c>
      <c r="G167" s="274">
        <v>271.45600000000002</v>
      </c>
      <c r="H167" s="274">
        <v>272.2</v>
      </c>
      <c r="I167" s="210">
        <f t="shared" si="18"/>
        <v>1.002740775668985</v>
      </c>
      <c r="J167" s="234">
        <v>19</v>
      </c>
      <c r="K167" s="210">
        <f t="shared" si="19"/>
        <v>6.9992927030531643E-2</v>
      </c>
      <c r="L167" s="234">
        <v>140.62</v>
      </c>
      <c r="M167" s="211">
        <f t="shared" si="20"/>
        <v>1.0727337026995165</v>
      </c>
      <c r="N167" s="274">
        <v>2776.4012799999959</v>
      </c>
      <c r="O167" s="274">
        <v>0</v>
      </c>
      <c r="P167" s="200">
        <v>0</v>
      </c>
      <c r="Q167" s="274">
        <v>0</v>
      </c>
      <c r="R167" s="274">
        <v>19.743999999999971</v>
      </c>
      <c r="S167" s="200">
        <v>7.2733702699516567E-2</v>
      </c>
      <c r="T167" s="198" t="s">
        <v>272</v>
      </c>
      <c r="U167" s="198" t="s">
        <v>165</v>
      </c>
      <c r="V167" s="198"/>
      <c r="W167" s="205">
        <v>1</v>
      </c>
      <c r="X167" s="198" t="s">
        <v>106</v>
      </c>
    </row>
    <row r="168" spans="2:24">
      <c r="B168" s="474"/>
      <c r="C168" s="474"/>
      <c r="D168" s="209">
        <v>62</v>
      </c>
      <c r="E168" s="198" t="s">
        <v>229</v>
      </c>
      <c r="F168" s="274">
        <v>2063.7714999999989</v>
      </c>
      <c r="G168" s="274">
        <v>181.38</v>
      </c>
      <c r="H168" s="274">
        <v>187.65899999999999</v>
      </c>
      <c r="I168" s="210">
        <f t="shared" si="18"/>
        <v>1.0346179292093947</v>
      </c>
      <c r="J168" s="234">
        <v>0</v>
      </c>
      <c r="K168" s="210">
        <f t="shared" si="19"/>
        <v>0</v>
      </c>
      <c r="L168" s="234">
        <v>335.3</v>
      </c>
      <c r="M168" s="211">
        <f t="shared" si="20"/>
        <v>1.0346179292093947</v>
      </c>
      <c r="N168" s="274">
        <v>2105.3486999999986</v>
      </c>
      <c r="O168" s="274">
        <v>0.124</v>
      </c>
      <c r="P168" s="200">
        <v>6.8364759069357154E-4</v>
      </c>
      <c r="Q168" s="274">
        <v>41.577199999999998</v>
      </c>
      <c r="R168" s="274">
        <v>6.1549999999999967</v>
      </c>
      <c r="S168" s="200">
        <v>3.3934281618701052E-2</v>
      </c>
      <c r="T168" s="198" t="s">
        <v>230</v>
      </c>
      <c r="U168" s="198" t="s">
        <v>181</v>
      </c>
      <c r="V168" s="198" t="s">
        <v>276</v>
      </c>
      <c r="W168" s="205">
        <v>1</v>
      </c>
      <c r="X168" s="198" t="s">
        <v>232</v>
      </c>
    </row>
    <row r="169" spans="2:24">
      <c r="B169" s="474"/>
      <c r="C169" s="474"/>
      <c r="D169" s="209">
        <v>63</v>
      </c>
      <c r="E169" s="198" t="s">
        <v>338</v>
      </c>
      <c r="F169" s="274">
        <v>1861.8146200000012</v>
      </c>
      <c r="G169" s="274">
        <v>673.6</v>
      </c>
      <c r="H169" s="274">
        <v>702.7</v>
      </c>
      <c r="I169" s="210">
        <f t="shared" si="18"/>
        <v>1.0432007125890737</v>
      </c>
      <c r="J169" s="234">
        <v>13.75</v>
      </c>
      <c r="K169" s="210">
        <f t="shared" si="19"/>
        <v>2.0412707838479809E-2</v>
      </c>
      <c r="L169" s="234">
        <v>45.47</v>
      </c>
      <c r="M169" s="211">
        <f t="shared" si="20"/>
        <v>1.0636134204275536</v>
      </c>
      <c r="N169" s="274">
        <v>1948.3895000000009</v>
      </c>
      <c r="O169" s="274">
        <v>1.9039999999999999</v>
      </c>
      <c r="P169" s="200">
        <v>2.8266033254156766E-3</v>
      </c>
      <c r="Q169" s="274">
        <v>86.574879999999993</v>
      </c>
      <c r="R169" s="274">
        <v>40.946000000000026</v>
      </c>
      <c r="S169" s="200">
        <v>6.0786817102137805E-2</v>
      </c>
      <c r="T169" s="198" t="s">
        <v>272</v>
      </c>
      <c r="U169" s="198" t="s">
        <v>165</v>
      </c>
      <c r="V169" s="198"/>
      <c r="W169" s="205">
        <v>1</v>
      </c>
      <c r="X169" s="198" t="s">
        <v>118</v>
      </c>
    </row>
    <row r="170" spans="2:24">
      <c r="B170" s="474"/>
      <c r="C170" s="474"/>
      <c r="D170" s="209">
        <v>64</v>
      </c>
      <c r="E170" s="198" t="s">
        <v>248</v>
      </c>
      <c r="F170" s="274">
        <v>874.42445999999552</v>
      </c>
      <c r="G170" s="274">
        <v>1256.42</v>
      </c>
      <c r="H170" s="274">
        <v>1283.1369999999999</v>
      </c>
      <c r="I170" s="210">
        <f t="shared" si="18"/>
        <v>1.021264386112924</v>
      </c>
      <c r="J170" s="234">
        <v>0</v>
      </c>
      <c r="K170" s="210">
        <f t="shared" si="19"/>
        <v>0</v>
      </c>
      <c r="L170" s="234">
        <v>34.58</v>
      </c>
      <c r="M170" s="211">
        <f t="shared" si="20"/>
        <v>1.021264386112924</v>
      </c>
      <c r="N170" s="274">
        <v>923.87385999999549</v>
      </c>
      <c r="O170" s="274">
        <v>1.43</v>
      </c>
      <c r="P170" s="200">
        <v>1.1381544388023113E-3</v>
      </c>
      <c r="Q170" s="274">
        <v>49.449399999999997</v>
      </c>
      <c r="R170" s="274">
        <v>25.286999999999871</v>
      </c>
      <c r="S170" s="200">
        <v>2.0126231674121607E-2</v>
      </c>
      <c r="T170" s="198" t="s">
        <v>272</v>
      </c>
      <c r="U170" s="198" t="s">
        <v>165</v>
      </c>
      <c r="V170" s="198"/>
      <c r="W170" s="205">
        <v>1</v>
      </c>
      <c r="X170" s="198" t="s">
        <v>117</v>
      </c>
    </row>
    <row r="171" spans="2:24">
      <c r="B171" s="474"/>
      <c r="C171" s="474"/>
      <c r="D171" s="209">
        <v>65</v>
      </c>
      <c r="E171" s="198" t="s">
        <v>248</v>
      </c>
      <c r="F171" s="274">
        <v>797.76060000000564</v>
      </c>
      <c r="G171" s="274">
        <v>1264.1199999999999</v>
      </c>
      <c r="H171" s="274">
        <v>1287.19</v>
      </c>
      <c r="I171" s="210">
        <f t="shared" si="18"/>
        <v>1.0182498496978136</v>
      </c>
      <c r="J171" s="234">
        <v>0</v>
      </c>
      <c r="K171" s="210">
        <f t="shared" si="19"/>
        <v>0</v>
      </c>
      <c r="L171" s="234">
        <v>34.58</v>
      </c>
      <c r="M171" s="211">
        <f t="shared" si="20"/>
        <v>1.0182498496978136</v>
      </c>
      <c r="N171" s="274">
        <v>797.76060000000564</v>
      </c>
      <c r="O171" s="274">
        <v>0</v>
      </c>
      <c r="P171" s="200">
        <v>0</v>
      </c>
      <c r="Q171" s="274">
        <v>0</v>
      </c>
      <c r="R171" s="274">
        <v>23.070000000000164</v>
      </c>
      <c r="S171" s="200">
        <v>1.8249849697813628E-2</v>
      </c>
      <c r="T171" s="198" t="s">
        <v>272</v>
      </c>
      <c r="U171" s="198" t="s">
        <v>165</v>
      </c>
      <c r="V171" s="198"/>
      <c r="W171" s="205">
        <v>1</v>
      </c>
      <c r="X171" s="198" t="s">
        <v>103</v>
      </c>
    </row>
    <row r="172" spans="2:24">
      <c r="B172" s="474"/>
      <c r="C172" s="474"/>
      <c r="D172" s="209">
        <v>66</v>
      </c>
      <c r="E172" s="198" t="s">
        <v>319</v>
      </c>
      <c r="F172" s="274">
        <v>719.49</v>
      </c>
      <c r="G172" s="274">
        <v>8.8650000000000002</v>
      </c>
      <c r="H172" s="274">
        <v>13</v>
      </c>
      <c r="I172" s="210">
        <f t="shared" si="18"/>
        <v>1.4664410603496898</v>
      </c>
      <c r="J172" s="234">
        <v>0</v>
      </c>
      <c r="K172" s="210">
        <f t="shared" si="19"/>
        <v>0</v>
      </c>
      <c r="L172" s="234">
        <v>174</v>
      </c>
      <c r="M172" s="211">
        <f t="shared" si="20"/>
        <v>1.4664410603496898</v>
      </c>
      <c r="N172" s="274">
        <v>719.49</v>
      </c>
      <c r="O172" s="274">
        <v>0</v>
      </c>
      <c r="P172" s="200">
        <v>0</v>
      </c>
      <c r="Q172" s="274">
        <v>0</v>
      </c>
      <c r="R172" s="274">
        <v>4.1349999999999998</v>
      </c>
      <c r="S172" s="200">
        <v>0.46644106034968974</v>
      </c>
      <c r="T172" s="198" t="s">
        <v>272</v>
      </c>
      <c r="U172" s="198" t="s">
        <v>165</v>
      </c>
      <c r="V172" s="198"/>
      <c r="W172" s="205">
        <v>1</v>
      </c>
      <c r="X172" s="198" t="s">
        <v>242</v>
      </c>
    </row>
    <row r="173" spans="2:24">
      <c r="B173" s="474"/>
      <c r="C173" s="474"/>
      <c r="D173" s="209">
        <v>67</v>
      </c>
      <c r="E173" s="198" t="s">
        <v>323</v>
      </c>
      <c r="F173" s="274">
        <v>670.14142000000425</v>
      </c>
      <c r="G173" s="274">
        <v>201.48</v>
      </c>
      <c r="H173" s="274">
        <v>204.94900000000001</v>
      </c>
      <c r="I173" s="210">
        <f t="shared" si="18"/>
        <v>1.0172175898352196</v>
      </c>
      <c r="J173" s="234">
        <v>0</v>
      </c>
      <c r="K173" s="210">
        <f t="shared" si="19"/>
        <v>0</v>
      </c>
      <c r="L173" s="234">
        <v>193.17999999999998</v>
      </c>
      <c r="M173" s="211">
        <f t="shared" si="20"/>
        <v>1.0172175898352196</v>
      </c>
      <c r="N173" s="274">
        <v>670.14142000000425</v>
      </c>
      <c r="O173" s="274">
        <v>0</v>
      </c>
      <c r="P173" s="200">
        <v>0</v>
      </c>
      <c r="Q173" s="274">
        <v>0</v>
      </c>
      <c r="R173" s="274">
        <v>3.4690000000000225</v>
      </c>
      <c r="S173" s="200">
        <v>1.7217589835219489E-2</v>
      </c>
      <c r="T173" s="198" t="s">
        <v>272</v>
      </c>
      <c r="U173" s="198" t="s">
        <v>165</v>
      </c>
      <c r="V173" s="198"/>
      <c r="W173" s="205">
        <v>1</v>
      </c>
      <c r="X173" s="198" t="s">
        <v>114</v>
      </c>
    </row>
    <row r="174" spans="2:24">
      <c r="B174" s="474"/>
      <c r="C174" s="474"/>
      <c r="D174" s="209">
        <v>68</v>
      </c>
      <c r="E174" s="198" t="s">
        <v>271</v>
      </c>
      <c r="F174" s="274">
        <v>613.16214000000036</v>
      </c>
      <c r="G174" s="274">
        <v>228.69</v>
      </c>
      <c r="H174" s="274">
        <v>233.012</v>
      </c>
      <c r="I174" s="210">
        <f t="shared" si="18"/>
        <v>1.0188989461716735</v>
      </c>
      <c r="J174" s="234">
        <v>0</v>
      </c>
      <c r="K174" s="210">
        <f t="shared" si="19"/>
        <v>0</v>
      </c>
      <c r="L174" s="234">
        <v>141.87</v>
      </c>
      <c r="M174" s="211">
        <f t="shared" si="20"/>
        <v>1.0188989461716735</v>
      </c>
      <c r="N174" s="274">
        <v>613.16214000000036</v>
      </c>
      <c r="O174" s="274">
        <v>0</v>
      </c>
      <c r="P174" s="200">
        <v>0</v>
      </c>
      <c r="Q174" s="274">
        <v>0</v>
      </c>
      <c r="R174" s="274">
        <v>4.3220000000000027</v>
      </c>
      <c r="S174" s="200">
        <v>1.8898946171673457E-2</v>
      </c>
      <c r="T174" s="198" t="s">
        <v>272</v>
      </c>
      <c r="U174" s="198" t="s">
        <v>165</v>
      </c>
      <c r="V174" s="198"/>
      <c r="W174" s="205">
        <v>1</v>
      </c>
      <c r="X174" s="198" t="s">
        <v>109</v>
      </c>
    </row>
    <row r="175" spans="2:24">
      <c r="B175" s="474"/>
      <c r="C175" s="474"/>
      <c r="D175" s="209">
        <v>69</v>
      </c>
      <c r="E175" s="198" t="s">
        <v>263</v>
      </c>
      <c r="F175" s="274">
        <v>501.24500000000137</v>
      </c>
      <c r="G175" s="274">
        <v>416.43</v>
      </c>
      <c r="H175" s="274">
        <v>425.6</v>
      </c>
      <c r="I175" s="210">
        <f t="shared" si="18"/>
        <v>1.0220205076483444</v>
      </c>
      <c r="J175" s="234">
        <v>0</v>
      </c>
      <c r="K175" s="210">
        <f t="shared" si="19"/>
        <v>0</v>
      </c>
      <c r="L175" s="234">
        <v>85</v>
      </c>
      <c r="M175" s="211">
        <f t="shared" si="20"/>
        <v>1.0220205076483444</v>
      </c>
      <c r="N175" s="274">
        <v>779.45000000000141</v>
      </c>
      <c r="O175" s="274">
        <v>3.2730000000000001</v>
      </c>
      <c r="P175" s="200">
        <v>7.8596642893163319E-3</v>
      </c>
      <c r="Q175" s="274">
        <v>278.20499999999998</v>
      </c>
      <c r="R175" s="274">
        <v>5.8970000000000162</v>
      </c>
      <c r="S175" s="200">
        <v>1.4160843359027966E-2</v>
      </c>
      <c r="T175" s="198" t="s">
        <v>272</v>
      </c>
      <c r="U175" s="198" t="s">
        <v>165</v>
      </c>
      <c r="V175" s="198"/>
      <c r="W175" s="205">
        <v>1</v>
      </c>
      <c r="X175" s="198" t="s">
        <v>122</v>
      </c>
    </row>
    <row r="176" spans="2:24">
      <c r="B176" s="474"/>
      <c r="C176" s="474"/>
      <c r="D176" s="209">
        <v>70</v>
      </c>
      <c r="E176" s="198" t="s">
        <v>303</v>
      </c>
      <c r="F176" s="274">
        <v>500.99658000000005</v>
      </c>
      <c r="G176" s="274">
        <v>72.036000000000001</v>
      </c>
      <c r="H176" s="274">
        <v>82.7</v>
      </c>
      <c r="I176" s="210">
        <f t="shared" si="18"/>
        <v>1.1480370925648287</v>
      </c>
      <c r="J176" s="234">
        <v>0</v>
      </c>
      <c r="K176" s="210">
        <f t="shared" si="19"/>
        <v>0</v>
      </c>
      <c r="L176" s="234">
        <v>54.97</v>
      </c>
      <c r="M176" s="211">
        <f t="shared" si="20"/>
        <v>1.1480370925648287</v>
      </c>
      <c r="N176" s="274">
        <v>586.20008000000007</v>
      </c>
      <c r="O176" s="274">
        <v>1.55</v>
      </c>
      <c r="P176" s="200">
        <v>2.1517019268143707E-2</v>
      </c>
      <c r="Q176" s="274">
        <v>85.203500000000005</v>
      </c>
      <c r="R176" s="274">
        <v>9.1140000000000008</v>
      </c>
      <c r="S176" s="200">
        <v>0.12652007329668499</v>
      </c>
      <c r="T176" s="198" t="s">
        <v>272</v>
      </c>
      <c r="U176" s="198" t="s">
        <v>165</v>
      </c>
      <c r="V176" s="198"/>
      <c r="W176" s="205">
        <v>1</v>
      </c>
      <c r="X176" s="198" t="s">
        <v>124</v>
      </c>
    </row>
    <row r="177" spans="2:24">
      <c r="B177" s="473">
        <v>45918</v>
      </c>
      <c r="C177" s="475" t="s">
        <v>59</v>
      </c>
      <c r="D177" s="209">
        <v>71</v>
      </c>
      <c r="E177" s="198" t="s">
        <v>229</v>
      </c>
      <c r="F177" s="274">
        <v>1282.1871999999935</v>
      </c>
      <c r="G177" s="274">
        <v>164.52</v>
      </c>
      <c r="H177" s="274">
        <v>169.87299999999999</v>
      </c>
      <c r="I177" s="210">
        <f t="shared" si="18"/>
        <v>1.0325370775589593</v>
      </c>
      <c r="J177" s="234">
        <v>0</v>
      </c>
      <c r="K177" s="210">
        <f t="shared" si="19"/>
        <v>0</v>
      </c>
      <c r="L177" s="234">
        <v>335.3</v>
      </c>
      <c r="M177" s="211">
        <f t="shared" si="20"/>
        <v>1.0325370775589593</v>
      </c>
      <c r="N177" s="274">
        <v>1794.8608999999935</v>
      </c>
      <c r="O177" s="274">
        <v>1.5289999999999999</v>
      </c>
      <c r="P177" s="200">
        <v>9.2937028932652561E-3</v>
      </c>
      <c r="Q177" s="274">
        <v>512.67369999999994</v>
      </c>
      <c r="R177" s="274">
        <v>3.8239999999999803</v>
      </c>
      <c r="S177" s="200">
        <v>2.3243374665694018E-2</v>
      </c>
      <c r="T177" s="198" t="s">
        <v>230</v>
      </c>
      <c r="U177" s="198" t="s">
        <v>181</v>
      </c>
      <c r="V177" s="198" t="s">
        <v>276</v>
      </c>
      <c r="W177" s="205">
        <v>1</v>
      </c>
      <c r="X177" s="198" t="s">
        <v>232</v>
      </c>
    </row>
    <row r="178" spans="2:24">
      <c r="B178" s="474"/>
      <c r="C178" s="474"/>
      <c r="D178" s="209">
        <v>72</v>
      </c>
      <c r="E178" s="198" t="s">
        <v>266</v>
      </c>
      <c r="F178" s="274">
        <v>1260.3891800000031</v>
      </c>
      <c r="G178" s="274">
        <v>71.915999999999997</v>
      </c>
      <c r="H178" s="274">
        <v>72.146000000000001</v>
      </c>
      <c r="I178" s="210">
        <f t="shared" si="18"/>
        <v>1.0031981756493689</v>
      </c>
      <c r="J178" s="234">
        <v>3.2</v>
      </c>
      <c r="K178" s="210">
        <f t="shared" si="19"/>
        <v>4.449635686078203E-2</v>
      </c>
      <c r="L178" s="234">
        <v>420.41</v>
      </c>
      <c r="M178" s="211">
        <f t="shared" si="20"/>
        <v>1.0476945325101508</v>
      </c>
      <c r="N178" s="274">
        <v>1442.006300000003</v>
      </c>
      <c r="O178" s="274">
        <v>0.432</v>
      </c>
      <c r="P178" s="200">
        <v>6.007008176205573E-3</v>
      </c>
      <c r="Q178" s="274">
        <v>181.61712</v>
      </c>
      <c r="R178" s="274">
        <v>2.9980000000000069</v>
      </c>
      <c r="S178" s="200">
        <v>4.1687524333945257E-2</v>
      </c>
      <c r="T178" s="198" t="s">
        <v>235</v>
      </c>
      <c r="U178" s="198" t="s">
        <v>264</v>
      </c>
      <c r="V178" s="198" t="s">
        <v>340</v>
      </c>
      <c r="W178" s="205">
        <v>1</v>
      </c>
      <c r="X178" s="198" t="s">
        <v>105</v>
      </c>
    </row>
    <row r="179" spans="2:24">
      <c r="B179" s="474"/>
      <c r="C179" s="474"/>
      <c r="D179" s="209">
        <v>73</v>
      </c>
      <c r="E179" s="198" t="s">
        <v>268</v>
      </c>
      <c r="F179" s="274">
        <v>839.28118999999538</v>
      </c>
      <c r="G179" s="274">
        <v>730.89</v>
      </c>
      <c r="H179" s="274">
        <v>736.24699999999996</v>
      </c>
      <c r="I179" s="210">
        <f t="shared" si="18"/>
        <v>1.0073294202958036</v>
      </c>
      <c r="J179" s="234">
        <v>0</v>
      </c>
      <c r="K179" s="210">
        <f t="shared" si="19"/>
        <v>0</v>
      </c>
      <c r="L179" s="234">
        <v>156.66999999999999</v>
      </c>
      <c r="M179" s="211">
        <f t="shared" si="20"/>
        <v>1.0073294202958036</v>
      </c>
      <c r="N179" s="274">
        <v>839.28118999999538</v>
      </c>
      <c r="O179" s="274">
        <v>0</v>
      </c>
      <c r="P179" s="200">
        <v>0</v>
      </c>
      <c r="Q179" s="274">
        <v>0</v>
      </c>
      <c r="R179" s="274">
        <v>5.3569999999999709</v>
      </c>
      <c r="S179" s="200">
        <v>7.3294202958037067E-3</v>
      </c>
      <c r="T179" s="198" t="s">
        <v>272</v>
      </c>
      <c r="U179" s="198" t="s">
        <v>165</v>
      </c>
      <c r="V179" s="198"/>
      <c r="W179" s="205">
        <v>1</v>
      </c>
      <c r="X179" s="198" t="s">
        <v>244</v>
      </c>
    </row>
    <row r="180" spans="2:24" ht="16.5">
      <c r="B180" s="474"/>
      <c r="C180" s="474"/>
      <c r="D180" s="209">
        <v>74</v>
      </c>
      <c r="E180" s="198" t="s">
        <v>295</v>
      </c>
      <c r="F180" s="274">
        <v>733.66150000000289</v>
      </c>
      <c r="G180" s="274">
        <v>157.88999999999999</v>
      </c>
      <c r="H180" s="274">
        <v>167</v>
      </c>
      <c r="I180" s="210">
        <f t="shared" si="18"/>
        <v>1.0576983976185954</v>
      </c>
      <c r="J180" s="234">
        <v>0</v>
      </c>
      <c r="K180" s="210">
        <f t="shared" si="19"/>
        <v>0</v>
      </c>
      <c r="L180" s="234">
        <v>215.15</v>
      </c>
      <c r="M180" s="211">
        <f t="shared" si="20"/>
        <v>1.0576983976185954</v>
      </c>
      <c r="N180" s="274">
        <v>1960.0165000000029</v>
      </c>
      <c r="O180" s="274">
        <v>5.7</v>
      </c>
      <c r="P180" s="200">
        <v>3.6101083032490981E-2</v>
      </c>
      <c r="Q180" s="274">
        <v>1226.355</v>
      </c>
      <c r="R180" s="274">
        <v>3.4100000000000135</v>
      </c>
      <c r="S180" s="200">
        <v>2.1597314586104338E-2</v>
      </c>
      <c r="T180" s="198" t="s">
        <v>272</v>
      </c>
      <c r="U180" s="198" t="s">
        <v>165</v>
      </c>
      <c r="V180" s="231" t="s">
        <v>293</v>
      </c>
      <c r="W180" s="198" t="s">
        <v>165</v>
      </c>
      <c r="X180" s="198" t="s">
        <v>117</v>
      </c>
    </row>
    <row r="181" spans="2:24">
      <c r="B181" s="474"/>
      <c r="C181" s="474"/>
      <c r="D181" s="209">
        <v>75</v>
      </c>
      <c r="E181" s="198" t="s">
        <v>248</v>
      </c>
      <c r="F181" s="274">
        <v>663.65935999999886</v>
      </c>
      <c r="G181" s="274">
        <v>1122</v>
      </c>
      <c r="H181" s="274">
        <v>1145.761</v>
      </c>
      <c r="I181" s="210">
        <f t="shared" si="18"/>
        <v>1.0211773618538325</v>
      </c>
      <c r="J181" s="234">
        <v>0</v>
      </c>
      <c r="K181" s="210">
        <f t="shared" si="19"/>
        <v>0</v>
      </c>
      <c r="L181" s="234">
        <v>34.58</v>
      </c>
      <c r="M181" s="211">
        <f t="shared" si="20"/>
        <v>1.0211773618538325</v>
      </c>
      <c r="N181" s="274">
        <v>821.65537999999879</v>
      </c>
      <c r="O181" s="274">
        <v>4.569</v>
      </c>
      <c r="P181" s="200">
        <v>4.0721925133689841E-3</v>
      </c>
      <c r="Q181" s="274">
        <v>157.99601999999999</v>
      </c>
      <c r="R181" s="274">
        <v>19.191999999999968</v>
      </c>
      <c r="S181" s="200">
        <v>1.7105169340463428E-2</v>
      </c>
      <c r="T181" s="198" t="s">
        <v>272</v>
      </c>
      <c r="U181" s="198" t="s">
        <v>165</v>
      </c>
      <c r="V181" s="198"/>
      <c r="W181" s="205">
        <v>1</v>
      </c>
      <c r="X181" s="198" t="s">
        <v>103</v>
      </c>
    </row>
    <row r="182" spans="2:24">
      <c r="B182" s="474"/>
      <c r="C182" s="474"/>
      <c r="D182" s="209">
        <v>76</v>
      </c>
      <c r="E182" s="198" t="s">
        <v>248</v>
      </c>
      <c r="F182" s="274">
        <v>597.99193999999966</v>
      </c>
      <c r="G182" s="274">
        <v>1191.08</v>
      </c>
      <c r="H182" s="274">
        <v>1210.7629999999999</v>
      </c>
      <c r="I182" s="210">
        <f t="shared" si="18"/>
        <v>1.0165253383483897</v>
      </c>
      <c r="J182" s="234">
        <v>0</v>
      </c>
      <c r="K182" s="210">
        <f t="shared" si="19"/>
        <v>0</v>
      </c>
      <c r="L182" s="234">
        <v>34.58</v>
      </c>
      <c r="M182" s="211">
        <f t="shared" si="20"/>
        <v>1.0165253383483897</v>
      </c>
      <c r="N182" s="274">
        <v>680.63813999999968</v>
      </c>
      <c r="O182" s="274">
        <v>2.39</v>
      </c>
      <c r="P182" s="200">
        <v>2.0065822614769792E-3</v>
      </c>
      <c r="Q182" s="274">
        <v>82.646199999999993</v>
      </c>
      <c r="R182" s="274">
        <v>17.292999999999992</v>
      </c>
      <c r="S182" s="200">
        <v>1.4518756086912712E-2</v>
      </c>
      <c r="T182" s="198" t="s">
        <v>272</v>
      </c>
      <c r="U182" s="198" t="s">
        <v>165</v>
      </c>
      <c r="V182" s="198"/>
      <c r="W182" s="205">
        <v>1</v>
      </c>
      <c r="X182" s="198" t="s">
        <v>244</v>
      </c>
    </row>
    <row r="183" spans="2:24">
      <c r="B183" s="474"/>
      <c r="C183" s="474"/>
      <c r="D183" s="209">
        <v>77</v>
      </c>
      <c r="E183" s="198" t="s">
        <v>323</v>
      </c>
      <c r="F183" s="274">
        <v>535.68814000000464</v>
      </c>
      <c r="G183" s="274">
        <v>181.92</v>
      </c>
      <c r="H183" s="274">
        <v>184.69300000000001</v>
      </c>
      <c r="I183" s="210">
        <f t="shared" si="18"/>
        <v>1.0152429639401936</v>
      </c>
      <c r="J183" s="234">
        <v>0</v>
      </c>
      <c r="K183" s="210">
        <f t="shared" si="19"/>
        <v>0</v>
      </c>
      <c r="L183" s="234">
        <v>193.17999999999998</v>
      </c>
      <c r="M183" s="211">
        <f t="shared" si="20"/>
        <v>1.0152429639401936</v>
      </c>
      <c r="N183" s="274">
        <v>535.68814000000464</v>
      </c>
      <c r="O183" s="274">
        <v>0</v>
      </c>
      <c r="P183" s="200">
        <v>0</v>
      </c>
      <c r="Q183" s="274">
        <v>0</v>
      </c>
      <c r="R183" s="274">
        <v>2.7730000000000246</v>
      </c>
      <c r="S183" s="200">
        <v>1.5242963940193628E-2</v>
      </c>
      <c r="T183" s="198" t="s">
        <v>272</v>
      </c>
      <c r="U183" s="198" t="s">
        <v>165</v>
      </c>
      <c r="V183" s="198"/>
      <c r="W183" s="205">
        <v>1</v>
      </c>
      <c r="X183" s="198" t="s">
        <v>114</v>
      </c>
    </row>
    <row r="184" spans="2:24" ht="16.5">
      <c r="B184" s="474"/>
      <c r="C184" s="474"/>
      <c r="D184" s="209">
        <v>78</v>
      </c>
      <c r="E184" s="198" t="s">
        <v>294</v>
      </c>
      <c r="F184" s="274">
        <v>470.96587999999866</v>
      </c>
      <c r="G184" s="274">
        <v>180.49600000000001</v>
      </c>
      <c r="H184" s="274">
        <v>187.5</v>
      </c>
      <c r="I184" s="210">
        <f t="shared" si="18"/>
        <v>1.0388041840262388</v>
      </c>
      <c r="J184" s="234">
        <v>0</v>
      </c>
      <c r="K184" s="210">
        <f t="shared" si="19"/>
        <v>0</v>
      </c>
      <c r="L184" s="234">
        <v>139.01</v>
      </c>
      <c r="M184" s="211">
        <f t="shared" si="20"/>
        <v>1.0388041840262388</v>
      </c>
      <c r="N184" s="274">
        <v>973.62603999999862</v>
      </c>
      <c r="O184" s="274">
        <v>3.6160000000000001</v>
      </c>
      <c r="P184" s="200">
        <v>2.0033684957007358E-2</v>
      </c>
      <c r="Q184" s="274">
        <v>502.66015999999996</v>
      </c>
      <c r="R184" s="274">
        <v>3.3879999999999906</v>
      </c>
      <c r="S184" s="200">
        <v>1.8770499069231398E-2</v>
      </c>
      <c r="T184" s="198" t="s">
        <v>272</v>
      </c>
      <c r="U184" s="198" t="s">
        <v>165</v>
      </c>
      <c r="V184" s="231" t="s">
        <v>293</v>
      </c>
      <c r="W184" s="198" t="s">
        <v>165</v>
      </c>
      <c r="X184" s="198" t="s">
        <v>118</v>
      </c>
    </row>
    <row r="185" spans="2:24">
      <c r="B185" s="474"/>
      <c r="C185" s="474"/>
      <c r="D185" s="209">
        <v>79</v>
      </c>
      <c r="E185" s="198" t="s">
        <v>286</v>
      </c>
      <c r="F185" s="274">
        <v>405.36935999999952</v>
      </c>
      <c r="G185" s="274">
        <v>613.58000000000004</v>
      </c>
      <c r="H185" s="274">
        <v>622.94100000000003</v>
      </c>
      <c r="I185" s="210">
        <f t="shared" si="18"/>
        <v>1.0152563642882753</v>
      </c>
      <c r="J185" s="234">
        <v>0</v>
      </c>
      <c r="K185" s="210">
        <f t="shared" si="19"/>
        <v>0</v>
      </c>
      <c r="L185" s="234">
        <v>46.53</v>
      </c>
      <c r="M185" s="211">
        <f t="shared" si="20"/>
        <v>1.0152563642882753</v>
      </c>
      <c r="N185" s="274">
        <v>435.56732999999957</v>
      </c>
      <c r="O185" s="274">
        <v>0.64900000000000002</v>
      </c>
      <c r="P185" s="200">
        <v>1.0577267837934743E-3</v>
      </c>
      <c r="Q185" s="274">
        <v>30.197970000000002</v>
      </c>
      <c r="R185" s="274">
        <v>8.7119999999999891</v>
      </c>
      <c r="S185" s="200">
        <v>1.4198637504481875E-2</v>
      </c>
      <c r="T185" s="198" t="s">
        <v>272</v>
      </c>
      <c r="U185" s="198" t="s">
        <v>165</v>
      </c>
      <c r="V185" s="198"/>
      <c r="W185" s="205">
        <v>1</v>
      </c>
      <c r="X185" s="198" t="s">
        <v>113</v>
      </c>
    </row>
    <row r="186" spans="2:24" ht="16.5">
      <c r="B186" s="474"/>
      <c r="C186" s="474"/>
      <c r="D186" s="209">
        <v>80</v>
      </c>
      <c r="E186" s="198" t="s">
        <v>338</v>
      </c>
      <c r="F186" s="274">
        <v>386.85876000000286</v>
      </c>
      <c r="G186" s="274">
        <v>622.4</v>
      </c>
      <c r="H186" s="274">
        <v>631.05600000000004</v>
      </c>
      <c r="I186" s="210">
        <f t="shared" si="18"/>
        <v>1.0139074550128535</v>
      </c>
      <c r="J186" s="234">
        <v>0</v>
      </c>
      <c r="K186" s="210">
        <f t="shared" si="19"/>
        <v>0</v>
      </c>
      <c r="L186" s="234">
        <v>45.47</v>
      </c>
      <c r="M186" s="211">
        <f t="shared" si="20"/>
        <v>1.0139074550128535</v>
      </c>
      <c r="N186" s="274">
        <v>393.58832000000285</v>
      </c>
      <c r="O186" s="274">
        <v>0.14799999999999999</v>
      </c>
      <c r="P186" s="200">
        <v>2.3778920308483291E-4</v>
      </c>
      <c r="Q186" s="274">
        <v>6.7295599999999993</v>
      </c>
      <c r="R186" s="274">
        <v>8.5080000000000631</v>
      </c>
      <c r="S186" s="200">
        <v>1.3669665809768739E-2</v>
      </c>
      <c r="T186" s="198" t="s">
        <v>272</v>
      </c>
      <c r="U186" s="198" t="s">
        <v>165</v>
      </c>
      <c r="V186" s="231" t="s">
        <v>293</v>
      </c>
      <c r="W186" s="205">
        <v>1</v>
      </c>
      <c r="X186" s="198" t="s">
        <v>118</v>
      </c>
    </row>
    <row r="187" spans="2:24">
      <c r="B187" s="473">
        <v>45919</v>
      </c>
      <c r="C187" s="475" t="s">
        <v>60</v>
      </c>
      <c r="D187" s="209">
        <v>81</v>
      </c>
      <c r="E187" s="198" t="s">
        <v>229</v>
      </c>
      <c r="F187" s="274">
        <v>2908.3921999999961</v>
      </c>
      <c r="G187" s="274">
        <v>141.24</v>
      </c>
      <c r="H187" s="274">
        <v>151.214</v>
      </c>
      <c r="I187" s="210">
        <f t="shared" si="18"/>
        <v>1.0706173888416879</v>
      </c>
      <c r="J187" s="234">
        <v>0</v>
      </c>
      <c r="K187" s="210">
        <f t="shared" si="19"/>
        <v>0</v>
      </c>
      <c r="L187" s="234">
        <v>335.3</v>
      </c>
      <c r="M187" s="211">
        <f t="shared" si="20"/>
        <v>1.0706173888416879</v>
      </c>
      <c r="N187" s="274">
        <v>3344.2821999999965</v>
      </c>
      <c r="O187" s="274">
        <v>1.3</v>
      </c>
      <c r="P187" s="200">
        <v>9.2041914471821008E-3</v>
      </c>
      <c r="Q187" s="274">
        <v>435.89000000000004</v>
      </c>
      <c r="R187" s="274">
        <v>8.6739999999999888</v>
      </c>
      <c r="S187" s="200">
        <v>6.1413197394505722E-2</v>
      </c>
      <c r="T187" s="198" t="s">
        <v>230</v>
      </c>
      <c r="U187" s="198" t="s">
        <v>181</v>
      </c>
      <c r="V187" s="198" t="s">
        <v>276</v>
      </c>
      <c r="W187" s="205">
        <v>1</v>
      </c>
      <c r="X187" s="198" t="s">
        <v>232</v>
      </c>
    </row>
    <row r="188" spans="2:24" ht="16.5">
      <c r="B188" s="474"/>
      <c r="C188" s="474"/>
      <c r="D188" s="209">
        <v>82</v>
      </c>
      <c r="E188" s="198" t="s">
        <v>292</v>
      </c>
      <c r="F188" s="274">
        <v>979.22580000000164</v>
      </c>
      <c r="G188" s="274">
        <v>130.13</v>
      </c>
      <c r="H188" s="274">
        <v>216.55</v>
      </c>
      <c r="I188" s="210">
        <f t="shared" si="18"/>
        <v>1.6641051256435873</v>
      </c>
      <c r="J188" s="234">
        <v>0</v>
      </c>
      <c r="K188" s="210">
        <f t="shared" si="19"/>
        <v>0</v>
      </c>
      <c r="L188" s="234">
        <v>105.17999999999999</v>
      </c>
      <c r="M188" s="211">
        <f t="shared" si="20"/>
        <v>1.6641051256435873</v>
      </c>
      <c r="N188" s="274">
        <v>9089.6556000000019</v>
      </c>
      <c r="O188" s="274">
        <v>77.11</v>
      </c>
      <c r="P188" s="200">
        <v>0.59256128486897719</v>
      </c>
      <c r="Q188" s="274">
        <v>8110.429799999999</v>
      </c>
      <c r="R188" s="274">
        <v>9.3100000000000165</v>
      </c>
      <c r="S188" s="200">
        <v>7.1543840774610137E-2</v>
      </c>
      <c r="T188" s="198" t="s">
        <v>272</v>
      </c>
      <c r="U188" s="198" t="s">
        <v>165</v>
      </c>
      <c r="V188" s="231" t="s">
        <v>293</v>
      </c>
      <c r="W188" s="205">
        <v>1</v>
      </c>
      <c r="X188" s="198" t="s">
        <v>117</v>
      </c>
    </row>
    <row r="189" spans="2:24" ht="16.5">
      <c r="B189" s="474"/>
      <c r="C189" s="474"/>
      <c r="D189" s="209">
        <v>83</v>
      </c>
      <c r="E189" s="198" t="s">
        <v>338</v>
      </c>
      <c r="F189" s="274">
        <v>918.49399999999946</v>
      </c>
      <c r="G189" s="274">
        <v>311.8</v>
      </c>
      <c r="H189" s="274">
        <v>318</v>
      </c>
      <c r="I189" s="210">
        <f t="shared" si="18"/>
        <v>1.0198845413726747</v>
      </c>
      <c r="J189" s="234">
        <v>14</v>
      </c>
      <c r="K189" s="210">
        <f t="shared" si="19"/>
        <v>4.4900577293136623E-2</v>
      </c>
      <c r="L189" s="234">
        <v>45.47</v>
      </c>
      <c r="M189" s="211">
        <f t="shared" si="20"/>
        <v>1.0647851186658113</v>
      </c>
      <c r="N189" s="274">
        <v>918.49399999999946</v>
      </c>
      <c r="O189" s="274">
        <v>0</v>
      </c>
      <c r="P189" s="200">
        <v>0</v>
      </c>
      <c r="Q189" s="274">
        <v>0</v>
      </c>
      <c r="R189" s="274">
        <v>20.199999999999989</v>
      </c>
      <c r="S189" s="200">
        <v>6.4785118665811381E-2</v>
      </c>
      <c r="T189" s="198" t="s">
        <v>272</v>
      </c>
      <c r="U189" s="198" t="s">
        <v>165</v>
      </c>
      <c r="V189" s="231" t="s">
        <v>293</v>
      </c>
      <c r="W189" s="205">
        <v>1</v>
      </c>
      <c r="X189" s="198" t="s">
        <v>118</v>
      </c>
    </row>
    <row r="190" spans="2:24" ht="16.5">
      <c r="B190" s="474"/>
      <c r="C190" s="474"/>
      <c r="D190" s="209">
        <v>84</v>
      </c>
      <c r="E190" s="198" t="s">
        <v>296</v>
      </c>
      <c r="F190" s="274">
        <v>889.35559999999884</v>
      </c>
      <c r="G190" s="274">
        <v>71.713999999999999</v>
      </c>
      <c r="H190" s="274">
        <v>87.6</v>
      </c>
      <c r="I190" s="210">
        <f t="shared" si="18"/>
        <v>1.2215188108319157</v>
      </c>
      <c r="J190" s="234">
        <v>0</v>
      </c>
      <c r="K190" s="210">
        <f t="shared" si="19"/>
        <v>0</v>
      </c>
      <c r="L190" s="234">
        <v>250.1</v>
      </c>
      <c r="M190" s="211">
        <f t="shared" si="20"/>
        <v>1.2215188108319157</v>
      </c>
      <c r="N190" s="274">
        <v>3973.0885999999987</v>
      </c>
      <c r="O190" s="274">
        <v>12.33</v>
      </c>
      <c r="P190" s="200">
        <v>0.17193295590819088</v>
      </c>
      <c r="Q190" s="274">
        <v>3083.7330000000002</v>
      </c>
      <c r="R190" s="274">
        <v>3.5559999999999956</v>
      </c>
      <c r="S190" s="200">
        <v>4.9585854923724734E-2</v>
      </c>
      <c r="T190" s="198" t="s">
        <v>272</v>
      </c>
      <c r="U190" s="198" t="s">
        <v>165</v>
      </c>
      <c r="V190" s="231" t="s">
        <v>293</v>
      </c>
      <c r="W190" s="205">
        <v>1</v>
      </c>
      <c r="X190" s="198" t="s">
        <v>118</v>
      </c>
    </row>
    <row r="191" spans="2:24" ht="16.5">
      <c r="B191" s="474"/>
      <c r="C191" s="474"/>
      <c r="D191" s="209">
        <v>85</v>
      </c>
      <c r="E191" s="198" t="s">
        <v>239</v>
      </c>
      <c r="F191" s="274">
        <v>805.5600000000004</v>
      </c>
      <c r="G191" s="274">
        <v>127.16</v>
      </c>
      <c r="H191" s="274">
        <v>165</v>
      </c>
      <c r="I191" s="210">
        <f t="shared" si="18"/>
        <v>1.2975778546712804</v>
      </c>
      <c r="J191" s="234">
        <v>0</v>
      </c>
      <c r="K191" s="210">
        <f t="shared" si="19"/>
        <v>0</v>
      </c>
      <c r="L191" s="234">
        <v>115.08</v>
      </c>
      <c r="M191" s="211">
        <f t="shared" si="20"/>
        <v>1.2975778546712804</v>
      </c>
      <c r="N191" s="274">
        <v>4354.6271999999999</v>
      </c>
      <c r="O191" s="274">
        <v>30.84</v>
      </c>
      <c r="P191" s="200">
        <v>0.24252909720037749</v>
      </c>
      <c r="Q191" s="274">
        <v>3549.0672</v>
      </c>
      <c r="R191" s="274">
        <v>7.0000000000000036</v>
      </c>
      <c r="S191" s="200">
        <v>5.5048757470902827E-2</v>
      </c>
      <c r="T191" s="198" t="s">
        <v>272</v>
      </c>
      <c r="U191" s="198" t="s">
        <v>165</v>
      </c>
      <c r="V191" s="231"/>
      <c r="W191" s="205">
        <v>1</v>
      </c>
      <c r="X191" s="198" t="s">
        <v>116</v>
      </c>
    </row>
    <row r="192" spans="2:24" ht="16.5">
      <c r="B192" s="474"/>
      <c r="C192" s="474"/>
      <c r="D192" s="209">
        <v>86</v>
      </c>
      <c r="E192" s="198" t="s">
        <v>341</v>
      </c>
      <c r="F192" s="274">
        <v>713.04480000000024</v>
      </c>
      <c r="G192" s="274">
        <v>12.472</v>
      </c>
      <c r="H192" s="274">
        <v>14.5</v>
      </c>
      <c r="I192" s="210">
        <f t="shared" si="18"/>
        <v>1.162604233483002</v>
      </c>
      <c r="J192" s="234">
        <v>0</v>
      </c>
      <c r="K192" s="210">
        <f t="shared" si="19"/>
        <v>0</v>
      </c>
      <c r="L192" s="234">
        <v>351.6</v>
      </c>
      <c r="M192" s="211">
        <f t="shared" si="20"/>
        <v>1.162604233483002</v>
      </c>
      <c r="N192" s="274">
        <v>713.04480000000024</v>
      </c>
      <c r="O192" s="274">
        <v>0</v>
      </c>
      <c r="P192" s="200">
        <v>0</v>
      </c>
      <c r="Q192" s="274">
        <v>0</v>
      </c>
      <c r="R192" s="274">
        <v>2.0280000000000005</v>
      </c>
      <c r="S192" s="200">
        <v>0.16260423348300196</v>
      </c>
      <c r="T192" s="198" t="s">
        <v>272</v>
      </c>
      <c r="U192" s="198" t="s">
        <v>165</v>
      </c>
      <c r="V192" s="231" t="s">
        <v>293</v>
      </c>
      <c r="W192" s="205">
        <v>1</v>
      </c>
      <c r="X192" s="198" t="s">
        <v>118</v>
      </c>
    </row>
    <row r="193" spans="2:24">
      <c r="B193" s="474"/>
      <c r="C193" s="474"/>
      <c r="D193" s="209">
        <v>87</v>
      </c>
      <c r="E193" s="198" t="s">
        <v>329</v>
      </c>
      <c r="F193" s="274">
        <v>536.66589999999997</v>
      </c>
      <c r="G193" s="274">
        <v>38.61</v>
      </c>
      <c r="H193" s="274">
        <v>45.22</v>
      </c>
      <c r="I193" s="210">
        <f t="shared" si="18"/>
        <v>1.1711991711991712</v>
      </c>
      <c r="J193" s="234">
        <v>0</v>
      </c>
      <c r="K193" s="210">
        <f t="shared" si="19"/>
        <v>0</v>
      </c>
      <c r="L193" s="234">
        <v>81.19</v>
      </c>
      <c r="M193" s="211">
        <f t="shared" si="20"/>
        <v>1.1711991711991712</v>
      </c>
      <c r="N193" s="274">
        <v>536.66589999999997</v>
      </c>
      <c r="O193" s="274">
        <v>0</v>
      </c>
      <c r="P193" s="200">
        <v>0</v>
      </c>
      <c r="Q193" s="274">
        <v>0</v>
      </c>
      <c r="R193" s="274">
        <v>6.6099999999999994</v>
      </c>
      <c r="S193" s="200">
        <v>0.17119917119917119</v>
      </c>
      <c r="T193" s="198" t="s">
        <v>274</v>
      </c>
      <c r="U193" s="198" t="s">
        <v>172</v>
      </c>
      <c r="V193" s="198" t="s">
        <v>339</v>
      </c>
      <c r="W193" s="205">
        <v>1</v>
      </c>
      <c r="X193" s="198" t="s">
        <v>124</v>
      </c>
    </row>
    <row r="194" spans="2:24">
      <c r="B194" s="474"/>
      <c r="C194" s="474"/>
      <c r="D194" s="209">
        <v>88</v>
      </c>
      <c r="E194" s="198" t="s">
        <v>302</v>
      </c>
      <c r="F194" s="274">
        <v>407.20780000000008</v>
      </c>
      <c r="G194" s="274">
        <v>36.045000000000002</v>
      </c>
      <c r="H194" s="274">
        <v>41.88</v>
      </c>
      <c r="I194" s="210">
        <f t="shared" si="18"/>
        <v>1.1618809821057012</v>
      </c>
      <c r="J194" s="234">
        <v>0</v>
      </c>
      <c r="K194" s="210">
        <f t="shared" si="19"/>
        <v>0</v>
      </c>
      <c r="L194" s="234">
        <v>155.72</v>
      </c>
      <c r="M194" s="211">
        <f t="shared" si="20"/>
        <v>1.1618809821057012</v>
      </c>
      <c r="N194" s="274">
        <v>908.62620000000015</v>
      </c>
      <c r="O194" s="274">
        <v>3.22</v>
      </c>
      <c r="P194" s="200">
        <v>8.9332778471355248E-2</v>
      </c>
      <c r="Q194" s="274">
        <v>501.41840000000002</v>
      </c>
      <c r="R194" s="274">
        <v>2.6150000000000007</v>
      </c>
      <c r="S194" s="200">
        <v>7.254820363434597E-2</v>
      </c>
      <c r="T194" s="198" t="s">
        <v>272</v>
      </c>
      <c r="U194" s="198" t="s">
        <v>165</v>
      </c>
      <c r="V194" s="198"/>
      <c r="W194" s="205">
        <v>1</v>
      </c>
      <c r="X194" s="198" t="s">
        <v>114</v>
      </c>
    </row>
    <row r="195" spans="2:24" ht="16.5">
      <c r="B195" s="474"/>
      <c r="C195" s="474"/>
      <c r="D195" s="209">
        <v>89</v>
      </c>
      <c r="E195" s="198" t="s">
        <v>286</v>
      </c>
      <c r="F195" s="274">
        <v>363.29354000000069</v>
      </c>
      <c r="G195" s="274">
        <v>632.28</v>
      </c>
      <c r="H195" s="274">
        <v>641.78899999999999</v>
      </c>
      <c r="I195" s="210">
        <f t="shared" si="18"/>
        <v>1.0150392231289935</v>
      </c>
      <c r="J195" s="234">
        <v>0</v>
      </c>
      <c r="K195" s="210">
        <f t="shared" si="19"/>
        <v>0</v>
      </c>
      <c r="L195" s="234">
        <v>47.89</v>
      </c>
      <c r="M195" s="211">
        <f t="shared" si="20"/>
        <v>1.0150392231289935</v>
      </c>
      <c r="N195" s="274">
        <v>455.38601000000068</v>
      </c>
      <c r="O195" s="274">
        <v>1.923</v>
      </c>
      <c r="P195" s="200">
        <v>3.0413740747769979E-3</v>
      </c>
      <c r="Q195" s="274">
        <v>92.092470000000006</v>
      </c>
      <c r="R195" s="274">
        <v>7.5860000000000145</v>
      </c>
      <c r="S195" s="200">
        <v>1.1997849054216509E-2</v>
      </c>
      <c r="T195" s="198" t="s">
        <v>272</v>
      </c>
      <c r="U195" s="198" t="s">
        <v>165</v>
      </c>
      <c r="V195" s="231"/>
      <c r="W195" s="205">
        <v>1</v>
      </c>
      <c r="X195" s="198" t="s">
        <v>106</v>
      </c>
    </row>
    <row r="196" spans="2:24" ht="16.5">
      <c r="B196" s="474"/>
      <c r="C196" s="474"/>
      <c r="D196" s="209">
        <v>90</v>
      </c>
      <c r="E196" s="198" t="s">
        <v>291</v>
      </c>
      <c r="F196" s="274">
        <v>310.9440000000007</v>
      </c>
      <c r="G196" s="274">
        <v>299.39999999999998</v>
      </c>
      <c r="H196" s="274">
        <v>307.71899999999999</v>
      </c>
      <c r="I196" s="210">
        <f t="shared" si="18"/>
        <v>1.0277855711422845</v>
      </c>
      <c r="J196" s="234">
        <v>0</v>
      </c>
      <c r="K196" s="210">
        <f t="shared" si="19"/>
        <v>0</v>
      </c>
      <c r="L196" s="234">
        <v>41</v>
      </c>
      <c r="M196" s="211">
        <f t="shared" si="20"/>
        <v>1.0277855711422845</v>
      </c>
      <c r="N196" s="274">
        <v>341.07900000000069</v>
      </c>
      <c r="O196" s="274">
        <v>0.73499999999999999</v>
      </c>
      <c r="P196" s="200">
        <v>2.4549098196392787E-3</v>
      </c>
      <c r="Q196" s="274">
        <v>30.134999999999998</v>
      </c>
      <c r="R196" s="274">
        <v>7.5840000000000165</v>
      </c>
      <c r="S196" s="200">
        <v>2.5330661322645349E-2</v>
      </c>
      <c r="T196" s="198" t="s">
        <v>272</v>
      </c>
      <c r="U196" s="198" t="s">
        <v>165</v>
      </c>
      <c r="V196" s="231"/>
      <c r="W196" s="205">
        <v>1</v>
      </c>
      <c r="X196" s="198" t="s">
        <v>111</v>
      </c>
    </row>
    <row r="197" spans="2:24">
      <c r="B197" s="473">
        <v>45920</v>
      </c>
      <c r="C197" s="475" t="s">
        <v>61</v>
      </c>
      <c r="D197" s="209">
        <v>91</v>
      </c>
      <c r="E197" s="198" t="s">
        <v>229</v>
      </c>
      <c r="F197" s="274">
        <v>1940.3811000000023</v>
      </c>
      <c r="G197" s="274">
        <v>152.76</v>
      </c>
      <c r="H197" s="274">
        <v>160.077</v>
      </c>
      <c r="I197" s="210">
        <f t="shared" si="18"/>
        <v>1.0478986645718775</v>
      </c>
      <c r="J197" s="234">
        <v>0</v>
      </c>
      <c r="K197" s="210">
        <f t="shared" si="19"/>
        <v>0</v>
      </c>
      <c r="L197" s="234">
        <v>335.3</v>
      </c>
      <c r="M197" s="211">
        <f t="shared" si="20"/>
        <v>1.0478986645718775</v>
      </c>
      <c r="N197" s="274">
        <v>2453.3901000000023</v>
      </c>
      <c r="O197" s="274">
        <v>1.53</v>
      </c>
      <c r="P197" s="200">
        <v>1.0015710919088767E-2</v>
      </c>
      <c r="Q197" s="274">
        <v>513.00900000000001</v>
      </c>
      <c r="R197" s="274">
        <v>5.787000000000007</v>
      </c>
      <c r="S197" s="200">
        <v>3.7882953652788737E-2</v>
      </c>
      <c r="T197" s="198" t="s">
        <v>230</v>
      </c>
      <c r="U197" s="198" t="s">
        <v>181</v>
      </c>
      <c r="V197" s="198" t="s">
        <v>276</v>
      </c>
      <c r="W197" s="205">
        <v>1</v>
      </c>
      <c r="X197" s="198" t="s">
        <v>232</v>
      </c>
    </row>
    <row r="198" spans="2:24">
      <c r="B198" s="474"/>
      <c r="C198" s="474"/>
      <c r="D198" s="209">
        <v>92</v>
      </c>
      <c r="E198" s="198" t="s">
        <v>239</v>
      </c>
      <c r="F198" s="274">
        <v>909.13199999999983</v>
      </c>
      <c r="G198" s="274">
        <v>144.1</v>
      </c>
      <c r="H198" s="274">
        <v>186.6</v>
      </c>
      <c r="I198" s="210">
        <f t="shared" si="18"/>
        <v>1.2949340735600279</v>
      </c>
      <c r="J198" s="234">
        <v>0</v>
      </c>
      <c r="K198" s="210">
        <f t="shared" si="19"/>
        <v>0</v>
      </c>
      <c r="L198" s="234">
        <v>115.08</v>
      </c>
      <c r="M198" s="211">
        <f t="shared" si="20"/>
        <v>1.2949340735600279</v>
      </c>
      <c r="N198" s="274">
        <v>4890.8999999999996</v>
      </c>
      <c r="O198" s="274">
        <v>34.6</v>
      </c>
      <c r="P198" s="200">
        <v>0.24011103400416378</v>
      </c>
      <c r="Q198" s="274">
        <v>3981.768</v>
      </c>
      <c r="R198" s="274">
        <v>7.8999999999999986</v>
      </c>
      <c r="S198" s="200">
        <v>5.4823039555863977E-2</v>
      </c>
      <c r="T198" s="198" t="s">
        <v>272</v>
      </c>
      <c r="U198" s="198" t="s">
        <v>165</v>
      </c>
      <c r="V198" s="198"/>
      <c r="W198" s="205">
        <v>1</v>
      </c>
      <c r="X198" s="198" t="s">
        <v>116</v>
      </c>
    </row>
    <row r="199" spans="2:24" ht="16.5">
      <c r="B199" s="474"/>
      <c r="C199" s="474"/>
      <c r="D199" s="209">
        <v>93</v>
      </c>
      <c r="E199" s="198" t="s">
        <v>256</v>
      </c>
      <c r="F199" s="274">
        <v>846.44999999999914</v>
      </c>
      <c r="G199" s="274">
        <v>99.9</v>
      </c>
      <c r="H199" s="274">
        <v>110.35</v>
      </c>
      <c r="I199" s="210">
        <f t="shared" si="18"/>
        <v>1.1046046046046045</v>
      </c>
      <c r="J199" s="234">
        <v>0</v>
      </c>
      <c r="K199" s="210">
        <f t="shared" si="19"/>
        <v>0</v>
      </c>
      <c r="L199" s="234">
        <v>81</v>
      </c>
      <c r="M199" s="211">
        <f t="shared" si="20"/>
        <v>1.1046046046046045</v>
      </c>
      <c r="N199" s="274">
        <v>846.44999999999914</v>
      </c>
      <c r="O199" s="274">
        <v>0</v>
      </c>
      <c r="P199" s="200">
        <v>0</v>
      </c>
      <c r="Q199" s="274">
        <v>0</v>
      </c>
      <c r="R199" s="274">
        <v>10.449999999999989</v>
      </c>
      <c r="S199" s="200">
        <v>0.10460460460460448</v>
      </c>
      <c r="T199" s="198" t="s">
        <v>272</v>
      </c>
      <c r="U199" s="198" t="s">
        <v>165</v>
      </c>
      <c r="V199" s="231"/>
      <c r="W199" s="205">
        <v>1</v>
      </c>
      <c r="X199" s="198" t="s">
        <v>242</v>
      </c>
    </row>
    <row r="200" spans="2:24" ht="16.5">
      <c r="B200" s="474"/>
      <c r="C200" s="474"/>
      <c r="D200" s="209">
        <v>94</v>
      </c>
      <c r="E200" s="198" t="s">
        <v>249</v>
      </c>
      <c r="F200" s="274">
        <v>697.58387999999957</v>
      </c>
      <c r="G200" s="274">
        <v>9.4600000000000009</v>
      </c>
      <c r="H200" s="274">
        <v>10.4</v>
      </c>
      <c r="I200" s="210">
        <f t="shared" ref="I200:I263" si="21">H200/G200</f>
        <v>1.0993657505285412</v>
      </c>
      <c r="J200" s="234">
        <v>0</v>
      </c>
      <c r="K200" s="210">
        <f t="shared" ref="K200:K263" si="22">J200/G200</f>
        <v>0</v>
      </c>
      <c r="L200" s="234">
        <v>922.73</v>
      </c>
      <c r="M200" s="211">
        <f t="shared" ref="M200:M263" si="23">(H200+J200)/G200</f>
        <v>1.0993657505285412</v>
      </c>
      <c r="N200" s="274">
        <v>867.36619999999959</v>
      </c>
      <c r="O200" s="274">
        <v>0.184</v>
      </c>
      <c r="P200" s="200">
        <v>1.9450317124735727E-2</v>
      </c>
      <c r="Q200" s="274">
        <v>169.78232</v>
      </c>
      <c r="R200" s="274">
        <v>0.75599999999999956</v>
      </c>
      <c r="S200" s="200">
        <v>7.9915433403805441E-2</v>
      </c>
      <c r="T200" s="198" t="s">
        <v>272</v>
      </c>
      <c r="U200" s="198" t="s">
        <v>165</v>
      </c>
      <c r="V200" s="231"/>
      <c r="W200" s="205">
        <v>1</v>
      </c>
      <c r="X200" s="198" t="s">
        <v>113</v>
      </c>
    </row>
    <row r="201" spans="2:24">
      <c r="B201" s="474"/>
      <c r="C201" s="474"/>
      <c r="D201" s="209">
        <v>95</v>
      </c>
      <c r="E201" s="198" t="s">
        <v>280</v>
      </c>
      <c r="F201" s="274">
        <v>694.08429999999828</v>
      </c>
      <c r="G201" s="274">
        <v>166.77</v>
      </c>
      <c r="H201" s="274">
        <v>166.9</v>
      </c>
      <c r="I201" s="210">
        <f t="shared" si="21"/>
        <v>1.0007795166996463</v>
      </c>
      <c r="J201" s="234">
        <v>9.9499999999999993</v>
      </c>
      <c r="K201" s="210">
        <f t="shared" si="22"/>
        <v>5.9663008934460623E-2</v>
      </c>
      <c r="L201" s="234">
        <v>111.41</v>
      </c>
      <c r="M201" s="211">
        <f t="shared" si="23"/>
        <v>1.0604425256341068</v>
      </c>
      <c r="N201" s="274">
        <v>1123.0127999999982</v>
      </c>
      <c r="O201" s="274">
        <v>3.85</v>
      </c>
      <c r="P201" s="200">
        <v>2.3085686874138034E-2</v>
      </c>
      <c r="Q201" s="274">
        <v>428.92849999999999</v>
      </c>
      <c r="R201" s="274">
        <v>6.2299999999999844</v>
      </c>
      <c r="S201" s="200">
        <v>3.7356838759968723E-2</v>
      </c>
      <c r="T201" s="198" t="s">
        <v>272</v>
      </c>
      <c r="U201" s="198" t="s">
        <v>165</v>
      </c>
      <c r="V201" s="198"/>
      <c r="W201" s="205">
        <v>1</v>
      </c>
      <c r="X201" s="198" t="s">
        <v>104</v>
      </c>
    </row>
    <row r="202" spans="2:24" ht="16.5">
      <c r="B202" s="474"/>
      <c r="C202" s="474"/>
      <c r="D202" s="209">
        <v>96</v>
      </c>
      <c r="E202" s="198" t="s">
        <v>248</v>
      </c>
      <c r="F202" s="274">
        <v>636.96359999999981</v>
      </c>
      <c r="G202" s="274">
        <v>623.48</v>
      </c>
      <c r="H202" s="274">
        <v>642.06200000000001</v>
      </c>
      <c r="I202" s="210">
        <f t="shared" si="21"/>
        <v>1.0298036825559762</v>
      </c>
      <c r="J202" s="234">
        <v>0</v>
      </c>
      <c r="K202" s="210">
        <f t="shared" si="22"/>
        <v>0</v>
      </c>
      <c r="L202" s="234">
        <v>34.58</v>
      </c>
      <c r="M202" s="211">
        <f t="shared" si="23"/>
        <v>1.0298036825559762</v>
      </c>
      <c r="N202" s="274">
        <v>642.56555999999978</v>
      </c>
      <c r="O202" s="274">
        <v>0.16200000000000001</v>
      </c>
      <c r="P202" s="200">
        <v>2.5983191120805798E-4</v>
      </c>
      <c r="Q202" s="274">
        <v>5.6019600000000001</v>
      </c>
      <c r="R202" s="274">
        <v>18.419999999999995</v>
      </c>
      <c r="S202" s="200">
        <v>2.9543850644768065E-2</v>
      </c>
      <c r="T202" s="198" t="s">
        <v>272</v>
      </c>
      <c r="U202" s="198" t="s">
        <v>165</v>
      </c>
      <c r="V202" s="231"/>
      <c r="W202" s="205">
        <v>1</v>
      </c>
      <c r="X202" s="198" t="s">
        <v>117</v>
      </c>
    </row>
    <row r="203" spans="2:24" ht="16.5">
      <c r="B203" s="474"/>
      <c r="C203" s="474"/>
      <c r="D203" s="209">
        <v>97</v>
      </c>
      <c r="E203" s="198" t="s">
        <v>296</v>
      </c>
      <c r="F203" s="274">
        <v>542.71700000000033</v>
      </c>
      <c r="G203" s="274">
        <v>89.47</v>
      </c>
      <c r="H203" s="274">
        <v>95</v>
      </c>
      <c r="I203" s="210">
        <f t="shared" si="21"/>
        <v>1.0618084274058344</v>
      </c>
      <c r="J203" s="234">
        <v>0</v>
      </c>
      <c r="K203" s="210">
        <f t="shared" si="22"/>
        <v>0</v>
      </c>
      <c r="L203" s="234">
        <v>250.1</v>
      </c>
      <c r="M203" s="211">
        <f t="shared" si="23"/>
        <v>1.0618084274058344</v>
      </c>
      <c r="N203" s="274">
        <v>1383.0530000000003</v>
      </c>
      <c r="O203" s="274">
        <v>3.36</v>
      </c>
      <c r="P203" s="200">
        <v>3.7554487537722142E-2</v>
      </c>
      <c r="Q203" s="274">
        <v>840.3359999999999</v>
      </c>
      <c r="R203" s="274">
        <v>2.1700000000000013</v>
      </c>
      <c r="S203" s="200">
        <v>2.425393986811223E-2</v>
      </c>
      <c r="T203" s="198" t="s">
        <v>272</v>
      </c>
      <c r="U203" s="198" t="s">
        <v>165</v>
      </c>
      <c r="V203" s="231"/>
      <c r="W203" s="205">
        <v>1</v>
      </c>
      <c r="X203" s="198" t="s">
        <v>118</v>
      </c>
    </row>
    <row r="204" spans="2:24">
      <c r="B204" s="474"/>
      <c r="C204" s="474"/>
      <c r="D204" s="209">
        <v>98</v>
      </c>
      <c r="E204" s="198" t="s">
        <v>325</v>
      </c>
      <c r="F204" s="274">
        <v>537.20999999999992</v>
      </c>
      <c r="G204" s="274">
        <v>12.714</v>
      </c>
      <c r="H204" s="274">
        <v>15</v>
      </c>
      <c r="I204" s="210">
        <f t="shared" si="21"/>
        <v>1.1798017932987257</v>
      </c>
      <c r="J204" s="234">
        <v>0</v>
      </c>
      <c r="K204" s="210">
        <f t="shared" si="22"/>
        <v>0</v>
      </c>
      <c r="L204" s="234">
        <v>235</v>
      </c>
      <c r="M204" s="211">
        <f t="shared" si="23"/>
        <v>1.1798017932987257</v>
      </c>
      <c r="N204" s="274">
        <v>537.20999999999992</v>
      </c>
      <c r="O204" s="274">
        <v>0</v>
      </c>
      <c r="P204" s="200">
        <v>0</v>
      </c>
      <c r="Q204" s="274">
        <v>0</v>
      </c>
      <c r="R204" s="274">
        <v>2.2859999999999996</v>
      </c>
      <c r="S204" s="200">
        <v>0.17980179329872578</v>
      </c>
      <c r="T204" s="198" t="s">
        <v>272</v>
      </c>
      <c r="U204" s="198" t="s">
        <v>165</v>
      </c>
      <c r="V204" s="198"/>
      <c r="W204" s="205">
        <v>1</v>
      </c>
      <c r="X204" s="198" t="s">
        <v>103</v>
      </c>
    </row>
    <row r="205" spans="2:24" ht="16.5">
      <c r="B205" s="474"/>
      <c r="C205" s="474"/>
      <c r="D205" s="209">
        <v>99</v>
      </c>
      <c r="E205" s="198" t="s">
        <v>313</v>
      </c>
      <c r="F205" s="274">
        <v>526.93199999999842</v>
      </c>
      <c r="G205" s="274">
        <v>165.917</v>
      </c>
      <c r="H205" s="274">
        <v>169.54</v>
      </c>
      <c r="I205" s="210">
        <f t="shared" si="21"/>
        <v>1.0218362193144765</v>
      </c>
      <c r="J205" s="234">
        <v>0</v>
      </c>
      <c r="K205" s="210">
        <f t="shared" si="22"/>
        <v>0</v>
      </c>
      <c r="L205" s="234">
        <v>164</v>
      </c>
      <c r="M205" s="211">
        <f t="shared" si="23"/>
        <v>1.0218362193144765</v>
      </c>
      <c r="N205" s="274">
        <v>594.17199999999843</v>
      </c>
      <c r="O205" s="274">
        <v>0.41</v>
      </c>
      <c r="P205" s="200">
        <v>2.471115075610094E-3</v>
      </c>
      <c r="Q205" s="274">
        <v>67.239999999999995</v>
      </c>
      <c r="R205" s="274">
        <v>3.2129999999999903</v>
      </c>
      <c r="S205" s="200">
        <v>1.9365104238866362E-2</v>
      </c>
      <c r="T205" s="198" t="s">
        <v>272</v>
      </c>
      <c r="U205" s="198" t="s">
        <v>165</v>
      </c>
      <c r="V205" s="231"/>
      <c r="W205" s="205">
        <v>1</v>
      </c>
      <c r="X205" s="198" t="s">
        <v>287</v>
      </c>
    </row>
    <row r="206" spans="2:24">
      <c r="B206" s="474"/>
      <c r="C206" s="474"/>
      <c r="D206" s="209">
        <v>100</v>
      </c>
      <c r="E206" s="198" t="s">
        <v>263</v>
      </c>
      <c r="F206" s="274">
        <v>476.00000000000131</v>
      </c>
      <c r="G206" s="274">
        <v>327.33</v>
      </c>
      <c r="H206" s="274">
        <v>334.5</v>
      </c>
      <c r="I206" s="210">
        <f t="shared" si="21"/>
        <v>1.0219045000458253</v>
      </c>
      <c r="J206" s="234">
        <v>0</v>
      </c>
      <c r="K206" s="210">
        <f t="shared" si="22"/>
        <v>0</v>
      </c>
      <c r="L206" s="234">
        <v>85</v>
      </c>
      <c r="M206" s="211">
        <f t="shared" si="23"/>
        <v>1.0219045000458253</v>
      </c>
      <c r="N206" s="274">
        <v>609.45000000000141</v>
      </c>
      <c r="O206" s="274">
        <v>1.57</v>
      </c>
      <c r="P206" s="200">
        <v>4.7963828552225586E-3</v>
      </c>
      <c r="Q206" s="274">
        <v>133.45000000000002</v>
      </c>
      <c r="R206" s="274">
        <v>5.6000000000000156</v>
      </c>
      <c r="S206" s="200">
        <v>1.7108117190602803E-2</v>
      </c>
      <c r="T206" s="198" t="s">
        <v>272</v>
      </c>
      <c r="U206" s="198" t="s">
        <v>165</v>
      </c>
      <c r="V206" s="198"/>
      <c r="W206" s="205">
        <v>1</v>
      </c>
      <c r="X206" s="198" t="s">
        <v>122</v>
      </c>
    </row>
    <row r="207" spans="2:24">
      <c r="B207" s="473">
        <v>45921</v>
      </c>
      <c r="C207" s="475" t="s">
        <v>52</v>
      </c>
      <c r="D207" s="209">
        <v>101</v>
      </c>
      <c r="E207" s="198" t="s">
        <v>302</v>
      </c>
      <c r="F207" s="274">
        <v>5000.9477999999999</v>
      </c>
      <c r="G207" s="274">
        <v>52.784999999999997</v>
      </c>
      <c r="H207" s="274">
        <v>92.25</v>
      </c>
      <c r="I207" s="210">
        <f t="shared" si="21"/>
        <v>1.7476555839727197</v>
      </c>
      <c r="J207" s="234">
        <v>0</v>
      </c>
      <c r="K207" s="210">
        <f t="shared" si="22"/>
        <v>0</v>
      </c>
      <c r="L207" s="234">
        <v>155.72</v>
      </c>
      <c r="M207" s="211">
        <f t="shared" si="23"/>
        <v>1.7476555839727197</v>
      </c>
      <c r="N207" s="274">
        <v>6145.4898000000003</v>
      </c>
      <c r="O207" s="274">
        <v>7.35</v>
      </c>
      <c r="P207" s="200">
        <v>0.13924410343847685</v>
      </c>
      <c r="Q207" s="274">
        <v>1144.5419999999999</v>
      </c>
      <c r="R207" s="274">
        <v>32.115000000000002</v>
      </c>
      <c r="S207" s="200">
        <v>0.60841148053424277</v>
      </c>
      <c r="T207" s="198" t="s">
        <v>272</v>
      </c>
      <c r="U207" s="198" t="s">
        <v>165</v>
      </c>
      <c r="V207" s="198"/>
      <c r="W207" s="205">
        <v>1</v>
      </c>
      <c r="X207" s="198" t="s">
        <v>114</v>
      </c>
    </row>
    <row r="208" spans="2:24">
      <c r="B208" s="474"/>
      <c r="C208" s="474"/>
      <c r="D208" s="209">
        <v>102</v>
      </c>
      <c r="E208" s="198" t="s">
        <v>229</v>
      </c>
      <c r="F208" s="274">
        <v>2989.1995000000006</v>
      </c>
      <c r="G208" s="274">
        <v>200.16</v>
      </c>
      <c r="H208" s="274">
        <v>210.053</v>
      </c>
      <c r="I208" s="210">
        <f t="shared" si="21"/>
        <v>1.0494254596322943</v>
      </c>
      <c r="J208" s="234">
        <v>0</v>
      </c>
      <c r="K208" s="210">
        <f t="shared" si="22"/>
        <v>0</v>
      </c>
      <c r="L208" s="234">
        <v>335.3</v>
      </c>
      <c r="M208" s="211">
        <f t="shared" si="23"/>
        <v>1.0494254596322943</v>
      </c>
      <c r="N208" s="274">
        <v>3317.1229000000003</v>
      </c>
      <c r="O208" s="274">
        <v>0.97799999999999998</v>
      </c>
      <c r="P208" s="200">
        <v>4.886091127098321E-3</v>
      </c>
      <c r="Q208" s="274">
        <v>327.92340000000002</v>
      </c>
      <c r="R208" s="274">
        <v>8.9150000000000009</v>
      </c>
      <c r="S208" s="200">
        <v>4.4539368505195846E-2</v>
      </c>
      <c r="T208" s="198" t="s">
        <v>230</v>
      </c>
      <c r="U208" s="198" t="s">
        <v>181</v>
      </c>
      <c r="V208" s="198" t="s">
        <v>276</v>
      </c>
      <c r="W208" s="205">
        <v>1</v>
      </c>
      <c r="X208" s="198" t="s">
        <v>232</v>
      </c>
    </row>
    <row r="209" spans="2:24" ht="16.5">
      <c r="B209" s="474"/>
      <c r="C209" s="474"/>
      <c r="D209" s="209">
        <v>103</v>
      </c>
      <c r="E209" s="198" t="s">
        <v>248</v>
      </c>
      <c r="F209" s="274">
        <v>967.20260000000098</v>
      </c>
      <c r="G209" s="274">
        <v>430.32</v>
      </c>
      <c r="H209" s="274">
        <v>458.77300000000002</v>
      </c>
      <c r="I209" s="210">
        <f t="shared" si="21"/>
        <v>1.0661205614426474</v>
      </c>
      <c r="J209" s="234">
        <v>0</v>
      </c>
      <c r="K209" s="210">
        <f t="shared" si="22"/>
        <v>0</v>
      </c>
      <c r="L209" s="234">
        <v>34.58</v>
      </c>
      <c r="M209" s="211">
        <f t="shared" si="23"/>
        <v>1.0661205614426474</v>
      </c>
      <c r="N209" s="274">
        <v>983.90474000000108</v>
      </c>
      <c r="O209" s="274">
        <v>0.48299999999999998</v>
      </c>
      <c r="P209" s="200">
        <v>1.1224205242610151E-3</v>
      </c>
      <c r="Q209" s="274">
        <v>16.70214</v>
      </c>
      <c r="R209" s="274">
        <v>27.970000000000031</v>
      </c>
      <c r="S209" s="200">
        <v>6.4998140918386391E-2</v>
      </c>
      <c r="T209" s="198" t="s">
        <v>272</v>
      </c>
      <c r="U209" s="198" t="s">
        <v>165</v>
      </c>
      <c r="V209" s="231"/>
      <c r="W209" s="205">
        <v>1</v>
      </c>
      <c r="X209" s="198" t="s">
        <v>117</v>
      </c>
    </row>
    <row r="210" spans="2:24">
      <c r="B210" s="474"/>
      <c r="C210" s="474"/>
      <c r="D210" s="209">
        <v>104</v>
      </c>
      <c r="E210" s="198" t="s">
        <v>323</v>
      </c>
      <c r="F210" s="274">
        <v>928.80944000000397</v>
      </c>
      <c r="G210" s="274">
        <v>211.14</v>
      </c>
      <c r="H210" s="274">
        <v>215.94800000000001</v>
      </c>
      <c r="I210" s="210">
        <f t="shared" si="21"/>
        <v>1.022771620725585</v>
      </c>
      <c r="J210" s="234">
        <v>0</v>
      </c>
      <c r="K210" s="210">
        <f t="shared" si="22"/>
        <v>0</v>
      </c>
      <c r="L210" s="234">
        <v>193.17999999999998</v>
      </c>
      <c r="M210" s="211">
        <f t="shared" si="23"/>
        <v>1.022771620725585</v>
      </c>
      <c r="N210" s="274">
        <v>928.80944000000397</v>
      </c>
      <c r="O210" s="274">
        <v>0</v>
      </c>
      <c r="P210" s="200">
        <v>0</v>
      </c>
      <c r="Q210" s="274">
        <v>0</v>
      </c>
      <c r="R210" s="274">
        <v>4.8080000000000211</v>
      </c>
      <c r="S210" s="200">
        <v>2.2771620725585022E-2</v>
      </c>
      <c r="T210" s="198" t="s">
        <v>272</v>
      </c>
      <c r="U210" s="198" t="s">
        <v>165</v>
      </c>
      <c r="V210" s="198"/>
      <c r="W210" s="205">
        <v>1</v>
      </c>
      <c r="X210" s="198" t="s">
        <v>114</v>
      </c>
    </row>
    <row r="211" spans="2:24">
      <c r="B211" s="474"/>
      <c r="C211" s="474"/>
      <c r="D211" s="209">
        <v>105</v>
      </c>
      <c r="E211" s="198" t="s">
        <v>268</v>
      </c>
      <c r="F211" s="274">
        <v>927.3297299999972</v>
      </c>
      <c r="G211" s="274">
        <v>771.39</v>
      </c>
      <c r="H211" s="274">
        <v>777.30899999999997</v>
      </c>
      <c r="I211" s="210">
        <f t="shared" si="21"/>
        <v>1.0076731614358496</v>
      </c>
      <c r="J211" s="234">
        <v>0</v>
      </c>
      <c r="K211" s="210">
        <f t="shared" si="22"/>
        <v>0</v>
      </c>
      <c r="L211" s="234">
        <v>156.66999999999999</v>
      </c>
      <c r="M211" s="211">
        <f t="shared" si="23"/>
        <v>1.0076731614358496</v>
      </c>
      <c r="N211" s="274">
        <v>927.3297299999972</v>
      </c>
      <c r="O211" s="274">
        <v>0</v>
      </c>
      <c r="P211" s="200">
        <v>0</v>
      </c>
      <c r="Q211" s="274">
        <v>0</v>
      </c>
      <c r="R211" s="274">
        <v>5.9189999999999827</v>
      </c>
      <c r="S211" s="200">
        <v>7.6731614358495478E-3</v>
      </c>
      <c r="T211" s="198" t="s">
        <v>272</v>
      </c>
      <c r="U211" s="198" t="s">
        <v>165</v>
      </c>
      <c r="V211" s="198"/>
      <c r="W211" s="205">
        <v>1</v>
      </c>
      <c r="X211" s="198" t="s">
        <v>244</v>
      </c>
    </row>
    <row r="212" spans="2:24" ht="16.5">
      <c r="B212" s="474"/>
      <c r="C212" s="474"/>
      <c r="D212" s="209">
        <v>106</v>
      </c>
      <c r="E212" s="198" t="s">
        <v>329</v>
      </c>
      <c r="F212" s="274">
        <v>922.8055399999995</v>
      </c>
      <c r="G212" s="274">
        <v>51.084000000000003</v>
      </c>
      <c r="H212" s="274">
        <v>64.3</v>
      </c>
      <c r="I212" s="210">
        <f t="shared" si="21"/>
        <v>1.2587111424320725</v>
      </c>
      <c r="J212" s="234">
        <v>0</v>
      </c>
      <c r="K212" s="210">
        <f t="shared" si="22"/>
        <v>0</v>
      </c>
      <c r="L212" s="234">
        <v>81.19</v>
      </c>
      <c r="M212" s="211">
        <f t="shared" si="23"/>
        <v>1.2587111424320725</v>
      </c>
      <c r="N212" s="274">
        <v>1073.0070399999995</v>
      </c>
      <c r="O212" s="274">
        <v>1.85</v>
      </c>
      <c r="P212" s="200">
        <v>3.6214861796257145E-2</v>
      </c>
      <c r="Q212" s="274">
        <v>150.20150000000001</v>
      </c>
      <c r="R212" s="274">
        <v>11.365999999999994</v>
      </c>
      <c r="S212" s="200">
        <v>0.22249628063581539</v>
      </c>
      <c r="T212" s="198" t="s">
        <v>272</v>
      </c>
      <c r="U212" s="198" t="s">
        <v>165</v>
      </c>
      <c r="V212" s="231"/>
      <c r="W212" s="205">
        <v>1</v>
      </c>
      <c r="X212" s="198" t="s">
        <v>124</v>
      </c>
    </row>
    <row r="213" spans="2:24">
      <c r="B213" s="474"/>
      <c r="C213" s="474"/>
      <c r="D213" s="209">
        <v>107</v>
      </c>
      <c r="E213" s="198" t="s">
        <v>259</v>
      </c>
      <c r="F213" s="274">
        <v>797.66729999999757</v>
      </c>
      <c r="G213" s="274">
        <v>126.39</v>
      </c>
      <c r="H213" s="274">
        <v>140.19999999999999</v>
      </c>
      <c r="I213" s="210">
        <f t="shared" si="21"/>
        <v>1.1092649734947384</v>
      </c>
      <c r="J213" s="234">
        <v>0</v>
      </c>
      <c r="K213" s="210">
        <f t="shared" si="22"/>
        <v>0</v>
      </c>
      <c r="L213" s="234">
        <v>216.17</v>
      </c>
      <c r="M213" s="211">
        <f t="shared" si="23"/>
        <v>1.1092649734947384</v>
      </c>
      <c r="N213" s="274">
        <v>2985.3076999999971</v>
      </c>
      <c r="O213" s="274">
        <v>10.119999999999999</v>
      </c>
      <c r="P213" s="200">
        <v>8.006962576153176E-2</v>
      </c>
      <c r="Q213" s="274">
        <v>2187.6403999999998</v>
      </c>
      <c r="R213" s="274">
        <v>3.6899999999999888</v>
      </c>
      <c r="S213" s="200">
        <v>2.9195347733206652E-2</v>
      </c>
      <c r="T213" s="198" t="s">
        <v>272</v>
      </c>
      <c r="U213" s="198" t="s">
        <v>165</v>
      </c>
      <c r="V213" s="198"/>
      <c r="W213" s="205">
        <v>1</v>
      </c>
      <c r="X213" s="198" t="s">
        <v>115</v>
      </c>
    </row>
    <row r="214" spans="2:24">
      <c r="B214" s="474"/>
      <c r="C214" s="474"/>
      <c r="D214" s="209">
        <v>108</v>
      </c>
      <c r="E214" s="198" t="s">
        <v>262</v>
      </c>
      <c r="F214" s="274">
        <v>737.0210399999994</v>
      </c>
      <c r="G214" s="274">
        <v>316.92</v>
      </c>
      <c r="H214" s="274">
        <v>324.28800000000001</v>
      </c>
      <c r="I214" s="210">
        <f t="shared" si="21"/>
        <v>1.0232487694055281</v>
      </c>
      <c r="J214" s="234">
        <v>0</v>
      </c>
      <c r="K214" s="210">
        <f t="shared" si="22"/>
        <v>0</v>
      </c>
      <c r="L214" s="234">
        <v>100.02999999999999</v>
      </c>
      <c r="M214" s="211">
        <f t="shared" si="23"/>
        <v>1.0232487694055281</v>
      </c>
      <c r="N214" s="274">
        <v>737.0210399999994</v>
      </c>
      <c r="O214" s="274">
        <v>0</v>
      </c>
      <c r="P214" s="200">
        <v>0</v>
      </c>
      <c r="Q214" s="274">
        <v>0</v>
      </c>
      <c r="R214" s="274">
        <v>7.367999999999995</v>
      </c>
      <c r="S214" s="200">
        <v>2.3248769405528193E-2</v>
      </c>
      <c r="T214" s="198" t="s">
        <v>272</v>
      </c>
      <c r="U214" s="198" t="s">
        <v>165</v>
      </c>
      <c r="V214" s="198"/>
      <c r="W214" s="205">
        <v>1</v>
      </c>
      <c r="X214" s="198" t="s">
        <v>232</v>
      </c>
    </row>
    <row r="215" spans="2:24">
      <c r="B215" s="474"/>
      <c r="C215" s="474"/>
      <c r="D215" s="209">
        <v>109</v>
      </c>
      <c r="E215" s="198" t="s">
        <v>271</v>
      </c>
      <c r="F215" s="274">
        <v>473.42018999999846</v>
      </c>
      <c r="G215" s="274">
        <v>238.86</v>
      </c>
      <c r="H215" s="274">
        <v>242.197</v>
      </c>
      <c r="I215" s="210">
        <f t="shared" si="21"/>
        <v>1.0139705266683412</v>
      </c>
      <c r="J215" s="234">
        <v>0</v>
      </c>
      <c r="K215" s="210">
        <f t="shared" si="22"/>
        <v>0</v>
      </c>
      <c r="L215" s="234">
        <v>141.87</v>
      </c>
      <c r="M215" s="211">
        <f t="shared" si="23"/>
        <v>1.0139705266683412</v>
      </c>
      <c r="N215" s="274">
        <v>473.42018999999846</v>
      </c>
      <c r="O215" s="274">
        <v>0</v>
      </c>
      <c r="P215" s="200">
        <v>0</v>
      </c>
      <c r="Q215" s="274">
        <v>0</v>
      </c>
      <c r="R215" s="274">
        <v>3.3369999999999891</v>
      </c>
      <c r="S215" s="200">
        <v>1.397052666834124E-2</v>
      </c>
      <c r="T215" s="198" t="s">
        <v>272</v>
      </c>
      <c r="U215" s="198" t="s">
        <v>165</v>
      </c>
      <c r="V215" s="198"/>
      <c r="W215" s="205">
        <v>1</v>
      </c>
      <c r="X215" s="198" t="s">
        <v>109</v>
      </c>
    </row>
    <row r="216" spans="2:24">
      <c r="B216" s="474"/>
      <c r="C216" s="474"/>
      <c r="D216" s="209">
        <v>110</v>
      </c>
      <c r="E216" s="198" t="s">
        <v>342</v>
      </c>
      <c r="F216" s="274">
        <v>385.56000000000012</v>
      </c>
      <c r="G216" s="274">
        <v>4.8659999999999997</v>
      </c>
      <c r="H216" s="274">
        <v>6</v>
      </c>
      <c r="I216" s="210">
        <f t="shared" si="21"/>
        <v>1.2330456226880395</v>
      </c>
      <c r="J216" s="234">
        <v>0</v>
      </c>
      <c r="K216" s="210">
        <f t="shared" si="22"/>
        <v>0</v>
      </c>
      <c r="L216" s="234">
        <v>340</v>
      </c>
      <c r="M216" s="211">
        <f t="shared" si="23"/>
        <v>1.2330456226880395</v>
      </c>
      <c r="N216" s="274">
        <v>385.56000000000012</v>
      </c>
      <c r="O216" s="274">
        <v>0</v>
      </c>
      <c r="P216" s="200">
        <v>0</v>
      </c>
      <c r="Q216" s="274">
        <v>0</v>
      </c>
      <c r="R216" s="274">
        <v>1.1340000000000003</v>
      </c>
      <c r="S216" s="200">
        <v>0.23304562268803955</v>
      </c>
      <c r="T216" s="198" t="s">
        <v>272</v>
      </c>
      <c r="U216" s="198" t="s">
        <v>165</v>
      </c>
      <c r="V216" s="198"/>
      <c r="W216" s="205">
        <v>1</v>
      </c>
      <c r="X216" s="198" t="s">
        <v>110</v>
      </c>
    </row>
    <row r="217" spans="2:24">
      <c r="B217" s="473">
        <v>45922</v>
      </c>
      <c r="C217" s="475" t="s">
        <v>56</v>
      </c>
      <c r="D217" s="209">
        <v>111</v>
      </c>
      <c r="E217" s="198" t="s">
        <v>265</v>
      </c>
      <c r="F217" s="274">
        <v>1890.7765199999958</v>
      </c>
      <c r="G217" s="274">
        <v>296.00400000000002</v>
      </c>
      <c r="H217" s="274">
        <v>297.3</v>
      </c>
      <c r="I217" s="210">
        <f t="shared" si="21"/>
        <v>1.0043783192119025</v>
      </c>
      <c r="J217" s="234">
        <v>15.4</v>
      </c>
      <c r="K217" s="210">
        <f t="shared" si="22"/>
        <v>5.2026323968595016E-2</v>
      </c>
      <c r="L217" s="234">
        <v>140.62</v>
      </c>
      <c r="M217" s="211">
        <f t="shared" si="23"/>
        <v>1.0564046431804974</v>
      </c>
      <c r="N217" s="274">
        <v>2347.7915199999957</v>
      </c>
      <c r="O217" s="274">
        <v>3.25</v>
      </c>
      <c r="P217" s="200">
        <v>1.0979581357008689E-2</v>
      </c>
      <c r="Q217" s="274">
        <v>457.01499999999999</v>
      </c>
      <c r="R217" s="274">
        <v>13.44599999999997</v>
      </c>
      <c r="S217" s="200">
        <v>4.5425061823488766E-2</v>
      </c>
      <c r="T217" s="198" t="s">
        <v>272</v>
      </c>
      <c r="U217" s="198" t="s">
        <v>165</v>
      </c>
      <c r="V217" s="198"/>
      <c r="W217" s="205">
        <v>1</v>
      </c>
      <c r="X217" s="198" t="s">
        <v>106</v>
      </c>
    </row>
    <row r="218" spans="2:24" ht="16.5">
      <c r="B218" s="474"/>
      <c r="C218" s="474"/>
      <c r="D218" s="209">
        <v>112</v>
      </c>
      <c r="E218" s="198" t="s">
        <v>318</v>
      </c>
      <c r="F218" s="274">
        <v>1654.3999999999996</v>
      </c>
      <c r="G218" s="274">
        <v>31.728000000000002</v>
      </c>
      <c r="H218" s="274">
        <v>40</v>
      </c>
      <c r="I218" s="210">
        <f t="shared" si="21"/>
        <v>1.2607160867372667</v>
      </c>
      <c r="J218" s="234">
        <v>0</v>
      </c>
      <c r="K218" s="210">
        <f t="shared" si="22"/>
        <v>0</v>
      </c>
      <c r="L218" s="234">
        <v>200</v>
      </c>
      <c r="M218" s="211">
        <f t="shared" si="23"/>
        <v>1.2607160867372667</v>
      </c>
      <c r="N218" s="274">
        <v>1654.3999999999996</v>
      </c>
      <c r="O218" s="274">
        <v>0</v>
      </c>
      <c r="P218" s="200">
        <v>0</v>
      </c>
      <c r="Q218" s="274">
        <v>0</v>
      </c>
      <c r="R218" s="274">
        <v>8.2719999999999985</v>
      </c>
      <c r="S218" s="200">
        <v>0.26071608673726671</v>
      </c>
      <c r="T218" s="198" t="s">
        <v>272</v>
      </c>
      <c r="U218" s="198" t="s">
        <v>165</v>
      </c>
      <c r="V218" s="231"/>
      <c r="W218" s="205">
        <v>1</v>
      </c>
      <c r="X218" s="198" t="s">
        <v>109</v>
      </c>
    </row>
    <row r="219" spans="2:24" ht="16.5">
      <c r="B219" s="474"/>
      <c r="C219" s="474"/>
      <c r="D219" s="209">
        <v>113</v>
      </c>
      <c r="E219" s="198" t="s">
        <v>239</v>
      </c>
      <c r="F219" s="274">
        <v>886.11600000000112</v>
      </c>
      <c r="G219" s="274">
        <v>169.95</v>
      </c>
      <c r="H219" s="274">
        <v>194</v>
      </c>
      <c r="I219" s="210">
        <f t="shared" si="21"/>
        <v>1.1415122094733745</v>
      </c>
      <c r="J219" s="234">
        <v>0</v>
      </c>
      <c r="K219" s="210">
        <f t="shared" si="22"/>
        <v>0</v>
      </c>
      <c r="L219" s="234">
        <v>115.08</v>
      </c>
      <c r="M219" s="211">
        <f t="shared" si="23"/>
        <v>1.1415122094733745</v>
      </c>
      <c r="N219" s="274">
        <v>2767.6740000000013</v>
      </c>
      <c r="O219" s="274">
        <v>16.350000000000001</v>
      </c>
      <c r="P219" s="200">
        <v>9.6204766107678738E-2</v>
      </c>
      <c r="Q219" s="274">
        <v>1881.5580000000002</v>
      </c>
      <c r="R219" s="274">
        <v>7.7000000000000099</v>
      </c>
      <c r="S219" s="200">
        <v>4.5307443365695851E-2</v>
      </c>
      <c r="T219" s="198" t="s">
        <v>272</v>
      </c>
      <c r="U219" s="198" t="s">
        <v>165</v>
      </c>
      <c r="V219" s="231"/>
      <c r="W219" s="205">
        <v>1</v>
      </c>
      <c r="X219" s="198" t="s">
        <v>116</v>
      </c>
    </row>
    <row r="220" spans="2:24">
      <c r="B220" s="474"/>
      <c r="C220" s="474"/>
      <c r="D220" s="209">
        <v>114</v>
      </c>
      <c r="E220" s="198" t="s">
        <v>325</v>
      </c>
      <c r="F220" s="274">
        <v>634.49999999999989</v>
      </c>
      <c r="G220" s="274">
        <v>18.3</v>
      </c>
      <c r="H220" s="274">
        <v>21</v>
      </c>
      <c r="I220" s="210">
        <f t="shared" si="21"/>
        <v>1.1475409836065573</v>
      </c>
      <c r="J220" s="234">
        <v>0</v>
      </c>
      <c r="K220" s="210">
        <f t="shared" si="22"/>
        <v>0</v>
      </c>
      <c r="L220" s="234">
        <v>235</v>
      </c>
      <c r="M220" s="211">
        <f t="shared" si="23"/>
        <v>1.1475409836065573</v>
      </c>
      <c r="N220" s="274">
        <v>634.49999999999989</v>
      </c>
      <c r="O220" s="274">
        <v>0</v>
      </c>
      <c r="P220" s="200">
        <v>0</v>
      </c>
      <c r="Q220" s="274">
        <v>0</v>
      </c>
      <c r="R220" s="274">
        <v>2.6999999999999993</v>
      </c>
      <c r="S220" s="200">
        <v>0.14754098360655732</v>
      </c>
      <c r="T220" s="198" t="s">
        <v>272</v>
      </c>
      <c r="U220" s="198" t="s">
        <v>165</v>
      </c>
      <c r="V220" s="198"/>
      <c r="W220" s="205">
        <v>1</v>
      </c>
      <c r="X220" s="198" t="s">
        <v>103</v>
      </c>
    </row>
    <row r="221" spans="2:24">
      <c r="B221" s="474"/>
      <c r="C221" s="474"/>
      <c r="D221" s="209">
        <v>115</v>
      </c>
      <c r="E221" s="198" t="s">
        <v>229</v>
      </c>
      <c r="F221" s="274">
        <v>565.31579999999667</v>
      </c>
      <c r="G221" s="274">
        <v>195</v>
      </c>
      <c r="H221" s="274">
        <v>200.74199999999999</v>
      </c>
      <c r="I221" s="210">
        <f t="shared" si="21"/>
        <v>1.0294461538461539</v>
      </c>
      <c r="J221" s="234">
        <v>0</v>
      </c>
      <c r="K221" s="210">
        <f t="shared" si="22"/>
        <v>0</v>
      </c>
      <c r="L221" s="234">
        <v>335.3</v>
      </c>
      <c r="M221" s="211">
        <f t="shared" si="23"/>
        <v>1.0294461538461539</v>
      </c>
      <c r="N221" s="274">
        <v>1925.2925999999968</v>
      </c>
      <c r="O221" s="274">
        <v>4.056</v>
      </c>
      <c r="P221" s="200">
        <v>2.0799999999999999E-2</v>
      </c>
      <c r="Q221" s="274">
        <v>1359.9768000000001</v>
      </c>
      <c r="R221" s="274">
        <v>1.6859999999999902</v>
      </c>
      <c r="S221" s="200">
        <v>8.6461538461537965E-3</v>
      </c>
      <c r="T221" s="198" t="s">
        <v>230</v>
      </c>
      <c r="U221" s="198" t="s">
        <v>181</v>
      </c>
      <c r="V221" s="198" t="s">
        <v>276</v>
      </c>
      <c r="W221" s="205">
        <v>1</v>
      </c>
      <c r="X221" s="198" t="s">
        <v>232</v>
      </c>
    </row>
    <row r="222" spans="2:24" ht="16.5">
      <c r="B222" s="474"/>
      <c r="C222" s="474"/>
      <c r="D222" s="209">
        <v>116</v>
      </c>
      <c r="E222" s="198" t="s">
        <v>248</v>
      </c>
      <c r="F222" s="274">
        <v>547.95467999999744</v>
      </c>
      <c r="G222" s="274">
        <v>1342</v>
      </c>
      <c r="H222" s="274">
        <v>1362.9549999999999</v>
      </c>
      <c r="I222" s="210">
        <f t="shared" si="21"/>
        <v>1.0156147540983607</v>
      </c>
      <c r="J222" s="234">
        <v>0</v>
      </c>
      <c r="K222" s="210">
        <f t="shared" si="22"/>
        <v>0</v>
      </c>
      <c r="L222" s="234">
        <v>34.58</v>
      </c>
      <c r="M222" s="211">
        <f t="shared" si="23"/>
        <v>1.0156147540983607</v>
      </c>
      <c r="N222" s="274">
        <v>724.62389999999743</v>
      </c>
      <c r="O222" s="274">
        <v>5.109</v>
      </c>
      <c r="P222" s="200">
        <v>3.8070044709388974E-3</v>
      </c>
      <c r="Q222" s="274">
        <v>176.66922</v>
      </c>
      <c r="R222" s="274">
        <v>15.845999999999927</v>
      </c>
      <c r="S222" s="200">
        <v>1.1807749627421704E-2</v>
      </c>
      <c r="T222" s="198" t="s">
        <v>272</v>
      </c>
      <c r="U222" s="198" t="s">
        <v>165</v>
      </c>
      <c r="V222" s="231"/>
      <c r="W222" s="205">
        <v>1</v>
      </c>
      <c r="X222" s="198" t="s">
        <v>103</v>
      </c>
    </row>
    <row r="223" spans="2:24">
      <c r="B223" s="474"/>
      <c r="C223" s="474"/>
      <c r="D223" s="209">
        <v>117</v>
      </c>
      <c r="E223" s="198" t="s">
        <v>302</v>
      </c>
      <c r="F223" s="274">
        <v>446.91639999999961</v>
      </c>
      <c r="G223" s="274">
        <v>53.13</v>
      </c>
      <c r="H223" s="274">
        <v>60.25</v>
      </c>
      <c r="I223" s="210">
        <f t="shared" si="21"/>
        <v>1.1340109166196122</v>
      </c>
      <c r="J223" s="234">
        <v>0</v>
      </c>
      <c r="K223" s="210">
        <f t="shared" si="22"/>
        <v>0</v>
      </c>
      <c r="L223" s="234">
        <v>155.72</v>
      </c>
      <c r="M223" s="211">
        <f t="shared" si="23"/>
        <v>1.1340109166196122</v>
      </c>
      <c r="N223" s="274">
        <v>1108.7263999999996</v>
      </c>
      <c r="O223" s="274">
        <v>4.25</v>
      </c>
      <c r="P223" s="200">
        <v>7.999247129681912E-2</v>
      </c>
      <c r="Q223" s="274">
        <v>661.81</v>
      </c>
      <c r="R223" s="274">
        <v>2.8699999999999974</v>
      </c>
      <c r="S223" s="200">
        <v>5.4018445322793096E-2</v>
      </c>
      <c r="T223" s="198" t="s">
        <v>272</v>
      </c>
      <c r="U223" s="198" t="s">
        <v>165</v>
      </c>
      <c r="V223" s="198"/>
      <c r="W223" s="205">
        <v>1</v>
      </c>
      <c r="X223" s="198" t="s">
        <v>114</v>
      </c>
    </row>
    <row r="224" spans="2:24">
      <c r="B224" s="474"/>
      <c r="C224" s="474"/>
      <c r="D224" s="209">
        <v>118</v>
      </c>
      <c r="E224" s="198" t="s">
        <v>303</v>
      </c>
      <c r="F224" s="274">
        <v>405.8984800000004</v>
      </c>
      <c r="G224" s="274">
        <v>79.165999999999997</v>
      </c>
      <c r="H224" s="274">
        <v>103.2</v>
      </c>
      <c r="I224" s="210">
        <f t="shared" si="21"/>
        <v>1.3035899249677894</v>
      </c>
      <c r="J224" s="234">
        <v>0</v>
      </c>
      <c r="K224" s="210">
        <f t="shared" si="22"/>
        <v>0</v>
      </c>
      <c r="L224" s="234">
        <v>54.97</v>
      </c>
      <c r="M224" s="211">
        <f t="shared" si="23"/>
        <v>1.3035899249677894</v>
      </c>
      <c r="N224" s="274">
        <v>1321.1489800000004</v>
      </c>
      <c r="O224" s="274">
        <v>16.649999999999999</v>
      </c>
      <c r="P224" s="200">
        <v>0.21031756056893108</v>
      </c>
      <c r="Q224" s="274">
        <v>915.25049999999987</v>
      </c>
      <c r="R224" s="274">
        <v>7.3840000000000074</v>
      </c>
      <c r="S224" s="200">
        <v>9.3272364398858193E-2</v>
      </c>
      <c r="T224" s="198" t="s">
        <v>272</v>
      </c>
      <c r="U224" s="198" t="s">
        <v>165</v>
      </c>
      <c r="V224" s="198"/>
      <c r="W224" s="205">
        <v>1</v>
      </c>
      <c r="X224" s="198" t="s">
        <v>124</v>
      </c>
    </row>
    <row r="225" spans="2:24">
      <c r="B225" s="474"/>
      <c r="C225" s="474"/>
      <c r="D225" s="209">
        <v>119</v>
      </c>
      <c r="E225" s="198" t="s">
        <v>295</v>
      </c>
      <c r="F225" s="274">
        <v>385.11849999999885</v>
      </c>
      <c r="G225" s="274">
        <v>63.81</v>
      </c>
      <c r="H225" s="274">
        <v>70.3</v>
      </c>
      <c r="I225" s="210">
        <f t="shared" si="21"/>
        <v>1.1017081962074908</v>
      </c>
      <c r="J225" s="234">
        <v>0</v>
      </c>
      <c r="K225" s="210">
        <f t="shared" si="22"/>
        <v>0</v>
      </c>
      <c r="L225" s="234">
        <v>215.15</v>
      </c>
      <c r="M225" s="211">
        <f t="shared" si="23"/>
        <v>1.1017081962074908</v>
      </c>
      <c r="N225" s="274">
        <v>1396.3234999999988</v>
      </c>
      <c r="O225" s="274">
        <v>4.7</v>
      </c>
      <c r="P225" s="200">
        <v>7.3656166745024287E-2</v>
      </c>
      <c r="Q225" s="274">
        <v>1011.205</v>
      </c>
      <c r="R225" s="274">
        <v>1.7899999999999947</v>
      </c>
      <c r="S225" s="200">
        <v>2.8052029462466613E-2</v>
      </c>
      <c r="T225" s="198" t="s">
        <v>272</v>
      </c>
      <c r="U225" s="198" t="s">
        <v>165</v>
      </c>
      <c r="V225" s="198"/>
      <c r="W225" s="205">
        <v>1</v>
      </c>
      <c r="X225" s="198" t="s">
        <v>117</v>
      </c>
    </row>
    <row r="226" spans="2:24">
      <c r="B226" s="474"/>
      <c r="C226" s="474"/>
      <c r="D226" s="209">
        <v>120</v>
      </c>
      <c r="E226" s="198" t="s">
        <v>294</v>
      </c>
      <c r="F226" s="274">
        <v>368.93253999999985</v>
      </c>
      <c r="G226" s="274">
        <v>115.246</v>
      </c>
      <c r="H226" s="274">
        <v>123.6</v>
      </c>
      <c r="I226" s="210">
        <f t="shared" si="21"/>
        <v>1.0724884160838555</v>
      </c>
      <c r="J226" s="234">
        <v>0</v>
      </c>
      <c r="K226" s="210">
        <f t="shared" si="22"/>
        <v>0</v>
      </c>
      <c r="L226" s="234">
        <v>139.01</v>
      </c>
      <c r="M226" s="211">
        <f t="shared" si="23"/>
        <v>1.0724884160838555</v>
      </c>
      <c r="N226" s="274">
        <v>1161.2895399999998</v>
      </c>
      <c r="O226" s="274">
        <v>5.7</v>
      </c>
      <c r="P226" s="200">
        <v>4.945941724658557E-2</v>
      </c>
      <c r="Q226" s="274">
        <v>792.35699999999997</v>
      </c>
      <c r="R226" s="274">
        <v>2.653999999999999</v>
      </c>
      <c r="S226" s="200">
        <v>2.3028998837269832E-2</v>
      </c>
      <c r="T226" s="198" t="s">
        <v>272</v>
      </c>
      <c r="U226" s="198" t="s">
        <v>165</v>
      </c>
      <c r="V226" s="198"/>
      <c r="W226" s="205">
        <v>1</v>
      </c>
      <c r="X226" s="198" t="s">
        <v>118</v>
      </c>
    </row>
    <row r="227" spans="2:24">
      <c r="B227" s="473">
        <v>45923</v>
      </c>
      <c r="C227" s="475" t="s">
        <v>57</v>
      </c>
      <c r="D227" s="209">
        <v>121</v>
      </c>
      <c r="E227" s="198" t="s">
        <v>229</v>
      </c>
      <c r="F227" s="274">
        <v>2617.3517999999981</v>
      </c>
      <c r="G227" s="274">
        <v>170.16</v>
      </c>
      <c r="H227" s="274">
        <v>179.86699999999999</v>
      </c>
      <c r="I227" s="210">
        <f t="shared" si="21"/>
        <v>1.0570463093559004</v>
      </c>
      <c r="J227" s="234">
        <v>0</v>
      </c>
      <c r="K227" s="210">
        <f t="shared" si="22"/>
        <v>0</v>
      </c>
      <c r="L227" s="234">
        <v>335.3</v>
      </c>
      <c r="M227" s="211">
        <f t="shared" si="23"/>
        <v>1.0570463093559004</v>
      </c>
      <c r="N227" s="274">
        <v>3254.757099999998</v>
      </c>
      <c r="O227" s="274">
        <v>1.901</v>
      </c>
      <c r="P227" s="200">
        <v>1.1171838269863657E-2</v>
      </c>
      <c r="Q227" s="274">
        <v>637.40530000000001</v>
      </c>
      <c r="R227" s="274">
        <v>7.8059999999999938</v>
      </c>
      <c r="S227" s="200">
        <v>4.5874471086036636E-2</v>
      </c>
      <c r="T227" s="198" t="s">
        <v>230</v>
      </c>
      <c r="U227" s="198" t="s">
        <v>181</v>
      </c>
      <c r="V227" s="198" t="s">
        <v>276</v>
      </c>
      <c r="W227" s="205">
        <v>1</v>
      </c>
      <c r="X227" s="198" t="s">
        <v>232</v>
      </c>
    </row>
    <row r="228" spans="2:24" ht="16.5">
      <c r="B228" s="474"/>
      <c r="C228" s="474"/>
      <c r="D228" s="209">
        <v>122</v>
      </c>
      <c r="E228" s="198" t="s">
        <v>325</v>
      </c>
      <c r="F228" s="274">
        <v>1365.1150000000002</v>
      </c>
      <c r="G228" s="274">
        <v>16.190999999999999</v>
      </c>
      <c r="H228" s="274">
        <v>22</v>
      </c>
      <c r="I228" s="210">
        <f t="shared" si="21"/>
        <v>1.3587795688963005</v>
      </c>
      <c r="J228" s="234">
        <v>0</v>
      </c>
      <c r="K228" s="210">
        <f t="shared" si="22"/>
        <v>0</v>
      </c>
      <c r="L228" s="234">
        <v>235</v>
      </c>
      <c r="M228" s="211">
        <f t="shared" si="23"/>
        <v>1.3587795688963005</v>
      </c>
      <c r="N228" s="274">
        <v>1365.1150000000002</v>
      </c>
      <c r="O228" s="274">
        <v>0</v>
      </c>
      <c r="P228" s="200">
        <v>0</v>
      </c>
      <c r="Q228" s="274">
        <v>0</v>
      </c>
      <c r="R228" s="274">
        <v>5.8090000000000011</v>
      </c>
      <c r="S228" s="200">
        <v>0.35877956889630053</v>
      </c>
      <c r="T228" s="198" t="s">
        <v>272</v>
      </c>
      <c r="U228" s="198" t="s">
        <v>165</v>
      </c>
      <c r="V228" s="231"/>
      <c r="W228" s="205">
        <v>1</v>
      </c>
      <c r="X228" s="198" t="s">
        <v>103</v>
      </c>
    </row>
    <row r="229" spans="2:24" ht="16.5">
      <c r="B229" s="474"/>
      <c r="C229" s="474"/>
      <c r="D229" s="209">
        <v>123</v>
      </c>
      <c r="E229" s="198" t="s">
        <v>336</v>
      </c>
      <c r="F229" s="274">
        <v>1275.9560000000031</v>
      </c>
      <c r="G229" s="274">
        <v>50.381999999999998</v>
      </c>
      <c r="H229" s="274">
        <v>52.45</v>
      </c>
      <c r="I229" s="210">
        <f t="shared" si="21"/>
        <v>1.0410464054622683</v>
      </c>
      <c r="J229" s="234">
        <v>0</v>
      </c>
      <c r="K229" s="210">
        <f t="shared" si="22"/>
        <v>0</v>
      </c>
      <c r="L229" s="234">
        <v>617</v>
      </c>
      <c r="M229" s="211">
        <f t="shared" si="23"/>
        <v>1.0410464054622683</v>
      </c>
      <c r="N229" s="274">
        <v>1275.9560000000031</v>
      </c>
      <c r="O229" s="274">
        <v>0</v>
      </c>
      <c r="P229" s="200">
        <v>0</v>
      </c>
      <c r="Q229" s="274">
        <v>0</v>
      </c>
      <c r="R229" s="274">
        <v>2.0680000000000049</v>
      </c>
      <c r="S229" s="200">
        <v>4.1046405462268371E-2</v>
      </c>
      <c r="T229" s="198" t="s">
        <v>272</v>
      </c>
      <c r="U229" s="198" t="s">
        <v>165</v>
      </c>
      <c r="V229" s="231"/>
      <c r="W229" s="205">
        <v>1</v>
      </c>
      <c r="X229" s="198" t="s">
        <v>111</v>
      </c>
    </row>
    <row r="230" spans="2:24" ht="16.5">
      <c r="B230" s="474"/>
      <c r="C230" s="474"/>
      <c r="D230" s="209">
        <v>124</v>
      </c>
      <c r="E230" s="198" t="s">
        <v>234</v>
      </c>
      <c r="F230" s="274">
        <v>1032.7368000000004</v>
      </c>
      <c r="G230" s="274">
        <v>129.69</v>
      </c>
      <c r="H230" s="274">
        <v>144</v>
      </c>
      <c r="I230" s="210">
        <f t="shared" si="21"/>
        <v>1.1103400416377516</v>
      </c>
      <c r="J230" s="234">
        <v>0</v>
      </c>
      <c r="K230" s="210">
        <f t="shared" si="22"/>
        <v>0</v>
      </c>
      <c r="L230" s="234">
        <v>162.38</v>
      </c>
      <c r="M230" s="211">
        <f t="shared" si="23"/>
        <v>1.1103400416377516</v>
      </c>
      <c r="N230" s="274">
        <v>2323.6578000000004</v>
      </c>
      <c r="O230" s="274">
        <v>7.95</v>
      </c>
      <c r="P230" s="200">
        <v>6.13000231320842E-2</v>
      </c>
      <c r="Q230" s="274">
        <v>1290.921</v>
      </c>
      <c r="R230" s="274">
        <v>6.3600000000000021</v>
      </c>
      <c r="S230" s="200">
        <v>4.9040018505667381E-2</v>
      </c>
      <c r="T230" s="198" t="s">
        <v>272</v>
      </c>
      <c r="U230" s="198" t="s">
        <v>165</v>
      </c>
      <c r="V230" s="231"/>
      <c r="W230" s="205">
        <v>1</v>
      </c>
      <c r="X230" s="198" t="s">
        <v>113</v>
      </c>
    </row>
    <row r="231" spans="2:24">
      <c r="B231" s="474"/>
      <c r="C231" s="474"/>
      <c r="D231" s="209">
        <v>125</v>
      </c>
      <c r="E231" s="198" t="s">
        <v>329</v>
      </c>
      <c r="F231" s="274">
        <v>766.43359999999996</v>
      </c>
      <c r="G231" s="274">
        <v>42.444000000000003</v>
      </c>
      <c r="H231" s="274">
        <v>52.1</v>
      </c>
      <c r="I231" s="210">
        <f t="shared" si="21"/>
        <v>1.2274997643954386</v>
      </c>
      <c r="J231" s="234">
        <v>0</v>
      </c>
      <c r="K231" s="210">
        <f t="shared" si="22"/>
        <v>0</v>
      </c>
      <c r="L231" s="234">
        <v>81.19</v>
      </c>
      <c r="M231" s="211">
        <f t="shared" si="23"/>
        <v>1.2274997643954386</v>
      </c>
      <c r="N231" s="274">
        <v>783.97063999999989</v>
      </c>
      <c r="O231" s="274">
        <v>0.216</v>
      </c>
      <c r="P231" s="200">
        <v>5.0890585241730275E-3</v>
      </c>
      <c r="Q231" s="274">
        <v>17.537040000000001</v>
      </c>
      <c r="R231" s="274">
        <v>9.44</v>
      </c>
      <c r="S231" s="200">
        <v>0.22241070587126563</v>
      </c>
      <c r="T231" s="198" t="s">
        <v>274</v>
      </c>
      <c r="U231" s="198" t="s">
        <v>172</v>
      </c>
      <c r="V231" s="198" t="s">
        <v>339</v>
      </c>
      <c r="W231" s="205">
        <v>1</v>
      </c>
      <c r="X231" s="198" t="s">
        <v>124</v>
      </c>
    </row>
    <row r="232" spans="2:24">
      <c r="B232" s="474"/>
      <c r="C232" s="474"/>
      <c r="D232" s="209">
        <v>126</v>
      </c>
      <c r="E232" s="198" t="s">
        <v>286</v>
      </c>
      <c r="F232" s="274">
        <v>589.06980000000385</v>
      </c>
      <c r="G232" s="274">
        <v>634.04</v>
      </c>
      <c r="H232" s="274">
        <v>646.70000000000005</v>
      </c>
      <c r="I232" s="210">
        <f t="shared" si="21"/>
        <v>1.0199671944987698</v>
      </c>
      <c r="J232" s="234">
        <v>0</v>
      </c>
      <c r="K232" s="210">
        <f t="shared" si="22"/>
        <v>0</v>
      </c>
      <c r="L232" s="234">
        <v>46.53</v>
      </c>
      <c r="M232" s="211">
        <f t="shared" si="23"/>
        <v>1.0199671944987698</v>
      </c>
      <c r="N232" s="274">
        <v>589.06980000000385</v>
      </c>
      <c r="O232" s="274">
        <v>0</v>
      </c>
      <c r="P232" s="200">
        <v>0</v>
      </c>
      <c r="Q232" s="274">
        <v>0</v>
      </c>
      <c r="R232" s="274">
        <v>12.660000000000082</v>
      </c>
      <c r="S232" s="200">
        <v>1.9967194498769925E-2</v>
      </c>
      <c r="T232" s="198" t="s">
        <v>272</v>
      </c>
      <c r="U232" s="198" t="s">
        <v>165</v>
      </c>
      <c r="V232" s="198"/>
      <c r="W232" s="205">
        <v>1</v>
      </c>
      <c r="X232" s="198" t="s">
        <v>113</v>
      </c>
    </row>
    <row r="233" spans="2:24">
      <c r="B233" s="474"/>
      <c r="C233" s="474"/>
      <c r="D233" s="209">
        <v>127</v>
      </c>
      <c r="E233" s="198" t="s">
        <v>239</v>
      </c>
      <c r="F233" s="274">
        <v>437.30400000000253</v>
      </c>
      <c r="G233" s="274">
        <v>145.19999999999999</v>
      </c>
      <c r="H233" s="274">
        <v>166.3</v>
      </c>
      <c r="I233" s="210">
        <f t="shared" si="21"/>
        <v>1.1453168044077138</v>
      </c>
      <c r="J233" s="234">
        <v>0</v>
      </c>
      <c r="K233" s="210">
        <f t="shared" si="22"/>
        <v>0</v>
      </c>
      <c r="L233" s="234">
        <v>115.08</v>
      </c>
      <c r="M233" s="211">
        <f t="shared" si="23"/>
        <v>1.1453168044077138</v>
      </c>
      <c r="N233" s="274">
        <v>2428.1880000000024</v>
      </c>
      <c r="O233" s="274">
        <v>17.3</v>
      </c>
      <c r="P233" s="200">
        <v>0.11914600550964188</v>
      </c>
      <c r="Q233" s="274">
        <v>1990.884</v>
      </c>
      <c r="R233" s="274">
        <v>3.800000000000022</v>
      </c>
      <c r="S233" s="200">
        <v>2.6170798898071779E-2</v>
      </c>
      <c r="T233" s="198" t="s">
        <v>272</v>
      </c>
      <c r="U233" s="198" t="s">
        <v>165</v>
      </c>
      <c r="V233" s="198"/>
      <c r="W233" s="205">
        <v>1</v>
      </c>
      <c r="X233" s="198" t="s">
        <v>116</v>
      </c>
    </row>
    <row r="234" spans="2:24" ht="16.5">
      <c r="B234" s="474"/>
      <c r="C234" s="474"/>
      <c r="D234" s="209">
        <v>128</v>
      </c>
      <c r="E234" s="198" t="s">
        <v>291</v>
      </c>
      <c r="F234" s="274">
        <v>397.70000000000039</v>
      </c>
      <c r="G234" s="274">
        <v>373.2</v>
      </c>
      <c r="H234" s="274">
        <v>374.8</v>
      </c>
      <c r="I234" s="210">
        <f t="shared" si="21"/>
        <v>1.0042872454448017</v>
      </c>
      <c r="J234" s="234">
        <v>25.2</v>
      </c>
      <c r="K234" s="210">
        <f t="shared" si="22"/>
        <v>6.7524115755627015E-2</v>
      </c>
      <c r="L234" s="234">
        <v>41</v>
      </c>
      <c r="M234" s="211">
        <f t="shared" si="23"/>
        <v>1.0718113612004287</v>
      </c>
      <c r="N234" s="274">
        <v>1098.8000000000004</v>
      </c>
      <c r="O234" s="274">
        <v>17.100000000000001</v>
      </c>
      <c r="P234" s="200">
        <v>4.5819935691318335E-2</v>
      </c>
      <c r="Q234" s="274">
        <v>701.1</v>
      </c>
      <c r="R234" s="274">
        <v>9.7000000000000099</v>
      </c>
      <c r="S234" s="200">
        <v>2.5991425509110423E-2</v>
      </c>
      <c r="T234" s="198" t="s">
        <v>272</v>
      </c>
      <c r="U234" s="198" t="s">
        <v>165</v>
      </c>
      <c r="V234" s="231"/>
      <c r="W234" s="205">
        <v>1</v>
      </c>
      <c r="X234" s="198" t="s">
        <v>111</v>
      </c>
    </row>
    <row r="235" spans="2:24">
      <c r="B235" s="474"/>
      <c r="C235" s="474"/>
      <c r="D235" s="209">
        <v>129</v>
      </c>
      <c r="E235" s="198" t="s">
        <v>320</v>
      </c>
      <c r="F235" s="274">
        <v>344.98</v>
      </c>
      <c r="G235" s="274">
        <v>0.93300000000000005</v>
      </c>
      <c r="H235" s="274">
        <v>1.3</v>
      </c>
      <c r="I235" s="210">
        <f t="shared" si="21"/>
        <v>1.3933547695605573</v>
      </c>
      <c r="J235" s="234">
        <v>0</v>
      </c>
      <c r="K235" s="210">
        <f t="shared" si="22"/>
        <v>0</v>
      </c>
      <c r="L235" s="234">
        <v>940</v>
      </c>
      <c r="M235" s="211">
        <f t="shared" si="23"/>
        <v>1.3933547695605573</v>
      </c>
      <c r="N235" s="274">
        <v>344.98</v>
      </c>
      <c r="O235" s="274">
        <v>0</v>
      </c>
      <c r="P235" s="200">
        <v>0</v>
      </c>
      <c r="Q235" s="274">
        <v>0</v>
      </c>
      <c r="R235" s="274">
        <v>0.36699999999999999</v>
      </c>
      <c r="S235" s="200">
        <v>0.39335476956055732</v>
      </c>
      <c r="T235" s="198" t="s">
        <v>272</v>
      </c>
      <c r="U235" s="198" t="s">
        <v>165</v>
      </c>
      <c r="V235" s="198"/>
      <c r="W235" s="205">
        <v>1</v>
      </c>
      <c r="X235" s="198" t="s">
        <v>111</v>
      </c>
    </row>
    <row r="236" spans="2:24">
      <c r="B236" s="474"/>
      <c r="C236" s="474"/>
      <c r="D236" s="209">
        <v>130</v>
      </c>
      <c r="E236" s="198" t="s">
        <v>325</v>
      </c>
      <c r="F236" s="274">
        <v>336.04999999999995</v>
      </c>
      <c r="G236" s="274">
        <v>6.57</v>
      </c>
      <c r="H236" s="274">
        <v>8</v>
      </c>
      <c r="I236" s="210">
        <f t="shared" si="21"/>
        <v>1.2176560121765601</v>
      </c>
      <c r="J236" s="234">
        <v>0</v>
      </c>
      <c r="K236" s="210">
        <f t="shared" si="22"/>
        <v>0</v>
      </c>
      <c r="L236" s="234">
        <v>235</v>
      </c>
      <c r="M236" s="211">
        <f t="shared" si="23"/>
        <v>1.2176560121765601</v>
      </c>
      <c r="N236" s="274">
        <v>336.04999999999995</v>
      </c>
      <c r="O236" s="274">
        <v>0</v>
      </c>
      <c r="P236" s="200">
        <v>0</v>
      </c>
      <c r="Q236" s="274">
        <v>0</v>
      </c>
      <c r="R236" s="274">
        <v>1.4299999999999997</v>
      </c>
      <c r="S236" s="200">
        <v>0.21765601217656008</v>
      </c>
      <c r="T236" s="198" t="s">
        <v>272</v>
      </c>
      <c r="U236" s="198" t="s">
        <v>165</v>
      </c>
      <c r="V236" s="198"/>
      <c r="W236" s="205">
        <v>1</v>
      </c>
      <c r="X236" s="198" t="s">
        <v>104</v>
      </c>
    </row>
    <row r="237" spans="2:24">
      <c r="B237" s="473">
        <v>45924</v>
      </c>
      <c r="C237" s="475" t="s">
        <v>58</v>
      </c>
      <c r="D237" s="209">
        <v>131</v>
      </c>
      <c r="E237" s="198" t="s">
        <v>341</v>
      </c>
      <c r="F237" s="274">
        <v>4044.8063999999999</v>
      </c>
      <c r="G237" s="274">
        <v>15.496</v>
      </c>
      <c r="H237" s="274">
        <v>27</v>
      </c>
      <c r="I237" s="210">
        <f t="shared" si="21"/>
        <v>1.7423851316468766</v>
      </c>
      <c r="J237" s="234">
        <v>0</v>
      </c>
      <c r="K237" s="210">
        <f t="shared" si="22"/>
        <v>0</v>
      </c>
      <c r="L237" s="234">
        <v>351.6</v>
      </c>
      <c r="M237" s="211">
        <f t="shared" si="23"/>
        <v>1.7423851316468766</v>
      </c>
      <c r="N237" s="274">
        <v>4044.8063999999999</v>
      </c>
      <c r="O237" s="274">
        <v>0</v>
      </c>
      <c r="P237" s="200">
        <v>0</v>
      </c>
      <c r="Q237" s="274">
        <v>0</v>
      </c>
      <c r="R237" s="274">
        <v>11.504</v>
      </c>
      <c r="S237" s="200">
        <v>0.74238513164687658</v>
      </c>
      <c r="T237" s="198" t="s">
        <v>272</v>
      </c>
      <c r="U237" s="198" t="s">
        <v>165</v>
      </c>
      <c r="V237" s="198"/>
      <c r="W237" s="205">
        <v>1</v>
      </c>
      <c r="X237" s="198" t="s">
        <v>118</v>
      </c>
    </row>
    <row r="238" spans="2:24">
      <c r="B238" s="474"/>
      <c r="C238" s="474"/>
      <c r="D238" s="209">
        <v>132</v>
      </c>
      <c r="E238" s="198" t="s">
        <v>160</v>
      </c>
      <c r="F238" s="274">
        <v>2059.3504400000052</v>
      </c>
      <c r="G238" s="274">
        <v>135.66</v>
      </c>
      <c r="H238" s="274">
        <v>136</v>
      </c>
      <c r="I238" s="210">
        <f t="shared" si="21"/>
        <v>1.0025062656641603</v>
      </c>
      <c r="J238" s="234">
        <v>4.1500000000000004</v>
      </c>
      <c r="K238" s="210">
        <f t="shared" si="22"/>
        <v>3.0591183841957838E-2</v>
      </c>
      <c r="L238" s="234">
        <v>575.72</v>
      </c>
      <c r="M238" s="211">
        <f t="shared" si="23"/>
        <v>1.0330974495061183</v>
      </c>
      <c r="N238" s="274">
        <v>2584.9828000000052</v>
      </c>
      <c r="O238" s="274">
        <v>0.91300000000000003</v>
      </c>
      <c r="P238" s="200">
        <v>6.7300604452307242E-3</v>
      </c>
      <c r="Q238" s="274">
        <v>525.63236000000006</v>
      </c>
      <c r="R238" s="274">
        <v>3.5770000000000088</v>
      </c>
      <c r="S238" s="200">
        <v>2.6367389060887578E-2</v>
      </c>
      <c r="T238" s="198" t="s">
        <v>272</v>
      </c>
      <c r="U238" s="198" t="s">
        <v>165</v>
      </c>
      <c r="V238" s="198"/>
      <c r="W238" s="205">
        <v>1</v>
      </c>
      <c r="X238" s="198" t="s">
        <v>106</v>
      </c>
    </row>
    <row r="239" spans="2:24">
      <c r="B239" s="474"/>
      <c r="C239" s="474"/>
      <c r="D239" s="209">
        <v>133</v>
      </c>
      <c r="E239" s="198" t="s">
        <v>229</v>
      </c>
      <c r="F239" s="274">
        <v>1661.4115000000061</v>
      </c>
      <c r="G239" s="274">
        <v>171.42</v>
      </c>
      <c r="H239" s="274">
        <v>178.40600000000001</v>
      </c>
      <c r="I239" s="210">
        <f t="shared" si="21"/>
        <v>1.0407537043518844</v>
      </c>
      <c r="J239" s="234">
        <v>0</v>
      </c>
      <c r="K239" s="210">
        <f t="shared" si="22"/>
        <v>0</v>
      </c>
      <c r="L239" s="234">
        <v>335.3</v>
      </c>
      <c r="M239" s="211">
        <f t="shared" si="23"/>
        <v>1.0407537043518844</v>
      </c>
      <c r="N239" s="274">
        <v>2342.4058000000064</v>
      </c>
      <c r="O239" s="274">
        <v>2.0310000000000001</v>
      </c>
      <c r="P239" s="200">
        <v>1.1848092404620232E-2</v>
      </c>
      <c r="Q239" s="274">
        <v>680.99430000000007</v>
      </c>
      <c r="R239" s="274">
        <v>4.9550000000000178</v>
      </c>
      <c r="S239" s="200">
        <v>2.8905611947264136E-2</v>
      </c>
      <c r="T239" s="198" t="s">
        <v>230</v>
      </c>
      <c r="U239" s="198" t="s">
        <v>181</v>
      </c>
      <c r="V239" s="198" t="s">
        <v>276</v>
      </c>
      <c r="W239" s="205">
        <v>1</v>
      </c>
      <c r="X239" s="198" t="s">
        <v>232</v>
      </c>
    </row>
    <row r="240" spans="2:24">
      <c r="B240" s="474"/>
      <c r="C240" s="474"/>
      <c r="D240" s="209">
        <v>134</v>
      </c>
      <c r="E240" s="198" t="s">
        <v>259</v>
      </c>
      <c r="F240" s="274">
        <v>1478.6028000000017</v>
      </c>
      <c r="G240" s="274">
        <v>100.21</v>
      </c>
      <c r="H240" s="274">
        <v>121.2</v>
      </c>
      <c r="I240" s="210">
        <f t="shared" si="21"/>
        <v>1.2094601337191897</v>
      </c>
      <c r="J240" s="234">
        <v>0</v>
      </c>
      <c r="K240" s="210">
        <f t="shared" si="22"/>
        <v>0</v>
      </c>
      <c r="L240" s="234">
        <v>216.17</v>
      </c>
      <c r="M240" s="211">
        <f t="shared" si="23"/>
        <v>1.2094601337191897</v>
      </c>
      <c r="N240" s="274">
        <v>4537.4083000000019</v>
      </c>
      <c r="O240" s="274">
        <v>14.15</v>
      </c>
      <c r="P240" s="200">
        <v>0.14120347270731465</v>
      </c>
      <c r="Q240" s="274">
        <v>3058.8054999999999</v>
      </c>
      <c r="R240" s="274">
        <v>6.8400000000000087</v>
      </c>
      <c r="S240" s="200">
        <v>6.825666101187515E-2</v>
      </c>
      <c r="T240" s="198" t="s">
        <v>272</v>
      </c>
      <c r="U240" s="198" t="s">
        <v>165</v>
      </c>
      <c r="V240" s="198"/>
      <c r="W240" s="205">
        <v>1</v>
      </c>
      <c r="X240" s="198" t="s">
        <v>115</v>
      </c>
    </row>
    <row r="241" spans="2:24">
      <c r="B241" s="474"/>
      <c r="C241" s="474"/>
      <c r="D241" s="209">
        <v>135</v>
      </c>
      <c r="E241" s="198" t="s">
        <v>300</v>
      </c>
      <c r="F241" s="274">
        <v>1348.5</v>
      </c>
      <c r="G241" s="274">
        <v>77.153999999999996</v>
      </c>
      <c r="H241" s="274">
        <v>77.153999999999996</v>
      </c>
      <c r="I241" s="210">
        <f t="shared" si="21"/>
        <v>1</v>
      </c>
      <c r="J241" s="234">
        <v>14.5</v>
      </c>
      <c r="K241" s="210">
        <f t="shared" si="22"/>
        <v>0.18793581667833165</v>
      </c>
      <c r="L241" s="234">
        <v>93</v>
      </c>
      <c r="M241" s="211">
        <f t="shared" si="23"/>
        <v>1.1879358166783316</v>
      </c>
      <c r="N241" s="274">
        <v>1348.5</v>
      </c>
      <c r="O241" s="274">
        <v>0</v>
      </c>
      <c r="P241" s="200">
        <v>0</v>
      </c>
      <c r="Q241" s="274">
        <v>0</v>
      </c>
      <c r="R241" s="274">
        <v>14.5</v>
      </c>
      <c r="S241" s="200">
        <v>0.18793581667833165</v>
      </c>
      <c r="T241" s="198" t="s">
        <v>272</v>
      </c>
      <c r="U241" s="198" t="s">
        <v>252</v>
      </c>
      <c r="V241" s="198" t="s">
        <v>343</v>
      </c>
      <c r="W241" s="205">
        <v>1</v>
      </c>
      <c r="X241" s="198" t="s">
        <v>287</v>
      </c>
    </row>
    <row r="242" spans="2:24">
      <c r="B242" s="474"/>
      <c r="C242" s="474"/>
      <c r="D242" s="209">
        <v>136</v>
      </c>
      <c r="E242" s="198" t="s">
        <v>265</v>
      </c>
      <c r="F242" s="274">
        <v>811.6586399999992</v>
      </c>
      <c r="G242" s="274">
        <v>263.56799999999998</v>
      </c>
      <c r="H242" s="274">
        <v>265.39999999999998</v>
      </c>
      <c r="I242" s="210">
        <f t="shared" si="21"/>
        <v>1.0069507679232683</v>
      </c>
      <c r="J242" s="234">
        <v>8.75</v>
      </c>
      <c r="K242" s="210">
        <f t="shared" si="22"/>
        <v>3.3198263825654099E-2</v>
      </c>
      <c r="L242" s="234">
        <v>140.62</v>
      </c>
      <c r="M242" s="211">
        <f t="shared" si="23"/>
        <v>1.0401490317489224</v>
      </c>
      <c r="N242" s="274">
        <v>1488.0408399999992</v>
      </c>
      <c r="O242" s="274">
        <v>4.8099999999999996</v>
      </c>
      <c r="P242" s="200">
        <v>1.8249559885873855E-2</v>
      </c>
      <c r="Q242" s="274">
        <v>676.38220000000001</v>
      </c>
      <c r="R242" s="274">
        <v>5.771999999999994</v>
      </c>
      <c r="S242" s="200">
        <v>2.1899471863048605E-2</v>
      </c>
      <c r="T242" s="198" t="s">
        <v>272</v>
      </c>
      <c r="U242" s="198" t="s">
        <v>165</v>
      </c>
      <c r="V242" s="198"/>
      <c r="W242" s="205">
        <v>1</v>
      </c>
      <c r="X242" s="198" t="s">
        <v>106</v>
      </c>
    </row>
    <row r="243" spans="2:24">
      <c r="B243" s="474"/>
      <c r="C243" s="474"/>
      <c r="D243" s="209">
        <v>137</v>
      </c>
      <c r="E243" s="198" t="s">
        <v>325</v>
      </c>
      <c r="F243" s="274">
        <v>673.50999999999988</v>
      </c>
      <c r="G243" s="274">
        <v>7.1340000000000003</v>
      </c>
      <c r="H243" s="274">
        <v>10</v>
      </c>
      <c r="I243" s="210">
        <f t="shared" si="21"/>
        <v>1.4017381553125876</v>
      </c>
      <c r="J243" s="234">
        <v>0</v>
      </c>
      <c r="K243" s="210">
        <f t="shared" si="22"/>
        <v>0</v>
      </c>
      <c r="L243" s="234">
        <v>235</v>
      </c>
      <c r="M243" s="211">
        <f t="shared" si="23"/>
        <v>1.4017381553125876</v>
      </c>
      <c r="N243" s="274">
        <v>673.50999999999988</v>
      </c>
      <c r="O243" s="274">
        <v>0</v>
      </c>
      <c r="P243" s="200">
        <v>0</v>
      </c>
      <c r="Q243" s="274">
        <v>0</v>
      </c>
      <c r="R243" s="274">
        <v>2.8659999999999997</v>
      </c>
      <c r="S243" s="200">
        <v>0.40173815531258755</v>
      </c>
      <c r="T243" s="198" t="s">
        <v>272</v>
      </c>
      <c r="U243" s="198" t="s">
        <v>165</v>
      </c>
      <c r="V243" s="198"/>
      <c r="W243" s="205">
        <v>1</v>
      </c>
      <c r="X243" s="198" t="s">
        <v>104</v>
      </c>
    </row>
    <row r="244" spans="2:24">
      <c r="B244" s="474"/>
      <c r="C244" s="474"/>
      <c r="D244" s="209">
        <v>138</v>
      </c>
      <c r="E244" s="198" t="s">
        <v>263</v>
      </c>
      <c r="F244" s="274">
        <v>565.50499999999761</v>
      </c>
      <c r="G244" s="274">
        <v>429.48</v>
      </c>
      <c r="H244" s="274">
        <v>437.87299999999999</v>
      </c>
      <c r="I244" s="210">
        <f t="shared" si="21"/>
        <v>1.0195422371239637</v>
      </c>
      <c r="J244" s="234">
        <v>0</v>
      </c>
      <c r="K244" s="210">
        <f t="shared" si="22"/>
        <v>0</v>
      </c>
      <c r="L244" s="234">
        <v>85</v>
      </c>
      <c r="M244" s="211">
        <f t="shared" si="23"/>
        <v>1.0195422371239637</v>
      </c>
      <c r="N244" s="274">
        <v>713.4049999999977</v>
      </c>
      <c r="O244" s="274">
        <v>1.74</v>
      </c>
      <c r="P244" s="200">
        <v>4.0514110086616369E-3</v>
      </c>
      <c r="Q244" s="274">
        <v>147.9</v>
      </c>
      <c r="R244" s="274">
        <v>6.652999999999972</v>
      </c>
      <c r="S244" s="200">
        <v>1.5490826115302159E-2</v>
      </c>
      <c r="T244" s="198" t="s">
        <v>272</v>
      </c>
      <c r="U244" s="198" t="s">
        <v>165</v>
      </c>
      <c r="V244" s="198"/>
      <c r="W244" s="205">
        <v>1</v>
      </c>
      <c r="X244" s="198" t="s">
        <v>122</v>
      </c>
    </row>
    <row r="245" spans="2:24">
      <c r="B245" s="474"/>
      <c r="C245" s="474"/>
      <c r="D245" s="209">
        <v>139</v>
      </c>
      <c r="E245" s="198" t="s">
        <v>285</v>
      </c>
      <c r="F245" s="274">
        <v>495.81558000000047</v>
      </c>
      <c r="G245" s="274">
        <v>31.007999999999999</v>
      </c>
      <c r="H245" s="274">
        <v>30.55</v>
      </c>
      <c r="I245" s="210">
        <f t="shared" si="21"/>
        <v>0.98522961816305477</v>
      </c>
      <c r="J245" s="234">
        <v>4.1500000000000004</v>
      </c>
      <c r="K245" s="210">
        <f t="shared" si="22"/>
        <v>0.13383642930856554</v>
      </c>
      <c r="L245" s="234">
        <v>136.88999999999999</v>
      </c>
      <c r="M245" s="211">
        <f t="shared" si="23"/>
        <v>1.1190660474716203</v>
      </c>
      <c r="N245" s="274">
        <v>505.39788000000044</v>
      </c>
      <c r="O245" s="274">
        <v>7.0000000000000007E-2</v>
      </c>
      <c r="P245" s="200">
        <v>2.2574819401444792E-3</v>
      </c>
      <c r="Q245" s="274">
        <v>9.5823</v>
      </c>
      <c r="R245" s="274">
        <v>3.6220000000000039</v>
      </c>
      <c r="S245" s="200">
        <v>0.11680856553147588</v>
      </c>
      <c r="T245" s="198" t="s">
        <v>272</v>
      </c>
      <c r="U245" s="198" t="s">
        <v>165</v>
      </c>
      <c r="V245" s="198"/>
      <c r="W245" s="205">
        <v>1</v>
      </c>
      <c r="X245" s="198" t="s">
        <v>106</v>
      </c>
    </row>
    <row r="246" spans="2:24">
      <c r="B246" s="474"/>
      <c r="C246" s="474"/>
      <c r="D246" s="209">
        <v>140</v>
      </c>
      <c r="E246" s="198" t="s">
        <v>266</v>
      </c>
      <c r="F246" s="274">
        <v>446.47542000000294</v>
      </c>
      <c r="G246" s="274">
        <v>70.38</v>
      </c>
      <c r="H246" s="274">
        <v>71.563000000000002</v>
      </c>
      <c r="I246" s="210">
        <f t="shared" si="21"/>
        <v>1.0168087524865019</v>
      </c>
      <c r="J246" s="234">
        <v>0</v>
      </c>
      <c r="K246" s="210">
        <f t="shared" si="22"/>
        <v>0</v>
      </c>
      <c r="L246" s="234">
        <v>420.41</v>
      </c>
      <c r="M246" s="211">
        <f t="shared" si="23"/>
        <v>1.0168087524865019</v>
      </c>
      <c r="N246" s="274">
        <v>497.34503000000296</v>
      </c>
      <c r="O246" s="274">
        <v>0.121</v>
      </c>
      <c r="P246" s="200">
        <v>1.7192384200056835E-3</v>
      </c>
      <c r="Q246" s="274">
        <v>50.869610000000002</v>
      </c>
      <c r="R246" s="274">
        <v>1.0620000000000069</v>
      </c>
      <c r="S246" s="200">
        <v>1.5089514066496263E-2</v>
      </c>
      <c r="T246" s="198" t="s">
        <v>272</v>
      </c>
      <c r="U246" s="198" t="s">
        <v>165</v>
      </c>
      <c r="V246" s="198"/>
      <c r="W246" s="205">
        <v>1</v>
      </c>
      <c r="X246" s="198" t="s">
        <v>105</v>
      </c>
    </row>
    <row r="247" spans="2:24">
      <c r="B247" s="473">
        <v>45925</v>
      </c>
      <c r="C247" s="475" t="s">
        <v>59</v>
      </c>
      <c r="D247" s="209">
        <v>141</v>
      </c>
      <c r="E247" s="198" t="s">
        <v>229</v>
      </c>
      <c r="F247" s="274">
        <v>2412.483499999998</v>
      </c>
      <c r="G247" s="274">
        <v>160.86000000000001</v>
      </c>
      <c r="H247" s="274">
        <v>168.05500000000001</v>
      </c>
      <c r="I247" s="210">
        <f t="shared" si="21"/>
        <v>1.044728335198309</v>
      </c>
      <c r="J247" s="234">
        <v>0</v>
      </c>
      <c r="K247" s="210">
        <f t="shared" si="22"/>
        <v>0</v>
      </c>
      <c r="L247" s="234">
        <v>335.3</v>
      </c>
      <c r="M247" s="211">
        <f t="shared" si="23"/>
        <v>1.044728335198309</v>
      </c>
      <c r="N247" s="274">
        <v>2412.483499999998</v>
      </c>
      <c r="O247" s="274">
        <v>0</v>
      </c>
      <c r="P247" s="200">
        <v>0</v>
      </c>
      <c r="Q247" s="274">
        <v>0</v>
      </c>
      <c r="R247" s="274">
        <v>7.1949999999999932</v>
      </c>
      <c r="S247" s="200">
        <v>4.4728335198309044E-2</v>
      </c>
      <c r="T247" s="198" t="s">
        <v>230</v>
      </c>
      <c r="U247" s="198" t="s">
        <v>181</v>
      </c>
      <c r="V247" s="198" t="s">
        <v>276</v>
      </c>
      <c r="W247" s="205">
        <v>1</v>
      </c>
      <c r="X247" s="198" t="s">
        <v>232</v>
      </c>
    </row>
    <row r="248" spans="2:24">
      <c r="B248" s="474"/>
      <c r="C248" s="474"/>
      <c r="D248" s="209">
        <v>142</v>
      </c>
      <c r="E248" s="198" t="s">
        <v>341</v>
      </c>
      <c r="F248" s="274">
        <v>1928.1744000000001</v>
      </c>
      <c r="G248" s="274">
        <v>15.016</v>
      </c>
      <c r="H248" s="274">
        <v>20.5</v>
      </c>
      <c r="I248" s="210">
        <f t="shared" si="21"/>
        <v>1.365210442194992</v>
      </c>
      <c r="J248" s="234">
        <v>0</v>
      </c>
      <c r="K248" s="210">
        <f t="shared" si="22"/>
        <v>0</v>
      </c>
      <c r="L248" s="234">
        <v>351.6</v>
      </c>
      <c r="M248" s="211">
        <f t="shared" si="23"/>
        <v>1.365210442194992</v>
      </c>
      <c r="N248" s="274">
        <v>1928.1744000000001</v>
      </c>
      <c r="O248" s="274">
        <v>0</v>
      </c>
      <c r="P248" s="200">
        <v>0</v>
      </c>
      <c r="Q248" s="274">
        <v>0</v>
      </c>
      <c r="R248" s="274">
        <v>5.484</v>
      </c>
      <c r="S248" s="200">
        <v>0.36521044219499199</v>
      </c>
      <c r="T248" s="198" t="s">
        <v>272</v>
      </c>
      <c r="U248" s="198" t="s">
        <v>165</v>
      </c>
      <c r="V248" s="198"/>
      <c r="W248" s="205">
        <v>1</v>
      </c>
      <c r="X248" s="198" t="s">
        <v>118</v>
      </c>
    </row>
    <row r="249" spans="2:24">
      <c r="B249" s="474"/>
      <c r="C249" s="474"/>
      <c r="D249" s="209">
        <v>143</v>
      </c>
      <c r="E249" s="198" t="s">
        <v>314</v>
      </c>
      <c r="F249" s="274">
        <v>1521.1516000000013</v>
      </c>
      <c r="G249" s="274">
        <v>48.01</v>
      </c>
      <c r="H249" s="274">
        <v>53.45</v>
      </c>
      <c r="I249" s="210">
        <f t="shared" si="21"/>
        <v>1.1133097271401793</v>
      </c>
      <c r="J249" s="234">
        <v>0</v>
      </c>
      <c r="K249" s="210">
        <f t="shared" si="22"/>
        <v>0</v>
      </c>
      <c r="L249" s="234">
        <v>304.83999999999997</v>
      </c>
      <c r="M249" s="211">
        <f t="shared" si="23"/>
        <v>1.1133097271401793</v>
      </c>
      <c r="N249" s="274">
        <v>1658.3296000000014</v>
      </c>
      <c r="O249" s="274">
        <v>0.45</v>
      </c>
      <c r="P249" s="200">
        <v>9.3730472818162897E-3</v>
      </c>
      <c r="Q249" s="274">
        <v>137.178</v>
      </c>
      <c r="R249" s="274">
        <v>4.9900000000000047</v>
      </c>
      <c r="S249" s="200">
        <v>0.10393667985836294</v>
      </c>
      <c r="T249" s="198" t="s">
        <v>272</v>
      </c>
      <c r="U249" s="198" t="s">
        <v>165</v>
      </c>
      <c r="V249" s="198"/>
      <c r="W249" s="205">
        <v>1</v>
      </c>
      <c r="X249" s="198" t="s">
        <v>103</v>
      </c>
    </row>
    <row r="250" spans="2:24">
      <c r="B250" s="474"/>
      <c r="C250" s="474"/>
      <c r="D250" s="209">
        <v>144</v>
      </c>
      <c r="E250" s="198" t="s">
        <v>318</v>
      </c>
      <c r="F250" s="274">
        <v>1011.0479999999999</v>
      </c>
      <c r="G250" s="274">
        <v>13.092000000000001</v>
      </c>
      <c r="H250" s="274">
        <v>18</v>
      </c>
      <c r="I250" s="210">
        <f t="shared" si="21"/>
        <v>1.3748854262144821</v>
      </c>
      <c r="J250" s="234">
        <v>0</v>
      </c>
      <c r="K250" s="210">
        <f t="shared" si="22"/>
        <v>0</v>
      </c>
      <c r="L250" s="234">
        <v>206</v>
      </c>
      <c r="M250" s="211">
        <f t="shared" si="23"/>
        <v>1.3748854262144821</v>
      </c>
      <c r="N250" s="274">
        <v>1011.0479999999999</v>
      </c>
      <c r="O250" s="274">
        <v>0</v>
      </c>
      <c r="P250" s="200">
        <v>0</v>
      </c>
      <c r="Q250" s="274">
        <v>0</v>
      </c>
      <c r="R250" s="274">
        <v>4.9079999999999995</v>
      </c>
      <c r="S250" s="200">
        <v>0.37488542621448206</v>
      </c>
      <c r="T250" s="198" t="s">
        <v>272</v>
      </c>
      <c r="U250" s="198" t="s">
        <v>165</v>
      </c>
      <c r="V250" s="198"/>
      <c r="W250" s="205">
        <v>1</v>
      </c>
      <c r="X250" s="198" t="s">
        <v>287</v>
      </c>
    </row>
    <row r="251" spans="2:24">
      <c r="B251" s="474"/>
      <c r="C251" s="474"/>
      <c r="D251" s="209">
        <v>145</v>
      </c>
      <c r="E251" s="198" t="s">
        <v>329</v>
      </c>
      <c r="F251" s="274">
        <v>984.5099399999998</v>
      </c>
      <c r="G251" s="274">
        <v>39.015000000000001</v>
      </c>
      <c r="H251" s="274">
        <v>51.15</v>
      </c>
      <c r="I251" s="210">
        <f t="shared" si="21"/>
        <v>1.3110342176086121</v>
      </c>
      <c r="J251" s="234">
        <v>0</v>
      </c>
      <c r="K251" s="210">
        <f t="shared" si="22"/>
        <v>0</v>
      </c>
      <c r="L251" s="234">
        <v>81.19</v>
      </c>
      <c r="M251" s="211">
        <f t="shared" si="23"/>
        <v>1.3110342176086121</v>
      </c>
      <c r="N251" s="274">
        <v>985.24064999999985</v>
      </c>
      <c r="O251" s="274">
        <v>8.9999999999999993E-3</v>
      </c>
      <c r="P251" s="200">
        <v>2.3068050749711647E-4</v>
      </c>
      <c r="Q251" s="274">
        <v>0.73070999999999997</v>
      </c>
      <c r="R251" s="274">
        <v>12.125999999999998</v>
      </c>
      <c r="S251" s="200">
        <v>0.31080353710111491</v>
      </c>
      <c r="T251" s="198" t="s">
        <v>274</v>
      </c>
      <c r="U251" s="198" t="s">
        <v>172</v>
      </c>
      <c r="V251" s="198" t="s">
        <v>339</v>
      </c>
      <c r="W251" s="205">
        <v>1</v>
      </c>
      <c r="X251" s="198" t="s">
        <v>124</v>
      </c>
    </row>
    <row r="252" spans="2:24">
      <c r="B252" s="474"/>
      <c r="C252" s="474"/>
      <c r="D252" s="209">
        <v>146</v>
      </c>
      <c r="E252" s="198" t="s">
        <v>270</v>
      </c>
      <c r="F252" s="274">
        <v>539.5308100000002</v>
      </c>
      <c r="G252" s="274">
        <v>573.529</v>
      </c>
      <c r="H252" s="274">
        <v>583.5</v>
      </c>
      <c r="I252" s="210">
        <f t="shared" si="21"/>
        <v>1.0173853458151201</v>
      </c>
      <c r="J252" s="234">
        <v>0</v>
      </c>
      <c r="K252" s="210">
        <f t="shared" si="22"/>
        <v>0</v>
      </c>
      <c r="L252" s="234">
        <v>54.11</v>
      </c>
      <c r="M252" s="211">
        <f t="shared" si="23"/>
        <v>1.0173853458151201</v>
      </c>
      <c r="N252" s="274">
        <v>539.5308100000002</v>
      </c>
      <c r="O252" s="274">
        <v>0</v>
      </c>
      <c r="P252" s="200">
        <v>0</v>
      </c>
      <c r="Q252" s="274">
        <v>0</v>
      </c>
      <c r="R252" s="274">
        <v>9.9710000000000036</v>
      </c>
      <c r="S252" s="200">
        <v>1.7385345815120079E-2</v>
      </c>
      <c r="T252" s="198" t="s">
        <v>272</v>
      </c>
      <c r="U252" s="198" t="s">
        <v>165</v>
      </c>
      <c r="V252" s="198"/>
      <c r="W252" s="205">
        <v>1</v>
      </c>
      <c r="X252" s="198" t="s">
        <v>114</v>
      </c>
    </row>
    <row r="253" spans="2:24">
      <c r="B253" s="474"/>
      <c r="C253" s="474"/>
      <c r="D253" s="209">
        <v>147</v>
      </c>
      <c r="E253" s="198" t="s">
        <v>309</v>
      </c>
      <c r="F253" s="274">
        <v>446.27551999999997</v>
      </c>
      <c r="G253" s="274">
        <v>26.277999999999999</v>
      </c>
      <c r="H253" s="274">
        <v>26.9</v>
      </c>
      <c r="I253" s="210">
        <f t="shared" si="21"/>
        <v>1.023669990105792</v>
      </c>
      <c r="J253" s="234">
        <v>3</v>
      </c>
      <c r="K253" s="210">
        <f t="shared" si="22"/>
        <v>0.11416393941700283</v>
      </c>
      <c r="L253" s="234">
        <v>150.16</v>
      </c>
      <c r="M253" s="211">
        <f t="shared" si="23"/>
        <v>1.1378339295227948</v>
      </c>
      <c r="N253" s="274">
        <v>543.87951999999996</v>
      </c>
      <c r="O253" s="274">
        <v>0.65</v>
      </c>
      <c r="P253" s="200">
        <v>2.4735520207017279E-2</v>
      </c>
      <c r="Q253" s="274">
        <v>97.603999999999999</v>
      </c>
      <c r="R253" s="274">
        <v>2.972</v>
      </c>
      <c r="S253" s="200">
        <v>0.11309840931577746</v>
      </c>
      <c r="T253" s="198" t="s">
        <v>272</v>
      </c>
      <c r="U253" s="198" t="s">
        <v>165</v>
      </c>
      <c r="V253" s="198"/>
      <c r="W253" s="205">
        <v>1</v>
      </c>
      <c r="X253" s="198" t="s">
        <v>118</v>
      </c>
    </row>
    <row r="254" spans="2:24">
      <c r="B254" s="474"/>
      <c r="C254" s="474"/>
      <c r="D254" s="209">
        <v>148</v>
      </c>
      <c r="E254" s="198" t="s">
        <v>338</v>
      </c>
      <c r="F254" s="274">
        <v>436.51200000000102</v>
      </c>
      <c r="G254" s="274">
        <v>375.4</v>
      </c>
      <c r="H254" s="274">
        <v>385</v>
      </c>
      <c r="I254" s="210">
        <f t="shared" si="21"/>
        <v>1.0255727224294087</v>
      </c>
      <c r="J254" s="234">
        <v>0</v>
      </c>
      <c r="K254" s="210">
        <f t="shared" si="22"/>
        <v>0</v>
      </c>
      <c r="L254" s="234">
        <v>45.47</v>
      </c>
      <c r="M254" s="211">
        <f t="shared" si="23"/>
        <v>1.0255727224294087</v>
      </c>
      <c r="N254" s="274">
        <v>436.51200000000102</v>
      </c>
      <c r="O254" s="274">
        <v>0</v>
      </c>
      <c r="P254" s="200">
        <v>0</v>
      </c>
      <c r="Q254" s="274">
        <v>0</v>
      </c>
      <c r="R254" s="274">
        <v>9.6000000000000227</v>
      </c>
      <c r="S254" s="200">
        <v>2.5572722429408692E-2</v>
      </c>
      <c r="T254" s="198" t="s">
        <v>272</v>
      </c>
      <c r="U254" s="198" t="s">
        <v>165</v>
      </c>
      <c r="V254" s="198"/>
      <c r="W254" s="205">
        <v>1</v>
      </c>
      <c r="X254" s="198" t="s">
        <v>118</v>
      </c>
    </row>
    <row r="255" spans="2:24">
      <c r="B255" s="474"/>
      <c r="C255" s="474"/>
      <c r="D255" s="209">
        <v>149</v>
      </c>
      <c r="E255" s="198" t="s">
        <v>160</v>
      </c>
      <c r="F255" s="274">
        <v>362.12787999998557</v>
      </c>
      <c r="G255" s="274">
        <v>130.55000000000001</v>
      </c>
      <c r="H255" s="274">
        <v>131.51499999999999</v>
      </c>
      <c r="I255" s="210">
        <f t="shared" si="21"/>
        <v>1.007391803906549</v>
      </c>
      <c r="J255" s="234">
        <v>0</v>
      </c>
      <c r="K255" s="210">
        <f t="shared" si="22"/>
        <v>0</v>
      </c>
      <c r="L255" s="234">
        <v>575.72</v>
      </c>
      <c r="M255" s="211">
        <f t="shared" si="23"/>
        <v>1.007391803906549</v>
      </c>
      <c r="N255" s="274">
        <v>555.56979999998566</v>
      </c>
      <c r="O255" s="274">
        <v>0.33600000000000002</v>
      </c>
      <c r="P255" s="200">
        <v>2.5737265415549599E-3</v>
      </c>
      <c r="Q255" s="274">
        <v>193.44192000000001</v>
      </c>
      <c r="R255" s="274">
        <v>0.62899999999997491</v>
      </c>
      <c r="S255" s="200">
        <v>4.8180773649940624E-3</v>
      </c>
      <c r="T255" s="198" t="s">
        <v>272</v>
      </c>
      <c r="U255" s="198" t="s">
        <v>165</v>
      </c>
      <c r="V255" s="198"/>
      <c r="W255" s="205">
        <v>1</v>
      </c>
      <c r="X255" s="198" t="s">
        <v>106</v>
      </c>
    </row>
    <row r="256" spans="2:24">
      <c r="B256" s="474"/>
      <c r="C256" s="474"/>
      <c r="D256" s="209">
        <v>150</v>
      </c>
      <c r="E256" s="198" t="s">
        <v>322</v>
      </c>
      <c r="F256" s="274">
        <v>351.22999999999928</v>
      </c>
      <c r="G256" s="274">
        <v>8.6590000000000007</v>
      </c>
      <c r="H256" s="274">
        <v>9</v>
      </c>
      <c r="I256" s="210">
        <f t="shared" si="21"/>
        <v>1.0393809908765446</v>
      </c>
      <c r="J256" s="234">
        <v>0</v>
      </c>
      <c r="K256" s="210">
        <f t="shared" si="22"/>
        <v>0</v>
      </c>
      <c r="L256" s="234">
        <v>1030</v>
      </c>
      <c r="M256" s="211">
        <f t="shared" si="23"/>
        <v>1.0393809908765446</v>
      </c>
      <c r="N256" s="274">
        <v>351.22999999999928</v>
      </c>
      <c r="O256" s="274">
        <v>0</v>
      </c>
      <c r="P256" s="200">
        <v>0</v>
      </c>
      <c r="Q256" s="274">
        <v>0</v>
      </c>
      <c r="R256" s="274">
        <v>0.3409999999999993</v>
      </c>
      <c r="S256" s="200">
        <v>3.938099087654455E-2</v>
      </c>
      <c r="T256" s="198" t="s">
        <v>272</v>
      </c>
      <c r="U256" s="198" t="s">
        <v>165</v>
      </c>
      <c r="V256" s="198"/>
      <c r="W256" s="205">
        <v>1</v>
      </c>
      <c r="X256" s="198" t="s">
        <v>116</v>
      </c>
    </row>
    <row r="257" spans="2:24">
      <c r="B257" s="473">
        <v>45926</v>
      </c>
      <c r="C257" s="475" t="s">
        <v>60</v>
      </c>
      <c r="D257" s="209">
        <v>151</v>
      </c>
      <c r="E257" s="198" t="s">
        <v>341</v>
      </c>
      <c r="F257" s="274">
        <v>1154.6544000000004</v>
      </c>
      <c r="G257" s="274">
        <v>11.215999999999999</v>
      </c>
      <c r="H257" s="274">
        <v>14.5</v>
      </c>
      <c r="I257" s="210">
        <f t="shared" si="21"/>
        <v>1.2927960057061341</v>
      </c>
      <c r="J257" s="234">
        <v>0</v>
      </c>
      <c r="K257" s="210">
        <f t="shared" si="22"/>
        <v>0</v>
      </c>
      <c r="L257" s="234">
        <v>351.6</v>
      </c>
      <c r="M257" s="211">
        <f t="shared" si="23"/>
        <v>1.2927960057061341</v>
      </c>
      <c r="N257" s="274">
        <v>1154.6544000000004</v>
      </c>
      <c r="O257" s="274">
        <v>0</v>
      </c>
      <c r="P257" s="200">
        <v>0</v>
      </c>
      <c r="Q257" s="274">
        <v>0</v>
      </c>
      <c r="R257" s="274">
        <v>3.2840000000000007</v>
      </c>
      <c r="S257" s="200">
        <v>0.29279600570613418</v>
      </c>
      <c r="T257" s="198" t="s">
        <v>272</v>
      </c>
      <c r="U257" s="198" t="s">
        <v>165</v>
      </c>
      <c r="V257" s="198"/>
      <c r="W257" s="205">
        <v>1</v>
      </c>
      <c r="X257" s="198" t="s">
        <v>118</v>
      </c>
    </row>
    <row r="258" spans="2:24">
      <c r="B258" s="474"/>
      <c r="C258" s="474"/>
      <c r="D258" s="209">
        <v>152</v>
      </c>
      <c r="E258" s="198" t="s">
        <v>344</v>
      </c>
      <c r="F258" s="274">
        <v>826.14000000000067</v>
      </c>
      <c r="G258" s="274">
        <v>125.12</v>
      </c>
      <c r="H258" s="274">
        <v>125.4</v>
      </c>
      <c r="I258" s="210">
        <f t="shared" si="21"/>
        <v>1.0022378516624042</v>
      </c>
      <c r="J258" s="234">
        <v>8.1999999999999993</v>
      </c>
      <c r="K258" s="210">
        <f t="shared" si="22"/>
        <v>6.5537084398976972E-2</v>
      </c>
      <c r="L258" s="234">
        <v>98</v>
      </c>
      <c r="M258" s="211">
        <f t="shared" si="23"/>
        <v>1.0677749360613811</v>
      </c>
      <c r="N258" s="274">
        <v>826.14000000000067</v>
      </c>
      <c r="O258" s="274">
        <v>0</v>
      </c>
      <c r="P258" s="200">
        <v>0</v>
      </c>
      <c r="Q258" s="274">
        <v>0</v>
      </c>
      <c r="R258" s="274">
        <v>8.4799999999999898</v>
      </c>
      <c r="S258" s="200">
        <v>6.7774936061380991E-2</v>
      </c>
      <c r="T258" s="198" t="s">
        <v>272</v>
      </c>
      <c r="U258" s="198" t="s">
        <v>165</v>
      </c>
      <c r="V258" s="198"/>
      <c r="W258" s="205">
        <v>1</v>
      </c>
      <c r="X258" s="198" t="s">
        <v>111</v>
      </c>
    </row>
    <row r="259" spans="2:24">
      <c r="B259" s="474"/>
      <c r="C259" s="474"/>
      <c r="D259" s="209">
        <v>153</v>
      </c>
      <c r="E259" s="198" t="s">
        <v>336</v>
      </c>
      <c r="F259" s="274">
        <v>723.1239999999982</v>
      </c>
      <c r="G259" s="274">
        <v>42.228000000000002</v>
      </c>
      <c r="H259" s="274">
        <v>43.4</v>
      </c>
      <c r="I259" s="210">
        <f t="shared" si="21"/>
        <v>1.0277540968078052</v>
      </c>
      <c r="J259" s="234">
        <v>0</v>
      </c>
      <c r="K259" s="210">
        <f t="shared" si="22"/>
        <v>0</v>
      </c>
      <c r="L259" s="234">
        <v>617</v>
      </c>
      <c r="M259" s="211">
        <f t="shared" si="23"/>
        <v>1.0277540968078052</v>
      </c>
      <c r="N259" s="274">
        <v>723.1239999999982</v>
      </c>
      <c r="O259" s="274">
        <v>0</v>
      </c>
      <c r="P259" s="200">
        <v>0</v>
      </c>
      <c r="Q259" s="274">
        <v>0</v>
      </c>
      <c r="R259" s="274">
        <v>1.171999999999997</v>
      </c>
      <c r="S259" s="200">
        <v>2.7754096807805176E-2</v>
      </c>
      <c r="T259" s="198" t="s">
        <v>272</v>
      </c>
      <c r="U259" s="198" t="s">
        <v>165</v>
      </c>
      <c r="V259" s="198"/>
      <c r="W259" s="205">
        <v>1</v>
      </c>
      <c r="X259" s="198" t="s">
        <v>111</v>
      </c>
    </row>
    <row r="260" spans="2:24">
      <c r="B260" s="474"/>
      <c r="C260" s="474"/>
      <c r="D260" s="209">
        <v>154</v>
      </c>
      <c r="E260" s="198" t="s">
        <v>270</v>
      </c>
      <c r="F260" s="274">
        <v>633.30344000000036</v>
      </c>
      <c r="G260" s="274">
        <v>450.29599999999999</v>
      </c>
      <c r="H260" s="274">
        <v>462</v>
      </c>
      <c r="I260" s="210">
        <f t="shared" si="21"/>
        <v>1.0259917920656636</v>
      </c>
      <c r="J260" s="234">
        <v>0</v>
      </c>
      <c r="K260" s="210">
        <f t="shared" si="22"/>
        <v>0</v>
      </c>
      <c r="L260" s="234">
        <v>54.11</v>
      </c>
      <c r="M260" s="211">
        <f t="shared" si="23"/>
        <v>1.0259917920656636</v>
      </c>
      <c r="N260" s="274">
        <v>633.30344000000036</v>
      </c>
      <c r="O260" s="274">
        <v>0</v>
      </c>
      <c r="P260" s="200">
        <v>0</v>
      </c>
      <c r="Q260" s="274">
        <v>0</v>
      </c>
      <c r="R260" s="274">
        <v>11.704000000000008</v>
      </c>
      <c r="S260" s="200">
        <v>2.5991792065663492E-2</v>
      </c>
      <c r="T260" s="198" t="s">
        <v>272</v>
      </c>
      <c r="U260" s="198" t="s">
        <v>165</v>
      </c>
      <c r="V260" s="198"/>
      <c r="W260" s="205">
        <v>1</v>
      </c>
      <c r="X260" s="198" t="s">
        <v>114</v>
      </c>
    </row>
    <row r="261" spans="2:24">
      <c r="B261" s="474"/>
      <c r="C261" s="474"/>
      <c r="D261" s="209">
        <v>155</v>
      </c>
      <c r="E261" s="198" t="s">
        <v>229</v>
      </c>
      <c r="F261" s="274">
        <v>458.01980000000509</v>
      </c>
      <c r="G261" s="274">
        <v>146.69999999999999</v>
      </c>
      <c r="H261" s="274">
        <v>151.971</v>
      </c>
      <c r="I261" s="210">
        <f t="shared" si="21"/>
        <v>1.0359304703476484</v>
      </c>
      <c r="J261" s="234">
        <v>0</v>
      </c>
      <c r="K261" s="210">
        <f t="shared" si="22"/>
        <v>0</v>
      </c>
      <c r="L261" s="234">
        <v>335.3</v>
      </c>
      <c r="M261" s="211">
        <f t="shared" si="23"/>
        <v>1.0359304703476484</v>
      </c>
      <c r="N261" s="274">
        <v>1767.3663000000051</v>
      </c>
      <c r="O261" s="274">
        <v>3.9049999999999998</v>
      </c>
      <c r="P261" s="200">
        <v>2.6618950238582142E-2</v>
      </c>
      <c r="Q261" s="274">
        <v>1309.3464999999999</v>
      </c>
      <c r="R261" s="274">
        <v>1.3660000000000152</v>
      </c>
      <c r="S261" s="200">
        <v>9.311520109066225E-3</v>
      </c>
      <c r="T261" s="198" t="s">
        <v>230</v>
      </c>
      <c r="U261" s="198" t="s">
        <v>181</v>
      </c>
      <c r="V261" s="198" t="s">
        <v>276</v>
      </c>
      <c r="W261" s="205">
        <v>1</v>
      </c>
      <c r="X261" s="198" t="s">
        <v>232</v>
      </c>
    </row>
    <row r="262" spans="2:24" ht="16.5">
      <c r="B262" s="474"/>
      <c r="C262" s="474"/>
      <c r="D262" s="209">
        <v>156</v>
      </c>
      <c r="E262" s="198" t="s">
        <v>263</v>
      </c>
      <c r="F262" s="274">
        <v>442.51000000000073</v>
      </c>
      <c r="G262" s="274">
        <v>283.23</v>
      </c>
      <c r="H262" s="274">
        <v>291.70800000000003</v>
      </c>
      <c r="I262" s="210">
        <f t="shared" si="21"/>
        <v>1.0299332697807435</v>
      </c>
      <c r="J262" s="234">
        <v>0</v>
      </c>
      <c r="K262" s="210">
        <f t="shared" si="22"/>
        <v>0</v>
      </c>
      <c r="L262" s="234">
        <v>85</v>
      </c>
      <c r="M262" s="211">
        <f t="shared" si="23"/>
        <v>1.0299332697807435</v>
      </c>
      <c r="N262" s="274">
        <v>720.63000000000079</v>
      </c>
      <c r="O262" s="274">
        <v>3.2719999999999998</v>
      </c>
      <c r="P262" s="200">
        <v>1.1552448540055783E-2</v>
      </c>
      <c r="Q262" s="274">
        <v>278.12</v>
      </c>
      <c r="R262" s="274">
        <v>5.2060000000000084</v>
      </c>
      <c r="S262" s="200">
        <v>1.8380821240687809E-2</v>
      </c>
      <c r="T262" s="198" t="s">
        <v>272</v>
      </c>
      <c r="U262" s="198" t="s">
        <v>165</v>
      </c>
      <c r="V262" s="231"/>
      <c r="W262" s="205">
        <v>1</v>
      </c>
      <c r="X262" s="198" t="s">
        <v>122</v>
      </c>
    </row>
    <row r="263" spans="2:24">
      <c r="B263" s="474"/>
      <c r="C263" s="474"/>
      <c r="D263" s="209">
        <v>157</v>
      </c>
      <c r="E263" s="198" t="s">
        <v>331</v>
      </c>
      <c r="F263" s="274">
        <v>439.48799999999994</v>
      </c>
      <c r="G263" s="274">
        <v>9.3840000000000003</v>
      </c>
      <c r="H263" s="274">
        <v>12</v>
      </c>
      <c r="I263" s="210">
        <f t="shared" si="21"/>
        <v>1.2787723785166241</v>
      </c>
      <c r="J263" s="234">
        <v>0</v>
      </c>
      <c r="K263" s="210">
        <f t="shared" si="22"/>
        <v>0</v>
      </c>
      <c r="L263" s="234">
        <v>168</v>
      </c>
      <c r="M263" s="211">
        <f t="shared" si="23"/>
        <v>1.2787723785166241</v>
      </c>
      <c r="N263" s="274">
        <v>439.48799999999994</v>
      </c>
      <c r="O263" s="274">
        <v>0</v>
      </c>
      <c r="P263" s="200">
        <v>0</v>
      </c>
      <c r="Q263" s="274">
        <v>0</v>
      </c>
      <c r="R263" s="274">
        <v>2.6159999999999997</v>
      </c>
      <c r="S263" s="200">
        <v>0.27877237851662401</v>
      </c>
      <c r="T263" s="198" t="s">
        <v>272</v>
      </c>
      <c r="U263" s="198" t="s">
        <v>165</v>
      </c>
      <c r="V263" s="198"/>
      <c r="W263" s="205">
        <v>1</v>
      </c>
      <c r="X263" s="198" t="s">
        <v>113</v>
      </c>
    </row>
    <row r="264" spans="2:24" ht="16.5">
      <c r="B264" s="474"/>
      <c r="C264" s="474"/>
      <c r="D264" s="209">
        <v>158</v>
      </c>
      <c r="E264" s="198" t="s">
        <v>329</v>
      </c>
      <c r="F264" s="274">
        <v>383.70394000000027</v>
      </c>
      <c r="G264" s="274">
        <v>28.673999999999999</v>
      </c>
      <c r="H264" s="274">
        <v>34.200000000000003</v>
      </c>
      <c r="I264" s="210">
        <f t="shared" ref="I264:I316" si="24">H264/G264</f>
        <v>1.1927181418706843</v>
      </c>
      <c r="J264" s="234">
        <v>0</v>
      </c>
      <c r="K264" s="210">
        <f t="shared" ref="K264:K316" si="25">J264/G264</f>
        <v>0</v>
      </c>
      <c r="L264" s="234">
        <v>81.19</v>
      </c>
      <c r="M264" s="211">
        <f t="shared" ref="M264:M316" si="26">(H264+J264)/G264</f>
        <v>1.1927181418706843</v>
      </c>
      <c r="N264" s="274">
        <v>448.65594000000027</v>
      </c>
      <c r="O264" s="274">
        <v>0.8</v>
      </c>
      <c r="P264" s="200">
        <v>2.7899839575922441E-2</v>
      </c>
      <c r="Q264" s="274">
        <v>64.951999999999998</v>
      </c>
      <c r="R264" s="274">
        <v>4.7260000000000035</v>
      </c>
      <c r="S264" s="200">
        <v>0.16481830229476194</v>
      </c>
      <c r="T264" s="198" t="s">
        <v>274</v>
      </c>
      <c r="U264" s="198" t="s">
        <v>172</v>
      </c>
      <c r="V264" s="231" t="s">
        <v>345</v>
      </c>
      <c r="W264" s="205">
        <v>1</v>
      </c>
      <c r="X264" s="198" t="s">
        <v>124</v>
      </c>
    </row>
    <row r="265" spans="2:24">
      <c r="B265" s="474"/>
      <c r="C265" s="474"/>
      <c r="D265" s="209">
        <v>159</v>
      </c>
      <c r="E265" s="198" t="s">
        <v>320</v>
      </c>
      <c r="F265" s="274">
        <v>378.12</v>
      </c>
      <c r="G265" s="274">
        <v>0.48899999999999999</v>
      </c>
      <c r="H265" s="274">
        <v>0.9</v>
      </c>
      <c r="I265" s="210">
        <f t="shared" si="24"/>
        <v>1.8404907975460123</v>
      </c>
      <c r="J265" s="234">
        <v>0</v>
      </c>
      <c r="K265" s="210">
        <f t="shared" si="25"/>
        <v>0</v>
      </c>
      <c r="L265" s="234">
        <v>920</v>
      </c>
      <c r="M265" s="211">
        <f t="shared" si="26"/>
        <v>1.8404907975460123</v>
      </c>
      <c r="N265" s="274">
        <v>378.12</v>
      </c>
      <c r="O265" s="274">
        <v>0</v>
      </c>
      <c r="P265" s="200">
        <v>0</v>
      </c>
      <c r="Q265" s="274">
        <v>0</v>
      </c>
      <c r="R265" s="274">
        <v>0.41100000000000003</v>
      </c>
      <c r="S265" s="200">
        <v>0.8404907975460123</v>
      </c>
      <c r="T265" s="198" t="s">
        <v>272</v>
      </c>
      <c r="U265" s="198" t="s">
        <v>165</v>
      </c>
      <c r="V265" s="198"/>
      <c r="W265" s="205">
        <v>1</v>
      </c>
      <c r="X265" s="198" t="s">
        <v>232</v>
      </c>
    </row>
    <row r="266" spans="2:24" ht="16.5">
      <c r="B266" s="474"/>
      <c r="C266" s="474"/>
      <c r="D266" s="209">
        <v>160</v>
      </c>
      <c r="E266" s="198" t="s">
        <v>239</v>
      </c>
      <c r="F266" s="274">
        <v>318.77159999999992</v>
      </c>
      <c r="G266" s="274">
        <v>93.28</v>
      </c>
      <c r="H266" s="274">
        <v>106</v>
      </c>
      <c r="I266" s="210">
        <f t="shared" si="24"/>
        <v>1.1363636363636362</v>
      </c>
      <c r="J266" s="234">
        <v>0</v>
      </c>
      <c r="K266" s="210">
        <f t="shared" si="25"/>
        <v>0</v>
      </c>
      <c r="L266" s="234">
        <v>115.08</v>
      </c>
      <c r="M266" s="211">
        <f t="shared" si="26"/>
        <v>1.1363636363636362</v>
      </c>
      <c r="N266" s="274">
        <v>1463.8175999999999</v>
      </c>
      <c r="O266" s="274">
        <v>9.9499999999999993</v>
      </c>
      <c r="P266" s="200">
        <v>0.1066680960548885</v>
      </c>
      <c r="Q266" s="274">
        <v>1145.0459999999998</v>
      </c>
      <c r="R266" s="274">
        <v>2.7699999999999996</v>
      </c>
      <c r="S266" s="200">
        <v>2.969554030874785E-2</v>
      </c>
      <c r="T266" s="198" t="s">
        <v>272</v>
      </c>
      <c r="U266" s="198" t="s">
        <v>165</v>
      </c>
      <c r="V266" s="231"/>
      <c r="W266" s="205">
        <v>1</v>
      </c>
      <c r="X266" s="198" t="s">
        <v>116</v>
      </c>
    </row>
    <row r="267" spans="2:24">
      <c r="B267" s="473">
        <v>45927</v>
      </c>
      <c r="C267" s="475" t="s">
        <v>61</v>
      </c>
      <c r="D267" s="209">
        <v>161</v>
      </c>
      <c r="E267" s="198" t="s">
        <v>229</v>
      </c>
      <c r="F267" s="274">
        <v>1125.2668000000047</v>
      </c>
      <c r="G267" s="274">
        <v>154.38</v>
      </c>
      <c r="H267" s="274">
        <v>160.11500000000001</v>
      </c>
      <c r="I267" s="210">
        <f t="shared" si="24"/>
        <v>1.0371485943775101</v>
      </c>
      <c r="J267" s="234">
        <v>0</v>
      </c>
      <c r="K267" s="210">
        <f t="shared" si="25"/>
        <v>0</v>
      </c>
      <c r="L267" s="234">
        <v>335.3</v>
      </c>
      <c r="M267" s="211">
        <f t="shared" si="26"/>
        <v>1.0371485943775101</v>
      </c>
      <c r="N267" s="274">
        <v>1922.9455000000046</v>
      </c>
      <c r="O267" s="274">
        <v>2.379</v>
      </c>
      <c r="P267" s="200">
        <v>1.5410027205596581E-2</v>
      </c>
      <c r="Q267" s="274">
        <v>797.67870000000005</v>
      </c>
      <c r="R267" s="274">
        <v>3.3560000000000136</v>
      </c>
      <c r="S267" s="200">
        <v>2.173856717191355E-2</v>
      </c>
      <c r="T267" s="198" t="s">
        <v>230</v>
      </c>
      <c r="U267" s="198" t="s">
        <v>181</v>
      </c>
      <c r="V267" s="198" t="s">
        <v>276</v>
      </c>
      <c r="W267" s="205">
        <v>1</v>
      </c>
      <c r="X267" s="198" t="s">
        <v>232</v>
      </c>
    </row>
    <row r="268" spans="2:24">
      <c r="B268" s="474"/>
      <c r="C268" s="474"/>
      <c r="D268" s="209">
        <v>162</v>
      </c>
      <c r="E268" s="198" t="s">
        <v>296</v>
      </c>
      <c r="F268" s="274">
        <v>900.36000000000035</v>
      </c>
      <c r="G268" s="274">
        <v>65.09</v>
      </c>
      <c r="H268" s="274">
        <v>86.09</v>
      </c>
      <c r="I268" s="210">
        <f t="shared" si="24"/>
        <v>1.3226302043324627</v>
      </c>
      <c r="J268" s="234">
        <v>0</v>
      </c>
      <c r="K268" s="210">
        <f t="shared" si="25"/>
        <v>0</v>
      </c>
      <c r="L268" s="234">
        <v>250.1</v>
      </c>
      <c r="M268" s="211">
        <f t="shared" si="26"/>
        <v>1.3226302043324627</v>
      </c>
      <c r="N268" s="274">
        <v>5252.0999999999995</v>
      </c>
      <c r="O268" s="274">
        <v>17.399999999999999</v>
      </c>
      <c r="P268" s="200">
        <v>0.26732216930404051</v>
      </c>
      <c r="Q268" s="274">
        <v>4351.74</v>
      </c>
      <c r="R268" s="274">
        <v>3.6000000000000014</v>
      </c>
      <c r="S268" s="200">
        <v>5.5308035028422201E-2</v>
      </c>
      <c r="T268" s="198" t="s">
        <v>272</v>
      </c>
      <c r="U268" s="198" t="s">
        <v>165</v>
      </c>
      <c r="V268" s="198"/>
      <c r="W268" s="205">
        <v>1</v>
      </c>
      <c r="X268" s="198" t="s">
        <v>118</v>
      </c>
    </row>
    <row r="269" spans="2:24">
      <c r="B269" s="474"/>
      <c r="C269" s="474"/>
      <c r="D269" s="209">
        <v>163</v>
      </c>
      <c r="E269" s="198" t="s">
        <v>314</v>
      </c>
      <c r="F269" s="274">
        <v>783.43880000000058</v>
      </c>
      <c r="G269" s="274">
        <v>42.16</v>
      </c>
      <c r="H269" s="274">
        <v>45.4</v>
      </c>
      <c r="I269" s="210">
        <f t="shared" si="24"/>
        <v>1.0768500948766604</v>
      </c>
      <c r="J269" s="234">
        <v>0</v>
      </c>
      <c r="K269" s="210">
        <f t="shared" si="25"/>
        <v>0</v>
      </c>
      <c r="L269" s="234">
        <v>304.83999999999997</v>
      </c>
      <c r="M269" s="211">
        <f t="shared" si="26"/>
        <v>1.0768500948766604</v>
      </c>
      <c r="N269" s="274">
        <v>987.68160000000057</v>
      </c>
      <c r="O269" s="274">
        <v>0.67</v>
      </c>
      <c r="P269" s="200">
        <v>1.589184060721063E-2</v>
      </c>
      <c r="Q269" s="274">
        <v>204.24279999999999</v>
      </c>
      <c r="R269" s="274">
        <v>2.5700000000000021</v>
      </c>
      <c r="S269" s="200">
        <v>6.0958254269449771E-2</v>
      </c>
      <c r="T269" s="198" t="s">
        <v>272</v>
      </c>
      <c r="U269" s="198" t="s">
        <v>165</v>
      </c>
      <c r="V269" s="198"/>
      <c r="W269" s="205">
        <v>1</v>
      </c>
      <c r="X269" s="198" t="s">
        <v>103</v>
      </c>
    </row>
    <row r="270" spans="2:24">
      <c r="B270" s="474"/>
      <c r="C270" s="474"/>
      <c r="D270" s="209">
        <v>164</v>
      </c>
      <c r="E270" s="198" t="s">
        <v>303</v>
      </c>
      <c r="F270" s="274">
        <v>689.76356000000021</v>
      </c>
      <c r="G270" s="274">
        <v>52.302</v>
      </c>
      <c r="H270" s="274">
        <v>72.7</v>
      </c>
      <c r="I270" s="210">
        <f t="shared" si="24"/>
        <v>1.3900042063401017</v>
      </c>
      <c r="J270" s="234">
        <v>0</v>
      </c>
      <c r="K270" s="210">
        <f t="shared" si="25"/>
        <v>0</v>
      </c>
      <c r="L270" s="234">
        <v>54.97</v>
      </c>
      <c r="M270" s="211">
        <f t="shared" si="26"/>
        <v>1.3900042063401017</v>
      </c>
      <c r="N270" s="274">
        <v>1121.2780600000001</v>
      </c>
      <c r="O270" s="274">
        <v>7.85</v>
      </c>
      <c r="P270" s="200">
        <v>0.15008986272035485</v>
      </c>
      <c r="Q270" s="274">
        <v>431.5145</v>
      </c>
      <c r="R270" s="274">
        <v>12.548000000000004</v>
      </c>
      <c r="S270" s="200">
        <v>0.23991434361974692</v>
      </c>
      <c r="T270" s="198" t="s">
        <v>272</v>
      </c>
      <c r="U270" s="198" t="s">
        <v>165</v>
      </c>
      <c r="V270" s="198"/>
      <c r="W270" s="205">
        <v>1</v>
      </c>
      <c r="X270" s="198" t="s">
        <v>124</v>
      </c>
    </row>
    <row r="271" spans="2:24">
      <c r="B271" s="474"/>
      <c r="C271" s="474"/>
      <c r="D271" s="209">
        <v>165</v>
      </c>
      <c r="E271" s="198" t="s">
        <v>322</v>
      </c>
      <c r="F271" s="274">
        <v>454.22999999999985</v>
      </c>
      <c r="G271" s="274">
        <v>6.5590000000000002</v>
      </c>
      <c r="H271" s="274">
        <v>7</v>
      </c>
      <c r="I271" s="210">
        <f t="shared" si="24"/>
        <v>1.0672358591248665</v>
      </c>
      <c r="J271" s="234">
        <v>0</v>
      </c>
      <c r="K271" s="210">
        <f t="shared" si="25"/>
        <v>0</v>
      </c>
      <c r="L271" s="234">
        <v>1030</v>
      </c>
      <c r="M271" s="211">
        <f t="shared" si="26"/>
        <v>1.0672358591248665</v>
      </c>
      <c r="N271" s="274">
        <v>454.22999999999985</v>
      </c>
      <c r="O271" s="274">
        <v>0</v>
      </c>
      <c r="P271" s="200">
        <v>0</v>
      </c>
      <c r="Q271" s="274">
        <v>0</v>
      </c>
      <c r="R271" s="274">
        <v>0.44099999999999984</v>
      </c>
      <c r="S271" s="200">
        <v>6.723585912486657E-2</v>
      </c>
      <c r="T271" s="198" t="s">
        <v>272</v>
      </c>
      <c r="U271" s="198" t="s">
        <v>165</v>
      </c>
      <c r="V271" s="198"/>
      <c r="W271" s="205">
        <v>1</v>
      </c>
      <c r="X271" s="198" t="s">
        <v>116</v>
      </c>
    </row>
    <row r="272" spans="2:24">
      <c r="B272" s="474"/>
      <c r="C272" s="474"/>
      <c r="D272" s="209">
        <v>166</v>
      </c>
      <c r="E272" s="198" t="s">
        <v>341</v>
      </c>
      <c r="F272" s="274">
        <v>414.88799999999992</v>
      </c>
      <c r="G272" s="274">
        <v>11.32</v>
      </c>
      <c r="H272" s="274">
        <v>12.5</v>
      </c>
      <c r="I272" s="210">
        <f t="shared" si="24"/>
        <v>1.1042402826855124</v>
      </c>
      <c r="J272" s="234">
        <v>0</v>
      </c>
      <c r="K272" s="210">
        <f t="shared" si="25"/>
        <v>0</v>
      </c>
      <c r="L272" s="234">
        <v>351.6</v>
      </c>
      <c r="M272" s="211">
        <f t="shared" si="26"/>
        <v>1.1042402826855124</v>
      </c>
      <c r="N272" s="274">
        <v>414.88799999999992</v>
      </c>
      <c r="O272" s="274">
        <v>0</v>
      </c>
      <c r="P272" s="200">
        <v>0</v>
      </c>
      <c r="Q272" s="274">
        <v>0</v>
      </c>
      <c r="R272" s="274">
        <v>1.1799999999999997</v>
      </c>
      <c r="S272" s="200">
        <v>0.10424028268551234</v>
      </c>
      <c r="T272" s="198" t="s">
        <v>272</v>
      </c>
      <c r="U272" s="198" t="s">
        <v>165</v>
      </c>
      <c r="V272" s="198"/>
      <c r="W272" s="205">
        <v>1</v>
      </c>
      <c r="X272" s="198" t="s">
        <v>118</v>
      </c>
    </row>
    <row r="273" spans="2:24">
      <c r="B273" s="474"/>
      <c r="C273" s="474"/>
      <c r="D273" s="209">
        <v>167</v>
      </c>
      <c r="E273" s="198" t="s">
        <v>239</v>
      </c>
      <c r="F273" s="274">
        <v>411.98640000000142</v>
      </c>
      <c r="G273" s="274">
        <v>103.07</v>
      </c>
      <c r="H273" s="274">
        <v>114.9</v>
      </c>
      <c r="I273" s="210">
        <f t="shared" si="24"/>
        <v>1.1147763655767926</v>
      </c>
      <c r="J273" s="234">
        <v>0</v>
      </c>
      <c r="K273" s="210">
        <f t="shared" si="25"/>
        <v>0</v>
      </c>
      <c r="L273" s="234">
        <v>115.08</v>
      </c>
      <c r="M273" s="211">
        <f t="shared" si="26"/>
        <v>1.1147763655767926</v>
      </c>
      <c r="N273" s="274">
        <v>1361.3964000000014</v>
      </c>
      <c r="O273" s="274">
        <v>8.25</v>
      </c>
      <c r="P273" s="200">
        <v>8.0042689434365002E-2</v>
      </c>
      <c r="Q273" s="274">
        <v>949.41</v>
      </c>
      <c r="R273" s="274">
        <v>3.5800000000000125</v>
      </c>
      <c r="S273" s="200">
        <v>3.4733676142427602E-2</v>
      </c>
      <c r="T273" s="198" t="s">
        <v>272</v>
      </c>
      <c r="U273" s="198" t="s">
        <v>165</v>
      </c>
      <c r="V273" s="198"/>
      <c r="W273" s="205">
        <v>1</v>
      </c>
      <c r="X273" s="198" t="s">
        <v>116</v>
      </c>
    </row>
    <row r="274" spans="2:24">
      <c r="B274" s="474"/>
      <c r="C274" s="474"/>
      <c r="D274" s="209">
        <v>168</v>
      </c>
      <c r="E274" s="198" t="s">
        <v>309</v>
      </c>
      <c r="F274" s="274">
        <v>396.87287999999995</v>
      </c>
      <c r="G274" s="274">
        <v>19.809999999999999</v>
      </c>
      <c r="H274" s="274">
        <v>22.65</v>
      </c>
      <c r="I274" s="210">
        <f t="shared" si="24"/>
        <v>1.143361938414942</v>
      </c>
      <c r="J274" s="234">
        <v>0</v>
      </c>
      <c r="K274" s="210">
        <f t="shared" si="25"/>
        <v>0</v>
      </c>
      <c r="L274" s="234">
        <v>150.16</v>
      </c>
      <c r="M274" s="211">
        <f t="shared" si="26"/>
        <v>1.143361938414942</v>
      </c>
      <c r="N274" s="274">
        <v>426.45439999999996</v>
      </c>
      <c r="O274" s="274">
        <v>0.19700000000000001</v>
      </c>
      <c r="P274" s="200">
        <v>9.9444724886421018E-3</v>
      </c>
      <c r="Q274" s="274">
        <v>29.581520000000001</v>
      </c>
      <c r="R274" s="274">
        <v>2.6429999999999998</v>
      </c>
      <c r="S274" s="200">
        <v>0.13341746592629986</v>
      </c>
      <c r="T274" s="198" t="s">
        <v>272</v>
      </c>
      <c r="U274" s="198" t="s">
        <v>165</v>
      </c>
      <c r="V274" s="198"/>
      <c r="W274" s="205">
        <v>1</v>
      </c>
      <c r="X274" s="198" t="s">
        <v>118</v>
      </c>
    </row>
    <row r="275" spans="2:24">
      <c r="B275" s="474"/>
      <c r="C275" s="474"/>
      <c r="D275" s="209">
        <v>169</v>
      </c>
      <c r="E275" s="198" t="s">
        <v>344</v>
      </c>
      <c r="F275" s="274">
        <v>371.42000000000201</v>
      </c>
      <c r="G275" s="274">
        <v>131.76</v>
      </c>
      <c r="H275" s="274">
        <v>127.5</v>
      </c>
      <c r="I275" s="210">
        <f t="shared" si="24"/>
        <v>0.9676684881602915</v>
      </c>
      <c r="J275" s="234">
        <v>8.1</v>
      </c>
      <c r="K275" s="210">
        <f t="shared" si="25"/>
        <v>6.1475409836065573E-2</v>
      </c>
      <c r="L275" s="234">
        <v>98</v>
      </c>
      <c r="M275" s="211">
        <f t="shared" si="26"/>
        <v>1.029143897996357</v>
      </c>
      <c r="N275" s="274">
        <v>371.42000000000201</v>
      </c>
      <c r="O275" s="274">
        <v>0</v>
      </c>
      <c r="P275" s="200">
        <v>0</v>
      </c>
      <c r="Q275" s="274">
        <v>0</v>
      </c>
      <c r="R275" s="274">
        <v>3.8400000000000034</v>
      </c>
      <c r="S275" s="200">
        <v>2.914389799635704E-2</v>
      </c>
      <c r="T275" s="198" t="s">
        <v>272</v>
      </c>
      <c r="U275" s="198" t="s">
        <v>165</v>
      </c>
      <c r="V275" s="198"/>
      <c r="W275" s="205">
        <v>1</v>
      </c>
      <c r="X275" s="198" t="s">
        <v>111</v>
      </c>
    </row>
    <row r="276" spans="2:24">
      <c r="B276" s="474"/>
      <c r="C276" s="474"/>
      <c r="D276" s="209">
        <v>170</v>
      </c>
      <c r="E276" s="198" t="s">
        <v>263</v>
      </c>
      <c r="F276" s="274">
        <v>303.44999999999942</v>
      </c>
      <c r="G276" s="274">
        <v>276.93</v>
      </c>
      <c r="H276" s="274">
        <v>308</v>
      </c>
      <c r="I276" s="210">
        <f t="shared" si="24"/>
        <v>1.1121944173617881</v>
      </c>
      <c r="J276" s="234">
        <v>0</v>
      </c>
      <c r="K276" s="210">
        <f t="shared" si="25"/>
        <v>0</v>
      </c>
      <c r="L276" s="234">
        <v>85</v>
      </c>
      <c r="M276" s="211">
        <f t="shared" si="26"/>
        <v>1.1121944173617881</v>
      </c>
      <c r="N276" s="274">
        <v>2640.9499999999994</v>
      </c>
      <c r="O276" s="274">
        <v>27.5</v>
      </c>
      <c r="P276" s="200">
        <v>9.9303072978731088E-2</v>
      </c>
      <c r="Q276" s="274">
        <v>2337.5</v>
      </c>
      <c r="R276" s="274">
        <v>3.5699999999999932</v>
      </c>
      <c r="S276" s="200">
        <v>1.2891344383057066E-2</v>
      </c>
      <c r="T276" s="198" t="s">
        <v>272</v>
      </c>
      <c r="U276" s="198" t="s">
        <v>165</v>
      </c>
      <c r="V276" s="198"/>
      <c r="W276" s="205">
        <v>1</v>
      </c>
      <c r="X276" s="198" t="s">
        <v>122</v>
      </c>
    </row>
    <row r="277" spans="2:24">
      <c r="B277" s="473">
        <v>45928</v>
      </c>
      <c r="C277" s="475" t="s">
        <v>52</v>
      </c>
      <c r="D277" s="209">
        <v>171</v>
      </c>
      <c r="E277" s="198" t="s">
        <v>318</v>
      </c>
      <c r="F277" s="274">
        <v>3215.1999999999989</v>
      </c>
      <c r="G277" s="274">
        <v>140.92400000000001</v>
      </c>
      <c r="H277" s="274">
        <v>157</v>
      </c>
      <c r="I277" s="210">
        <f t="shared" si="24"/>
        <v>1.1140756719934148</v>
      </c>
      <c r="J277" s="234"/>
      <c r="K277" s="210">
        <f t="shared" si="25"/>
        <v>0</v>
      </c>
      <c r="L277" s="234">
        <v>200</v>
      </c>
      <c r="M277" s="211">
        <f t="shared" si="26"/>
        <v>1.1140756719934148</v>
      </c>
      <c r="N277" s="274">
        <v>3215.1999999999989</v>
      </c>
      <c r="O277" s="274">
        <v>0</v>
      </c>
      <c r="P277" s="200">
        <v>0</v>
      </c>
      <c r="Q277" s="274">
        <v>0</v>
      </c>
      <c r="R277" s="274">
        <v>16.075999999999993</v>
      </c>
      <c r="S277" s="200">
        <v>0.11407567199341484</v>
      </c>
      <c r="T277" s="198" t="s">
        <v>272</v>
      </c>
      <c r="U277" s="198" t="s">
        <v>165</v>
      </c>
      <c r="V277" s="198"/>
      <c r="W277" s="205">
        <v>1</v>
      </c>
      <c r="X277" s="198" t="s">
        <v>105</v>
      </c>
    </row>
    <row r="278" spans="2:24" ht="16.5">
      <c r="B278" s="474"/>
      <c r="C278" s="474"/>
      <c r="D278" s="209">
        <v>172</v>
      </c>
      <c r="E278" s="198" t="s">
        <v>229</v>
      </c>
      <c r="F278" s="274">
        <v>1049.4889999999932</v>
      </c>
      <c r="G278" s="274">
        <v>166.08</v>
      </c>
      <c r="H278" s="274">
        <v>170.54</v>
      </c>
      <c r="I278" s="210">
        <f t="shared" si="24"/>
        <v>1.0268545279383428</v>
      </c>
      <c r="J278" s="234"/>
      <c r="K278" s="210">
        <f t="shared" si="25"/>
        <v>0</v>
      </c>
      <c r="L278" s="234">
        <v>335.3</v>
      </c>
      <c r="M278" s="211">
        <f t="shared" si="26"/>
        <v>1.0268545279383428</v>
      </c>
      <c r="N278" s="274">
        <v>1495.4379999999933</v>
      </c>
      <c r="O278" s="274">
        <v>1.33</v>
      </c>
      <c r="P278" s="200">
        <v>8.0081888246628131E-3</v>
      </c>
      <c r="Q278" s="274">
        <v>445.94900000000001</v>
      </c>
      <c r="R278" s="274">
        <v>3.1299999999999795</v>
      </c>
      <c r="S278" s="200">
        <v>1.8846339113680031E-2</v>
      </c>
      <c r="T278" s="198" t="s">
        <v>230</v>
      </c>
      <c r="U278" s="198" t="s">
        <v>181</v>
      </c>
      <c r="V278" s="231" t="s">
        <v>276</v>
      </c>
      <c r="W278" s="205">
        <v>1</v>
      </c>
      <c r="X278" s="198" t="s">
        <v>232</v>
      </c>
    </row>
    <row r="279" spans="2:24">
      <c r="B279" s="474"/>
      <c r="C279" s="474"/>
      <c r="D279" s="209">
        <v>173</v>
      </c>
      <c r="E279" s="198" t="s">
        <v>325</v>
      </c>
      <c r="F279" s="274">
        <v>974.54500000000007</v>
      </c>
      <c r="G279" s="274">
        <v>14.853</v>
      </c>
      <c r="H279" s="274">
        <v>19</v>
      </c>
      <c r="I279" s="210">
        <f t="shared" si="24"/>
        <v>1.2792028546421599</v>
      </c>
      <c r="J279" s="234"/>
      <c r="K279" s="210">
        <f t="shared" si="25"/>
        <v>0</v>
      </c>
      <c r="L279" s="234">
        <v>235</v>
      </c>
      <c r="M279" s="211">
        <f t="shared" si="26"/>
        <v>1.2792028546421599</v>
      </c>
      <c r="N279" s="274">
        <v>974.54500000000007</v>
      </c>
      <c r="O279" s="274">
        <v>0</v>
      </c>
      <c r="P279" s="200">
        <v>0</v>
      </c>
      <c r="Q279" s="274">
        <v>0</v>
      </c>
      <c r="R279" s="274">
        <v>4.1470000000000002</v>
      </c>
      <c r="S279" s="200">
        <v>0.27920285464215988</v>
      </c>
      <c r="T279" s="198" t="s">
        <v>272</v>
      </c>
      <c r="U279" s="198" t="s">
        <v>165</v>
      </c>
      <c r="V279" s="198"/>
      <c r="W279" s="205">
        <v>1</v>
      </c>
      <c r="X279" s="198" t="s">
        <v>103</v>
      </c>
    </row>
    <row r="280" spans="2:24" ht="16.5">
      <c r="B280" s="474"/>
      <c r="C280" s="474"/>
      <c r="D280" s="209">
        <v>174</v>
      </c>
      <c r="E280" s="198" t="s">
        <v>263</v>
      </c>
      <c r="F280" s="274">
        <v>899.29999999999859</v>
      </c>
      <c r="G280" s="274">
        <v>301.86</v>
      </c>
      <c r="H280" s="274">
        <v>398</v>
      </c>
      <c r="I280" s="210">
        <f t="shared" si="24"/>
        <v>1.3184920161664346</v>
      </c>
      <c r="J280" s="234"/>
      <c r="K280" s="210">
        <f t="shared" si="25"/>
        <v>0</v>
      </c>
      <c r="L280" s="234">
        <v>85</v>
      </c>
      <c r="M280" s="211">
        <f t="shared" si="26"/>
        <v>1.3184920161664346</v>
      </c>
      <c r="N280" s="274">
        <v>8171.8999999999987</v>
      </c>
      <c r="O280" s="274">
        <v>85.56</v>
      </c>
      <c r="P280" s="200">
        <v>0.28344265553567877</v>
      </c>
      <c r="Q280" s="274">
        <v>7272.6</v>
      </c>
      <c r="R280" s="274">
        <v>10.579999999999984</v>
      </c>
      <c r="S280" s="200">
        <v>3.5049360630755928E-2</v>
      </c>
      <c r="T280" s="198" t="s">
        <v>272</v>
      </c>
      <c r="U280" s="198" t="s">
        <v>165</v>
      </c>
      <c r="V280" s="231"/>
      <c r="W280" s="205">
        <v>1</v>
      </c>
      <c r="X280" s="198" t="s">
        <v>122</v>
      </c>
    </row>
    <row r="281" spans="2:24" ht="16.5">
      <c r="B281" s="474"/>
      <c r="C281" s="474"/>
      <c r="D281" s="209">
        <v>175</v>
      </c>
      <c r="E281" s="198" t="s">
        <v>302</v>
      </c>
      <c r="F281" s="274">
        <v>779.37859999999989</v>
      </c>
      <c r="G281" s="274">
        <v>40.994999999999997</v>
      </c>
      <c r="H281" s="274">
        <v>56.8</v>
      </c>
      <c r="I281" s="210">
        <f t="shared" si="24"/>
        <v>1.3855348213196732</v>
      </c>
      <c r="J281" s="234"/>
      <c r="K281" s="210">
        <f t="shared" si="25"/>
        <v>0</v>
      </c>
      <c r="L281" s="234">
        <v>155.72</v>
      </c>
      <c r="M281" s="211">
        <f t="shared" si="26"/>
        <v>1.3855348213196732</v>
      </c>
      <c r="N281" s="274">
        <v>2461.1545999999998</v>
      </c>
      <c r="O281" s="274">
        <v>10.8</v>
      </c>
      <c r="P281" s="200">
        <v>0.26344676180021959</v>
      </c>
      <c r="Q281" s="274">
        <v>1681.7760000000001</v>
      </c>
      <c r="R281" s="274">
        <v>5.004999999999999</v>
      </c>
      <c r="S281" s="200">
        <v>0.12208805951945358</v>
      </c>
      <c r="T281" s="198" t="s">
        <v>272</v>
      </c>
      <c r="U281" s="198" t="s">
        <v>165</v>
      </c>
      <c r="V281" s="231"/>
      <c r="W281" s="205">
        <v>1</v>
      </c>
      <c r="X281" s="198" t="s">
        <v>114</v>
      </c>
    </row>
    <row r="282" spans="2:24">
      <c r="B282" s="474"/>
      <c r="C282" s="474"/>
      <c r="D282" s="209">
        <v>176</v>
      </c>
      <c r="E282" s="198" t="s">
        <v>280</v>
      </c>
      <c r="F282" s="274">
        <v>721.9368000000012</v>
      </c>
      <c r="G282" s="274">
        <v>169.92</v>
      </c>
      <c r="H282" s="274">
        <v>192.5</v>
      </c>
      <c r="I282" s="210">
        <f t="shared" si="24"/>
        <v>1.1328860640301319</v>
      </c>
      <c r="J282" s="234"/>
      <c r="K282" s="210">
        <f t="shared" si="25"/>
        <v>0</v>
      </c>
      <c r="L282" s="234">
        <v>111.41</v>
      </c>
      <c r="M282" s="211">
        <f t="shared" si="26"/>
        <v>1.1328860640301319</v>
      </c>
      <c r="N282" s="274">
        <v>2515.6378000000013</v>
      </c>
      <c r="O282" s="274">
        <v>16.100000000000001</v>
      </c>
      <c r="P282" s="200">
        <v>9.4750470809792861E-2</v>
      </c>
      <c r="Q282" s="274">
        <v>1793.701</v>
      </c>
      <c r="R282" s="274">
        <v>6.4800000000000111</v>
      </c>
      <c r="S282" s="200">
        <v>3.8135593220339048E-2</v>
      </c>
      <c r="T282" s="198" t="s">
        <v>272</v>
      </c>
      <c r="U282" s="198" t="s">
        <v>165</v>
      </c>
      <c r="V282" s="198"/>
      <c r="W282" s="205">
        <v>1</v>
      </c>
      <c r="X282" s="198" t="s">
        <v>104</v>
      </c>
    </row>
    <row r="283" spans="2:24" ht="16.5">
      <c r="B283" s="474"/>
      <c r="C283" s="474"/>
      <c r="D283" s="209">
        <v>177</v>
      </c>
      <c r="E283" s="198" t="s">
        <v>311</v>
      </c>
      <c r="F283" s="274">
        <v>691.88000000000011</v>
      </c>
      <c r="G283" s="274">
        <v>83.85</v>
      </c>
      <c r="H283" s="274">
        <v>101.5</v>
      </c>
      <c r="I283" s="210">
        <f t="shared" si="24"/>
        <v>1.2104949314251641</v>
      </c>
      <c r="J283" s="234"/>
      <c r="K283" s="210">
        <f t="shared" si="25"/>
        <v>0</v>
      </c>
      <c r="L283" s="234">
        <v>39.199999999999996</v>
      </c>
      <c r="M283" s="211">
        <f t="shared" si="26"/>
        <v>1.2104949314251641</v>
      </c>
      <c r="N283" s="274">
        <v>691.88000000000011</v>
      </c>
      <c r="O283" s="274">
        <v>0</v>
      </c>
      <c r="P283" s="200">
        <v>0</v>
      </c>
      <c r="Q283" s="274">
        <v>0</v>
      </c>
      <c r="R283" s="274">
        <v>17.650000000000006</v>
      </c>
      <c r="S283" s="200">
        <v>0.21049493142516407</v>
      </c>
      <c r="T283" s="198" t="s">
        <v>272</v>
      </c>
      <c r="U283" s="198" t="s">
        <v>165</v>
      </c>
      <c r="V283" s="231"/>
      <c r="W283" s="205">
        <v>1</v>
      </c>
      <c r="X283" s="198" t="s">
        <v>122</v>
      </c>
    </row>
    <row r="284" spans="2:24">
      <c r="B284" s="474"/>
      <c r="C284" s="474"/>
      <c r="D284" s="209">
        <v>178</v>
      </c>
      <c r="E284" s="198" t="s">
        <v>294</v>
      </c>
      <c r="F284" s="274">
        <v>520.17541999999855</v>
      </c>
      <c r="G284" s="274">
        <v>87.058000000000007</v>
      </c>
      <c r="H284" s="274">
        <v>117.05</v>
      </c>
      <c r="I284" s="210">
        <f t="shared" si="24"/>
        <v>1.3445059615428794</v>
      </c>
      <c r="J284" s="234"/>
      <c r="K284" s="210">
        <f t="shared" si="25"/>
        <v>0</v>
      </c>
      <c r="L284" s="234">
        <v>139.01</v>
      </c>
      <c r="M284" s="211">
        <f t="shared" si="26"/>
        <v>1.3445059615428794</v>
      </c>
      <c r="N284" s="274">
        <v>4169.1879199999985</v>
      </c>
      <c r="O284" s="274">
        <v>26.25</v>
      </c>
      <c r="P284" s="200">
        <v>0.30152312251602376</v>
      </c>
      <c r="Q284" s="274">
        <v>3649.0124999999998</v>
      </c>
      <c r="R284" s="274">
        <v>3.7419999999999902</v>
      </c>
      <c r="S284" s="200">
        <v>4.298283902685554E-2</v>
      </c>
      <c r="T284" s="198" t="s">
        <v>272</v>
      </c>
      <c r="U284" s="198" t="s">
        <v>165</v>
      </c>
      <c r="V284" s="198"/>
      <c r="W284" s="205">
        <v>1</v>
      </c>
      <c r="X284" s="198" t="s">
        <v>118</v>
      </c>
    </row>
    <row r="285" spans="2:24" ht="16.5">
      <c r="B285" s="474"/>
      <c r="C285" s="474"/>
      <c r="D285" s="209">
        <v>179</v>
      </c>
      <c r="E285" s="198" t="s">
        <v>320</v>
      </c>
      <c r="F285" s="274">
        <v>513.2399999999999</v>
      </c>
      <c r="G285" s="274">
        <v>0.85399999999999998</v>
      </c>
      <c r="H285" s="274">
        <v>1.4</v>
      </c>
      <c r="I285" s="210">
        <f t="shared" si="24"/>
        <v>1.6393442622950818</v>
      </c>
      <c r="J285" s="234"/>
      <c r="K285" s="210">
        <f t="shared" si="25"/>
        <v>0</v>
      </c>
      <c r="L285" s="234">
        <v>940</v>
      </c>
      <c r="M285" s="211">
        <f t="shared" si="26"/>
        <v>1.6393442622950818</v>
      </c>
      <c r="N285" s="274">
        <v>513.2399999999999</v>
      </c>
      <c r="O285" s="274">
        <v>0</v>
      </c>
      <c r="P285" s="200">
        <v>0</v>
      </c>
      <c r="Q285" s="274">
        <v>0</v>
      </c>
      <c r="R285" s="274">
        <v>0.54599999999999993</v>
      </c>
      <c r="S285" s="200">
        <v>0.6393442622950819</v>
      </c>
      <c r="T285" s="198" t="s">
        <v>272</v>
      </c>
      <c r="U285" s="198" t="s">
        <v>165</v>
      </c>
      <c r="V285" s="231"/>
      <c r="W285" s="205">
        <v>1</v>
      </c>
      <c r="X285" s="198" t="s">
        <v>111</v>
      </c>
    </row>
    <row r="286" spans="2:24" ht="16.5">
      <c r="B286" s="474"/>
      <c r="C286" s="474"/>
      <c r="D286" s="209">
        <v>180</v>
      </c>
      <c r="E286" s="198" t="s">
        <v>239</v>
      </c>
      <c r="F286" s="274">
        <v>430.39919999999984</v>
      </c>
      <c r="G286" s="274">
        <v>109.01</v>
      </c>
      <c r="H286" s="274">
        <v>127.2</v>
      </c>
      <c r="I286" s="210">
        <f t="shared" si="24"/>
        <v>1.1668654251903494</v>
      </c>
      <c r="J286" s="234"/>
      <c r="K286" s="210">
        <f t="shared" si="25"/>
        <v>0</v>
      </c>
      <c r="L286" s="234">
        <v>115.08</v>
      </c>
      <c r="M286" s="211">
        <f t="shared" si="26"/>
        <v>1.1668654251903494</v>
      </c>
      <c r="N286" s="274">
        <v>2093.3051999999998</v>
      </c>
      <c r="O286" s="274">
        <v>14.45</v>
      </c>
      <c r="P286" s="200">
        <v>0.13255664617924959</v>
      </c>
      <c r="Q286" s="274">
        <v>1662.9059999999999</v>
      </c>
      <c r="R286" s="274">
        <v>3.7399999999999984</v>
      </c>
      <c r="S286" s="200">
        <v>3.4308779011099882E-2</v>
      </c>
      <c r="T286" s="198" t="s">
        <v>272</v>
      </c>
      <c r="U286" s="198" t="s">
        <v>165</v>
      </c>
      <c r="V286" s="231"/>
      <c r="W286" s="205">
        <v>1</v>
      </c>
      <c r="X286" s="198" t="s">
        <v>116</v>
      </c>
    </row>
    <row r="287" spans="2:24">
      <c r="B287" s="473">
        <v>45929</v>
      </c>
      <c r="C287" s="475" t="s">
        <v>56</v>
      </c>
      <c r="D287" s="209">
        <v>181</v>
      </c>
      <c r="E287" s="198" t="s">
        <v>229</v>
      </c>
      <c r="F287" s="274">
        <v>2150.6141999999995</v>
      </c>
      <c r="G287" s="274">
        <v>198.54</v>
      </c>
      <c r="H287" s="274">
        <v>205.98</v>
      </c>
      <c r="I287" s="210">
        <f t="shared" si="24"/>
        <v>1.0374735569658506</v>
      </c>
      <c r="J287" s="234"/>
      <c r="K287" s="210">
        <f t="shared" si="25"/>
        <v>0</v>
      </c>
      <c r="L287" s="234">
        <v>335.3</v>
      </c>
      <c r="M287" s="211">
        <f t="shared" si="26"/>
        <v>1.0374735569658506</v>
      </c>
      <c r="N287" s="274">
        <v>2494.6319999999992</v>
      </c>
      <c r="O287" s="274">
        <v>1.026</v>
      </c>
      <c r="P287" s="200">
        <v>5.1677243880326384E-3</v>
      </c>
      <c r="Q287" s="274">
        <v>344.01780000000002</v>
      </c>
      <c r="R287" s="274">
        <v>6.4139999999999979</v>
      </c>
      <c r="S287" s="200">
        <v>3.2305832577818064E-2</v>
      </c>
      <c r="T287" s="198" t="s">
        <v>230</v>
      </c>
      <c r="U287" s="198" t="s">
        <v>181</v>
      </c>
      <c r="V287" s="198" t="s">
        <v>276</v>
      </c>
      <c r="W287" s="205">
        <v>1</v>
      </c>
      <c r="X287" s="198" t="s">
        <v>232</v>
      </c>
    </row>
    <row r="288" spans="2:24">
      <c r="B288" s="474"/>
      <c r="C288" s="474"/>
      <c r="D288" s="209">
        <v>182</v>
      </c>
      <c r="E288" s="198" t="s">
        <v>234</v>
      </c>
      <c r="F288" s="274">
        <v>1199.176300000003</v>
      </c>
      <c r="G288" s="274">
        <v>151.51499999999999</v>
      </c>
      <c r="H288" s="274">
        <v>150.9</v>
      </c>
      <c r="I288" s="210">
        <f t="shared" si="24"/>
        <v>0.99594099594099605</v>
      </c>
      <c r="J288" s="234">
        <v>8</v>
      </c>
      <c r="K288" s="210">
        <f t="shared" si="25"/>
        <v>5.2800052800052802E-2</v>
      </c>
      <c r="L288" s="234">
        <v>162.38</v>
      </c>
      <c r="M288" s="211">
        <f t="shared" si="26"/>
        <v>1.0487410487410489</v>
      </c>
      <c r="N288" s="274">
        <v>1199.176300000003</v>
      </c>
      <c r="O288" s="274">
        <v>0</v>
      </c>
      <c r="P288" s="200">
        <v>0</v>
      </c>
      <c r="Q288" s="274">
        <v>0</v>
      </c>
      <c r="R288" s="274">
        <v>7.3850000000000193</v>
      </c>
      <c r="S288" s="200">
        <v>4.874104874104887E-2</v>
      </c>
      <c r="T288" s="198" t="s">
        <v>272</v>
      </c>
      <c r="U288" s="198" t="s">
        <v>165</v>
      </c>
      <c r="V288" s="198"/>
      <c r="W288" s="205">
        <v>1</v>
      </c>
      <c r="X288" s="198" t="s">
        <v>113</v>
      </c>
    </row>
    <row r="289" spans="2:24" ht="16.5">
      <c r="B289" s="474"/>
      <c r="C289" s="474"/>
      <c r="D289" s="209">
        <v>183</v>
      </c>
      <c r="E289" s="198" t="s">
        <v>329</v>
      </c>
      <c r="F289" s="274">
        <v>1190.4077799999998</v>
      </c>
      <c r="G289" s="274">
        <v>44.387999999999998</v>
      </c>
      <c r="H289" s="274">
        <v>59.05</v>
      </c>
      <c r="I289" s="210">
        <f t="shared" si="24"/>
        <v>1.3303144994142562</v>
      </c>
      <c r="J289" s="234"/>
      <c r="K289" s="210">
        <f t="shared" si="25"/>
        <v>0</v>
      </c>
      <c r="L289" s="234">
        <v>81.19</v>
      </c>
      <c r="M289" s="211">
        <f t="shared" si="26"/>
        <v>1.3303144994142562</v>
      </c>
      <c r="N289" s="274">
        <v>1190.4077799999998</v>
      </c>
      <c r="O289" s="274">
        <v>0</v>
      </c>
      <c r="P289" s="200">
        <v>0</v>
      </c>
      <c r="Q289" s="274">
        <v>0</v>
      </c>
      <c r="R289" s="274">
        <v>14.661999999999999</v>
      </c>
      <c r="S289" s="200">
        <v>0.33031449941425611</v>
      </c>
      <c r="T289" s="198" t="s">
        <v>274</v>
      </c>
      <c r="U289" s="198" t="s">
        <v>172</v>
      </c>
      <c r="V289" s="231" t="s">
        <v>345</v>
      </c>
      <c r="W289" s="205">
        <v>1</v>
      </c>
      <c r="X289" s="198" t="s">
        <v>124</v>
      </c>
    </row>
    <row r="290" spans="2:24" ht="16.5">
      <c r="B290" s="474"/>
      <c r="C290" s="474"/>
      <c r="D290" s="209">
        <v>184</v>
      </c>
      <c r="E290" s="198" t="s">
        <v>321</v>
      </c>
      <c r="F290" s="274">
        <v>759.99999999999943</v>
      </c>
      <c r="G290" s="274">
        <v>101.2</v>
      </c>
      <c r="H290" s="274">
        <v>105</v>
      </c>
      <c r="I290" s="210">
        <f t="shared" si="24"/>
        <v>1.0375494071146245</v>
      </c>
      <c r="J290" s="234"/>
      <c r="K290" s="210">
        <f t="shared" si="25"/>
        <v>0</v>
      </c>
      <c r="L290" s="234">
        <v>200</v>
      </c>
      <c r="M290" s="211">
        <f t="shared" si="26"/>
        <v>1.0375494071146245</v>
      </c>
      <c r="N290" s="274">
        <v>759.99999999999943</v>
      </c>
      <c r="O290" s="274">
        <v>0</v>
      </c>
      <c r="P290" s="200">
        <v>0</v>
      </c>
      <c r="Q290" s="274">
        <v>0</v>
      </c>
      <c r="R290" s="274">
        <v>3.7999999999999972</v>
      </c>
      <c r="S290" s="200">
        <v>3.7549407114624477E-2</v>
      </c>
      <c r="T290" s="198" t="s">
        <v>272</v>
      </c>
      <c r="U290" s="198" t="s">
        <v>165</v>
      </c>
      <c r="V290" s="231"/>
      <c r="W290" s="205">
        <v>1</v>
      </c>
      <c r="X290" s="198" t="s">
        <v>244</v>
      </c>
    </row>
    <row r="291" spans="2:24">
      <c r="B291" s="474"/>
      <c r="C291" s="474"/>
      <c r="D291" s="209">
        <v>185</v>
      </c>
      <c r="E291" s="198" t="s">
        <v>342</v>
      </c>
      <c r="F291" s="274">
        <v>648.03999999999985</v>
      </c>
      <c r="G291" s="274">
        <v>5.0940000000000003</v>
      </c>
      <c r="H291" s="274">
        <v>7</v>
      </c>
      <c r="I291" s="210">
        <f t="shared" si="24"/>
        <v>1.3741656851197486</v>
      </c>
      <c r="J291" s="234"/>
      <c r="K291" s="210">
        <f t="shared" si="25"/>
        <v>0</v>
      </c>
      <c r="L291" s="234">
        <v>340</v>
      </c>
      <c r="M291" s="211">
        <f t="shared" si="26"/>
        <v>1.3741656851197486</v>
      </c>
      <c r="N291" s="274">
        <v>648.03999999999985</v>
      </c>
      <c r="O291" s="274">
        <v>0</v>
      </c>
      <c r="P291" s="200">
        <v>0</v>
      </c>
      <c r="Q291" s="274">
        <v>0</v>
      </c>
      <c r="R291" s="274">
        <v>1.9059999999999997</v>
      </c>
      <c r="S291" s="200">
        <v>0.37416568511974863</v>
      </c>
      <c r="T291" s="198" t="s">
        <v>272</v>
      </c>
      <c r="U291" s="198" t="s">
        <v>165</v>
      </c>
      <c r="V291" s="198"/>
      <c r="W291" s="205">
        <v>1</v>
      </c>
      <c r="X291" s="198" t="s">
        <v>110</v>
      </c>
    </row>
    <row r="292" spans="2:24">
      <c r="B292" s="474"/>
      <c r="C292" s="474"/>
      <c r="D292" s="209">
        <v>186</v>
      </c>
      <c r="E292" s="198" t="s">
        <v>263</v>
      </c>
      <c r="F292" s="274">
        <v>228.73499999999927</v>
      </c>
      <c r="G292" s="274">
        <v>446.49</v>
      </c>
      <c r="H292" s="274">
        <v>451.137</v>
      </c>
      <c r="I292" s="210">
        <f t="shared" si="24"/>
        <v>1.0104078478801317</v>
      </c>
      <c r="J292" s="234"/>
      <c r="K292" s="210">
        <f t="shared" si="25"/>
        <v>0</v>
      </c>
      <c r="L292" s="234">
        <v>85</v>
      </c>
      <c r="M292" s="211">
        <f t="shared" si="26"/>
        <v>1.0104078478801317</v>
      </c>
      <c r="N292" s="274">
        <v>394.99499999999927</v>
      </c>
      <c r="O292" s="274">
        <v>1.956</v>
      </c>
      <c r="P292" s="200">
        <v>4.3808371968017202E-3</v>
      </c>
      <c r="Q292" s="274">
        <v>166.26</v>
      </c>
      <c r="R292" s="274">
        <v>2.6909999999999914</v>
      </c>
      <c r="S292" s="200">
        <v>6.0270106833299544E-3</v>
      </c>
      <c r="T292" s="198" t="s">
        <v>272</v>
      </c>
      <c r="U292" s="198" t="s">
        <v>165</v>
      </c>
      <c r="V292" s="198"/>
      <c r="W292" s="205">
        <v>1</v>
      </c>
      <c r="X292" s="198" t="s">
        <v>122</v>
      </c>
    </row>
    <row r="293" spans="2:24">
      <c r="B293" s="474"/>
      <c r="C293" s="474"/>
      <c r="D293" s="209">
        <v>187</v>
      </c>
      <c r="E293" s="198" t="s">
        <v>254</v>
      </c>
      <c r="F293" s="274">
        <v>190.36702702702755</v>
      </c>
      <c r="G293" s="274">
        <v>628.26</v>
      </c>
      <c r="H293" s="274">
        <v>633</v>
      </c>
      <c r="I293" s="210">
        <f t="shared" si="24"/>
        <v>1.0075446471206189</v>
      </c>
      <c r="J293" s="234"/>
      <c r="K293" s="210">
        <f t="shared" si="25"/>
        <v>0</v>
      </c>
      <c r="L293" s="234">
        <v>58.21621621621621</v>
      </c>
      <c r="M293" s="211">
        <f t="shared" si="26"/>
        <v>1.0075446471206189</v>
      </c>
      <c r="N293" s="274">
        <v>275.94486486486539</v>
      </c>
      <c r="O293" s="274">
        <v>1.47</v>
      </c>
      <c r="P293" s="200">
        <v>2.3397956260147071E-3</v>
      </c>
      <c r="Q293" s="274">
        <v>85.577837837837833</v>
      </c>
      <c r="R293" s="274">
        <v>3.2700000000000093</v>
      </c>
      <c r="S293" s="200">
        <v>5.2048514946041596E-3</v>
      </c>
      <c r="T293" s="198" t="s">
        <v>272</v>
      </c>
      <c r="U293" s="198" t="s">
        <v>165</v>
      </c>
      <c r="V293" s="198"/>
      <c r="W293" s="205">
        <v>1</v>
      </c>
      <c r="X293" s="198" t="s">
        <v>110</v>
      </c>
    </row>
    <row r="294" spans="2:24">
      <c r="B294" s="474"/>
      <c r="C294" s="474"/>
      <c r="D294" s="209">
        <v>188</v>
      </c>
      <c r="E294" s="198" t="s">
        <v>259</v>
      </c>
      <c r="F294" s="274">
        <v>172.93599999999861</v>
      </c>
      <c r="G294" s="274">
        <v>112.75</v>
      </c>
      <c r="H294" s="274">
        <v>128.6</v>
      </c>
      <c r="I294" s="210">
        <f t="shared" si="24"/>
        <v>1.1405764966740577</v>
      </c>
      <c r="J294" s="234"/>
      <c r="K294" s="210">
        <f t="shared" si="25"/>
        <v>0</v>
      </c>
      <c r="L294" s="234">
        <v>216.17</v>
      </c>
      <c r="M294" s="211">
        <f t="shared" si="26"/>
        <v>1.1405764966740577</v>
      </c>
      <c r="N294" s="274">
        <v>3426.2944999999986</v>
      </c>
      <c r="O294" s="274">
        <v>15.05</v>
      </c>
      <c r="P294" s="200">
        <v>0.13348115299334812</v>
      </c>
      <c r="Q294" s="274">
        <v>3253.3584999999998</v>
      </c>
      <c r="R294" s="274">
        <v>0.79999999999999361</v>
      </c>
      <c r="S294" s="200">
        <v>7.095343680709478E-3</v>
      </c>
      <c r="T294" s="198" t="s">
        <v>272</v>
      </c>
      <c r="U294" s="198" t="s">
        <v>165</v>
      </c>
      <c r="V294" s="198"/>
      <c r="W294" s="205">
        <v>1</v>
      </c>
      <c r="X294" s="198" t="s">
        <v>115</v>
      </c>
    </row>
    <row r="295" spans="2:24">
      <c r="B295" s="474"/>
      <c r="C295" s="474"/>
      <c r="D295" s="209">
        <v>189</v>
      </c>
      <c r="E295" s="198" t="s">
        <v>333</v>
      </c>
      <c r="F295" s="274">
        <v>172.37165000000013</v>
      </c>
      <c r="G295" s="274">
        <v>27.34</v>
      </c>
      <c r="H295" s="274">
        <v>27.91</v>
      </c>
      <c r="I295" s="210">
        <f t="shared" si="24"/>
        <v>1.0208485735186541</v>
      </c>
      <c r="J295" s="234"/>
      <c r="K295" s="210">
        <f t="shared" si="25"/>
        <v>0</v>
      </c>
      <c r="L295" s="234">
        <v>341.33000000000004</v>
      </c>
      <c r="M295" s="211">
        <f t="shared" si="26"/>
        <v>1.0208485735186541</v>
      </c>
      <c r="N295" s="274">
        <v>194.55810000000011</v>
      </c>
      <c r="O295" s="274">
        <v>6.5000000000000002E-2</v>
      </c>
      <c r="P295" s="200">
        <v>2.377468910021946E-3</v>
      </c>
      <c r="Q295" s="274">
        <v>22.186450000000004</v>
      </c>
      <c r="R295" s="274">
        <v>0.50500000000000034</v>
      </c>
      <c r="S295" s="200">
        <v>1.8471104608632053E-2</v>
      </c>
      <c r="T295" s="198" t="s">
        <v>272</v>
      </c>
      <c r="U295" s="198" t="s">
        <v>165</v>
      </c>
      <c r="V295" s="198"/>
      <c r="W295" s="205">
        <v>1</v>
      </c>
      <c r="X295" s="198" t="s">
        <v>109</v>
      </c>
    </row>
    <row r="296" spans="2:24">
      <c r="B296" s="474"/>
      <c r="C296" s="474"/>
      <c r="D296" s="209">
        <v>190</v>
      </c>
      <c r="E296" s="198" t="s">
        <v>313</v>
      </c>
      <c r="F296" s="274">
        <v>171.05199999999894</v>
      </c>
      <c r="G296" s="274">
        <v>202.68600000000001</v>
      </c>
      <c r="H296" s="274">
        <v>205.512</v>
      </c>
      <c r="I296" s="210">
        <f t="shared" si="24"/>
        <v>1.0139427488825079</v>
      </c>
      <c r="J296" s="234"/>
      <c r="K296" s="210">
        <f t="shared" si="25"/>
        <v>0</v>
      </c>
      <c r="L296" s="234">
        <v>164</v>
      </c>
      <c r="M296" s="211">
        <f t="shared" si="26"/>
        <v>1.0139427488825079</v>
      </c>
      <c r="N296" s="274">
        <v>463.46399999999892</v>
      </c>
      <c r="O296" s="274">
        <v>1.7829999999999999</v>
      </c>
      <c r="P296" s="200">
        <v>8.7968581944485556E-3</v>
      </c>
      <c r="Q296" s="274">
        <v>292.41199999999998</v>
      </c>
      <c r="R296" s="274">
        <v>1.0429999999999935</v>
      </c>
      <c r="S296" s="200">
        <v>5.1458906880593302E-3</v>
      </c>
      <c r="T296" s="198" t="s">
        <v>272</v>
      </c>
      <c r="U296" s="198" t="s">
        <v>165</v>
      </c>
      <c r="V296" s="198"/>
      <c r="W296" s="205">
        <v>1</v>
      </c>
      <c r="X296" s="198" t="s">
        <v>287</v>
      </c>
    </row>
    <row r="297" spans="2:24">
      <c r="B297" s="473">
        <v>45930</v>
      </c>
      <c r="C297" s="475" t="s">
        <v>57</v>
      </c>
      <c r="D297" s="209">
        <v>191</v>
      </c>
      <c r="E297" s="198" t="s">
        <v>346</v>
      </c>
      <c r="F297" s="274">
        <v>41915.020200000006</v>
      </c>
      <c r="G297" s="274">
        <v>315.66500000000002</v>
      </c>
      <c r="H297" s="274">
        <v>315.66500000000002</v>
      </c>
      <c r="I297" s="210">
        <f t="shared" si="24"/>
        <v>1</v>
      </c>
      <c r="J297" s="234">
        <v>99.484999999999999</v>
      </c>
      <c r="K297" s="210">
        <f t="shared" si="25"/>
        <v>0.31516005892322557</v>
      </c>
      <c r="L297" s="234">
        <v>421.32</v>
      </c>
      <c r="M297" s="211">
        <f t="shared" si="26"/>
        <v>1.3151600589232255</v>
      </c>
      <c r="N297" s="274">
        <v>41915.020200000006</v>
      </c>
      <c r="O297" s="274">
        <v>0</v>
      </c>
      <c r="P297" s="200">
        <v>0</v>
      </c>
      <c r="Q297" s="274">
        <v>0</v>
      </c>
      <c r="R297" s="274">
        <v>99.485000000000014</v>
      </c>
      <c r="S297" s="200">
        <v>0.31516005892322557</v>
      </c>
      <c r="T297" s="198" t="s">
        <v>272</v>
      </c>
      <c r="U297" s="198" t="s">
        <v>165</v>
      </c>
      <c r="V297" s="198"/>
      <c r="W297" s="205">
        <v>1</v>
      </c>
      <c r="X297" s="198" t="s">
        <v>347</v>
      </c>
    </row>
    <row r="298" spans="2:24" ht="16.5">
      <c r="B298" s="474"/>
      <c r="C298" s="474"/>
      <c r="D298" s="209">
        <v>192</v>
      </c>
      <c r="E298" s="198" t="s">
        <v>348</v>
      </c>
      <c r="F298" s="274">
        <v>6842.2182499999917</v>
      </c>
      <c r="G298" s="274">
        <v>99.209000000000003</v>
      </c>
      <c r="H298" s="274">
        <v>106.6</v>
      </c>
      <c r="I298" s="210">
        <f t="shared" si="24"/>
        <v>1.0744992893789878</v>
      </c>
      <c r="J298" s="234"/>
      <c r="K298" s="210">
        <f t="shared" si="25"/>
        <v>0</v>
      </c>
      <c r="L298" s="234">
        <v>925.75</v>
      </c>
      <c r="M298" s="211">
        <f t="shared" si="26"/>
        <v>1.0744992893789878</v>
      </c>
      <c r="N298" s="274">
        <v>6842.2182499999917</v>
      </c>
      <c r="O298" s="274">
        <v>0</v>
      </c>
      <c r="P298" s="200">
        <v>0</v>
      </c>
      <c r="Q298" s="274">
        <v>0</v>
      </c>
      <c r="R298" s="274">
        <v>7.3909999999999911</v>
      </c>
      <c r="S298" s="200">
        <v>7.4499289378987699E-2</v>
      </c>
      <c r="T298" s="198" t="s">
        <v>272</v>
      </c>
      <c r="U298" s="198" t="s">
        <v>165</v>
      </c>
      <c r="V298" s="231"/>
      <c r="W298" s="205">
        <v>1</v>
      </c>
      <c r="X298" s="198" t="s">
        <v>347</v>
      </c>
    </row>
    <row r="299" spans="2:24">
      <c r="B299" s="474"/>
      <c r="C299" s="474"/>
      <c r="D299" s="209">
        <v>193</v>
      </c>
      <c r="E299" s="198" t="s">
        <v>322</v>
      </c>
      <c r="F299" s="274">
        <v>4629.8499999999995</v>
      </c>
      <c r="G299" s="274">
        <v>8.5050000000000008</v>
      </c>
      <c r="H299" s="274">
        <v>13</v>
      </c>
      <c r="I299" s="210">
        <f t="shared" si="24"/>
        <v>1.5285126396237505</v>
      </c>
      <c r="J299" s="234"/>
      <c r="K299" s="210">
        <f t="shared" si="25"/>
        <v>0</v>
      </c>
      <c r="L299" s="234">
        <v>1030</v>
      </c>
      <c r="M299" s="211">
        <f t="shared" si="26"/>
        <v>1.5285126396237505</v>
      </c>
      <c r="N299" s="274">
        <v>4629.8499999999995</v>
      </c>
      <c r="O299" s="274">
        <v>0</v>
      </c>
      <c r="P299" s="200">
        <v>0</v>
      </c>
      <c r="Q299" s="274">
        <v>0</v>
      </c>
      <c r="R299" s="274">
        <v>4.4949999999999992</v>
      </c>
      <c r="S299" s="200">
        <v>0.52851263962375061</v>
      </c>
      <c r="T299" s="198" t="s">
        <v>272</v>
      </c>
      <c r="U299" s="198" t="s">
        <v>165</v>
      </c>
      <c r="V299" s="198"/>
      <c r="W299" s="205">
        <v>1</v>
      </c>
      <c r="X299" s="198" t="s">
        <v>116</v>
      </c>
    </row>
    <row r="300" spans="2:24">
      <c r="B300" s="474"/>
      <c r="C300" s="474"/>
      <c r="D300" s="209">
        <v>194</v>
      </c>
      <c r="E300" s="198" t="s">
        <v>349</v>
      </c>
      <c r="F300" s="274">
        <v>4177.3697999999977</v>
      </c>
      <c r="G300" s="274">
        <v>766.61500000000001</v>
      </c>
      <c r="H300" s="274">
        <v>818.65</v>
      </c>
      <c r="I300" s="210">
        <f t="shared" si="24"/>
        <v>1.0678763134037292</v>
      </c>
      <c r="J300" s="234"/>
      <c r="K300" s="210">
        <f t="shared" si="25"/>
        <v>0</v>
      </c>
      <c r="L300" s="234">
        <v>80.28</v>
      </c>
      <c r="M300" s="211">
        <f t="shared" si="26"/>
        <v>1.0678763134037292</v>
      </c>
      <c r="N300" s="274">
        <v>4177.3697999999977</v>
      </c>
      <c r="O300" s="274">
        <v>0</v>
      </c>
      <c r="P300" s="200">
        <v>0</v>
      </c>
      <c r="Q300" s="274">
        <v>0</v>
      </c>
      <c r="R300" s="274">
        <v>52.034999999999968</v>
      </c>
      <c r="S300" s="200">
        <v>6.7876313403729335E-2</v>
      </c>
      <c r="T300" s="198" t="s">
        <v>272</v>
      </c>
      <c r="U300" s="198" t="s">
        <v>165</v>
      </c>
      <c r="V300" s="198"/>
      <c r="W300" s="205">
        <v>1</v>
      </c>
      <c r="X300" s="198" t="s">
        <v>347</v>
      </c>
    </row>
    <row r="301" spans="2:24" ht="16.5">
      <c r="B301" s="474"/>
      <c r="C301" s="474"/>
      <c r="D301" s="209">
        <v>195</v>
      </c>
      <c r="E301" s="198" t="s">
        <v>350</v>
      </c>
      <c r="F301" s="274">
        <v>3195.79</v>
      </c>
      <c r="G301" s="274">
        <v>45.094999999999999</v>
      </c>
      <c r="H301" s="274">
        <v>45.094999999999999</v>
      </c>
      <c r="I301" s="210">
        <f t="shared" si="24"/>
        <v>1</v>
      </c>
      <c r="J301" s="234">
        <v>15.25</v>
      </c>
      <c r="K301" s="210">
        <f t="shared" si="25"/>
        <v>0.33817496396496288</v>
      </c>
      <c r="L301" s="234">
        <v>209.56</v>
      </c>
      <c r="M301" s="211">
        <f t="shared" si="26"/>
        <v>1.3381749639649629</v>
      </c>
      <c r="N301" s="274">
        <v>3195.79</v>
      </c>
      <c r="O301" s="274">
        <v>0</v>
      </c>
      <c r="P301" s="200">
        <v>0</v>
      </c>
      <c r="Q301" s="274">
        <v>0</v>
      </c>
      <c r="R301" s="274">
        <v>15.25</v>
      </c>
      <c r="S301" s="200">
        <v>0.33817496396496288</v>
      </c>
      <c r="T301" s="198" t="s">
        <v>272</v>
      </c>
      <c r="U301" s="198" t="s">
        <v>165</v>
      </c>
      <c r="V301" s="231"/>
      <c r="W301" s="205">
        <v>1</v>
      </c>
      <c r="X301" s="198" t="s">
        <v>347</v>
      </c>
    </row>
    <row r="302" spans="2:24">
      <c r="B302" s="474"/>
      <c r="C302" s="474"/>
      <c r="D302" s="209">
        <v>196</v>
      </c>
      <c r="E302" s="198" t="s">
        <v>321</v>
      </c>
      <c r="F302" s="274">
        <v>1815.9999999999995</v>
      </c>
      <c r="G302" s="274">
        <v>93.92</v>
      </c>
      <c r="H302" s="274">
        <v>103</v>
      </c>
      <c r="I302" s="210">
        <f t="shared" si="24"/>
        <v>1.0966780238500851</v>
      </c>
      <c r="J302" s="234"/>
      <c r="K302" s="210">
        <f t="shared" si="25"/>
        <v>0</v>
      </c>
      <c r="L302" s="234">
        <v>200</v>
      </c>
      <c r="M302" s="211">
        <f t="shared" si="26"/>
        <v>1.0966780238500851</v>
      </c>
      <c r="N302" s="274">
        <v>1815.9999999999995</v>
      </c>
      <c r="O302" s="274">
        <v>0</v>
      </c>
      <c r="P302" s="200">
        <v>0</v>
      </c>
      <c r="Q302" s="274">
        <v>0</v>
      </c>
      <c r="R302" s="274">
        <v>9.0799999999999983</v>
      </c>
      <c r="S302" s="200">
        <v>9.6678023850085157E-2</v>
      </c>
      <c r="T302" s="198" t="s">
        <v>272</v>
      </c>
      <c r="U302" s="198" t="s">
        <v>165</v>
      </c>
      <c r="V302" s="198"/>
      <c r="W302" s="205">
        <v>1</v>
      </c>
      <c r="X302" s="198" t="s">
        <v>244</v>
      </c>
    </row>
    <row r="303" spans="2:24">
      <c r="B303" s="474"/>
      <c r="C303" s="474"/>
      <c r="D303" s="209">
        <v>197</v>
      </c>
      <c r="E303" s="198" t="s">
        <v>229</v>
      </c>
      <c r="F303" s="274">
        <v>1500.8028000000074</v>
      </c>
      <c r="G303" s="274">
        <v>172.98</v>
      </c>
      <c r="H303" s="274">
        <v>179.69900000000001</v>
      </c>
      <c r="I303" s="210">
        <f t="shared" si="24"/>
        <v>1.0388426407677189</v>
      </c>
      <c r="J303" s="234"/>
      <c r="K303" s="210">
        <f t="shared" si="25"/>
        <v>0</v>
      </c>
      <c r="L303" s="234">
        <v>335.3</v>
      </c>
      <c r="M303" s="211">
        <f t="shared" si="26"/>
        <v>1.0388426407677189</v>
      </c>
      <c r="N303" s="274">
        <v>2252.8807000000074</v>
      </c>
      <c r="O303" s="274">
        <v>2.2429999999999999</v>
      </c>
      <c r="P303" s="200">
        <v>1.296681697306047E-2</v>
      </c>
      <c r="Q303" s="274">
        <v>752.0779</v>
      </c>
      <c r="R303" s="274">
        <v>4.4760000000000222</v>
      </c>
      <c r="S303" s="200">
        <v>2.587582379465847E-2</v>
      </c>
      <c r="T303" s="198" t="s">
        <v>230</v>
      </c>
      <c r="U303" s="198" t="s">
        <v>181</v>
      </c>
      <c r="V303" s="198" t="s">
        <v>276</v>
      </c>
      <c r="W303" s="205">
        <v>1</v>
      </c>
      <c r="X303" s="198" t="s">
        <v>232</v>
      </c>
    </row>
    <row r="304" spans="2:24">
      <c r="B304" s="474"/>
      <c r="C304" s="474"/>
      <c r="D304" s="209">
        <v>198</v>
      </c>
      <c r="E304" s="198" t="s">
        <v>329</v>
      </c>
      <c r="F304" s="274">
        <v>1255.1974000000007</v>
      </c>
      <c r="G304" s="274">
        <v>127.062</v>
      </c>
      <c r="H304" s="274">
        <v>142.9</v>
      </c>
      <c r="I304" s="210">
        <f t="shared" si="24"/>
        <v>1.1246478097306827</v>
      </c>
      <c r="J304" s="234"/>
      <c r="K304" s="210">
        <f t="shared" si="25"/>
        <v>0</v>
      </c>
      <c r="L304" s="234">
        <v>81.19</v>
      </c>
      <c r="M304" s="211">
        <f t="shared" si="26"/>
        <v>1.1246478097306827</v>
      </c>
      <c r="N304" s="274">
        <v>1285.8872200000005</v>
      </c>
      <c r="O304" s="274">
        <v>0.378</v>
      </c>
      <c r="P304" s="200">
        <v>2.9749256268593286E-3</v>
      </c>
      <c r="Q304" s="274">
        <v>30.689820000000001</v>
      </c>
      <c r="R304" s="274">
        <v>15.460000000000008</v>
      </c>
      <c r="S304" s="200">
        <v>0.12167288410382339</v>
      </c>
      <c r="T304" s="198" t="s">
        <v>274</v>
      </c>
      <c r="U304" s="198" t="s">
        <v>172</v>
      </c>
      <c r="V304" s="198" t="s">
        <v>345</v>
      </c>
      <c r="W304" s="205">
        <v>1</v>
      </c>
      <c r="X304" s="198" t="s">
        <v>124</v>
      </c>
    </row>
    <row r="305" spans="2:24">
      <c r="B305" s="474"/>
      <c r="C305" s="474"/>
      <c r="D305" s="209">
        <v>199</v>
      </c>
      <c r="E305" s="198" t="s">
        <v>303</v>
      </c>
      <c r="F305" s="274">
        <v>935.80928000000006</v>
      </c>
      <c r="G305" s="274">
        <v>216.476</v>
      </c>
      <c r="H305" s="274">
        <v>233.5</v>
      </c>
      <c r="I305" s="210">
        <f t="shared" si="24"/>
        <v>1.0786415122230639</v>
      </c>
      <c r="J305" s="234"/>
      <c r="K305" s="210">
        <f t="shared" si="25"/>
        <v>0</v>
      </c>
      <c r="L305" s="234">
        <v>54.97</v>
      </c>
      <c r="M305" s="211">
        <f t="shared" si="26"/>
        <v>1.0786415122230639</v>
      </c>
      <c r="N305" s="274">
        <v>935.80928000000006</v>
      </c>
      <c r="O305" s="274">
        <v>0</v>
      </c>
      <c r="P305" s="200">
        <v>0</v>
      </c>
      <c r="Q305" s="274">
        <v>0</v>
      </c>
      <c r="R305" s="274">
        <v>17.024000000000001</v>
      </c>
      <c r="S305" s="200">
        <v>7.8641512223063995E-2</v>
      </c>
      <c r="T305" s="198" t="s">
        <v>272</v>
      </c>
      <c r="U305" s="198" t="s">
        <v>165</v>
      </c>
      <c r="V305" s="198"/>
      <c r="W305" s="205">
        <v>1</v>
      </c>
      <c r="X305" s="198" t="s">
        <v>124</v>
      </c>
    </row>
    <row r="306" spans="2:24">
      <c r="B306" s="474"/>
      <c r="C306" s="474"/>
      <c r="D306" s="209">
        <v>200</v>
      </c>
      <c r="E306" s="198" t="s">
        <v>254</v>
      </c>
      <c r="F306" s="274">
        <v>590.37064864864305</v>
      </c>
      <c r="G306" s="274">
        <v>596.07000000000005</v>
      </c>
      <c r="H306" s="274">
        <v>608.29999999999995</v>
      </c>
      <c r="I306" s="210">
        <f t="shared" si="24"/>
        <v>1.0205177244283388</v>
      </c>
      <c r="J306" s="234"/>
      <c r="K306" s="210">
        <f t="shared" si="25"/>
        <v>0</v>
      </c>
      <c r="L306" s="234">
        <v>58.21621621621621</v>
      </c>
      <c r="M306" s="211">
        <f t="shared" si="26"/>
        <v>1.0205177244283388</v>
      </c>
      <c r="N306" s="274">
        <v>711.98432432431866</v>
      </c>
      <c r="O306" s="274">
        <v>2.089</v>
      </c>
      <c r="P306" s="200">
        <v>3.5046219403761301E-3</v>
      </c>
      <c r="Q306" s="274">
        <v>121.61367567567567</v>
      </c>
      <c r="R306" s="274">
        <v>10.140999999999904</v>
      </c>
      <c r="S306" s="200">
        <v>1.7013102487962662E-2</v>
      </c>
      <c r="T306" s="198" t="s">
        <v>272</v>
      </c>
      <c r="U306" s="198" t="s">
        <v>165</v>
      </c>
      <c r="V306" s="198"/>
      <c r="W306" s="205">
        <v>1</v>
      </c>
      <c r="X306" s="198" t="s">
        <v>110</v>
      </c>
    </row>
    <row r="307" spans="2:24">
      <c r="B307" s="493"/>
      <c r="C307" s="474"/>
      <c r="D307" s="209">
        <v>201</v>
      </c>
      <c r="E307" s="198"/>
      <c r="F307" s="274"/>
      <c r="G307" s="274"/>
      <c r="H307" s="274"/>
      <c r="I307" s="210" t="e">
        <f t="shared" si="24"/>
        <v>#DIV/0!</v>
      </c>
      <c r="J307" s="234"/>
      <c r="K307" s="210" t="e">
        <f t="shared" si="25"/>
        <v>#DIV/0!</v>
      </c>
      <c r="L307" s="234"/>
      <c r="M307" s="211" t="e">
        <f t="shared" si="26"/>
        <v>#DIV/0!</v>
      </c>
      <c r="N307" s="274"/>
      <c r="O307" s="274"/>
      <c r="P307" s="200"/>
      <c r="Q307" s="274"/>
      <c r="R307" s="274"/>
      <c r="S307" s="200"/>
      <c r="T307" s="198"/>
      <c r="U307" s="198"/>
      <c r="V307" s="198"/>
      <c r="W307" s="205">
        <v>1</v>
      </c>
      <c r="X307" s="198"/>
    </row>
    <row r="308" spans="2:24">
      <c r="B308" s="494"/>
      <c r="C308" s="474"/>
      <c r="D308" s="209">
        <v>202</v>
      </c>
      <c r="E308" s="198"/>
      <c r="F308" s="274"/>
      <c r="G308" s="274"/>
      <c r="H308" s="274"/>
      <c r="I308" s="210" t="e">
        <f t="shared" si="24"/>
        <v>#DIV/0!</v>
      </c>
      <c r="J308" s="234"/>
      <c r="K308" s="210" t="e">
        <f t="shared" si="25"/>
        <v>#DIV/0!</v>
      </c>
      <c r="L308" s="234"/>
      <c r="M308" s="211" t="e">
        <f t="shared" si="26"/>
        <v>#DIV/0!</v>
      </c>
      <c r="N308" s="274"/>
      <c r="O308" s="274"/>
      <c r="P308" s="200"/>
      <c r="Q308" s="274"/>
      <c r="R308" s="274"/>
      <c r="S308" s="200"/>
      <c r="T308" s="198"/>
      <c r="U308" s="198"/>
      <c r="V308" s="198"/>
      <c r="W308" s="205">
        <v>1</v>
      </c>
      <c r="X308" s="198"/>
    </row>
    <row r="309" spans="2:24">
      <c r="B309" s="494"/>
      <c r="C309" s="474"/>
      <c r="D309" s="209">
        <v>203</v>
      </c>
      <c r="E309" s="198"/>
      <c r="F309" s="274"/>
      <c r="G309" s="274"/>
      <c r="H309" s="274"/>
      <c r="I309" s="210" t="e">
        <f t="shared" si="24"/>
        <v>#DIV/0!</v>
      </c>
      <c r="J309" s="234"/>
      <c r="K309" s="210" t="e">
        <f t="shared" si="25"/>
        <v>#DIV/0!</v>
      </c>
      <c r="L309" s="234"/>
      <c r="M309" s="211" t="e">
        <f t="shared" si="26"/>
        <v>#DIV/0!</v>
      </c>
      <c r="N309" s="274"/>
      <c r="O309" s="274"/>
      <c r="P309" s="200"/>
      <c r="Q309" s="274"/>
      <c r="R309" s="274"/>
      <c r="S309" s="200"/>
      <c r="T309" s="198"/>
      <c r="U309" s="198"/>
      <c r="V309" s="198"/>
      <c r="W309" s="205">
        <v>1</v>
      </c>
      <c r="X309" s="198"/>
    </row>
    <row r="310" spans="2:24">
      <c r="B310" s="494"/>
      <c r="C310" s="474"/>
      <c r="D310" s="209">
        <v>204</v>
      </c>
      <c r="E310" s="198"/>
      <c r="F310" s="274"/>
      <c r="G310" s="274"/>
      <c r="H310" s="274"/>
      <c r="I310" s="210" t="e">
        <f t="shared" si="24"/>
        <v>#DIV/0!</v>
      </c>
      <c r="J310" s="234"/>
      <c r="K310" s="210" t="e">
        <f t="shared" si="25"/>
        <v>#DIV/0!</v>
      </c>
      <c r="L310" s="234"/>
      <c r="M310" s="211" t="e">
        <f t="shared" si="26"/>
        <v>#DIV/0!</v>
      </c>
      <c r="N310" s="274"/>
      <c r="O310" s="274"/>
      <c r="P310" s="200"/>
      <c r="Q310" s="274"/>
      <c r="R310" s="274"/>
      <c r="S310" s="200"/>
      <c r="T310" s="198"/>
      <c r="U310" s="198"/>
      <c r="V310" s="198"/>
      <c r="W310" s="205">
        <v>1</v>
      </c>
      <c r="X310" s="198"/>
    </row>
    <row r="311" spans="2:24">
      <c r="B311" s="494"/>
      <c r="C311" s="474"/>
      <c r="D311" s="209">
        <v>205</v>
      </c>
      <c r="E311" s="198"/>
      <c r="F311" s="274"/>
      <c r="G311" s="274"/>
      <c r="H311" s="274"/>
      <c r="I311" s="210" t="e">
        <f t="shared" si="24"/>
        <v>#DIV/0!</v>
      </c>
      <c r="J311" s="234"/>
      <c r="K311" s="210" t="e">
        <f t="shared" si="25"/>
        <v>#DIV/0!</v>
      </c>
      <c r="L311" s="234"/>
      <c r="M311" s="211" t="e">
        <f t="shared" si="26"/>
        <v>#DIV/0!</v>
      </c>
      <c r="N311" s="274"/>
      <c r="O311" s="274"/>
      <c r="P311" s="200"/>
      <c r="Q311" s="274"/>
      <c r="R311" s="274"/>
      <c r="S311" s="200"/>
      <c r="T311" s="198"/>
      <c r="U311" s="198"/>
      <c r="V311" s="198"/>
      <c r="W311" s="205">
        <v>1</v>
      </c>
      <c r="X311" s="198"/>
    </row>
    <row r="312" spans="2:24">
      <c r="B312" s="494"/>
      <c r="C312" s="474"/>
      <c r="D312" s="209">
        <v>206</v>
      </c>
      <c r="E312" s="198"/>
      <c r="F312" s="274"/>
      <c r="G312" s="274"/>
      <c r="H312" s="274"/>
      <c r="I312" s="210" t="e">
        <f t="shared" si="24"/>
        <v>#DIV/0!</v>
      </c>
      <c r="J312" s="234"/>
      <c r="K312" s="210" t="e">
        <f t="shared" si="25"/>
        <v>#DIV/0!</v>
      </c>
      <c r="L312" s="234"/>
      <c r="M312" s="211" t="e">
        <f t="shared" si="26"/>
        <v>#DIV/0!</v>
      </c>
      <c r="N312" s="274"/>
      <c r="O312" s="274"/>
      <c r="P312" s="200"/>
      <c r="Q312" s="274"/>
      <c r="R312" s="274"/>
      <c r="S312" s="200"/>
      <c r="T312" s="198"/>
      <c r="U312" s="198"/>
      <c r="V312" s="198"/>
      <c r="W312" s="205">
        <v>1</v>
      </c>
      <c r="X312" s="198"/>
    </row>
    <row r="313" spans="2:24">
      <c r="B313" s="494"/>
      <c r="C313" s="474"/>
      <c r="D313" s="209">
        <v>207</v>
      </c>
      <c r="E313" s="198"/>
      <c r="F313" s="274"/>
      <c r="G313" s="274"/>
      <c r="H313" s="274"/>
      <c r="I313" s="210" t="e">
        <f t="shared" si="24"/>
        <v>#DIV/0!</v>
      </c>
      <c r="J313" s="234"/>
      <c r="K313" s="210" t="e">
        <f t="shared" si="25"/>
        <v>#DIV/0!</v>
      </c>
      <c r="L313" s="234"/>
      <c r="M313" s="211" t="e">
        <f t="shared" si="26"/>
        <v>#DIV/0!</v>
      </c>
      <c r="N313" s="274"/>
      <c r="O313" s="274"/>
      <c r="P313" s="200"/>
      <c r="Q313" s="274"/>
      <c r="R313" s="274"/>
      <c r="S313" s="200"/>
      <c r="T313" s="198"/>
      <c r="U313" s="198"/>
      <c r="V313" s="198"/>
      <c r="W313" s="205">
        <v>1</v>
      </c>
      <c r="X313" s="198"/>
    </row>
    <row r="314" spans="2:24">
      <c r="B314" s="494"/>
      <c r="C314" s="474"/>
      <c r="D314" s="209">
        <v>208</v>
      </c>
      <c r="E314" s="198"/>
      <c r="F314" s="274"/>
      <c r="G314" s="274"/>
      <c r="H314" s="274"/>
      <c r="I314" s="210" t="e">
        <f t="shared" si="24"/>
        <v>#DIV/0!</v>
      </c>
      <c r="J314" s="234"/>
      <c r="K314" s="210" t="e">
        <f t="shared" si="25"/>
        <v>#DIV/0!</v>
      </c>
      <c r="L314" s="234"/>
      <c r="M314" s="211" t="e">
        <f t="shared" si="26"/>
        <v>#DIV/0!</v>
      </c>
      <c r="N314" s="274"/>
      <c r="O314" s="274"/>
      <c r="P314" s="200"/>
      <c r="Q314" s="274"/>
      <c r="R314" s="274"/>
      <c r="S314" s="200"/>
      <c r="T314" s="198"/>
      <c r="U314" s="198"/>
      <c r="V314" s="198"/>
      <c r="W314" s="205">
        <v>1</v>
      </c>
      <c r="X314" s="198"/>
    </row>
    <row r="315" spans="2:24">
      <c r="B315" s="494"/>
      <c r="C315" s="474"/>
      <c r="D315" s="209">
        <v>209</v>
      </c>
      <c r="E315" s="198"/>
      <c r="F315" s="274"/>
      <c r="G315" s="274"/>
      <c r="H315" s="274"/>
      <c r="I315" s="210" t="e">
        <f t="shared" si="24"/>
        <v>#DIV/0!</v>
      </c>
      <c r="J315" s="234"/>
      <c r="K315" s="210" t="e">
        <f t="shared" si="25"/>
        <v>#DIV/0!</v>
      </c>
      <c r="L315" s="234"/>
      <c r="M315" s="211" t="e">
        <f t="shared" si="26"/>
        <v>#DIV/0!</v>
      </c>
      <c r="N315" s="274"/>
      <c r="O315" s="274"/>
      <c r="P315" s="200"/>
      <c r="Q315" s="274"/>
      <c r="R315" s="274"/>
      <c r="S315" s="200"/>
      <c r="T315" s="198"/>
      <c r="U315" s="198"/>
      <c r="V315" s="198"/>
      <c r="W315" s="205">
        <v>1</v>
      </c>
      <c r="X315" s="198"/>
    </row>
    <row r="316" spans="2:24">
      <c r="B316" s="494"/>
      <c r="C316" s="474"/>
      <c r="D316" s="209">
        <v>210</v>
      </c>
      <c r="E316" s="198"/>
      <c r="F316" s="274"/>
      <c r="G316" s="274"/>
      <c r="H316" s="274"/>
      <c r="I316" s="210" t="e">
        <f t="shared" si="24"/>
        <v>#DIV/0!</v>
      </c>
      <c r="J316" s="234"/>
      <c r="K316" s="210" t="e">
        <f t="shared" si="25"/>
        <v>#DIV/0!</v>
      </c>
      <c r="L316" s="234"/>
      <c r="M316" s="211" t="e">
        <f t="shared" si="26"/>
        <v>#DIV/0!</v>
      </c>
      <c r="N316" s="274"/>
      <c r="O316" s="274"/>
      <c r="P316" s="200"/>
      <c r="Q316" s="274"/>
      <c r="R316" s="274"/>
      <c r="S316" s="200"/>
      <c r="T316" s="198"/>
      <c r="U316" s="198"/>
      <c r="V316" s="198"/>
      <c r="W316" s="205">
        <v>1</v>
      </c>
      <c r="X316" s="198"/>
    </row>
    <row r="317" spans="2:24">
      <c r="C317" s="495"/>
    </row>
    <row r="318" spans="2:24">
      <c r="C318" s="495"/>
    </row>
    <row r="319" spans="2:24">
      <c r="C319" s="495"/>
    </row>
    <row r="320" spans="2:24">
      <c r="C320" s="495"/>
    </row>
    <row r="321" spans="3:3">
      <c r="C321" s="495"/>
    </row>
    <row r="322" spans="3:3">
      <c r="C322" s="495"/>
    </row>
    <row r="323" spans="3:3">
      <c r="C323" s="495"/>
    </row>
    <row r="324" spans="3:3">
      <c r="C324" s="495"/>
    </row>
    <row r="325" spans="3:3">
      <c r="C325" s="495"/>
    </row>
    <row r="326" spans="3:3">
      <c r="C326" s="495"/>
    </row>
  </sheetData>
  <mergeCells count="82"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</mergeCells>
  <phoneticPr fontId="17" type="noConversion"/>
  <dataValidations count="2">
    <dataValidation type="list" allowBlank="1" showInputMessage="1" showErrorMessage="1" sqref="V42:V46 W184 W180 U1:U1048576" xr:uid="{00000000-0002-0000-0D00-000000000000}">
      <formula1>$AB$30:$AB$37</formula1>
    </dataValidation>
    <dataValidation type="list" allowBlank="1" showInputMessage="1" showErrorMessage="1" sqref="T1:T1048576" xr:uid="{00000000-0002-0000-0D00-000001000000}">
      <formula1>$AB$40:$AB$44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351</v>
      </c>
      <c r="D2" s="5" t="s">
        <v>352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353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35</v>
      </c>
      <c r="P5" s="49" t="s">
        <v>13</v>
      </c>
      <c r="Q5" s="49" t="s">
        <v>36</v>
      </c>
      <c r="R5" s="67"/>
      <c r="S5" s="7"/>
      <c r="T5" s="49" t="s">
        <v>8</v>
      </c>
      <c r="U5" s="49" t="s">
        <v>35</v>
      </c>
      <c r="V5" s="49" t="s">
        <v>13</v>
      </c>
      <c r="W5" s="49" t="s">
        <v>36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354</v>
      </c>
      <c r="H6" s="11">
        <v>110</v>
      </c>
      <c r="I6" s="11">
        <v>100</v>
      </c>
      <c r="J6" s="11">
        <v>90</v>
      </c>
      <c r="K6" s="12"/>
      <c r="L6" s="62" t="s">
        <v>355</v>
      </c>
      <c r="M6" s="49" t="s">
        <v>356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356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357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358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358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359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360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360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361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362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362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363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364</v>
      </c>
      <c r="N10" s="9" t="s">
        <v>365</v>
      </c>
      <c r="O10" s="13" t="str">
        <f t="shared" si="2"/>
        <v/>
      </c>
      <c r="P10" s="4" t="s">
        <v>366</v>
      </c>
      <c r="Q10" s="13" t="str">
        <f t="shared" si="3"/>
        <v/>
      </c>
      <c r="S10" s="49" t="s">
        <v>364</v>
      </c>
      <c r="T10" s="9" t="s">
        <v>365</v>
      </c>
      <c r="U10" s="13" t="str">
        <f t="shared" si="4"/>
        <v/>
      </c>
      <c r="V10" s="4" t="s">
        <v>366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367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368</v>
      </c>
      <c r="N11" s="9" t="s">
        <v>365</v>
      </c>
      <c r="O11" s="13" t="str">
        <f t="shared" si="2"/>
        <v/>
      </c>
      <c r="P11" s="4" t="s">
        <v>366</v>
      </c>
      <c r="Q11" s="13" t="str">
        <f t="shared" si="3"/>
        <v/>
      </c>
      <c r="S11" s="49" t="s">
        <v>368</v>
      </c>
      <c r="T11" s="9" t="s">
        <v>365</v>
      </c>
      <c r="U11" s="13" t="str">
        <f t="shared" si="4"/>
        <v/>
      </c>
      <c r="V11" s="4" t="s">
        <v>366</v>
      </c>
      <c r="W11" s="13" t="str">
        <f t="shared" si="5"/>
        <v/>
      </c>
    </row>
    <row r="12" spans="1:23" ht="15.75" customHeight="1">
      <c r="M12" s="49" t="s">
        <v>369</v>
      </c>
      <c r="N12" s="9" t="s">
        <v>365</v>
      </c>
      <c r="O12" s="13" t="str">
        <f t="shared" si="2"/>
        <v/>
      </c>
      <c r="P12" s="4" t="s">
        <v>366</v>
      </c>
      <c r="Q12" s="13" t="str">
        <f t="shared" si="3"/>
        <v/>
      </c>
      <c r="S12" s="49" t="s">
        <v>369</v>
      </c>
      <c r="T12" s="9" t="s">
        <v>365</v>
      </c>
      <c r="U12" s="13" t="str">
        <f t="shared" si="4"/>
        <v/>
      </c>
      <c r="V12" s="4" t="s">
        <v>366</v>
      </c>
      <c r="W12" s="13" t="str">
        <f t="shared" si="5"/>
        <v/>
      </c>
    </row>
    <row r="13" spans="1:23" ht="15.75" customHeight="1">
      <c r="A13" s="60" t="s">
        <v>370</v>
      </c>
      <c r="B13" s="67"/>
      <c r="C13" s="67"/>
      <c r="D13" s="67"/>
      <c r="E13" s="67"/>
      <c r="F13" s="67"/>
      <c r="M13" s="49" t="s">
        <v>371</v>
      </c>
      <c r="N13" s="9" t="s">
        <v>365</v>
      </c>
      <c r="O13" s="13" t="str">
        <f t="shared" si="2"/>
        <v/>
      </c>
      <c r="P13" s="4" t="s">
        <v>366</v>
      </c>
      <c r="Q13" s="13" t="str">
        <f t="shared" si="3"/>
        <v/>
      </c>
      <c r="S13" s="49" t="s">
        <v>371</v>
      </c>
      <c r="T13" s="9" t="s">
        <v>365</v>
      </c>
      <c r="U13" s="13" t="str">
        <f t="shared" si="4"/>
        <v/>
      </c>
      <c r="V13" s="4" t="s">
        <v>366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356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364</v>
      </c>
      <c r="H15" s="4"/>
      <c r="I15" s="4"/>
      <c r="J15" s="16">
        <f t="shared" ref="J15:J18" si="12">H15-I15</f>
        <v>0</v>
      </c>
      <c r="K15" s="17"/>
      <c r="M15" s="60" t="s">
        <v>372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358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368</v>
      </c>
      <c r="H16" s="4"/>
      <c r="I16" s="4"/>
      <c r="J16" s="16">
        <f t="shared" si="12"/>
        <v>0</v>
      </c>
      <c r="K16" s="17"/>
      <c r="M16" s="18"/>
      <c r="N16" s="46" t="s">
        <v>128</v>
      </c>
      <c r="O16" s="19"/>
      <c r="P16" s="58" t="s">
        <v>190</v>
      </c>
      <c r="Q16" s="19"/>
      <c r="R16" s="51" t="s">
        <v>373</v>
      </c>
      <c r="S16" s="19"/>
    </row>
    <row r="17" spans="1:27" ht="15.75" customHeight="1">
      <c r="A17" s="49" t="s">
        <v>360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369</v>
      </c>
      <c r="H17" s="4"/>
      <c r="I17" s="4"/>
      <c r="J17" s="16">
        <f t="shared" si="12"/>
        <v>0</v>
      </c>
      <c r="K17" s="17"/>
      <c r="M17" s="20"/>
      <c r="N17" s="21" t="s">
        <v>133</v>
      </c>
      <c r="O17" s="50" t="s">
        <v>35</v>
      </c>
      <c r="P17" s="8" t="s">
        <v>133</v>
      </c>
      <c r="Q17" s="50" t="s">
        <v>35</v>
      </c>
      <c r="R17" s="8" t="s">
        <v>133</v>
      </c>
      <c r="S17" s="50" t="s">
        <v>35</v>
      </c>
    </row>
    <row r="18" spans="1:27" ht="15.75" customHeight="1">
      <c r="A18" s="49" t="s">
        <v>362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371</v>
      </c>
      <c r="H18" s="4"/>
      <c r="I18" s="4"/>
      <c r="J18" s="16">
        <f t="shared" si="12"/>
        <v>0</v>
      </c>
      <c r="K18" s="17"/>
      <c r="M18" s="49" t="s">
        <v>359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361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374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144</v>
      </c>
      <c r="C21" s="502" t="s">
        <v>145</v>
      </c>
      <c r="D21" s="500"/>
      <c r="E21" s="501"/>
      <c r="F21" s="49" t="s">
        <v>375</v>
      </c>
      <c r="G21" s="49" t="s">
        <v>376</v>
      </c>
      <c r="H21" s="49" t="s">
        <v>377</v>
      </c>
      <c r="I21" s="8" t="s">
        <v>163</v>
      </c>
      <c r="J21" s="513" t="s">
        <v>150</v>
      </c>
      <c r="K21" s="501"/>
      <c r="M21" s="60" t="s">
        <v>378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356</v>
      </c>
      <c r="B22" s="6">
        <v>1</v>
      </c>
      <c r="C22" s="458" t="s">
        <v>379</v>
      </c>
      <c r="D22" s="500"/>
      <c r="E22" s="501"/>
      <c r="F22" s="4">
        <v>3</v>
      </c>
      <c r="G22" s="4">
        <v>3000</v>
      </c>
      <c r="H22" s="4">
        <v>1000</v>
      </c>
      <c r="I22" s="4">
        <v>10</v>
      </c>
      <c r="J22" s="503" t="s">
        <v>380</v>
      </c>
      <c r="K22" s="501"/>
      <c r="M22" s="52" t="s">
        <v>359</v>
      </c>
      <c r="N22" s="57" t="s">
        <v>144</v>
      </c>
      <c r="O22" s="508" t="s">
        <v>145</v>
      </c>
      <c r="P22" s="500"/>
      <c r="Q22" s="501"/>
      <c r="R22" s="514" t="s">
        <v>146</v>
      </c>
      <c r="S22" s="500"/>
      <c r="T22" s="501"/>
      <c r="U22" s="57" t="s">
        <v>147</v>
      </c>
      <c r="V22" s="57" t="s">
        <v>23</v>
      </c>
      <c r="W22" s="57" t="s">
        <v>148</v>
      </c>
      <c r="X22" s="8" t="s">
        <v>133</v>
      </c>
      <c r="Y22" s="8" t="s">
        <v>163</v>
      </c>
      <c r="Z22" s="513" t="s">
        <v>150</v>
      </c>
      <c r="AA22" s="501"/>
    </row>
    <row r="23" spans="1:27" ht="15.75" customHeight="1">
      <c r="A23" s="23"/>
      <c r="B23" s="6">
        <v>2</v>
      </c>
      <c r="C23" s="499"/>
      <c r="D23" s="500"/>
      <c r="E23" s="501"/>
      <c r="F23" s="4"/>
      <c r="G23" s="4"/>
      <c r="H23" s="4"/>
      <c r="I23" s="4"/>
      <c r="J23" s="499"/>
      <c r="K23" s="501"/>
      <c r="M23" s="56" t="s">
        <v>190</v>
      </c>
      <c r="N23" s="24">
        <v>1</v>
      </c>
      <c r="O23" s="503" t="s">
        <v>381</v>
      </c>
      <c r="P23" s="500"/>
      <c r="Q23" s="501"/>
      <c r="R23" s="503" t="s">
        <v>382</v>
      </c>
      <c r="S23" s="500"/>
      <c r="T23" s="501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03" t="s">
        <v>383</v>
      </c>
      <c r="AA23" s="501"/>
    </row>
    <row r="24" spans="1:27" ht="15.75" customHeight="1">
      <c r="A24" s="23"/>
      <c r="B24" s="6">
        <v>3</v>
      </c>
      <c r="C24" s="499"/>
      <c r="D24" s="500"/>
      <c r="E24" s="501"/>
      <c r="F24" s="4"/>
      <c r="G24" s="4"/>
      <c r="H24" s="4"/>
      <c r="I24" s="4"/>
      <c r="J24" s="499"/>
      <c r="K24" s="501"/>
      <c r="M24" s="25"/>
      <c r="N24" s="24">
        <v>2</v>
      </c>
      <c r="O24" s="458"/>
      <c r="P24" s="500"/>
      <c r="Q24" s="501"/>
      <c r="R24" s="458"/>
      <c r="S24" s="500"/>
      <c r="T24" s="501"/>
      <c r="U24" s="4"/>
      <c r="V24" s="14"/>
      <c r="W24" s="4"/>
      <c r="X24" s="16">
        <f t="shared" si="16"/>
        <v>0</v>
      </c>
      <c r="Y24" s="4"/>
      <c r="Z24" s="458"/>
      <c r="AA24" s="501"/>
    </row>
    <row r="25" spans="1:27" ht="15.75" customHeight="1">
      <c r="A25" s="23"/>
      <c r="B25" s="6">
        <v>4</v>
      </c>
      <c r="C25" s="499"/>
      <c r="D25" s="500"/>
      <c r="E25" s="501"/>
      <c r="F25" s="4"/>
      <c r="G25" s="4"/>
      <c r="H25" s="4"/>
      <c r="I25" s="4"/>
      <c r="J25" s="499"/>
      <c r="K25" s="501"/>
      <c r="M25" s="25"/>
      <c r="N25" s="24">
        <v>3</v>
      </c>
      <c r="O25" s="458"/>
      <c r="P25" s="500"/>
      <c r="Q25" s="501"/>
      <c r="R25" s="458"/>
      <c r="S25" s="500"/>
      <c r="T25" s="501"/>
      <c r="U25" s="4"/>
      <c r="V25" s="14"/>
      <c r="W25" s="4"/>
      <c r="X25" s="16">
        <f t="shared" si="16"/>
        <v>0</v>
      </c>
      <c r="Y25" s="4"/>
      <c r="Z25" s="458"/>
      <c r="AA25" s="501"/>
    </row>
    <row r="26" spans="1:27" ht="15.75" customHeight="1">
      <c r="A26" s="23"/>
      <c r="B26" s="26">
        <v>5</v>
      </c>
      <c r="C26" s="511"/>
      <c r="D26" s="507"/>
      <c r="E26" s="504"/>
      <c r="F26" s="27"/>
      <c r="G26" s="27"/>
      <c r="H26" s="27"/>
      <c r="I26" s="27"/>
      <c r="J26" s="511"/>
      <c r="K26" s="504"/>
      <c r="M26" s="25"/>
      <c r="N26" s="24">
        <v>4</v>
      </c>
      <c r="O26" s="458"/>
      <c r="P26" s="500"/>
      <c r="Q26" s="501"/>
      <c r="R26" s="458"/>
      <c r="S26" s="500"/>
      <c r="T26" s="501"/>
      <c r="U26" s="4"/>
      <c r="V26" s="14"/>
      <c r="W26" s="4"/>
      <c r="X26" s="16">
        <f t="shared" si="16"/>
        <v>0</v>
      </c>
      <c r="Y26" s="4"/>
      <c r="Z26" s="458"/>
      <c r="AA26" s="501"/>
    </row>
    <row r="27" spans="1:27" ht="15.75" customHeight="1">
      <c r="A27" s="23"/>
      <c r="B27" s="69" t="s">
        <v>384</v>
      </c>
      <c r="C27" s="505" t="s">
        <v>385</v>
      </c>
      <c r="D27" s="512"/>
      <c r="E27" s="506"/>
      <c r="F27" s="28">
        <v>4</v>
      </c>
      <c r="G27" s="28">
        <v>2800</v>
      </c>
      <c r="H27" s="28">
        <v>700</v>
      </c>
      <c r="I27" s="28" t="s">
        <v>386</v>
      </c>
      <c r="J27" s="505" t="s">
        <v>387</v>
      </c>
      <c r="K27" s="506"/>
      <c r="M27" s="25"/>
      <c r="N27" s="29">
        <v>5</v>
      </c>
      <c r="O27" s="457"/>
      <c r="P27" s="507"/>
      <c r="Q27" s="504"/>
      <c r="R27" s="457"/>
      <c r="S27" s="507"/>
      <c r="T27" s="504"/>
      <c r="U27" s="27"/>
      <c r="V27" s="30"/>
      <c r="W27" s="27"/>
      <c r="X27" s="31">
        <f t="shared" si="16"/>
        <v>0</v>
      </c>
      <c r="Y27" s="4"/>
      <c r="Z27" s="457"/>
      <c r="AA27" s="504"/>
    </row>
    <row r="28" spans="1:27" ht="15.75" customHeight="1">
      <c r="A28" s="23"/>
      <c r="B28" s="70" t="s">
        <v>388</v>
      </c>
      <c r="C28" s="499"/>
      <c r="D28" s="500"/>
      <c r="E28" s="501"/>
      <c r="F28" s="4"/>
      <c r="G28" s="4"/>
      <c r="H28" s="4"/>
      <c r="I28" s="4"/>
      <c r="J28" s="499"/>
      <c r="K28" s="501"/>
      <c r="M28" s="32"/>
      <c r="N28" s="55"/>
      <c r="O28" s="509"/>
      <c r="P28" s="500"/>
      <c r="Q28" s="500"/>
      <c r="R28" s="509"/>
      <c r="S28" s="500"/>
      <c r="T28" s="500"/>
      <c r="U28" s="59" t="s">
        <v>152</v>
      </c>
      <c r="V28" s="33">
        <f>X28/N18</f>
        <v>8.3333333333333329E-2</v>
      </c>
      <c r="W28" s="59" t="s">
        <v>153</v>
      </c>
      <c r="X28" s="34">
        <f>SUM(X23:X27)</f>
        <v>100</v>
      </c>
      <c r="Y28" s="45"/>
      <c r="Z28" s="509"/>
      <c r="AA28" s="501"/>
    </row>
    <row r="29" spans="1:27" ht="15.75" customHeight="1">
      <c r="A29" s="23"/>
      <c r="B29" s="70" t="s">
        <v>389</v>
      </c>
      <c r="C29" s="499"/>
      <c r="D29" s="500"/>
      <c r="E29" s="501"/>
      <c r="F29" s="4"/>
      <c r="G29" s="4"/>
      <c r="H29" s="4"/>
      <c r="I29" s="4"/>
      <c r="J29" s="499"/>
      <c r="K29" s="501"/>
      <c r="M29" s="56" t="s">
        <v>373</v>
      </c>
      <c r="N29" s="24">
        <v>1</v>
      </c>
      <c r="O29" s="522" t="s">
        <v>390</v>
      </c>
      <c r="P29" s="518"/>
      <c r="Q29" s="519"/>
      <c r="R29" s="517" t="s">
        <v>391</v>
      </c>
      <c r="S29" s="518"/>
      <c r="T29" s="51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17" t="s">
        <v>392</v>
      </c>
      <c r="AA29" s="519"/>
    </row>
    <row r="30" spans="1:27" ht="15.75" customHeight="1">
      <c r="A30" s="23"/>
      <c r="B30" s="70" t="s">
        <v>393</v>
      </c>
      <c r="C30" s="499"/>
      <c r="D30" s="500"/>
      <c r="E30" s="501"/>
      <c r="F30" s="4"/>
      <c r="G30" s="4"/>
      <c r="H30" s="4"/>
      <c r="I30" s="4"/>
      <c r="J30" s="499"/>
      <c r="K30" s="501"/>
      <c r="M30" s="25"/>
      <c r="N30" s="24">
        <v>2</v>
      </c>
      <c r="O30" s="458"/>
      <c r="P30" s="500"/>
      <c r="Q30" s="501"/>
      <c r="R30" s="458"/>
      <c r="S30" s="500"/>
      <c r="T30" s="501"/>
      <c r="U30" s="4"/>
      <c r="V30" s="14"/>
      <c r="W30" s="4"/>
      <c r="X30" s="16">
        <f t="shared" si="17"/>
        <v>0</v>
      </c>
      <c r="Y30" s="4"/>
      <c r="Z30" s="458"/>
      <c r="AA30" s="501"/>
    </row>
    <row r="31" spans="1:27" ht="15.75" customHeight="1">
      <c r="A31" s="20"/>
      <c r="B31" s="70" t="s">
        <v>394</v>
      </c>
      <c r="C31" s="499"/>
      <c r="D31" s="500"/>
      <c r="E31" s="501"/>
      <c r="F31" s="4"/>
      <c r="G31" s="4"/>
      <c r="H31" s="4"/>
      <c r="I31" s="4"/>
      <c r="J31" s="499"/>
      <c r="K31" s="501"/>
      <c r="M31" s="25"/>
      <c r="N31" s="24">
        <v>3</v>
      </c>
      <c r="O31" s="458"/>
      <c r="P31" s="500"/>
      <c r="Q31" s="501"/>
      <c r="R31" s="458"/>
      <c r="S31" s="500"/>
      <c r="T31" s="501"/>
      <c r="U31" s="4"/>
      <c r="V31" s="14"/>
      <c r="W31" s="4"/>
      <c r="X31" s="16">
        <f t="shared" si="17"/>
        <v>0</v>
      </c>
      <c r="Y31" s="4"/>
      <c r="Z31" s="458"/>
      <c r="AA31" s="501"/>
    </row>
    <row r="32" spans="1:27" ht="15.75" customHeight="1">
      <c r="A32" s="67"/>
      <c r="M32" s="25"/>
      <c r="N32" s="24">
        <v>4</v>
      </c>
      <c r="O32" s="458"/>
      <c r="P32" s="500"/>
      <c r="Q32" s="501"/>
      <c r="R32" s="458"/>
      <c r="S32" s="500"/>
      <c r="T32" s="501"/>
      <c r="U32" s="4"/>
      <c r="V32" s="14"/>
      <c r="W32" s="4"/>
      <c r="X32" s="16">
        <f t="shared" si="17"/>
        <v>0</v>
      </c>
      <c r="Y32" s="4"/>
      <c r="Z32" s="458"/>
      <c r="AA32" s="501"/>
    </row>
    <row r="33" spans="1:27" ht="15.75" customHeight="1">
      <c r="A33" s="18"/>
      <c r="B33" s="49" t="s">
        <v>144</v>
      </c>
      <c r="C33" s="502" t="s">
        <v>145</v>
      </c>
      <c r="D33" s="500"/>
      <c r="E33" s="501"/>
      <c r="F33" s="49" t="s">
        <v>375</v>
      </c>
      <c r="G33" s="49" t="s">
        <v>376</v>
      </c>
      <c r="H33" s="49" t="s">
        <v>377</v>
      </c>
      <c r="I33" s="8" t="s">
        <v>163</v>
      </c>
      <c r="J33" s="513" t="s">
        <v>150</v>
      </c>
      <c r="K33" s="501"/>
      <c r="M33" s="25"/>
      <c r="N33" s="29">
        <v>5</v>
      </c>
      <c r="O33" s="458"/>
      <c r="P33" s="500"/>
      <c r="Q33" s="501"/>
      <c r="R33" s="458"/>
      <c r="S33" s="500"/>
      <c r="T33" s="501"/>
      <c r="U33" s="27"/>
      <c r="V33" s="30"/>
      <c r="W33" s="27"/>
      <c r="X33" s="31">
        <f t="shared" si="17"/>
        <v>0</v>
      </c>
      <c r="Y33" s="4"/>
      <c r="Z33" s="458"/>
      <c r="AA33" s="501"/>
    </row>
    <row r="34" spans="1:27" ht="15.75" customHeight="1">
      <c r="A34" s="52" t="s">
        <v>358</v>
      </c>
      <c r="B34" s="6">
        <v>1</v>
      </c>
      <c r="C34" s="503" t="s">
        <v>395</v>
      </c>
      <c r="D34" s="500"/>
      <c r="E34" s="501"/>
      <c r="F34" s="4">
        <v>3</v>
      </c>
      <c r="G34" s="4">
        <v>2500</v>
      </c>
      <c r="H34" s="4">
        <v>833.33</v>
      </c>
      <c r="I34" s="4">
        <v>20</v>
      </c>
      <c r="J34" s="503" t="s">
        <v>396</v>
      </c>
      <c r="K34" s="501"/>
      <c r="M34" s="68"/>
      <c r="N34" s="45"/>
      <c r="O34" s="509"/>
      <c r="P34" s="500"/>
      <c r="Q34" s="500"/>
      <c r="R34" s="509"/>
      <c r="S34" s="500"/>
      <c r="T34" s="500"/>
      <c r="U34" s="59" t="s">
        <v>152</v>
      </c>
      <c r="V34" s="33">
        <f>X34/N18</f>
        <v>0.23125000000000001</v>
      </c>
      <c r="W34" s="59" t="s">
        <v>153</v>
      </c>
      <c r="X34" s="34">
        <f>SUM(X29:X33)</f>
        <v>277.5</v>
      </c>
      <c r="Y34" s="45"/>
      <c r="Z34" s="509"/>
      <c r="AA34" s="501"/>
    </row>
    <row r="35" spans="1:27" ht="15.75" customHeight="1">
      <c r="A35" s="23"/>
      <c r="B35" s="6">
        <v>2</v>
      </c>
      <c r="C35" s="458"/>
      <c r="D35" s="500"/>
      <c r="E35" s="501"/>
      <c r="F35" s="4"/>
      <c r="G35" s="4"/>
      <c r="H35" s="4"/>
      <c r="I35" s="4"/>
      <c r="J35" s="458"/>
      <c r="K35" s="501"/>
      <c r="M35" s="1"/>
      <c r="N35" s="1"/>
      <c r="O35" s="520"/>
      <c r="P35" s="521"/>
      <c r="Q35" s="521"/>
      <c r="R35" s="520"/>
      <c r="S35" s="521"/>
      <c r="T35" s="521"/>
      <c r="U35" s="1"/>
      <c r="V35" s="38"/>
      <c r="W35" s="1"/>
      <c r="X35" s="1"/>
      <c r="Y35" s="520"/>
      <c r="Z35" s="521"/>
      <c r="AA35" s="521"/>
    </row>
    <row r="36" spans="1:27" ht="15.75" customHeight="1">
      <c r="A36" s="23"/>
      <c r="B36" s="6">
        <v>3</v>
      </c>
      <c r="C36" s="458"/>
      <c r="D36" s="500"/>
      <c r="E36" s="501"/>
      <c r="F36" s="4"/>
      <c r="G36" s="4"/>
      <c r="H36" s="4"/>
      <c r="I36" s="4"/>
      <c r="J36" s="458"/>
      <c r="K36" s="501"/>
      <c r="M36" s="52" t="s">
        <v>361</v>
      </c>
      <c r="N36" s="57" t="s">
        <v>144</v>
      </c>
      <c r="O36" s="508" t="s">
        <v>145</v>
      </c>
      <c r="P36" s="509"/>
      <c r="Q36" s="510"/>
      <c r="R36" s="514" t="s">
        <v>146</v>
      </c>
      <c r="S36" s="515"/>
      <c r="T36" s="516"/>
      <c r="U36" s="57" t="s">
        <v>147</v>
      </c>
      <c r="V36" s="57" t="s">
        <v>23</v>
      </c>
      <c r="W36" s="57" t="s">
        <v>148</v>
      </c>
      <c r="X36" s="8" t="s">
        <v>133</v>
      </c>
      <c r="Y36" s="8" t="s">
        <v>163</v>
      </c>
      <c r="Z36" s="513" t="s">
        <v>150</v>
      </c>
      <c r="AA36" s="523"/>
    </row>
    <row r="37" spans="1:27" ht="15.75" customHeight="1">
      <c r="A37" s="23"/>
      <c r="B37" s="6">
        <v>4</v>
      </c>
      <c r="C37" s="458"/>
      <c r="D37" s="500"/>
      <c r="E37" s="501"/>
      <c r="F37" s="4"/>
      <c r="G37" s="4"/>
      <c r="H37" s="4"/>
      <c r="I37" s="4"/>
      <c r="J37" s="458"/>
      <c r="K37" s="501"/>
      <c r="M37" s="56" t="s">
        <v>190</v>
      </c>
      <c r="N37" s="24">
        <v>1</v>
      </c>
      <c r="O37" s="503" t="s">
        <v>397</v>
      </c>
      <c r="P37" s="500"/>
      <c r="Q37" s="501"/>
      <c r="R37" s="503" t="s">
        <v>398</v>
      </c>
      <c r="S37" s="500"/>
      <c r="T37" s="501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03" t="s">
        <v>399</v>
      </c>
      <c r="AA37" s="501"/>
    </row>
    <row r="38" spans="1:27" ht="15.75" customHeight="1">
      <c r="A38" s="23"/>
      <c r="B38" s="26">
        <v>5</v>
      </c>
      <c r="C38" s="457"/>
      <c r="D38" s="507"/>
      <c r="E38" s="504"/>
      <c r="F38" s="27"/>
      <c r="G38" s="27"/>
      <c r="H38" s="27"/>
      <c r="I38" s="27"/>
      <c r="J38" s="457"/>
      <c r="K38" s="504"/>
      <c r="M38" s="25"/>
      <c r="N38" s="24">
        <v>2</v>
      </c>
      <c r="O38" s="458"/>
      <c r="P38" s="500"/>
      <c r="Q38" s="501"/>
      <c r="R38" s="458"/>
      <c r="S38" s="500"/>
      <c r="T38" s="501"/>
      <c r="U38" s="4"/>
      <c r="V38" s="14"/>
      <c r="W38" s="4"/>
      <c r="X38" s="16">
        <f t="shared" si="18"/>
        <v>0</v>
      </c>
      <c r="Y38" s="4"/>
      <c r="Z38" s="458"/>
      <c r="AA38" s="501"/>
    </row>
    <row r="39" spans="1:27" ht="14.25">
      <c r="A39" s="23"/>
      <c r="B39" s="69" t="s">
        <v>384</v>
      </c>
      <c r="C39" s="505" t="s">
        <v>400</v>
      </c>
      <c r="D39" s="512"/>
      <c r="E39" s="506"/>
      <c r="F39" s="28">
        <v>7</v>
      </c>
      <c r="G39" s="28">
        <v>2200</v>
      </c>
      <c r="H39" s="28">
        <v>314.29000000000002</v>
      </c>
      <c r="I39" s="28">
        <v>-15</v>
      </c>
      <c r="J39" s="505" t="s">
        <v>401</v>
      </c>
      <c r="K39" s="506"/>
      <c r="M39" s="25"/>
      <c r="N39" s="24">
        <v>3</v>
      </c>
      <c r="O39" s="458"/>
      <c r="P39" s="500"/>
      <c r="Q39" s="501"/>
      <c r="R39" s="458"/>
      <c r="S39" s="500"/>
      <c r="T39" s="501"/>
      <c r="U39" s="4"/>
      <c r="V39" s="14"/>
      <c r="W39" s="4"/>
      <c r="X39" s="16">
        <f t="shared" si="18"/>
        <v>0</v>
      </c>
      <c r="Y39" s="4"/>
      <c r="Z39" s="458"/>
      <c r="AA39" s="501"/>
    </row>
    <row r="40" spans="1:27" ht="14.25">
      <c r="A40" s="23"/>
      <c r="B40" s="70" t="s">
        <v>388</v>
      </c>
      <c r="C40" s="458"/>
      <c r="D40" s="500"/>
      <c r="E40" s="501"/>
      <c r="F40" s="4"/>
      <c r="G40" s="4"/>
      <c r="H40" s="4"/>
      <c r="I40" s="4"/>
      <c r="J40" s="458"/>
      <c r="K40" s="501"/>
      <c r="M40" s="25"/>
      <c r="N40" s="24">
        <v>4</v>
      </c>
      <c r="O40" s="458"/>
      <c r="P40" s="500"/>
      <c r="Q40" s="501"/>
      <c r="R40" s="458"/>
      <c r="S40" s="500"/>
      <c r="T40" s="501"/>
      <c r="U40" s="4"/>
      <c r="V40" s="14"/>
      <c r="W40" s="4"/>
      <c r="X40" s="16">
        <f t="shared" si="18"/>
        <v>0</v>
      </c>
      <c r="Y40" s="4"/>
      <c r="Z40" s="458"/>
      <c r="AA40" s="501"/>
    </row>
    <row r="41" spans="1:27" ht="14.25">
      <c r="A41" s="23"/>
      <c r="B41" s="70" t="s">
        <v>389</v>
      </c>
      <c r="C41" s="458"/>
      <c r="D41" s="500"/>
      <c r="E41" s="501"/>
      <c r="F41" s="4"/>
      <c r="G41" s="4"/>
      <c r="H41" s="4"/>
      <c r="I41" s="4"/>
      <c r="J41" s="458"/>
      <c r="K41" s="501"/>
      <c r="M41" s="25"/>
      <c r="N41" s="29">
        <v>5</v>
      </c>
      <c r="O41" s="457"/>
      <c r="P41" s="507"/>
      <c r="Q41" s="504"/>
      <c r="R41" s="457"/>
      <c r="S41" s="507"/>
      <c r="T41" s="504"/>
      <c r="U41" s="27"/>
      <c r="V41" s="30"/>
      <c r="W41" s="27"/>
      <c r="X41" s="31">
        <f t="shared" si="18"/>
        <v>0</v>
      </c>
      <c r="Y41" s="4"/>
      <c r="Z41" s="458"/>
      <c r="AA41" s="501"/>
    </row>
    <row r="42" spans="1:27" ht="14.25">
      <c r="A42" s="23"/>
      <c r="B42" s="70" t="s">
        <v>393</v>
      </c>
      <c r="C42" s="458"/>
      <c r="D42" s="500"/>
      <c r="E42" s="501"/>
      <c r="F42" s="4"/>
      <c r="G42" s="4"/>
      <c r="H42" s="4"/>
      <c r="I42" s="4"/>
      <c r="J42" s="458"/>
      <c r="K42" s="501"/>
      <c r="M42" s="32"/>
      <c r="N42" s="54"/>
      <c r="O42" s="509"/>
      <c r="P42" s="500"/>
      <c r="Q42" s="500"/>
      <c r="R42" s="509"/>
      <c r="S42" s="500"/>
      <c r="T42" s="500"/>
      <c r="U42" s="59" t="s">
        <v>152</v>
      </c>
      <c r="V42" s="33">
        <f>X42/N19</f>
        <v>5.5555555555555552E-2</v>
      </c>
      <c r="W42" s="59" t="s">
        <v>153</v>
      </c>
      <c r="X42" s="34">
        <f>SUM(X37:X41)</f>
        <v>250</v>
      </c>
      <c r="Y42" s="45"/>
      <c r="Z42" s="509"/>
      <c r="AA42" s="501"/>
    </row>
    <row r="43" spans="1:27" ht="14.25">
      <c r="A43" s="20"/>
      <c r="B43" s="70" t="s">
        <v>394</v>
      </c>
      <c r="C43" s="458"/>
      <c r="D43" s="500"/>
      <c r="E43" s="501"/>
      <c r="F43" s="4"/>
      <c r="G43" s="4"/>
      <c r="H43" s="4"/>
      <c r="I43" s="4"/>
      <c r="J43" s="458"/>
      <c r="K43" s="501"/>
      <c r="M43" s="56" t="s">
        <v>373</v>
      </c>
      <c r="N43" s="24">
        <v>1</v>
      </c>
      <c r="O43" s="503" t="s">
        <v>397</v>
      </c>
      <c r="P43" s="500"/>
      <c r="Q43" s="501"/>
      <c r="R43" s="517" t="s">
        <v>402</v>
      </c>
      <c r="S43" s="518"/>
      <c r="T43" s="51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03" t="s">
        <v>403</v>
      </c>
      <c r="AA43" s="501"/>
    </row>
    <row r="44" spans="1:27" ht="14.25">
      <c r="A44" s="67"/>
      <c r="M44" s="25"/>
      <c r="N44" s="24">
        <v>2</v>
      </c>
      <c r="O44" s="458"/>
      <c r="P44" s="500"/>
      <c r="Q44" s="501"/>
      <c r="R44" s="458"/>
      <c r="S44" s="500"/>
      <c r="T44" s="501"/>
      <c r="U44" s="4"/>
      <c r="V44" s="14"/>
      <c r="W44" s="4"/>
      <c r="X44" s="37">
        <f t="shared" si="19"/>
        <v>0</v>
      </c>
      <c r="Y44" s="4"/>
      <c r="Z44" s="458"/>
      <c r="AA44" s="501"/>
    </row>
    <row r="45" spans="1:27" ht="14.25">
      <c r="A45" s="18"/>
      <c r="B45" s="49" t="s">
        <v>144</v>
      </c>
      <c r="C45" s="502" t="s">
        <v>145</v>
      </c>
      <c r="D45" s="500"/>
      <c r="E45" s="501"/>
      <c r="F45" s="49" t="s">
        <v>375</v>
      </c>
      <c r="G45" s="49" t="s">
        <v>376</v>
      </c>
      <c r="H45" s="49" t="s">
        <v>377</v>
      </c>
      <c r="I45" s="8" t="s">
        <v>163</v>
      </c>
      <c r="J45" s="513" t="s">
        <v>150</v>
      </c>
      <c r="K45" s="501"/>
      <c r="M45" s="25"/>
      <c r="N45" s="24">
        <v>3</v>
      </c>
      <c r="O45" s="458"/>
      <c r="P45" s="500"/>
      <c r="Q45" s="501"/>
      <c r="R45" s="458"/>
      <c r="S45" s="500"/>
      <c r="T45" s="501"/>
      <c r="U45" s="4"/>
      <c r="V45" s="14"/>
      <c r="W45" s="4"/>
      <c r="X45" s="37">
        <f t="shared" si="19"/>
        <v>0</v>
      </c>
      <c r="Y45" s="4"/>
      <c r="Z45" s="458"/>
      <c r="AA45" s="501"/>
    </row>
    <row r="46" spans="1:27" ht="14.25">
      <c r="A46" s="52" t="s">
        <v>360</v>
      </c>
      <c r="B46" s="6">
        <v>1</v>
      </c>
      <c r="C46" s="503" t="s">
        <v>381</v>
      </c>
      <c r="D46" s="500"/>
      <c r="E46" s="501"/>
      <c r="F46" s="4">
        <v>15</v>
      </c>
      <c r="G46" s="4">
        <v>1200</v>
      </c>
      <c r="H46" s="4">
        <v>80</v>
      </c>
      <c r="I46" s="4">
        <v>5</v>
      </c>
      <c r="J46" s="503" t="s">
        <v>404</v>
      </c>
      <c r="K46" s="501"/>
      <c r="M46" s="25"/>
      <c r="N46" s="24">
        <v>4</v>
      </c>
      <c r="O46" s="458"/>
      <c r="P46" s="500"/>
      <c r="Q46" s="501"/>
      <c r="R46" s="458"/>
      <c r="S46" s="500"/>
      <c r="T46" s="501"/>
      <c r="U46" s="4"/>
      <c r="V46" s="14"/>
      <c r="W46" s="4"/>
      <c r="X46" s="37">
        <f t="shared" si="19"/>
        <v>0</v>
      </c>
      <c r="Y46" s="4"/>
      <c r="Z46" s="458"/>
      <c r="AA46" s="501"/>
    </row>
    <row r="47" spans="1:27" ht="14.25">
      <c r="A47" s="23"/>
      <c r="B47" s="6">
        <v>2</v>
      </c>
      <c r="C47" s="458"/>
      <c r="D47" s="500"/>
      <c r="E47" s="501"/>
      <c r="F47" s="4"/>
      <c r="G47" s="4"/>
      <c r="H47" s="4"/>
      <c r="I47" s="4"/>
      <c r="J47" s="458"/>
      <c r="K47" s="501"/>
      <c r="M47" s="25"/>
      <c r="N47" s="29">
        <v>5</v>
      </c>
      <c r="O47" s="458"/>
      <c r="P47" s="500"/>
      <c r="Q47" s="501"/>
      <c r="R47" s="458"/>
      <c r="S47" s="500"/>
      <c r="T47" s="501"/>
      <c r="U47" s="27"/>
      <c r="V47" s="30"/>
      <c r="W47" s="27"/>
      <c r="X47" s="40">
        <f t="shared" si="19"/>
        <v>0</v>
      </c>
      <c r="Y47" s="4"/>
      <c r="Z47" s="458"/>
      <c r="AA47" s="501"/>
    </row>
    <row r="48" spans="1:27" ht="14.25">
      <c r="A48" s="23"/>
      <c r="B48" s="6">
        <v>3</v>
      </c>
      <c r="C48" s="458"/>
      <c r="D48" s="500"/>
      <c r="E48" s="501"/>
      <c r="F48" s="4"/>
      <c r="G48" s="4"/>
      <c r="H48" s="4"/>
      <c r="I48" s="4"/>
      <c r="J48" s="458"/>
      <c r="K48" s="501"/>
      <c r="M48" s="68"/>
      <c r="N48" s="45"/>
      <c r="O48" s="509"/>
      <c r="P48" s="500"/>
      <c r="Q48" s="500"/>
      <c r="R48" s="509"/>
      <c r="S48" s="500"/>
      <c r="T48" s="500"/>
      <c r="U48" s="59" t="s">
        <v>152</v>
      </c>
      <c r="V48" s="33">
        <f>X48/N19</f>
        <v>0.13333333333333333</v>
      </c>
      <c r="W48" s="59" t="s">
        <v>153</v>
      </c>
      <c r="X48" s="34">
        <f>SUM(X43:X47)</f>
        <v>600</v>
      </c>
      <c r="Y48" s="45"/>
      <c r="Z48" s="509"/>
      <c r="AA48" s="501"/>
    </row>
    <row r="49" spans="1:27" ht="14.25">
      <c r="A49" s="23"/>
      <c r="B49" s="6">
        <v>4</v>
      </c>
      <c r="C49" s="458"/>
      <c r="D49" s="500"/>
      <c r="E49" s="501"/>
      <c r="F49" s="4"/>
      <c r="G49" s="4"/>
      <c r="H49" s="4"/>
      <c r="I49" s="4"/>
      <c r="J49" s="458"/>
      <c r="K49" s="50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57"/>
      <c r="D50" s="507"/>
      <c r="E50" s="504"/>
      <c r="F50" s="27"/>
      <c r="G50" s="27"/>
      <c r="H50" s="27"/>
      <c r="I50" s="27"/>
      <c r="J50" s="457"/>
      <c r="K50" s="504"/>
      <c r="M50" s="64" t="s">
        <v>405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384</v>
      </c>
      <c r="C51" s="505" t="s">
        <v>397</v>
      </c>
      <c r="D51" s="512"/>
      <c r="E51" s="506"/>
      <c r="F51" s="28">
        <v>18</v>
      </c>
      <c r="G51" s="28">
        <v>800</v>
      </c>
      <c r="H51" s="28">
        <v>44.44</v>
      </c>
      <c r="I51" s="28">
        <v>-15</v>
      </c>
      <c r="J51" s="505" t="s">
        <v>406</v>
      </c>
      <c r="K51" s="506"/>
      <c r="M51" s="8"/>
      <c r="N51" s="8" t="s">
        <v>186</v>
      </c>
      <c r="O51" s="508" t="s">
        <v>145</v>
      </c>
      <c r="P51" s="509"/>
      <c r="Q51" s="510"/>
      <c r="R51" s="514" t="s">
        <v>146</v>
      </c>
      <c r="S51" s="515"/>
      <c r="T51" s="516"/>
      <c r="U51" s="57" t="s">
        <v>147</v>
      </c>
      <c r="V51" s="39" t="s">
        <v>187</v>
      </c>
      <c r="W51" s="57" t="s">
        <v>188</v>
      </c>
      <c r="X51" s="8" t="s">
        <v>10</v>
      </c>
      <c r="Y51" s="508" t="s">
        <v>189</v>
      </c>
      <c r="Z51" s="509"/>
      <c r="AA51" s="510"/>
    </row>
    <row r="52" spans="1:27" ht="14.25">
      <c r="A52" s="23"/>
      <c r="B52" s="70" t="s">
        <v>388</v>
      </c>
      <c r="C52" s="458"/>
      <c r="D52" s="500"/>
      <c r="E52" s="501"/>
      <c r="F52" s="4"/>
      <c r="G52" s="4"/>
      <c r="H52" s="4"/>
      <c r="I52" s="4"/>
      <c r="J52" s="458"/>
      <c r="K52" s="501"/>
      <c r="M52" s="56" t="s">
        <v>190</v>
      </c>
      <c r="N52" s="24">
        <v>1</v>
      </c>
      <c r="O52" s="503" t="s">
        <v>397</v>
      </c>
      <c r="P52" s="500"/>
      <c r="Q52" s="501"/>
      <c r="R52" s="517" t="s">
        <v>402</v>
      </c>
      <c r="S52" s="518"/>
      <c r="T52" s="51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03" t="s">
        <v>407</v>
      </c>
      <c r="Z52" s="500"/>
      <c r="AA52" s="501"/>
    </row>
    <row r="53" spans="1:27" ht="14.25">
      <c r="A53" s="23"/>
      <c r="B53" s="70" t="s">
        <v>389</v>
      </c>
      <c r="C53" s="458"/>
      <c r="D53" s="500"/>
      <c r="E53" s="501"/>
      <c r="F53" s="4"/>
      <c r="G53" s="4"/>
      <c r="H53" s="4"/>
      <c r="I53" s="4"/>
      <c r="J53" s="458"/>
      <c r="K53" s="501"/>
      <c r="M53" s="25"/>
      <c r="N53" s="29">
        <v>2</v>
      </c>
      <c r="O53" s="457"/>
      <c r="P53" s="507"/>
      <c r="Q53" s="504"/>
      <c r="R53" s="457"/>
      <c r="S53" s="507"/>
      <c r="T53" s="504"/>
      <c r="U53" s="27"/>
      <c r="V53" s="30"/>
      <c r="W53" s="30"/>
      <c r="X53" s="41">
        <f t="shared" si="20"/>
        <v>0</v>
      </c>
      <c r="Y53" s="457"/>
      <c r="Z53" s="507"/>
      <c r="AA53" s="504"/>
    </row>
    <row r="54" spans="1:27" ht="14.25">
      <c r="A54" s="23"/>
      <c r="B54" s="70" t="s">
        <v>393</v>
      </c>
      <c r="C54" s="458"/>
      <c r="D54" s="500"/>
      <c r="E54" s="501"/>
      <c r="F54" s="4"/>
      <c r="G54" s="4"/>
      <c r="H54" s="4"/>
      <c r="I54" s="4"/>
      <c r="J54" s="458"/>
      <c r="K54" s="501"/>
      <c r="M54" s="56" t="s">
        <v>373</v>
      </c>
      <c r="N54" s="42">
        <v>1</v>
      </c>
      <c r="O54" s="505" t="s">
        <v>408</v>
      </c>
      <c r="P54" s="512"/>
      <c r="Q54" s="506"/>
      <c r="R54" s="505" t="s">
        <v>409</v>
      </c>
      <c r="S54" s="512"/>
      <c r="T54" s="50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05" t="s">
        <v>410</v>
      </c>
      <c r="Z54" s="512"/>
      <c r="AA54" s="506"/>
    </row>
    <row r="55" spans="1:27" ht="14.25">
      <c r="A55" s="20"/>
      <c r="B55" s="70" t="s">
        <v>394</v>
      </c>
      <c r="C55" s="458"/>
      <c r="D55" s="500"/>
      <c r="E55" s="501"/>
      <c r="F55" s="4"/>
      <c r="G55" s="4"/>
      <c r="H55" s="4"/>
      <c r="I55" s="4"/>
      <c r="J55" s="458"/>
      <c r="K55" s="501"/>
      <c r="M55" s="22"/>
      <c r="N55" s="24">
        <v>2</v>
      </c>
      <c r="O55" s="458"/>
      <c r="P55" s="500"/>
      <c r="Q55" s="501"/>
      <c r="R55" s="458"/>
      <c r="S55" s="500"/>
      <c r="T55" s="501"/>
      <c r="U55" s="4"/>
      <c r="V55" s="14"/>
      <c r="W55" s="14"/>
      <c r="X55" s="13">
        <f t="shared" si="20"/>
        <v>0</v>
      </c>
      <c r="Y55" s="458"/>
      <c r="Z55" s="500"/>
      <c r="AA55" s="501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15"/>
    <col min="3" max="3" width="14" style="215" bestFit="1" customWidth="1"/>
    <col min="4" max="4" width="0.28515625" style="215" customWidth="1"/>
    <col min="5" max="5" width="8.7109375" style="215"/>
    <col min="6" max="6" width="16.28515625" style="215" bestFit="1" customWidth="1"/>
    <col min="7" max="16384" width="8.7109375" style="215"/>
  </cols>
  <sheetData>
    <row r="2" spans="2:7" ht="15.75">
      <c r="B2" s="524" t="s">
        <v>411</v>
      </c>
      <c r="C2" s="524"/>
      <c r="D2" s="524"/>
      <c r="E2" s="524"/>
      <c r="F2" s="524"/>
    </row>
    <row r="3" spans="2:7" ht="15">
      <c r="B3" s="216" t="s">
        <v>412</v>
      </c>
      <c r="C3" s="216" t="s">
        <v>413</v>
      </c>
      <c r="D3" s="217"/>
      <c r="E3" s="216" t="s">
        <v>414</v>
      </c>
      <c r="F3" s="216" t="s">
        <v>415</v>
      </c>
      <c r="G3" s="217"/>
    </row>
    <row r="4" spans="2:7" ht="15">
      <c r="B4" s="218" t="s">
        <v>416</v>
      </c>
      <c r="C4" s="218" t="s">
        <v>417</v>
      </c>
      <c r="D4" s="217"/>
      <c r="E4" s="218" t="s">
        <v>418</v>
      </c>
      <c r="F4" s="218" t="s">
        <v>419</v>
      </c>
      <c r="G4" s="217"/>
    </row>
    <row r="5" spans="2:7" ht="15">
      <c r="B5" s="218" t="s">
        <v>420</v>
      </c>
      <c r="C5" s="218" t="s">
        <v>421</v>
      </c>
      <c r="D5" s="217"/>
      <c r="E5" s="218" t="s">
        <v>422</v>
      </c>
      <c r="F5" s="218" t="s">
        <v>423</v>
      </c>
      <c r="G5" s="217"/>
    </row>
    <row r="6" spans="2:7" ht="15">
      <c r="B6" s="218" t="s">
        <v>424</v>
      </c>
      <c r="C6" s="218" t="s">
        <v>425</v>
      </c>
      <c r="D6" s="217"/>
      <c r="E6" s="219" t="s">
        <v>426</v>
      </c>
      <c r="F6" s="219" t="s">
        <v>427</v>
      </c>
      <c r="G6" s="217"/>
    </row>
    <row r="7" spans="2:7" ht="15">
      <c r="B7" s="219" t="s">
        <v>428</v>
      </c>
      <c r="C7" s="219" t="s">
        <v>429</v>
      </c>
      <c r="D7" s="217"/>
      <c r="E7" s="218" t="s">
        <v>430</v>
      </c>
      <c r="F7" s="218" t="s">
        <v>431</v>
      </c>
      <c r="G7" s="217"/>
    </row>
    <row r="8" spans="2:7" ht="15">
      <c r="B8" s="218" t="s">
        <v>432</v>
      </c>
      <c r="C8" s="218" t="s">
        <v>433</v>
      </c>
      <c r="D8" s="217"/>
      <c r="E8" s="218" t="s">
        <v>434</v>
      </c>
      <c r="F8" s="218" t="s">
        <v>435</v>
      </c>
      <c r="G8" s="217"/>
    </row>
    <row r="9" spans="2:7" ht="15">
      <c r="B9" s="218" t="s">
        <v>436</v>
      </c>
      <c r="C9" s="218" t="s">
        <v>437</v>
      </c>
      <c r="D9" s="217"/>
      <c r="E9" s="219" t="s">
        <v>438</v>
      </c>
      <c r="F9" s="219" t="s">
        <v>101</v>
      </c>
      <c r="G9" s="217"/>
    </row>
    <row r="10" spans="2:7" ht="15">
      <c r="B10" s="218" t="s">
        <v>439</v>
      </c>
      <c r="C10" s="218" t="s">
        <v>440</v>
      </c>
      <c r="D10" s="217"/>
      <c r="E10" s="218" t="s">
        <v>441</v>
      </c>
      <c r="F10" s="218" t="s">
        <v>442</v>
      </c>
      <c r="G10" s="217"/>
    </row>
    <row r="11" spans="2:7" ht="15">
      <c r="B11" s="218" t="s">
        <v>443</v>
      </c>
      <c r="C11" s="218" t="s">
        <v>444</v>
      </c>
      <c r="D11" s="217"/>
      <c r="E11" s="218" t="s">
        <v>445</v>
      </c>
      <c r="F11" s="218" t="s">
        <v>435</v>
      </c>
      <c r="G11" s="217"/>
    </row>
    <row r="12" spans="2:7" ht="15">
      <c r="B12" s="218" t="s">
        <v>446</v>
      </c>
      <c r="C12" s="218" t="s">
        <v>447</v>
      </c>
      <c r="D12" s="217"/>
      <c r="E12" s="218" t="s">
        <v>448</v>
      </c>
      <c r="F12" s="218" t="s">
        <v>449</v>
      </c>
      <c r="G12" s="217"/>
    </row>
    <row r="13" spans="2:7" ht="15">
      <c r="B13" s="219" t="s">
        <v>450</v>
      </c>
      <c r="C13" s="219" t="s">
        <v>451</v>
      </c>
      <c r="D13" s="217"/>
      <c r="E13" s="218" t="s">
        <v>452</v>
      </c>
      <c r="F13" s="218" t="s">
        <v>453</v>
      </c>
      <c r="G13" s="217"/>
    </row>
    <row r="14" spans="2:7" ht="15">
      <c r="B14" s="218" t="s">
        <v>454</v>
      </c>
      <c r="C14" s="218" t="s">
        <v>455</v>
      </c>
      <c r="D14" s="217"/>
      <c r="E14" s="219" t="s">
        <v>456</v>
      </c>
      <c r="F14" s="219" t="s">
        <v>457</v>
      </c>
      <c r="G14" s="217"/>
    </row>
    <row r="15" spans="2:7" ht="15">
      <c r="B15" s="219" t="s">
        <v>458</v>
      </c>
      <c r="C15" s="219" t="s">
        <v>459</v>
      </c>
      <c r="D15" s="217"/>
      <c r="E15" s="218" t="s">
        <v>460</v>
      </c>
      <c r="F15" s="218" t="s">
        <v>457</v>
      </c>
      <c r="G15" s="217"/>
    </row>
    <row r="16" spans="2:7" ht="15">
      <c r="B16" s="218" t="s">
        <v>461</v>
      </c>
      <c r="C16" s="218" t="s">
        <v>462</v>
      </c>
      <c r="D16" s="217"/>
      <c r="E16" s="219" t="s">
        <v>463</v>
      </c>
      <c r="F16" s="219" t="s">
        <v>464</v>
      </c>
      <c r="G16" s="217"/>
    </row>
    <row r="17" spans="2:7" ht="15">
      <c r="B17" s="218" t="s">
        <v>465</v>
      </c>
      <c r="C17" s="218" t="s">
        <v>466</v>
      </c>
      <c r="D17" s="217"/>
      <c r="E17" s="218" t="s">
        <v>467</v>
      </c>
      <c r="F17" s="218" t="s">
        <v>468</v>
      </c>
      <c r="G17" s="217"/>
    </row>
    <row r="18" spans="2:7" ht="15">
      <c r="B18" s="218" t="s">
        <v>469</v>
      </c>
      <c r="C18" s="218" t="s">
        <v>470</v>
      </c>
      <c r="D18" s="217"/>
      <c r="E18" s="218" t="s">
        <v>471</v>
      </c>
      <c r="F18" s="218" t="s">
        <v>472</v>
      </c>
      <c r="G18" s="217"/>
    </row>
    <row r="19" spans="2:7" ht="15">
      <c r="B19" s="218" t="s">
        <v>473</v>
      </c>
      <c r="C19" s="218" t="s">
        <v>474</v>
      </c>
      <c r="D19" s="217"/>
      <c r="E19" s="218" t="s">
        <v>475</v>
      </c>
      <c r="F19" s="218" t="s">
        <v>476</v>
      </c>
      <c r="G19" s="217"/>
    </row>
    <row r="20" spans="2:7" ht="15">
      <c r="B20" s="218" t="s">
        <v>477</v>
      </c>
      <c r="C20" s="218" t="s">
        <v>478</v>
      </c>
      <c r="D20" s="217"/>
      <c r="G20" s="217"/>
    </row>
    <row r="21" spans="2:7" ht="15">
      <c r="D21" s="217"/>
      <c r="G21" s="217"/>
    </row>
    <row r="22" spans="2:7" ht="15">
      <c r="D22" s="217"/>
      <c r="G22" s="217"/>
    </row>
    <row r="23" spans="2:7" ht="15">
      <c r="D23" s="217"/>
      <c r="G23" s="217"/>
    </row>
  </sheetData>
  <mergeCells count="1">
    <mergeCell ref="B2:F2"/>
  </mergeCells>
  <phoneticPr fontId="17" type="noConversion"/>
  <pageMargins left="0" right="0" top="0" bottom="0" header="0" footer="0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7"/>
  <sheetViews>
    <sheetView topLeftCell="A2" workbookViewId="0">
      <selection activeCell="A29" sqref="A29"/>
    </sheetView>
  </sheetViews>
  <sheetFormatPr defaultColWidth="9.140625" defaultRowHeight="15"/>
  <cols>
    <col min="1" max="1" width="27.140625" style="244" customWidth="1"/>
    <col min="2" max="6" width="9.140625" style="244"/>
    <col min="7" max="7" width="26" style="244" bestFit="1" customWidth="1"/>
    <col min="8" max="16384" width="9.140625" style="244"/>
  </cols>
  <sheetData>
    <row r="1" spans="1:4" ht="15.75">
      <c r="A1" s="242" t="s">
        <v>479</v>
      </c>
      <c r="B1" s="242" t="s">
        <v>480</v>
      </c>
      <c r="C1" s="242" t="s">
        <v>481</v>
      </c>
      <c r="D1" s="243"/>
    </row>
    <row r="2" spans="1:4" ht="15.75">
      <c r="A2" s="275" t="s">
        <v>482</v>
      </c>
      <c r="B2" s="275">
        <v>13</v>
      </c>
      <c r="C2" s="275">
        <v>2000</v>
      </c>
      <c r="D2" s="245" t="s">
        <v>483</v>
      </c>
    </row>
    <row r="3" spans="1:4" ht="15.75">
      <c r="A3" s="275" t="s">
        <v>484</v>
      </c>
      <c r="B3" s="275">
        <v>15</v>
      </c>
      <c r="C3" s="275">
        <v>1565</v>
      </c>
      <c r="D3" s="245" t="s">
        <v>485</v>
      </c>
    </row>
    <row r="4" spans="1:4" ht="15.75">
      <c r="A4" s="275" t="s">
        <v>486</v>
      </c>
      <c r="B4" s="275">
        <v>16</v>
      </c>
      <c r="C4" s="275">
        <v>1915</v>
      </c>
      <c r="D4" s="243"/>
    </row>
    <row r="5" spans="1:4" ht="15.75">
      <c r="A5" s="275" t="s">
        <v>487</v>
      </c>
      <c r="B5" s="275">
        <v>12</v>
      </c>
      <c r="C5" s="275">
        <v>2000</v>
      </c>
      <c r="D5" s="243"/>
    </row>
    <row r="6" spans="1:4" ht="15.75">
      <c r="A6" s="275" t="s">
        <v>488</v>
      </c>
      <c r="B6" s="275">
        <v>18</v>
      </c>
      <c r="C6" s="275">
        <v>1565</v>
      </c>
      <c r="D6" s="243"/>
    </row>
    <row r="7" spans="1:4" ht="15.75">
      <c r="A7" s="275" t="s">
        <v>489</v>
      </c>
      <c r="B7" s="275">
        <v>13</v>
      </c>
      <c r="C7" s="275">
        <v>2000</v>
      </c>
      <c r="D7" s="243"/>
    </row>
    <row r="8" spans="1:4" ht="15.75">
      <c r="A8" s="275" t="s">
        <v>490</v>
      </c>
      <c r="B8" s="275">
        <v>16</v>
      </c>
      <c r="C8" s="275">
        <v>1895</v>
      </c>
      <c r="D8" s="243"/>
    </row>
    <row r="9" spans="1:4" ht="15.75">
      <c r="A9" s="275" t="s">
        <v>108</v>
      </c>
      <c r="B9" s="275">
        <v>16</v>
      </c>
      <c r="C9" s="275">
        <v>1552</v>
      </c>
      <c r="D9" s="243"/>
    </row>
    <row r="10" spans="1:4" ht="15.75">
      <c r="A10" s="275" t="s">
        <v>109</v>
      </c>
      <c r="B10" s="275">
        <v>15</v>
      </c>
      <c r="C10" s="275">
        <v>1565</v>
      </c>
      <c r="D10" s="243"/>
    </row>
    <row r="11" spans="1:4" ht="15.75">
      <c r="A11" s="275" t="s">
        <v>110</v>
      </c>
      <c r="B11" s="275">
        <v>16</v>
      </c>
      <c r="C11" s="275">
        <v>1390</v>
      </c>
      <c r="D11" s="243"/>
    </row>
    <row r="12" spans="1:4" ht="15.75">
      <c r="A12" s="275" t="s">
        <v>111</v>
      </c>
      <c r="B12" s="275">
        <v>19</v>
      </c>
      <c r="C12" s="275">
        <v>1565</v>
      </c>
      <c r="D12" s="243"/>
    </row>
    <row r="13" spans="1:4" ht="15.75">
      <c r="A13" s="275" t="s">
        <v>491</v>
      </c>
      <c r="B13" s="275">
        <v>15</v>
      </c>
      <c r="C13" s="275">
        <v>1385</v>
      </c>
      <c r="D13" s="243"/>
    </row>
    <row r="14" spans="1:4" ht="15.75">
      <c r="A14" s="275" t="s">
        <v>112</v>
      </c>
      <c r="B14" s="275">
        <v>18</v>
      </c>
      <c r="C14" s="275">
        <v>1500</v>
      </c>
      <c r="D14" s="243"/>
    </row>
    <row r="15" spans="1:4" ht="15.75">
      <c r="A15" s="275" t="s">
        <v>492</v>
      </c>
      <c r="B15" s="275">
        <v>13</v>
      </c>
      <c r="C15" s="275">
        <v>1385</v>
      </c>
      <c r="D15" s="243"/>
    </row>
    <row r="16" spans="1:4" ht="15.75">
      <c r="A16" s="275" t="s">
        <v>493</v>
      </c>
      <c r="B16" s="275">
        <v>14</v>
      </c>
      <c r="C16" s="275">
        <v>2000</v>
      </c>
      <c r="D16" s="243"/>
    </row>
    <row r="17" spans="1:5" ht="15.75">
      <c r="A17" s="275" t="s">
        <v>494</v>
      </c>
      <c r="B17" s="275">
        <v>17</v>
      </c>
      <c r="C17" s="275">
        <v>1636</v>
      </c>
      <c r="D17" s="243"/>
    </row>
    <row r="18" spans="1:5" ht="15.75">
      <c r="A18" s="275" t="s">
        <v>495</v>
      </c>
      <c r="B18" s="275">
        <v>17</v>
      </c>
      <c r="C18" s="275">
        <v>1636</v>
      </c>
      <c r="D18" s="243"/>
    </row>
    <row r="19" spans="1:5" ht="15.75">
      <c r="A19" s="275" t="s">
        <v>496</v>
      </c>
      <c r="B19" s="275">
        <v>17</v>
      </c>
      <c r="C19" s="275">
        <v>1565</v>
      </c>
      <c r="D19" s="243"/>
    </row>
    <row r="20" spans="1:5" ht="15.75">
      <c r="A20" s="275" t="s">
        <v>497</v>
      </c>
      <c r="B20" s="275">
        <v>18</v>
      </c>
      <c r="C20" s="275">
        <v>1385</v>
      </c>
      <c r="D20" s="243"/>
    </row>
    <row r="21" spans="1:5" ht="15.75">
      <c r="A21" s="275" t="s">
        <v>498</v>
      </c>
      <c r="B21" s="275">
        <v>16</v>
      </c>
      <c r="C21" s="275">
        <v>1385</v>
      </c>
      <c r="D21" s="243"/>
    </row>
    <row r="22" spans="1:5" ht="15.75">
      <c r="A22" s="275" t="s">
        <v>122</v>
      </c>
      <c r="B22" s="275">
        <v>13</v>
      </c>
      <c r="C22" s="275">
        <v>1565</v>
      </c>
    </row>
    <row r="23" spans="1:5" ht="15.75">
      <c r="A23" s="275" t="s">
        <v>499</v>
      </c>
      <c r="B23" s="275">
        <v>12</v>
      </c>
      <c r="C23" s="275">
        <v>1565</v>
      </c>
      <c r="E23" s="276" t="s">
        <v>500</v>
      </c>
    </row>
    <row r="24" spans="1:5" ht="15.75">
      <c r="A24" s="275" t="s">
        <v>501</v>
      </c>
      <c r="B24" s="275">
        <v>12</v>
      </c>
      <c r="C24" s="275">
        <v>1565</v>
      </c>
    </row>
    <row r="25" spans="1:5" ht="15.75">
      <c r="A25" s="275" t="s">
        <v>502</v>
      </c>
      <c r="B25" s="275">
        <v>17</v>
      </c>
      <c r="C25" s="275">
        <v>1636</v>
      </c>
    </row>
    <row r="26" spans="1:5" ht="15.75">
      <c r="A26" s="275" t="s">
        <v>503</v>
      </c>
      <c r="B26" s="275">
        <v>16</v>
      </c>
      <c r="C26" s="275">
        <v>1800</v>
      </c>
    </row>
    <row r="27" spans="1:5" ht="15.75">
      <c r="A27" s="275" t="s">
        <v>504</v>
      </c>
      <c r="B27" s="275">
        <v>18</v>
      </c>
      <c r="C27" s="275">
        <v>1636</v>
      </c>
    </row>
  </sheetData>
  <phoneticPr fontId="17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4F2684-99B3-4BB7-B5F9-C10E94926763}"/>
</file>

<file path=customXml/itemProps2.xml><?xml version="1.0" encoding="utf-8"?>
<ds:datastoreItem xmlns:ds="http://schemas.openxmlformats.org/officeDocument/2006/customXml" ds:itemID="{D44250D6-B926-41A3-B025-14F99A2EE0E1}"/>
</file>

<file path=customXml/itemProps3.xml><?xml version="1.0" encoding="utf-8"?>
<ds:datastoreItem xmlns:ds="http://schemas.openxmlformats.org/officeDocument/2006/customXml" ds:itemID="{D83FD08E-DB3F-4986-941D-864284FA5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2026-03-02T08:43:50Z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