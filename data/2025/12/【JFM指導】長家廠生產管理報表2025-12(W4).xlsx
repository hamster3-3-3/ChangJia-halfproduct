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20" yWindow="-120" windowWidth="29040" windowHeight="15720" tabRatio="781" firstSheet="13" activeTab="15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生產管理報表 6-1(週)" sheetId="44" r:id="rId8"/>
    <sheet name="（５-3）品群別人時生產性(微波小吃)" sheetId="49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1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8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7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5" i="1" l="1"/>
  <c r="X54" i="1"/>
  <c r="X53" i="1"/>
  <c r="X52" i="1"/>
  <c r="X47" i="1"/>
  <c r="X46" i="1"/>
  <c r="X45" i="1"/>
  <c r="X48" i="1" s="1"/>
  <c r="V48" i="1" s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Q13" i="1"/>
  <c r="O13" i="1"/>
  <c r="U12" i="1"/>
  <c r="W12" i="1" s="1"/>
  <c r="O12" i="1"/>
  <c r="Q12" i="1" s="1"/>
  <c r="U11" i="1"/>
  <c r="W11" i="1" s="1"/>
  <c r="O11" i="1"/>
  <c r="Q11" i="1" s="1"/>
  <c r="C11" i="1"/>
  <c r="E11" i="1" s="1"/>
  <c r="B11" i="1"/>
  <c r="W10" i="1"/>
  <c r="U10" i="1"/>
  <c r="O10" i="1"/>
  <c r="Q10" i="1" s="1"/>
  <c r="E10" i="1"/>
  <c r="D10" i="1"/>
  <c r="U9" i="1"/>
  <c r="W9" i="1" s="1"/>
  <c r="O9" i="1"/>
  <c r="O14" i="1" s="1"/>
  <c r="E9" i="1"/>
  <c r="C9" i="1"/>
  <c r="B9" i="1"/>
  <c r="D9" i="1" s="1"/>
  <c r="U8" i="1"/>
  <c r="W8" i="1" s="1"/>
  <c r="O8" i="1"/>
  <c r="Q8" i="1" s="1"/>
  <c r="E8" i="1"/>
  <c r="D8" i="1"/>
  <c r="U7" i="1"/>
  <c r="W7" i="1" s="1"/>
  <c r="Q7" i="1"/>
  <c r="O7" i="1"/>
  <c r="E7" i="1"/>
  <c r="D7" i="1"/>
  <c r="U6" i="1"/>
  <c r="W6" i="1" s="1"/>
  <c r="O6" i="1"/>
  <c r="Q6" i="1" s="1"/>
  <c r="E6" i="1"/>
  <c r="D6" i="1"/>
  <c r="K36" i="56"/>
  <c r="L36" i="56" s="1"/>
  <c r="J36" i="56"/>
  <c r="I36" i="56"/>
  <c r="H36" i="56"/>
  <c r="G36" i="56"/>
  <c r="E36" i="56"/>
  <c r="F36" i="56" s="1"/>
  <c r="C36" i="56"/>
  <c r="D36" i="56" s="1"/>
  <c r="B36" i="56"/>
  <c r="K35" i="56"/>
  <c r="L35" i="56" s="1"/>
  <c r="I35" i="56"/>
  <c r="J35" i="56" s="1"/>
  <c r="G35" i="56"/>
  <c r="H35" i="56" s="1"/>
  <c r="F35" i="56"/>
  <c r="E35" i="56"/>
  <c r="D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AB9" i="55"/>
  <c r="G10" i="40" s="1"/>
  <c r="R9" i="55"/>
  <c r="Q9" i="55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L10" i="40" s="1"/>
  <c r="AD8" i="55"/>
  <c r="J10" i="40" s="1"/>
  <c r="AC8" i="55"/>
  <c r="H10" i="40" s="1"/>
  <c r="AB8" i="55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Q7" i="55"/>
  <c r="R7" i="55" s="1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/>
  <c r="M14" i="50"/>
  <c r="K14" i="50"/>
  <c r="M13" i="50"/>
  <c r="M12" i="50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30" i="19" s="1"/>
  <c r="K30" i="19" s="1"/>
  <c r="M27" i="19"/>
  <c r="M26" i="19"/>
  <c r="M25" i="19"/>
  <c r="M21" i="19"/>
  <c r="M20" i="19"/>
  <c r="M19" i="19"/>
  <c r="M18" i="19"/>
  <c r="M17" i="19"/>
  <c r="M22" i="19" s="1"/>
  <c r="K22" i="19" s="1"/>
  <c r="M13" i="19"/>
  <c r="M12" i="19"/>
  <c r="M14" i="19" s="1"/>
  <c r="K14" i="19" s="1"/>
  <c r="M11" i="19"/>
  <c r="M10" i="19"/>
  <c r="M9" i="19"/>
  <c r="F10" i="40"/>
  <c r="C10" i="40"/>
  <c r="C9" i="40"/>
  <c r="AC113" i="49"/>
  <c r="AB113" i="49"/>
  <c r="X113" i="49"/>
  <c r="W113" i="49"/>
  <c r="R113" i="49"/>
  <c r="S113" i="49" s="1"/>
  <c r="AB112" i="49"/>
  <c r="AC112" i="49" s="1"/>
  <c r="W112" i="49"/>
  <c r="X112" i="49" s="1"/>
  <c r="R112" i="49"/>
  <c r="S112" i="49" s="1"/>
  <c r="AC111" i="49"/>
  <c r="AB111" i="49"/>
  <c r="W111" i="49"/>
  <c r="X111" i="49" s="1"/>
  <c r="R111" i="49"/>
  <c r="S111" i="49" s="1"/>
  <c r="AB110" i="49"/>
  <c r="AC110" i="49" s="1"/>
  <c r="W110" i="49"/>
  <c r="X110" i="49" s="1"/>
  <c r="R110" i="49"/>
  <c r="S110" i="49" s="1"/>
  <c r="AV109" i="49"/>
  <c r="AW109" i="49" s="1"/>
  <c r="AQ109" i="49"/>
  <c r="AR109" i="49" s="1"/>
  <c r="AL109" i="49"/>
  <c r="AM109" i="49" s="1"/>
  <c r="AG109" i="49"/>
  <c r="K109" i="49" s="1"/>
  <c r="M109" i="49" s="1"/>
  <c r="AC109" i="49"/>
  <c r="AB109" i="49"/>
  <c r="X109" i="49"/>
  <c r="W109" i="49"/>
  <c r="R109" i="49"/>
  <c r="S109" i="49" s="1"/>
  <c r="J109" i="49"/>
  <c r="I109" i="49"/>
  <c r="F109" i="49"/>
  <c r="G109" i="49" s="1"/>
  <c r="E109" i="49"/>
  <c r="AV108" i="49"/>
  <c r="AW108" i="49" s="1"/>
  <c r="AR108" i="49"/>
  <c r="AQ108" i="49"/>
  <c r="AM108" i="49"/>
  <c r="AL108" i="49"/>
  <c r="AG108" i="49"/>
  <c r="K108" i="49" s="1"/>
  <c r="M108" i="49" s="1"/>
  <c r="AB108" i="49"/>
  <c r="AC108" i="49" s="1"/>
  <c r="W108" i="49"/>
  <c r="X108" i="49" s="1"/>
  <c r="R108" i="49"/>
  <c r="S108" i="49" s="1"/>
  <c r="J108" i="49"/>
  <c r="I108" i="49"/>
  <c r="F108" i="49"/>
  <c r="G108" i="49" s="1"/>
  <c r="E108" i="49"/>
  <c r="AV107" i="49"/>
  <c r="AX107" i="49" s="1"/>
  <c r="AR107" i="49"/>
  <c r="AQ107" i="49"/>
  <c r="AS107" i="49" s="1"/>
  <c r="AN107" i="49"/>
  <c r="AM107" i="49"/>
  <c r="AL107" i="49"/>
  <c r="AG107" i="49"/>
  <c r="AB107" i="49"/>
  <c r="AD107" i="49" s="1"/>
  <c r="X107" i="49"/>
  <c r="W107" i="49"/>
  <c r="Y107" i="49" s="1"/>
  <c r="T107" i="49"/>
  <c r="S107" i="49"/>
  <c r="R107" i="49"/>
  <c r="J107" i="49"/>
  <c r="I107" i="49"/>
  <c r="F107" i="49"/>
  <c r="G107" i="49" s="1"/>
  <c r="E107" i="49"/>
  <c r="AV89" i="49"/>
  <c r="AQ89" i="49"/>
  <c r="AR89" i="49" s="1"/>
  <c r="AM89" i="49"/>
  <c r="AL89" i="49"/>
  <c r="AG89" i="49"/>
  <c r="AB89" i="49"/>
  <c r="W89" i="49"/>
  <c r="R89" i="49"/>
  <c r="J89" i="49"/>
  <c r="I89" i="49"/>
  <c r="F89" i="49"/>
  <c r="E89" i="49"/>
  <c r="AV88" i="49"/>
  <c r="AW88" i="49" s="1"/>
  <c r="AQ88" i="49"/>
  <c r="AL88" i="49"/>
  <c r="AG88" i="49"/>
  <c r="AB88" i="49"/>
  <c r="X88" i="49"/>
  <c r="W88" i="49"/>
  <c r="R88" i="49"/>
  <c r="J88" i="49"/>
  <c r="I88" i="49"/>
  <c r="F88" i="49"/>
  <c r="E88" i="49"/>
  <c r="AV87" i="49"/>
  <c r="AW87" i="49" s="1"/>
  <c r="AQ87" i="49"/>
  <c r="AL87" i="49"/>
  <c r="AG87" i="49"/>
  <c r="AI87" i="49" s="1"/>
  <c r="AB87" i="49"/>
  <c r="X87" i="49"/>
  <c r="W87" i="49"/>
  <c r="R87" i="49"/>
  <c r="J87" i="49"/>
  <c r="I87" i="49"/>
  <c r="F87" i="49"/>
  <c r="E87" i="49"/>
  <c r="AV69" i="49"/>
  <c r="AQ69" i="49"/>
  <c r="AR69" i="49" s="1"/>
  <c r="AM69" i="49"/>
  <c r="AL69" i="49"/>
  <c r="AG69" i="49"/>
  <c r="AB69" i="49"/>
  <c r="W69" i="49"/>
  <c r="X69" i="49" s="1"/>
  <c r="R69" i="49"/>
  <c r="S69" i="49" s="1"/>
  <c r="J69" i="49"/>
  <c r="I69" i="49"/>
  <c r="F69" i="49"/>
  <c r="E69" i="49"/>
  <c r="AV68" i="49"/>
  <c r="AW68" i="49" s="1"/>
  <c r="AQ68" i="49"/>
  <c r="AL68" i="49"/>
  <c r="AG68" i="49"/>
  <c r="AB68" i="49"/>
  <c r="W68" i="49"/>
  <c r="X68" i="49" s="1"/>
  <c r="R68" i="49"/>
  <c r="J68" i="49"/>
  <c r="I68" i="49"/>
  <c r="F68" i="49"/>
  <c r="E68" i="49"/>
  <c r="AV67" i="49"/>
  <c r="AQ67" i="49"/>
  <c r="AL67" i="49"/>
  <c r="AG67" i="49"/>
  <c r="AI67" i="49" s="1"/>
  <c r="AB67" i="49"/>
  <c r="X67" i="49"/>
  <c r="W67" i="49"/>
  <c r="R67" i="49"/>
  <c r="J67" i="49"/>
  <c r="I67" i="49"/>
  <c r="F67" i="49"/>
  <c r="E67" i="49"/>
  <c r="AV49" i="49"/>
  <c r="AQ49" i="49"/>
  <c r="AR49" i="49" s="1"/>
  <c r="AM49" i="49"/>
  <c r="AL49" i="49"/>
  <c r="AG49" i="49"/>
  <c r="AB49" i="49"/>
  <c r="W49" i="49"/>
  <c r="X49" i="49" s="1"/>
  <c r="R49" i="49"/>
  <c r="J49" i="49"/>
  <c r="I49" i="49"/>
  <c r="F49" i="49"/>
  <c r="E49" i="49"/>
  <c r="AV48" i="49"/>
  <c r="AW48" i="49" s="1"/>
  <c r="AQ48" i="49"/>
  <c r="AL48" i="49"/>
  <c r="AG48" i="49"/>
  <c r="AB48" i="49"/>
  <c r="W48" i="49"/>
  <c r="X48" i="49" s="1"/>
  <c r="R48" i="49"/>
  <c r="J48" i="49"/>
  <c r="I48" i="49"/>
  <c r="F48" i="49"/>
  <c r="E48" i="49"/>
  <c r="AW47" i="49"/>
  <c r="AV47" i="49"/>
  <c r="AQ47" i="49"/>
  <c r="AR47" i="49" s="1"/>
  <c r="AL47" i="49"/>
  <c r="AG47" i="49"/>
  <c r="AB47" i="49"/>
  <c r="X47" i="49"/>
  <c r="W47" i="49"/>
  <c r="R47" i="49"/>
  <c r="J47" i="49"/>
  <c r="I47" i="49"/>
  <c r="F47" i="49"/>
  <c r="E47" i="49"/>
  <c r="AV29" i="49"/>
  <c r="AQ29" i="49"/>
  <c r="AR29" i="49" s="1"/>
  <c r="AM29" i="49"/>
  <c r="AL29" i="49"/>
  <c r="AG29" i="49"/>
  <c r="AB29" i="49"/>
  <c r="W29" i="49"/>
  <c r="X29" i="49" s="1"/>
  <c r="R29" i="49"/>
  <c r="J29" i="49"/>
  <c r="I29" i="49"/>
  <c r="F29" i="49"/>
  <c r="E29" i="49"/>
  <c r="AV28" i="49"/>
  <c r="AQ28" i="49"/>
  <c r="AL28" i="49"/>
  <c r="AG28" i="49"/>
  <c r="AH28" i="49" s="1"/>
  <c r="AB28" i="49"/>
  <c r="W28" i="49"/>
  <c r="X28" i="49" s="1"/>
  <c r="R28" i="49"/>
  <c r="J28" i="49"/>
  <c r="I28" i="49"/>
  <c r="F28" i="49"/>
  <c r="E28" i="49"/>
  <c r="AV27" i="49"/>
  <c r="AX27" i="49" s="1"/>
  <c r="AQ27" i="49"/>
  <c r="AL27" i="49"/>
  <c r="AG27" i="49"/>
  <c r="AB27" i="49"/>
  <c r="X27" i="49"/>
  <c r="W27" i="49"/>
  <c r="R27" i="49"/>
  <c r="J27" i="49"/>
  <c r="I27" i="49"/>
  <c r="F27" i="49"/>
  <c r="E27" i="49"/>
  <c r="R13" i="49"/>
  <c r="S13" i="49" s="1"/>
  <c r="R12" i="49"/>
  <c r="S12" i="49" s="1"/>
  <c r="S11" i="49"/>
  <c r="R11" i="49"/>
  <c r="R10" i="49"/>
  <c r="S10" i="49" s="1"/>
  <c r="AV9" i="49"/>
  <c r="AQ9" i="49"/>
  <c r="AR9" i="49" s="1"/>
  <c r="AL9" i="49"/>
  <c r="AM9" i="49" s="1"/>
  <c r="AG9" i="49"/>
  <c r="AH9" i="49" s="1"/>
  <c r="AB9" i="49"/>
  <c r="AC9" i="49" s="1"/>
  <c r="W9" i="49"/>
  <c r="X9" i="49" s="1"/>
  <c r="S9" i="49"/>
  <c r="R9" i="49"/>
  <c r="K9" i="49"/>
  <c r="J9" i="49"/>
  <c r="I9" i="49"/>
  <c r="F9" i="49"/>
  <c r="E9" i="49"/>
  <c r="AV8" i="49"/>
  <c r="AQ8" i="49"/>
  <c r="AR8" i="49" s="1"/>
  <c r="AL8" i="49"/>
  <c r="AM8" i="49" s="1"/>
  <c r="AH8" i="49"/>
  <c r="AG8" i="49"/>
  <c r="AC8" i="49"/>
  <c r="AB8" i="49"/>
  <c r="X8" i="49"/>
  <c r="W8" i="49"/>
  <c r="S8" i="49"/>
  <c r="R8" i="49"/>
  <c r="K8" i="49"/>
  <c r="J8" i="49"/>
  <c r="I8" i="49"/>
  <c r="G8" i="49"/>
  <c r="F8" i="49"/>
  <c r="E8" i="49"/>
  <c r="AV7" i="49"/>
  <c r="AQ7" i="49"/>
  <c r="AR7" i="49" s="1"/>
  <c r="AL7" i="49"/>
  <c r="AM7" i="49" s="1"/>
  <c r="AG7" i="49"/>
  <c r="AC7" i="49"/>
  <c r="AB7" i="49"/>
  <c r="AD7" i="49" s="1"/>
  <c r="W7" i="49"/>
  <c r="R7" i="49"/>
  <c r="S7" i="49" s="1"/>
  <c r="J7" i="49"/>
  <c r="I7" i="49"/>
  <c r="G7" i="49"/>
  <c r="F7" i="49"/>
  <c r="E7" i="49"/>
  <c r="M100" i="36"/>
  <c r="M99" i="36"/>
  <c r="M97" i="36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M92" i="36"/>
  <c r="K92" i="36"/>
  <c r="J92" i="36"/>
  <c r="I92" i="36"/>
  <c r="M91" i="36"/>
  <c r="K91" i="36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L87" i="36" s="1"/>
  <c r="J87" i="36"/>
  <c r="I87" i="36"/>
  <c r="H87" i="36"/>
  <c r="M81" i="36"/>
  <c r="K80" i="36"/>
  <c r="M80" i="36" s="1"/>
  <c r="J80" i="36"/>
  <c r="I80" i="36"/>
  <c r="M79" i="36"/>
  <c r="K79" i="36"/>
  <c r="J79" i="36"/>
  <c r="I79" i="36"/>
  <c r="K78" i="36"/>
  <c r="M78" i="36" s="1"/>
  <c r="J78" i="36"/>
  <c r="I78" i="36"/>
  <c r="K77" i="36"/>
  <c r="M77" i="36" s="1"/>
  <c r="J77" i="36"/>
  <c r="I77" i="36"/>
  <c r="M76" i="36"/>
  <c r="K76" i="36"/>
  <c r="J76" i="36"/>
  <c r="I76" i="36"/>
  <c r="K75" i="36"/>
  <c r="M75" i="36" s="1"/>
  <c r="J75" i="36"/>
  <c r="I75" i="36"/>
  <c r="K74" i="36"/>
  <c r="M74" i="36" s="1"/>
  <c r="J74" i="36"/>
  <c r="I74" i="36"/>
  <c r="M73" i="36"/>
  <c r="K73" i="36"/>
  <c r="J73" i="36"/>
  <c r="I73" i="36"/>
  <c r="K72" i="36"/>
  <c r="M72" i="36" s="1"/>
  <c r="J72" i="36"/>
  <c r="I72" i="36"/>
  <c r="K71" i="36"/>
  <c r="M71" i="36" s="1"/>
  <c r="J71" i="36"/>
  <c r="I71" i="36"/>
  <c r="M70" i="36"/>
  <c r="K70" i="36"/>
  <c r="J70" i="36"/>
  <c r="I70" i="36"/>
  <c r="K69" i="36"/>
  <c r="M69" i="36" s="1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0" i="36"/>
  <c r="M59" i="36"/>
  <c r="M5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M52" i="36"/>
  <c r="K52" i="36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L47" i="36"/>
  <c r="K47" i="36"/>
  <c r="J47" i="36"/>
  <c r="I47" i="36"/>
  <c r="H47" i="36"/>
  <c r="M41" i="36"/>
  <c r="M40" i="36"/>
  <c r="M39" i="36"/>
  <c r="M38" i="36"/>
  <c r="M37" i="36"/>
  <c r="M36" i="36"/>
  <c r="K36" i="36"/>
  <c r="J36" i="36"/>
  <c r="I36" i="36"/>
  <c r="K35" i="36"/>
  <c r="M35" i="36" s="1"/>
  <c r="J35" i="36"/>
  <c r="I35" i="36"/>
  <c r="K34" i="36"/>
  <c r="M34" i="36" s="1"/>
  <c r="J34" i="36"/>
  <c r="I34" i="36"/>
  <c r="M33" i="36"/>
  <c r="K33" i="36"/>
  <c r="J33" i="36"/>
  <c r="I33" i="36"/>
  <c r="K32" i="36"/>
  <c r="M32" i="36" s="1"/>
  <c r="J32" i="36"/>
  <c r="I32" i="36"/>
  <c r="K31" i="36"/>
  <c r="M31" i="36" s="1"/>
  <c r="J31" i="36"/>
  <c r="I31" i="36"/>
  <c r="M30" i="36"/>
  <c r="K30" i="36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B136" i="48"/>
  <c r="AC136" i="48" s="1"/>
  <c r="W136" i="48"/>
  <c r="X136" i="48" s="1"/>
  <c r="AR135" i="48"/>
  <c r="AC135" i="48"/>
  <c r="AB135" i="48"/>
  <c r="W135" i="48"/>
  <c r="X135" i="48" s="1"/>
  <c r="S135" i="48"/>
  <c r="R135" i="48"/>
  <c r="K135" i="48" s="1"/>
  <c r="M135" i="48" s="1"/>
  <c r="J135" i="48"/>
  <c r="I135" i="48"/>
  <c r="AB134" i="48"/>
  <c r="AC134" i="48" s="1"/>
  <c r="X134" i="48"/>
  <c r="W134" i="48"/>
  <c r="R134" i="48"/>
  <c r="S134" i="48" s="1"/>
  <c r="K134" i="48"/>
  <c r="M134" i="48" s="1"/>
  <c r="J134" i="48"/>
  <c r="I134" i="48"/>
  <c r="AV133" i="48"/>
  <c r="AW133" i="48" s="1"/>
  <c r="AB133" i="48"/>
  <c r="AC133" i="48" s="1"/>
  <c r="W133" i="48"/>
  <c r="X133" i="48" s="1"/>
  <c r="S133" i="48"/>
  <c r="R133" i="48"/>
  <c r="K133" i="48" s="1"/>
  <c r="M133" i="48"/>
  <c r="J133" i="48"/>
  <c r="I133" i="48"/>
  <c r="AV132" i="48"/>
  <c r="AW132" i="48" s="1"/>
  <c r="AR132" i="48"/>
  <c r="AQ132" i="48"/>
  <c r="AL132" i="48"/>
  <c r="AM132" i="48" s="1"/>
  <c r="AH132" i="48"/>
  <c r="AG132" i="48"/>
  <c r="AC132" i="48"/>
  <c r="AB132" i="48"/>
  <c r="W132" i="48"/>
  <c r="X132" i="48" s="1"/>
  <c r="K132" i="48"/>
  <c r="M132" i="48" s="1"/>
  <c r="J132" i="48"/>
  <c r="I132" i="48"/>
  <c r="F132" i="48"/>
  <c r="G132" i="48" s="1"/>
  <c r="E132" i="48"/>
  <c r="AV131" i="48"/>
  <c r="AW131" i="48" s="1"/>
  <c r="AQ131" i="48"/>
  <c r="AR131" i="48" s="1"/>
  <c r="AM131" i="48"/>
  <c r="AL131" i="48"/>
  <c r="AG131" i="48"/>
  <c r="AH131" i="48" s="1"/>
  <c r="AC131" i="48"/>
  <c r="AB131" i="48"/>
  <c r="W131" i="48"/>
  <c r="X131" i="48" s="1"/>
  <c r="R131" i="48"/>
  <c r="S131" i="48" s="1"/>
  <c r="K131" i="48"/>
  <c r="M131" i="48" s="1"/>
  <c r="J131" i="48"/>
  <c r="I131" i="48"/>
  <c r="G131" i="48"/>
  <c r="F131" i="48"/>
  <c r="E131" i="48"/>
  <c r="AV130" i="48"/>
  <c r="AW130" i="48" s="1"/>
  <c r="AR130" i="48"/>
  <c r="AQ130" i="48"/>
  <c r="AM130" i="48"/>
  <c r="AL130" i="48"/>
  <c r="AG130" i="48"/>
  <c r="AH130" i="48" s="1"/>
  <c r="AB130" i="48"/>
  <c r="AC130" i="48" s="1"/>
  <c r="X130" i="48"/>
  <c r="W130" i="48"/>
  <c r="R130" i="48"/>
  <c r="J130" i="48"/>
  <c r="I130" i="48"/>
  <c r="F130" i="48"/>
  <c r="E130" i="48"/>
  <c r="AW129" i="48"/>
  <c r="AV129" i="48"/>
  <c r="AR129" i="48"/>
  <c r="AQ129" i="48"/>
  <c r="AL129" i="48"/>
  <c r="AM129" i="48" s="1"/>
  <c r="AG129" i="48"/>
  <c r="AH129" i="48" s="1"/>
  <c r="AB129" i="48"/>
  <c r="AC129" i="48" s="1"/>
  <c r="W129" i="48"/>
  <c r="X129" i="48" s="1"/>
  <c r="R129" i="48"/>
  <c r="K129" i="48" s="1"/>
  <c r="M129" i="48" s="1"/>
  <c r="J129" i="48"/>
  <c r="I129" i="48"/>
  <c r="F129" i="48"/>
  <c r="G129" i="48" s="1"/>
  <c r="E129" i="48"/>
  <c r="AV128" i="48"/>
  <c r="AW128" i="48" s="1"/>
  <c r="AQ128" i="48"/>
  <c r="AR128" i="48" s="1"/>
  <c r="AL128" i="48"/>
  <c r="AM128" i="48" s="1"/>
  <c r="AG128" i="48"/>
  <c r="AH128" i="48" s="1"/>
  <c r="AC128" i="48"/>
  <c r="AB128" i="48"/>
  <c r="X128" i="48"/>
  <c r="W128" i="48"/>
  <c r="K128" i="48"/>
  <c r="M128" i="48" s="1"/>
  <c r="J128" i="48"/>
  <c r="I128" i="48"/>
  <c r="F128" i="48"/>
  <c r="G128" i="48" s="1"/>
  <c r="E128" i="48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S127" i="48"/>
  <c r="R127" i="48"/>
  <c r="K127" i="48"/>
  <c r="M127" i="48" s="1"/>
  <c r="J127" i="48"/>
  <c r="I127" i="48"/>
  <c r="G127" i="48"/>
  <c r="F127" i="48"/>
  <c r="E127" i="48"/>
  <c r="AV126" i="48"/>
  <c r="AW126" i="48" s="1"/>
  <c r="AQ126" i="48"/>
  <c r="AR126" i="48" s="1"/>
  <c r="AM126" i="48"/>
  <c r="AL126" i="48"/>
  <c r="AH126" i="48"/>
  <c r="AG126" i="48"/>
  <c r="AB126" i="48"/>
  <c r="AC126" i="48" s="1"/>
  <c r="W126" i="48"/>
  <c r="X126" i="48" s="1"/>
  <c r="R126" i="48"/>
  <c r="S126" i="48" s="1"/>
  <c r="K126" i="48"/>
  <c r="M126" i="48" s="1"/>
  <c r="J126" i="48"/>
  <c r="I126" i="48"/>
  <c r="F126" i="48"/>
  <c r="G126" i="48" s="1"/>
  <c r="E126" i="48"/>
  <c r="AW125" i="48"/>
  <c r="AV125" i="48"/>
  <c r="AQ125" i="48"/>
  <c r="AR125" i="48" s="1"/>
  <c r="AL125" i="48"/>
  <c r="AM125" i="48" s="1"/>
  <c r="AG125" i="48"/>
  <c r="AH125" i="48" s="1"/>
  <c r="AB125" i="48"/>
  <c r="AC125" i="48" s="1"/>
  <c r="W125" i="48"/>
  <c r="X125" i="48" s="1"/>
  <c r="K125" i="48"/>
  <c r="M125" i="48" s="1"/>
  <c r="J125" i="48"/>
  <c r="I125" i="48"/>
  <c r="G125" i="48"/>
  <c r="F125" i="48"/>
  <c r="E125" i="48"/>
  <c r="AW124" i="48"/>
  <c r="AV124" i="48"/>
  <c r="AQ124" i="48"/>
  <c r="AR124" i="48" s="1"/>
  <c r="AL124" i="48"/>
  <c r="AM124" i="48" s="1"/>
  <c r="AH124" i="48"/>
  <c r="AG124" i="48"/>
  <c r="AB124" i="48"/>
  <c r="AC124" i="48" s="1"/>
  <c r="X124" i="48"/>
  <c r="W124" i="48"/>
  <c r="S124" i="48"/>
  <c r="R124" i="48"/>
  <c r="K124" i="48"/>
  <c r="M124" i="48" s="1"/>
  <c r="J124" i="48"/>
  <c r="I124" i="48"/>
  <c r="G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X123" i="48"/>
  <c r="W123" i="48"/>
  <c r="R123" i="48"/>
  <c r="S123" i="48" s="1"/>
  <c r="K123" i="48"/>
  <c r="M123" i="48" s="1"/>
  <c r="J123" i="48"/>
  <c r="I123" i="48"/>
  <c r="F123" i="48"/>
  <c r="G123" i="48" s="1"/>
  <c r="E123" i="48"/>
  <c r="AV122" i="48"/>
  <c r="AW122" i="48" s="1"/>
  <c r="AQ122" i="48"/>
  <c r="AR122" i="48" s="1"/>
  <c r="AL122" i="48"/>
  <c r="AM122" i="48" s="1"/>
  <c r="AH122" i="48"/>
  <c r="AG122" i="48"/>
  <c r="AB122" i="48"/>
  <c r="AC122" i="48" s="1"/>
  <c r="W122" i="48"/>
  <c r="X122" i="48" s="1"/>
  <c r="R122" i="48"/>
  <c r="K122" i="48" s="1"/>
  <c r="M122" i="48" s="1"/>
  <c r="J122" i="48"/>
  <c r="I122" i="48"/>
  <c r="F122" i="48"/>
  <c r="E122" i="48"/>
  <c r="G122" i="48" s="1"/>
  <c r="AW121" i="48"/>
  <c r="AV121" i="48"/>
  <c r="AQ121" i="48"/>
  <c r="AR121" i="48" s="1"/>
  <c r="AM121" i="48"/>
  <c r="AL121" i="48"/>
  <c r="AG121" i="48"/>
  <c r="AH121" i="48" s="1"/>
  <c r="AC121" i="48"/>
  <c r="AB121" i="48"/>
  <c r="W121" i="48"/>
  <c r="X121" i="48" s="1"/>
  <c r="R121" i="48"/>
  <c r="K121" i="48" s="1"/>
  <c r="M121" i="48"/>
  <c r="J121" i="48"/>
  <c r="I121" i="48"/>
  <c r="F121" i="48"/>
  <c r="E121" i="48"/>
  <c r="AW120" i="48"/>
  <c r="AV120" i="48"/>
  <c r="AR120" i="48"/>
  <c r="AQ120" i="48"/>
  <c r="AL120" i="48"/>
  <c r="AM120" i="48" s="1"/>
  <c r="AH120" i="48"/>
  <c r="AG120" i="48"/>
  <c r="AC120" i="48"/>
  <c r="AB120" i="48"/>
  <c r="W120" i="48"/>
  <c r="X120" i="48" s="1"/>
  <c r="S120" i="48"/>
  <c r="R120" i="48"/>
  <c r="K120" i="48"/>
  <c r="M120" i="48" s="1"/>
  <c r="J120" i="48"/>
  <c r="I120" i="48"/>
  <c r="F120" i="48"/>
  <c r="G120" i="48" s="1"/>
  <c r="E120" i="48"/>
  <c r="AV119" i="48"/>
  <c r="AQ119" i="48"/>
  <c r="AR119" i="48" s="1"/>
  <c r="AL119" i="48"/>
  <c r="AN119" i="48" s="1"/>
  <c r="AI119" i="48"/>
  <c r="AH119" i="48"/>
  <c r="AG119" i="48"/>
  <c r="AD119" i="48"/>
  <c r="AB119" i="48"/>
  <c r="AC119" i="48" s="1"/>
  <c r="W119" i="48"/>
  <c r="X119" i="48" s="1"/>
  <c r="R119" i="48"/>
  <c r="M119" i="48"/>
  <c r="L119" i="48"/>
  <c r="K119" i="48"/>
  <c r="J119" i="48"/>
  <c r="I119" i="48"/>
  <c r="F119" i="48"/>
  <c r="E119" i="48"/>
  <c r="G119" i="48" s="1"/>
  <c r="AV111" i="48"/>
  <c r="AQ111" i="48"/>
  <c r="AL111" i="48"/>
  <c r="AG111" i="48"/>
  <c r="AB111" i="48"/>
  <c r="W111" i="48"/>
  <c r="S111" i="48"/>
  <c r="R111" i="48"/>
  <c r="J111" i="48"/>
  <c r="I111" i="48"/>
  <c r="F111" i="48"/>
  <c r="G111" i="48" s="1"/>
  <c r="E111" i="48"/>
  <c r="AV110" i="48"/>
  <c r="AQ110" i="48"/>
  <c r="AL110" i="48"/>
  <c r="AM110" i="48" s="1"/>
  <c r="AG110" i="48"/>
  <c r="AB110" i="48"/>
  <c r="AC110" i="48" s="1"/>
  <c r="W110" i="48"/>
  <c r="R110" i="48"/>
  <c r="J110" i="48"/>
  <c r="I110" i="48"/>
  <c r="G110" i="48"/>
  <c r="F110" i="48"/>
  <c r="E110" i="48"/>
  <c r="AV109" i="48"/>
  <c r="AW109" i="48" s="1"/>
  <c r="AQ109" i="48"/>
  <c r="AL109" i="48"/>
  <c r="AG109" i="48"/>
  <c r="AH109" i="48" s="1"/>
  <c r="AB109" i="48"/>
  <c r="W109" i="48"/>
  <c r="R109" i="48"/>
  <c r="K109" i="48"/>
  <c r="J109" i="48"/>
  <c r="I109" i="48"/>
  <c r="F109" i="48"/>
  <c r="G109" i="48" s="1"/>
  <c r="E109" i="48"/>
  <c r="AV108" i="48"/>
  <c r="AW108" i="48" s="1"/>
  <c r="AQ108" i="48"/>
  <c r="AL108" i="48"/>
  <c r="AG108" i="48"/>
  <c r="AB108" i="48"/>
  <c r="W108" i="48"/>
  <c r="X108" i="48" s="1"/>
  <c r="R108" i="48"/>
  <c r="K108" i="48" s="1"/>
  <c r="J108" i="48"/>
  <c r="I108" i="48"/>
  <c r="G108" i="48"/>
  <c r="F108" i="48"/>
  <c r="E108" i="48"/>
  <c r="AV107" i="48"/>
  <c r="AW107" i="48" s="1"/>
  <c r="AQ107" i="48"/>
  <c r="AR107" i="48" s="1"/>
  <c r="AL107" i="48"/>
  <c r="AM107" i="48" s="1"/>
  <c r="AG107" i="48"/>
  <c r="AB107" i="48"/>
  <c r="W107" i="48"/>
  <c r="R107" i="48"/>
  <c r="K107" i="48"/>
  <c r="J107" i="48"/>
  <c r="I107" i="48"/>
  <c r="F107" i="48"/>
  <c r="G107" i="48" s="1"/>
  <c r="E107" i="48"/>
  <c r="AV106" i="48"/>
  <c r="AQ106" i="48"/>
  <c r="AL106" i="48"/>
  <c r="AG106" i="48"/>
  <c r="AB106" i="48"/>
  <c r="AC106" i="48" s="1"/>
  <c r="W106" i="48"/>
  <c r="K106" i="48" s="1"/>
  <c r="R106" i="48"/>
  <c r="J106" i="48"/>
  <c r="I106" i="48"/>
  <c r="F106" i="48"/>
  <c r="G106" i="48" s="1"/>
  <c r="E106" i="48"/>
  <c r="AV105" i="48"/>
  <c r="AW105" i="48" s="1"/>
  <c r="AQ105" i="48"/>
  <c r="AR105" i="48" s="1"/>
  <c r="AL105" i="48"/>
  <c r="AG105" i="48"/>
  <c r="AB105" i="48"/>
  <c r="AC105" i="48" s="1"/>
  <c r="W105" i="48"/>
  <c r="R105" i="48"/>
  <c r="J105" i="48"/>
  <c r="I105" i="48"/>
  <c r="F105" i="48"/>
  <c r="G105" i="48" s="1"/>
  <c r="E105" i="48"/>
  <c r="AV104" i="48"/>
  <c r="AW104" i="48" s="1"/>
  <c r="AQ104" i="48"/>
  <c r="AL104" i="48"/>
  <c r="AM104" i="48" s="1"/>
  <c r="AG104" i="48"/>
  <c r="AB104" i="48"/>
  <c r="W104" i="48"/>
  <c r="R104" i="48"/>
  <c r="J104" i="48"/>
  <c r="I104" i="48"/>
  <c r="F104" i="48"/>
  <c r="E104" i="48"/>
  <c r="G104" i="48" s="1"/>
  <c r="AV103" i="48"/>
  <c r="AW103" i="48" s="1"/>
  <c r="AQ103" i="48"/>
  <c r="AL103" i="48"/>
  <c r="AG103" i="48"/>
  <c r="AB103" i="48"/>
  <c r="W103" i="48"/>
  <c r="R103" i="48"/>
  <c r="K103" i="48"/>
  <c r="J103" i="48"/>
  <c r="I103" i="48"/>
  <c r="F103" i="48"/>
  <c r="G103" i="48" s="1"/>
  <c r="E103" i="48"/>
  <c r="AV102" i="48"/>
  <c r="AQ102" i="48"/>
  <c r="AR102" i="48" s="1"/>
  <c r="AL102" i="48"/>
  <c r="AG102" i="48"/>
  <c r="AH102" i="48" s="1"/>
  <c r="AB102" i="48"/>
  <c r="K102" i="48" s="1"/>
  <c r="W102" i="48"/>
  <c r="R102" i="48"/>
  <c r="J102" i="48"/>
  <c r="I102" i="48"/>
  <c r="F102" i="48"/>
  <c r="E102" i="48"/>
  <c r="AV101" i="48"/>
  <c r="AQ101" i="48"/>
  <c r="AL101" i="48"/>
  <c r="AG101" i="48"/>
  <c r="AH101" i="48" s="1"/>
  <c r="AB101" i="48"/>
  <c r="W101" i="48"/>
  <c r="R101" i="48"/>
  <c r="J101" i="48"/>
  <c r="I101" i="48"/>
  <c r="F101" i="48"/>
  <c r="G101" i="48" s="1"/>
  <c r="E101" i="48"/>
  <c r="AV100" i="48"/>
  <c r="AQ100" i="48"/>
  <c r="AL100" i="48"/>
  <c r="AG100" i="48"/>
  <c r="AB100" i="48"/>
  <c r="W100" i="48"/>
  <c r="R100" i="48"/>
  <c r="K100" i="48"/>
  <c r="J100" i="48"/>
  <c r="I100" i="48"/>
  <c r="G100" i="48"/>
  <c r="F100" i="48"/>
  <c r="E100" i="48"/>
  <c r="AV99" i="48"/>
  <c r="AQ99" i="48"/>
  <c r="AL99" i="48"/>
  <c r="AM99" i="48" s="1"/>
  <c r="AG99" i="48"/>
  <c r="AH99" i="48" s="1"/>
  <c r="AC99" i="48"/>
  <c r="AB99" i="48"/>
  <c r="W99" i="48"/>
  <c r="R99" i="48"/>
  <c r="J99" i="48"/>
  <c r="I99" i="48"/>
  <c r="F99" i="48"/>
  <c r="E99" i="48"/>
  <c r="AW98" i="48"/>
  <c r="AV98" i="48"/>
  <c r="AQ98" i="48"/>
  <c r="AS96" i="48" s="1"/>
  <c r="AM98" i="48"/>
  <c r="AL98" i="48"/>
  <c r="AG98" i="48"/>
  <c r="AB98" i="48"/>
  <c r="W98" i="48"/>
  <c r="R98" i="48"/>
  <c r="J98" i="48"/>
  <c r="I98" i="48"/>
  <c r="F98" i="48"/>
  <c r="E98" i="48"/>
  <c r="AV97" i="48"/>
  <c r="AQ97" i="48"/>
  <c r="AL97" i="48"/>
  <c r="AG97" i="48"/>
  <c r="AH97" i="48" s="1"/>
  <c r="AB97" i="48"/>
  <c r="W97" i="48"/>
  <c r="R97" i="48"/>
  <c r="J97" i="48"/>
  <c r="I97" i="48"/>
  <c r="F97" i="48"/>
  <c r="G97" i="48" s="1"/>
  <c r="E97" i="48"/>
  <c r="AV96" i="48"/>
  <c r="AQ96" i="48"/>
  <c r="AL96" i="48"/>
  <c r="AG96" i="48"/>
  <c r="AB96" i="48"/>
  <c r="W96" i="48"/>
  <c r="R96" i="48"/>
  <c r="K96" i="48"/>
  <c r="J96" i="48"/>
  <c r="I96" i="48"/>
  <c r="F96" i="48"/>
  <c r="E96" i="48"/>
  <c r="AV88" i="48"/>
  <c r="AQ88" i="48"/>
  <c r="AL88" i="48"/>
  <c r="AG88" i="48"/>
  <c r="AB88" i="48"/>
  <c r="W88" i="48"/>
  <c r="R88" i="48"/>
  <c r="J88" i="48"/>
  <c r="I88" i="48"/>
  <c r="F88" i="48"/>
  <c r="E88" i="48"/>
  <c r="AV87" i="48"/>
  <c r="AQ87" i="48"/>
  <c r="AR87" i="48" s="1"/>
  <c r="AL87" i="48"/>
  <c r="AH87" i="48"/>
  <c r="AG87" i="48"/>
  <c r="AB87" i="48"/>
  <c r="W87" i="48"/>
  <c r="R87" i="48"/>
  <c r="J87" i="48"/>
  <c r="I87" i="48"/>
  <c r="F87" i="48"/>
  <c r="G87" i="48" s="1"/>
  <c r="E87" i="48"/>
  <c r="AV86" i="48"/>
  <c r="AQ86" i="48"/>
  <c r="AL86" i="48"/>
  <c r="AG86" i="48"/>
  <c r="AB86" i="48"/>
  <c r="W86" i="48"/>
  <c r="K86" i="48" s="1"/>
  <c r="R86" i="48"/>
  <c r="J86" i="48"/>
  <c r="I86" i="48"/>
  <c r="F86" i="48"/>
  <c r="E86" i="48"/>
  <c r="G86" i="48" s="1"/>
  <c r="AV85" i="48"/>
  <c r="AW85" i="48" s="1"/>
  <c r="AQ85" i="48"/>
  <c r="AL85" i="48"/>
  <c r="AG85" i="48"/>
  <c r="AB85" i="48"/>
  <c r="W85" i="48"/>
  <c r="R85" i="48"/>
  <c r="S85" i="48" s="1"/>
  <c r="K85" i="48"/>
  <c r="J85" i="48"/>
  <c r="I85" i="48"/>
  <c r="F85" i="48"/>
  <c r="G85" i="48" s="1"/>
  <c r="E85" i="48"/>
  <c r="AV84" i="48"/>
  <c r="AQ84" i="48"/>
  <c r="AR84" i="48" s="1"/>
  <c r="AL84" i="48"/>
  <c r="AM84" i="48" s="1"/>
  <c r="AG84" i="48"/>
  <c r="K84" i="48" s="1"/>
  <c r="AB84" i="48"/>
  <c r="W84" i="48"/>
  <c r="R84" i="48"/>
  <c r="J84" i="48"/>
  <c r="I84" i="48"/>
  <c r="F84" i="48"/>
  <c r="G84" i="48" s="1"/>
  <c r="E84" i="48"/>
  <c r="AV83" i="48"/>
  <c r="AW83" i="48" s="1"/>
  <c r="AQ83" i="48"/>
  <c r="AL83" i="48"/>
  <c r="AG83" i="48"/>
  <c r="AB83" i="48"/>
  <c r="AC83" i="48" s="1"/>
  <c r="W83" i="48"/>
  <c r="R83" i="48"/>
  <c r="J83" i="48"/>
  <c r="I83" i="48"/>
  <c r="F83" i="48"/>
  <c r="G83" i="48" s="1"/>
  <c r="E83" i="48"/>
  <c r="AV82" i="48"/>
  <c r="AQ82" i="48"/>
  <c r="AL82" i="48"/>
  <c r="AM82" i="48" s="1"/>
  <c r="AG82" i="48"/>
  <c r="AH82" i="48" s="1"/>
  <c r="AB82" i="48"/>
  <c r="W82" i="48"/>
  <c r="R82" i="48"/>
  <c r="J82" i="48"/>
  <c r="I82" i="48"/>
  <c r="F82" i="48"/>
  <c r="E82" i="48"/>
  <c r="AV81" i="48"/>
  <c r="AQ81" i="48"/>
  <c r="AL81" i="48"/>
  <c r="AM81" i="48" s="1"/>
  <c r="AG81" i="48"/>
  <c r="AH81" i="48" s="1"/>
  <c r="AB81" i="48"/>
  <c r="W81" i="48"/>
  <c r="R81" i="48"/>
  <c r="J81" i="48"/>
  <c r="I81" i="48"/>
  <c r="F81" i="48"/>
  <c r="G81" i="48" s="1"/>
  <c r="E81" i="48"/>
  <c r="AV80" i="48"/>
  <c r="AW80" i="48" s="1"/>
  <c r="AR80" i="48"/>
  <c r="AQ80" i="48"/>
  <c r="AL80" i="48"/>
  <c r="AG80" i="48"/>
  <c r="AB80" i="48"/>
  <c r="W80" i="48"/>
  <c r="X80" i="48" s="1"/>
  <c r="R80" i="48"/>
  <c r="J80" i="48"/>
  <c r="I80" i="48"/>
  <c r="G80" i="48"/>
  <c r="F80" i="48"/>
  <c r="E80" i="48"/>
  <c r="AV79" i="48"/>
  <c r="AQ79" i="48"/>
  <c r="AL79" i="48"/>
  <c r="AM79" i="48" s="1"/>
  <c r="AG79" i="48"/>
  <c r="AH79" i="48" s="1"/>
  <c r="AB79" i="48"/>
  <c r="AC84" i="48" s="1"/>
  <c r="W79" i="48"/>
  <c r="R79" i="48"/>
  <c r="J79" i="48"/>
  <c r="I79" i="48"/>
  <c r="F79" i="48"/>
  <c r="G79" i="48" s="1"/>
  <c r="E79" i="48"/>
  <c r="AV78" i="48"/>
  <c r="AW78" i="48" s="1"/>
  <c r="AQ78" i="48"/>
  <c r="AL78" i="48"/>
  <c r="AG78" i="48"/>
  <c r="AB78" i="48"/>
  <c r="AC78" i="48" s="1"/>
  <c r="W78" i="48"/>
  <c r="R78" i="48"/>
  <c r="J78" i="48"/>
  <c r="I78" i="48"/>
  <c r="F78" i="48"/>
  <c r="E78" i="48"/>
  <c r="AV77" i="48"/>
  <c r="AQ77" i="48"/>
  <c r="AL77" i="48"/>
  <c r="AH77" i="48"/>
  <c r="AG77" i="48"/>
  <c r="AB77" i="48"/>
  <c r="W77" i="48"/>
  <c r="R77" i="48"/>
  <c r="J77" i="48"/>
  <c r="I77" i="48"/>
  <c r="G77" i="48"/>
  <c r="F77" i="48"/>
  <c r="E77" i="48"/>
  <c r="AV76" i="48"/>
  <c r="AQ76" i="48"/>
  <c r="AR76" i="48" s="1"/>
  <c r="AM76" i="48"/>
  <c r="AL76" i="48"/>
  <c r="AG76" i="48"/>
  <c r="AB76" i="48"/>
  <c r="W76" i="48"/>
  <c r="R76" i="48"/>
  <c r="J76" i="48"/>
  <c r="I76" i="48"/>
  <c r="F76" i="48"/>
  <c r="G76" i="48" s="1"/>
  <c r="E76" i="48"/>
  <c r="AW75" i="48"/>
  <c r="AV75" i="48"/>
  <c r="AQ75" i="48"/>
  <c r="AL75" i="48"/>
  <c r="AG75" i="48"/>
  <c r="AB75" i="48"/>
  <c r="W75" i="48"/>
  <c r="X75" i="48" s="1"/>
  <c r="R75" i="48"/>
  <c r="K75" i="48" s="1"/>
  <c r="J75" i="48"/>
  <c r="I75" i="48"/>
  <c r="F75" i="48"/>
  <c r="E75" i="48"/>
  <c r="AV74" i="48"/>
  <c r="AQ74" i="48"/>
  <c r="AR74" i="48" s="1"/>
  <c r="AL74" i="48"/>
  <c r="AM74" i="48" s="1"/>
  <c r="AG74" i="48"/>
  <c r="AB74" i="48"/>
  <c r="AC74" i="48" s="1"/>
  <c r="W74" i="48"/>
  <c r="R74" i="48"/>
  <c r="S74" i="48" s="1"/>
  <c r="J74" i="48"/>
  <c r="I74" i="48"/>
  <c r="F74" i="48"/>
  <c r="E74" i="48"/>
  <c r="AV73" i="48"/>
  <c r="AQ73" i="48"/>
  <c r="AL73" i="48"/>
  <c r="AG73" i="48"/>
  <c r="AD73" i="48"/>
  <c r="AB73" i="48"/>
  <c r="AC73" i="48" s="1"/>
  <c r="W73" i="48"/>
  <c r="R73" i="48"/>
  <c r="J73" i="48"/>
  <c r="I73" i="48"/>
  <c r="F73" i="48"/>
  <c r="G73" i="48" s="1"/>
  <c r="E73" i="48"/>
  <c r="AV66" i="48"/>
  <c r="AW66" i="48" s="1"/>
  <c r="AQ66" i="48"/>
  <c r="AL66" i="48"/>
  <c r="AM66" i="48" s="1"/>
  <c r="AG66" i="48"/>
  <c r="AB66" i="48"/>
  <c r="W66" i="48"/>
  <c r="R66" i="48"/>
  <c r="J66" i="48"/>
  <c r="I66" i="48"/>
  <c r="F66" i="48"/>
  <c r="G66" i="48" s="1"/>
  <c r="E66" i="48"/>
  <c r="AV65" i="48"/>
  <c r="AQ65" i="48"/>
  <c r="AL65" i="48"/>
  <c r="AG65" i="48"/>
  <c r="AB65" i="48"/>
  <c r="AC65" i="48" s="1"/>
  <c r="W65" i="48"/>
  <c r="K65" i="48" s="1"/>
  <c r="R65" i="48"/>
  <c r="J65" i="48"/>
  <c r="I65" i="48"/>
  <c r="F65" i="48"/>
  <c r="E65" i="48"/>
  <c r="AV64" i="48"/>
  <c r="AQ64" i="48"/>
  <c r="AL64" i="48"/>
  <c r="AG64" i="48"/>
  <c r="AB64" i="48"/>
  <c r="W64" i="48"/>
  <c r="K64" i="48" s="1"/>
  <c r="R64" i="48"/>
  <c r="S64" i="48" s="1"/>
  <c r="J64" i="48"/>
  <c r="I64" i="48"/>
  <c r="F64" i="48"/>
  <c r="G64" i="48" s="1"/>
  <c r="E64" i="48"/>
  <c r="AV63" i="48"/>
  <c r="AQ63" i="48"/>
  <c r="K63" i="48" s="1"/>
  <c r="AL63" i="48"/>
  <c r="AG63" i="48"/>
  <c r="AB63" i="48"/>
  <c r="W63" i="48"/>
  <c r="R63" i="48"/>
  <c r="J63" i="48"/>
  <c r="I63" i="48"/>
  <c r="G63" i="48"/>
  <c r="F63" i="48"/>
  <c r="E63" i="48"/>
  <c r="AV62" i="48"/>
  <c r="AQ62" i="48"/>
  <c r="AL62" i="48"/>
  <c r="AM62" i="48" s="1"/>
  <c r="AG62" i="48"/>
  <c r="AH62" i="48" s="1"/>
  <c r="AB62" i="48"/>
  <c r="AC62" i="48" s="1"/>
  <c r="W62" i="48"/>
  <c r="X62" i="48" s="1"/>
  <c r="R62" i="48"/>
  <c r="J62" i="48"/>
  <c r="I62" i="48"/>
  <c r="F62" i="48"/>
  <c r="E62" i="48"/>
  <c r="AV61" i="48"/>
  <c r="AW61" i="48" s="1"/>
  <c r="AR61" i="48"/>
  <c r="AQ61" i="48"/>
  <c r="AL61" i="48"/>
  <c r="AG61" i="48"/>
  <c r="AB61" i="48"/>
  <c r="W61" i="48"/>
  <c r="R61" i="48"/>
  <c r="S61" i="48" s="1"/>
  <c r="J61" i="48"/>
  <c r="I61" i="48"/>
  <c r="F61" i="48"/>
  <c r="E61" i="48"/>
  <c r="AV60" i="48"/>
  <c r="AQ60" i="48"/>
  <c r="AL60" i="48"/>
  <c r="AG60" i="48"/>
  <c r="K60" i="48" s="1"/>
  <c r="AC60" i="48"/>
  <c r="AB60" i="48"/>
  <c r="W60" i="48"/>
  <c r="R60" i="48"/>
  <c r="S60" i="48" s="1"/>
  <c r="J60" i="48"/>
  <c r="I60" i="48"/>
  <c r="F60" i="48"/>
  <c r="E60" i="48"/>
  <c r="AV59" i="48"/>
  <c r="AQ59" i="48"/>
  <c r="AL59" i="48"/>
  <c r="AG59" i="48"/>
  <c r="AH59" i="48" s="1"/>
  <c r="AB59" i="48"/>
  <c r="AC59" i="48" s="1"/>
  <c r="W59" i="48"/>
  <c r="R59" i="48"/>
  <c r="J59" i="48"/>
  <c r="I59" i="48"/>
  <c r="F59" i="48"/>
  <c r="E59" i="48"/>
  <c r="AV58" i="48"/>
  <c r="AW58" i="48" s="1"/>
  <c r="AQ58" i="48"/>
  <c r="AL58" i="48"/>
  <c r="AG58" i="48"/>
  <c r="AB58" i="48"/>
  <c r="AC58" i="48" s="1"/>
  <c r="W58" i="48"/>
  <c r="X58" i="48" s="1"/>
  <c r="R58" i="48"/>
  <c r="J58" i="48"/>
  <c r="I58" i="48"/>
  <c r="G58" i="48"/>
  <c r="F58" i="48"/>
  <c r="E58" i="48"/>
  <c r="AV57" i="48"/>
  <c r="AQ57" i="48"/>
  <c r="AR56" i="48" s="1"/>
  <c r="AM57" i="48"/>
  <c r="AL57" i="48"/>
  <c r="AG57" i="48"/>
  <c r="AB57" i="48"/>
  <c r="W57" i="48"/>
  <c r="R57" i="48"/>
  <c r="J57" i="48"/>
  <c r="I57" i="48"/>
  <c r="F57" i="48"/>
  <c r="E57" i="48"/>
  <c r="AV56" i="48"/>
  <c r="AW62" i="48" s="1"/>
  <c r="AQ56" i="48"/>
  <c r="AL56" i="48"/>
  <c r="AG56" i="48"/>
  <c r="AB56" i="48"/>
  <c r="W56" i="48"/>
  <c r="R56" i="48"/>
  <c r="J56" i="48"/>
  <c r="I56" i="48"/>
  <c r="F56" i="48"/>
  <c r="G56" i="48" s="1"/>
  <c r="E56" i="48"/>
  <c r="AV55" i="48"/>
  <c r="AQ55" i="48"/>
  <c r="AL55" i="48"/>
  <c r="AG55" i="48"/>
  <c r="AB55" i="48"/>
  <c r="AC55" i="48" s="1"/>
  <c r="W55" i="48"/>
  <c r="R55" i="48"/>
  <c r="J55" i="48"/>
  <c r="I55" i="48"/>
  <c r="F55" i="48"/>
  <c r="G55" i="48" s="1"/>
  <c r="E55" i="48"/>
  <c r="AV54" i="48"/>
  <c r="AQ54" i="48"/>
  <c r="AL54" i="48"/>
  <c r="AM61" i="48" s="1"/>
  <c r="AG54" i="48"/>
  <c r="AH54" i="48" s="1"/>
  <c r="AB54" i="48"/>
  <c r="AC54" i="48" s="1"/>
  <c r="W54" i="48"/>
  <c r="R54" i="48"/>
  <c r="J54" i="48"/>
  <c r="I54" i="48"/>
  <c r="F54" i="48"/>
  <c r="G54" i="48" s="1"/>
  <c r="E54" i="48"/>
  <c r="AV53" i="48"/>
  <c r="AQ53" i="48"/>
  <c r="AL53" i="48"/>
  <c r="AG53" i="48"/>
  <c r="AD53" i="48"/>
  <c r="AC53" i="48"/>
  <c r="AB53" i="48"/>
  <c r="W53" i="48"/>
  <c r="R53" i="48"/>
  <c r="J53" i="48"/>
  <c r="I53" i="48"/>
  <c r="F53" i="48"/>
  <c r="G53" i="48" s="1"/>
  <c r="E53" i="48"/>
  <c r="AV42" i="48"/>
  <c r="AQ42" i="48"/>
  <c r="AL42" i="48"/>
  <c r="AG42" i="48"/>
  <c r="AB42" i="48"/>
  <c r="W42" i="48"/>
  <c r="K42" i="48" s="1"/>
  <c r="R42" i="48"/>
  <c r="J42" i="48"/>
  <c r="I42" i="48"/>
  <c r="F42" i="48"/>
  <c r="G42" i="48" s="1"/>
  <c r="E42" i="48"/>
  <c r="AV41" i="48"/>
  <c r="AQ41" i="48"/>
  <c r="AL41" i="48"/>
  <c r="AG41" i="48"/>
  <c r="AB41" i="48"/>
  <c r="AC41" i="48" s="1"/>
  <c r="W41" i="48"/>
  <c r="X41" i="48" s="1"/>
  <c r="R41" i="48"/>
  <c r="J41" i="48"/>
  <c r="I41" i="48"/>
  <c r="F41" i="48"/>
  <c r="G41" i="48" s="1"/>
  <c r="E41" i="48"/>
  <c r="AV40" i="48"/>
  <c r="AW40" i="48" s="1"/>
  <c r="AQ40" i="48"/>
  <c r="AR40" i="48" s="1"/>
  <c r="AL40" i="48"/>
  <c r="K40" i="48" s="1"/>
  <c r="AG40" i="48"/>
  <c r="AB40" i="48"/>
  <c r="W40" i="48"/>
  <c r="R40" i="48"/>
  <c r="J40" i="48"/>
  <c r="I40" i="48"/>
  <c r="F40" i="48"/>
  <c r="E40" i="48"/>
  <c r="AV39" i="48"/>
  <c r="AQ39" i="48"/>
  <c r="AL39" i="48"/>
  <c r="AG39" i="48"/>
  <c r="AH39" i="48" s="1"/>
  <c r="AC39" i="48"/>
  <c r="AB39" i="48"/>
  <c r="W39" i="48"/>
  <c r="K39" i="48" s="1"/>
  <c r="R39" i="48"/>
  <c r="J39" i="48"/>
  <c r="I39" i="48"/>
  <c r="F39" i="48"/>
  <c r="G39" i="48" s="1"/>
  <c r="E39" i="48"/>
  <c r="AV38" i="48"/>
  <c r="AQ38" i="48"/>
  <c r="AR34" i="48" s="1"/>
  <c r="AL38" i="48"/>
  <c r="AG38" i="48"/>
  <c r="AB38" i="48"/>
  <c r="W38" i="48"/>
  <c r="R38" i="48"/>
  <c r="J38" i="48"/>
  <c r="I38" i="48"/>
  <c r="F38" i="48"/>
  <c r="G38" i="48" s="1"/>
  <c r="E38" i="48"/>
  <c r="AV37" i="48"/>
  <c r="AQ37" i="48"/>
  <c r="AL37" i="48"/>
  <c r="AG37" i="48"/>
  <c r="AB37" i="48"/>
  <c r="W37" i="48"/>
  <c r="R37" i="48"/>
  <c r="J37" i="48"/>
  <c r="I37" i="48"/>
  <c r="G37" i="48"/>
  <c r="F37" i="48"/>
  <c r="E37" i="48"/>
  <c r="AV36" i="48"/>
  <c r="AQ36" i="48"/>
  <c r="AL36" i="48"/>
  <c r="AG36" i="48"/>
  <c r="AB36" i="48"/>
  <c r="AC36" i="48" s="1"/>
  <c r="W36" i="48"/>
  <c r="Y30" i="48" s="1"/>
  <c r="R36" i="48"/>
  <c r="K36" i="48" s="1"/>
  <c r="J36" i="48"/>
  <c r="I36" i="48"/>
  <c r="F36" i="48"/>
  <c r="E36" i="48"/>
  <c r="AV35" i="48"/>
  <c r="AQ35" i="48"/>
  <c r="AR35" i="48" s="1"/>
  <c r="AL35" i="48"/>
  <c r="K35" i="48" s="1"/>
  <c r="AG35" i="48"/>
  <c r="AH35" i="48" s="1"/>
  <c r="AB35" i="48"/>
  <c r="W35" i="48"/>
  <c r="X35" i="48" s="1"/>
  <c r="R35" i="48"/>
  <c r="J35" i="48"/>
  <c r="I35" i="48"/>
  <c r="F35" i="48"/>
  <c r="G35" i="48" s="1"/>
  <c r="E35" i="48"/>
  <c r="AV34" i="48"/>
  <c r="AQ34" i="48"/>
  <c r="AL34" i="48"/>
  <c r="AM34" i="48" s="1"/>
  <c r="AG34" i="48"/>
  <c r="AH34" i="48" s="1"/>
  <c r="AC34" i="48"/>
  <c r="AB34" i="48"/>
  <c r="W34" i="48"/>
  <c r="R34" i="48"/>
  <c r="K34" i="48"/>
  <c r="J34" i="48"/>
  <c r="I34" i="48"/>
  <c r="F34" i="48"/>
  <c r="G34" i="48" s="1"/>
  <c r="E34" i="48"/>
  <c r="AV33" i="48"/>
  <c r="AQ33" i="48"/>
  <c r="AL33" i="48"/>
  <c r="AM33" i="48" s="1"/>
  <c r="AH33" i="48"/>
  <c r="AG33" i="48"/>
  <c r="AB33" i="48"/>
  <c r="W33" i="48"/>
  <c r="R33" i="48"/>
  <c r="J33" i="48"/>
  <c r="I33" i="48"/>
  <c r="F33" i="48"/>
  <c r="E33" i="48"/>
  <c r="AV32" i="48"/>
  <c r="AW39" i="48" s="1"/>
  <c r="AQ32" i="48"/>
  <c r="AL32" i="48"/>
  <c r="AG32" i="48"/>
  <c r="AB32" i="48"/>
  <c r="W32" i="48"/>
  <c r="R32" i="48"/>
  <c r="J32" i="48"/>
  <c r="I32" i="48"/>
  <c r="F32" i="48"/>
  <c r="G32" i="48" s="1"/>
  <c r="E32" i="48"/>
  <c r="AV31" i="48"/>
  <c r="AQ31" i="48"/>
  <c r="AL31" i="48"/>
  <c r="AG31" i="48"/>
  <c r="AH31" i="48" s="1"/>
  <c r="AB31" i="48"/>
  <c r="W31" i="48"/>
  <c r="R31" i="48"/>
  <c r="K31" i="48"/>
  <c r="J31" i="48"/>
  <c r="I31" i="48"/>
  <c r="F31" i="48"/>
  <c r="G31" i="48" s="1"/>
  <c r="E31" i="48"/>
  <c r="AV30" i="48"/>
  <c r="AQ30" i="48"/>
  <c r="AL30" i="48"/>
  <c r="AN30" i="48" s="1"/>
  <c r="AI30" i="48"/>
  <c r="AH30" i="48"/>
  <c r="AG30" i="48"/>
  <c r="AB30" i="48"/>
  <c r="W30" i="48"/>
  <c r="R30" i="48"/>
  <c r="J30" i="48"/>
  <c r="I30" i="48"/>
  <c r="G30" i="48"/>
  <c r="F30" i="48"/>
  <c r="E30" i="48"/>
  <c r="R24" i="48"/>
  <c r="S24" i="48" s="1"/>
  <c r="R23" i="48"/>
  <c r="S23" i="48" s="1"/>
  <c r="R22" i="48"/>
  <c r="S22" i="48" s="1"/>
  <c r="R21" i="48"/>
  <c r="S21" i="48" s="1"/>
  <c r="AG20" i="48"/>
  <c r="AH20" i="48" s="1"/>
  <c r="AC20" i="48"/>
  <c r="AB20" i="48"/>
  <c r="W20" i="48"/>
  <c r="X20" i="48" s="1"/>
  <c r="R20" i="48"/>
  <c r="S20" i="48" s="1"/>
  <c r="AV19" i="48"/>
  <c r="AG19" i="48"/>
  <c r="AH19" i="48" s="1"/>
  <c r="AB19" i="48"/>
  <c r="AC19" i="48" s="1"/>
  <c r="W19" i="48"/>
  <c r="X19" i="48" s="1"/>
  <c r="R19" i="48"/>
  <c r="S19" i="48" s="1"/>
  <c r="AV18" i="48"/>
  <c r="AQ18" i="48"/>
  <c r="AR18" i="48" s="1"/>
  <c r="AL18" i="48"/>
  <c r="AM18" i="48" s="1"/>
  <c r="AG18" i="48"/>
  <c r="AH18" i="48" s="1"/>
  <c r="AB18" i="48"/>
  <c r="AC18" i="48" s="1"/>
  <c r="X18" i="48"/>
  <c r="W18" i="48"/>
  <c r="R18" i="48"/>
  <c r="S18" i="48" s="1"/>
  <c r="K18" i="48"/>
  <c r="J18" i="48"/>
  <c r="I18" i="48"/>
  <c r="F18" i="48"/>
  <c r="G18" i="48" s="1"/>
  <c r="E18" i="48"/>
  <c r="AV17" i="48"/>
  <c r="AQ17" i="48"/>
  <c r="AR17" i="48" s="1"/>
  <c r="AL17" i="48"/>
  <c r="AM17" i="48" s="1"/>
  <c r="AH17" i="48"/>
  <c r="AG17" i="48"/>
  <c r="AB17" i="48"/>
  <c r="AC17" i="48" s="1"/>
  <c r="W17" i="48"/>
  <c r="X17" i="48" s="1"/>
  <c r="R17" i="48"/>
  <c r="S17" i="48" s="1"/>
  <c r="J17" i="48"/>
  <c r="I17" i="48"/>
  <c r="F17" i="48"/>
  <c r="E17" i="48"/>
  <c r="G17" i="48" s="1"/>
  <c r="AV16" i="48"/>
  <c r="AW16" i="48" s="1"/>
  <c r="AR16" i="48"/>
  <c r="AQ16" i="48"/>
  <c r="AM16" i="48"/>
  <c r="AL16" i="48"/>
  <c r="AG16" i="48"/>
  <c r="AH16" i="48" s="1"/>
  <c r="AB16" i="48"/>
  <c r="AC16" i="48" s="1"/>
  <c r="W16" i="48"/>
  <c r="X16" i="48" s="1"/>
  <c r="R16" i="48"/>
  <c r="S16" i="48" s="1"/>
  <c r="J16" i="48"/>
  <c r="I16" i="48"/>
  <c r="F16" i="48"/>
  <c r="G16" i="48" s="1"/>
  <c r="E16" i="48"/>
  <c r="AV15" i="48"/>
  <c r="AQ15" i="48"/>
  <c r="AR15" i="48" s="1"/>
  <c r="AL15" i="48"/>
  <c r="AM15" i="48" s="1"/>
  <c r="AG15" i="48"/>
  <c r="AH15" i="48" s="1"/>
  <c r="AC15" i="48"/>
  <c r="AB15" i="48"/>
  <c r="W15" i="48"/>
  <c r="X15" i="48" s="1"/>
  <c r="S15" i="48"/>
  <c r="R15" i="48"/>
  <c r="K15" i="48"/>
  <c r="J15" i="48"/>
  <c r="I15" i="48"/>
  <c r="F15" i="48"/>
  <c r="G15" i="48" s="1"/>
  <c r="E15" i="48"/>
  <c r="AV14" i="48"/>
  <c r="AQ14" i="48"/>
  <c r="AR14" i="48" s="1"/>
  <c r="AL14" i="48"/>
  <c r="AM14" i="48" s="1"/>
  <c r="AG14" i="48"/>
  <c r="AH14" i="48" s="1"/>
  <c r="AB14" i="48"/>
  <c r="AC14" i="48" s="1"/>
  <c r="W14" i="48"/>
  <c r="X14" i="48" s="1"/>
  <c r="S14" i="48"/>
  <c r="R14" i="48"/>
  <c r="K14" i="48"/>
  <c r="J14" i="48"/>
  <c r="I14" i="48"/>
  <c r="G14" i="48"/>
  <c r="F14" i="48"/>
  <c r="E14" i="48"/>
  <c r="AV13" i="48"/>
  <c r="AQ13" i="48"/>
  <c r="AR13" i="48" s="1"/>
  <c r="AL13" i="48"/>
  <c r="AM13" i="48" s="1"/>
  <c r="AH13" i="48"/>
  <c r="AG13" i="48"/>
  <c r="AB13" i="48"/>
  <c r="AC13" i="48" s="1"/>
  <c r="X13" i="48"/>
  <c r="W13" i="48"/>
  <c r="R13" i="48"/>
  <c r="S13" i="48" s="1"/>
  <c r="K13" i="48"/>
  <c r="J13" i="48"/>
  <c r="I13" i="48"/>
  <c r="F13" i="48"/>
  <c r="E13" i="48"/>
  <c r="G13" i="48" s="1"/>
  <c r="AV12" i="48"/>
  <c r="AW12" i="48" s="1"/>
  <c r="AR12" i="48"/>
  <c r="AQ12" i="48"/>
  <c r="AL12" i="48"/>
  <c r="AM12" i="48" s="1"/>
  <c r="AH12" i="48"/>
  <c r="AG12" i="48"/>
  <c r="AB12" i="48"/>
  <c r="AC12" i="48" s="1"/>
  <c r="W12" i="48"/>
  <c r="X12" i="48" s="1"/>
  <c r="R12" i="48"/>
  <c r="S12" i="48" s="1"/>
  <c r="J12" i="48"/>
  <c r="I12" i="48"/>
  <c r="F12" i="48"/>
  <c r="G12" i="48" s="1"/>
  <c r="E12" i="48"/>
  <c r="AV11" i="48"/>
  <c r="AQ11" i="48"/>
  <c r="AR11" i="48" s="1"/>
  <c r="AL11" i="48"/>
  <c r="AM11" i="48" s="1"/>
  <c r="AG11" i="48"/>
  <c r="AH11" i="48" s="1"/>
  <c r="AB11" i="48"/>
  <c r="AC11" i="48" s="1"/>
  <c r="X11" i="48"/>
  <c r="W11" i="48"/>
  <c r="S11" i="48"/>
  <c r="R11" i="48"/>
  <c r="K11" i="48"/>
  <c r="J11" i="48"/>
  <c r="I11" i="48"/>
  <c r="F11" i="48"/>
  <c r="G11" i="48" s="1"/>
  <c r="E11" i="48"/>
  <c r="AV10" i="48"/>
  <c r="K10" i="48" s="1"/>
  <c r="AQ10" i="48"/>
  <c r="AR10" i="48" s="1"/>
  <c r="AL10" i="48"/>
  <c r="AM10" i="48" s="1"/>
  <c r="AG10" i="48"/>
  <c r="AH10" i="48" s="1"/>
  <c r="AB10" i="48"/>
  <c r="AC10" i="48" s="1"/>
  <c r="W10" i="48"/>
  <c r="X10" i="48" s="1"/>
  <c r="R10" i="48"/>
  <c r="S10" i="48" s="1"/>
  <c r="J10" i="48"/>
  <c r="I10" i="48"/>
  <c r="F10" i="48"/>
  <c r="E10" i="48"/>
  <c r="AV9" i="48"/>
  <c r="AQ9" i="48"/>
  <c r="AR9" i="48" s="1"/>
  <c r="AL9" i="48"/>
  <c r="AM9" i="48" s="1"/>
  <c r="AH9" i="48"/>
  <c r="AG9" i="48"/>
  <c r="AB9" i="48"/>
  <c r="AC9" i="48" s="1"/>
  <c r="X9" i="48"/>
  <c r="W9" i="48"/>
  <c r="R9" i="48"/>
  <c r="S9" i="48" s="1"/>
  <c r="K9" i="48"/>
  <c r="J9" i="48"/>
  <c r="I9" i="48"/>
  <c r="F9" i="48"/>
  <c r="E9" i="48"/>
  <c r="G9" i="48" s="1"/>
  <c r="AV8" i="48"/>
  <c r="AQ8" i="48"/>
  <c r="AR8" i="48" s="1"/>
  <c r="AL8" i="48"/>
  <c r="AM8" i="48" s="1"/>
  <c r="AG8" i="48"/>
  <c r="AH8" i="48" s="1"/>
  <c r="AC8" i="48"/>
  <c r="AB8" i="48"/>
  <c r="W8" i="48"/>
  <c r="X8" i="48" s="1"/>
  <c r="R8" i="48"/>
  <c r="S8" i="48" s="1"/>
  <c r="J8" i="48"/>
  <c r="I8" i="48"/>
  <c r="F8" i="48"/>
  <c r="G8" i="48" s="1"/>
  <c r="E8" i="48"/>
  <c r="AV7" i="48"/>
  <c r="AQ7" i="48"/>
  <c r="AR136" i="48" s="1"/>
  <c r="AN7" i="48"/>
  <c r="AL7" i="48"/>
  <c r="AM7" i="48" s="1"/>
  <c r="AG7" i="48"/>
  <c r="AI7" i="48" s="1"/>
  <c r="AB7" i="48"/>
  <c r="AC7" i="48" s="1"/>
  <c r="W7" i="48"/>
  <c r="Y7" i="48" s="1"/>
  <c r="R7" i="48"/>
  <c r="T7" i="48" s="1"/>
  <c r="K7" i="48"/>
  <c r="J7" i="48"/>
  <c r="I7" i="48"/>
  <c r="F7" i="48"/>
  <c r="G7" i="48" s="1"/>
  <c r="E7" i="48"/>
  <c r="F37" i="6"/>
  <c r="N37" i="6" s="1"/>
  <c r="F36" i="6"/>
  <c r="J36" i="6" s="1"/>
  <c r="N35" i="6"/>
  <c r="F35" i="6"/>
  <c r="L35" i="6" s="1"/>
  <c r="L34" i="6"/>
  <c r="J34" i="6"/>
  <c r="F34" i="6"/>
  <c r="N34" i="6" s="1"/>
  <c r="F33" i="6"/>
  <c r="J33" i="6" s="1"/>
  <c r="N32" i="6"/>
  <c r="L32" i="6"/>
  <c r="F32" i="6"/>
  <c r="J32" i="6" s="1"/>
  <c r="F31" i="6"/>
  <c r="F30" i="6"/>
  <c r="J30" i="6" s="1"/>
  <c r="N29" i="6"/>
  <c r="L29" i="6"/>
  <c r="J29" i="6"/>
  <c r="F29" i="6"/>
  <c r="F28" i="6"/>
  <c r="F27" i="6"/>
  <c r="L27" i="6" s="1"/>
  <c r="N26" i="6"/>
  <c r="L26" i="6"/>
  <c r="J26" i="6"/>
  <c r="F26" i="6"/>
  <c r="F25" i="6"/>
  <c r="F24" i="6"/>
  <c r="L24" i="6" s="1"/>
  <c r="F23" i="6"/>
  <c r="N23" i="6" s="1"/>
  <c r="F22" i="6"/>
  <c r="L21" i="6"/>
  <c r="J21" i="6"/>
  <c r="F21" i="6"/>
  <c r="N21" i="6" s="1"/>
  <c r="F20" i="6"/>
  <c r="N20" i="6" s="1"/>
  <c r="F19" i="6"/>
  <c r="N19" i="6" s="1"/>
  <c r="L18" i="6"/>
  <c r="J18" i="6"/>
  <c r="F18" i="6"/>
  <c r="N18" i="6" s="1"/>
  <c r="N17" i="6"/>
  <c r="L17" i="6"/>
  <c r="J17" i="6"/>
  <c r="F17" i="6"/>
  <c r="N16" i="6"/>
  <c r="F16" i="6"/>
  <c r="L16" i="6" s="1"/>
  <c r="F15" i="6"/>
  <c r="F14" i="6"/>
  <c r="N14" i="6" s="1"/>
  <c r="N13" i="6"/>
  <c r="L13" i="6"/>
  <c r="J13" i="6"/>
  <c r="F13" i="6"/>
  <c r="F12" i="6"/>
  <c r="N12" i="6" s="1"/>
  <c r="F11" i="6"/>
  <c r="N11" i="6" s="1"/>
  <c r="N10" i="6"/>
  <c r="L10" i="6"/>
  <c r="J10" i="6"/>
  <c r="F10" i="6"/>
  <c r="F9" i="6"/>
  <c r="N9" i="6" s="1"/>
  <c r="F8" i="6"/>
  <c r="N8" i="6" s="1"/>
  <c r="F7" i="6"/>
  <c r="J7" i="6" s="1"/>
  <c r="N37" i="7"/>
  <c r="L37" i="7"/>
  <c r="F37" i="7"/>
  <c r="J37" i="7" s="1"/>
  <c r="F36" i="7"/>
  <c r="F35" i="7"/>
  <c r="L35" i="7" s="1"/>
  <c r="F34" i="7"/>
  <c r="N34" i="7" s="1"/>
  <c r="N33" i="7"/>
  <c r="L33" i="7"/>
  <c r="F33" i="7"/>
  <c r="J33" i="7" s="1"/>
  <c r="N32" i="7"/>
  <c r="F32" i="7"/>
  <c r="L32" i="7" s="1"/>
  <c r="F31" i="7"/>
  <c r="N30" i="7"/>
  <c r="L30" i="7"/>
  <c r="J30" i="7"/>
  <c r="F30" i="7"/>
  <c r="N29" i="7"/>
  <c r="J29" i="7"/>
  <c r="F29" i="7"/>
  <c r="L29" i="7" s="1"/>
  <c r="F28" i="7"/>
  <c r="F27" i="7"/>
  <c r="L26" i="7"/>
  <c r="J26" i="7"/>
  <c r="F26" i="7"/>
  <c r="N26" i="7" s="1"/>
  <c r="F25" i="7"/>
  <c r="N24" i="7"/>
  <c r="F24" i="7"/>
  <c r="L24" i="7" s="1"/>
  <c r="F23" i="7"/>
  <c r="F22" i="7"/>
  <c r="N21" i="7"/>
  <c r="L21" i="7"/>
  <c r="J21" i="7"/>
  <c r="F21" i="7"/>
  <c r="N20" i="7"/>
  <c r="L20" i="7"/>
  <c r="J20" i="7"/>
  <c r="F20" i="7"/>
  <c r="F19" i="7"/>
  <c r="N18" i="7"/>
  <c r="L18" i="7"/>
  <c r="J18" i="7"/>
  <c r="F18" i="7"/>
  <c r="N17" i="7"/>
  <c r="L17" i="7"/>
  <c r="J17" i="7"/>
  <c r="F17" i="7"/>
  <c r="F16" i="7"/>
  <c r="F15" i="7"/>
  <c r="G15" i="7" s="1"/>
  <c r="N14" i="7"/>
  <c r="L14" i="7"/>
  <c r="J14" i="7"/>
  <c r="F14" i="7"/>
  <c r="F13" i="7"/>
  <c r="N12" i="7"/>
  <c r="L12" i="7"/>
  <c r="F12" i="7"/>
  <c r="J12" i="7" s="1"/>
  <c r="F11" i="7"/>
  <c r="N11" i="7" s="1"/>
  <c r="F10" i="7"/>
  <c r="N10" i="7" s="1"/>
  <c r="F9" i="7"/>
  <c r="J9" i="7" s="1"/>
  <c r="N8" i="7"/>
  <c r="L8" i="7"/>
  <c r="J8" i="7"/>
  <c r="F8" i="7"/>
  <c r="F7" i="7"/>
  <c r="I33" i="5"/>
  <c r="I32" i="5"/>
  <c r="I31" i="5"/>
  <c r="I30" i="5"/>
  <c r="I29" i="5"/>
  <c r="I28" i="5"/>
  <c r="V27" i="5"/>
  <c r="S27" i="5"/>
  <c r="P27" i="5"/>
  <c r="M27" i="5"/>
  <c r="I27" i="5"/>
  <c r="G27" i="5"/>
  <c r="I26" i="5"/>
  <c r="I25" i="5"/>
  <c r="I24" i="5"/>
  <c r="I23" i="5"/>
  <c r="I22" i="5"/>
  <c r="I21" i="5"/>
  <c r="J20" i="5" s="1"/>
  <c r="V20" i="5"/>
  <c r="S20" i="5"/>
  <c r="P20" i="5"/>
  <c r="M20" i="5"/>
  <c r="I20" i="5"/>
  <c r="G20" i="5"/>
  <c r="I19" i="5"/>
  <c r="I18" i="5"/>
  <c r="I17" i="5"/>
  <c r="I16" i="5"/>
  <c r="I15" i="5"/>
  <c r="I14" i="5"/>
  <c r="V13" i="5"/>
  <c r="S13" i="5"/>
  <c r="P13" i="5"/>
  <c r="M13" i="5"/>
  <c r="I13" i="5"/>
  <c r="G13" i="5"/>
  <c r="I12" i="5"/>
  <c r="I11" i="5"/>
  <c r="I10" i="5"/>
  <c r="I9" i="5"/>
  <c r="I8" i="5"/>
  <c r="I7" i="5"/>
  <c r="V6" i="5"/>
  <c r="S6" i="5"/>
  <c r="P6" i="5"/>
  <c r="M6" i="5"/>
  <c r="I6" i="5"/>
  <c r="G6" i="5"/>
  <c r="W5" i="5"/>
  <c r="T5" i="5"/>
  <c r="Q5" i="5"/>
  <c r="N5" i="5"/>
  <c r="I5" i="5"/>
  <c r="H5" i="5"/>
  <c r="V37" i="3"/>
  <c r="S37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O27" i="3"/>
  <c r="M27" i="3"/>
  <c r="P27" i="3" s="1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O20" i="3"/>
  <c r="M20" i="3"/>
  <c r="P20" i="3" s="1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O13" i="3"/>
  <c r="M13" i="3"/>
  <c r="P13" i="3" s="1"/>
  <c r="J13" i="3"/>
  <c r="G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P6" i="3"/>
  <c r="O6" i="3"/>
  <c r="M6" i="3"/>
  <c r="J6" i="3"/>
  <c r="G6" i="3"/>
  <c r="W5" i="3"/>
  <c r="U5" i="3"/>
  <c r="T5" i="3"/>
  <c r="O5" i="3"/>
  <c r="N5" i="3"/>
  <c r="Q5" i="3" s="1"/>
  <c r="K5" i="3"/>
  <c r="H5" i="3"/>
  <c r="D24" i="57"/>
  <c r="D23" i="57"/>
  <c r="D22" i="57"/>
  <c r="J18" i="57"/>
  <c r="I18" i="57"/>
  <c r="D18" i="57"/>
  <c r="I17" i="57"/>
  <c r="K17" i="57" s="1"/>
  <c r="C17" i="57"/>
  <c r="E17" i="57" s="1"/>
  <c r="K16" i="57"/>
  <c r="I16" i="57"/>
  <c r="C16" i="57"/>
  <c r="E16" i="57" s="1"/>
  <c r="I15" i="57"/>
  <c r="K15" i="57" s="1"/>
  <c r="C15" i="57"/>
  <c r="C18" i="57" s="1"/>
  <c r="D11" i="57"/>
  <c r="D10" i="57"/>
  <c r="E9" i="57"/>
  <c r="C9" i="57"/>
  <c r="B9" i="57"/>
  <c r="D9" i="57" s="1"/>
  <c r="D8" i="57"/>
  <c r="K7" i="57"/>
  <c r="J7" i="57"/>
  <c r="I7" i="57"/>
  <c r="D7" i="57"/>
  <c r="D6" i="57"/>
  <c r="H7" i="48" l="1"/>
  <c r="AW19" i="48"/>
  <c r="M31" i="48"/>
  <c r="M36" i="48"/>
  <c r="AW37" i="48"/>
  <c r="AR42" i="48"/>
  <c r="X84" i="48"/>
  <c r="Y73" i="48"/>
  <c r="X73" i="48"/>
  <c r="X76" i="48"/>
  <c r="X78" i="48"/>
  <c r="X83" i="48"/>
  <c r="AM86" i="48"/>
  <c r="X88" i="48"/>
  <c r="K88" i="48"/>
  <c r="X105" i="48"/>
  <c r="K105" i="48"/>
  <c r="X110" i="48"/>
  <c r="K48" i="49"/>
  <c r="T47" i="49"/>
  <c r="S47" i="49"/>
  <c r="S48" i="49"/>
  <c r="N25" i="7"/>
  <c r="L25" i="7"/>
  <c r="J25" i="7"/>
  <c r="N36" i="7"/>
  <c r="L36" i="7"/>
  <c r="J36" i="7"/>
  <c r="J14" i="6"/>
  <c r="AW13" i="48"/>
  <c r="K16" i="48"/>
  <c r="S31" i="48"/>
  <c r="AW32" i="48"/>
  <c r="S36" i="48"/>
  <c r="AR38" i="48"/>
  <c r="AW56" i="48"/>
  <c r="X63" i="48"/>
  <c r="AR66" i="48"/>
  <c r="AR81" i="48"/>
  <c r="AR86" i="48"/>
  <c r="AM87" i="48"/>
  <c r="G102" i="48"/>
  <c r="AH104" i="48"/>
  <c r="X106" i="48"/>
  <c r="X111" i="48"/>
  <c r="S129" i="48"/>
  <c r="M9" i="49"/>
  <c r="AD47" i="49"/>
  <c r="AC49" i="49"/>
  <c r="K47" i="49"/>
  <c r="AC48" i="49"/>
  <c r="AC47" i="49"/>
  <c r="L9" i="7"/>
  <c r="L14" i="6"/>
  <c r="K32" i="48"/>
  <c r="AI53" i="48"/>
  <c r="AH53" i="48"/>
  <c r="AR57" i="48"/>
  <c r="X59" i="48"/>
  <c r="X60" i="48"/>
  <c r="K61" i="48"/>
  <c r="AM77" i="48"/>
  <c r="AW86" i="48"/>
  <c r="AC88" i="48"/>
  <c r="AR98" i="48"/>
  <c r="S100" i="48"/>
  <c r="S102" i="48"/>
  <c r="S99" i="48"/>
  <c r="AR103" i="48"/>
  <c r="AH110" i="48"/>
  <c r="AC111" i="48"/>
  <c r="AX7" i="49"/>
  <c r="K7" i="49"/>
  <c r="AW8" i="49"/>
  <c r="AW9" i="49"/>
  <c r="AW107" i="49"/>
  <c r="K5" i="5"/>
  <c r="N9" i="7"/>
  <c r="N31" i="7"/>
  <c r="L31" i="7"/>
  <c r="J31" i="7"/>
  <c r="L30" i="6"/>
  <c r="AW14" i="48"/>
  <c r="K17" i="48"/>
  <c r="AW17" i="48"/>
  <c r="X31" i="48"/>
  <c r="G33" i="48"/>
  <c r="AW33" i="48"/>
  <c r="X36" i="48"/>
  <c r="S41" i="48"/>
  <c r="S55" i="48"/>
  <c r="S62" i="48"/>
  <c r="K55" i="48"/>
  <c r="G57" i="48"/>
  <c r="AH63" i="48"/>
  <c r="X64" i="48"/>
  <c r="S65" i="48"/>
  <c r="AH74" i="48"/>
  <c r="K74" i="48"/>
  <c r="S75" i="48"/>
  <c r="AR77" i="48"/>
  <c r="AM78" i="48"/>
  <c r="AC79" i="48"/>
  <c r="K80" i="48"/>
  <c r="AW81" i="48"/>
  <c r="AR82" i="48"/>
  <c r="AH88" i="48"/>
  <c r="S97" i="48"/>
  <c r="AM105" i="48"/>
  <c r="AR109" i="48"/>
  <c r="AH111" i="48"/>
  <c r="H7" i="49"/>
  <c r="AW7" i="49"/>
  <c r="J11" i="6"/>
  <c r="N15" i="6"/>
  <c r="L15" i="6"/>
  <c r="J15" i="6"/>
  <c r="G15" i="6"/>
  <c r="N30" i="6"/>
  <c r="AM30" i="48"/>
  <c r="S32" i="48"/>
  <c r="AM35" i="48"/>
  <c r="K37" i="48"/>
  <c r="S37" i="48"/>
  <c r="X55" i="48"/>
  <c r="X57" i="48"/>
  <c r="X54" i="48"/>
  <c r="K56" i="48"/>
  <c r="AM58" i="48"/>
  <c r="G62" i="48"/>
  <c r="AN73" i="48"/>
  <c r="AW77" i="48"/>
  <c r="AR78" i="48"/>
  <c r="AW82" i="48"/>
  <c r="AH100" i="48"/>
  <c r="X97" i="48"/>
  <c r="K98" i="48"/>
  <c r="AC100" i="48"/>
  <c r="X101" i="48"/>
  <c r="AR104" i="48"/>
  <c r="AH106" i="48"/>
  <c r="AM111" i="48"/>
  <c r="S122" i="48"/>
  <c r="AH87" i="49"/>
  <c r="V13" i="3"/>
  <c r="N27" i="7"/>
  <c r="L27" i="7"/>
  <c r="L11" i="6"/>
  <c r="N31" i="6"/>
  <c r="L31" i="6"/>
  <c r="L36" i="6"/>
  <c r="AW11" i="48"/>
  <c r="AW15" i="48"/>
  <c r="AW8" i="48"/>
  <c r="AX7" i="48"/>
  <c r="AW18" i="48"/>
  <c r="AR33" i="48"/>
  <c r="AC31" i="48"/>
  <c r="X37" i="48"/>
  <c r="AM40" i="48"/>
  <c r="S56" i="48"/>
  <c r="AM63" i="48"/>
  <c r="AH64" i="48"/>
  <c r="X65" i="48"/>
  <c r="AS73" i="48"/>
  <c r="AR75" i="48"/>
  <c r="AR79" i="48"/>
  <c r="S80" i="48"/>
  <c r="AH84" i="48"/>
  <c r="AH96" i="48"/>
  <c r="K97" i="48"/>
  <c r="AD96" i="48"/>
  <c r="AC104" i="48"/>
  <c r="AC96" i="48"/>
  <c r="AM106" i="48"/>
  <c r="AR110" i="48"/>
  <c r="AW69" i="49"/>
  <c r="J27" i="7"/>
  <c r="J31" i="6"/>
  <c r="N36" i="6"/>
  <c r="K30" i="48"/>
  <c r="AX30" i="48"/>
  <c r="AW36" i="48"/>
  <c r="AH36" i="48"/>
  <c r="AW53" i="48"/>
  <c r="X56" i="48"/>
  <c r="AM59" i="48"/>
  <c r="AH60" i="48"/>
  <c r="X61" i="48"/>
  <c r="AR73" i="48"/>
  <c r="AC81" i="48"/>
  <c r="AI96" i="48"/>
  <c r="AC97" i="48"/>
  <c r="G99" i="48"/>
  <c r="AM100" i="48"/>
  <c r="X102" i="48"/>
  <c r="S108" i="48"/>
  <c r="AC107" i="49"/>
  <c r="G8" i="6"/>
  <c r="N22" i="6"/>
  <c r="L22" i="6"/>
  <c r="J22" i="6"/>
  <c r="G22" i="6"/>
  <c r="J27" i="6"/>
  <c r="K8" i="48"/>
  <c r="M8" i="48" s="1"/>
  <c r="M14" i="48"/>
  <c r="AW30" i="48"/>
  <c r="AM31" i="48"/>
  <c r="AW35" i="48"/>
  <c r="AH37" i="48"/>
  <c r="X38" i="48"/>
  <c r="G40" i="48"/>
  <c r="X42" i="48"/>
  <c r="AX53" i="48"/>
  <c r="AM54" i="48"/>
  <c r="AH55" i="48"/>
  <c r="AR59" i="48"/>
  <c r="AM60" i="48"/>
  <c r="AR63" i="48"/>
  <c r="AM64" i="48"/>
  <c r="AC75" i="48"/>
  <c r="X85" i="48"/>
  <c r="S86" i="48"/>
  <c r="S98" i="48"/>
  <c r="H119" i="48"/>
  <c r="G69" i="49"/>
  <c r="G87" i="49"/>
  <c r="H87" i="49" s="1"/>
  <c r="AW89" i="49"/>
  <c r="J8" i="6"/>
  <c r="N27" i="6"/>
  <c r="AH7" i="48"/>
  <c r="AW9" i="48"/>
  <c r="X33" i="48"/>
  <c r="AC38" i="48"/>
  <c r="K38" i="48"/>
  <c r="S39" i="48"/>
  <c r="AH41" i="48"/>
  <c r="AC42" i="48"/>
  <c r="AM55" i="48"/>
  <c r="K57" i="48"/>
  <c r="M57" i="48" s="1"/>
  <c r="AW59" i="48"/>
  <c r="AR60" i="48"/>
  <c r="AW63" i="48"/>
  <c r="AR64" i="48"/>
  <c r="AM65" i="48"/>
  <c r="AW88" i="48"/>
  <c r="AW74" i="48"/>
  <c r="K77" i="48"/>
  <c r="S82" i="48"/>
  <c r="K82" i="48"/>
  <c r="AC85" i="48"/>
  <c r="G96" i="48"/>
  <c r="H96" i="48" s="1"/>
  <c r="AR96" i="48"/>
  <c r="X98" i="48"/>
  <c r="AR100" i="48"/>
  <c r="AC102" i="48"/>
  <c r="S103" i="48"/>
  <c r="G49" i="49"/>
  <c r="G67" i="49"/>
  <c r="J6" i="5"/>
  <c r="G8" i="7"/>
  <c r="N13" i="7"/>
  <c r="L13" i="7"/>
  <c r="J13" i="7"/>
  <c r="N22" i="7"/>
  <c r="L22" i="7"/>
  <c r="J22" i="7"/>
  <c r="G22" i="7"/>
  <c r="L8" i="6"/>
  <c r="J23" i="6"/>
  <c r="N28" i="6"/>
  <c r="L28" i="6"/>
  <c r="J28" i="6"/>
  <c r="M15" i="48"/>
  <c r="T30" i="48"/>
  <c r="S30" i="48"/>
  <c r="AM32" i="48"/>
  <c r="AC37" i="48"/>
  <c r="AM37" i="48"/>
  <c r="AH38" i="48"/>
  <c r="AM41" i="48"/>
  <c r="AH42" i="48"/>
  <c r="X53" i="48"/>
  <c r="AW54" i="48"/>
  <c r="AC57" i="48"/>
  <c r="G59" i="48"/>
  <c r="H53" i="48" s="1"/>
  <c r="AW64" i="48"/>
  <c r="AH66" i="48"/>
  <c r="S84" i="48"/>
  <c r="S87" i="48"/>
  <c r="K73" i="48"/>
  <c r="G74" i="48"/>
  <c r="S77" i="48"/>
  <c r="X82" i="48"/>
  <c r="AC86" i="48"/>
  <c r="X87" i="48"/>
  <c r="AW100" i="48"/>
  <c r="AX96" i="48"/>
  <c r="AR101" i="48"/>
  <c r="X103" i="48"/>
  <c r="AC108" i="48"/>
  <c r="S109" i="48"/>
  <c r="H107" i="49"/>
  <c r="E15" i="57"/>
  <c r="N23" i="7"/>
  <c r="L23" i="7"/>
  <c r="J23" i="7"/>
  <c r="J34" i="7"/>
  <c r="L23" i="6"/>
  <c r="M9" i="48"/>
  <c r="K12" i="48"/>
  <c r="AR41" i="48"/>
  <c r="AC33" i="48"/>
  <c r="X34" i="48"/>
  <c r="X39" i="48"/>
  <c r="Y53" i="48"/>
  <c r="AH57" i="48"/>
  <c r="K58" i="48"/>
  <c r="G60" i="48"/>
  <c r="AW65" i="48"/>
  <c r="S73" i="48"/>
  <c r="AH76" i="48"/>
  <c r="X77" i="48"/>
  <c r="K78" i="48"/>
  <c r="AM80" i="48"/>
  <c r="K83" i="48"/>
  <c r="AC87" i="48"/>
  <c r="AW110" i="48"/>
  <c r="AR97" i="48"/>
  <c r="X99" i="48"/>
  <c r="AC103" i="48"/>
  <c r="AM119" i="48"/>
  <c r="AD27" i="49"/>
  <c r="AC28" i="49"/>
  <c r="K27" i="49"/>
  <c r="V20" i="3"/>
  <c r="L34" i="7"/>
  <c r="AW10" i="48"/>
  <c r="AR32" i="48"/>
  <c r="S35" i="48"/>
  <c r="AR37" i="48"/>
  <c r="AM38" i="48"/>
  <c r="AW41" i="48"/>
  <c r="AM42" i="48"/>
  <c r="AC64" i="48"/>
  <c r="AC56" i="48"/>
  <c r="K53" i="48"/>
  <c r="AC63" i="48"/>
  <c r="S58" i="48"/>
  <c r="T73" i="48"/>
  <c r="S78" i="48"/>
  <c r="AC82" i="48"/>
  <c r="S83" i="48"/>
  <c r="AR85" i="48"/>
  <c r="AH86" i="48"/>
  <c r="K87" i="48"/>
  <c r="S88" i="48"/>
  <c r="AW101" i="48"/>
  <c r="S105" i="48"/>
  <c r="AH108" i="48"/>
  <c r="AC109" i="48"/>
  <c r="K110" i="48"/>
  <c r="K111" i="48"/>
  <c r="G130" i="48"/>
  <c r="AC27" i="49"/>
  <c r="AC29" i="49"/>
  <c r="AI107" i="49"/>
  <c r="K107" i="49"/>
  <c r="M11" i="48"/>
  <c r="X30" i="48"/>
  <c r="AM36" i="48"/>
  <c r="AW38" i="48"/>
  <c r="S40" i="48"/>
  <c r="AW57" i="48"/>
  <c r="AH58" i="48"/>
  <c r="S59" i="48"/>
  <c r="K59" i="48"/>
  <c r="K66" i="48"/>
  <c r="AI73" i="48"/>
  <c r="AH85" i="48"/>
  <c r="AH75" i="48"/>
  <c r="AC80" i="48"/>
  <c r="K81" i="48"/>
  <c r="G82" i="48"/>
  <c r="AM85" i="48"/>
  <c r="AW87" i="48"/>
  <c r="Y96" i="48"/>
  <c r="X100" i="48"/>
  <c r="AM97" i="48"/>
  <c r="K101" i="48"/>
  <c r="AM102" i="48"/>
  <c r="S104" i="48"/>
  <c r="AM108" i="48"/>
  <c r="X109" i="48"/>
  <c r="T119" i="48"/>
  <c r="S119" i="48"/>
  <c r="T7" i="49"/>
  <c r="AW27" i="49"/>
  <c r="AW28" i="49"/>
  <c r="AI47" i="49"/>
  <c r="AH47" i="49"/>
  <c r="AD67" i="49"/>
  <c r="AC68" i="49"/>
  <c r="AC69" i="49"/>
  <c r="K67" i="49"/>
  <c r="K68" i="49"/>
  <c r="T67" i="49"/>
  <c r="S67" i="49"/>
  <c r="S68" i="49"/>
  <c r="G89" i="49"/>
  <c r="AH107" i="49"/>
  <c r="J11" i="7"/>
  <c r="J15" i="7"/>
  <c r="N19" i="7"/>
  <c r="L19" i="7"/>
  <c r="J19" i="7"/>
  <c r="J12" i="6"/>
  <c r="J20" i="6"/>
  <c r="J24" i="6"/>
  <c r="G29" i="6"/>
  <c r="J37" i="6"/>
  <c r="S7" i="48"/>
  <c r="X32" i="48"/>
  <c r="AR36" i="48"/>
  <c r="X40" i="48"/>
  <c r="AR54" i="48"/>
  <c r="AH65" i="48"/>
  <c r="S66" i="48"/>
  <c r="H73" i="48"/>
  <c r="AH73" i="48"/>
  <c r="AM75" i="48"/>
  <c r="AW79" i="48"/>
  <c r="AH80" i="48"/>
  <c r="S81" i="48"/>
  <c r="X86" i="48"/>
  <c r="AM88" i="48"/>
  <c r="X96" i="48"/>
  <c r="AW99" i="48"/>
  <c r="S101" i="48"/>
  <c r="X104" i="48"/>
  <c r="K104" i="48"/>
  <c r="M104" i="48" s="1"/>
  <c r="S107" i="48"/>
  <c r="AR108" i="48"/>
  <c r="X7" i="49"/>
  <c r="Y7" i="49"/>
  <c r="AW29" i="49"/>
  <c r="AC67" i="49"/>
  <c r="J13" i="5"/>
  <c r="N7" i="7"/>
  <c r="L7" i="7"/>
  <c r="J7" i="7"/>
  <c r="H7" i="7"/>
  <c r="L11" i="7"/>
  <c r="L15" i="7"/>
  <c r="N28" i="7"/>
  <c r="L28" i="7"/>
  <c r="J9" i="6"/>
  <c r="L12" i="6"/>
  <c r="L20" i="6"/>
  <c r="N24" i="6"/>
  <c r="L33" i="6"/>
  <c r="L37" i="6"/>
  <c r="AD30" i="48"/>
  <c r="AC35" i="48"/>
  <c r="AC32" i="48"/>
  <c r="K33" i="48"/>
  <c r="G36" i="48"/>
  <c r="AM39" i="48"/>
  <c r="AN53" i="48"/>
  <c r="AM53" i="48"/>
  <c r="AR55" i="48"/>
  <c r="S57" i="48"/>
  <c r="AC61" i="48"/>
  <c r="X66" i="48"/>
  <c r="G75" i="48"/>
  <c r="K76" i="48"/>
  <c r="X81" i="48"/>
  <c r="G88" i="48"/>
  <c r="AR88" i="48"/>
  <c r="AC98" i="48"/>
  <c r="AH103" i="48"/>
  <c r="S121" i="48"/>
  <c r="M8" i="49"/>
  <c r="G29" i="49"/>
  <c r="J27" i="5"/>
  <c r="N15" i="7"/>
  <c r="J24" i="7"/>
  <c r="J28" i="7"/>
  <c r="L9" i="6"/>
  <c r="N25" i="6"/>
  <c r="L25" i="6"/>
  <c r="J25" i="6"/>
  <c r="N33" i="6"/>
  <c r="AC30" i="48"/>
  <c r="AR31" i="48"/>
  <c r="S33" i="48"/>
  <c r="S38" i="48"/>
  <c r="AR39" i="48"/>
  <c r="AC40" i="48"/>
  <c r="AS53" i="48"/>
  <c r="AW55" i="48"/>
  <c r="AH56" i="48"/>
  <c r="AW60" i="48"/>
  <c r="AC66" i="48"/>
  <c r="AM73" i="48"/>
  <c r="AC76" i="48"/>
  <c r="S79" i="48"/>
  <c r="AH83" i="48"/>
  <c r="AW97" i="48"/>
  <c r="AM103" i="48"/>
  <c r="AC107" i="48"/>
  <c r="AR111" i="48"/>
  <c r="AH67" i="49"/>
  <c r="AD87" i="49"/>
  <c r="AC89" i="49"/>
  <c r="K87" i="49"/>
  <c r="AC88" i="49"/>
  <c r="K88" i="49"/>
  <c r="T87" i="49"/>
  <c r="S87" i="49"/>
  <c r="S88" i="49"/>
  <c r="S89" i="49"/>
  <c r="L16" i="7"/>
  <c r="J16" i="7"/>
  <c r="N16" i="7"/>
  <c r="AD7" i="48"/>
  <c r="G10" i="48"/>
  <c r="AW31" i="48"/>
  <c r="AH40" i="48"/>
  <c r="K41" i="48"/>
  <c r="AM56" i="48"/>
  <c r="AR58" i="48"/>
  <c r="G65" i="48"/>
  <c r="AR65" i="48"/>
  <c r="X74" i="48"/>
  <c r="AH78" i="48"/>
  <c r="X79" i="48"/>
  <c r="AC101" i="48"/>
  <c r="AH107" i="48"/>
  <c r="AW111" i="48"/>
  <c r="M20" i="36"/>
  <c r="M17" i="36"/>
  <c r="M7" i="36"/>
  <c r="M18" i="36"/>
  <c r="L7" i="36"/>
  <c r="C1" i="36" s="1"/>
  <c r="M19" i="36"/>
  <c r="M21" i="36"/>
  <c r="AH7" i="49"/>
  <c r="AI7" i="49"/>
  <c r="AW49" i="49"/>
  <c r="AC87" i="49"/>
  <c r="X89" i="49"/>
  <c r="G47" i="49"/>
  <c r="S63" i="48"/>
  <c r="AM96" i="48"/>
  <c r="AR99" i="48"/>
  <c r="S34" i="48"/>
  <c r="X7" i="48"/>
  <c r="AH61" i="48"/>
  <c r="AM83" i="48"/>
  <c r="S96" i="48"/>
  <c r="S110" i="48"/>
  <c r="AH98" i="48"/>
  <c r="AW106" i="48"/>
  <c r="AX119" i="48"/>
  <c r="AW119" i="48"/>
  <c r="AR134" i="48"/>
  <c r="L27" i="36"/>
  <c r="AS27" i="49"/>
  <c r="AR28" i="49"/>
  <c r="AX67" i="49"/>
  <c r="AH68" i="49"/>
  <c r="AI27" i="49"/>
  <c r="K28" i="49"/>
  <c r="T27" i="49"/>
  <c r="S27" i="49"/>
  <c r="S28" i="49"/>
  <c r="S49" i="49"/>
  <c r="AS87" i="49"/>
  <c r="AR88" i="49"/>
  <c r="AW34" i="48"/>
  <c r="T53" i="48"/>
  <c r="G78" i="48"/>
  <c r="K79" i="48"/>
  <c r="M79" i="48" s="1"/>
  <c r="AM101" i="48"/>
  <c r="AW102" i="48"/>
  <c r="AR106" i="48"/>
  <c r="G121" i="48"/>
  <c r="G27" i="49"/>
  <c r="AH27" i="49"/>
  <c r="S29" i="49"/>
  <c r="AS67" i="49"/>
  <c r="AR68" i="49"/>
  <c r="AR87" i="49"/>
  <c r="J10" i="7"/>
  <c r="H7" i="6"/>
  <c r="J19" i="6"/>
  <c r="AR7" i="48"/>
  <c r="S53" i="48"/>
  <c r="K54" i="48"/>
  <c r="AW84" i="48"/>
  <c r="AW76" i="48"/>
  <c r="AN96" i="48"/>
  <c r="AS119" i="48"/>
  <c r="M98" i="36"/>
  <c r="M101" i="36"/>
  <c r="M87" i="36"/>
  <c r="AN7" i="49"/>
  <c r="AS47" i="49"/>
  <c r="AR48" i="49"/>
  <c r="AR67" i="49"/>
  <c r="AX87" i="49"/>
  <c r="AH88" i="49"/>
  <c r="L10" i="7"/>
  <c r="J35" i="7"/>
  <c r="L7" i="6"/>
  <c r="J16" i="6"/>
  <c r="L19" i="6"/>
  <c r="J35" i="6"/>
  <c r="AS7" i="48"/>
  <c r="AR30" i="48"/>
  <c r="AW42" i="48"/>
  <c r="AR53" i="48"/>
  <c r="S54" i="48"/>
  <c r="AR62" i="48"/>
  <c r="AW73" i="48"/>
  <c r="S76" i="48"/>
  <c r="AC77" i="48"/>
  <c r="G29" i="7"/>
  <c r="J32" i="7"/>
  <c r="N35" i="7"/>
  <c r="N7" i="6"/>
  <c r="AW7" i="48"/>
  <c r="AS30" i="48"/>
  <c r="AH32" i="48"/>
  <c r="S42" i="48"/>
  <c r="G61" i="48"/>
  <c r="K62" i="48"/>
  <c r="AX73" i="48"/>
  <c r="AR83" i="48"/>
  <c r="T96" i="48"/>
  <c r="G98" i="48"/>
  <c r="K99" i="48"/>
  <c r="AH105" i="48"/>
  <c r="S106" i="48"/>
  <c r="Y119" i="48"/>
  <c r="AR133" i="48"/>
  <c r="AS7" i="49"/>
  <c r="G9" i="49"/>
  <c r="AR27" i="49"/>
  <c r="AX47" i="49"/>
  <c r="AH48" i="49"/>
  <c r="AW67" i="49"/>
  <c r="AM109" i="48"/>
  <c r="K130" i="48"/>
  <c r="M130" i="48" s="1"/>
  <c r="S130" i="48"/>
  <c r="AH29" i="49"/>
  <c r="AH49" i="49"/>
  <c r="AH69" i="49"/>
  <c r="AH89" i="49"/>
  <c r="AW96" i="48"/>
  <c r="X107" i="48"/>
  <c r="M58" i="36"/>
  <c r="M61" i="36"/>
  <c r="M47" i="36"/>
  <c r="Y27" i="49"/>
  <c r="G28" i="49"/>
  <c r="AN27" i="49"/>
  <c r="AM28" i="49"/>
  <c r="AM27" i="49"/>
  <c r="Y47" i="49"/>
  <c r="G48" i="49"/>
  <c r="AN47" i="49"/>
  <c r="AM48" i="49"/>
  <c r="AM47" i="49"/>
  <c r="Y67" i="49"/>
  <c r="G68" i="49"/>
  <c r="AN67" i="49"/>
  <c r="AM68" i="49"/>
  <c r="AM67" i="49"/>
  <c r="Y87" i="49"/>
  <c r="G88" i="49"/>
  <c r="AN87" i="49"/>
  <c r="AM88" i="49"/>
  <c r="AM87" i="49"/>
  <c r="D11" i="1"/>
  <c r="AH109" i="49"/>
  <c r="Q9" i="1"/>
  <c r="K29" i="49"/>
  <c r="M29" i="49" s="1"/>
  <c r="K49" i="49"/>
  <c r="M49" i="49" s="1"/>
  <c r="K69" i="49"/>
  <c r="K89" i="49"/>
  <c r="M89" i="49" s="1"/>
  <c r="AH108" i="49"/>
  <c r="U14" i="1"/>
  <c r="M67" i="49" l="1"/>
  <c r="L67" i="49"/>
  <c r="M60" i="48"/>
  <c r="M55" i="48"/>
  <c r="M96" i="48"/>
  <c r="M76" i="48"/>
  <c r="M56" i="48"/>
  <c r="M80" i="48"/>
  <c r="L96" i="48"/>
  <c r="M69" i="49"/>
  <c r="M99" i="48"/>
  <c r="M107" i="49"/>
  <c r="L107" i="49"/>
  <c r="M87" i="48"/>
  <c r="M82" i="48"/>
  <c r="M97" i="48"/>
  <c r="M98" i="48"/>
  <c r="M88" i="48"/>
  <c r="M101" i="48"/>
  <c r="M30" i="48"/>
  <c r="L30" i="48"/>
  <c r="M66" i="48"/>
  <c r="M58" i="48"/>
  <c r="H67" i="49"/>
  <c r="M77" i="48"/>
  <c r="M32" i="48"/>
  <c r="M107" i="48"/>
  <c r="M100" i="48"/>
  <c r="M59" i="48"/>
  <c r="M38" i="48"/>
  <c r="M84" i="48"/>
  <c r="L7" i="48"/>
  <c r="M35" i="48"/>
  <c r="M39" i="48"/>
  <c r="M109" i="48"/>
  <c r="M37" i="48"/>
  <c r="M74" i="48"/>
  <c r="H30" i="48"/>
  <c r="M16" i="48"/>
  <c r="M62" i="48"/>
  <c r="M41" i="48"/>
  <c r="M88" i="49"/>
  <c r="M111" i="48"/>
  <c r="M73" i="48"/>
  <c r="L73" i="48"/>
  <c r="M75" i="48"/>
  <c r="M34" i="48"/>
  <c r="M48" i="49"/>
  <c r="H27" i="49"/>
  <c r="H47" i="49"/>
  <c r="M86" i="48"/>
  <c r="M110" i="48"/>
  <c r="M83" i="48"/>
  <c r="M10" i="48"/>
  <c r="M40" i="48"/>
  <c r="M54" i="48"/>
  <c r="M87" i="49"/>
  <c r="L87" i="49"/>
  <c r="M18" i="48"/>
  <c r="M108" i="48"/>
  <c r="M17" i="48"/>
  <c r="M121" i="49"/>
  <c r="L7" i="49"/>
  <c r="M120" i="49"/>
  <c r="M119" i="49"/>
  <c r="M113" i="49"/>
  <c r="M118" i="49"/>
  <c r="M117" i="49"/>
  <c r="M111" i="49"/>
  <c r="M116" i="49"/>
  <c r="M115" i="49"/>
  <c r="M114" i="49"/>
  <c r="M112" i="49"/>
  <c r="M110" i="49"/>
  <c r="M7" i="49"/>
  <c r="M64" i="48"/>
  <c r="M106" i="48"/>
  <c r="M63" i="48"/>
  <c r="M78" i="48"/>
  <c r="M103" i="48"/>
  <c r="M65" i="48"/>
  <c r="M61" i="48"/>
  <c r="M47" i="49"/>
  <c r="L47" i="49"/>
  <c r="M105" i="48"/>
  <c r="M7" i="48"/>
  <c r="M28" i="49"/>
  <c r="M33" i="48"/>
  <c r="M68" i="49"/>
  <c r="M81" i="48"/>
  <c r="M53" i="48"/>
  <c r="L53" i="48"/>
  <c r="M27" i="49"/>
  <c r="L27" i="49"/>
  <c r="M12" i="48"/>
  <c r="M42" i="48"/>
  <c r="M102" i="48"/>
  <c r="M13" i="48"/>
  <c r="M85" i="48"/>
  <c r="C1" i="48" l="1"/>
  <c r="C1" i="49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<sst xmlns="http://schemas.openxmlformats.org/spreadsheetml/2006/main" count="2789" uniqueCount="422">
  <si>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</si>
  <si>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</si>
  <si>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</si>
  <si>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</si>
  <si>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</si>
  <si>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</si>
  <si>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</si>
  <si>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</si>
  <si>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</si>
  <si>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</si>
  <si>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</si>
  <si>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</si>
  <si>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</si>
  <si>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十二</t>
  </si>
  <si>
    <t>一</t>
  </si>
  <si>
    <t>二</t>
  </si>
  <si>
    <t>三</t>
  </si>
  <si>
    <t>四</t>
  </si>
  <si>
    <t>五</t>
  </si>
  <si>
    <t>六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</si>
  <si>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</si>
  <si>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</si>
  <si>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</si>
  <si>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</si>
  <si>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</si>
  <si>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</si>
  <si>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</si>
  <si>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</si>
  <si>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</si>
  <si>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</si>
  <si>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</si>
  <si>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</si>
  <si>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</si>
  <si>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</si>
  <si>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</si>
  <si>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</si>
  <si>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</si>
  <si>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</si>
  <si>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</si>
  <si>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</si>
  <si>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</si>
  <si>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</si>
  <si>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</si>
  <si>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</si>
  <si>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</si>
  <si>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</si>
  <si>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</si>
  <si>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</si>
  <si>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</si>
  <si>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</si>
  <si>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</si>
  <si>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</si>
  <si>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</si>
  <si>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</si>
  <si>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</si>
  <si>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</si>
  <si>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</si>
  <si>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</si>
  <si>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</si>
  <si>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</si>
  <si>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</si>
  <si>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</si>
  <si>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</si>
  <si>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</si>
  <si>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</si>
  <si>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</si>
  <si>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</si>
  <si>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</si>
  <si>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</si>
  <si>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</si>
  <si>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</si>
  <si>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</si>
  <si>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</si>
  <si>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</si>
  <si>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</si>
  <si>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</si>
  <si>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白酒蛤蜊義大利麵</t>
  </si>
  <si>
    <t>奶油培根義大利麵</t>
  </si>
  <si>
    <t>奶油起司蝦仁通心粉</t>
  </si>
  <si>
    <t>轉自動一線生產，人員補齊</t>
  </si>
  <si>
    <t>▼1</t>
  </si>
  <si>
    <t>沙茶豬肉炒麵</t>
  </si>
  <si>
    <t>人員不足</t>
  </si>
  <si>
    <t>▼2</t>
  </si>
  <si>
    <t>府城鹽水意麵</t>
  </si>
  <si>
    <t>▼3</t>
  </si>
  <si>
    <t>奶油蒜香雞義大利麵</t>
  </si>
  <si>
    <t>▼4</t>
  </si>
  <si>
    <t>剝皮辣椒雞奶油扁麵</t>
  </si>
  <si>
    <t>▼5</t>
  </si>
  <si>
    <t>焗烤起司肉醬筆尖麵</t>
  </si>
  <si>
    <t>新品,人員不足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</si>
  <si>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</si>
  <si>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切線兩次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</si>
  <si>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</si>
  <si>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</si>
  <si>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</si>
  <si>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</si>
  <si>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</si>
  <si>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</si>
  <si>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</si>
  <si>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</si>
  <si>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</si>
  <si>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</si>
  <si>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</si>
  <si>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</si>
  <si>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</si>
  <si>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</si>
  <si>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</si>
  <si>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</si>
  <si>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</si>
  <si>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</si>
  <si>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</si>
  <si>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</si>
  <si>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</si>
  <si>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</si>
  <si>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</si>
  <si>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</si>
  <si>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</si>
  <si>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</si>
  <si>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南洋紅咖哩豬義大利麵</t>
  </si>
  <si>
    <t>預估&gt;實際→配料方式變更</t>
  </si>
  <si>
    <t>義麵-海鮮湯凍(113年)</t>
  </si>
  <si>
    <t>煮意麵肉燥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</si>
  <si>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</si>
  <si>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</si>
  <si>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</si>
  <si>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剝皮辣椒雞奶油細扁麵</t>
  </si>
  <si>
    <t>包裝取樣不穩→加強教育訓練</t>
  </si>
  <si>
    <t>包裝超用超補→加強教育訓練</t>
  </si>
  <si>
    <t>濃拿波里義大利麵</t>
  </si>
  <si>
    <t>川燙-切紅甜椒丁</t>
  </si>
  <si>
    <t>113年煮沙茶炒麵湯凍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</si>
  <si>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</si>
  <si>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</si>
  <si>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</si>
  <si>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焗烤明太子筆尖麵</t>
  </si>
  <si>
    <t>加強稽核及教育訓練</t>
  </si>
  <si>
    <t>惡魔乳酪生義大利麵</t>
  </si>
  <si>
    <t>拿坡里義大利麵醬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</si>
  <si>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</si>
  <si>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</si>
  <si>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</si>
  <si>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</si>
  <si>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</si>
  <si>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</si>
  <si>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</si>
  <si>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</si>
  <si>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</si>
  <si>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</si>
  <si>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</si>
  <si>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</si>
  <si>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</si>
  <si>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</si>
  <si>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</si>
  <si>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</si>
  <si>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</si>
  <si>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</si>
  <si>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</si>
  <si>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</si>
  <si>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</si>
  <si>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</si>
  <si>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</si>
  <si>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</si>
  <si>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</si>
  <si>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</si>
  <si>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</si>
  <si>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</si>
  <si>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</si>
  <si>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</si>
  <si>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</si>
  <si>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</si>
  <si>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</si>
  <si>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</si>
  <si>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</si>
  <si>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</si>
  <si>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</si>
  <si>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</si>
  <si>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</si>
  <si>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生管預估</t>
  </si>
  <si>
    <t>依PBOA配料大於訂單</t>
  </si>
  <si>
    <t>週前二十</t>
  </si>
  <si>
    <t>焗烤奶油白醬</t>
  </si>
  <si>
    <t>預估量大於訂單量</t>
  </si>
  <si>
    <t>因夜間補料人員及主管缺員,為減少重工，故變更預估模式</t>
  </si>
  <si>
    <t>奶香白醬</t>
  </si>
  <si>
    <t>義麵-奶青醬(114年)</t>
  </si>
  <si>
    <t>義麵-韓式辣奶油白醬(114年)</t>
  </si>
  <si>
    <t>韓式炸雞義大利麵</t>
  </si>
  <si>
    <t>煮青花椒湯凍(114年)</t>
  </si>
  <si>
    <t>青花椒麻雞肉拌麵</t>
  </si>
  <si>
    <t>焗烤-蕃茄紅醬</t>
  </si>
  <si>
    <t>調理多產</t>
  </si>
  <si>
    <t>義麵-奶油起司白醬</t>
  </si>
  <si>
    <t>義麵-蛋黃白醬(113年)</t>
  </si>
  <si>
    <t>焗烤起司雙饗筆尖麵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</si>
  <si>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</si>
  <si>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義麵-剝皮辣椒奶醬</t>
  </si>
  <si>
    <t>包裝</t>
  </si>
  <si>
    <t>超用超補</t>
  </si>
  <si>
    <t>加強教育訓練，抓樣範圍95%~105%</t>
  </si>
  <si>
    <t>義麵-蒜味奶油湯凍</t>
  </si>
  <si>
    <t>步留因素</t>
  </si>
  <si>
    <t>川燙洋蔥絲</t>
  </si>
  <si>
    <t>油炒剝皮辣椒段</t>
  </si>
  <si>
    <t>調理</t>
  </si>
  <si>
    <t>川燙青椒絲</t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</si>
  <si>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</si>
  <si>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</si>
  <si>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</si>
  <si>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</si>
  <si>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甜不辣條包裝4條不足重，使用蘿蔔補重</t>
  </si>
  <si>
    <t>加強教育訓練，抓樣範圍95%~104%</t>
  </si>
  <si>
    <t>炒蕃茄絞肉</t>
  </si>
  <si>
    <t>113年炒沙茶豬肉片</t>
  </si>
  <si>
    <t>川燙油菜</t>
  </si>
  <si>
    <t>調理包-味噌醬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</si>
  <si>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</si>
  <si>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</si>
  <si>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</si>
  <si>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</si>
  <si>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</si>
  <si>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</si>
  <si>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</si>
  <si>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</si>
  <si>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</si>
  <si>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</si>
  <si>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</si>
  <si>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</si>
  <si>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</si>
  <si>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</si>
  <si>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</si>
  <si>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</si>
  <si>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</si>
  <si>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</si>
  <si>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</si>
  <si>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</si>
  <si>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</si>
  <si>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</si>
  <si>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</si>
  <si>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</si>
  <si>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</si>
  <si>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</si>
  <si>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</si>
  <si>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</si>
  <si>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</si>
  <si>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</si>
  <si>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</si>
  <si>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</si>
  <si>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</si>
  <si>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</si>
  <si>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</si>
  <si>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</si>
  <si>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</si>
  <si>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</si>
  <si>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</si>
  <si>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</si>
  <si>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</si>
  <si>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</si>
  <si>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</si>
  <si>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</si>
  <si>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</si>
  <si>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</si>
  <si>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</si>
  <si>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</si>
  <si>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</si>
  <si>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</si>
  <si>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</si>
  <si>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</si>
  <si>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</si>
  <si>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</si>
  <si>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</si>
  <si>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</si>
  <si>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</si>
  <si>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</si>
  <si>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</si>
  <si>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</si>
  <si>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</si>
  <si>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</si>
  <si>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</si>
  <si>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</si>
  <si>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</si>
  <si>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</si>
  <si>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</si>
  <si>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</si>
  <si>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</si>
  <si>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</si>
  <si>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</si>
  <si>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</si>
  <si>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</si>
  <si>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</si>
  <si>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</si>
  <si>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</si>
  <si>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</si>
  <si>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</si>
  <si>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</si>
  <si>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</si>
  <si>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</si>
  <si>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</si>
  <si>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</si>
  <si>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</si>
  <si>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</si>
  <si>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</si>
  <si>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</si>
  <si>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</si>
  <si>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</si>
  <si>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</si>
  <si>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</si>
  <si>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</si>
  <si>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</si>
  <si>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</si>
  <si>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</si>
  <si>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</si>
  <si>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</si>
  <si>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</si>
  <si>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</si>
  <si>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</si>
  <si>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</si>
  <si>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</si>
  <si>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</si>
  <si>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</si>
  <si>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</si>
  <si>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</si>
  <si>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</si>
  <si>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</si>
  <si>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</si>
  <si>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</si>
  <si>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</si>
  <si>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</si>
  <si>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</si>
  <si>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</si>
  <si>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</si>
  <si>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</si>
  <si>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</si>
  <si>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</si>
  <si>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</si>
  <si>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</si>
  <si>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</si>
  <si>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</si>
  <si>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</si>
  <si>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</si>
  <si>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</si>
  <si>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</si>
  <si>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</si>
  <si>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</si>
  <si>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</si>
  <si>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</si>
  <si>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</si>
  <si>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</si>
  <si>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</si>
  <si>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</si>
  <si>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</si>
  <si>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</si>
  <si>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</si>
  <si>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</si>
  <si>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</si>
  <si>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</si>
  <si>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</si>
  <si>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</si>
  <si>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</si>
  <si>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</si>
  <si>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</si>
  <si>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</si>
  <si>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</si>
  <si>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</si>
  <si>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</si>
  <si>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</si>
  <si>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</si>
  <si>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</si>
  <si>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</si>
  <si>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</si>
  <si>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</si>
  <si>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</si>
  <si>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</si>
  <si>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韓式起司炸雞義大利麵</t>
  </si>
  <si>
    <t>青花椒麻雞肉拌麵-降速生產</t>
  </si>
  <si>
    <t>奶油蒜香雞義大利麵-降速生產</t>
  </si>
  <si>
    <t>濃拿坡里義大利麵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</si>
  <si>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</si>
  <si>
    <t>熱那亞青醬義大利麵</t>
  </si>
  <si>
    <t>拿坡里義大利麵</t>
  </si>
  <si>
    <t>黑胡椒燻豬腿義大利麵</t>
  </si>
  <si>
    <t>韓式辣醬肉丸義大利麵</t>
  </si>
  <si>
    <t>家傳炸醬麵</t>
  </si>
  <si>
    <t>羊乳起司培根筆尖麵</t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</si>
  <si>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</si>
  <si>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</si>
  <si>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</si>
  <si>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</si>
  <si>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</si>
  <si>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</si>
  <si>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</si>
  <si>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</si>
  <si>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</si>
  <si>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</si>
  <si>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</si>
  <si>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</si>
  <si>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</si>
  <si>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</si>
  <si>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</si>
  <si>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</si>
  <si>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</si>
  <si>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</si>
  <si>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1223~1229</t>
    <phoneticPr fontId="19" type="noConversion"/>
  </si>
  <si>
    <t>義麵-乳酪青醬(114年)</t>
    <phoneticPr fontId="19" type="noConversion"/>
  </si>
  <si>
    <t>惡魔乳酪生義大利麵</t>
    <phoneticPr fontId="19" type="noConversion"/>
  </si>
  <si>
    <t>義麵-經典肉醬(114年)</t>
    <phoneticPr fontId="19" type="noConversion"/>
  </si>
  <si>
    <t>義式蕃茄起司義大利麵</t>
    <phoneticPr fontId="19" type="noConversion"/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</si>
  <si>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9" type="noConversion"/>
  </si>
  <si>
    <t>焗烤奶油白醬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</si>
  <si>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烤明太子筆尖麵</t>
    </r>
    <phoneticPr fontId="19" type="noConversion"/>
  </si>
  <si>
    <t>焗烤明太子筆尖麵</t>
    <phoneticPr fontId="19" type="noConversion"/>
  </si>
  <si>
    <t>奶香白醬</t>
    <phoneticPr fontId="19" type="noConversion"/>
  </si>
  <si>
    <t>奶油培根義大利麵</t>
    <phoneticPr fontId="19" type="noConversion"/>
  </si>
  <si>
    <t>義麵-奶青醬(114年)</t>
    <phoneticPr fontId="19" type="noConversion"/>
  </si>
  <si>
    <t>煮黑雞冠生義大利麵</t>
    <phoneticPr fontId="19" type="noConversion"/>
  </si>
  <si>
    <t>拿坡里義大利麵醬</t>
    <phoneticPr fontId="19" type="noConversion"/>
  </si>
  <si>
    <t>濃拿波里義大利麵</t>
    <phoneticPr fontId="19" type="noConversion"/>
  </si>
  <si>
    <t>烤熟杏仁角混花生角混帕瑪森乾酪絲</t>
    <phoneticPr fontId="19" type="noConversion"/>
  </si>
  <si>
    <t>自製乳酪起司</t>
    <phoneticPr fontId="19" type="noConversion"/>
  </si>
  <si>
    <t>煮單色彎管麵</t>
    <phoneticPr fontId="19" type="noConversion"/>
  </si>
  <si>
    <t>奶油起司蝦仁通心粉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</si>
</sst>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2"/>
      <color theme="1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66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8" fillId="9" borderId="43" xfId="15" applyNumberFormat="1" applyFont="1" applyFill="1" applyBorder="1" applyAlignment="1">
      <alignment horizontal="center" vertical="center"/>
    </xf>
    <xf numFmtId="191" fontId="78" fillId="0" borderId="43" xfId="15" applyNumberFormat="1" applyFont="1" applyBorder="1" applyAlignment="1">
      <alignment horizontal="center" vertical="center"/>
    </xf>
    <xf numFmtId="190" fontId="78" fillId="9" borderId="43" xfId="43" applyNumberFormat="1" applyFont="1" applyFill="1" applyBorder="1" applyAlignment="1">
      <alignment horizontal="center" vertical="center"/>
    </xf>
    <xf numFmtId="10" fontId="78" fillId="0" borderId="43" xfId="255" applyNumberFormat="1" applyFont="1" applyBorder="1" applyAlignment="1">
      <alignment horizontal="center" vertical="center"/>
    </xf>
    <xf numFmtId="190" fontId="78" fillId="9" borderId="43" xfId="255" applyNumberFormat="1" applyFont="1" applyFill="1" applyBorder="1" applyAlignment="1">
      <alignment horizontal="center" vertical="center"/>
    </xf>
    <xf numFmtId="192" fontId="78" fillId="9" borderId="43" xfId="15" applyNumberFormat="1" applyFont="1" applyFill="1" applyBorder="1" applyAlignment="1">
      <alignment horizontal="center" vertical="center"/>
    </xf>
    <xf numFmtId="10" fontId="78" fillId="0" borderId="43" xfId="15" applyNumberFormat="1" applyFont="1" applyBorder="1" applyAlignment="1">
      <alignment horizontal="center" vertical="center"/>
    </xf>
    <xf numFmtId="190" fontId="78" fillId="9" borderId="22" xfId="15" applyNumberFormat="1" applyFont="1" applyFill="1" applyBorder="1" applyAlignment="1">
      <alignment horizontal="center" vertical="center"/>
    </xf>
    <xf numFmtId="191" fontId="78" fillId="0" borderId="22" xfId="15" applyNumberFormat="1" applyFont="1" applyBorder="1" applyAlignment="1">
      <alignment horizontal="center" vertical="center"/>
    </xf>
    <xf numFmtId="190" fontId="78" fillId="9" borderId="22" xfId="43" applyNumberFormat="1" applyFont="1" applyFill="1" applyBorder="1" applyAlignment="1">
      <alignment horizontal="center" vertical="center"/>
    </xf>
    <xf numFmtId="10" fontId="78" fillId="0" borderId="22" xfId="255" applyNumberFormat="1" applyFont="1" applyBorder="1" applyAlignment="1">
      <alignment horizontal="center" vertical="center"/>
    </xf>
    <xf numFmtId="190" fontId="78" fillId="9" borderId="22" xfId="255" applyNumberFormat="1" applyFont="1" applyFill="1" applyBorder="1" applyAlignment="1">
      <alignment horizontal="center" vertical="center"/>
    </xf>
    <xf numFmtId="192" fontId="78" fillId="9" borderId="22" xfId="15" applyNumberFormat="1" applyFont="1" applyFill="1" applyBorder="1" applyAlignment="1">
      <alignment horizontal="center" vertical="center"/>
    </xf>
    <xf numFmtId="10" fontId="78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8" fillId="0" borderId="45" xfId="75" applyNumberFormat="1" applyFont="1" applyBorder="1" applyAlignment="1">
      <alignment horizontal="center" vertical="center"/>
    </xf>
    <xf numFmtId="189" fontId="77" fillId="0" borderId="46" xfId="75" applyNumberFormat="1" applyFont="1" applyBorder="1" applyAlignment="1">
      <alignment horizontal="center" vertical="center"/>
    </xf>
    <xf numFmtId="190" fontId="78" fillId="9" borderId="47" xfId="15" applyNumberFormat="1" applyFont="1" applyFill="1" applyBorder="1" applyAlignment="1">
      <alignment horizontal="center" vertical="center"/>
    </xf>
    <xf numFmtId="191" fontId="78" fillId="0" borderId="47" xfId="15" applyNumberFormat="1" applyFont="1" applyBorder="1" applyAlignment="1">
      <alignment horizontal="center" vertical="center"/>
    </xf>
    <xf numFmtId="10" fontId="78" fillId="0" borderId="47" xfId="255" applyNumberFormat="1" applyFont="1" applyBorder="1" applyAlignment="1">
      <alignment horizontal="center" vertical="center"/>
    </xf>
    <xf numFmtId="10" fontId="78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8" fillId="9" borderId="47" xfId="43" applyNumberFormat="1" applyFont="1" applyFill="1" applyBorder="1" applyAlignment="1">
      <alignment horizontal="center" vertical="center"/>
    </xf>
    <xf numFmtId="190" fontId="78" fillId="9" borderId="47" xfId="255" applyNumberFormat="1" applyFont="1" applyFill="1" applyBorder="1" applyAlignment="1">
      <alignment horizontal="center" vertical="center"/>
    </xf>
    <xf numFmtId="192" fontId="78" fillId="9" borderId="47" xfId="15" applyNumberFormat="1" applyFont="1" applyFill="1" applyBorder="1" applyAlignment="1">
      <alignment horizontal="center" vertical="center"/>
    </xf>
    <xf numFmtId="189" fontId="78" fillId="0" borderId="42" xfId="75" applyNumberFormat="1" applyFont="1" applyBorder="1" applyAlignment="1">
      <alignment horizontal="center" vertical="center"/>
    </xf>
    <xf numFmtId="190" fontId="78" fillId="9" borderId="30" xfId="15" applyNumberFormat="1" applyFont="1" applyFill="1" applyBorder="1" applyAlignment="1">
      <alignment horizontal="center" vertical="center"/>
    </xf>
    <xf numFmtId="191" fontId="78" fillId="0" borderId="30" xfId="15" applyNumberFormat="1" applyFont="1" applyBorder="1" applyAlignment="1">
      <alignment horizontal="center" vertical="center"/>
    </xf>
    <xf numFmtId="190" fontId="78" fillId="9" borderId="30" xfId="43" applyNumberFormat="1" applyFont="1" applyFill="1" applyBorder="1" applyAlignment="1">
      <alignment horizontal="center" vertical="center"/>
    </xf>
    <xf numFmtId="10" fontId="78" fillId="0" borderId="30" xfId="255" applyNumberFormat="1" applyFont="1" applyBorder="1" applyAlignment="1">
      <alignment horizontal="center" vertical="center"/>
    </xf>
    <xf numFmtId="190" fontId="78" fillId="9" borderId="30" xfId="255" applyNumberFormat="1" applyFont="1" applyFill="1" applyBorder="1" applyAlignment="1">
      <alignment horizontal="center" vertical="center"/>
    </xf>
    <xf numFmtId="192" fontId="78" fillId="9" borderId="30" xfId="15" applyNumberFormat="1" applyFont="1" applyFill="1" applyBorder="1" applyAlignment="1">
      <alignment horizontal="center" vertical="center"/>
    </xf>
    <xf numFmtId="10" fontId="78" fillId="0" borderId="30" xfId="15" applyNumberFormat="1" applyFont="1" applyBorder="1" applyAlignment="1">
      <alignment horizontal="center" vertical="center"/>
    </xf>
    <xf numFmtId="10" fontId="78" fillId="0" borderId="0" xfId="15" applyNumberFormat="1" applyFont="1" applyAlignment="1">
      <alignment horizontal="center" vertical="center"/>
    </xf>
    <xf numFmtId="189" fontId="79" fillId="0" borderId="22" xfId="75" applyNumberFormat="1" applyFont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0" fontId="78" fillId="0" borderId="0" xfId="15" applyFont="1">
      <alignment vertical="center"/>
    </xf>
    <xf numFmtId="1" fontId="78" fillId="0" borderId="0" xfId="15" applyNumberFormat="1" applyFont="1">
      <alignment vertical="center"/>
    </xf>
    <xf numFmtId="190" fontId="78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1" fillId="0" borderId="22" xfId="66" applyFont="1" applyBorder="1" applyAlignment="1">
      <alignment horizontal="center" vertical="center" shrinkToFit="1"/>
    </xf>
    <xf numFmtId="0" fontId="82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79" fillId="0" borderId="30" xfId="75" applyNumberFormat="1" applyFont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0" fontId="75" fillId="10" borderId="23" xfId="15" applyFont="1" applyFill="1" applyBorder="1" applyAlignment="1">
      <alignment horizontal="center" vertical="center" wrapText="1"/>
    </xf>
    <xf numFmtId="0" fontId="76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83" fontId="72" fillId="0" borderId="22" xfId="66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5" fillId="0" borderId="22" xfId="66" applyFont="1" applyBorder="1" applyAlignment="1">
      <alignment horizontal="left" vertical="center"/>
    </xf>
    <xf numFmtId="0" fontId="87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0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7" fillId="9" borderId="22" xfId="43" applyNumberFormat="1" applyFont="1" applyFill="1" applyBorder="1" applyAlignment="1">
      <alignment horizontal="center" vertical="center"/>
    </xf>
    <xf numFmtId="190" fontId="78" fillId="9" borderId="23" xfId="15" applyNumberFormat="1" applyFont="1" applyFill="1" applyBorder="1" applyAlignment="1">
      <alignment horizontal="center" vertical="center"/>
    </xf>
    <xf numFmtId="191" fontId="78" fillId="0" borderId="23" xfId="15" applyNumberFormat="1" applyFont="1" applyBorder="1" applyAlignment="1">
      <alignment horizontal="center" vertical="center"/>
    </xf>
    <xf numFmtId="190" fontId="78" fillId="9" borderId="23" xfId="43" applyNumberFormat="1" applyFont="1" applyFill="1" applyBorder="1" applyAlignment="1">
      <alignment horizontal="center" vertical="center"/>
    </xf>
    <xf numFmtId="10" fontId="78" fillId="0" borderId="23" xfId="255" applyNumberFormat="1" applyFont="1" applyBorder="1" applyAlignment="1">
      <alignment horizontal="center" vertical="center"/>
    </xf>
    <xf numFmtId="190" fontId="78" fillId="9" borderId="23" xfId="255" applyNumberFormat="1" applyFont="1" applyFill="1" applyBorder="1" applyAlignment="1">
      <alignment horizontal="center" vertical="center"/>
    </xf>
    <xf numFmtId="192" fontId="78" fillId="9" borderId="23" xfId="15" applyNumberFormat="1" applyFont="1" applyFill="1" applyBorder="1" applyAlignment="1">
      <alignment horizontal="center" vertical="center"/>
    </xf>
    <xf numFmtId="10" fontId="78" fillId="0" borderId="23" xfId="15" applyNumberFormat="1" applyFont="1" applyBorder="1" applyAlignment="1">
      <alignment horizontal="center" vertical="center"/>
    </xf>
    <xf numFmtId="193" fontId="78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0" fontId="37" fillId="0" borderId="22" xfId="5" applyFont="1" applyBorder="1" applyAlignment="1">
      <alignment horizontal="center" vertical="center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0" fontId="64" fillId="0" borderId="22" xfId="66" applyFont="1" applyBorder="1" applyAlignment="1">
      <alignment horizontal="left" vertical="center" wrapText="1"/>
    </xf>
    <xf numFmtId="193" fontId="78" fillId="0" borderId="29" xfId="15" applyNumberFormat="1" applyFont="1" applyBorder="1">
      <alignment vertical="center"/>
    </xf>
    <xf numFmtId="193" fontId="78" fillId="0" borderId="48" xfId="15" applyNumberFormat="1" applyFont="1" applyBorder="1">
      <alignment vertical="center"/>
    </xf>
    <xf numFmtId="189" fontId="77" fillId="0" borderId="45" xfId="75" applyNumberFormat="1" applyFont="1" applyBorder="1" applyAlignment="1">
      <alignment horizontal="center" vertical="center"/>
    </xf>
    <xf numFmtId="189" fontId="78" fillId="0" borderId="60" xfId="75" applyNumberFormat="1" applyFont="1" applyBorder="1" applyAlignment="1">
      <alignment horizontal="center" vertical="center"/>
    </xf>
    <xf numFmtId="189" fontId="78" fillId="0" borderId="46" xfId="75" applyNumberFormat="1" applyFont="1" applyBorder="1" applyAlignment="1">
      <alignment horizontal="center" vertical="center"/>
    </xf>
    <xf numFmtId="189" fontId="78" fillId="0" borderId="64" xfId="75" applyNumberFormat="1" applyFont="1" applyBorder="1" applyAlignment="1">
      <alignment horizontal="center" vertical="center"/>
    </xf>
    <xf numFmtId="190" fontId="77" fillId="9" borderId="43" xfId="15" applyNumberFormat="1" applyFont="1" applyFill="1" applyBorder="1" applyAlignment="1">
      <alignment horizontal="center" vertical="center"/>
    </xf>
    <xf numFmtId="0" fontId="76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8" fillId="0" borderId="62" xfId="15" applyNumberFormat="1" applyFont="1" applyBorder="1">
      <alignment vertical="center"/>
    </xf>
    <xf numFmtId="193" fontId="78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37" fillId="0" borderId="22" xfId="55" applyFont="1" applyBorder="1" applyAlignment="1">
      <alignment horizontal="center"/>
    </xf>
    <xf numFmtId="0" fontId="30" fillId="0" borderId="22" xfId="66" applyFont="1" applyFill="1" applyBorder="1" applyAlignment="1">
      <alignment horizontal="left" vertical="center"/>
    </xf>
    <xf numFmtId="0" fontId="84" fillId="0" borderId="22" xfId="66" applyFont="1" applyFill="1" applyBorder="1" applyAlignment="1">
      <alignment horizontal="left" vertical="center"/>
    </xf>
    <xf numFmtId="0" fontId="40" fillId="0" borderId="0" xfId="66" applyFont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187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right" vertical="center"/>
    </xf>
    <xf numFmtId="0" fontId="71" fillId="0" borderId="0" xfId="0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34" fillId="0" borderId="0" xfId="66" applyFont="1" applyAlignment="1">
      <alignment horizontal="left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26" fillId="0" borderId="22" xfId="66" applyFont="1" applyBorder="1" applyAlignment="1">
      <alignment horizontal="center" vertic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49" fillId="0" borderId="22" xfId="66" applyFont="1" applyBorder="1" applyAlignment="1">
      <alignment horizontal="center" vertical="center" shrinkToFit="1"/>
    </xf>
    <xf numFmtId="0" fontId="28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65" fillId="0" borderId="27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3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65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65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83" fillId="5" borderId="22" xfId="14" applyFont="1" applyFill="1" applyBorder="1" applyAlignment="1">
      <alignment horizontal="center"/>
    </xf>
    <xf numFmtId="0" fontId="86" fillId="5" borderId="22" xfId="14" applyFont="1" applyFill="1" applyBorder="1" applyAlignment="1">
      <alignment horizontal="center"/>
    </xf>
    <xf numFmtId="193" fontId="78" fillId="0" borderId="44" xfId="15" applyNumberFormat="1" applyFont="1" applyBorder="1" applyAlignment="1">
      <alignment horizontal="center" vertical="center"/>
    </xf>
    <xf numFmtId="193" fontId="78" fillId="0" borderId="29" xfId="15" applyNumberFormat="1" applyFont="1" applyBorder="1" applyAlignment="1">
      <alignment horizontal="center" vertical="center"/>
    </xf>
    <xf numFmtId="193" fontId="78" fillId="0" borderId="48" xfId="15" applyNumberFormat="1" applyFont="1" applyBorder="1" applyAlignment="1">
      <alignment horizontal="center" vertical="center"/>
    </xf>
    <xf numFmtId="193" fontId="78" fillId="0" borderId="61" xfId="15" applyNumberFormat="1" applyFont="1" applyBorder="1" applyAlignment="1">
      <alignment horizontal="center" vertical="center"/>
    </xf>
    <xf numFmtId="193" fontId="78" fillId="0" borderId="62" xfId="15" applyNumberFormat="1" applyFont="1" applyBorder="1" applyAlignment="1">
      <alignment horizontal="center" vertical="center"/>
    </xf>
    <xf numFmtId="193" fontId="78" fillId="0" borderId="63" xfId="15" applyNumberFormat="1" applyFont="1" applyBorder="1" applyAlignment="1">
      <alignment horizontal="center" vertical="center"/>
    </xf>
    <xf numFmtId="0" fontId="80" fillId="0" borderId="0" xfId="75" applyFont="1" applyAlignment="1">
      <alignment horizontal="left" vertical="center"/>
    </xf>
    <xf numFmtId="0" fontId="74" fillId="5" borderId="42" xfId="15" applyFont="1" applyFill="1" applyBorder="1" applyAlignment="1">
      <alignment horizontal="center" vertical="center"/>
    </xf>
    <xf numFmtId="0" fontId="74" fillId="5" borderId="43" xfId="15" applyFont="1" applyFill="1" applyBorder="1" applyAlignment="1">
      <alignment horizontal="center" vertical="center"/>
    </xf>
    <xf numFmtId="0" fontId="74" fillId="5" borderId="49" xfId="15" applyFont="1" applyFill="1" applyBorder="1" applyAlignment="1">
      <alignment horizontal="center" vertical="center"/>
    </xf>
    <xf numFmtId="0" fontId="75" fillId="10" borderId="45" xfId="15" applyFont="1" applyFill="1" applyBorder="1" applyAlignment="1">
      <alignment horizontal="center" vertical="center" wrapText="1"/>
    </xf>
    <xf numFmtId="0" fontId="75" fillId="10" borderId="64" xfId="15" applyFont="1" applyFill="1" applyBorder="1" applyAlignment="1">
      <alignment horizontal="center" vertical="center" wrapText="1"/>
    </xf>
    <xf numFmtId="0" fontId="75" fillId="10" borderId="22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 wrapText="1"/>
    </xf>
    <xf numFmtId="0" fontId="76" fillId="10" borderId="27" xfId="15" applyFont="1" applyFill="1" applyBorder="1" applyAlignment="1">
      <alignment horizontal="center" vertical="center"/>
    </xf>
    <xf numFmtId="0" fontId="76" fillId="10" borderId="28" xfId="15" applyFont="1" applyFill="1" applyBorder="1" applyAlignment="1">
      <alignment horizontal="center" vertical="center"/>
    </xf>
    <xf numFmtId="0" fontId="76" fillId="10" borderId="65" xfId="15" applyFont="1" applyFill="1" applyBorder="1" applyAlignment="1">
      <alignment horizontal="center" vertical="center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8" xfId="8"/>
    <cellStyle name="一般 2 2" xfId="9"/>
    <cellStyle name="一般 2 2 10" xfId="10"/>
    <cellStyle name="一般 2 2 2" xfId="11"/>
    <cellStyle name="一般 2 2 2 2" xfId="12"/>
    <cellStyle name="一般 2 2 30 2 2 30 2" xfId="13"/>
    <cellStyle name="一般 2 2 30 2 2 30 2 2" xfId="14"/>
    <cellStyle name="一般 2 2 30 2 2 30 2 2 2" xfId="15"/>
    <cellStyle name="一般 2 2 30 2 2 30 2 2 3" xfId="16"/>
    <cellStyle name="一般 2 2 30 2 2 30 2 3" xfId="17"/>
    <cellStyle name="一般 2 2 30 2 2 30 2 3 2" xfId="18"/>
    <cellStyle name="一般 2 2 30 2 2 30 2 4" xfId="19"/>
    <cellStyle name="一般 2 2 30 2 2 30 2 4 2" xfId="20"/>
    <cellStyle name="一般 2 2 30 2 2 30 2 4 2 2" xfId="21"/>
    <cellStyle name="一般 2 2 30 2 2 30 2 4 3" xfId="22"/>
    <cellStyle name="一般 2 2 30 2 2 30 2 4 3 2" xfId="23"/>
    <cellStyle name="一般 2 2 30 2 2 30 2 4 3 2 2" xfId="24"/>
    <cellStyle name="一般 2 2 30 2 2 30 2 4 3 3" xfId="25"/>
    <cellStyle name="一般 2 2 30 2 2 30 2 4 3 3 2" xfId="26"/>
    <cellStyle name="一般 2 2 30 2 2 30 2 4 3 4" xfId="27"/>
    <cellStyle name="一般 2 2 30 2 2 30 2 4 3 4 2" xfId="28"/>
    <cellStyle name="一般 2 2 30 2 2 30 2 4 3 5" xfId="29"/>
    <cellStyle name="一般 2 2 30 2 2 30 2 4 4" xfId="30"/>
    <cellStyle name="一般 2 2 30 2 2 30 2 4 4 2" xfId="31"/>
    <cellStyle name="一般 2 2 30 2 2 30 2 4 5" xfId="32"/>
    <cellStyle name="一般 2 2 30 2 2 30 2 4 5 2" xfId="33"/>
    <cellStyle name="一般 2 2 30 2 2 30 2 4 6" xfId="34"/>
    <cellStyle name="一般 2 2 30 2 2 30 2 5" xfId="35"/>
    <cellStyle name="一般 2 2 30 2 2 30 2 5 2" xfId="36"/>
    <cellStyle name="一般 2 2 30 2 2 30 2 6" xfId="37"/>
    <cellStyle name="一般 2 2 30 2 2 30 2 6 2" xfId="38"/>
    <cellStyle name="一般 2 2 30 2 2 30 2 7" xfId="39"/>
    <cellStyle name="一般 2 2 30 2 2 30 2 7 2" xfId="40"/>
    <cellStyle name="一般 2 2 30 2 2 30 2 8" xfId="41"/>
    <cellStyle name="一般 2 2 30 2 3 2" xfId="42"/>
    <cellStyle name="一般 2 2 30 2 3 2 2" xfId="43"/>
    <cellStyle name="一般 2 2 30 2 3 2 3" xfId="44"/>
    <cellStyle name="一般 2 2 30 3 30" xfId="45"/>
    <cellStyle name="一般 2 2 30 3 30 2" xfId="46"/>
    <cellStyle name="一般 2 2 30 3 30 4" xfId="47"/>
    <cellStyle name="一般 2 2 30 3 30 4 2" xfId="48"/>
    <cellStyle name="一般 2 2 30 3 30 4 2 2" xfId="49"/>
    <cellStyle name="一般 2 2 30 3 30 4 3" xfId="50"/>
    <cellStyle name="一般 2 2 30 3 30 4 3 2" xfId="51"/>
    <cellStyle name="一般 2 2 30 3 30 4 4" xfId="52"/>
    <cellStyle name="一般 2 2 30 3 30 4 4 2" xfId="53"/>
    <cellStyle name="一般 2 2 30 3 30 4 5" xfId="54"/>
    <cellStyle name="一般 2 2 4" xfId="55"/>
    <cellStyle name="一般 2 2 4 2" xfId="56"/>
    <cellStyle name="一般 2 2 4 2 2" xfId="57"/>
    <cellStyle name="一般 2 2 4 3" xfId="58"/>
    <cellStyle name="一般 2 2 4 3 2" xfId="59"/>
    <cellStyle name="一般 2 2 4 4" xfId="60"/>
    <cellStyle name="一般 2 2 4 5" xfId="61"/>
    <cellStyle name="一般 2 3" xfId="62"/>
    <cellStyle name="一般 2 4 2" xfId="63"/>
    <cellStyle name="一般 2 8" xfId="64"/>
    <cellStyle name="一般 2 8 23" xfId="65"/>
    <cellStyle name="一般 3" xfId="66"/>
    <cellStyle name="一般 3 3 3 2" xfId="67"/>
    <cellStyle name="一般 3 3 3 2 2" xfId="68"/>
    <cellStyle name="一般 3 3 3 2 2 2" xfId="69"/>
    <cellStyle name="一般 3 3 3 2 3" xfId="70"/>
    <cellStyle name="一般 3 3 3 2 3 2" xfId="71"/>
    <cellStyle name="一般 3 3 3 2 4" xfId="72"/>
    <cellStyle name="一般 3 3 3 2 4 2" xfId="73"/>
    <cellStyle name="一般 3 3 3 2 5" xfId="74"/>
    <cellStyle name="一般 4" xfId="75"/>
    <cellStyle name="一般 5" xfId="76"/>
    <cellStyle name="一般 5 2" xfId="77"/>
    <cellStyle name="一般 5 2 2" xfId="78"/>
    <cellStyle name="一般 5 3" xfId="79"/>
    <cellStyle name="一般 5 3 2" xfId="80"/>
    <cellStyle name="一般 5 4" xfId="81"/>
    <cellStyle name="一般 5 4 2" xfId="82"/>
    <cellStyle name="一般 5 5" xfId="83"/>
    <cellStyle name="一般 5 5 2" xfId="84"/>
    <cellStyle name="一般 5 6" xfId="85"/>
    <cellStyle name="一般 6" xfId="86"/>
    <cellStyle name="一般 6 2" xfId="87"/>
    <cellStyle name="一般 7" xfId="88"/>
    <cellStyle name="一般 7 2" xfId="89"/>
    <cellStyle name="一般 8" xfId="90"/>
    <cellStyle name="一般 8 2" xfId="91"/>
    <cellStyle name="一般 9" xfId="92"/>
    <cellStyle name="一般 9 2" xfId="93"/>
    <cellStyle name="千分位" xfId="94" builtinId="3"/>
    <cellStyle name="千分位 2" xfId="95"/>
    <cellStyle name="千分位 2 10" xfId="96"/>
    <cellStyle name="千分位 2 10 2" xfId="97"/>
    <cellStyle name="千分位 2 10 2 2" xfId="98"/>
    <cellStyle name="千分位 2 10 2 2 2" xfId="99"/>
    <cellStyle name="千分位 2 10 2 2 2 2" xfId="100"/>
    <cellStyle name="千分位 2 10 2 2 2 2 2" xfId="101"/>
    <cellStyle name="千分位 2 10 2 2 2 3" xfId="102"/>
    <cellStyle name="千分位 2 10 2 2 3" xfId="103"/>
    <cellStyle name="千分位 2 10 2 2 3 2" xfId="104"/>
    <cellStyle name="千分位 2 10 2 2 4" xfId="105"/>
    <cellStyle name="千分位 2 10 2 3" xfId="106"/>
    <cellStyle name="千分位 2 10 2 3 2" xfId="107"/>
    <cellStyle name="千分位 2 10 2 3 2 2" xfId="108"/>
    <cellStyle name="千分位 2 10 2 3 3" xfId="109"/>
    <cellStyle name="千分位 2 10 2 4" xfId="110"/>
    <cellStyle name="千分位 2 10 2 4 2" xfId="111"/>
    <cellStyle name="千分位 2 10 2 5" xfId="112"/>
    <cellStyle name="千分位 2 10 3" xfId="113"/>
    <cellStyle name="千分位 2 10 3 2" xfId="114"/>
    <cellStyle name="千分位 2 10 3 2 2" xfId="115"/>
    <cellStyle name="千分位 2 10 3 2 2 2" xfId="116"/>
    <cellStyle name="千分位 2 10 3 2 3" xfId="117"/>
    <cellStyle name="千分位 2 10 3 3" xfId="118"/>
    <cellStyle name="千分位 2 10 3 3 2" xfId="119"/>
    <cellStyle name="千分位 2 10 3 4" xfId="120"/>
    <cellStyle name="千分位 2 10 4" xfId="121"/>
    <cellStyle name="千分位 2 10 4 2" xfId="122"/>
    <cellStyle name="千分位 2 10 4 2 2" xfId="123"/>
    <cellStyle name="千分位 2 10 4 3" xfId="124"/>
    <cellStyle name="千分位 2 10 5" xfId="125"/>
    <cellStyle name="千分位 2 10 5 2" xfId="126"/>
    <cellStyle name="千分位 2 10 6" xfId="127"/>
    <cellStyle name="千分位 2 2" xfId="128"/>
    <cellStyle name="千分位 2 2 2" xfId="129"/>
    <cellStyle name="千分位 2 2 2 2" xfId="130"/>
    <cellStyle name="千分位 2 2 2 2 2" xfId="131"/>
    <cellStyle name="千分位 2 2 2 2 2 2" xfId="132"/>
    <cellStyle name="千分位 2 2 2 2 3" xfId="133"/>
    <cellStyle name="千分位 2 2 2 3" xfId="134"/>
    <cellStyle name="千分位 2 2 2 3 2" xfId="135"/>
    <cellStyle name="千分位 2 2 2 4" xfId="136"/>
    <cellStyle name="千分位 2 2 2 5" xfId="137"/>
    <cellStyle name="千分位 2 2 3" xfId="138"/>
    <cellStyle name="千分位 2 2 3 2" xfId="139"/>
    <cellStyle name="千分位 2 2 3 2 2" xfId="140"/>
    <cellStyle name="千分位 2 2 3 3" xfId="141"/>
    <cellStyle name="千分位 2 2 4" xfId="142"/>
    <cellStyle name="千分位 2 2 4 2" xfId="143"/>
    <cellStyle name="千分位 2 2 5" xfId="144"/>
    <cellStyle name="千分位 2 2 6" xfId="145"/>
    <cellStyle name="千分位 2 3" xfId="146"/>
    <cellStyle name="千分位 2 3 2" xfId="147"/>
    <cellStyle name="千分位 2 3 2 2" xfId="148"/>
    <cellStyle name="千分位 2 3 2 2 2" xfId="149"/>
    <cellStyle name="千分位 2 3 2 2 2 2" xfId="150"/>
    <cellStyle name="千分位 2 3 2 2 3" xfId="151"/>
    <cellStyle name="千分位 2 3 2 3" xfId="152"/>
    <cellStyle name="千分位 2 3 2 3 2" xfId="153"/>
    <cellStyle name="千分位 2 3 2 4" xfId="154"/>
    <cellStyle name="千分位 2 3 2 5" xfId="155"/>
    <cellStyle name="千分位 2 3 3" xfId="156"/>
    <cellStyle name="千分位 2 3 3 2" xfId="157"/>
    <cellStyle name="千分位 2 3 3 2 2" xfId="158"/>
    <cellStyle name="千分位 2 3 3 3" xfId="159"/>
    <cellStyle name="千分位 2 3 4" xfId="160"/>
    <cellStyle name="千分位 2 3 4 2" xfId="161"/>
    <cellStyle name="千分位 2 3 5" xfId="162"/>
    <cellStyle name="千分位 2 3 6" xfId="163"/>
    <cellStyle name="千分位 2 4" xfId="164"/>
    <cellStyle name="千分位 2 4 2" xfId="165"/>
    <cellStyle name="千分位 2 4 2 2" xfId="166"/>
    <cellStyle name="千分位 2 4 2 2 2" xfId="167"/>
    <cellStyle name="千分位 2 4 2 3" xfId="168"/>
    <cellStyle name="千分位 2 4 2 4" xfId="169"/>
    <cellStyle name="千分位 2 4 3" xfId="170"/>
    <cellStyle name="千分位 2 4 3 2" xfId="171"/>
    <cellStyle name="千分位 2 4 4" xfId="172"/>
    <cellStyle name="千分位 2 4 5" xfId="173"/>
    <cellStyle name="千分位 2 5" xfId="174"/>
    <cellStyle name="千分位 2 5 2" xfId="175"/>
    <cellStyle name="千分位 2 5 2 2" xfId="176"/>
    <cellStyle name="千分位 2 5 2 3" xfId="177"/>
    <cellStyle name="千分位 2 5 3" xfId="178"/>
    <cellStyle name="千分位 2 5 4" xfId="179"/>
    <cellStyle name="千分位 2 6" xfId="180"/>
    <cellStyle name="千分位 2 6 2" xfId="181"/>
    <cellStyle name="千分位 2 6 3" xfId="182"/>
    <cellStyle name="千分位 2 7" xfId="183"/>
    <cellStyle name="千分位 2 8" xfId="184"/>
    <cellStyle name="千分位 2 8 2" xfId="185"/>
    <cellStyle name="千分位 2 8 2 2" xfId="186"/>
    <cellStyle name="千分位 2 8 2 2 2" xfId="187"/>
    <cellStyle name="千分位 2 8 2 2 2 2" xfId="188"/>
    <cellStyle name="千分位 2 8 2 2 2 2 2" xfId="189"/>
    <cellStyle name="千分位 2 8 2 2 2 3" xfId="190"/>
    <cellStyle name="千分位 2 8 2 2 3" xfId="191"/>
    <cellStyle name="千分位 2 8 2 2 3 2" xfId="192"/>
    <cellStyle name="千分位 2 8 2 2 4" xfId="193"/>
    <cellStyle name="千分位 2 8 2 3" xfId="194"/>
    <cellStyle name="千分位 2 8 2 3 2" xfId="195"/>
    <cellStyle name="千分位 2 8 2 3 2 2" xfId="196"/>
    <cellStyle name="千分位 2 8 2 3 3" xfId="197"/>
    <cellStyle name="千分位 2 8 2 4" xfId="198"/>
    <cellStyle name="千分位 2 8 2 4 2" xfId="199"/>
    <cellStyle name="千分位 2 8 2 5" xfId="200"/>
    <cellStyle name="千分位 2 8 3" xfId="201"/>
    <cellStyle name="千分位 2 8 3 2" xfId="202"/>
    <cellStyle name="千分位 2 8 3 2 2" xfId="203"/>
    <cellStyle name="千分位 2 8 3 2 2 2" xfId="204"/>
    <cellStyle name="千分位 2 8 3 2 3" xfId="205"/>
    <cellStyle name="千分位 2 8 3 3" xfId="206"/>
    <cellStyle name="千分位 2 8 3 3 2" xfId="207"/>
    <cellStyle name="千分位 2 8 3 4" xfId="208"/>
    <cellStyle name="千分位 2 8 4" xfId="209"/>
    <cellStyle name="千分位 2 8 4 2" xfId="210"/>
    <cellStyle name="千分位 2 8 4 2 2" xfId="211"/>
    <cellStyle name="千分位 2 8 4 3" xfId="212"/>
    <cellStyle name="千分位 2 8 5" xfId="213"/>
    <cellStyle name="千分位 2 8 5 2" xfId="214"/>
    <cellStyle name="千分位 2 8 6" xfId="215"/>
    <cellStyle name="千分位 2 9" xfId="216"/>
    <cellStyle name="千分位 3" xfId="217"/>
    <cellStyle name="千分位 9" xfId="218"/>
    <cellStyle name="千分位 9 2" xfId="219"/>
    <cellStyle name="千分位 9 2 2" xfId="220"/>
    <cellStyle name="千分位 9 2 2 2" xfId="221"/>
    <cellStyle name="千分位 9 2 2 2 2" xfId="222"/>
    <cellStyle name="千分位 9 2 2 2 2 2" xfId="223"/>
    <cellStyle name="千分位 9 2 2 2 3" xfId="224"/>
    <cellStyle name="千分位 9 2 2 3" xfId="225"/>
    <cellStyle name="千分位 9 2 2 3 2" xfId="226"/>
    <cellStyle name="千分位 9 2 2 4" xfId="227"/>
    <cellStyle name="千分位 9 2 3" xfId="228"/>
    <cellStyle name="千分位 9 2 3 2" xfId="229"/>
    <cellStyle name="千分位 9 2 3 2 2" xfId="230"/>
    <cellStyle name="千分位 9 2 3 3" xfId="231"/>
    <cellStyle name="千分位 9 2 4" xfId="232"/>
    <cellStyle name="千分位 9 2 4 2" xfId="233"/>
    <cellStyle name="千分位 9 2 5" xfId="234"/>
    <cellStyle name="千分位 9 3" xfId="235"/>
    <cellStyle name="千分位 9 3 2" xfId="236"/>
    <cellStyle name="千分位 9 3 2 2" xfId="237"/>
    <cellStyle name="千分位 9 3 2 2 2" xfId="238"/>
    <cellStyle name="千分位 9 3 2 3" xfId="239"/>
    <cellStyle name="千分位 9 3 3" xfId="240"/>
    <cellStyle name="千分位 9 3 3 2" xfId="241"/>
    <cellStyle name="千分位 9 3 4" xfId="242"/>
    <cellStyle name="千分位 9 4" xfId="243"/>
    <cellStyle name="千分位 9 4 2" xfId="244"/>
    <cellStyle name="千分位 9 4 2 2" xfId="245"/>
    <cellStyle name="千分位 9 4 3" xfId="246"/>
    <cellStyle name="千分位 9 5" xfId="247"/>
    <cellStyle name="千分位 9 5 2" xfId="248"/>
    <cellStyle name="千分位 9 6" xfId="249"/>
    <cellStyle name="百分比" xfId="250" builtinId="5"/>
    <cellStyle name="百分比 2" xfId="251"/>
    <cellStyle name="百分比 2 2" xfId="252"/>
    <cellStyle name="百分比 2 2 2" xfId="253"/>
    <cellStyle name="百分比 2 2 2 2" xfId="254"/>
    <cellStyle name="百分比 2 3" xfId="255"/>
    <cellStyle name="百分比 2 5" xfId="256"/>
    <cellStyle name="百分比 3" xfId="257"/>
    <cellStyle name="百分比 4" xfId="258"/>
    <cellStyle name="百分比 5" xfId="259"/>
    <cellStyle name="百分比 5 2" xfId="260"/>
    <cellStyle name="百分比 6" xfId="261"/>
    <cellStyle name="百分比 6 2" xfId="262"/>
    <cellStyle name="百分比 6 4" xfId="263"/>
    <cellStyle name="百分比 6 4 2" xfId="264"/>
    <cellStyle name="百分比 6 4 2 2" xfId="265"/>
    <cellStyle name="百分比 6 4 3" xfId="266"/>
    <cellStyle name="百分比 6 4 3 2" xfId="267"/>
    <cellStyle name="百分比 6 4 4" xfId="268"/>
    <cellStyle name="百分比 6 4 4 2" xfId="269"/>
    <cellStyle name="百分比 6 4 5" xfId="270"/>
    <cellStyle name="百分比 7" xfId="271"/>
    <cellStyle name="百分比 7 2" xfId="272"/>
    <cellStyle name="百分比 7 3" xfId="273"/>
    <cellStyle name="百分比 8" xfId="274"/>
    <cellStyle name="百分比 8 2" xfId="2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I8" sqref="I8"/>
    </sheetView>
  </sheetViews>
  <sheetFormatPr defaultColWidth="12.54296875" defaultRowHeight="15.75" customHeight="1"/>
  <cols>
    <col min="1" max="1" width="27.453125" style="161" bestFit="1" customWidth="1"/>
    <col min="2" max="4" width="12.54296875" style="161" customWidth="1"/>
    <col min="5" max="5" width="16.453125" style="161" customWidth="1"/>
    <col min="6" max="6" width="2.453125" style="161" customWidth="1"/>
    <col min="7" max="7" width="24.81640625" style="161" bestFit="1" customWidth="1"/>
    <col min="8" max="10" width="12.54296875" style="161" customWidth="1"/>
    <col min="11" max="11" width="16.453125" style="161" customWidth="1"/>
    <col min="12" max="12" width="12.54296875" style="162" customWidth="1"/>
    <col min="13" max="19" width="12.54296875" style="161" customWidth="1"/>
    <col min="20" max="16384" width="12.54296875" style="161"/>
  </cols>
  <sheetData>
    <row r="1" spans="1:14" ht="15.75" customHeight="1">
      <c r="A1" s="391" t="s">
        <v>385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161"/>
    </row>
    <row r="2" spans="1:14" s="162" customFormat="1" ht="15.75" customHeight="1">
      <c r="A2" s="391"/>
      <c r="B2" s="391"/>
      <c r="C2" s="391"/>
      <c r="D2" s="391"/>
      <c r="E2" s="391"/>
      <c r="F2" s="391"/>
      <c r="G2" s="391"/>
      <c r="H2" s="391"/>
      <c r="I2" s="391"/>
      <c r="J2" s="391"/>
      <c r="K2" s="391"/>
    </row>
    <row r="3" spans="1:14" ht="21.65" customHeight="1">
      <c r="A3" s="299" t="s">
        <v>230</v>
      </c>
      <c r="B3" s="300">
        <v>12</v>
      </c>
      <c r="C3" s="301" t="s">
        <v>148</v>
      </c>
      <c r="D3" s="302" t="s">
        <v>386</v>
      </c>
      <c r="E3" s="299" t="s">
        <v>387</v>
      </c>
      <c r="F3" s="392" t="s">
        <v>388</v>
      </c>
      <c r="G3" s="393"/>
      <c r="H3" s="162"/>
      <c r="I3" s="303"/>
      <c r="J3" s="162"/>
      <c r="K3" s="162"/>
      <c r="M3" s="162"/>
      <c r="N3" s="162"/>
    </row>
    <row r="4" spans="1:14" ht="15.75" customHeight="1">
      <c r="A4" s="304" t="s">
        <v>389</v>
      </c>
      <c r="E4" s="305" t="s">
        <v>234</v>
      </c>
      <c r="G4" s="306" t="s">
        <v>20</v>
      </c>
      <c r="L4" s="161"/>
    </row>
    <row r="5" spans="1:14" s="196" customFormat="1" ht="15.75" customHeight="1">
      <c r="A5" s="307" t="s">
        <v>97</v>
      </c>
      <c r="B5" s="307" t="s">
        <v>390</v>
      </c>
      <c r="C5" s="307" t="s">
        <v>391</v>
      </c>
      <c r="D5" s="308" t="s">
        <v>144</v>
      </c>
      <c r="E5" s="308" t="s">
        <v>239</v>
      </c>
      <c r="G5" s="307" t="s">
        <v>97</v>
      </c>
      <c r="H5" s="308" t="s">
        <v>240</v>
      </c>
      <c r="I5" s="308" t="s">
        <v>390</v>
      </c>
      <c r="J5" s="308" t="s">
        <v>391</v>
      </c>
      <c r="K5" s="308" t="s">
        <v>239</v>
      </c>
      <c r="L5" s="309" t="s">
        <v>241</v>
      </c>
    </row>
    <row r="6" spans="1:14" ht="18" customHeight="1">
      <c r="A6" s="191" t="s">
        <v>95</v>
      </c>
      <c r="B6" s="166">
        <v>16420.349999999999</v>
      </c>
      <c r="C6" s="166">
        <v>17357</v>
      </c>
      <c r="D6" s="166">
        <f t="shared" ref="D6:D11" si="0">B6-C6</f>
        <v>-936.65000000000146</v>
      </c>
      <c r="E6" s="166">
        <v>68791.95</v>
      </c>
      <c r="G6" s="191" t="s">
        <v>392</v>
      </c>
      <c r="H6" s="310">
        <v>112.8</v>
      </c>
      <c r="I6" s="310">
        <v>100</v>
      </c>
      <c r="J6" s="310">
        <v>102.7</v>
      </c>
      <c r="K6" s="310">
        <v>101.2</v>
      </c>
      <c r="L6" s="311" t="s">
        <v>393</v>
      </c>
    </row>
    <row r="7" spans="1:14" ht="18" customHeight="1">
      <c r="A7" s="191" t="s">
        <v>245</v>
      </c>
      <c r="B7" s="166">
        <v>345306</v>
      </c>
      <c r="C7" s="166">
        <v>365761</v>
      </c>
      <c r="D7" s="166">
        <f t="shared" si="0"/>
        <v>-20455</v>
      </c>
      <c r="E7" s="166">
        <v>1446739</v>
      </c>
      <c r="G7" s="191" t="s">
        <v>394</v>
      </c>
      <c r="H7" s="167">
        <v>0.8</v>
      </c>
      <c r="I7" s="167">
        <f>I6/H6</f>
        <v>0.88652482269503552</v>
      </c>
      <c r="J7" s="167">
        <f>J6/H6</f>
        <v>0.91046099290780147</v>
      </c>
      <c r="K7" s="167">
        <f>K6/H6</f>
        <v>0.8971631205673759</v>
      </c>
      <c r="L7" s="311" t="s">
        <v>247</v>
      </c>
    </row>
    <row r="8" spans="1:14" ht="18" customHeight="1">
      <c r="A8" s="191" t="s">
        <v>249</v>
      </c>
      <c r="B8" s="166">
        <v>10366.82</v>
      </c>
      <c r="C8" s="166">
        <v>10959</v>
      </c>
      <c r="D8" s="166">
        <f>B8-C8</f>
        <v>-592.18000000000029</v>
      </c>
      <c r="E8" s="166">
        <v>43425.21</v>
      </c>
      <c r="G8" s="191" t="s">
        <v>395</v>
      </c>
      <c r="H8" s="167">
        <v>2.5000000000000001E-3</v>
      </c>
      <c r="I8" s="167">
        <v>8.0999999999999996E-3</v>
      </c>
      <c r="J8" s="167">
        <v>2.5999999999999999E-3</v>
      </c>
      <c r="K8" s="167">
        <v>3.8999999999999998E-3</v>
      </c>
      <c r="L8" s="311" t="s">
        <v>117</v>
      </c>
    </row>
    <row r="9" spans="1:14" ht="18" customHeight="1">
      <c r="A9" s="191" t="s">
        <v>252</v>
      </c>
      <c r="B9" s="167">
        <f>B8/B6</f>
        <v>0.63133977046774281</v>
      </c>
      <c r="C9" s="167">
        <f>C8/C6</f>
        <v>0.63138791265771732</v>
      </c>
      <c r="D9" s="167">
        <f t="shared" si="0"/>
        <v>-4.8142189974509364E-5</v>
      </c>
      <c r="E9" s="167">
        <f>E8/E6</f>
        <v>0.63125423832294336</v>
      </c>
      <c r="G9" s="191" t="s">
        <v>396</v>
      </c>
      <c r="H9" s="167">
        <v>2.5000000000000001E-3</v>
      </c>
      <c r="I9" s="167">
        <v>2.8E-3</v>
      </c>
      <c r="J9" s="167">
        <v>3.2000000000000002E-3</v>
      </c>
      <c r="K9" s="167">
        <v>2.5999999999999999E-3</v>
      </c>
      <c r="L9" s="311" t="s">
        <v>134</v>
      </c>
    </row>
    <row r="10" spans="1:14" ht="18" customHeight="1">
      <c r="A10" s="191" t="s">
        <v>255</v>
      </c>
      <c r="B10" s="166"/>
      <c r="C10" s="166"/>
      <c r="D10" s="166">
        <f t="shared" si="0"/>
        <v>0</v>
      </c>
      <c r="E10" s="192"/>
      <c r="G10" s="191" t="s">
        <v>397</v>
      </c>
      <c r="H10" s="167">
        <v>1</v>
      </c>
      <c r="I10" s="167">
        <v>0.4</v>
      </c>
      <c r="J10" s="167">
        <v>0.4</v>
      </c>
      <c r="K10" s="167">
        <v>0.41</v>
      </c>
      <c r="L10" s="311" t="s">
        <v>257</v>
      </c>
    </row>
    <row r="11" spans="1:14" ht="18" customHeight="1">
      <c r="A11" s="191" t="s">
        <v>261</v>
      </c>
      <c r="B11" s="167"/>
      <c r="C11" s="167"/>
      <c r="D11" s="167">
        <f t="shared" si="0"/>
        <v>0</v>
      </c>
      <c r="E11" s="167"/>
      <c r="G11" s="191" t="s">
        <v>398</v>
      </c>
      <c r="H11" s="167">
        <v>1</v>
      </c>
      <c r="I11" s="167">
        <v>0.85</v>
      </c>
      <c r="J11" s="167">
        <v>0.85</v>
      </c>
      <c r="K11" s="167">
        <v>0.85</v>
      </c>
      <c r="L11" s="311" t="s">
        <v>263</v>
      </c>
    </row>
    <row r="12" spans="1:14" ht="9.65" customHeight="1">
      <c r="L12" s="161"/>
    </row>
    <row r="13" spans="1:14" ht="15.75" customHeight="1">
      <c r="A13" s="304" t="s">
        <v>235</v>
      </c>
      <c r="G13" s="304" t="s">
        <v>236</v>
      </c>
      <c r="L13" s="161"/>
    </row>
    <row r="14" spans="1:14" s="186" customFormat="1" ht="13.5">
      <c r="A14" s="312"/>
      <c r="B14" s="313" t="s">
        <v>390</v>
      </c>
      <c r="C14" s="312" t="s">
        <v>104</v>
      </c>
      <c r="D14" s="313" t="s">
        <v>391</v>
      </c>
      <c r="E14" s="312" t="s">
        <v>144</v>
      </c>
      <c r="G14" s="312"/>
      <c r="H14" s="313" t="s">
        <v>390</v>
      </c>
      <c r="I14" s="312" t="s">
        <v>104</v>
      </c>
      <c r="J14" s="313" t="s">
        <v>391</v>
      </c>
      <c r="K14" s="312" t="s">
        <v>144</v>
      </c>
    </row>
    <row r="15" spans="1:14" ht="18" customHeight="1">
      <c r="A15" s="191" t="s">
        <v>399</v>
      </c>
      <c r="B15" s="166">
        <v>15194.21</v>
      </c>
      <c r="C15" s="167">
        <f>B15/B6</f>
        <v>0.92532802284969573</v>
      </c>
      <c r="D15" s="167">
        <v>0.92020000000000002</v>
      </c>
      <c r="E15" s="167">
        <f>IFERROR(C15-D15,"")</f>
        <v>5.1280228496957125E-3</v>
      </c>
      <c r="G15" s="191" t="s">
        <v>399</v>
      </c>
      <c r="H15" s="166">
        <v>300846</v>
      </c>
      <c r="I15" s="167">
        <f>IFERROR(H15/$B$7,"")</f>
        <v>0.871244635193133</v>
      </c>
      <c r="J15" s="167">
        <v>0.86280000000000001</v>
      </c>
      <c r="K15" s="167">
        <f>IFERROR(I15-J15,"")</f>
        <v>8.4446351931329877E-3</v>
      </c>
      <c r="L15" s="161"/>
    </row>
    <row r="16" spans="1:14" ht="18" customHeight="1">
      <c r="A16" s="191" t="s">
        <v>400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400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401</v>
      </c>
      <c r="B17" s="166">
        <v>1226.1400000000001</v>
      </c>
      <c r="C17" s="167">
        <f>B17/B6</f>
        <v>7.4671977150304367E-2</v>
      </c>
      <c r="D17" s="167">
        <v>7.9799999999999996E-2</v>
      </c>
      <c r="E17" s="167">
        <f>IFERROR(C17-D17,"")</f>
        <v>-5.1280228496956293E-3</v>
      </c>
      <c r="G17" s="191" t="s">
        <v>401</v>
      </c>
      <c r="H17" s="166">
        <v>44460</v>
      </c>
      <c r="I17" s="167">
        <f>IFERROR(H17/$B$7,"")</f>
        <v>0.12875536480686695</v>
      </c>
      <c r="J17" s="167">
        <v>0.13719999999999999</v>
      </c>
      <c r="K17" s="167">
        <f>IFERROR(I17-J17,"")</f>
        <v>-8.4446351931330432E-3</v>
      </c>
      <c r="L17" s="161"/>
    </row>
    <row r="18" spans="1:17" ht="15.75" customHeight="1">
      <c r="C18" s="314">
        <f>SUM(C15:C17)</f>
        <v>1</v>
      </c>
      <c r="D18" s="314">
        <f>SUM(D15:D17)</f>
        <v>1</v>
      </c>
      <c r="I18" s="314">
        <f>SUM(I15:I17)</f>
        <v>1</v>
      </c>
      <c r="J18" s="314">
        <f>SUM(J15:J17)</f>
        <v>1</v>
      </c>
      <c r="L18" s="161"/>
    </row>
    <row r="19" spans="1:17" ht="9.65" customHeight="1">
      <c r="A19" s="315"/>
      <c r="L19" s="161"/>
    </row>
    <row r="20" spans="1:17" ht="15.75" customHeight="1">
      <c r="A20" s="304" t="s">
        <v>402</v>
      </c>
      <c r="L20" s="161"/>
    </row>
    <row r="21" spans="1:17" ht="15.75" customHeight="1">
      <c r="A21" s="191" t="s">
        <v>46</v>
      </c>
      <c r="B21" s="316" t="s">
        <v>390</v>
      </c>
      <c r="C21" s="316" t="s">
        <v>391</v>
      </c>
      <c r="D21" s="191" t="s">
        <v>144</v>
      </c>
      <c r="E21" s="191" t="s">
        <v>239</v>
      </c>
      <c r="L21" s="161"/>
    </row>
    <row r="22" spans="1:17" ht="18" customHeight="1">
      <c r="A22" s="191" t="s">
        <v>399</v>
      </c>
      <c r="B22" s="192">
        <v>97.2</v>
      </c>
      <c r="C22" s="192">
        <v>96.6</v>
      </c>
      <c r="D22" s="192">
        <f>B22-C22</f>
        <v>0.60000000000000853</v>
      </c>
      <c r="E22" s="317">
        <v>98.4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400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401</v>
      </c>
      <c r="B24" s="192">
        <v>111.6</v>
      </c>
      <c r="C24" s="192">
        <v>112.8</v>
      </c>
      <c r="D24" s="192">
        <f>B24-C24</f>
        <v>-1.2000000000000028</v>
      </c>
      <c r="E24" s="317">
        <v>111.8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topLeftCell="E4" zoomScale="85" zoomScaleNormal="85" workbookViewId="0">
      <selection activeCell="N5" sqref="N5:N35"/>
    </sheetView>
  </sheetViews>
  <sheetFormatPr defaultColWidth="8.81640625" defaultRowHeight="12"/>
  <cols>
    <col min="1" max="1" width="8.81640625" style="79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30" width="8.81640625" style="79" customWidth="1"/>
    <col min="31" max="16384" width="8.81640625" style="79"/>
  </cols>
  <sheetData>
    <row r="2" spans="2:23" ht="38.15" customHeight="1">
      <c r="B2" s="397" t="s">
        <v>0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</row>
    <row r="3" spans="2:23" s="82" customFormat="1" ht="23.5" customHeight="1">
      <c r="B3" s="401" t="s">
        <v>1</v>
      </c>
      <c r="C3" s="402" t="s">
        <v>2</v>
      </c>
      <c r="D3" s="403" t="s">
        <v>3</v>
      </c>
      <c r="E3" s="403"/>
      <c r="F3" s="400" t="s">
        <v>4</v>
      </c>
      <c r="G3" s="400"/>
      <c r="H3" s="400"/>
      <c r="I3" s="398" t="s">
        <v>5</v>
      </c>
      <c r="J3" s="398"/>
      <c r="K3" s="398"/>
      <c r="L3" s="399" t="s">
        <v>6</v>
      </c>
      <c r="M3" s="399"/>
      <c r="N3" s="399"/>
      <c r="O3" s="405" t="s">
        <v>7</v>
      </c>
      <c r="P3" s="405"/>
      <c r="Q3" s="405"/>
      <c r="R3" s="404" t="s">
        <v>8</v>
      </c>
      <c r="S3" s="404"/>
      <c r="T3" s="404"/>
      <c r="U3" s="405" t="s">
        <v>9</v>
      </c>
      <c r="V3" s="405"/>
      <c r="W3" s="405"/>
    </row>
    <row r="4" spans="2:23" s="82" customFormat="1" ht="23.5" customHeight="1">
      <c r="B4" s="401"/>
      <c r="C4" s="402"/>
      <c r="D4" s="403"/>
      <c r="E4" s="403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339"/>
      <c r="C5" s="412" t="s">
        <v>13</v>
      </c>
      <c r="D5" s="334">
        <v>45992</v>
      </c>
      <c r="E5" s="334" t="s">
        <v>14</v>
      </c>
      <c r="F5" s="87">
        <v>2513777.52</v>
      </c>
      <c r="G5" s="341"/>
      <c r="H5" s="396">
        <f>SUM(F5:F35)</f>
        <v>68791951.550000027</v>
      </c>
      <c r="I5" s="342">
        <v>52776</v>
      </c>
      <c r="J5" s="331"/>
      <c r="K5" s="411">
        <f>SUM(I5:I34)</f>
        <v>1446739</v>
      </c>
      <c r="L5" s="87">
        <v>1585646</v>
      </c>
      <c r="M5" s="341"/>
      <c r="N5" s="408">
        <f>SUM(L5:L34)</f>
        <v>43425212</v>
      </c>
      <c r="O5" s="373">
        <f>L5/F5</f>
        <v>0.63078215450029163</v>
      </c>
      <c r="P5" s="333"/>
      <c r="Q5" s="409">
        <f>N5/H5</f>
        <v>0.63125425317287698</v>
      </c>
      <c r="S5" s="341"/>
      <c r="T5" s="406">
        <f>SUM(R5:R33)</f>
        <v>0</v>
      </c>
      <c r="U5" s="90">
        <f t="shared" ref="U5:U35" si="0">R5/F5</f>
        <v>0</v>
      </c>
      <c r="V5" s="333"/>
      <c r="W5" s="407">
        <f>T5/H5</f>
        <v>0</v>
      </c>
    </row>
    <row r="6" spans="2:23" ht="13.5">
      <c r="B6" s="413">
        <v>46001</v>
      </c>
      <c r="C6" s="407"/>
      <c r="D6" s="334">
        <v>45993</v>
      </c>
      <c r="E6" s="335" t="s">
        <v>15</v>
      </c>
      <c r="F6" s="87">
        <v>2335254.96</v>
      </c>
      <c r="G6" s="394">
        <f>SUM(F6:F12)</f>
        <v>15371290.750000002</v>
      </c>
      <c r="H6" s="396"/>
      <c r="I6" s="342">
        <v>49145</v>
      </c>
      <c r="J6" s="395">
        <f>SUM(I6:I12)</f>
        <v>323563</v>
      </c>
      <c r="K6" s="411"/>
      <c r="L6" s="87">
        <v>1471646</v>
      </c>
      <c r="M6" s="394">
        <f>SUM(L6:L12)</f>
        <v>9688571</v>
      </c>
      <c r="N6" s="408"/>
      <c r="O6" s="373">
        <f>L6/F6</f>
        <v>0.63018643583140066</v>
      </c>
      <c r="P6" s="409">
        <f>M6/G6</f>
        <v>0.63030302123456994</v>
      </c>
      <c r="Q6" s="409"/>
      <c r="S6" s="394">
        <f>SUM(R6:R12)</f>
        <v>0</v>
      </c>
      <c r="T6" s="406"/>
      <c r="U6" s="90">
        <f t="shared" si="0"/>
        <v>0</v>
      </c>
      <c r="V6" s="409">
        <f>S6/M6</f>
        <v>0</v>
      </c>
      <c r="W6" s="408"/>
    </row>
    <row r="7" spans="2:23" ht="13.5">
      <c r="B7" s="413"/>
      <c r="C7" s="407"/>
      <c r="D7" s="334">
        <v>45994</v>
      </c>
      <c r="E7" s="335" t="s">
        <v>16</v>
      </c>
      <c r="F7" s="87">
        <v>2176837.2799999998</v>
      </c>
      <c r="G7" s="394"/>
      <c r="H7" s="396"/>
      <c r="I7" s="342">
        <v>45862</v>
      </c>
      <c r="J7" s="395"/>
      <c r="K7" s="411"/>
      <c r="L7" s="87">
        <v>1371646</v>
      </c>
      <c r="M7" s="394"/>
      <c r="N7" s="408"/>
      <c r="O7" s="373">
        <f t="shared" ref="O7:O35" si="1">L7/F7</f>
        <v>0.63010956886956659</v>
      </c>
      <c r="P7" s="409"/>
      <c r="Q7" s="409"/>
      <c r="S7" s="394"/>
      <c r="T7" s="406"/>
      <c r="U7" s="90">
        <f t="shared" si="0"/>
        <v>0</v>
      </c>
      <c r="V7" s="409"/>
      <c r="W7" s="408"/>
    </row>
    <row r="8" spans="2:23" ht="13.5">
      <c r="B8" s="413"/>
      <c r="C8" s="407"/>
      <c r="D8" s="334">
        <v>45995</v>
      </c>
      <c r="E8" s="335" t="s">
        <v>17</v>
      </c>
      <c r="F8" s="87">
        <v>2121444.9</v>
      </c>
      <c r="G8" s="394"/>
      <c r="H8" s="396"/>
      <c r="I8" s="342">
        <v>44569</v>
      </c>
      <c r="J8" s="395"/>
      <c r="K8" s="411"/>
      <c r="L8" s="87">
        <v>1335646</v>
      </c>
      <c r="M8" s="394"/>
      <c r="N8" s="408"/>
      <c r="O8" s="373">
        <f t="shared" si="1"/>
        <v>0.62959259512231502</v>
      </c>
      <c r="P8" s="409"/>
      <c r="Q8" s="409"/>
      <c r="S8" s="394"/>
      <c r="T8" s="406"/>
      <c r="U8" s="90">
        <f t="shared" si="0"/>
        <v>0</v>
      </c>
      <c r="V8" s="409"/>
      <c r="W8" s="408"/>
    </row>
    <row r="9" spans="2:23" ht="13.5">
      <c r="B9" s="413"/>
      <c r="C9" s="407"/>
      <c r="D9" s="334">
        <v>45996</v>
      </c>
      <c r="E9" s="335" t="s">
        <v>18</v>
      </c>
      <c r="F9" s="87">
        <v>1832380.36</v>
      </c>
      <c r="G9" s="394"/>
      <c r="H9" s="396"/>
      <c r="I9" s="342">
        <v>38620</v>
      </c>
      <c r="J9" s="395"/>
      <c r="K9" s="411"/>
      <c r="L9" s="87">
        <v>1156695</v>
      </c>
      <c r="M9" s="394"/>
      <c r="N9" s="408"/>
      <c r="O9" s="373">
        <f t="shared" si="1"/>
        <v>0.63125267288937759</v>
      </c>
      <c r="P9" s="409"/>
      <c r="Q9" s="409"/>
      <c r="S9" s="394"/>
      <c r="T9" s="406"/>
      <c r="U9" s="90">
        <f t="shared" si="0"/>
        <v>0</v>
      </c>
      <c r="V9" s="409"/>
      <c r="W9" s="408"/>
    </row>
    <row r="10" spans="2:23" ht="13.5">
      <c r="B10" s="413"/>
      <c r="C10" s="407"/>
      <c r="D10" s="334">
        <v>45997</v>
      </c>
      <c r="E10" s="335" t="s">
        <v>19</v>
      </c>
      <c r="F10" s="87">
        <v>1995581.05</v>
      </c>
      <c r="G10" s="394"/>
      <c r="H10" s="396"/>
      <c r="I10" s="342">
        <v>42013</v>
      </c>
      <c r="J10" s="395"/>
      <c r="K10" s="411"/>
      <c r="L10" s="87">
        <v>1257646</v>
      </c>
      <c r="M10" s="394"/>
      <c r="N10" s="408"/>
      <c r="O10" s="373">
        <f t="shared" si="1"/>
        <v>0.63021544527093998</v>
      </c>
      <c r="P10" s="409"/>
      <c r="Q10" s="409"/>
      <c r="S10" s="394"/>
      <c r="T10" s="406"/>
      <c r="U10" s="90">
        <f t="shared" si="0"/>
        <v>0</v>
      </c>
      <c r="V10" s="409"/>
      <c r="W10" s="408"/>
    </row>
    <row r="11" spans="2:23" ht="13.5">
      <c r="B11" s="413"/>
      <c r="C11" s="407"/>
      <c r="D11" s="334">
        <v>45998</v>
      </c>
      <c r="E11" s="335" t="s">
        <v>10</v>
      </c>
      <c r="F11" s="87">
        <v>2513995.62</v>
      </c>
      <c r="G11" s="394"/>
      <c r="H11" s="396"/>
      <c r="I11" s="342">
        <v>52933</v>
      </c>
      <c r="J11" s="395"/>
      <c r="K11" s="411"/>
      <c r="L11" s="87">
        <v>1583646</v>
      </c>
      <c r="M11" s="394"/>
      <c r="N11" s="408"/>
      <c r="O11" s="373">
        <f t="shared" si="1"/>
        <v>0.62993188508419118</v>
      </c>
      <c r="P11" s="409"/>
      <c r="Q11" s="409"/>
      <c r="S11" s="394"/>
      <c r="T11" s="406"/>
      <c r="U11" s="90">
        <f t="shared" si="0"/>
        <v>0</v>
      </c>
      <c r="V11" s="409"/>
      <c r="W11" s="408"/>
    </row>
    <row r="12" spans="2:23">
      <c r="B12" s="413"/>
      <c r="C12" s="407"/>
      <c r="D12" s="334">
        <v>45999</v>
      </c>
      <c r="E12" s="334" t="s">
        <v>14</v>
      </c>
      <c r="F12" s="87">
        <v>2395796.58</v>
      </c>
      <c r="G12" s="394"/>
      <c r="H12" s="396"/>
      <c r="I12" s="342">
        <v>50421</v>
      </c>
      <c r="J12" s="395"/>
      <c r="K12" s="411"/>
      <c r="L12" s="87">
        <v>1511646</v>
      </c>
      <c r="M12" s="394"/>
      <c r="N12" s="408"/>
      <c r="O12" s="373">
        <f t="shared" si="1"/>
        <v>0.63095757487056769</v>
      </c>
      <c r="P12" s="409"/>
      <c r="Q12" s="409"/>
      <c r="S12" s="394"/>
      <c r="T12" s="406"/>
      <c r="U12" s="90">
        <f t="shared" si="0"/>
        <v>0</v>
      </c>
      <c r="V12" s="409"/>
      <c r="W12" s="408"/>
    </row>
    <row r="13" spans="2:23" ht="13.5">
      <c r="B13" s="413">
        <v>46008</v>
      </c>
      <c r="C13" s="407"/>
      <c r="D13" s="334">
        <v>46000</v>
      </c>
      <c r="E13" s="335" t="s">
        <v>15</v>
      </c>
      <c r="F13" s="87">
        <v>3129368.04</v>
      </c>
      <c r="G13" s="394">
        <f>SUM(F13:F19)</f>
        <v>17129534.109999999</v>
      </c>
      <c r="H13" s="396"/>
      <c r="I13" s="342">
        <v>66936</v>
      </c>
      <c r="J13" s="395">
        <f>SUM(I13:I19)</f>
        <v>359333</v>
      </c>
      <c r="K13" s="411"/>
      <c r="L13" s="87">
        <v>1980646</v>
      </c>
      <c r="M13" s="394">
        <f>SUM(L13:L19)</f>
        <v>10825571</v>
      </c>
      <c r="N13" s="408"/>
      <c r="O13" s="373">
        <f t="shared" si="1"/>
        <v>0.63292203878965925</v>
      </c>
      <c r="P13" s="409">
        <f>M13/G13</f>
        <v>0.63198280411375418</v>
      </c>
      <c r="Q13" s="409"/>
      <c r="S13" s="394">
        <f>SUM(R13:R19)</f>
        <v>0</v>
      </c>
      <c r="T13" s="406"/>
      <c r="U13" s="90">
        <f t="shared" si="0"/>
        <v>0</v>
      </c>
      <c r="V13" s="409">
        <f>S13/M13</f>
        <v>0</v>
      </c>
      <c r="W13" s="408"/>
    </row>
    <row r="14" spans="2:23" ht="13.5">
      <c r="B14" s="413"/>
      <c r="C14" s="407"/>
      <c r="D14" s="334">
        <v>46001</v>
      </c>
      <c r="E14" s="335" t="s">
        <v>16</v>
      </c>
      <c r="F14" s="87">
        <v>2596020.5</v>
      </c>
      <c r="G14" s="394"/>
      <c r="H14" s="396"/>
      <c r="I14" s="342">
        <v>53635</v>
      </c>
      <c r="J14" s="395"/>
      <c r="K14" s="411"/>
      <c r="L14" s="87">
        <v>1640646</v>
      </c>
      <c r="M14" s="394"/>
      <c r="N14" s="408"/>
      <c r="O14" s="373">
        <f t="shared" si="1"/>
        <v>0.63198499395517105</v>
      </c>
      <c r="P14" s="409"/>
      <c r="Q14" s="409"/>
      <c r="S14" s="394"/>
      <c r="T14" s="406"/>
      <c r="U14" s="90">
        <f t="shared" si="0"/>
        <v>0</v>
      </c>
      <c r="V14" s="409"/>
      <c r="W14" s="408"/>
    </row>
    <row r="15" spans="2:23" ht="13.5">
      <c r="B15" s="413"/>
      <c r="C15" s="407"/>
      <c r="D15" s="334">
        <v>46002</v>
      </c>
      <c r="E15" s="335" t="s">
        <v>17</v>
      </c>
      <c r="F15" s="87">
        <v>2249510.87</v>
      </c>
      <c r="G15" s="394"/>
      <c r="H15" s="396"/>
      <c r="I15" s="342">
        <v>46504</v>
      </c>
      <c r="J15" s="395"/>
      <c r="K15" s="411"/>
      <c r="L15" s="87">
        <v>1421646</v>
      </c>
      <c r="M15" s="394"/>
      <c r="N15" s="408"/>
      <c r="O15" s="373">
        <f t="shared" si="1"/>
        <v>0.63198005351269981</v>
      </c>
      <c r="P15" s="409"/>
      <c r="Q15" s="409"/>
      <c r="S15" s="394"/>
      <c r="T15" s="406"/>
      <c r="U15" s="90">
        <f t="shared" si="0"/>
        <v>0</v>
      </c>
      <c r="V15" s="409"/>
      <c r="W15" s="408"/>
    </row>
    <row r="16" spans="2:23" ht="13.5">
      <c r="B16" s="413"/>
      <c r="C16" s="407"/>
      <c r="D16" s="334">
        <v>46003</v>
      </c>
      <c r="E16" s="335" t="s">
        <v>18</v>
      </c>
      <c r="F16" s="87">
        <v>1793030.27</v>
      </c>
      <c r="G16" s="394"/>
      <c r="H16" s="396"/>
      <c r="I16" s="342">
        <v>37707</v>
      </c>
      <c r="J16" s="395"/>
      <c r="K16" s="411"/>
      <c r="L16" s="87">
        <v>1133695</v>
      </c>
      <c r="M16" s="394"/>
      <c r="N16" s="408"/>
      <c r="O16" s="373">
        <f t="shared" si="1"/>
        <v>0.63227878467439369</v>
      </c>
      <c r="P16" s="409"/>
      <c r="Q16" s="409"/>
      <c r="S16" s="394"/>
      <c r="T16" s="406"/>
      <c r="U16" s="90">
        <f t="shared" si="0"/>
        <v>0</v>
      </c>
      <c r="V16" s="409"/>
      <c r="W16" s="408"/>
    </row>
    <row r="17" spans="2:23" ht="13.5">
      <c r="B17" s="413"/>
      <c r="C17" s="407"/>
      <c r="D17" s="334">
        <v>46004</v>
      </c>
      <c r="E17" s="335" t="s">
        <v>19</v>
      </c>
      <c r="F17" s="87">
        <v>2044428.8</v>
      </c>
      <c r="G17" s="394"/>
      <c r="H17" s="396"/>
      <c r="I17" s="342">
        <v>43137</v>
      </c>
      <c r="J17" s="395"/>
      <c r="K17" s="411"/>
      <c r="L17" s="87">
        <v>1290646</v>
      </c>
      <c r="M17" s="394"/>
      <c r="N17" s="408"/>
      <c r="O17" s="373">
        <f t="shared" si="1"/>
        <v>0.63129906994070906</v>
      </c>
      <c r="P17" s="409"/>
      <c r="Q17" s="409"/>
      <c r="S17" s="394"/>
      <c r="T17" s="406"/>
      <c r="U17" s="90">
        <f t="shared" si="0"/>
        <v>0</v>
      </c>
      <c r="V17" s="409"/>
      <c r="W17" s="408"/>
    </row>
    <row r="18" spans="2:23" ht="13.5">
      <c r="B18" s="413"/>
      <c r="C18" s="407"/>
      <c r="D18" s="334">
        <v>46005</v>
      </c>
      <c r="E18" s="335" t="s">
        <v>10</v>
      </c>
      <c r="F18" s="87">
        <v>2720484.02</v>
      </c>
      <c r="G18" s="394"/>
      <c r="H18" s="396"/>
      <c r="I18" s="342">
        <v>56760</v>
      </c>
      <c r="J18" s="395"/>
      <c r="K18" s="411"/>
      <c r="L18" s="87">
        <v>1719646</v>
      </c>
      <c r="M18" s="394"/>
      <c r="N18" s="408"/>
      <c r="O18" s="373">
        <f t="shared" si="1"/>
        <v>0.63211031101737547</v>
      </c>
      <c r="P18" s="409"/>
      <c r="Q18" s="409"/>
      <c r="S18" s="394"/>
      <c r="T18" s="406"/>
      <c r="U18" s="90">
        <f t="shared" si="0"/>
        <v>0</v>
      </c>
      <c r="V18" s="409"/>
      <c r="W18" s="408"/>
    </row>
    <row r="19" spans="2:23">
      <c r="B19" s="413"/>
      <c r="C19" s="407"/>
      <c r="D19" s="334">
        <v>46006</v>
      </c>
      <c r="E19" s="334" t="s">
        <v>14</v>
      </c>
      <c r="F19" s="87">
        <v>2596691.61</v>
      </c>
      <c r="G19" s="394"/>
      <c r="H19" s="396"/>
      <c r="I19" s="342">
        <v>54654</v>
      </c>
      <c r="J19" s="395"/>
      <c r="K19" s="411"/>
      <c r="L19" s="87">
        <v>1638646</v>
      </c>
      <c r="M19" s="394"/>
      <c r="N19" s="408"/>
      <c r="O19" s="373">
        <f t="shared" si="1"/>
        <v>0.63105144780746614</v>
      </c>
      <c r="P19" s="409"/>
      <c r="Q19" s="409"/>
      <c r="S19" s="394"/>
      <c r="T19" s="406"/>
      <c r="U19" s="90">
        <f t="shared" si="0"/>
        <v>0</v>
      </c>
      <c r="V19" s="409"/>
      <c r="W19" s="408"/>
    </row>
    <row r="20" spans="2:23" ht="13.5">
      <c r="B20" s="413">
        <v>46015</v>
      </c>
      <c r="C20" s="407"/>
      <c r="D20" s="334">
        <v>46007</v>
      </c>
      <c r="E20" s="335" t="s">
        <v>15</v>
      </c>
      <c r="F20" s="87">
        <v>2614596.2800000003</v>
      </c>
      <c r="G20" s="394">
        <f>SUM(F20:F26)</f>
        <v>17356992.149999999</v>
      </c>
      <c r="H20" s="396"/>
      <c r="I20" s="342">
        <v>54968</v>
      </c>
      <c r="J20" s="395">
        <f>SUM(I20:I26)</f>
        <v>365761</v>
      </c>
      <c r="K20" s="411"/>
      <c r="L20" s="87">
        <v>1650646</v>
      </c>
      <c r="M20" s="394">
        <f>SUM(L20:L26)</f>
        <v>10958602</v>
      </c>
      <c r="N20" s="408"/>
      <c r="O20" s="373">
        <f t="shared" si="1"/>
        <v>0.6313196467945712</v>
      </c>
      <c r="P20" s="409">
        <f>M20/G20</f>
        <v>0.63136526797357573</v>
      </c>
      <c r="Q20" s="409"/>
      <c r="S20" s="394">
        <f>SUM(R20:R26)</f>
        <v>0</v>
      </c>
      <c r="T20" s="406"/>
      <c r="U20" s="90">
        <f t="shared" si="0"/>
        <v>0</v>
      </c>
      <c r="V20" s="409">
        <f>S20/M20</f>
        <v>0</v>
      </c>
      <c r="W20" s="408"/>
    </row>
    <row r="21" spans="2:23" ht="13.5">
      <c r="B21" s="413"/>
      <c r="C21" s="407"/>
      <c r="D21" s="334">
        <v>46008</v>
      </c>
      <c r="E21" s="335" t="s">
        <v>16</v>
      </c>
      <c r="F21" s="87">
        <v>2455966.04</v>
      </c>
      <c r="G21" s="394"/>
      <c r="H21" s="396"/>
      <c r="I21" s="342">
        <v>51643</v>
      </c>
      <c r="J21" s="395"/>
      <c r="K21" s="411"/>
      <c r="L21" s="87">
        <v>1550646</v>
      </c>
      <c r="M21" s="394"/>
      <c r="N21" s="408"/>
      <c r="O21" s="373">
        <f t="shared" si="1"/>
        <v>0.63137925148183238</v>
      </c>
      <c r="P21" s="409"/>
      <c r="Q21" s="409"/>
      <c r="S21" s="394"/>
      <c r="T21" s="406"/>
      <c r="U21" s="90">
        <f t="shared" si="0"/>
        <v>0</v>
      </c>
      <c r="V21" s="409"/>
      <c r="W21" s="408"/>
    </row>
    <row r="22" spans="2:23" ht="13.5">
      <c r="B22" s="413"/>
      <c r="C22" s="407"/>
      <c r="D22" s="334">
        <v>46009</v>
      </c>
      <c r="E22" s="335" t="s">
        <v>17</v>
      </c>
      <c r="F22" s="87">
        <v>2339510.52</v>
      </c>
      <c r="G22" s="394"/>
      <c r="H22" s="396"/>
      <c r="I22" s="342">
        <v>49206</v>
      </c>
      <c r="J22" s="395"/>
      <c r="K22" s="411"/>
      <c r="L22" s="87">
        <v>1477026</v>
      </c>
      <c r="M22" s="394"/>
      <c r="N22" s="408"/>
      <c r="O22" s="373">
        <f t="shared" si="1"/>
        <v>0.6313397556340119</v>
      </c>
      <c r="P22" s="409"/>
      <c r="Q22" s="409"/>
      <c r="S22" s="394"/>
      <c r="T22" s="406"/>
      <c r="U22" s="90">
        <f t="shared" si="0"/>
        <v>0</v>
      </c>
      <c r="V22" s="409"/>
      <c r="W22" s="408"/>
    </row>
    <row r="23" spans="2:23" ht="13.5">
      <c r="B23" s="413"/>
      <c r="C23" s="407"/>
      <c r="D23" s="334">
        <v>46010</v>
      </c>
      <c r="E23" s="335" t="s">
        <v>18</v>
      </c>
      <c r="F23" s="87">
        <v>2112449.5500000003</v>
      </c>
      <c r="G23" s="394"/>
      <c r="H23" s="396"/>
      <c r="I23" s="342">
        <v>45379</v>
      </c>
      <c r="J23" s="395"/>
      <c r="K23" s="411"/>
      <c r="L23" s="87">
        <v>1333346</v>
      </c>
      <c r="M23" s="394"/>
      <c r="N23" s="408"/>
      <c r="O23" s="373">
        <f t="shared" si="1"/>
        <v>0.63118477788025751</v>
      </c>
      <c r="P23" s="409"/>
      <c r="Q23" s="409"/>
      <c r="S23" s="394"/>
      <c r="T23" s="406"/>
      <c r="U23" s="90">
        <f t="shared" si="0"/>
        <v>0</v>
      </c>
      <c r="V23" s="409"/>
      <c r="W23" s="408"/>
    </row>
    <row r="24" spans="2:23" ht="13.5">
      <c r="B24" s="413"/>
      <c r="C24" s="407"/>
      <c r="D24" s="334">
        <v>46011</v>
      </c>
      <c r="E24" s="335" t="s">
        <v>19</v>
      </c>
      <c r="F24" s="87">
        <v>2376517.02</v>
      </c>
      <c r="G24" s="394"/>
      <c r="H24" s="396"/>
      <c r="I24" s="342">
        <v>49960</v>
      </c>
      <c r="J24" s="395"/>
      <c r="K24" s="411"/>
      <c r="L24" s="87">
        <v>1500646</v>
      </c>
      <c r="M24" s="394"/>
      <c r="N24" s="408"/>
      <c r="O24" s="373">
        <f t="shared" si="1"/>
        <v>0.6314476131965594</v>
      </c>
      <c r="P24" s="409"/>
      <c r="Q24" s="409"/>
      <c r="S24" s="394"/>
      <c r="T24" s="406"/>
      <c r="U24" s="90">
        <f t="shared" si="0"/>
        <v>0</v>
      </c>
      <c r="V24" s="409"/>
      <c r="W24" s="408"/>
    </row>
    <row r="25" spans="2:23" ht="13.5">
      <c r="B25" s="413"/>
      <c r="C25" s="407"/>
      <c r="D25" s="334">
        <v>46012</v>
      </c>
      <c r="E25" s="335" t="s">
        <v>10</v>
      </c>
      <c r="F25" s="87">
        <v>2783602.74</v>
      </c>
      <c r="G25" s="394"/>
      <c r="H25" s="396"/>
      <c r="I25" s="342">
        <v>58406</v>
      </c>
      <c r="J25" s="395"/>
      <c r="K25" s="411"/>
      <c r="L25" s="87">
        <v>1757646</v>
      </c>
      <c r="M25" s="394"/>
      <c r="N25" s="408"/>
      <c r="O25" s="373">
        <f t="shared" si="1"/>
        <v>0.63142846310030576</v>
      </c>
      <c r="P25" s="409"/>
      <c r="Q25" s="409"/>
      <c r="S25" s="394"/>
      <c r="T25" s="406"/>
      <c r="U25" s="90">
        <f t="shared" si="0"/>
        <v>0</v>
      </c>
      <c r="V25" s="409"/>
      <c r="W25" s="408"/>
    </row>
    <row r="26" spans="2:23">
      <c r="B26" s="413"/>
      <c r="C26" s="407"/>
      <c r="D26" s="334">
        <v>46013</v>
      </c>
      <c r="E26" s="334" t="s">
        <v>14</v>
      </c>
      <c r="F26" s="87">
        <v>2674350</v>
      </c>
      <c r="G26" s="394"/>
      <c r="H26" s="396"/>
      <c r="I26" s="342">
        <v>56199</v>
      </c>
      <c r="J26" s="395"/>
      <c r="K26" s="411"/>
      <c r="L26" s="87">
        <v>1688646</v>
      </c>
      <c r="M26" s="394"/>
      <c r="N26" s="408"/>
      <c r="O26" s="373">
        <f t="shared" si="1"/>
        <v>0.63142296258904029</v>
      </c>
      <c r="P26" s="409"/>
      <c r="Q26" s="409"/>
      <c r="S26" s="394"/>
      <c r="T26" s="406"/>
      <c r="U26" s="90">
        <f t="shared" si="0"/>
        <v>0</v>
      </c>
      <c r="V26" s="409"/>
      <c r="W26" s="408"/>
    </row>
    <row r="27" spans="2:23" ht="13.5">
      <c r="B27" s="413">
        <v>46022</v>
      </c>
      <c r="C27" s="407"/>
      <c r="D27" s="334">
        <v>46014</v>
      </c>
      <c r="E27" s="335" t="s">
        <v>15</v>
      </c>
      <c r="F27" s="87">
        <v>2842340.91</v>
      </c>
      <c r="G27" s="394">
        <f>SUM(F27:F33)</f>
        <v>16420357.02</v>
      </c>
      <c r="H27" s="396"/>
      <c r="I27" s="342">
        <v>59311</v>
      </c>
      <c r="J27" s="395">
        <f>SUM(I27:I33)</f>
        <v>345306</v>
      </c>
      <c r="K27" s="411"/>
      <c r="L27" s="87">
        <v>1793646</v>
      </c>
      <c r="M27" s="394">
        <f>SUM(L27:L33)</f>
        <v>10366822</v>
      </c>
      <c r="N27" s="408"/>
      <c r="O27" s="373">
        <f t="shared" si="1"/>
        <v>0.6310453449442136</v>
      </c>
      <c r="P27" s="409">
        <f>M27/G27</f>
        <v>0.63133962235858865</v>
      </c>
      <c r="Q27" s="409"/>
      <c r="S27" s="394">
        <f>SUM(R27:R33)</f>
        <v>0</v>
      </c>
      <c r="T27" s="406"/>
      <c r="U27" s="90">
        <f t="shared" si="0"/>
        <v>0</v>
      </c>
      <c r="V27" s="409">
        <f>S27/M27</f>
        <v>0</v>
      </c>
      <c r="W27" s="408"/>
    </row>
    <row r="28" spans="2:23" ht="13.5">
      <c r="B28" s="413"/>
      <c r="C28" s="407"/>
      <c r="D28" s="334">
        <v>46015</v>
      </c>
      <c r="E28" s="335" t="s">
        <v>16</v>
      </c>
      <c r="F28" s="87">
        <v>1906561.02</v>
      </c>
      <c r="G28" s="394"/>
      <c r="H28" s="396"/>
      <c r="I28" s="342">
        <v>40396</v>
      </c>
      <c r="J28" s="395"/>
      <c r="K28" s="411"/>
      <c r="L28" s="87">
        <v>1203646</v>
      </c>
      <c r="M28" s="394"/>
      <c r="N28" s="408"/>
      <c r="O28" s="373">
        <f t="shared" si="1"/>
        <v>0.63131784788089285</v>
      </c>
      <c r="P28" s="409"/>
      <c r="Q28" s="409"/>
      <c r="S28" s="394"/>
      <c r="T28" s="406"/>
      <c r="U28" s="90">
        <f t="shared" si="0"/>
        <v>0</v>
      </c>
      <c r="V28" s="409"/>
      <c r="W28" s="408"/>
    </row>
    <row r="29" spans="2:23" ht="13.5">
      <c r="B29" s="413"/>
      <c r="C29" s="407"/>
      <c r="D29" s="334">
        <v>46016</v>
      </c>
      <c r="E29" s="335" t="s">
        <v>17</v>
      </c>
      <c r="F29" s="87">
        <v>2152805.8199999998</v>
      </c>
      <c r="G29" s="394"/>
      <c r="H29" s="396"/>
      <c r="I29" s="342">
        <v>45518</v>
      </c>
      <c r="J29" s="395"/>
      <c r="K29" s="411"/>
      <c r="L29" s="87">
        <v>1360046</v>
      </c>
      <c r="M29" s="394"/>
      <c r="N29" s="408"/>
      <c r="O29" s="373">
        <f t="shared" si="1"/>
        <v>0.63175507394345487</v>
      </c>
      <c r="P29" s="409"/>
      <c r="Q29" s="409"/>
      <c r="S29" s="394"/>
      <c r="T29" s="406"/>
      <c r="U29" s="90">
        <f t="shared" si="0"/>
        <v>0</v>
      </c>
      <c r="V29" s="409"/>
      <c r="W29" s="408"/>
    </row>
    <row r="30" spans="2:23" ht="13.5">
      <c r="B30" s="413"/>
      <c r="C30" s="407"/>
      <c r="D30" s="334">
        <v>46017</v>
      </c>
      <c r="E30" s="335" t="s">
        <v>18</v>
      </c>
      <c r="F30" s="87">
        <v>2059678.89</v>
      </c>
      <c r="G30" s="394"/>
      <c r="H30" s="396"/>
      <c r="I30" s="342">
        <v>43115</v>
      </c>
      <c r="J30" s="395"/>
      <c r="K30" s="411"/>
      <c r="L30" s="87">
        <v>1299346</v>
      </c>
      <c r="M30" s="394"/>
      <c r="N30" s="408"/>
      <c r="O30" s="373">
        <f t="shared" si="1"/>
        <v>0.63084882129369213</v>
      </c>
      <c r="P30" s="409"/>
      <c r="Q30" s="409"/>
      <c r="S30" s="394"/>
      <c r="T30" s="406"/>
      <c r="U30" s="90">
        <f t="shared" si="0"/>
        <v>0</v>
      </c>
      <c r="V30" s="409"/>
      <c r="W30" s="408"/>
    </row>
    <row r="31" spans="2:23" ht="13.5">
      <c r="B31" s="413"/>
      <c r="C31" s="407"/>
      <c r="D31" s="334">
        <v>46018</v>
      </c>
      <c r="E31" s="335" t="s">
        <v>19</v>
      </c>
      <c r="F31" s="87">
        <v>2208752.25</v>
      </c>
      <c r="G31" s="394"/>
      <c r="H31" s="396"/>
      <c r="I31" s="342">
        <v>46400</v>
      </c>
      <c r="J31" s="395"/>
      <c r="K31" s="411"/>
      <c r="L31" s="87">
        <v>1392846</v>
      </c>
      <c r="M31" s="394"/>
      <c r="N31" s="408"/>
      <c r="O31" s="373">
        <f t="shared" si="1"/>
        <v>0.63060309276425186</v>
      </c>
      <c r="P31" s="409"/>
      <c r="Q31" s="409"/>
      <c r="S31" s="394"/>
      <c r="T31" s="406"/>
      <c r="U31" s="90">
        <f t="shared" si="0"/>
        <v>0</v>
      </c>
      <c r="V31" s="409"/>
      <c r="W31" s="408"/>
    </row>
    <row r="32" spans="2:23" ht="13.5">
      <c r="B32" s="413"/>
      <c r="C32" s="407"/>
      <c r="D32" s="334">
        <v>46019</v>
      </c>
      <c r="E32" s="335" t="s">
        <v>10</v>
      </c>
      <c r="F32" s="87">
        <v>2697830.95</v>
      </c>
      <c r="G32" s="394"/>
      <c r="H32" s="396"/>
      <c r="I32" s="342">
        <v>56766</v>
      </c>
      <c r="J32" s="395"/>
      <c r="K32" s="411"/>
      <c r="L32" s="87">
        <v>1707646</v>
      </c>
      <c r="M32" s="394"/>
      <c r="N32" s="408"/>
      <c r="O32" s="373">
        <f t="shared" si="1"/>
        <v>0.63296997908634711</v>
      </c>
      <c r="P32" s="409"/>
      <c r="Q32" s="409"/>
      <c r="S32" s="394"/>
      <c r="T32" s="406"/>
      <c r="U32" s="90">
        <f t="shared" si="0"/>
        <v>0</v>
      </c>
      <c r="V32" s="409"/>
      <c r="W32" s="408"/>
    </row>
    <row r="33" spans="2:23">
      <c r="B33" s="413"/>
      <c r="C33" s="407"/>
      <c r="D33" s="334">
        <v>46020</v>
      </c>
      <c r="E33" s="334" t="s">
        <v>14</v>
      </c>
      <c r="F33" s="87">
        <v>2552387.1800000002</v>
      </c>
      <c r="G33" s="394"/>
      <c r="H33" s="396"/>
      <c r="I33" s="342">
        <v>53800</v>
      </c>
      <c r="J33" s="395"/>
      <c r="K33" s="411"/>
      <c r="L33" s="87">
        <v>1609646</v>
      </c>
      <c r="M33" s="394"/>
      <c r="N33" s="408"/>
      <c r="O33" s="373">
        <f t="shared" si="1"/>
        <v>0.63064334933699195</v>
      </c>
      <c r="P33" s="409"/>
      <c r="Q33" s="409"/>
      <c r="S33" s="394"/>
      <c r="T33" s="406"/>
      <c r="U33" s="90">
        <f t="shared" si="0"/>
        <v>0</v>
      </c>
      <c r="V33" s="409"/>
      <c r="W33" s="408"/>
    </row>
    <row r="34" spans="2:23" ht="13.5">
      <c r="B34" s="339"/>
      <c r="C34" s="407"/>
      <c r="D34" s="334">
        <v>46021</v>
      </c>
      <c r="E34" s="335" t="s">
        <v>15</v>
      </c>
      <c r="G34" s="341"/>
      <c r="H34" s="396"/>
      <c r="I34" s="342"/>
      <c r="J34" s="331"/>
      <c r="K34" s="411"/>
      <c r="L34" s="87"/>
      <c r="M34" s="341"/>
      <c r="N34" s="408"/>
      <c r="O34" s="373" t="e">
        <f t="shared" si="1"/>
        <v>#DIV/0!</v>
      </c>
      <c r="P34" s="333"/>
      <c r="Q34" s="409"/>
      <c r="S34" s="341"/>
      <c r="T34" s="406"/>
      <c r="U34" s="90" t="e">
        <f t="shared" si="0"/>
        <v>#DIV/0!</v>
      </c>
      <c r="V34" s="333"/>
      <c r="W34" s="408"/>
    </row>
    <row r="35" spans="2:23" ht="13.5">
      <c r="B35" s="339"/>
      <c r="C35" s="407"/>
      <c r="D35" s="334">
        <v>46022</v>
      </c>
      <c r="E35" s="335" t="s">
        <v>16</v>
      </c>
      <c r="G35" s="341"/>
      <c r="H35" s="396"/>
      <c r="I35" s="342"/>
      <c r="J35" s="331"/>
      <c r="K35" s="342"/>
      <c r="L35" s="87"/>
      <c r="M35" s="341"/>
      <c r="N35" s="408"/>
      <c r="O35" s="373" t="e">
        <f t="shared" si="1"/>
        <v>#DIV/0!</v>
      </c>
      <c r="P35" s="333"/>
      <c r="Q35" s="87"/>
      <c r="S35" s="341"/>
      <c r="T35" s="87"/>
      <c r="U35" s="90" t="e">
        <f t="shared" si="0"/>
        <v>#DIV/0!</v>
      </c>
      <c r="V35" s="333"/>
      <c r="W35" s="408"/>
    </row>
    <row r="36" spans="2:23" ht="13.5">
      <c r="B36" s="213"/>
      <c r="D36" s="334"/>
      <c r="E36" s="335"/>
      <c r="G36" s="341"/>
      <c r="I36" s="206"/>
      <c r="J36" s="206"/>
      <c r="K36" s="206"/>
      <c r="L36" s="87"/>
      <c r="M36" s="87"/>
      <c r="N36" s="87"/>
      <c r="P36" s="87"/>
      <c r="Q36" s="87"/>
      <c r="S36" s="87"/>
      <c r="T36" s="87"/>
      <c r="V36" s="87"/>
      <c r="W36" s="87"/>
    </row>
    <row r="37" spans="2:23" ht="13.5">
      <c r="B37" s="213"/>
      <c r="D37" s="334"/>
      <c r="E37" s="335"/>
      <c r="G37" s="341"/>
      <c r="I37" s="206"/>
      <c r="J37" s="410"/>
      <c r="K37" s="206"/>
      <c r="L37" s="87"/>
      <c r="M37" s="406"/>
      <c r="N37" s="87"/>
      <c r="P37" s="406"/>
      <c r="Q37" s="87"/>
      <c r="S37" s="406">
        <f>SUM(R37:R43)</f>
        <v>0</v>
      </c>
      <c r="T37" s="87"/>
      <c r="V37" s="406">
        <f>SUM(U37:U43)</f>
        <v>0</v>
      </c>
      <c r="W37" s="87"/>
    </row>
    <row r="38" spans="2:23" ht="13.5">
      <c r="B38" s="213"/>
      <c r="D38" s="334"/>
      <c r="E38" s="335"/>
      <c r="G38" s="341"/>
      <c r="I38" s="206"/>
      <c r="J38" s="410"/>
      <c r="K38" s="206"/>
      <c r="L38" s="87"/>
      <c r="M38" s="406"/>
      <c r="N38" s="87"/>
      <c r="P38" s="406"/>
      <c r="Q38" s="87"/>
      <c r="S38" s="406"/>
      <c r="T38" s="87"/>
      <c r="V38" s="406"/>
      <c r="W38" s="87"/>
    </row>
    <row r="39" spans="2:23">
      <c r="B39" s="83"/>
      <c r="D39" s="86"/>
      <c r="E39" s="86"/>
      <c r="I39" s="206"/>
      <c r="J39" s="410"/>
      <c r="K39" s="206"/>
      <c r="L39" s="87"/>
      <c r="M39" s="406"/>
      <c r="N39" s="87"/>
      <c r="P39" s="406"/>
      <c r="Q39" s="87"/>
      <c r="S39" s="406"/>
      <c r="T39" s="87"/>
      <c r="V39" s="406"/>
      <c r="W39" s="87"/>
    </row>
    <row r="40" spans="2:23">
      <c r="B40" s="83"/>
      <c r="D40" s="86"/>
      <c r="E40" s="86"/>
      <c r="I40" s="206"/>
      <c r="J40" s="410"/>
      <c r="K40" s="206"/>
      <c r="L40" s="87"/>
      <c r="M40" s="406"/>
      <c r="N40" s="87"/>
      <c r="P40" s="406"/>
      <c r="Q40" s="87"/>
      <c r="S40" s="406"/>
      <c r="T40" s="87"/>
      <c r="V40" s="406"/>
      <c r="W40" s="87"/>
    </row>
    <row r="41" spans="2:23">
      <c r="B41" s="83"/>
      <c r="D41" s="86"/>
      <c r="E41" s="86"/>
      <c r="I41" s="206"/>
      <c r="J41" s="410"/>
      <c r="K41" s="206"/>
      <c r="L41" s="87"/>
      <c r="M41" s="406"/>
      <c r="N41" s="87"/>
      <c r="P41" s="406"/>
      <c r="Q41" s="87"/>
      <c r="S41" s="406"/>
      <c r="T41" s="87"/>
      <c r="V41" s="406"/>
      <c r="W41" s="87"/>
    </row>
    <row r="42" spans="2:23">
      <c r="B42" s="83"/>
      <c r="D42" s="86"/>
      <c r="E42" s="86"/>
      <c r="I42" s="206"/>
      <c r="J42" s="410"/>
      <c r="K42" s="206"/>
      <c r="L42" s="87"/>
      <c r="M42" s="406"/>
      <c r="N42" s="87"/>
      <c r="P42" s="406"/>
      <c r="Q42" s="87"/>
      <c r="S42" s="406"/>
      <c r="T42" s="87"/>
      <c r="V42" s="406"/>
      <c r="W42" s="87"/>
    </row>
    <row r="43" spans="2:23">
      <c r="B43" s="83"/>
      <c r="D43" s="86"/>
      <c r="E43" s="86"/>
      <c r="I43" s="206"/>
      <c r="J43" s="410"/>
      <c r="K43" s="206"/>
      <c r="L43" s="87"/>
      <c r="M43" s="406"/>
      <c r="N43" s="87"/>
      <c r="P43" s="406"/>
      <c r="Q43" s="87"/>
      <c r="S43" s="406"/>
      <c r="T43" s="87"/>
      <c r="V43" s="406"/>
      <c r="W43" s="87"/>
    </row>
  </sheetData>
  <mergeCells count="50">
    <mergeCell ref="C5:C35"/>
    <mergeCell ref="B6:B12"/>
    <mergeCell ref="B13:B19"/>
    <mergeCell ref="B20:B26"/>
    <mergeCell ref="B27:B33"/>
    <mergeCell ref="J37:J43"/>
    <mergeCell ref="M37:M43"/>
    <mergeCell ref="Q5:Q34"/>
    <mergeCell ref="N5:N35"/>
    <mergeCell ref="K5:K34"/>
    <mergeCell ref="M6:M12"/>
    <mergeCell ref="M13:M19"/>
    <mergeCell ref="M20:M26"/>
    <mergeCell ref="M27:M33"/>
    <mergeCell ref="P27:P3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6:P12"/>
    <mergeCell ref="P13:P19"/>
    <mergeCell ref="P20:P26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G27:G33"/>
    <mergeCell ref="J6:J12"/>
    <mergeCell ref="J13:J19"/>
    <mergeCell ref="J20:J26"/>
    <mergeCell ref="J27:J33"/>
    <mergeCell ref="G6:G12"/>
    <mergeCell ref="G13:G19"/>
    <mergeCell ref="G20:G26"/>
    <mergeCell ref="H5:H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36"/>
  <sheetViews>
    <sheetView zoomScale="85" zoomScaleNormal="85" workbookViewId="0">
      <selection activeCell="O27" sqref="O27:O33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30" width="8.81640625" style="73" customWidth="1"/>
    <col min="31" max="16384" width="8.81640625" style="73"/>
  </cols>
  <sheetData>
    <row r="1" spans="2:23">
      <c r="C1" s="79">
        <v>112.8</v>
      </c>
    </row>
    <row r="2" spans="2:23" ht="38.15" customHeight="1">
      <c r="B2" s="397" t="s">
        <v>20</v>
      </c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</row>
    <row r="3" spans="2:23" s="71" customFormat="1" ht="23.5" customHeight="1">
      <c r="B3" s="401" t="s">
        <v>1</v>
      </c>
      <c r="C3" s="402" t="s">
        <v>2</v>
      </c>
      <c r="D3" s="403" t="s">
        <v>3</v>
      </c>
      <c r="E3" s="403"/>
      <c r="F3" s="417" t="s">
        <v>21</v>
      </c>
      <c r="G3" s="417"/>
      <c r="H3" s="417"/>
      <c r="I3" s="419" t="s">
        <v>22</v>
      </c>
      <c r="J3" s="419"/>
      <c r="K3" s="419"/>
      <c r="L3" s="418" t="s">
        <v>23</v>
      </c>
      <c r="M3" s="418"/>
      <c r="N3" s="418"/>
      <c r="O3" s="418" t="s">
        <v>24</v>
      </c>
      <c r="P3" s="418"/>
      <c r="Q3" s="418"/>
      <c r="R3" s="418" t="s">
        <v>25</v>
      </c>
      <c r="S3" s="418"/>
      <c r="T3" s="418"/>
      <c r="U3" s="418" t="s">
        <v>26</v>
      </c>
      <c r="V3" s="418"/>
      <c r="W3" s="418"/>
    </row>
    <row r="4" spans="2:23" ht="14.5">
      <c r="B4" s="401"/>
      <c r="C4" s="402"/>
      <c r="D4" s="403"/>
      <c r="E4" s="403"/>
      <c r="F4" s="85" t="s">
        <v>10</v>
      </c>
      <c r="G4" s="96" t="s">
        <v>27</v>
      </c>
      <c r="H4" s="96" t="s">
        <v>28</v>
      </c>
      <c r="I4" s="85" t="s">
        <v>10</v>
      </c>
      <c r="J4" s="95" t="s">
        <v>27</v>
      </c>
      <c r="K4" s="95" t="s">
        <v>28</v>
      </c>
      <c r="L4" s="85" t="s">
        <v>10</v>
      </c>
      <c r="M4" s="95" t="s">
        <v>27</v>
      </c>
      <c r="N4" s="95" t="s">
        <v>28</v>
      </c>
      <c r="O4" s="85" t="s">
        <v>10</v>
      </c>
      <c r="P4" s="95" t="s">
        <v>27</v>
      </c>
      <c r="Q4" s="95" t="s">
        <v>28</v>
      </c>
      <c r="R4" s="85" t="s">
        <v>10</v>
      </c>
      <c r="S4" s="95" t="s">
        <v>27</v>
      </c>
      <c r="T4" s="95" t="s">
        <v>28</v>
      </c>
      <c r="U4" s="85" t="s">
        <v>10</v>
      </c>
      <c r="V4" s="95" t="s">
        <v>27</v>
      </c>
      <c r="W4" s="95" t="s">
        <v>28</v>
      </c>
    </row>
    <row r="5" spans="2:23" ht="14.5" customHeight="1">
      <c r="B5" s="339"/>
      <c r="C5" s="412" t="s">
        <v>13</v>
      </c>
      <c r="D5" s="334">
        <v>45992</v>
      </c>
      <c r="E5" s="334" t="s">
        <v>14</v>
      </c>
      <c r="F5" s="93">
        <v>104.7</v>
      </c>
      <c r="G5" s="386"/>
      <c r="H5" s="414">
        <f>AVERAGE(F5:F34)</f>
        <v>101.2</v>
      </c>
      <c r="I5" s="90">
        <f>F5/$C$1</f>
        <v>0.92819148936170215</v>
      </c>
      <c r="J5" s="234"/>
      <c r="K5" s="415">
        <f>AVERAGE(I5:I35)</f>
        <v>0.8971631205673759</v>
      </c>
      <c r="L5" s="90">
        <v>9.2768750672891692E-4</v>
      </c>
      <c r="M5" s="333"/>
      <c r="N5" s="409">
        <f>AVERAGE(L5:L35)</f>
        <v>3.9194092228904314E-3</v>
      </c>
      <c r="O5" s="90">
        <v>1.3358381850753444E-3</v>
      </c>
      <c r="P5" s="333"/>
      <c r="Q5" s="409">
        <f>AVERAGE(O5:O35)</f>
        <v>2.5757190691106245E-3</v>
      </c>
      <c r="R5" s="181">
        <v>0.42899999999999999</v>
      </c>
      <c r="S5" s="234"/>
      <c r="T5" s="415">
        <f>AVERAGE(R5:R35)</f>
        <v>0.41054545454545471</v>
      </c>
      <c r="U5" s="181">
        <v>0.85</v>
      </c>
      <c r="V5" s="234"/>
      <c r="W5" s="415">
        <f>AVERAGE(U5:U35)</f>
        <v>0.85</v>
      </c>
    </row>
    <row r="6" spans="2:23" ht="14.5" customHeight="1">
      <c r="B6" s="413">
        <v>46001</v>
      </c>
      <c r="C6" s="407"/>
      <c r="D6" s="334">
        <v>45993</v>
      </c>
      <c r="E6" s="335" t="s">
        <v>15</v>
      </c>
      <c r="F6" s="93">
        <v>99.6</v>
      </c>
      <c r="G6" s="414">
        <f>AVERAGE(F6:F12)</f>
        <v>98.771428571428572</v>
      </c>
      <c r="H6" s="414"/>
      <c r="I6" s="90">
        <f t="shared" ref="I6:I33" si="0">F6/$C$1</f>
        <v>0.88297872340425532</v>
      </c>
      <c r="J6" s="415">
        <f>AVERAGE(I6:I12)</f>
        <v>0.87563323201621091</v>
      </c>
      <c r="K6" s="415"/>
      <c r="L6" s="90">
        <v>9.8490316449215465E-5</v>
      </c>
      <c r="M6" s="409">
        <f>AVERAGE(L6:L12)</f>
        <v>1.4870322475528427E-3</v>
      </c>
      <c r="N6" s="409"/>
      <c r="O6" s="90">
        <v>3.1731010647334198E-4</v>
      </c>
      <c r="P6" s="409">
        <f>AVERAGE(O6:O12)</f>
        <v>1.1520047095834995E-3</v>
      </c>
      <c r="Q6" s="409"/>
      <c r="R6" s="181">
        <v>0.42899999999999999</v>
      </c>
      <c r="S6" s="415">
        <f>AVERAGE(R6:R12)</f>
        <v>0.42899999999999994</v>
      </c>
      <c r="T6" s="415"/>
      <c r="U6" s="181">
        <v>0.85</v>
      </c>
      <c r="V6" s="415">
        <f>AVERAGE(U6:U12)</f>
        <v>0.84999999999999987</v>
      </c>
      <c r="W6" s="415"/>
    </row>
    <row r="7" spans="2:23" ht="14.5" customHeight="1">
      <c r="B7" s="413"/>
      <c r="C7" s="407"/>
      <c r="D7" s="334">
        <v>45994</v>
      </c>
      <c r="E7" s="335" t="s">
        <v>16</v>
      </c>
      <c r="F7" s="93">
        <v>90.9</v>
      </c>
      <c r="G7" s="414"/>
      <c r="H7" s="414"/>
      <c r="I7" s="90">
        <f t="shared" si="0"/>
        <v>0.80585106382978733</v>
      </c>
      <c r="J7" s="415"/>
      <c r="K7" s="415"/>
      <c r="L7" s="90">
        <v>7.5798040356971476E-5</v>
      </c>
      <c r="M7" s="409"/>
      <c r="N7" s="409"/>
      <c r="O7" s="90">
        <v>1.4240843945855246E-4</v>
      </c>
      <c r="P7" s="409"/>
      <c r="Q7" s="409"/>
      <c r="R7" s="181">
        <v>0.42899999999999999</v>
      </c>
      <c r="S7" s="415"/>
      <c r="T7" s="415"/>
      <c r="U7" s="181">
        <v>0.85</v>
      </c>
      <c r="V7" s="415"/>
      <c r="W7" s="415"/>
    </row>
    <row r="8" spans="2:23" ht="14.5" customHeight="1">
      <c r="B8" s="413"/>
      <c r="C8" s="407"/>
      <c r="D8" s="334">
        <v>45995</v>
      </c>
      <c r="E8" s="335" t="s">
        <v>17</v>
      </c>
      <c r="F8" s="93">
        <v>100.2</v>
      </c>
      <c r="G8" s="414"/>
      <c r="H8" s="414"/>
      <c r="I8" s="90">
        <f t="shared" si="0"/>
        <v>0.88829787234042556</v>
      </c>
      <c r="J8" s="415"/>
      <c r="K8" s="415"/>
      <c r="L8" s="90">
        <v>4.572355379109776E-4</v>
      </c>
      <c r="M8" s="409"/>
      <c r="N8" s="409"/>
      <c r="O8" s="90">
        <v>4.9824532327000346E-4</v>
      </c>
      <c r="P8" s="409"/>
      <c r="Q8" s="409"/>
      <c r="R8" s="181">
        <v>0.42899999999999999</v>
      </c>
      <c r="S8" s="415"/>
      <c r="T8" s="415"/>
      <c r="U8" s="181">
        <v>0.85</v>
      </c>
      <c r="V8" s="415"/>
      <c r="W8" s="415"/>
    </row>
    <row r="9" spans="2:23" ht="14.5" customHeight="1">
      <c r="B9" s="413"/>
      <c r="C9" s="407"/>
      <c r="D9" s="334">
        <v>45996</v>
      </c>
      <c r="E9" s="335" t="s">
        <v>18</v>
      </c>
      <c r="F9" s="93">
        <v>98.3</v>
      </c>
      <c r="G9" s="414"/>
      <c r="H9" s="414"/>
      <c r="I9" s="90">
        <f t="shared" si="0"/>
        <v>0.87145390070921991</v>
      </c>
      <c r="J9" s="415"/>
      <c r="K9" s="415"/>
      <c r="L9" s="90">
        <v>3.4725323076481782E-3</v>
      </c>
      <c r="M9" s="409"/>
      <c r="N9" s="409"/>
      <c r="O9" s="90">
        <v>3.593686192969237E-3</v>
      </c>
      <c r="P9" s="409"/>
      <c r="Q9" s="409"/>
      <c r="R9" s="181">
        <v>0.42899999999999999</v>
      </c>
      <c r="S9" s="415"/>
      <c r="T9" s="415"/>
      <c r="U9" s="181">
        <v>0.85</v>
      </c>
      <c r="V9" s="415"/>
      <c r="W9" s="415"/>
    </row>
    <row r="10" spans="2:23" ht="14.5" customHeight="1">
      <c r="B10" s="413"/>
      <c r="C10" s="407"/>
      <c r="D10" s="334">
        <v>45997</v>
      </c>
      <c r="E10" s="335" t="s">
        <v>19</v>
      </c>
      <c r="F10" s="93">
        <v>97.4</v>
      </c>
      <c r="G10" s="414"/>
      <c r="H10" s="414"/>
      <c r="I10" s="90">
        <f t="shared" si="0"/>
        <v>0.86347517730496459</v>
      </c>
      <c r="J10" s="415"/>
      <c r="K10" s="415"/>
      <c r="L10" s="90">
        <v>3.1108733969988341E-3</v>
      </c>
      <c r="M10" s="409"/>
      <c r="N10" s="409"/>
      <c r="O10" s="90">
        <v>1.5804920576891627E-3</v>
      </c>
      <c r="P10" s="409"/>
      <c r="Q10" s="409"/>
      <c r="R10" s="181">
        <v>0.42899999999999999</v>
      </c>
      <c r="S10" s="415"/>
      <c r="T10" s="415"/>
      <c r="U10" s="181">
        <v>0.85</v>
      </c>
      <c r="V10" s="415"/>
      <c r="W10" s="415"/>
    </row>
    <row r="11" spans="2:23" ht="14.5" customHeight="1">
      <c r="B11" s="413"/>
      <c r="C11" s="407"/>
      <c r="D11" s="334">
        <v>45998</v>
      </c>
      <c r="E11" s="335" t="s">
        <v>10</v>
      </c>
      <c r="F11" s="93">
        <v>101.9</v>
      </c>
      <c r="G11" s="414"/>
      <c r="H11" s="414"/>
      <c r="I11" s="90">
        <f t="shared" si="0"/>
        <v>0.90336879432624118</v>
      </c>
      <c r="J11" s="415"/>
      <c r="K11" s="415"/>
      <c r="L11" s="90">
        <v>1.5576797226082677E-3</v>
      </c>
      <c r="M11" s="409"/>
      <c r="N11" s="409"/>
      <c r="O11" s="90">
        <v>7.1559392772529962E-4</v>
      </c>
      <c r="P11" s="409"/>
      <c r="Q11" s="409"/>
      <c r="R11" s="181">
        <v>0.42899999999999999</v>
      </c>
      <c r="S11" s="415"/>
      <c r="T11" s="415"/>
      <c r="U11" s="181">
        <v>0.85</v>
      </c>
      <c r="V11" s="415"/>
      <c r="W11" s="415"/>
    </row>
    <row r="12" spans="2:23" ht="14.5" customHeight="1">
      <c r="B12" s="413"/>
      <c r="C12" s="407"/>
      <c r="D12" s="334">
        <v>45999</v>
      </c>
      <c r="E12" s="334" t="s">
        <v>14</v>
      </c>
      <c r="F12" s="93">
        <v>103.1</v>
      </c>
      <c r="G12" s="414"/>
      <c r="H12" s="414"/>
      <c r="I12" s="90">
        <f t="shared" si="0"/>
        <v>0.91400709219858156</v>
      </c>
      <c r="J12" s="415"/>
      <c r="K12" s="415"/>
      <c r="L12" s="90">
        <v>1.6366164108974561E-3</v>
      </c>
      <c r="M12" s="409"/>
      <c r="N12" s="409"/>
      <c r="O12" s="90">
        <v>1.2162969194988999E-3</v>
      </c>
      <c r="P12" s="409"/>
      <c r="Q12" s="409"/>
      <c r="R12" s="181">
        <v>0.42899999999999999</v>
      </c>
      <c r="S12" s="415"/>
      <c r="T12" s="415"/>
      <c r="U12" s="181">
        <v>0.85</v>
      </c>
      <c r="V12" s="415"/>
      <c r="W12" s="415"/>
    </row>
    <row r="13" spans="2:23" ht="14.5" customHeight="1">
      <c r="B13" s="413">
        <v>46008</v>
      </c>
      <c r="C13" s="407"/>
      <c r="D13" s="334">
        <v>46000</v>
      </c>
      <c r="E13" s="335" t="s">
        <v>15</v>
      </c>
      <c r="F13" s="93">
        <v>105.2</v>
      </c>
      <c r="G13" s="414">
        <f>AVERAGE(F13:F19)</f>
        <v>102.8</v>
      </c>
      <c r="H13" s="414"/>
      <c r="I13" s="90">
        <f t="shared" si="0"/>
        <v>0.93262411347517737</v>
      </c>
      <c r="J13" s="415">
        <f>AVERAGE(I13:I19)</f>
        <v>0.9113475177304966</v>
      </c>
      <c r="K13" s="415"/>
      <c r="L13" s="90">
        <v>5.5276336240719067E-3</v>
      </c>
      <c r="M13" s="409">
        <f>AVERAGE(L13:L19)</f>
        <v>3.9033066051622745E-3</v>
      </c>
      <c r="N13" s="409"/>
      <c r="O13" s="90">
        <v>9.3881574888200117E-3</v>
      </c>
      <c r="P13" s="409">
        <f>AVERAGE(O13:O19)</f>
        <v>3.3454641340848654E-3</v>
      </c>
      <c r="Q13" s="409"/>
      <c r="R13" s="181">
        <v>0.4</v>
      </c>
      <c r="S13" s="415">
        <f>AVERAGE(R13:R19)</f>
        <v>0.39999999999999997</v>
      </c>
      <c r="T13" s="415"/>
      <c r="U13" s="181">
        <v>0.85</v>
      </c>
      <c r="V13" s="415">
        <f>AVERAGE(U13:U19)</f>
        <v>0.84999999999999987</v>
      </c>
      <c r="W13" s="415"/>
    </row>
    <row r="14" spans="2:23" ht="14.5" customHeight="1">
      <c r="B14" s="413"/>
      <c r="C14" s="407"/>
      <c r="D14" s="334">
        <v>46001</v>
      </c>
      <c r="E14" s="335" t="s">
        <v>16</v>
      </c>
      <c r="F14" s="93">
        <v>107.7</v>
      </c>
      <c r="G14" s="414"/>
      <c r="H14" s="414"/>
      <c r="I14" s="90">
        <f t="shared" si="0"/>
        <v>0.95478723404255328</v>
      </c>
      <c r="J14" s="415"/>
      <c r="K14" s="415"/>
      <c r="L14" s="90">
        <v>5.6390155624734088E-3</v>
      </c>
      <c r="M14" s="409"/>
      <c r="N14" s="409"/>
      <c r="O14" s="90">
        <v>1.6113123914083113E-3</v>
      </c>
      <c r="P14" s="409"/>
      <c r="Q14" s="409"/>
      <c r="R14" s="181">
        <v>0.4</v>
      </c>
      <c r="S14" s="415"/>
      <c r="T14" s="415"/>
      <c r="U14" s="181">
        <v>0.85</v>
      </c>
      <c r="V14" s="415"/>
      <c r="W14" s="415"/>
    </row>
    <row r="15" spans="2:23" ht="14.5" customHeight="1">
      <c r="B15" s="413"/>
      <c r="C15" s="407"/>
      <c r="D15" s="334">
        <v>46002</v>
      </c>
      <c r="E15" s="335" t="s">
        <v>17</v>
      </c>
      <c r="F15" s="93">
        <v>98.2</v>
      </c>
      <c r="G15" s="414"/>
      <c r="H15" s="414"/>
      <c r="I15" s="90">
        <f t="shared" si="0"/>
        <v>0.87056737588652489</v>
      </c>
      <c r="J15" s="415"/>
      <c r="K15" s="415"/>
      <c r="L15" s="90">
        <v>3.1998067206494537E-3</v>
      </c>
      <c r="M15" s="409"/>
      <c r="N15" s="409"/>
      <c r="O15" s="90">
        <v>8.5840883267214441E-4</v>
      </c>
      <c r="P15" s="409"/>
      <c r="Q15" s="409"/>
      <c r="R15" s="181">
        <v>0.4</v>
      </c>
      <c r="S15" s="415"/>
      <c r="T15" s="415"/>
      <c r="U15" s="181">
        <v>0.85</v>
      </c>
      <c r="V15" s="415"/>
      <c r="W15" s="415"/>
    </row>
    <row r="16" spans="2:23" ht="14.5" customHeight="1">
      <c r="B16" s="413"/>
      <c r="C16" s="407"/>
      <c r="D16" s="334">
        <v>46003</v>
      </c>
      <c r="E16" s="335" t="s">
        <v>18</v>
      </c>
      <c r="F16" s="93">
        <v>98.6</v>
      </c>
      <c r="G16" s="414"/>
      <c r="H16" s="414"/>
      <c r="I16" s="90">
        <f t="shared" si="0"/>
        <v>0.87411347517730498</v>
      </c>
      <c r="J16" s="415"/>
      <c r="K16" s="415"/>
      <c r="L16" s="90">
        <v>4.786310718558031E-3</v>
      </c>
      <c r="M16" s="409"/>
      <c r="N16" s="409"/>
      <c r="O16" s="90">
        <v>3.57551130466972E-3</v>
      </c>
      <c r="P16" s="409"/>
      <c r="Q16" s="409"/>
      <c r="R16" s="181">
        <v>0.4</v>
      </c>
      <c r="S16" s="415"/>
      <c r="T16" s="415"/>
      <c r="U16" s="181">
        <v>0.85</v>
      </c>
      <c r="V16" s="415"/>
      <c r="W16" s="415"/>
    </row>
    <row r="17" spans="2:23" ht="14.5" customHeight="1">
      <c r="B17" s="413"/>
      <c r="C17" s="407"/>
      <c r="D17" s="334">
        <v>46004</v>
      </c>
      <c r="E17" s="335" t="s">
        <v>19</v>
      </c>
      <c r="F17" s="93">
        <v>99.7</v>
      </c>
      <c r="G17" s="414"/>
      <c r="H17" s="414"/>
      <c r="I17" s="90">
        <f t="shared" si="0"/>
        <v>0.88386524822695045</v>
      </c>
      <c r="J17" s="415"/>
      <c r="K17" s="415"/>
      <c r="L17" s="90">
        <v>1.8327857639258457E-3</v>
      </c>
      <c r="M17" s="409"/>
      <c r="N17" s="409"/>
      <c r="O17" s="90">
        <v>1.8063725183288359E-3</v>
      </c>
      <c r="P17" s="409"/>
      <c r="Q17" s="409"/>
      <c r="R17" s="181">
        <v>0.4</v>
      </c>
      <c r="S17" s="415"/>
      <c r="T17" s="415"/>
      <c r="U17" s="181">
        <v>0.85</v>
      </c>
      <c r="V17" s="415"/>
      <c r="W17" s="415"/>
    </row>
    <row r="18" spans="2:23" ht="14.5" customHeight="1">
      <c r="B18" s="413"/>
      <c r="C18" s="407"/>
      <c r="D18" s="334">
        <v>46005</v>
      </c>
      <c r="E18" s="335" t="s">
        <v>10</v>
      </c>
      <c r="F18" s="93">
        <v>104.1</v>
      </c>
      <c r="G18" s="414"/>
      <c r="H18" s="414"/>
      <c r="I18" s="90">
        <f t="shared" si="0"/>
        <v>0.9228723404255319</v>
      </c>
      <c r="J18" s="415"/>
      <c r="K18" s="415"/>
      <c r="L18" s="90">
        <v>6.4804644579386276E-4</v>
      </c>
      <c r="M18" s="409"/>
      <c r="N18" s="409"/>
      <c r="O18" s="90">
        <v>3.4846740250288255E-3</v>
      </c>
      <c r="P18" s="409"/>
      <c r="Q18" s="409"/>
      <c r="R18" s="181">
        <v>0.4</v>
      </c>
      <c r="S18" s="415"/>
      <c r="T18" s="415"/>
      <c r="U18" s="181">
        <v>0.85</v>
      </c>
      <c r="V18" s="415"/>
      <c r="W18" s="415"/>
    </row>
    <row r="19" spans="2:23" ht="14.5" customHeight="1">
      <c r="B19" s="413"/>
      <c r="C19" s="407"/>
      <c r="D19" s="334">
        <v>46006</v>
      </c>
      <c r="E19" s="334" t="s">
        <v>14</v>
      </c>
      <c r="F19" s="93">
        <v>106.1</v>
      </c>
      <c r="G19" s="414"/>
      <c r="H19" s="414"/>
      <c r="I19" s="90">
        <f t="shared" si="0"/>
        <v>0.94060283687943258</v>
      </c>
      <c r="J19" s="415"/>
      <c r="K19" s="415"/>
      <c r="L19" s="90">
        <v>5.6895474006634162E-3</v>
      </c>
      <c r="M19" s="409"/>
      <c r="N19" s="409"/>
      <c r="O19" s="90">
        <v>2.6938123776662107E-3</v>
      </c>
      <c r="P19" s="409"/>
      <c r="Q19" s="409"/>
      <c r="R19" s="181">
        <v>0.4</v>
      </c>
      <c r="S19" s="415"/>
      <c r="T19" s="415"/>
      <c r="U19" s="181">
        <v>0.85</v>
      </c>
      <c r="V19" s="415"/>
      <c r="W19" s="415"/>
    </row>
    <row r="20" spans="2:23" ht="14.5" customHeight="1">
      <c r="B20" s="413">
        <v>46015</v>
      </c>
      <c r="C20" s="407"/>
      <c r="D20" s="334">
        <v>46007</v>
      </c>
      <c r="E20" s="335" t="s">
        <v>15</v>
      </c>
      <c r="F20" s="93">
        <v>102.7</v>
      </c>
      <c r="G20" s="414">
        <f>AVERAGE(F20:F26)</f>
        <v>102.71428571428571</v>
      </c>
      <c r="H20" s="414"/>
      <c r="I20" s="90">
        <f t="shared" si="0"/>
        <v>0.91046099290780147</v>
      </c>
      <c r="J20" s="415">
        <f>AVERAGE(I20:I26)</f>
        <v>0.9105876393110437</v>
      </c>
      <c r="K20" s="415"/>
      <c r="L20" s="90">
        <v>2.1915429329686033E-3</v>
      </c>
      <c r="M20" s="409">
        <f>AVERAGE(L20:L26)</f>
        <v>2.6121383815460126E-3</v>
      </c>
      <c r="N20" s="409"/>
      <c r="O20" s="90">
        <v>3.1289725540342311E-3</v>
      </c>
      <c r="P20" s="409">
        <f>AVERAGE(O20:O26)</f>
        <v>3.1533165956836354E-3</v>
      </c>
      <c r="Q20" s="409"/>
      <c r="R20" s="181">
        <v>0.4</v>
      </c>
      <c r="S20" s="415">
        <f>AVERAGE(R20:R26)</f>
        <v>0.39999999999999997</v>
      </c>
      <c r="T20" s="415"/>
      <c r="U20" s="181">
        <v>0.85</v>
      </c>
      <c r="V20" s="415">
        <f>AVERAGE(U20:U26)</f>
        <v>0.84999999999999987</v>
      </c>
      <c r="W20" s="415"/>
    </row>
    <row r="21" spans="2:23" ht="14.5" customHeight="1">
      <c r="B21" s="413"/>
      <c r="C21" s="407"/>
      <c r="D21" s="334">
        <v>46008</v>
      </c>
      <c r="E21" s="335" t="s">
        <v>16</v>
      </c>
      <c r="F21" s="93">
        <v>102.8</v>
      </c>
      <c r="G21" s="414"/>
      <c r="H21" s="414"/>
      <c r="I21" s="90">
        <f t="shared" si="0"/>
        <v>0.91134751773049649</v>
      </c>
      <c r="J21" s="415"/>
      <c r="K21" s="415"/>
      <c r="L21" s="90">
        <v>2.3909125388395028E-3</v>
      </c>
      <c r="M21" s="409"/>
      <c r="N21" s="409"/>
      <c r="O21" s="90">
        <v>4.7769390166323309E-3</v>
      </c>
      <c r="P21" s="409"/>
      <c r="Q21" s="409"/>
      <c r="R21" s="181">
        <v>0.4</v>
      </c>
      <c r="S21" s="415"/>
      <c r="T21" s="415"/>
      <c r="U21" s="181">
        <v>0.85</v>
      </c>
      <c r="V21" s="415"/>
      <c r="W21" s="415"/>
    </row>
    <row r="22" spans="2:23" ht="14.5" customHeight="1">
      <c r="B22" s="413"/>
      <c r="C22" s="407"/>
      <c r="D22" s="334">
        <v>46009</v>
      </c>
      <c r="E22" s="335" t="s">
        <v>17</v>
      </c>
      <c r="F22" s="93">
        <v>102.2</v>
      </c>
      <c r="G22" s="414"/>
      <c r="H22" s="414"/>
      <c r="I22" s="90">
        <f t="shared" si="0"/>
        <v>0.90602836879432624</v>
      </c>
      <c r="J22" s="415"/>
      <c r="K22" s="415"/>
      <c r="L22" s="90">
        <v>1.0891167097637159E-3</v>
      </c>
      <c r="M22" s="409"/>
      <c r="N22" s="409"/>
      <c r="O22" s="90">
        <v>3.319070349809754E-3</v>
      </c>
      <c r="P22" s="409"/>
      <c r="Q22" s="409"/>
      <c r="R22" s="181">
        <v>0.4</v>
      </c>
      <c r="S22" s="415"/>
      <c r="T22" s="415"/>
      <c r="U22" s="181">
        <v>0.85</v>
      </c>
      <c r="V22" s="415"/>
      <c r="W22" s="415"/>
    </row>
    <row r="23" spans="2:23" ht="14.5" customHeight="1">
      <c r="B23" s="413"/>
      <c r="C23" s="407"/>
      <c r="D23" s="334">
        <v>46010</v>
      </c>
      <c r="E23" s="335" t="s">
        <v>18</v>
      </c>
      <c r="F23" s="93">
        <v>101.9</v>
      </c>
      <c r="G23" s="414"/>
      <c r="H23" s="414"/>
      <c r="I23" s="90">
        <f t="shared" si="0"/>
        <v>0.90336879432624118</v>
      </c>
      <c r="J23" s="415"/>
      <c r="K23" s="415"/>
      <c r="L23" s="90">
        <v>2.3063272682654124E-3</v>
      </c>
      <c r="M23" s="409"/>
      <c r="N23" s="409"/>
      <c r="O23" s="90">
        <v>1.5058347783974294E-3</v>
      </c>
      <c r="P23" s="409"/>
      <c r="Q23" s="409"/>
      <c r="R23" s="181">
        <v>0.4</v>
      </c>
      <c r="S23" s="415"/>
      <c r="T23" s="415"/>
      <c r="U23" s="181">
        <v>0.85</v>
      </c>
      <c r="V23" s="415"/>
      <c r="W23" s="415"/>
    </row>
    <row r="24" spans="2:23" ht="14.5" customHeight="1">
      <c r="B24" s="413"/>
      <c r="C24" s="407"/>
      <c r="D24" s="334">
        <v>46011</v>
      </c>
      <c r="E24" s="335" t="s">
        <v>19</v>
      </c>
      <c r="F24" s="93">
        <v>99</v>
      </c>
      <c r="G24" s="414"/>
      <c r="H24" s="414"/>
      <c r="I24" s="90">
        <f t="shared" si="0"/>
        <v>0.87765957446808518</v>
      </c>
      <c r="J24" s="415"/>
      <c r="K24" s="415"/>
      <c r="L24" s="90">
        <v>1.7319463590460631E-3</v>
      </c>
      <c r="M24" s="409"/>
      <c r="N24" s="409"/>
      <c r="O24" s="90">
        <v>4.1581860835989302E-3</v>
      </c>
      <c r="P24" s="409"/>
      <c r="Q24" s="409"/>
      <c r="R24" s="181">
        <v>0.4</v>
      </c>
      <c r="S24" s="415"/>
      <c r="T24" s="415"/>
      <c r="U24" s="181">
        <v>0.85</v>
      </c>
      <c r="V24" s="415"/>
      <c r="W24" s="415"/>
    </row>
    <row r="25" spans="2:23" ht="14.5" customHeight="1">
      <c r="B25" s="413"/>
      <c r="C25" s="407"/>
      <c r="D25" s="334">
        <v>46012</v>
      </c>
      <c r="E25" s="335" t="s">
        <v>10</v>
      </c>
      <c r="F25" s="93">
        <v>106.5</v>
      </c>
      <c r="G25" s="414"/>
      <c r="H25" s="414"/>
      <c r="I25" s="90">
        <f t="shared" si="0"/>
        <v>0.94414893617021278</v>
      </c>
      <c r="J25" s="415"/>
      <c r="K25" s="415"/>
      <c r="L25" s="90">
        <v>4.7240936398848347E-3</v>
      </c>
      <c r="M25" s="409"/>
      <c r="N25" s="409"/>
      <c r="O25" s="90">
        <v>2.6781838848168398E-3</v>
      </c>
      <c r="P25" s="409"/>
      <c r="Q25" s="409"/>
      <c r="R25" s="181">
        <v>0.4</v>
      </c>
      <c r="S25" s="415"/>
      <c r="T25" s="415"/>
      <c r="U25" s="181">
        <v>0.85</v>
      </c>
      <c r="V25" s="415"/>
      <c r="W25" s="415"/>
    </row>
    <row r="26" spans="2:23" ht="14.5" customHeight="1">
      <c r="B26" s="413"/>
      <c r="C26" s="407"/>
      <c r="D26" s="334">
        <v>46013</v>
      </c>
      <c r="E26" s="334" t="s">
        <v>14</v>
      </c>
      <c r="F26" s="93">
        <v>103.9</v>
      </c>
      <c r="G26" s="414"/>
      <c r="H26" s="414"/>
      <c r="I26" s="90">
        <f t="shared" si="0"/>
        <v>0.92109929078014197</v>
      </c>
      <c r="J26" s="415"/>
      <c r="K26" s="415"/>
      <c r="L26" s="90">
        <v>3.851029222053957E-3</v>
      </c>
      <c r="M26" s="409"/>
      <c r="N26" s="409"/>
      <c r="O26" s="90">
        <v>2.5060295024959336E-3</v>
      </c>
      <c r="P26" s="409"/>
      <c r="Q26" s="409"/>
      <c r="R26" s="181">
        <v>0.4</v>
      </c>
      <c r="S26" s="415"/>
      <c r="T26" s="415"/>
      <c r="U26" s="181">
        <v>0.85</v>
      </c>
      <c r="V26" s="415"/>
      <c r="W26" s="415"/>
    </row>
    <row r="27" spans="2:23" ht="14.5" customHeight="1">
      <c r="B27" s="413">
        <v>46022</v>
      </c>
      <c r="C27" s="407"/>
      <c r="D27" s="334">
        <v>46014</v>
      </c>
      <c r="E27" s="335" t="s">
        <v>15</v>
      </c>
      <c r="F27" s="93">
        <v>100.3</v>
      </c>
      <c r="G27" s="414">
        <f>AVERAGE(F27:F33)</f>
        <v>100.01428571428572</v>
      </c>
      <c r="H27" s="414"/>
      <c r="I27" s="90">
        <f t="shared" si="0"/>
        <v>0.88918439716312059</v>
      </c>
      <c r="J27" s="415">
        <f>AVERAGE(I27:I33)</f>
        <v>0.88665146909827752</v>
      </c>
      <c r="K27" s="415"/>
      <c r="L27" s="90">
        <v>6.8971318433438721E-3</v>
      </c>
      <c r="M27" s="409">
        <f>AVERAGE(L27:L33)</f>
        <v>8.1025484738950996E-3</v>
      </c>
      <c r="N27" s="409"/>
      <c r="O27" s="90">
        <v>3.6582522397005501E-3</v>
      </c>
      <c r="P27" s="409">
        <f>AVERAGE(O27:O33)</f>
        <v>2.8292166776669693E-3</v>
      </c>
      <c r="Q27" s="409"/>
      <c r="R27" s="181"/>
      <c r="S27" s="415" t="e">
        <f>AVERAGE(R27:R33)</f>
        <v>#DIV/0!</v>
      </c>
      <c r="T27" s="415"/>
      <c r="U27" s="181"/>
      <c r="V27" s="415" t="e">
        <f>AVERAGE(U27:U33)</f>
        <v>#DIV/0!</v>
      </c>
      <c r="W27" s="415"/>
    </row>
    <row r="28" spans="2:23" ht="14.5" customHeight="1">
      <c r="B28" s="413"/>
      <c r="C28" s="407"/>
      <c r="D28" s="334">
        <v>46015</v>
      </c>
      <c r="E28" s="335" t="s">
        <v>16</v>
      </c>
      <c r="F28" s="93">
        <v>99.7</v>
      </c>
      <c r="G28" s="414"/>
      <c r="H28" s="414"/>
      <c r="I28" s="90">
        <f t="shared" si="0"/>
        <v>0.88386524822695045</v>
      </c>
      <c r="J28" s="415"/>
      <c r="K28" s="415"/>
      <c r="L28" s="90">
        <v>3.0533510015850425E-2</v>
      </c>
      <c r="M28" s="409"/>
      <c r="N28" s="409"/>
      <c r="O28" s="90">
        <v>4.7289333545694747E-3</v>
      </c>
      <c r="P28" s="409"/>
      <c r="Q28" s="409"/>
      <c r="R28" s="181"/>
      <c r="S28" s="415"/>
      <c r="T28" s="415"/>
      <c r="U28" s="181"/>
      <c r="V28" s="415"/>
      <c r="W28" s="415"/>
    </row>
    <row r="29" spans="2:23" ht="14.5" customHeight="1">
      <c r="B29" s="413"/>
      <c r="C29" s="407"/>
      <c r="D29" s="334">
        <v>46016</v>
      </c>
      <c r="E29" s="335" t="s">
        <v>17</v>
      </c>
      <c r="F29" s="93">
        <v>95.1</v>
      </c>
      <c r="G29" s="414"/>
      <c r="H29" s="414"/>
      <c r="I29" s="90">
        <f t="shared" si="0"/>
        <v>0.84308510638297873</v>
      </c>
      <c r="J29" s="415"/>
      <c r="K29" s="415"/>
      <c r="L29" s="90">
        <v>1.1942554112938993E-3</v>
      </c>
      <c r="M29" s="409"/>
      <c r="N29" s="409"/>
      <c r="O29" s="90">
        <v>7.6597711910682221E-4</v>
      </c>
      <c r="P29" s="409"/>
      <c r="Q29" s="409"/>
      <c r="R29" s="181"/>
      <c r="S29" s="415"/>
      <c r="T29" s="415"/>
      <c r="U29" s="181"/>
      <c r="V29" s="415"/>
      <c r="W29" s="415"/>
    </row>
    <row r="30" spans="2:23" ht="14.5" customHeight="1">
      <c r="B30" s="413"/>
      <c r="C30" s="407"/>
      <c r="D30" s="334">
        <v>46017</v>
      </c>
      <c r="E30" s="335" t="s">
        <v>18</v>
      </c>
      <c r="F30" s="93">
        <v>99.8</v>
      </c>
      <c r="G30" s="414"/>
      <c r="H30" s="414"/>
      <c r="I30" s="90">
        <f t="shared" si="0"/>
        <v>0.88475177304964536</v>
      </c>
      <c r="J30" s="415"/>
      <c r="K30" s="415"/>
      <c r="L30" s="90">
        <v>6.3553595968544397E-3</v>
      </c>
      <c r="M30" s="409"/>
      <c r="N30" s="409"/>
      <c r="O30" s="90">
        <v>1.7857152480695668E-3</v>
      </c>
      <c r="P30" s="409"/>
      <c r="Q30" s="409"/>
      <c r="R30" s="181"/>
      <c r="S30" s="415"/>
      <c r="T30" s="415"/>
      <c r="U30" s="181"/>
      <c r="V30" s="415"/>
      <c r="W30" s="415"/>
    </row>
    <row r="31" spans="2:23" ht="14.5" customHeight="1">
      <c r="B31" s="413"/>
      <c r="C31" s="407"/>
      <c r="D31" s="334">
        <v>46018</v>
      </c>
      <c r="E31" s="335" t="s">
        <v>19</v>
      </c>
      <c r="F31" s="93">
        <v>106.2</v>
      </c>
      <c r="G31" s="414"/>
      <c r="H31" s="414"/>
      <c r="I31" s="90">
        <f t="shared" si="0"/>
        <v>0.94148936170212771</v>
      </c>
      <c r="J31" s="415"/>
      <c r="K31" s="415"/>
      <c r="L31" s="90">
        <v>3.508315611223486E-3</v>
      </c>
      <c r="M31" s="409"/>
      <c r="N31" s="409"/>
      <c r="O31" s="90">
        <v>3.3009587200194136E-3</v>
      </c>
      <c r="P31" s="409"/>
      <c r="Q31" s="409"/>
      <c r="R31" s="181"/>
      <c r="S31" s="415"/>
      <c r="T31" s="415"/>
      <c r="U31" s="181"/>
      <c r="V31" s="415"/>
      <c r="W31" s="415"/>
    </row>
    <row r="32" spans="2:23" ht="14.5" customHeight="1">
      <c r="B32" s="413"/>
      <c r="C32" s="407"/>
      <c r="D32" s="334">
        <v>46019</v>
      </c>
      <c r="E32" s="335" t="s">
        <v>10</v>
      </c>
      <c r="F32" s="93">
        <v>100.6</v>
      </c>
      <c r="G32" s="414"/>
      <c r="H32" s="414"/>
      <c r="I32" s="90">
        <f t="shared" si="0"/>
        <v>0.89184397163120566</v>
      </c>
      <c r="J32" s="415"/>
      <c r="K32" s="415"/>
      <c r="L32" s="90">
        <v>6.2616970125574396E-3</v>
      </c>
      <c r="M32" s="409"/>
      <c r="N32" s="409"/>
      <c r="O32" s="90">
        <v>1.6898760835996783E-3</v>
      </c>
      <c r="P32" s="409"/>
      <c r="Q32" s="409"/>
      <c r="R32" s="181"/>
      <c r="S32" s="415"/>
      <c r="T32" s="415"/>
      <c r="U32" s="181"/>
      <c r="V32" s="415"/>
      <c r="W32" s="415"/>
    </row>
    <row r="33" spans="2:23" ht="14.5" customHeight="1">
      <c r="B33" s="413"/>
      <c r="C33" s="407"/>
      <c r="D33" s="334">
        <v>46020</v>
      </c>
      <c r="E33" s="334" t="s">
        <v>14</v>
      </c>
      <c r="F33" s="93">
        <v>98.4</v>
      </c>
      <c r="G33" s="414"/>
      <c r="H33" s="414"/>
      <c r="I33" s="90">
        <f t="shared" si="0"/>
        <v>0.87234042553191493</v>
      </c>
      <c r="J33" s="415"/>
      <c r="K33" s="415"/>
      <c r="L33" s="90">
        <v>1.9675698261421293E-3</v>
      </c>
      <c r="M33" s="409"/>
      <c r="N33" s="409"/>
      <c r="O33" s="90">
        <v>3.8748039786032774E-3</v>
      </c>
      <c r="P33" s="409"/>
      <c r="Q33" s="409"/>
      <c r="R33" s="181"/>
      <c r="S33" s="415"/>
      <c r="T33" s="415"/>
      <c r="U33" s="181"/>
      <c r="V33" s="415"/>
      <c r="W33" s="415"/>
    </row>
    <row r="34" spans="2:23" ht="14.5" customHeight="1">
      <c r="B34" s="339"/>
      <c r="C34" s="407"/>
      <c r="D34" s="334">
        <v>46021</v>
      </c>
      <c r="E34" s="335" t="s">
        <v>15</v>
      </c>
      <c r="F34" s="93"/>
      <c r="G34" s="386"/>
      <c r="H34" s="414"/>
      <c r="I34" s="90"/>
      <c r="J34" s="234"/>
      <c r="K34" s="415"/>
      <c r="L34" s="90"/>
      <c r="M34" s="333"/>
      <c r="N34" s="409"/>
      <c r="O34" s="90"/>
      <c r="P34" s="333"/>
      <c r="Q34" s="409"/>
      <c r="R34" s="181"/>
      <c r="S34" s="234"/>
      <c r="T34" s="415"/>
      <c r="U34" s="181"/>
      <c r="V34" s="234"/>
      <c r="W34" s="415"/>
    </row>
    <row r="35" spans="2:23" ht="13.5">
      <c r="B35" s="339"/>
      <c r="C35" s="407"/>
      <c r="D35" s="334">
        <v>46022</v>
      </c>
      <c r="E35" s="335" t="s">
        <v>16</v>
      </c>
      <c r="F35" s="93"/>
      <c r="G35" s="386"/>
      <c r="H35" s="414"/>
      <c r="I35" s="90"/>
      <c r="J35" s="234"/>
      <c r="K35" s="415"/>
      <c r="L35" s="90"/>
      <c r="M35" s="333"/>
      <c r="N35" s="409"/>
      <c r="O35" s="90"/>
      <c r="P35" s="333"/>
      <c r="Q35" s="409"/>
      <c r="R35" s="181"/>
      <c r="S35" s="234"/>
      <c r="T35" s="415"/>
      <c r="U35" s="181"/>
      <c r="V35" s="234"/>
      <c r="W35" s="415"/>
    </row>
    <row r="36" spans="2:23">
      <c r="B36" s="83"/>
      <c r="D36" s="86"/>
      <c r="E36" s="86"/>
      <c r="F36" s="93"/>
      <c r="G36" s="93"/>
      <c r="H36" s="93"/>
      <c r="I36" s="90"/>
      <c r="J36" s="181"/>
      <c r="K36" s="87"/>
      <c r="L36" s="90"/>
      <c r="M36" s="181"/>
      <c r="N36" s="181"/>
      <c r="O36" s="90"/>
      <c r="P36" s="90"/>
      <c r="Q36" s="181"/>
      <c r="R36" s="181"/>
      <c r="S36" s="181"/>
      <c r="T36" s="181"/>
      <c r="U36" s="181"/>
      <c r="V36" s="181"/>
      <c r="W36" s="181"/>
    </row>
  </sheetData>
  <mergeCells count="45">
    <mergeCell ref="T5:T35"/>
    <mergeCell ref="N5:N35"/>
    <mergeCell ref="Q5:Q35"/>
    <mergeCell ref="K5:K35"/>
    <mergeCell ref="P6:P12"/>
    <mergeCell ref="P13:P19"/>
    <mergeCell ref="P20:P26"/>
    <mergeCell ref="P27:P33"/>
    <mergeCell ref="S6:S12"/>
    <mergeCell ref="S13:S19"/>
    <mergeCell ref="S20:S26"/>
    <mergeCell ref="M6:M12"/>
    <mergeCell ref="M13:M19"/>
    <mergeCell ref="M20:M26"/>
    <mergeCell ref="M27:M33"/>
    <mergeCell ref="S27:S33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5"/>
    <mergeCell ref="B6:B12"/>
    <mergeCell ref="B13:B19"/>
    <mergeCell ref="B20:B26"/>
    <mergeCell ref="B27:B33"/>
    <mergeCell ref="W5:W35"/>
    <mergeCell ref="V6:V12"/>
    <mergeCell ref="V13:V19"/>
    <mergeCell ref="V20:V26"/>
    <mergeCell ref="V27:V33"/>
    <mergeCell ref="G13:G19"/>
    <mergeCell ref="G20:G26"/>
    <mergeCell ref="G27:G33"/>
    <mergeCell ref="J6:J12"/>
    <mergeCell ref="J13:J19"/>
    <mergeCell ref="J20:J26"/>
    <mergeCell ref="J27:J33"/>
    <mergeCell ref="G6:G12"/>
    <mergeCell ref="H5:H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zoomScale="85" zoomScaleNormal="85" workbookViewId="0">
      <selection activeCell="M29" sqref="M29:M35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21" width="8.81640625" style="79" customWidth="1"/>
    <col min="22" max="16384" width="8.81640625" style="79"/>
  </cols>
  <sheetData>
    <row r="2" spans="1:14" ht="38.15" customHeight="1">
      <c r="A2" s="78"/>
      <c r="B2" s="397" t="s">
        <v>29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</row>
    <row r="3" spans="1:14" ht="25.4" customHeight="1">
      <c r="B3" s="426" t="s">
        <v>1</v>
      </c>
      <c r="C3" s="427" t="s">
        <v>30</v>
      </c>
      <c r="D3" s="428" t="s">
        <v>3</v>
      </c>
      <c r="E3" s="428"/>
      <c r="F3" s="429" t="s">
        <v>31</v>
      </c>
      <c r="G3" s="429"/>
      <c r="H3" s="429"/>
      <c r="I3" s="421" t="s">
        <v>32</v>
      </c>
      <c r="J3" s="422"/>
      <c r="K3" s="422"/>
      <c r="L3" s="422"/>
      <c r="M3" s="422"/>
      <c r="N3" s="423"/>
    </row>
    <row r="4" spans="1:14" ht="25.4" customHeight="1">
      <c r="B4" s="426"/>
      <c r="C4" s="427"/>
      <c r="D4" s="428"/>
      <c r="E4" s="428"/>
      <c r="F4" s="429"/>
      <c r="G4" s="429"/>
      <c r="H4" s="429"/>
      <c r="I4" s="425" t="s">
        <v>33</v>
      </c>
      <c r="J4" s="425"/>
      <c r="K4" s="425" t="s">
        <v>34</v>
      </c>
      <c r="L4" s="425"/>
      <c r="M4" s="425" t="s">
        <v>35</v>
      </c>
      <c r="N4" s="425"/>
    </row>
    <row r="5" spans="1:14" ht="25.4" customHeight="1">
      <c r="B5" s="426"/>
      <c r="C5" s="427"/>
      <c r="D5" s="428"/>
      <c r="E5" s="428"/>
      <c r="F5" s="420" t="s">
        <v>10</v>
      </c>
      <c r="G5" s="420" t="s">
        <v>11</v>
      </c>
      <c r="H5" s="420" t="s">
        <v>12</v>
      </c>
      <c r="I5" s="425" t="s">
        <v>36</v>
      </c>
      <c r="J5" s="425"/>
      <c r="K5" s="425" t="s">
        <v>36</v>
      </c>
      <c r="L5" s="425"/>
      <c r="M5" s="425" t="s">
        <v>36</v>
      </c>
      <c r="N5" s="425"/>
    </row>
    <row r="6" spans="1:14" s="82" customFormat="1" ht="23.5" customHeight="1">
      <c r="B6" s="426"/>
      <c r="C6" s="427"/>
      <c r="D6" s="428"/>
      <c r="E6" s="428"/>
      <c r="F6" s="420"/>
      <c r="G6" s="420"/>
      <c r="H6" s="420"/>
      <c r="I6" s="98" t="s">
        <v>37</v>
      </c>
      <c r="J6" s="99" t="s">
        <v>38</v>
      </c>
      <c r="K6" s="98" t="s">
        <v>37</v>
      </c>
      <c r="L6" s="99" t="s">
        <v>38</v>
      </c>
      <c r="M6" s="98" t="s">
        <v>37</v>
      </c>
      <c r="N6" s="99" t="s">
        <v>38</v>
      </c>
    </row>
    <row r="7" spans="1:14" ht="12">
      <c r="B7" s="339"/>
      <c r="C7" s="412" t="s">
        <v>13</v>
      </c>
      <c r="D7" s="334">
        <v>45992</v>
      </c>
      <c r="E7" s="334" t="s">
        <v>14</v>
      </c>
      <c r="F7" s="97">
        <f>SUM(I7,K7,M7)</f>
        <v>2513777.52</v>
      </c>
      <c r="G7" s="341"/>
      <c r="H7" s="424">
        <f>SUM(F7:F37)</f>
        <v>68791951.550000027</v>
      </c>
      <c r="I7" s="100">
        <v>2307139.06</v>
      </c>
      <c r="J7" s="101">
        <f t="shared" ref="J7:J36" si="0">I7/F7</f>
        <v>0.91779763389721136</v>
      </c>
      <c r="K7" s="100"/>
      <c r="L7" s="101">
        <f t="shared" ref="L7:L36" si="1">K7/F7</f>
        <v>0</v>
      </c>
      <c r="M7" s="100">
        <v>206638.46</v>
      </c>
      <c r="N7" s="101">
        <f t="shared" ref="N7:N36" si="2">M7/F7</f>
        <v>8.2202366102788596E-2</v>
      </c>
    </row>
    <row r="8" spans="1:14" ht="13.5">
      <c r="B8" s="413">
        <v>46001</v>
      </c>
      <c r="C8" s="407"/>
      <c r="D8" s="334">
        <v>45993</v>
      </c>
      <c r="E8" s="335" t="s">
        <v>15</v>
      </c>
      <c r="F8" s="97">
        <f t="shared" ref="F8:F37" si="3">SUM(I8,K8,M8)</f>
        <v>2335254.96</v>
      </c>
      <c r="G8" s="394">
        <f>SUM(F8:F14)</f>
        <v>15371290.750000002</v>
      </c>
      <c r="H8" s="424"/>
      <c r="I8" s="100">
        <v>2138809.71</v>
      </c>
      <c r="J8" s="101">
        <f t="shared" si="0"/>
        <v>0.91587845722849892</v>
      </c>
      <c r="K8" s="100"/>
      <c r="L8" s="101">
        <f t="shared" si="1"/>
        <v>0</v>
      </c>
      <c r="M8" s="100">
        <v>196445.25</v>
      </c>
      <c r="N8" s="101">
        <f t="shared" si="2"/>
        <v>8.4121542771501065E-2</v>
      </c>
    </row>
    <row r="9" spans="1:14" ht="13.5">
      <c r="B9" s="413"/>
      <c r="C9" s="407"/>
      <c r="D9" s="334">
        <v>45994</v>
      </c>
      <c r="E9" s="335" t="s">
        <v>16</v>
      </c>
      <c r="F9" s="97">
        <f t="shared" si="3"/>
        <v>2176837.2799999998</v>
      </c>
      <c r="G9" s="394"/>
      <c r="H9" s="424"/>
      <c r="I9" s="100">
        <v>1986919.9</v>
      </c>
      <c r="J9" s="101">
        <f t="shared" si="0"/>
        <v>0.91275536221981646</v>
      </c>
      <c r="K9" s="100"/>
      <c r="L9" s="101">
        <f t="shared" si="1"/>
        <v>0</v>
      </c>
      <c r="M9" s="100">
        <v>189917.38</v>
      </c>
      <c r="N9" s="101">
        <f t="shared" si="2"/>
        <v>8.7244637780183557E-2</v>
      </c>
    </row>
    <row r="10" spans="1:14" ht="13.5">
      <c r="B10" s="413"/>
      <c r="C10" s="407"/>
      <c r="D10" s="334">
        <v>45995</v>
      </c>
      <c r="E10" s="335" t="s">
        <v>17</v>
      </c>
      <c r="F10" s="97">
        <f t="shared" si="3"/>
        <v>2121444.9</v>
      </c>
      <c r="G10" s="394"/>
      <c r="H10" s="424"/>
      <c r="I10" s="100">
        <v>1941683.59</v>
      </c>
      <c r="J10" s="101">
        <f t="shared" si="0"/>
        <v>0.91526468116141035</v>
      </c>
      <c r="K10" s="100"/>
      <c r="L10" s="101">
        <f t="shared" si="1"/>
        <v>0</v>
      </c>
      <c r="M10" s="100">
        <v>179761.31</v>
      </c>
      <c r="N10" s="101">
        <f t="shared" si="2"/>
        <v>8.4735318838589688E-2</v>
      </c>
    </row>
    <row r="11" spans="1:14" ht="13.5">
      <c r="B11" s="413"/>
      <c r="C11" s="407"/>
      <c r="D11" s="334">
        <v>45996</v>
      </c>
      <c r="E11" s="335" t="s">
        <v>18</v>
      </c>
      <c r="F11" s="97">
        <f t="shared" si="3"/>
        <v>1832380.36</v>
      </c>
      <c r="G11" s="394"/>
      <c r="H11" s="424"/>
      <c r="I11" s="100">
        <v>1679171.53</v>
      </c>
      <c r="J11" s="101">
        <f t="shared" si="0"/>
        <v>0.91638808549552453</v>
      </c>
      <c r="K11" s="100"/>
      <c r="L11" s="101">
        <f t="shared" si="1"/>
        <v>0</v>
      </c>
      <c r="M11" s="100">
        <v>153208.82999999999</v>
      </c>
      <c r="N11" s="101">
        <f t="shared" si="2"/>
        <v>8.3611914504475471E-2</v>
      </c>
    </row>
    <row r="12" spans="1:14" ht="13.5">
      <c r="B12" s="413"/>
      <c r="C12" s="407"/>
      <c r="D12" s="334">
        <v>45997</v>
      </c>
      <c r="E12" s="335" t="s">
        <v>19</v>
      </c>
      <c r="F12" s="97">
        <f t="shared" si="3"/>
        <v>1995581.05</v>
      </c>
      <c r="G12" s="394"/>
      <c r="H12" s="424"/>
      <c r="I12" s="100">
        <v>1827891.02</v>
      </c>
      <c r="J12" s="101">
        <f t="shared" si="0"/>
        <v>0.91596932131621511</v>
      </c>
      <c r="K12" s="100"/>
      <c r="L12" s="101">
        <f t="shared" si="1"/>
        <v>0</v>
      </c>
      <c r="M12" s="100">
        <v>167690.03</v>
      </c>
      <c r="N12" s="101">
        <f t="shared" si="2"/>
        <v>8.403067868378486E-2</v>
      </c>
    </row>
    <row r="13" spans="1:14" ht="13.5">
      <c r="B13" s="413"/>
      <c r="C13" s="407"/>
      <c r="D13" s="334">
        <v>45998</v>
      </c>
      <c r="E13" s="335" t="s">
        <v>10</v>
      </c>
      <c r="F13" s="97">
        <f t="shared" si="3"/>
        <v>2513995.62</v>
      </c>
      <c r="G13" s="394"/>
      <c r="H13" s="424"/>
      <c r="I13" s="100">
        <v>2308449.29</v>
      </c>
      <c r="J13" s="101">
        <f t="shared" si="0"/>
        <v>0.91823918531727589</v>
      </c>
      <c r="K13" s="100"/>
      <c r="L13" s="101">
        <f t="shared" si="1"/>
        <v>0</v>
      </c>
      <c r="M13" s="100">
        <v>205546.33</v>
      </c>
      <c r="N13" s="101">
        <f t="shared" si="2"/>
        <v>8.1760814682724059E-2</v>
      </c>
    </row>
    <row r="14" spans="1:14" ht="12">
      <c r="B14" s="413"/>
      <c r="C14" s="407"/>
      <c r="D14" s="334">
        <v>45999</v>
      </c>
      <c r="E14" s="334" t="s">
        <v>14</v>
      </c>
      <c r="F14" s="97">
        <f t="shared" si="3"/>
        <v>2395796.58</v>
      </c>
      <c r="G14" s="394"/>
      <c r="H14" s="424"/>
      <c r="I14" s="100">
        <v>2195513.8199999998</v>
      </c>
      <c r="J14" s="101">
        <f t="shared" si="0"/>
        <v>0.91640243513495612</v>
      </c>
      <c r="K14" s="100"/>
      <c r="L14" s="101">
        <f t="shared" si="1"/>
        <v>0</v>
      </c>
      <c r="M14" s="100">
        <v>200282.76</v>
      </c>
      <c r="N14" s="101">
        <f t="shared" si="2"/>
        <v>8.3597564865043758E-2</v>
      </c>
    </row>
    <row r="15" spans="1:14" ht="13.5">
      <c r="B15" s="413">
        <v>46008</v>
      </c>
      <c r="C15" s="407"/>
      <c r="D15" s="334">
        <v>46000</v>
      </c>
      <c r="E15" s="335" t="s">
        <v>15</v>
      </c>
      <c r="F15" s="97">
        <f t="shared" si="3"/>
        <v>3129368.04</v>
      </c>
      <c r="G15" s="394">
        <f>SUM(F15:F21)</f>
        <v>17129534.109999999</v>
      </c>
      <c r="H15" s="424"/>
      <c r="I15" s="100">
        <v>2745741.12</v>
      </c>
      <c r="J15" s="101">
        <f t="shared" si="0"/>
        <v>0.87741073753664334</v>
      </c>
      <c r="K15" s="100"/>
      <c r="L15" s="101">
        <f t="shared" si="1"/>
        <v>0</v>
      </c>
      <c r="M15" s="100">
        <v>383626.92</v>
      </c>
      <c r="N15" s="101">
        <f t="shared" si="2"/>
        <v>0.12258926246335665</v>
      </c>
    </row>
    <row r="16" spans="1:14" ht="13.5">
      <c r="B16" s="413"/>
      <c r="C16" s="407"/>
      <c r="D16" s="334">
        <v>46001</v>
      </c>
      <c r="E16" s="335" t="s">
        <v>16</v>
      </c>
      <c r="F16" s="97">
        <f t="shared" si="3"/>
        <v>2596020.5</v>
      </c>
      <c r="G16" s="394"/>
      <c r="H16" s="424"/>
      <c r="I16" s="100">
        <v>2395378.5699999998</v>
      </c>
      <c r="J16" s="101">
        <f t="shared" si="0"/>
        <v>0.92271173128255335</v>
      </c>
      <c r="K16" s="100"/>
      <c r="L16" s="101">
        <f t="shared" si="1"/>
        <v>0</v>
      </c>
      <c r="M16" s="100">
        <v>200641.93</v>
      </c>
      <c r="N16" s="101">
        <f t="shared" si="2"/>
        <v>7.7288268717446568E-2</v>
      </c>
    </row>
    <row r="17" spans="2:14" ht="13.5">
      <c r="B17" s="413"/>
      <c r="C17" s="407"/>
      <c r="D17" s="334">
        <v>46002</v>
      </c>
      <c r="E17" s="335" t="s">
        <v>17</v>
      </c>
      <c r="F17" s="97">
        <f t="shared" si="3"/>
        <v>2249510.87</v>
      </c>
      <c r="G17" s="394"/>
      <c r="H17" s="424"/>
      <c r="I17" s="100">
        <v>2086053.95</v>
      </c>
      <c r="J17" s="101">
        <f t="shared" si="0"/>
        <v>0.92733668364091959</v>
      </c>
      <c r="K17" s="100"/>
      <c r="L17" s="101">
        <f t="shared" si="1"/>
        <v>0</v>
      </c>
      <c r="M17" s="100">
        <v>163456.92000000001</v>
      </c>
      <c r="N17" s="101">
        <f t="shared" si="2"/>
        <v>7.2663316359080327E-2</v>
      </c>
    </row>
    <row r="18" spans="2:14" ht="13.5">
      <c r="B18" s="413"/>
      <c r="C18" s="407"/>
      <c r="D18" s="334">
        <v>46003</v>
      </c>
      <c r="E18" s="335" t="s">
        <v>18</v>
      </c>
      <c r="F18" s="97">
        <f t="shared" si="3"/>
        <v>1793030.27</v>
      </c>
      <c r="G18" s="394"/>
      <c r="H18" s="424"/>
      <c r="I18" s="100">
        <v>1630327.93</v>
      </c>
      <c r="J18" s="101">
        <f t="shared" si="0"/>
        <v>0.90925845328868871</v>
      </c>
      <c r="K18" s="100"/>
      <c r="L18" s="101">
        <f t="shared" si="1"/>
        <v>0</v>
      </c>
      <c r="M18" s="100">
        <v>162702.34</v>
      </c>
      <c r="N18" s="101">
        <f t="shared" si="2"/>
        <v>9.0741546711311238E-2</v>
      </c>
    </row>
    <row r="19" spans="2:14" ht="13.5">
      <c r="B19" s="413"/>
      <c r="C19" s="407"/>
      <c r="D19" s="334">
        <v>46004</v>
      </c>
      <c r="E19" s="335" t="s">
        <v>19</v>
      </c>
      <c r="F19" s="97">
        <f t="shared" si="3"/>
        <v>2044428.8</v>
      </c>
      <c r="G19" s="394"/>
      <c r="H19" s="424"/>
      <c r="I19" s="100">
        <v>1849536.29</v>
      </c>
      <c r="J19" s="101">
        <f t="shared" si="0"/>
        <v>0.90467141237689475</v>
      </c>
      <c r="K19" s="100"/>
      <c r="L19" s="101">
        <f t="shared" si="1"/>
        <v>0</v>
      </c>
      <c r="M19" s="100">
        <v>194892.51</v>
      </c>
      <c r="N19" s="101">
        <f t="shared" si="2"/>
        <v>9.5328587623105296E-2</v>
      </c>
    </row>
    <row r="20" spans="2:14" ht="13.5">
      <c r="B20" s="413"/>
      <c r="C20" s="407"/>
      <c r="D20" s="334">
        <v>46005</v>
      </c>
      <c r="E20" s="335" t="s">
        <v>10</v>
      </c>
      <c r="F20" s="97">
        <f t="shared" si="3"/>
        <v>2720484.02</v>
      </c>
      <c r="G20" s="394"/>
      <c r="H20" s="424"/>
      <c r="I20" s="100">
        <v>2495145.33</v>
      </c>
      <c r="J20" s="101">
        <f t="shared" si="0"/>
        <v>0.91716963292436471</v>
      </c>
      <c r="K20" s="100"/>
      <c r="L20" s="101">
        <f t="shared" si="1"/>
        <v>0</v>
      </c>
      <c r="M20" s="100">
        <v>225338.69</v>
      </c>
      <c r="N20" s="101">
        <f t="shared" si="2"/>
        <v>8.2830367075635319E-2</v>
      </c>
    </row>
    <row r="21" spans="2:14" ht="12">
      <c r="B21" s="413"/>
      <c r="C21" s="407"/>
      <c r="D21" s="334">
        <v>46006</v>
      </c>
      <c r="E21" s="334" t="s">
        <v>14</v>
      </c>
      <c r="F21" s="97">
        <f t="shared" si="3"/>
        <v>2596691.61</v>
      </c>
      <c r="G21" s="394"/>
      <c r="H21" s="424"/>
      <c r="I21" s="100">
        <v>2354149.33</v>
      </c>
      <c r="J21" s="101">
        <f t="shared" si="0"/>
        <v>0.90659565461452707</v>
      </c>
      <c r="K21" s="100"/>
      <c r="L21" s="101">
        <f t="shared" si="1"/>
        <v>0</v>
      </c>
      <c r="M21" s="100">
        <v>242542.28</v>
      </c>
      <c r="N21" s="101">
        <f t="shared" si="2"/>
        <v>9.3404345385473028E-2</v>
      </c>
    </row>
    <row r="22" spans="2:14" ht="13.5">
      <c r="B22" s="413">
        <v>46015</v>
      </c>
      <c r="C22" s="407"/>
      <c r="D22" s="334">
        <v>46007</v>
      </c>
      <c r="E22" s="335" t="s">
        <v>15</v>
      </c>
      <c r="F22" s="97">
        <f t="shared" si="3"/>
        <v>2614596.2800000003</v>
      </c>
      <c r="G22" s="394">
        <f>SUM(F22:F28)</f>
        <v>17356992.149999999</v>
      </c>
      <c r="H22" s="424"/>
      <c r="I22" s="100">
        <v>2405755.41</v>
      </c>
      <c r="J22" s="101">
        <f t="shared" si="0"/>
        <v>0.92012500300811251</v>
      </c>
      <c r="K22" s="100"/>
      <c r="L22" s="101">
        <f t="shared" si="1"/>
        <v>0</v>
      </c>
      <c r="M22" s="100">
        <v>208840.87</v>
      </c>
      <c r="N22" s="101">
        <f t="shared" si="2"/>
        <v>7.9874996991887395E-2</v>
      </c>
    </row>
    <row r="23" spans="2:14" ht="13.5">
      <c r="B23" s="413"/>
      <c r="C23" s="407"/>
      <c r="D23" s="334">
        <v>46008</v>
      </c>
      <c r="E23" s="335" t="s">
        <v>16</v>
      </c>
      <c r="F23" s="97">
        <f t="shared" si="3"/>
        <v>2455966.04</v>
      </c>
      <c r="G23" s="394"/>
      <c r="H23" s="424"/>
      <c r="I23" s="100">
        <v>2255835.54</v>
      </c>
      <c r="J23" s="101">
        <f t="shared" si="0"/>
        <v>0.91851251330820516</v>
      </c>
      <c r="K23" s="100"/>
      <c r="L23" s="101">
        <f t="shared" si="1"/>
        <v>0</v>
      </c>
      <c r="M23" s="100">
        <v>200130.5</v>
      </c>
      <c r="N23" s="101">
        <f t="shared" si="2"/>
        <v>8.1487486691794814E-2</v>
      </c>
    </row>
    <row r="24" spans="2:14" ht="13.5">
      <c r="B24" s="413"/>
      <c r="C24" s="407"/>
      <c r="D24" s="334">
        <v>46009</v>
      </c>
      <c r="E24" s="335" t="s">
        <v>17</v>
      </c>
      <c r="F24" s="97">
        <f t="shared" si="3"/>
        <v>2339510.52</v>
      </c>
      <c r="G24" s="394"/>
      <c r="H24" s="424"/>
      <c r="I24" s="100">
        <v>2144015.84</v>
      </c>
      <c r="J24" s="101">
        <f t="shared" si="0"/>
        <v>0.91643778545607901</v>
      </c>
      <c r="K24" s="100"/>
      <c r="L24" s="101">
        <f t="shared" si="1"/>
        <v>0</v>
      </c>
      <c r="M24" s="100">
        <v>195494.68</v>
      </c>
      <c r="N24" s="101">
        <f t="shared" si="2"/>
        <v>8.3562214543920918E-2</v>
      </c>
    </row>
    <row r="25" spans="2:14" ht="13.5">
      <c r="B25" s="413"/>
      <c r="C25" s="407"/>
      <c r="D25" s="334">
        <v>46010</v>
      </c>
      <c r="E25" s="335" t="s">
        <v>18</v>
      </c>
      <c r="F25" s="97">
        <f t="shared" si="3"/>
        <v>2112449.5500000003</v>
      </c>
      <c r="G25" s="394"/>
      <c r="H25" s="424"/>
      <c r="I25" s="100">
        <v>1944600.61</v>
      </c>
      <c r="J25" s="101">
        <f t="shared" si="0"/>
        <v>0.92054298290815983</v>
      </c>
      <c r="K25" s="100"/>
      <c r="L25" s="101">
        <f t="shared" si="1"/>
        <v>0</v>
      </c>
      <c r="M25" s="100">
        <v>167848.94</v>
      </c>
      <c r="N25" s="101">
        <f t="shared" si="2"/>
        <v>7.9457017091840124E-2</v>
      </c>
    </row>
    <row r="26" spans="2:14" ht="13.5">
      <c r="B26" s="413"/>
      <c r="C26" s="407"/>
      <c r="D26" s="334">
        <v>46011</v>
      </c>
      <c r="E26" s="335" t="s">
        <v>19</v>
      </c>
      <c r="F26" s="97">
        <f t="shared" si="3"/>
        <v>2376517.02</v>
      </c>
      <c r="G26" s="394"/>
      <c r="H26" s="424"/>
      <c r="I26" s="100">
        <v>2182977.08</v>
      </c>
      <c r="J26" s="101">
        <f t="shared" si="0"/>
        <v>0.91856151739237279</v>
      </c>
      <c r="K26" s="100"/>
      <c r="L26" s="101">
        <f t="shared" si="1"/>
        <v>0</v>
      </c>
      <c r="M26" s="100">
        <v>193539.94</v>
      </c>
      <c r="N26" s="101">
        <f t="shared" si="2"/>
        <v>8.1438482607627191E-2</v>
      </c>
    </row>
    <row r="27" spans="2:14" ht="13.5">
      <c r="B27" s="413"/>
      <c r="C27" s="407"/>
      <c r="D27" s="334">
        <v>46012</v>
      </c>
      <c r="E27" s="335" t="s">
        <v>10</v>
      </c>
      <c r="F27" s="97">
        <f t="shared" si="3"/>
        <v>2783602.74</v>
      </c>
      <c r="G27" s="394"/>
      <c r="H27" s="424"/>
      <c r="I27" s="100">
        <v>2575971.39</v>
      </c>
      <c r="J27" s="101">
        <f t="shared" si="0"/>
        <v>0.92540913003987058</v>
      </c>
      <c r="K27" s="100"/>
      <c r="L27" s="101">
        <f t="shared" si="1"/>
        <v>0</v>
      </c>
      <c r="M27" s="100">
        <v>207631.35</v>
      </c>
      <c r="N27" s="101">
        <f t="shared" si="2"/>
        <v>7.4590869960129438E-2</v>
      </c>
    </row>
    <row r="28" spans="2:14" ht="12">
      <c r="B28" s="413"/>
      <c r="C28" s="407"/>
      <c r="D28" s="334">
        <v>46013</v>
      </c>
      <c r="E28" s="334" t="s">
        <v>14</v>
      </c>
      <c r="F28" s="97">
        <f t="shared" si="3"/>
        <v>2674350</v>
      </c>
      <c r="G28" s="394"/>
      <c r="H28" s="424"/>
      <c r="I28" s="100">
        <v>2462210.4500000002</v>
      </c>
      <c r="J28" s="101">
        <f t="shared" si="0"/>
        <v>0.92067622039000141</v>
      </c>
      <c r="K28" s="100"/>
      <c r="L28" s="101">
        <f t="shared" si="1"/>
        <v>0</v>
      </c>
      <c r="M28" s="100">
        <v>212139.55</v>
      </c>
      <c r="N28" s="101">
        <f t="shared" si="2"/>
        <v>7.9323779609998687E-2</v>
      </c>
    </row>
    <row r="29" spans="2:14" ht="13.5">
      <c r="B29" s="413">
        <v>46022</v>
      </c>
      <c r="C29" s="407"/>
      <c r="D29" s="334">
        <v>46014</v>
      </c>
      <c r="E29" s="335" t="s">
        <v>15</v>
      </c>
      <c r="F29" s="97">
        <f t="shared" si="3"/>
        <v>2842340.91</v>
      </c>
      <c r="G29" s="394">
        <f>SUM(F29:F35)</f>
        <v>16420357.02</v>
      </c>
      <c r="H29" s="424"/>
      <c r="I29" s="100">
        <v>2647878.98</v>
      </c>
      <c r="J29" s="101">
        <f t="shared" si="0"/>
        <v>0.93158388238517098</v>
      </c>
      <c r="K29" s="100"/>
      <c r="L29" s="101">
        <f t="shared" si="1"/>
        <v>0</v>
      </c>
      <c r="M29" s="100">
        <v>194461.93</v>
      </c>
      <c r="N29" s="101">
        <f t="shared" si="2"/>
        <v>6.8416117614828964E-2</v>
      </c>
    </row>
    <row r="30" spans="2:14" ht="13.5">
      <c r="B30" s="413"/>
      <c r="C30" s="407"/>
      <c r="D30" s="334">
        <v>46015</v>
      </c>
      <c r="E30" s="335" t="s">
        <v>16</v>
      </c>
      <c r="F30" s="97">
        <f t="shared" si="3"/>
        <v>1906561.02</v>
      </c>
      <c r="G30" s="394"/>
      <c r="H30" s="424"/>
      <c r="I30" s="100">
        <v>1746070.58</v>
      </c>
      <c r="J30" s="101">
        <f t="shared" si="0"/>
        <v>0.91582202808279378</v>
      </c>
      <c r="K30" s="100"/>
      <c r="L30" s="101">
        <f t="shared" si="1"/>
        <v>0</v>
      </c>
      <c r="M30" s="100">
        <v>160490.44</v>
      </c>
      <c r="N30" s="101">
        <f t="shared" si="2"/>
        <v>8.417797191720619E-2</v>
      </c>
    </row>
    <row r="31" spans="2:14" ht="13.5">
      <c r="B31" s="413"/>
      <c r="C31" s="407"/>
      <c r="D31" s="334">
        <v>46016</v>
      </c>
      <c r="E31" s="335" t="s">
        <v>17</v>
      </c>
      <c r="F31" s="97">
        <f t="shared" si="3"/>
        <v>2152805.8199999998</v>
      </c>
      <c r="G31" s="394"/>
      <c r="H31" s="424"/>
      <c r="I31" s="100">
        <v>1978466.89</v>
      </c>
      <c r="J31" s="101">
        <f t="shared" si="0"/>
        <v>0.91901780997600613</v>
      </c>
      <c r="K31" s="100"/>
      <c r="L31" s="101">
        <f t="shared" si="1"/>
        <v>0</v>
      </c>
      <c r="M31" s="100">
        <v>174338.93</v>
      </c>
      <c r="N31" s="101">
        <f t="shared" si="2"/>
        <v>8.09821900239939E-2</v>
      </c>
    </row>
    <row r="32" spans="2:14" ht="13.5">
      <c r="B32" s="413"/>
      <c r="C32" s="407"/>
      <c r="D32" s="334">
        <v>46017</v>
      </c>
      <c r="E32" s="335" t="s">
        <v>18</v>
      </c>
      <c r="F32" s="97">
        <f t="shared" si="3"/>
        <v>2059678.89</v>
      </c>
      <c r="G32" s="394"/>
      <c r="H32" s="424"/>
      <c r="I32" s="100">
        <v>1919678.48</v>
      </c>
      <c r="J32" s="101">
        <f t="shared" si="0"/>
        <v>0.93202804054567945</v>
      </c>
      <c r="K32" s="100"/>
      <c r="L32" s="101">
        <f t="shared" si="1"/>
        <v>0</v>
      </c>
      <c r="M32" s="100">
        <v>140000.41</v>
      </c>
      <c r="N32" s="101">
        <f t="shared" si="2"/>
        <v>6.797195945432058E-2</v>
      </c>
    </row>
    <row r="33" spans="2:14" ht="13.5">
      <c r="B33" s="413"/>
      <c r="C33" s="407"/>
      <c r="D33" s="334">
        <v>46018</v>
      </c>
      <c r="E33" s="335" t="s">
        <v>19</v>
      </c>
      <c r="F33" s="97">
        <f t="shared" si="3"/>
        <v>2208752.25</v>
      </c>
      <c r="G33" s="394"/>
      <c r="H33" s="424"/>
      <c r="I33" s="100">
        <v>2043956.6</v>
      </c>
      <c r="J33" s="101">
        <f t="shared" si="0"/>
        <v>0.92538970814857124</v>
      </c>
      <c r="K33" s="100"/>
      <c r="L33" s="101">
        <f t="shared" si="1"/>
        <v>0</v>
      </c>
      <c r="M33" s="100">
        <v>164795.65</v>
      </c>
      <c r="N33" s="101">
        <f t="shared" si="2"/>
        <v>7.4610291851428784E-2</v>
      </c>
    </row>
    <row r="34" spans="2:14" ht="13.5">
      <c r="B34" s="413"/>
      <c r="C34" s="407"/>
      <c r="D34" s="334">
        <v>46019</v>
      </c>
      <c r="E34" s="335" t="s">
        <v>10</v>
      </c>
      <c r="F34" s="97">
        <f t="shared" si="3"/>
        <v>2697830.95</v>
      </c>
      <c r="G34" s="394"/>
      <c r="H34" s="424"/>
      <c r="I34" s="100">
        <v>2504177.4500000002</v>
      </c>
      <c r="J34" s="101">
        <f t="shared" si="0"/>
        <v>0.9282188159343342</v>
      </c>
      <c r="K34" s="100"/>
      <c r="L34" s="101">
        <f t="shared" si="1"/>
        <v>0</v>
      </c>
      <c r="M34" s="100">
        <v>193653.5</v>
      </c>
      <c r="N34" s="101">
        <f t="shared" si="2"/>
        <v>7.178118406566579E-2</v>
      </c>
    </row>
    <row r="35" spans="2:14" ht="12">
      <c r="B35" s="413"/>
      <c r="C35" s="407"/>
      <c r="D35" s="334">
        <v>46020</v>
      </c>
      <c r="E35" s="334" t="s">
        <v>14</v>
      </c>
      <c r="F35" s="97">
        <f t="shared" si="3"/>
        <v>2552387.1800000002</v>
      </c>
      <c r="G35" s="394"/>
      <c r="H35" s="424"/>
      <c r="I35" s="100">
        <v>2353985.52</v>
      </c>
      <c r="J35" s="101">
        <f t="shared" si="0"/>
        <v>0.92226819600308441</v>
      </c>
      <c r="K35" s="100"/>
      <c r="L35" s="101">
        <f t="shared" si="1"/>
        <v>0</v>
      </c>
      <c r="M35" s="100">
        <v>198401.66</v>
      </c>
      <c r="N35" s="101">
        <f t="shared" si="2"/>
        <v>7.7731803996915538E-2</v>
      </c>
    </row>
    <row r="36" spans="2:14" ht="13.5">
      <c r="B36" s="339"/>
      <c r="C36" s="407"/>
      <c r="D36" s="334">
        <v>46021</v>
      </c>
      <c r="E36" s="335" t="s">
        <v>15</v>
      </c>
      <c r="F36" s="97">
        <f t="shared" si="3"/>
        <v>0</v>
      </c>
      <c r="G36" s="341"/>
      <c r="H36" s="424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339"/>
      <c r="C37" s="407"/>
      <c r="D37" s="334">
        <v>46022</v>
      </c>
      <c r="E37" s="335" t="s">
        <v>16</v>
      </c>
      <c r="F37" s="97">
        <f t="shared" si="3"/>
        <v>0</v>
      </c>
      <c r="G37" s="341"/>
      <c r="H37" s="424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83"/>
      <c r="C38" s="79"/>
      <c r="D38" s="86"/>
      <c r="E38" s="228"/>
      <c r="F38" s="97"/>
      <c r="G38" s="340"/>
      <c r="H38" s="97"/>
    </row>
    <row r="39" spans="2:14" ht="13.5">
      <c r="B39" s="83"/>
      <c r="C39" s="79"/>
      <c r="D39" s="86"/>
      <c r="E39" s="228"/>
      <c r="F39" s="97"/>
      <c r="G39" s="340"/>
      <c r="H39" s="97"/>
    </row>
    <row r="40" spans="2:14" ht="12">
      <c r="B40" s="83"/>
      <c r="C40" s="79"/>
      <c r="D40" s="86"/>
      <c r="E40" s="86"/>
      <c r="F40" s="97"/>
      <c r="G40" s="340"/>
      <c r="H40" s="97"/>
    </row>
    <row r="41" spans="2:14" ht="12">
      <c r="B41" s="83"/>
      <c r="C41" s="79"/>
      <c r="D41" s="86"/>
      <c r="E41" s="86"/>
      <c r="F41" s="97"/>
      <c r="G41" s="97"/>
      <c r="H41" s="97"/>
    </row>
    <row r="42" spans="2:14" ht="12">
      <c r="B42" s="83"/>
      <c r="C42" s="79"/>
      <c r="D42" s="86"/>
      <c r="E42" s="86"/>
      <c r="F42" s="97"/>
      <c r="G42" s="97"/>
      <c r="H42" s="97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B8:B14"/>
    <mergeCell ref="B15:B21"/>
    <mergeCell ref="B22:B28"/>
    <mergeCell ref="H5:H6"/>
    <mergeCell ref="B29:B35"/>
    <mergeCell ref="F5:F6"/>
    <mergeCell ref="G5:G6"/>
    <mergeCell ref="I3:N3"/>
    <mergeCell ref="G29:G35"/>
    <mergeCell ref="G8:G14"/>
    <mergeCell ref="G15:G21"/>
    <mergeCell ref="G22:G28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102"/>
  <sheetViews>
    <sheetView zoomScale="85" zoomScaleNormal="85" workbookViewId="0">
      <selection activeCell="M29" sqref="M29:M35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21" width="8.81640625" style="79" customWidth="1"/>
    <col min="22" max="16384" width="8.81640625" style="79"/>
  </cols>
  <sheetData>
    <row r="2" spans="1:14" ht="38.15" customHeight="1">
      <c r="A2" s="78"/>
      <c r="B2" s="207" t="s">
        <v>39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4" customHeight="1">
      <c r="B3" s="426" t="s">
        <v>1</v>
      </c>
      <c r="C3" s="427" t="s">
        <v>30</v>
      </c>
      <c r="D3" s="428" t="s">
        <v>3</v>
      </c>
      <c r="E3" s="428"/>
      <c r="F3" s="431" t="s">
        <v>40</v>
      </c>
      <c r="G3" s="432"/>
      <c r="H3" s="432"/>
      <c r="I3" s="433" t="s">
        <v>41</v>
      </c>
      <c r="J3" s="434"/>
      <c r="K3" s="434"/>
      <c r="L3" s="434"/>
      <c r="M3" s="434"/>
      <c r="N3" s="435"/>
    </row>
    <row r="4" spans="1:14" ht="25.4" customHeight="1">
      <c r="B4" s="426"/>
      <c r="C4" s="427"/>
      <c r="D4" s="428"/>
      <c r="E4" s="428"/>
      <c r="F4" s="432"/>
      <c r="G4" s="432"/>
      <c r="H4" s="432"/>
      <c r="I4" s="436" t="s">
        <v>33</v>
      </c>
      <c r="J4" s="436"/>
      <c r="K4" s="436" t="s">
        <v>34</v>
      </c>
      <c r="L4" s="436"/>
      <c r="M4" s="436" t="s">
        <v>35</v>
      </c>
      <c r="N4" s="436"/>
    </row>
    <row r="5" spans="1:14" ht="25.4" customHeight="1">
      <c r="B5" s="426"/>
      <c r="C5" s="427"/>
      <c r="D5" s="428"/>
      <c r="E5" s="428"/>
      <c r="F5" s="430" t="s">
        <v>10</v>
      </c>
      <c r="G5" s="430" t="s">
        <v>11</v>
      </c>
      <c r="H5" s="430" t="s">
        <v>12</v>
      </c>
      <c r="I5" s="436" t="s">
        <v>36</v>
      </c>
      <c r="J5" s="436"/>
      <c r="K5" s="436" t="s">
        <v>36</v>
      </c>
      <c r="L5" s="436"/>
      <c r="M5" s="436" t="s">
        <v>36</v>
      </c>
      <c r="N5" s="436"/>
    </row>
    <row r="6" spans="1:14" s="82" customFormat="1" ht="23.5" customHeight="1">
      <c r="B6" s="426"/>
      <c r="C6" s="427"/>
      <c r="D6" s="428"/>
      <c r="E6" s="428"/>
      <c r="F6" s="430"/>
      <c r="G6" s="430"/>
      <c r="H6" s="430"/>
      <c r="I6" s="105" t="s">
        <v>42</v>
      </c>
      <c r="J6" s="99" t="s">
        <v>38</v>
      </c>
      <c r="K6" s="105" t="s">
        <v>42</v>
      </c>
      <c r="L6" s="99" t="s">
        <v>38</v>
      </c>
      <c r="M6" s="105" t="s">
        <v>42</v>
      </c>
      <c r="N6" s="99" t="s">
        <v>38</v>
      </c>
    </row>
    <row r="7" spans="1:14" ht="12">
      <c r="B7" s="339"/>
      <c r="C7" s="412" t="s">
        <v>13</v>
      </c>
      <c r="D7" s="334">
        <v>45992</v>
      </c>
      <c r="E7" s="334" t="s">
        <v>14</v>
      </c>
      <c r="F7" s="206">
        <f>SUM(I7,K7,M7)</f>
        <v>52776</v>
      </c>
      <c r="G7" s="331"/>
      <c r="H7" s="395">
        <f>SUM(F7:F37)</f>
        <v>1446739</v>
      </c>
      <c r="I7" s="257">
        <v>45277</v>
      </c>
      <c r="J7" s="101">
        <f t="shared" ref="J7:J36" si="0">I7/F7</f>
        <v>0.85790889798393211</v>
      </c>
      <c r="K7" s="106"/>
      <c r="L7" s="101">
        <f t="shared" ref="L7:L36" si="1">K7/F7</f>
        <v>0</v>
      </c>
      <c r="M7" s="257">
        <v>7499</v>
      </c>
      <c r="N7" s="101">
        <f t="shared" ref="N7:N36" si="2">M7/F7</f>
        <v>0.14209110201606792</v>
      </c>
    </row>
    <row r="8" spans="1:14" ht="13.5">
      <c r="B8" s="413">
        <v>46001</v>
      </c>
      <c r="C8" s="407"/>
      <c r="D8" s="334">
        <v>45993</v>
      </c>
      <c r="E8" s="335" t="s">
        <v>15</v>
      </c>
      <c r="F8" s="206">
        <f t="shared" ref="F8:F37" si="3">SUM(I8,K8,M8)</f>
        <v>49145</v>
      </c>
      <c r="G8" s="395">
        <f>SUM(F8:F14)</f>
        <v>323563</v>
      </c>
      <c r="H8" s="395"/>
      <c r="I8" s="257">
        <v>42009</v>
      </c>
      <c r="J8" s="101">
        <f t="shared" si="0"/>
        <v>0.85479702919930822</v>
      </c>
      <c r="K8" s="106"/>
      <c r="L8" s="101">
        <f t="shared" si="1"/>
        <v>0</v>
      </c>
      <c r="M8" s="257">
        <v>7136</v>
      </c>
      <c r="N8" s="101">
        <f t="shared" si="2"/>
        <v>0.14520297080069183</v>
      </c>
    </row>
    <row r="9" spans="1:14" ht="13.5">
      <c r="B9" s="413"/>
      <c r="C9" s="407"/>
      <c r="D9" s="334">
        <v>45994</v>
      </c>
      <c r="E9" s="335" t="s">
        <v>16</v>
      </c>
      <c r="F9" s="206">
        <f t="shared" si="3"/>
        <v>45862</v>
      </c>
      <c r="G9" s="395"/>
      <c r="H9" s="395"/>
      <c r="I9" s="257">
        <v>38970</v>
      </c>
      <c r="J9" s="101">
        <f t="shared" si="0"/>
        <v>0.84972308229034932</v>
      </c>
      <c r="K9" s="106"/>
      <c r="L9" s="101">
        <f t="shared" si="1"/>
        <v>0</v>
      </c>
      <c r="M9" s="257">
        <v>6892</v>
      </c>
      <c r="N9" s="101">
        <f t="shared" si="2"/>
        <v>0.15027691770965068</v>
      </c>
    </row>
    <row r="10" spans="1:14" ht="13.5">
      <c r="B10" s="413"/>
      <c r="C10" s="407"/>
      <c r="D10" s="334">
        <v>45995</v>
      </c>
      <c r="E10" s="335" t="s">
        <v>17</v>
      </c>
      <c r="F10" s="206">
        <f t="shared" si="3"/>
        <v>44569</v>
      </c>
      <c r="G10" s="395"/>
      <c r="H10" s="395"/>
      <c r="I10" s="257">
        <v>38047</v>
      </c>
      <c r="J10" s="101">
        <f t="shared" si="0"/>
        <v>0.85366510354730862</v>
      </c>
      <c r="K10" s="106"/>
      <c r="L10" s="101">
        <f t="shared" si="1"/>
        <v>0</v>
      </c>
      <c r="M10" s="257">
        <v>6522</v>
      </c>
      <c r="N10" s="101">
        <f t="shared" si="2"/>
        <v>0.14633489645269132</v>
      </c>
    </row>
    <row r="11" spans="1:14" ht="13.5">
      <c r="B11" s="413"/>
      <c r="C11" s="407"/>
      <c r="D11" s="334">
        <v>45996</v>
      </c>
      <c r="E11" s="335" t="s">
        <v>18</v>
      </c>
      <c r="F11" s="206">
        <f t="shared" si="3"/>
        <v>38620</v>
      </c>
      <c r="G11" s="395"/>
      <c r="H11" s="395"/>
      <c r="I11" s="257">
        <v>33053</v>
      </c>
      <c r="J11" s="101">
        <f t="shared" si="0"/>
        <v>0.85585189021232522</v>
      </c>
      <c r="K11" s="106"/>
      <c r="L11" s="101">
        <f t="shared" si="1"/>
        <v>0</v>
      </c>
      <c r="M11" s="257">
        <v>5567</v>
      </c>
      <c r="N11" s="101">
        <f t="shared" si="2"/>
        <v>0.14414810978767478</v>
      </c>
    </row>
    <row r="12" spans="1:14" ht="13.5">
      <c r="B12" s="413"/>
      <c r="C12" s="407"/>
      <c r="D12" s="334">
        <v>45997</v>
      </c>
      <c r="E12" s="335" t="s">
        <v>19</v>
      </c>
      <c r="F12" s="206">
        <f t="shared" si="3"/>
        <v>42013</v>
      </c>
      <c r="G12" s="395"/>
      <c r="H12" s="395"/>
      <c r="I12" s="257">
        <v>35927</v>
      </c>
      <c r="J12" s="101">
        <f t="shared" si="0"/>
        <v>0.85514007569085759</v>
      </c>
      <c r="K12" s="106"/>
      <c r="L12" s="101">
        <f t="shared" si="1"/>
        <v>0</v>
      </c>
      <c r="M12" s="257">
        <v>6086</v>
      </c>
      <c r="N12" s="101">
        <f t="shared" si="2"/>
        <v>0.14485992430914241</v>
      </c>
    </row>
    <row r="13" spans="1:14" ht="13.5">
      <c r="B13" s="413"/>
      <c r="C13" s="407"/>
      <c r="D13" s="334">
        <v>45998</v>
      </c>
      <c r="E13" s="335" t="s">
        <v>10</v>
      </c>
      <c r="F13" s="206">
        <f t="shared" si="3"/>
        <v>52933</v>
      </c>
      <c r="G13" s="395"/>
      <c r="H13" s="395"/>
      <c r="I13" s="257">
        <v>45458</v>
      </c>
      <c r="J13" s="101">
        <f t="shared" si="0"/>
        <v>0.85878374548958114</v>
      </c>
      <c r="K13" s="106"/>
      <c r="L13" s="101">
        <f t="shared" si="1"/>
        <v>0</v>
      </c>
      <c r="M13" s="257">
        <v>7475</v>
      </c>
      <c r="N13" s="101">
        <f t="shared" si="2"/>
        <v>0.14121625451041883</v>
      </c>
    </row>
    <row r="14" spans="1:14" ht="12">
      <c r="B14" s="413"/>
      <c r="C14" s="407"/>
      <c r="D14" s="334">
        <v>45999</v>
      </c>
      <c r="E14" s="334" t="s">
        <v>14</v>
      </c>
      <c r="F14" s="206">
        <f t="shared" si="3"/>
        <v>50421</v>
      </c>
      <c r="G14" s="395"/>
      <c r="H14" s="395"/>
      <c r="I14" s="257">
        <v>43151</v>
      </c>
      <c r="J14" s="101">
        <f t="shared" si="0"/>
        <v>0.85581404573491204</v>
      </c>
      <c r="K14" s="106"/>
      <c r="L14" s="101">
        <f t="shared" si="1"/>
        <v>0</v>
      </c>
      <c r="M14" s="257">
        <v>7270</v>
      </c>
      <c r="N14" s="101">
        <f t="shared" si="2"/>
        <v>0.14418595426508796</v>
      </c>
    </row>
    <row r="15" spans="1:14" ht="13.5">
      <c r="B15" s="413">
        <v>46008</v>
      </c>
      <c r="C15" s="407"/>
      <c r="D15" s="334">
        <v>46000</v>
      </c>
      <c r="E15" s="335" t="s">
        <v>15</v>
      </c>
      <c r="F15" s="206">
        <f t="shared" si="3"/>
        <v>66936</v>
      </c>
      <c r="G15" s="395">
        <f>SUM(F15:F21)</f>
        <v>359333</v>
      </c>
      <c r="H15" s="395"/>
      <c r="I15" s="257">
        <v>53210</v>
      </c>
      <c r="J15" s="101">
        <f t="shared" si="0"/>
        <v>0.79493844866738372</v>
      </c>
      <c r="K15" s="106"/>
      <c r="L15" s="101">
        <f t="shared" si="1"/>
        <v>0</v>
      </c>
      <c r="M15" s="257">
        <v>13726</v>
      </c>
      <c r="N15" s="101">
        <f t="shared" si="2"/>
        <v>0.20506155133261622</v>
      </c>
    </row>
    <row r="16" spans="1:14" ht="13.5">
      <c r="B16" s="413"/>
      <c r="C16" s="407"/>
      <c r="D16" s="334">
        <v>46001</v>
      </c>
      <c r="E16" s="335" t="s">
        <v>16</v>
      </c>
      <c r="F16" s="206">
        <f t="shared" si="3"/>
        <v>53635</v>
      </c>
      <c r="G16" s="395"/>
      <c r="H16" s="395"/>
      <c r="I16" s="257">
        <v>46360</v>
      </c>
      <c r="J16" s="101">
        <f t="shared" si="0"/>
        <v>0.86436095832944904</v>
      </c>
      <c r="K16" s="106"/>
      <c r="L16" s="101">
        <f t="shared" si="1"/>
        <v>0</v>
      </c>
      <c r="M16" s="257">
        <v>7275</v>
      </c>
      <c r="N16" s="101">
        <f t="shared" si="2"/>
        <v>0.13563904167055094</v>
      </c>
    </row>
    <row r="17" spans="2:14" ht="13.5">
      <c r="B17" s="413"/>
      <c r="C17" s="407"/>
      <c r="D17" s="334">
        <v>46002</v>
      </c>
      <c r="E17" s="335" t="s">
        <v>17</v>
      </c>
      <c r="F17" s="206">
        <f t="shared" si="3"/>
        <v>46504</v>
      </c>
      <c r="G17" s="395"/>
      <c r="H17" s="395"/>
      <c r="I17" s="257">
        <v>40560</v>
      </c>
      <c r="J17" s="101">
        <f t="shared" si="0"/>
        <v>0.87218303801823494</v>
      </c>
      <c r="K17" s="106"/>
      <c r="L17" s="101">
        <f t="shared" si="1"/>
        <v>0</v>
      </c>
      <c r="M17" s="257">
        <v>5944</v>
      </c>
      <c r="N17" s="101">
        <f t="shared" si="2"/>
        <v>0.12781696198176501</v>
      </c>
    </row>
    <row r="18" spans="2:14" ht="13.5">
      <c r="B18" s="413"/>
      <c r="C18" s="407"/>
      <c r="D18" s="334">
        <v>46003</v>
      </c>
      <c r="E18" s="335" t="s">
        <v>18</v>
      </c>
      <c r="F18" s="206">
        <f t="shared" si="3"/>
        <v>37707</v>
      </c>
      <c r="G18" s="395"/>
      <c r="H18" s="395"/>
      <c r="I18" s="257">
        <v>31815</v>
      </c>
      <c r="J18" s="101">
        <f t="shared" si="0"/>
        <v>0.84374254117272651</v>
      </c>
      <c r="K18" s="106"/>
      <c r="L18" s="101">
        <f t="shared" si="1"/>
        <v>0</v>
      </c>
      <c r="M18" s="257">
        <v>5892</v>
      </c>
      <c r="N18" s="101">
        <f t="shared" si="2"/>
        <v>0.15625745882727346</v>
      </c>
    </row>
    <row r="19" spans="2:14" ht="13.5">
      <c r="B19" s="413"/>
      <c r="C19" s="407"/>
      <c r="D19" s="334">
        <v>46004</v>
      </c>
      <c r="E19" s="335" t="s">
        <v>19</v>
      </c>
      <c r="F19" s="206">
        <f t="shared" si="3"/>
        <v>43137</v>
      </c>
      <c r="G19" s="395"/>
      <c r="H19" s="395"/>
      <c r="I19" s="257">
        <v>36099</v>
      </c>
      <c r="J19" s="101">
        <f t="shared" si="0"/>
        <v>0.83684539954099724</v>
      </c>
      <c r="K19" s="106"/>
      <c r="L19" s="101">
        <f t="shared" si="1"/>
        <v>0</v>
      </c>
      <c r="M19" s="257">
        <v>7038</v>
      </c>
      <c r="N19" s="101">
        <f t="shared" si="2"/>
        <v>0.16315460045900271</v>
      </c>
    </row>
    <row r="20" spans="2:14" ht="13.5">
      <c r="B20" s="413"/>
      <c r="C20" s="407"/>
      <c r="D20" s="334">
        <v>46005</v>
      </c>
      <c r="E20" s="335" t="s">
        <v>10</v>
      </c>
      <c r="F20" s="206">
        <f t="shared" si="3"/>
        <v>56760</v>
      </c>
      <c r="G20" s="395"/>
      <c r="H20" s="395"/>
      <c r="I20" s="257">
        <v>48590</v>
      </c>
      <c r="J20" s="101">
        <f t="shared" si="0"/>
        <v>0.85606060606060608</v>
      </c>
      <c r="K20" s="106"/>
      <c r="L20" s="101">
        <f t="shared" si="1"/>
        <v>0</v>
      </c>
      <c r="M20" s="257">
        <v>8170</v>
      </c>
      <c r="N20" s="101">
        <f t="shared" si="2"/>
        <v>0.14393939393939395</v>
      </c>
    </row>
    <row r="21" spans="2:14" ht="12">
      <c r="B21" s="413"/>
      <c r="C21" s="407"/>
      <c r="D21" s="334">
        <v>46006</v>
      </c>
      <c r="E21" s="334" t="s">
        <v>14</v>
      </c>
      <c r="F21" s="206">
        <f t="shared" si="3"/>
        <v>54654</v>
      </c>
      <c r="G21" s="395"/>
      <c r="H21" s="395"/>
      <c r="I21" s="257">
        <v>45889</v>
      </c>
      <c r="J21" s="101">
        <f t="shared" si="0"/>
        <v>0.83962747465876242</v>
      </c>
      <c r="K21" s="106"/>
      <c r="L21" s="101">
        <f t="shared" si="1"/>
        <v>0</v>
      </c>
      <c r="M21" s="257">
        <v>8765</v>
      </c>
      <c r="N21" s="101">
        <f t="shared" si="2"/>
        <v>0.16037252534123761</v>
      </c>
    </row>
    <row r="22" spans="2:14" ht="13.5">
      <c r="B22" s="413">
        <v>46015</v>
      </c>
      <c r="C22" s="407"/>
      <c r="D22" s="334">
        <v>46007</v>
      </c>
      <c r="E22" s="335" t="s">
        <v>15</v>
      </c>
      <c r="F22" s="206">
        <f t="shared" si="3"/>
        <v>54968</v>
      </c>
      <c r="G22" s="395">
        <f>SUM(F22:F28)</f>
        <v>365761</v>
      </c>
      <c r="H22" s="395"/>
      <c r="I22" s="257">
        <v>47403</v>
      </c>
      <c r="J22" s="101">
        <f t="shared" si="0"/>
        <v>0.86237447242031728</v>
      </c>
      <c r="K22" s="106"/>
      <c r="L22" s="101">
        <f t="shared" si="1"/>
        <v>0</v>
      </c>
      <c r="M22" s="257">
        <v>7565</v>
      </c>
      <c r="N22" s="101">
        <f t="shared" si="2"/>
        <v>0.13762552757968272</v>
      </c>
    </row>
    <row r="23" spans="2:14" ht="13.5">
      <c r="B23" s="413"/>
      <c r="C23" s="407"/>
      <c r="D23" s="334">
        <v>46008</v>
      </c>
      <c r="E23" s="335" t="s">
        <v>16</v>
      </c>
      <c r="F23" s="206">
        <f t="shared" si="3"/>
        <v>51643</v>
      </c>
      <c r="G23" s="395"/>
      <c r="H23" s="395"/>
      <c r="I23" s="257">
        <v>44398</v>
      </c>
      <c r="J23" s="101">
        <f t="shared" si="0"/>
        <v>0.85970993164610887</v>
      </c>
      <c r="K23" s="106"/>
      <c r="L23" s="101">
        <f t="shared" si="1"/>
        <v>0</v>
      </c>
      <c r="M23" s="257">
        <v>7245</v>
      </c>
      <c r="N23" s="101">
        <f t="shared" si="2"/>
        <v>0.14029006835389113</v>
      </c>
    </row>
    <row r="24" spans="2:14" ht="13.5">
      <c r="B24" s="413"/>
      <c r="C24" s="407"/>
      <c r="D24" s="334">
        <v>46009</v>
      </c>
      <c r="E24" s="335" t="s">
        <v>17</v>
      </c>
      <c r="F24" s="206">
        <f t="shared" si="3"/>
        <v>49206</v>
      </c>
      <c r="G24" s="395"/>
      <c r="H24" s="395"/>
      <c r="I24" s="257">
        <v>42136</v>
      </c>
      <c r="J24" s="101">
        <f t="shared" si="0"/>
        <v>0.85631833516237854</v>
      </c>
      <c r="K24" s="106"/>
      <c r="L24" s="101">
        <f t="shared" si="1"/>
        <v>0</v>
      </c>
      <c r="M24" s="257">
        <v>7070</v>
      </c>
      <c r="N24" s="101">
        <f t="shared" si="2"/>
        <v>0.14368166483762143</v>
      </c>
    </row>
    <row r="25" spans="2:14" ht="13.5">
      <c r="B25" s="413"/>
      <c r="C25" s="407"/>
      <c r="D25" s="334">
        <v>46010</v>
      </c>
      <c r="E25" s="335" t="s">
        <v>18</v>
      </c>
      <c r="F25" s="206">
        <f t="shared" si="3"/>
        <v>45379</v>
      </c>
      <c r="G25" s="395"/>
      <c r="H25" s="395"/>
      <c r="I25" s="257">
        <v>39297</v>
      </c>
      <c r="J25" s="101">
        <f t="shared" si="0"/>
        <v>0.86597324753740712</v>
      </c>
      <c r="K25" s="106"/>
      <c r="L25" s="101">
        <f t="shared" si="1"/>
        <v>0</v>
      </c>
      <c r="M25" s="257">
        <v>6082</v>
      </c>
      <c r="N25" s="101">
        <f t="shared" si="2"/>
        <v>0.13402675246259282</v>
      </c>
    </row>
    <row r="26" spans="2:14" ht="13.5">
      <c r="B26" s="413"/>
      <c r="C26" s="407"/>
      <c r="D26" s="334">
        <v>46011</v>
      </c>
      <c r="E26" s="335" t="s">
        <v>19</v>
      </c>
      <c r="F26" s="206">
        <f t="shared" si="3"/>
        <v>49960</v>
      </c>
      <c r="G26" s="395"/>
      <c r="H26" s="395"/>
      <c r="I26" s="257">
        <v>42966</v>
      </c>
      <c r="J26" s="101">
        <f t="shared" si="0"/>
        <v>0.86000800640512409</v>
      </c>
      <c r="K26" s="106"/>
      <c r="L26" s="101">
        <f t="shared" si="1"/>
        <v>0</v>
      </c>
      <c r="M26" s="257">
        <v>6994</v>
      </c>
      <c r="N26" s="101">
        <f t="shared" si="2"/>
        <v>0.13999199359487591</v>
      </c>
    </row>
    <row r="27" spans="2:14" ht="13.5">
      <c r="B27" s="413"/>
      <c r="C27" s="407"/>
      <c r="D27" s="334">
        <v>46012</v>
      </c>
      <c r="E27" s="335" t="s">
        <v>10</v>
      </c>
      <c r="F27" s="206">
        <f t="shared" si="3"/>
        <v>58406</v>
      </c>
      <c r="G27" s="395"/>
      <c r="H27" s="395"/>
      <c r="I27" s="257">
        <v>50869</v>
      </c>
      <c r="J27" s="101">
        <f t="shared" si="0"/>
        <v>0.87095503886586989</v>
      </c>
      <c r="K27" s="106"/>
      <c r="L27" s="101">
        <f t="shared" si="1"/>
        <v>0</v>
      </c>
      <c r="M27" s="257">
        <v>7537</v>
      </c>
      <c r="N27" s="101">
        <f t="shared" si="2"/>
        <v>0.12904496113413005</v>
      </c>
    </row>
    <row r="28" spans="2:14" ht="12">
      <c r="B28" s="413"/>
      <c r="C28" s="407"/>
      <c r="D28" s="334">
        <v>46013</v>
      </c>
      <c r="E28" s="334" t="s">
        <v>14</v>
      </c>
      <c r="F28" s="206">
        <f t="shared" si="3"/>
        <v>56199</v>
      </c>
      <c r="G28" s="395"/>
      <c r="H28" s="395"/>
      <c r="I28" s="257">
        <v>48515</v>
      </c>
      <c r="J28" s="101">
        <f t="shared" si="0"/>
        <v>0.86327158846242813</v>
      </c>
      <c r="K28" s="106"/>
      <c r="L28" s="101">
        <f t="shared" si="1"/>
        <v>0</v>
      </c>
      <c r="M28" s="257">
        <v>7684</v>
      </c>
      <c r="N28" s="101">
        <f t="shared" si="2"/>
        <v>0.13672841153757184</v>
      </c>
    </row>
    <row r="29" spans="2:14" ht="13.5">
      <c r="B29" s="413">
        <v>46022</v>
      </c>
      <c r="C29" s="407"/>
      <c r="D29" s="334">
        <v>46014</v>
      </c>
      <c r="E29" s="335" t="s">
        <v>15</v>
      </c>
      <c r="F29" s="206">
        <f t="shared" si="3"/>
        <v>59311</v>
      </c>
      <c r="G29" s="395">
        <f>SUM(F29:F35)</f>
        <v>345306</v>
      </c>
      <c r="H29" s="395"/>
      <c r="I29" s="257">
        <v>52265</v>
      </c>
      <c r="J29" s="101">
        <f t="shared" si="0"/>
        <v>0.88120247508893801</v>
      </c>
      <c r="K29" s="106"/>
      <c r="L29" s="101">
        <f t="shared" si="1"/>
        <v>0</v>
      </c>
      <c r="M29" s="257">
        <v>7046</v>
      </c>
      <c r="N29" s="101">
        <f t="shared" si="2"/>
        <v>0.11879752491106203</v>
      </c>
    </row>
    <row r="30" spans="2:14" ht="13.5">
      <c r="B30" s="413"/>
      <c r="C30" s="407"/>
      <c r="D30" s="334">
        <v>46015</v>
      </c>
      <c r="E30" s="335" t="s">
        <v>16</v>
      </c>
      <c r="F30" s="206">
        <f t="shared" si="3"/>
        <v>40396</v>
      </c>
      <c r="G30" s="395"/>
      <c r="H30" s="395"/>
      <c r="I30" s="257">
        <v>34584</v>
      </c>
      <c r="J30" s="101">
        <f t="shared" si="0"/>
        <v>0.85612436874938114</v>
      </c>
      <c r="K30" s="106"/>
      <c r="L30" s="101">
        <f t="shared" si="1"/>
        <v>0</v>
      </c>
      <c r="M30" s="257">
        <v>5812</v>
      </c>
      <c r="N30" s="101">
        <f t="shared" si="2"/>
        <v>0.14387563125061886</v>
      </c>
    </row>
    <row r="31" spans="2:14" ht="13.5">
      <c r="B31" s="413"/>
      <c r="C31" s="407"/>
      <c r="D31" s="334">
        <v>46016</v>
      </c>
      <c r="E31" s="335" t="s">
        <v>17</v>
      </c>
      <c r="F31" s="206">
        <f t="shared" si="3"/>
        <v>45518</v>
      </c>
      <c r="G31" s="395"/>
      <c r="H31" s="395"/>
      <c r="I31" s="257">
        <v>39203</v>
      </c>
      <c r="J31" s="101">
        <f t="shared" si="0"/>
        <v>0.86126367590843178</v>
      </c>
      <c r="K31" s="106"/>
      <c r="L31" s="101">
        <f t="shared" si="1"/>
        <v>0</v>
      </c>
      <c r="M31" s="257">
        <v>6315</v>
      </c>
      <c r="N31" s="101">
        <f t="shared" si="2"/>
        <v>0.13873632409156816</v>
      </c>
    </row>
    <row r="32" spans="2:14" ht="13.5">
      <c r="B32" s="413"/>
      <c r="C32" s="407"/>
      <c r="D32" s="334">
        <v>46017</v>
      </c>
      <c r="E32" s="335" t="s">
        <v>18</v>
      </c>
      <c r="F32" s="206">
        <f t="shared" si="3"/>
        <v>43115</v>
      </c>
      <c r="G32" s="395"/>
      <c r="H32" s="395"/>
      <c r="I32" s="257">
        <v>38034</v>
      </c>
      <c r="J32" s="101">
        <f t="shared" si="0"/>
        <v>0.88215238316131273</v>
      </c>
      <c r="K32" s="106"/>
      <c r="L32" s="101">
        <f t="shared" si="1"/>
        <v>0</v>
      </c>
      <c r="M32" s="257">
        <v>5081</v>
      </c>
      <c r="N32" s="101">
        <f t="shared" si="2"/>
        <v>0.11784761683868723</v>
      </c>
    </row>
    <row r="33" spans="2:14" ht="13.5">
      <c r="B33" s="413"/>
      <c r="C33" s="407"/>
      <c r="D33" s="334">
        <v>46018</v>
      </c>
      <c r="E33" s="335" t="s">
        <v>19</v>
      </c>
      <c r="F33" s="206">
        <f t="shared" si="3"/>
        <v>46400</v>
      </c>
      <c r="G33" s="395"/>
      <c r="H33" s="395"/>
      <c r="I33" s="257">
        <v>40434</v>
      </c>
      <c r="J33" s="101">
        <f t="shared" si="0"/>
        <v>0.87142241379310348</v>
      </c>
      <c r="K33" s="106"/>
      <c r="L33" s="101">
        <f t="shared" si="1"/>
        <v>0</v>
      </c>
      <c r="M33" s="257">
        <v>5966</v>
      </c>
      <c r="N33" s="101">
        <f t="shared" si="2"/>
        <v>0.12857758620689655</v>
      </c>
    </row>
    <row r="34" spans="2:14" ht="13.5">
      <c r="B34" s="413"/>
      <c r="C34" s="407"/>
      <c r="D34" s="334">
        <v>46019</v>
      </c>
      <c r="E34" s="335" t="s">
        <v>10</v>
      </c>
      <c r="F34" s="206">
        <f t="shared" si="3"/>
        <v>56766</v>
      </c>
      <c r="G34" s="395"/>
      <c r="H34" s="395"/>
      <c r="I34" s="257">
        <v>49722</v>
      </c>
      <c r="J34" s="101">
        <f t="shared" si="0"/>
        <v>0.8759116372476482</v>
      </c>
      <c r="K34" s="106"/>
      <c r="L34" s="101">
        <f t="shared" si="1"/>
        <v>0</v>
      </c>
      <c r="M34" s="257">
        <v>7044</v>
      </c>
      <c r="N34" s="101">
        <f t="shared" si="2"/>
        <v>0.12408836275235176</v>
      </c>
    </row>
    <row r="35" spans="2:14" ht="12">
      <c r="B35" s="413"/>
      <c r="C35" s="407"/>
      <c r="D35" s="334">
        <v>46020</v>
      </c>
      <c r="E35" s="334" t="s">
        <v>14</v>
      </c>
      <c r="F35" s="206">
        <f t="shared" si="3"/>
        <v>53800</v>
      </c>
      <c r="G35" s="395"/>
      <c r="H35" s="395"/>
      <c r="I35" s="257">
        <v>46604</v>
      </c>
      <c r="J35" s="101">
        <f t="shared" si="0"/>
        <v>0.86624535315985129</v>
      </c>
      <c r="K35" s="106"/>
      <c r="L35" s="101">
        <f t="shared" si="1"/>
        <v>0</v>
      </c>
      <c r="M35" s="257">
        <v>7196</v>
      </c>
      <c r="N35" s="101">
        <f t="shared" si="2"/>
        <v>0.13375464684014871</v>
      </c>
    </row>
    <row r="36" spans="2:14" ht="13.5">
      <c r="B36" s="339"/>
      <c r="C36" s="407"/>
      <c r="D36" s="334">
        <v>46021</v>
      </c>
      <c r="E36" s="335" t="s">
        <v>15</v>
      </c>
      <c r="F36" s="206">
        <f t="shared" si="3"/>
        <v>0</v>
      </c>
      <c r="G36" s="331"/>
      <c r="H36" s="395"/>
      <c r="I36" s="257"/>
      <c r="J36" s="101" t="e">
        <f t="shared" si="0"/>
        <v>#DIV/0!</v>
      </c>
      <c r="K36" s="106"/>
      <c r="L36" s="101" t="e">
        <f t="shared" si="1"/>
        <v>#DIV/0!</v>
      </c>
      <c r="M36" s="257"/>
      <c r="N36" s="101" t="e">
        <f t="shared" si="2"/>
        <v>#DIV/0!</v>
      </c>
    </row>
    <row r="37" spans="2:14" ht="13.5">
      <c r="B37" s="339"/>
      <c r="C37" s="407"/>
      <c r="D37" s="334">
        <v>46022</v>
      </c>
      <c r="E37" s="335" t="s">
        <v>16</v>
      </c>
      <c r="F37" s="206">
        <f t="shared" si="3"/>
        <v>0</v>
      </c>
      <c r="G37" s="331"/>
      <c r="H37" s="395"/>
      <c r="I37" s="257"/>
      <c r="J37" s="101" t="e">
        <f>I37/F37</f>
        <v>#DIV/0!</v>
      </c>
      <c r="K37" s="106"/>
      <c r="L37" s="101" t="e">
        <f>K37/F37</f>
        <v>#DIV/0!</v>
      </c>
      <c r="M37" s="257"/>
      <c r="N37" s="101" t="e">
        <f>M37/F37</f>
        <v>#DIV/0!</v>
      </c>
    </row>
    <row r="38" spans="2:14" ht="13.5">
      <c r="B38" s="83"/>
      <c r="C38" s="79"/>
      <c r="D38" s="86"/>
      <c r="E38" s="228"/>
      <c r="F38" s="206"/>
      <c r="G38" s="331"/>
      <c r="H38" s="206"/>
    </row>
    <row r="39" spans="2:14" ht="13.5">
      <c r="B39" s="83"/>
      <c r="C39" s="79"/>
      <c r="D39" s="86"/>
      <c r="E39" s="228"/>
      <c r="F39" s="206"/>
      <c r="G39" s="331"/>
      <c r="H39" s="206"/>
    </row>
    <row r="40" spans="2:14" ht="12">
      <c r="B40" s="83"/>
      <c r="C40" s="79"/>
      <c r="D40" s="86"/>
      <c r="E40" s="86"/>
      <c r="F40" s="206"/>
      <c r="G40" s="331"/>
      <c r="H40" s="206"/>
    </row>
    <row r="41" spans="2:14" ht="13.5">
      <c r="B41" s="83"/>
      <c r="C41" s="79"/>
      <c r="D41" s="86"/>
      <c r="E41" s="228"/>
      <c r="F41" s="206"/>
      <c r="G41" s="331"/>
      <c r="H41" s="206"/>
    </row>
    <row r="42" spans="2:14" ht="12">
      <c r="B42" s="83"/>
      <c r="C42" s="79"/>
      <c r="D42" s="86"/>
      <c r="E42" s="86"/>
      <c r="F42" s="206"/>
      <c r="G42" s="331"/>
      <c r="H42" s="206"/>
    </row>
    <row r="43" spans="2:14" ht="13.5">
      <c r="B43" s="83"/>
      <c r="C43" s="79"/>
      <c r="D43" s="86"/>
      <c r="E43" s="228"/>
      <c r="F43" s="206"/>
      <c r="G43" s="206"/>
      <c r="H43" s="206"/>
    </row>
    <row r="44" spans="2:14" ht="13.5">
      <c r="B44" s="83"/>
      <c r="C44" s="79"/>
      <c r="D44" s="86"/>
      <c r="E44" s="228"/>
      <c r="F44" s="206"/>
      <c r="G44" s="206"/>
      <c r="H44" s="206"/>
    </row>
    <row r="45" spans="2:14" ht="13.5">
      <c r="B45" s="83"/>
      <c r="C45" s="79"/>
      <c r="D45" s="86"/>
      <c r="E45" s="228"/>
      <c r="F45" s="206"/>
      <c r="G45" s="206"/>
      <c r="H45" s="206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4">
    <mergeCell ref="I3:N3"/>
    <mergeCell ref="K4:L4"/>
    <mergeCell ref="K5:L5"/>
    <mergeCell ref="H7:H37"/>
    <mergeCell ref="F5:F6"/>
    <mergeCell ref="M5:N5"/>
    <mergeCell ref="I5:J5"/>
    <mergeCell ref="I4:J4"/>
    <mergeCell ref="M4:N4"/>
    <mergeCell ref="C7:C37"/>
    <mergeCell ref="C3:C6"/>
    <mergeCell ref="G5:G6"/>
    <mergeCell ref="H5:H6"/>
    <mergeCell ref="F3:H4"/>
    <mergeCell ref="D3:E6"/>
    <mergeCell ref="G8:G14"/>
    <mergeCell ref="G15:G21"/>
    <mergeCell ref="G22:G28"/>
    <mergeCell ref="G29:G35"/>
    <mergeCell ref="B3:B6"/>
    <mergeCell ref="B8:B14"/>
    <mergeCell ref="B15:B21"/>
    <mergeCell ref="B22:B28"/>
    <mergeCell ref="B29:B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6"/>
  <sheetViews>
    <sheetView topLeftCell="A79" zoomScaleNormal="100" workbookViewId="0">
      <pane xSplit="4" topLeftCell="I1" activePane="topRight" state="frozen"/>
      <selection pane="topRight" activeCell="N93" sqref="N93:N113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5.453125" style="21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7.7265625" style="211" bestFit="1" customWidth="1"/>
    <col min="30" max="30" width="12.81640625" style="212" customWidth="1"/>
    <col min="31" max="33" width="12.54296875" style="212" customWidth="1"/>
    <col min="34" max="34" width="7.7265625" style="211" bestFit="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7" width="8.81640625" style="212" customWidth="1"/>
    <col min="58" max="16384" width="8.81640625" style="212"/>
  </cols>
  <sheetData>
    <row r="1" spans="1:50" ht="21">
      <c r="A1" s="208"/>
      <c r="B1" s="209" t="s">
        <v>43</v>
      </c>
      <c r="C1" s="210">
        <f>AVERAGE(L7,L30,L53,L73,L96,L119)</f>
        <v>98.146109903198692</v>
      </c>
    </row>
    <row r="2" spans="1:50" ht="15.5">
      <c r="A2" s="213"/>
      <c r="B2" s="454" t="s">
        <v>44</v>
      </c>
      <c r="C2" s="455"/>
      <c r="D2" s="455"/>
      <c r="E2" s="455"/>
      <c r="F2" s="455"/>
      <c r="G2" s="455"/>
      <c r="H2" s="455"/>
      <c r="I2" s="214"/>
      <c r="J2" s="214"/>
      <c r="K2" s="214"/>
      <c r="L2" s="214"/>
      <c r="M2" s="215"/>
      <c r="N2" s="450" t="s">
        <v>45</v>
      </c>
      <c r="O2" s="450" t="s">
        <v>3</v>
      </c>
      <c r="P2" s="453"/>
      <c r="Q2" s="438"/>
      <c r="R2" s="438"/>
      <c r="S2" s="438"/>
      <c r="T2" s="438"/>
      <c r="U2" s="453"/>
      <c r="V2" s="438"/>
      <c r="W2" s="438"/>
      <c r="X2" s="438"/>
      <c r="Y2" s="438"/>
      <c r="Z2" s="453"/>
      <c r="AA2" s="438"/>
      <c r="AB2" s="438"/>
      <c r="AC2" s="438"/>
      <c r="AD2" s="438"/>
      <c r="AE2" s="453"/>
      <c r="AF2" s="438"/>
      <c r="AG2" s="438"/>
      <c r="AH2" s="438"/>
      <c r="AI2" s="438"/>
      <c r="AJ2" s="453"/>
      <c r="AK2" s="438"/>
      <c r="AL2" s="438"/>
      <c r="AM2" s="438"/>
      <c r="AN2" s="438"/>
      <c r="AO2" s="453"/>
      <c r="AP2" s="438"/>
      <c r="AQ2" s="438"/>
      <c r="AR2" s="438"/>
      <c r="AS2" s="438"/>
      <c r="AT2" s="453">
        <v>45992</v>
      </c>
      <c r="AU2" s="438"/>
      <c r="AV2" s="438"/>
      <c r="AW2" s="438"/>
      <c r="AX2" s="438"/>
    </row>
    <row r="3" spans="1:50" ht="15.5">
      <c r="A3" s="213"/>
      <c r="B3" s="456"/>
      <c r="C3" s="456"/>
      <c r="D3" s="456"/>
      <c r="E3" s="456"/>
      <c r="F3" s="456"/>
      <c r="G3" s="456"/>
      <c r="H3" s="456"/>
      <c r="I3" s="216"/>
      <c r="J3" s="216"/>
      <c r="K3" s="216"/>
      <c r="L3" s="216"/>
      <c r="M3" s="217"/>
      <c r="N3" s="452"/>
      <c r="O3" s="452"/>
      <c r="P3" s="453" t="s">
        <v>15</v>
      </c>
      <c r="Q3" s="438"/>
      <c r="R3" s="438"/>
      <c r="S3" s="438"/>
      <c r="T3" s="438"/>
      <c r="U3" s="453" t="s">
        <v>16</v>
      </c>
      <c r="V3" s="438"/>
      <c r="W3" s="438"/>
      <c r="X3" s="438"/>
      <c r="Y3" s="438"/>
      <c r="Z3" s="453" t="s">
        <v>17</v>
      </c>
      <c r="AA3" s="438"/>
      <c r="AB3" s="438"/>
      <c r="AC3" s="438"/>
      <c r="AD3" s="438"/>
      <c r="AE3" s="453" t="s">
        <v>18</v>
      </c>
      <c r="AF3" s="438"/>
      <c r="AG3" s="438"/>
      <c r="AH3" s="438"/>
      <c r="AI3" s="438"/>
      <c r="AJ3" s="453" t="s">
        <v>19</v>
      </c>
      <c r="AK3" s="438"/>
      <c r="AL3" s="438"/>
      <c r="AM3" s="438"/>
      <c r="AN3" s="438"/>
      <c r="AO3" s="453" t="s">
        <v>10</v>
      </c>
      <c r="AP3" s="438"/>
      <c r="AQ3" s="438"/>
      <c r="AR3" s="438"/>
      <c r="AS3" s="438"/>
      <c r="AT3" s="453" t="s">
        <v>14</v>
      </c>
      <c r="AU3" s="438"/>
      <c r="AV3" s="438"/>
      <c r="AW3" s="438"/>
      <c r="AX3" s="438"/>
    </row>
    <row r="4" spans="1:50">
      <c r="A4" s="213"/>
      <c r="B4" s="445" t="s">
        <v>46</v>
      </c>
      <c r="C4" s="446" t="s">
        <v>47</v>
      </c>
      <c r="D4" s="445"/>
      <c r="E4" s="445" t="s">
        <v>48</v>
      </c>
      <c r="F4" s="445"/>
      <c r="G4" s="445"/>
      <c r="H4" s="447" t="s">
        <v>49</v>
      </c>
      <c r="I4" s="445" t="s">
        <v>50</v>
      </c>
      <c r="J4" s="445"/>
      <c r="K4" s="445"/>
      <c r="L4" s="447" t="s">
        <v>49</v>
      </c>
      <c r="M4" s="450" t="s">
        <v>51</v>
      </c>
      <c r="N4" s="445"/>
      <c r="O4" s="445" t="s">
        <v>52</v>
      </c>
      <c r="P4" s="442" t="s">
        <v>53</v>
      </c>
      <c r="Q4" s="443"/>
      <c r="R4" s="443"/>
      <c r="S4" s="444"/>
      <c r="T4" s="445" t="s">
        <v>49</v>
      </c>
      <c r="U4" s="442" t="s">
        <v>53</v>
      </c>
      <c r="V4" s="443"/>
      <c r="W4" s="443"/>
      <c r="X4" s="444"/>
      <c r="Y4" s="445" t="s">
        <v>49</v>
      </c>
      <c r="Z4" s="442" t="s">
        <v>53</v>
      </c>
      <c r="AA4" s="443"/>
      <c r="AB4" s="443"/>
      <c r="AC4" s="444"/>
      <c r="AD4" s="445" t="s">
        <v>49</v>
      </c>
      <c r="AE4" s="442" t="s">
        <v>53</v>
      </c>
      <c r="AF4" s="443"/>
      <c r="AG4" s="443"/>
      <c r="AH4" s="444"/>
      <c r="AI4" s="445" t="s">
        <v>49</v>
      </c>
      <c r="AJ4" s="442" t="s">
        <v>53</v>
      </c>
      <c r="AK4" s="443"/>
      <c r="AL4" s="443"/>
      <c r="AM4" s="444"/>
      <c r="AN4" s="445" t="s">
        <v>49</v>
      </c>
      <c r="AO4" s="442" t="s">
        <v>53</v>
      </c>
      <c r="AP4" s="443"/>
      <c r="AQ4" s="443"/>
      <c r="AR4" s="444"/>
      <c r="AS4" s="445" t="s">
        <v>49</v>
      </c>
      <c r="AT4" s="442" t="s">
        <v>53</v>
      </c>
      <c r="AU4" s="443"/>
      <c r="AV4" s="443"/>
      <c r="AW4" s="444"/>
      <c r="AX4" s="445" t="s">
        <v>49</v>
      </c>
    </row>
    <row r="5" spans="1:50">
      <c r="A5" s="213"/>
      <c r="B5" s="445"/>
      <c r="C5" s="445"/>
      <c r="D5" s="445"/>
      <c r="E5" s="445" t="s">
        <v>54</v>
      </c>
      <c r="F5" s="445"/>
      <c r="G5" s="445"/>
      <c r="H5" s="448"/>
      <c r="I5" s="445" t="s">
        <v>54</v>
      </c>
      <c r="J5" s="445"/>
      <c r="K5" s="445"/>
      <c r="L5" s="448"/>
      <c r="M5" s="451"/>
      <c r="N5" s="445"/>
      <c r="O5" s="445"/>
      <c r="P5" s="442" t="s">
        <v>55</v>
      </c>
      <c r="Q5" s="443"/>
      <c r="R5" s="443"/>
      <c r="S5" s="444"/>
      <c r="T5" s="445"/>
      <c r="U5" s="442" t="s">
        <v>55</v>
      </c>
      <c r="V5" s="443"/>
      <c r="W5" s="443"/>
      <c r="X5" s="444"/>
      <c r="Y5" s="445"/>
      <c r="Z5" s="442" t="s">
        <v>55</v>
      </c>
      <c r="AA5" s="443"/>
      <c r="AB5" s="443"/>
      <c r="AC5" s="444"/>
      <c r="AD5" s="445"/>
      <c r="AE5" s="442" t="s">
        <v>55</v>
      </c>
      <c r="AF5" s="443"/>
      <c r="AG5" s="443"/>
      <c r="AH5" s="444"/>
      <c r="AI5" s="445"/>
      <c r="AJ5" s="442" t="s">
        <v>55</v>
      </c>
      <c r="AK5" s="443"/>
      <c r="AL5" s="443"/>
      <c r="AM5" s="444"/>
      <c r="AN5" s="445"/>
      <c r="AO5" s="442" t="s">
        <v>55</v>
      </c>
      <c r="AP5" s="443"/>
      <c r="AQ5" s="443"/>
      <c r="AR5" s="444"/>
      <c r="AS5" s="445"/>
      <c r="AT5" s="442" t="s">
        <v>55</v>
      </c>
      <c r="AU5" s="443"/>
      <c r="AV5" s="443"/>
      <c r="AW5" s="444"/>
      <c r="AX5" s="445"/>
    </row>
    <row r="6" spans="1:50">
      <c r="A6" s="218"/>
      <c r="B6" s="445"/>
      <c r="C6" s="445"/>
      <c r="D6" s="445"/>
      <c r="E6" s="219" t="s">
        <v>56</v>
      </c>
      <c r="F6" s="219" t="s">
        <v>57</v>
      </c>
      <c r="G6" s="219" t="s">
        <v>58</v>
      </c>
      <c r="H6" s="449"/>
      <c r="I6" s="219" t="s">
        <v>56</v>
      </c>
      <c r="J6" s="219" t="s">
        <v>57</v>
      </c>
      <c r="K6" s="219" t="s">
        <v>58</v>
      </c>
      <c r="L6" s="449"/>
      <c r="M6" s="452"/>
      <c r="N6" s="445"/>
      <c r="O6" s="445"/>
      <c r="P6" s="219" t="s">
        <v>56</v>
      </c>
      <c r="Q6" s="219" t="s">
        <v>57</v>
      </c>
      <c r="R6" s="219" t="s">
        <v>58</v>
      </c>
      <c r="S6" s="219" t="s">
        <v>51</v>
      </c>
      <c r="T6" s="445"/>
      <c r="U6" s="219" t="s">
        <v>56</v>
      </c>
      <c r="V6" s="219" t="s">
        <v>57</v>
      </c>
      <c r="W6" s="219" t="s">
        <v>58</v>
      </c>
      <c r="X6" s="219" t="s">
        <v>51</v>
      </c>
      <c r="Y6" s="445"/>
      <c r="Z6" s="219" t="s">
        <v>56</v>
      </c>
      <c r="AA6" s="219" t="s">
        <v>57</v>
      </c>
      <c r="AB6" s="219" t="s">
        <v>58</v>
      </c>
      <c r="AC6" s="219" t="s">
        <v>51</v>
      </c>
      <c r="AD6" s="445"/>
      <c r="AE6" s="219" t="s">
        <v>56</v>
      </c>
      <c r="AF6" s="219" t="s">
        <v>57</v>
      </c>
      <c r="AG6" s="219" t="s">
        <v>58</v>
      </c>
      <c r="AH6" s="219" t="s">
        <v>51</v>
      </c>
      <c r="AI6" s="445"/>
      <c r="AJ6" s="219" t="s">
        <v>56</v>
      </c>
      <c r="AK6" s="219" t="s">
        <v>57</v>
      </c>
      <c r="AL6" s="219" t="s">
        <v>58</v>
      </c>
      <c r="AM6" s="219" t="s">
        <v>51</v>
      </c>
      <c r="AN6" s="445"/>
      <c r="AO6" s="219" t="s">
        <v>56</v>
      </c>
      <c r="AP6" s="219" t="s">
        <v>57</v>
      </c>
      <c r="AQ6" s="219" t="s">
        <v>58</v>
      </c>
      <c r="AR6" s="219" t="s">
        <v>51</v>
      </c>
      <c r="AS6" s="445"/>
      <c r="AT6" s="219" t="s">
        <v>56</v>
      </c>
      <c r="AU6" s="219" t="s">
        <v>57</v>
      </c>
      <c r="AV6" s="219" t="s">
        <v>58</v>
      </c>
      <c r="AW6" s="219" t="s">
        <v>51</v>
      </c>
      <c r="AX6" s="445"/>
    </row>
    <row r="7" spans="1:50" ht="13">
      <c r="A7" s="213"/>
      <c r="B7" s="438" t="s">
        <v>331</v>
      </c>
      <c r="C7" s="220">
        <v>1</v>
      </c>
      <c r="D7" s="224" t="s">
        <v>74</v>
      </c>
      <c r="E7" s="221">
        <f>VLOOKUP(D7,'11產線配置圖'!$A$2:$C$25,2,0)</f>
        <v>12</v>
      </c>
      <c r="F7" s="221">
        <f>VLOOKUP(D7,'11產線配置圖'!$A$2:$C$25,3,0)</f>
        <v>2000</v>
      </c>
      <c r="G7" s="222">
        <f>F7/E7</f>
        <v>166.66666666666666</v>
      </c>
      <c r="H7" s="439">
        <f>AVERAGE(G7:G24)</f>
        <v>112.6054621100577</v>
      </c>
      <c r="I7" s="221">
        <f>AVERAGE(AT7)</f>
        <v>12</v>
      </c>
      <c r="J7" s="221">
        <f>AVERAGE(AU7)</f>
        <v>1781</v>
      </c>
      <c r="K7" s="222">
        <f>AVERAGE(AV7)</f>
        <v>148.41666666666666</v>
      </c>
      <c r="L7" s="439">
        <f>IFERROR(AVERAGE(K7:K24),"-")</f>
        <v>102.18111570482893</v>
      </c>
      <c r="M7" s="223">
        <f>RANK(K7, K$7:$K$24)</f>
        <v>1</v>
      </c>
      <c r="N7" s="445"/>
      <c r="O7" s="445"/>
      <c r="P7" s="221"/>
      <c r="Q7" s="221"/>
      <c r="R7" s="222" t="e">
        <f>Q7/P7</f>
        <v>#DIV/0!</v>
      </c>
      <c r="S7" s="220" t="e">
        <f>RANK(R7, R$7:R$24)</f>
        <v>#DIV/0!</v>
      </c>
      <c r="T7" s="437" t="e">
        <f>AVERAGE(R7:R24)</f>
        <v>#DIV/0!</v>
      </c>
      <c r="U7" s="221"/>
      <c r="V7" s="221"/>
      <c r="W7" s="222" t="e">
        <f>V7/U7</f>
        <v>#DIV/0!</v>
      </c>
      <c r="X7" s="220" t="e">
        <f>RANK(W7, W$7:W$24)</f>
        <v>#DIV/0!</v>
      </c>
      <c r="Y7" s="437" t="e">
        <f>AVERAGE(W7:W24)</f>
        <v>#DIV/0!</v>
      </c>
      <c r="Z7" s="220"/>
      <c r="AA7" s="221"/>
      <c r="AB7" s="222" t="e">
        <f>AA7/Z7</f>
        <v>#DIV/0!</v>
      </c>
      <c r="AC7" s="220" t="e">
        <f>RANK(AB7, AB$7:AB$24)</f>
        <v>#DIV/0!</v>
      </c>
      <c r="AD7" s="437" t="e">
        <f>AVERAGE(AB7:AB24)</f>
        <v>#DIV/0!</v>
      </c>
      <c r="AE7" s="221"/>
      <c r="AF7" s="221"/>
      <c r="AG7" s="222" t="e">
        <f>AF7/AE7</f>
        <v>#DIV/0!</v>
      </c>
      <c r="AH7" s="220" t="e">
        <f>RANK(AG7, AG$7:AG$24)</f>
        <v>#DIV/0!</v>
      </c>
      <c r="AI7" s="437" t="e">
        <f>AVERAGE(AG7:AG24)</f>
        <v>#DIV/0!</v>
      </c>
      <c r="AJ7" s="221"/>
      <c r="AK7" s="221"/>
      <c r="AL7" s="222" t="e">
        <f>AK7/AJ7</f>
        <v>#DIV/0!</v>
      </c>
      <c r="AM7" s="220" t="e">
        <f>RANK(AL7, AL$7:AL$24)</f>
        <v>#DIV/0!</v>
      </c>
      <c r="AN7" s="437" t="e">
        <f>AVERAGE(AL7:AL24)</f>
        <v>#DIV/0!</v>
      </c>
      <c r="AO7" s="221"/>
      <c r="AP7" s="221"/>
      <c r="AQ7" s="222" t="e">
        <f>AP7/AO7</f>
        <v>#DIV/0!</v>
      </c>
      <c r="AR7" s="220" t="e">
        <f>RANK(AQ7, AQ$7:AQ$24)</f>
        <v>#DIV/0!</v>
      </c>
      <c r="AS7" s="437" t="e">
        <f>AVERAGE(AQ7:AQ24)</f>
        <v>#DIV/0!</v>
      </c>
      <c r="AT7" s="220">
        <v>12</v>
      </c>
      <c r="AU7" s="220">
        <v>1781</v>
      </c>
      <c r="AV7" s="222">
        <f>AU7/AT7</f>
        <v>148.41666666666666</v>
      </c>
      <c r="AW7" s="220">
        <f>RANK(AV7, AV$7:AV$24)</f>
        <v>1</v>
      </c>
      <c r="AX7" s="437">
        <f>AVERAGE(AV7:AV24)</f>
        <v>100.05179911214978</v>
      </c>
    </row>
    <row r="8" spans="1:50" ht="15" customHeight="1">
      <c r="A8" s="213"/>
      <c r="B8" s="438"/>
      <c r="C8" s="220">
        <v>2</v>
      </c>
      <c r="D8" s="220" t="s">
        <v>77</v>
      </c>
      <c r="E8" s="221">
        <f>VLOOKUP(D8,'11產線配置圖'!$A$2:$C$25,2,0)</f>
        <v>13</v>
      </c>
      <c r="F8" s="221">
        <f>VLOOKUP(D8,'11產線配置圖'!$A$2:$C$25,3,0)</f>
        <v>2000</v>
      </c>
      <c r="G8" s="222">
        <f t="shared" ref="G8:G18" si="0">F8/E8</f>
        <v>153.84615384615384</v>
      </c>
      <c r="H8" s="440"/>
      <c r="I8" s="221">
        <f t="shared" ref="I8:I18" si="1">AVERAGE(AT8)</f>
        <v>13</v>
      </c>
      <c r="J8" s="221">
        <f t="shared" ref="J8:J18" si="2">AVERAGE(AU8)</f>
        <v>1891</v>
      </c>
      <c r="K8" s="222">
        <f t="shared" ref="K8:K18" si="3">AVERAGE(AV8)</f>
        <v>145.46153846153845</v>
      </c>
      <c r="L8" s="440"/>
      <c r="M8" s="223">
        <f>RANK(K8, K$7:$K$24)</f>
        <v>2</v>
      </c>
      <c r="N8" s="445"/>
      <c r="O8" s="445"/>
      <c r="P8" s="221"/>
      <c r="Q8" s="221"/>
      <c r="R8" s="222" t="e">
        <f t="shared" ref="R8:R24" si="4">Q8/P8</f>
        <v>#DIV/0!</v>
      </c>
      <c r="S8" s="220" t="e">
        <f t="shared" ref="S8:S24" si="5">RANK(R8, R$7:R$24)</f>
        <v>#DIV/0!</v>
      </c>
      <c r="T8" s="437"/>
      <c r="U8" s="221"/>
      <c r="V8" s="221"/>
      <c r="W8" s="222" t="e">
        <f t="shared" ref="W8:W20" si="6">V8/U8</f>
        <v>#DIV/0!</v>
      </c>
      <c r="X8" s="220" t="e">
        <f t="shared" ref="X8:X20" si="7">RANK(W8, W$7:W$24)</f>
        <v>#DIV/0!</v>
      </c>
      <c r="Y8" s="437"/>
      <c r="Z8" s="220"/>
      <c r="AA8" s="221"/>
      <c r="AB8" s="222" t="e">
        <f t="shared" ref="AB8:AB20" si="8">AA8/Z8</f>
        <v>#DIV/0!</v>
      </c>
      <c r="AC8" s="220" t="e">
        <f t="shared" ref="AC8:AC20" si="9">RANK(AB8, AB$7:AB$24)</f>
        <v>#DIV/0!</v>
      </c>
      <c r="AD8" s="437"/>
      <c r="AE8" s="221"/>
      <c r="AF8" s="221"/>
      <c r="AG8" s="222" t="e">
        <f t="shared" ref="AG8:AG20" si="10">AF8/AE8</f>
        <v>#DIV/0!</v>
      </c>
      <c r="AH8" s="220" t="e">
        <f t="shared" ref="AH8:AH20" si="11">RANK(AG8, AG$7:AG$24)</f>
        <v>#DIV/0!</v>
      </c>
      <c r="AI8" s="437"/>
      <c r="AJ8" s="221"/>
      <c r="AK8" s="221"/>
      <c r="AL8" s="222" t="e">
        <f t="shared" ref="AL8:AL16" si="12">AK8/AJ8</f>
        <v>#DIV/0!</v>
      </c>
      <c r="AM8" s="220" t="e">
        <f t="shared" ref="AM8:AM18" si="13">RANK(AL8, AL$7:AL$24)</f>
        <v>#DIV/0!</v>
      </c>
      <c r="AN8" s="437"/>
      <c r="AO8" s="221"/>
      <c r="AP8" s="221"/>
      <c r="AQ8" s="222" t="e">
        <f t="shared" ref="AQ8:AQ16" si="14">AP8/AO8</f>
        <v>#DIV/0!</v>
      </c>
      <c r="AR8" s="220" t="e">
        <f t="shared" ref="AR8:AR18" si="15">RANK(AQ8, AQ$7:AQ$24)</f>
        <v>#DIV/0!</v>
      </c>
      <c r="AS8" s="437"/>
      <c r="AT8" s="220">
        <v>13</v>
      </c>
      <c r="AU8" s="220">
        <v>1891</v>
      </c>
      <c r="AV8" s="222">
        <f t="shared" ref="AV8:AV17" si="16">AU8/AT8</f>
        <v>145.46153846153845</v>
      </c>
      <c r="AW8" s="220">
        <f t="shared" ref="AW8:AW17" si="17">RANK(AV8, AV$7:AV$24)</f>
        <v>2</v>
      </c>
      <c r="AX8" s="437"/>
    </row>
    <row r="9" spans="1:50">
      <c r="A9" s="213"/>
      <c r="B9" s="438"/>
      <c r="C9" s="220">
        <v>3</v>
      </c>
      <c r="D9" s="220" t="s">
        <v>75</v>
      </c>
      <c r="E9" s="221">
        <f>VLOOKUP(D9,'11產線配置圖'!$A$2:$C$25,2,0)</f>
        <v>15</v>
      </c>
      <c r="F9" s="221">
        <f>VLOOKUP(D9,'11產線配置圖'!$A$2:$C$25,3,0)</f>
        <v>2000</v>
      </c>
      <c r="G9" s="222">
        <f t="shared" si="0"/>
        <v>133.33333333333334</v>
      </c>
      <c r="H9" s="440"/>
      <c r="I9" s="221">
        <f t="shared" si="1"/>
        <v>13</v>
      </c>
      <c r="J9" s="221">
        <f t="shared" si="2"/>
        <v>1591</v>
      </c>
      <c r="K9" s="222">
        <f t="shared" si="3"/>
        <v>122.38461538461539</v>
      </c>
      <c r="L9" s="440"/>
      <c r="M9" s="223">
        <f>RANK(K9, K$7:$K$24)</f>
        <v>4</v>
      </c>
      <c r="N9" s="445"/>
      <c r="O9" s="445"/>
      <c r="P9" s="221"/>
      <c r="Q9" s="221"/>
      <c r="R9" s="222" t="e">
        <f t="shared" si="4"/>
        <v>#DIV/0!</v>
      </c>
      <c r="S9" s="220" t="e">
        <f t="shared" si="5"/>
        <v>#DIV/0!</v>
      </c>
      <c r="T9" s="437"/>
      <c r="U9" s="221"/>
      <c r="V9" s="221"/>
      <c r="W9" s="222" t="e">
        <f t="shared" si="6"/>
        <v>#DIV/0!</v>
      </c>
      <c r="X9" s="220" t="e">
        <f t="shared" si="7"/>
        <v>#DIV/0!</v>
      </c>
      <c r="Y9" s="437"/>
      <c r="Z9" s="220"/>
      <c r="AA9" s="221"/>
      <c r="AB9" s="222" t="e">
        <f t="shared" si="8"/>
        <v>#DIV/0!</v>
      </c>
      <c r="AC9" s="220" t="e">
        <f t="shared" si="9"/>
        <v>#DIV/0!</v>
      </c>
      <c r="AD9" s="437"/>
      <c r="AE9" s="221"/>
      <c r="AF9" s="221"/>
      <c r="AG9" s="222" t="e">
        <f t="shared" si="10"/>
        <v>#DIV/0!</v>
      </c>
      <c r="AH9" s="220" t="e">
        <f t="shared" si="11"/>
        <v>#DIV/0!</v>
      </c>
      <c r="AI9" s="437"/>
      <c r="AJ9" s="221"/>
      <c r="AK9" s="221"/>
      <c r="AL9" s="222" t="e">
        <f t="shared" si="12"/>
        <v>#DIV/0!</v>
      </c>
      <c r="AM9" s="220" t="e">
        <f t="shared" si="13"/>
        <v>#DIV/0!</v>
      </c>
      <c r="AN9" s="437"/>
      <c r="AO9" s="221"/>
      <c r="AP9" s="221"/>
      <c r="AQ9" s="222" t="e">
        <f t="shared" si="14"/>
        <v>#DIV/0!</v>
      </c>
      <c r="AR9" s="220" t="e">
        <f t="shared" si="15"/>
        <v>#DIV/0!</v>
      </c>
      <c r="AS9" s="437"/>
      <c r="AT9" s="220">
        <v>13</v>
      </c>
      <c r="AU9" s="220">
        <v>1591</v>
      </c>
      <c r="AV9" s="222">
        <f t="shared" si="16"/>
        <v>122.38461538461539</v>
      </c>
      <c r="AW9" s="220">
        <f t="shared" si="17"/>
        <v>4</v>
      </c>
      <c r="AX9" s="437"/>
    </row>
    <row r="10" spans="1:50">
      <c r="A10" s="213"/>
      <c r="B10" s="438"/>
      <c r="C10" s="220">
        <v>4</v>
      </c>
      <c r="D10" s="220" t="s">
        <v>195</v>
      </c>
      <c r="E10" s="221">
        <f>VLOOKUP(D10,'11產線配置圖'!$A$2:$C$25,2,0)</f>
        <v>18</v>
      </c>
      <c r="F10" s="221">
        <f>VLOOKUP(D10,'11產線配置圖'!$A$2:$C$25,3,0)</f>
        <v>1565</v>
      </c>
      <c r="G10" s="222">
        <f t="shared" si="0"/>
        <v>86.944444444444443</v>
      </c>
      <c r="H10" s="440"/>
      <c r="I10" s="221">
        <f t="shared" si="1"/>
        <v>18</v>
      </c>
      <c r="J10" s="221">
        <f t="shared" si="2"/>
        <v>1545</v>
      </c>
      <c r="K10" s="222">
        <f t="shared" si="3"/>
        <v>85.833333333333329</v>
      </c>
      <c r="L10" s="440"/>
      <c r="M10" s="223">
        <f>RANK(K10, K$7:$K$24)</f>
        <v>7</v>
      </c>
      <c r="N10" s="445"/>
      <c r="O10" s="445"/>
      <c r="P10" s="221"/>
      <c r="Q10" s="221"/>
      <c r="R10" s="222" t="e">
        <f t="shared" si="4"/>
        <v>#DIV/0!</v>
      </c>
      <c r="S10" s="220" t="e">
        <f t="shared" si="5"/>
        <v>#DIV/0!</v>
      </c>
      <c r="T10" s="437"/>
      <c r="U10" s="221"/>
      <c r="V10" s="221"/>
      <c r="W10" s="222" t="e">
        <f t="shared" si="6"/>
        <v>#DIV/0!</v>
      </c>
      <c r="X10" s="220" t="e">
        <f t="shared" si="7"/>
        <v>#DIV/0!</v>
      </c>
      <c r="Y10" s="437"/>
      <c r="Z10" s="220"/>
      <c r="AA10" s="221"/>
      <c r="AB10" s="222" t="e">
        <f t="shared" si="8"/>
        <v>#DIV/0!</v>
      </c>
      <c r="AC10" s="220" t="e">
        <f t="shared" si="9"/>
        <v>#DIV/0!</v>
      </c>
      <c r="AD10" s="437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37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37"/>
      <c r="AO10" s="221"/>
      <c r="AP10" s="221"/>
      <c r="AQ10" s="222" t="e">
        <f t="shared" si="14"/>
        <v>#DIV/0!</v>
      </c>
      <c r="AR10" s="220" t="e">
        <f t="shared" si="15"/>
        <v>#DIV/0!</v>
      </c>
      <c r="AS10" s="437"/>
      <c r="AT10" s="220">
        <v>18</v>
      </c>
      <c r="AU10" s="220">
        <v>1545</v>
      </c>
      <c r="AV10" s="222">
        <f t="shared" si="16"/>
        <v>85.833333333333329</v>
      </c>
      <c r="AW10" s="220">
        <f t="shared" si="17"/>
        <v>7</v>
      </c>
      <c r="AX10" s="437"/>
    </row>
    <row r="11" spans="1:50">
      <c r="A11" s="213"/>
      <c r="B11" s="438"/>
      <c r="C11" s="220">
        <v>5</v>
      </c>
      <c r="D11" s="220" t="s">
        <v>76</v>
      </c>
      <c r="E11" s="221">
        <f>VLOOKUP(D11,'11產線配置圖'!$A$2:$C$25,2,0)</f>
        <v>13</v>
      </c>
      <c r="F11" s="221">
        <f>VLOOKUP(D11,'11產線配置圖'!$A$2:$C$25,3,0)</f>
        <v>2000</v>
      </c>
      <c r="G11" s="222">
        <f t="shared" si="0"/>
        <v>153.84615384615384</v>
      </c>
      <c r="H11" s="440"/>
      <c r="I11" s="221">
        <f t="shared" si="1"/>
        <v>13</v>
      </c>
      <c r="J11" s="221">
        <f t="shared" si="2"/>
        <v>1688</v>
      </c>
      <c r="K11" s="222">
        <f t="shared" si="3"/>
        <v>129.84615384615384</v>
      </c>
      <c r="L11" s="440"/>
      <c r="M11" s="223">
        <f>RANK(K11, K$7:$K$24)</f>
        <v>3</v>
      </c>
      <c r="N11" s="445"/>
      <c r="O11" s="445"/>
      <c r="P11" s="221"/>
      <c r="Q11" s="221"/>
      <c r="R11" s="222" t="e">
        <f t="shared" si="4"/>
        <v>#DIV/0!</v>
      </c>
      <c r="S11" s="220" t="e">
        <f t="shared" si="5"/>
        <v>#DIV/0!</v>
      </c>
      <c r="T11" s="437"/>
      <c r="U11" s="221"/>
      <c r="V11" s="221"/>
      <c r="W11" s="222" t="e">
        <f t="shared" si="6"/>
        <v>#DIV/0!</v>
      </c>
      <c r="X11" s="220" t="e">
        <f t="shared" si="7"/>
        <v>#DIV/0!</v>
      </c>
      <c r="Y11" s="437"/>
      <c r="Z11" s="220"/>
      <c r="AA11" s="221"/>
      <c r="AB11" s="222" t="e">
        <f t="shared" si="8"/>
        <v>#DIV/0!</v>
      </c>
      <c r="AC11" s="220" t="e">
        <f t="shared" si="9"/>
        <v>#DIV/0!</v>
      </c>
      <c r="AD11" s="437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37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37"/>
      <c r="AO11" s="221"/>
      <c r="AP11" s="221"/>
      <c r="AQ11" s="222" t="e">
        <f t="shared" si="14"/>
        <v>#DIV/0!</v>
      </c>
      <c r="AR11" s="220" t="e">
        <f t="shared" si="15"/>
        <v>#DIV/0!</v>
      </c>
      <c r="AS11" s="437"/>
      <c r="AT11" s="220">
        <v>13</v>
      </c>
      <c r="AU11" s="220">
        <v>1688</v>
      </c>
      <c r="AV11" s="222">
        <f t="shared" si="16"/>
        <v>129.84615384615384</v>
      </c>
      <c r="AW11" s="220">
        <f t="shared" si="17"/>
        <v>3</v>
      </c>
      <c r="AX11" s="437"/>
    </row>
    <row r="12" spans="1:50">
      <c r="A12" s="213"/>
      <c r="B12" s="438"/>
      <c r="C12" s="220">
        <v>6</v>
      </c>
      <c r="D12" s="220" t="s">
        <v>374</v>
      </c>
      <c r="E12" s="221">
        <f>VLOOKUP(D12,'11產線配置圖'!$A$2:$C$25,2,0)</f>
        <v>14</v>
      </c>
      <c r="F12" s="221">
        <f>VLOOKUP(D12,'11產線配置圖'!$A$2:$C$25,3,0)</f>
        <v>1895</v>
      </c>
      <c r="G12" s="222">
        <f t="shared" si="0"/>
        <v>135.35714285714286</v>
      </c>
      <c r="H12" s="440"/>
      <c r="I12" s="221">
        <f t="shared" si="1"/>
        <v>17</v>
      </c>
      <c r="J12" s="221">
        <f t="shared" si="2"/>
        <v>1678</v>
      </c>
      <c r="K12" s="222">
        <f t="shared" si="3"/>
        <v>98.705882352941174</v>
      </c>
      <c r="L12" s="440"/>
      <c r="M12" s="223">
        <f>RANK(K12, K$7:$K$24)</f>
        <v>5</v>
      </c>
      <c r="N12" s="445"/>
      <c r="O12" s="445"/>
      <c r="P12" s="221"/>
      <c r="Q12" s="221"/>
      <c r="R12" s="222" t="e">
        <f t="shared" si="4"/>
        <v>#DIV/0!</v>
      </c>
      <c r="S12" s="220" t="e">
        <f t="shared" si="5"/>
        <v>#DIV/0!</v>
      </c>
      <c r="T12" s="437"/>
      <c r="U12" s="221"/>
      <c r="V12" s="221"/>
      <c r="W12" s="222" t="e">
        <f t="shared" si="6"/>
        <v>#DIV/0!</v>
      </c>
      <c r="X12" s="220" t="e">
        <f t="shared" si="7"/>
        <v>#DIV/0!</v>
      </c>
      <c r="Y12" s="437"/>
      <c r="Z12" s="220"/>
      <c r="AA12" s="221"/>
      <c r="AB12" s="222" t="e">
        <f t="shared" si="8"/>
        <v>#DIV/0!</v>
      </c>
      <c r="AC12" s="220" t="e">
        <f t="shared" si="9"/>
        <v>#DIV/0!</v>
      </c>
      <c r="AD12" s="437"/>
      <c r="AE12" s="221"/>
      <c r="AF12" s="221"/>
      <c r="AG12" s="332" t="e">
        <f t="shared" si="10"/>
        <v>#DIV/0!</v>
      </c>
      <c r="AH12" s="220" t="e">
        <f t="shared" si="11"/>
        <v>#DIV/0!</v>
      </c>
      <c r="AI12" s="437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37"/>
      <c r="AO12" s="221"/>
      <c r="AP12" s="221"/>
      <c r="AQ12" s="222" t="e">
        <f t="shared" si="14"/>
        <v>#DIV/0!</v>
      </c>
      <c r="AR12" s="220" t="e">
        <f t="shared" si="15"/>
        <v>#DIV/0!</v>
      </c>
      <c r="AS12" s="437"/>
      <c r="AT12" s="220">
        <v>17</v>
      </c>
      <c r="AU12" s="220">
        <v>1678</v>
      </c>
      <c r="AV12" s="222">
        <f t="shared" si="16"/>
        <v>98.705882352941174</v>
      </c>
      <c r="AW12" s="220">
        <f t="shared" si="17"/>
        <v>5</v>
      </c>
      <c r="AX12" s="437"/>
    </row>
    <row r="13" spans="1:50">
      <c r="A13" s="213"/>
      <c r="B13" s="438"/>
      <c r="C13" s="220">
        <v>7</v>
      </c>
      <c r="D13" s="220" t="s">
        <v>136</v>
      </c>
      <c r="E13" s="221">
        <f>VLOOKUP(D13,'11產線配置圖'!$A$2:$C$25,2,0)</f>
        <v>17</v>
      </c>
      <c r="F13" s="221">
        <f>VLOOKUP(D13,'11產線配置圖'!$A$2:$C$25,3,0)</f>
        <v>1385</v>
      </c>
      <c r="G13" s="222">
        <f t="shared" si="0"/>
        <v>81.470588235294116</v>
      </c>
      <c r="H13" s="440"/>
      <c r="I13" s="221">
        <f t="shared" si="1"/>
        <v>14</v>
      </c>
      <c r="J13" s="221">
        <f t="shared" si="2"/>
        <v>1233</v>
      </c>
      <c r="K13" s="222">
        <f t="shared" si="3"/>
        <v>88.071428571428569</v>
      </c>
      <c r="L13" s="440"/>
      <c r="M13" s="223">
        <f>RANK(K13, K$7:$K$24)</f>
        <v>6</v>
      </c>
      <c r="N13" s="445"/>
      <c r="O13" s="445"/>
      <c r="P13" s="221"/>
      <c r="Q13" s="221"/>
      <c r="R13" s="222" t="e">
        <f t="shared" si="4"/>
        <v>#DIV/0!</v>
      </c>
      <c r="S13" s="220" t="e">
        <f t="shared" si="5"/>
        <v>#DIV/0!</v>
      </c>
      <c r="T13" s="437"/>
      <c r="U13" s="221"/>
      <c r="V13" s="221"/>
      <c r="W13" s="222" t="e">
        <f t="shared" si="6"/>
        <v>#DIV/0!</v>
      </c>
      <c r="X13" s="220" t="e">
        <f t="shared" si="7"/>
        <v>#DIV/0!</v>
      </c>
      <c r="Y13" s="437"/>
      <c r="Z13" s="220"/>
      <c r="AA13" s="221"/>
      <c r="AB13" s="222" t="e">
        <f t="shared" si="8"/>
        <v>#DIV/0!</v>
      </c>
      <c r="AC13" s="220" t="e">
        <f t="shared" si="9"/>
        <v>#DIV/0!</v>
      </c>
      <c r="AD13" s="437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37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37"/>
      <c r="AO13" s="221"/>
      <c r="AP13" s="221"/>
      <c r="AQ13" s="222" t="e">
        <f t="shared" si="14"/>
        <v>#DIV/0!</v>
      </c>
      <c r="AR13" s="220" t="e">
        <f t="shared" si="15"/>
        <v>#DIV/0!</v>
      </c>
      <c r="AS13" s="437"/>
      <c r="AT13" s="220">
        <v>14</v>
      </c>
      <c r="AU13" s="220">
        <v>1233</v>
      </c>
      <c r="AV13" s="222">
        <f t="shared" si="16"/>
        <v>88.071428571428569</v>
      </c>
      <c r="AW13" s="220">
        <f t="shared" si="17"/>
        <v>6</v>
      </c>
      <c r="AX13" s="437"/>
    </row>
    <row r="14" spans="1:50">
      <c r="A14" s="213"/>
      <c r="B14" s="438"/>
      <c r="C14" s="220">
        <v>8</v>
      </c>
      <c r="D14" s="220" t="s">
        <v>86</v>
      </c>
      <c r="E14" s="221">
        <f>VLOOKUP(D14,'11產線配置圖'!$A$2:$C$25,2,0)</f>
        <v>18</v>
      </c>
      <c r="F14" s="221">
        <f>VLOOKUP(D14,'11產線配置圖'!$A$2:$C$25,3,0)</f>
        <v>1385</v>
      </c>
      <c r="G14" s="222">
        <f t="shared" si="0"/>
        <v>76.944444444444443</v>
      </c>
      <c r="H14" s="440"/>
      <c r="I14" s="221">
        <f t="shared" si="1"/>
        <v>15</v>
      </c>
      <c r="J14" s="221">
        <f t="shared" si="2"/>
        <v>1202</v>
      </c>
      <c r="K14" s="222">
        <f t="shared" si="3"/>
        <v>80.13333333333334</v>
      </c>
      <c r="L14" s="440"/>
      <c r="M14" s="223">
        <f>RANK(K14, K$7:$K$24)</f>
        <v>10</v>
      </c>
      <c r="N14" s="445"/>
      <c r="O14" s="445"/>
      <c r="P14" s="221"/>
      <c r="Q14" s="221"/>
      <c r="R14" s="222" t="e">
        <f t="shared" si="4"/>
        <v>#DIV/0!</v>
      </c>
      <c r="S14" s="220" t="e">
        <f t="shared" si="5"/>
        <v>#DIV/0!</v>
      </c>
      <c r="T14" s="437"/>
      <c r="U14" s="221"/>
      <c r="V14" s="221"/>
      <c r="W14" s="222" t="e">
        <f t="shared" si="6"/>
        <v>#DIV/0!</v>
      </c>
      <c r="X14" s="220" t="e">
        <f t="shared" si="7"/>
        <v>#DIV/0!</v>
      </c>
      <c r="Y14" s="437"/>
      <c r="Z14" s="220"/>
      <c r="AA14" s="221"/>
      <c r="AB14" s="222" t="e">
        <f t="shared" si="8"/>
        <v>#DIV/0!</v>
      </c>
      <c r="AC14" s="220" t="e">
        <f t="shared" si="9"/>
        <v>#DIV/0!</v>
      </c>
      <c r="AD14" s="437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37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37"/>
      <c r="AO14" s="221"/>
      <c r="AP14" s="221"/>
      <c r="AQ14" s="222" t="e">
        <f t="shared" si="14"/>
        <v>#DIV/0!</v>
      </c>
      <c r="AR14" s="220" t="e">
        <f t="shared" si="15"/>
        <v>#DIV/0!</v>
      </c>
      <c r="AS14" s="437"/>
      <c r="AT14" s="220">
        <v>15</v>
      </c>
      <c r="AU14" s="220">
        <v>1202</v>
      </c>
      <c r="AV14" s="222">
        <f t="shared" si="16"/>
        <v>80.13333333333334</v>
      </c>
      <c r="AW14" s="220">
        <f t="shared" si="17"/>
        <v>10</v>
      </c>
      <c r="AX14" s="437"/>
    </row>
    <row r="15" spans="1:50">
      <c r="A15" s="213"/>
      <c r="B15" s="438"/>
      <c r="C15" s="220">
        <v>9</v>
      </c>
      <c r="D15" s="220" t="s">
        <v>190</v>
      </c>
      <c r="E15" s="221">
        <f>VLOOKUP(D15,'11產線配置圖'!$A$2:$C$25,2,0)</f>
        <v>17</v>
      </c>
      <c r="F15" s="221">
        <f>VLOOKUP(D15,'11產線配置圖'!$A$2:$C$25,3,0)</f>
        <v>1565</v>
      </c>
      <c r="G15" s="222">
        <f t="shared" si="0"/>
        <v>92.058823529411768</v>
      </c>
      <c r="H15" s="440"/>
      <c r="I15" s="221">
        <f t="shared" si="1"/>
        <v>16</v>
      </c>
      <c r="J15" s="221">
        <f t="shared" si="2"/>
        <v>1349</v>
      </c>
      <c r="K15" s="222">
        <f t="shared" si="3"/>
        <v>84.3125</v>
      </c>
      <c r="L15" s="440"/>
      <c r="M15" s="223">
        <f>RANK(K15, K$7:$K$24)</f>
        <v>8</v>
      </c>
      <c r="N15" s="445"/>
      <c r="O15" s="445"/>
      <c r="P15" s="221"/>
      <c r="Q15" s="221"/>
      <c r="R15" s="222" t="e">
        <f t="shared" si="4"/>
        <v>#DIV/0!</v>
      </c>
      <c r="S15" s="220" t="e">
        <f t="shared" si="5"/>
        <v>#DIV/0!</v>
      </c>
      <c r="T15" s="437"/>
      <c r="U15" s="221"/>
      <c r="V15" s="221"/>
      <c r="W15" s="222" t="e">
        <f t="shared" si="6"/>
        <v>#DIV/0!</v>
      </c>
      <c r="X15" s="220" t="e">
        <f t="shared" si="7"/>
        <v>#DIV/0!</v>
      </c>
      <c r="Y15" s="437"/>
      <c r="Z15" s="220"/>
      <c r="AA15" s="221"/>
      <c r="AB15" s="222" t="e">
        <f t="shared" si="8"/>
        <v>#DIV/0!</v>
      </c>
      <c r="AC15" s="220" t="e">
        <f t="shared" si="9"/>
        <v>#DIV/0!</v>
      </c>
      <c r="AD15" s="437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37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37"/>
      <c r="AO15" s="221"/>
      <c r="AP15" s="221"/>
      <c r="AQ15" s="222" t="e">
        <f t="shared" si="14"/>
        <v>#DIV/0!</v>
      </c>
      <c r="AR15" s="220" t="e">
        <f t="shared" si="15"/>
        <v>#DIV/0!</v>
      </c>
      <c r="AS15" s="437"/>
      <c r="AT15" s="220">
        <v>16</v>
      </c>
      <c r="AU15" s="220">
        <v>1349</v>
      </c>
      <c r="AV15" s="222">
        <f t="shared" si="16"/>
        <v>84.3125</v>
      </c>
      <c r="AW15" s="220">
        <f t="shared" si="17"/>
        <v>8</v>
      </c>
      <c r="AX15" s="437"/>
    </row>
    <row r="16" spans="1:50">
      <c r="A16" s="213"/>
      <c r="B16" s="438"/>
      <c r="C16" s="220">
        <v>10</v>
      </c>
      <c r="D16" s="220" t="s">
        <v>88</v>
      </c>
      <c r="E16" s="221">
        <f>VLOOKUP(D16,'11產線配置圖'!$A$2:$C$25,2,0)</f>
        <v>17</v>
      </c>
      <c r="F16" s="221">
        <f>VLOOKUP(D16,'11產線配置圖'!$A$2:$C$25,3,0)</f>
        <v>1500</v>
      </c>
      <c r="G16" s="222">
        <f t="shared" si="0"/>
        <v>88.235294117647058</v>
      </c>
      <c r="H16" s="440"/>
      <c r="I16" s="221">
        <f t="shared" si="1"/>
        <v>18</v>
      </c>
      <c r="J16" s="221">
        <f t="shared" si="2"/>
        <v>1430</v>
      </c>
      <c r="K16" s="222">
        <f t="shared" si="3"/>
        <v>79.444444444444443</v>
      </c>
      <c r="L16" s="440"/>
      <c r="M16" s="223">
        <f>RANK(K16, K$7:$K$24)</f>
        <v>12</v>
      </c>
      <c r="N16" s="445"/>
      <c r="O16" s="445"/>
      <c r="P16" s="221"/>
      <c r="Q16" s="221"/>
      <c r="R16" s="222" t="e">
        <f t="shared" si="4"/>
        <v>#DIV/0!</v>
      </c>
      <c r="S16" s="220" t="e">
        <f t="shared" si="5"/>
        <v>#DIV/0!</v>
      </c>
      <c r="T16" s="437"/>
      <c r="U16" s="221"/>
      <c r="V16" s="221"/>
      <c r="W16" s="222" t="e">
        <f t="shared" si="6"/>
        <v>#DIV/0!</v>
      </c>
      <c r="X16" s="220" t="e">
        <f t="shared" si="7"/>
        <v>#DIV/0!</v>
      </c>
      <c r="Y16" s="437"/>
      <c r="Z16" s="220"/>
      <c r="AA16" s="221"/>
      <c r="AB16" s="222" t="e">
        <f t="shared" si="8"/>
        <v>#DIV/0!</v>
      </c>
      <c r="AC16" s="220" t="e">
        <f t="shared" si="9"/>
        <v>#DIV/0!</v>
      </c>
      <c r="AD16" s="437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37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37"/>
      <c r="AO16" s="221"/>
      <c r="AP16" s="221"/>
      <c r="AQ16" s="222" t="e">
        <f t="shared" si="14"/>
        <v>#DIV/0!</v>
      </c>
      <c r="AR16" s="220" t="e">
        <f t="shared" si="15"/>
        <v>#DIV/0!</v>
      </c>
      <c r="AS16" s="437"/>
      <c r="AT16" s="220">
        <v>18</v>
      </c>
      <c r="AU16" s="220">
        <v>1430</v>
      </c>
      <c r="AV16" s="222">
        <f t="shared" si="16"/>
        <v>79.444444444444443</v>
      </c>
      <c r="AW16" s="220">
        <f t="shared" si="17"/>
        <v>12</v>
      </c>
      <c r="AX16" s="437"/>
    </row>
    <row r="17" spans="2:50">
      <c r="B17" s="438"/>
      <c r="C17" s="220">
        <v>11</v>
      </c>
      <c r="D17" s="220" t="s">
        <v>377</v>
      </c>
      <c r="E17" s="221">
        <f>VLOOKUP(D17,'11產線配置圖'!$A$2:$C$25,2,0)</f>
        <v>15</v>
      </c>
      <c r="F17" s="221">
        <f>VLOOKUP(D17,'11產線配置圖'!$A$2:$C$25,3,0)</f>
        <v>1440</v>
      </c>
      <c r="G17" s="222">
        <f t="shared" si="0"/>
        <v>96</v>
      </c>
      <c r="H17" s="440"/>
      <c r="I17" s="221">
        <f t="shared" si="1"/>
        <v>14</v>
      </c>
      <c r="J17" s="221">
        <f t="shared" si="2"/>
        <v>1173</v>
      </c>
      <c r="K17" s="222">
        <f t="shared" si="3"/>
        <v>83.785714285714292</v>
      </c>
      <c r="L17" s="440"/>
      <c r="M17" s="223">
        <f>RANK(K17, K$7:$K$24)</f>
        <v>9</v>
      </c>
      <c r="N17" s="445"/>
      <c r="O17" s="445"/>
      <c r="P17" s="220"/>
      <c r="Q17" s="220"/>
      <c r="R17" s="222" t="e">
        <f>Q17/P17</f>
        <v>#DIV/0!</v>
      </c>
      <c r="S17" s="220" t="e">
        <f t="shared" si="5"/>
        <v>#DIV/0!</v>
      </c>
      <c r="T17" s="437"/>
      <c r="U17" s="220"/>
      <c r="V17" s="220"/>
      <c r="W17" s="220" t="e">
        <f>V17/U17</f>
        <v>#DIV/0!</v>
      </c>
      <c r="X17" s="220" t="e">
        <f t="shared" si="7"/>
        <v>#DIV/0!</v>
      </c>
      <c r="Y17" s="437"/>
      <c r="Z17" s="220"/>
      <c r="AA17" s="220"/>
      <c r="AB17" s="222" t="e">
        <f>AA17/Z17</f>
        <v>#DIV/0!</v>
      </c>
      <c r="AC17" s="220" t="e">
        <f t="shared" si="9"/>
        <v>#DIV/0!</v>
      </c>
      <c r="AD17" s="437"/>
      <c r="AE17" s="220"/>
      <c r="AF17" s="220"/>
      <c r="AG17" s="222" t="e">
        <f t="shared" si="10"/>
        <v>#DIV/0!</v>
      </c>
      <c r="AH17" s="220" t="e">
        <f t="shared" si="11"/>
        <v>#DIV/0!</v>
      </c>
      <c r="AI17" s="437"/>
      <c r="AJ17" s="220"/>
      <c r="AK17" s="220"/>
      <c r="AL17" s="222" t="e">
        <f>AK17/AJ17</f>
        <v>#DIV/0!</v>
      </c>
      <c r="AM17" s="220" t="e">
        <f t="shared" si="13"/>
        <v>#DIV/0!</v>
      </c>
      <c r="AN17" s="437"/>
      <c r="AO17" s="220"/>
      <c r="AP17" s="220"/>
      <c r="AQ17" s="222" t="e">
        <f>AP17/AO17</f>
        <v>#DIV/0!</v>
      </c>
      <c r="AR17" s="220" t="e">
        <f t="shared" si="15"/>
        <v>#DIV/0!</v>
      </c>
      <c r="AS17" s="437"/>
      <c r="AT17" s="220">
        <v>14</v>
      </c>
      <c r="AU17" s="220">
        <v>1173</v>
      </c>
      <c r="AV17" s="222">
        <f t="shared" si="16"/>
        <v>83.785714285714292</v>
      </c>
      <c r="AW17" s="220">
        <f t="shared" si="17"/>
        <v>9</v>
      </c>
      <c r="AX17" s="437"/>
    </row>
    <row r="18" spans="2:50">
      <c r="B18" s="438"/>
      <c r="C18" s="220">
        <v>12</v>
      </c>
      <c r="D18" s="220" t="s">
        <v>78</v>
      </c>
      <c r="E18" s="221">
        <f>VLOOKUP(D18,'11產線配置圖'!$A$2:$C$25,2,0)</f>
        <v>16</v>
      </c>
      <c r="F18" s="221">
        <f>VLOOKUP(D18,'11產線配置圖'!$A$2:$C$25,3,0)</f>
        <v>1385</v>
      </c>
      <c r="G18" s="222">
        <f t="shared" si="0"/>
        <v>86.5625</v>
      </c>
      <c r="H18" s="440"/>
      <c r="I18" s="221">
        <f t="shared" si="1"/>
        <v>18</v>
      </c>
      <c r="J18" s="221">
        <f t="shared" si="2"/>
        <v>1436</v>
      </c>
      <c r="K18" s="222">
        <f t="shared" si="3"/>
        <v>79.777777777777771</v>
      </c>
      <c r="L18" s="440"/>
      <c r="M18" s="223">
        <f>RANK(K18, K$7:$K$24)</f>
        <v>11</v>
      </c>
      <c r="N18" s="445"/>
      <c r="O18" s="445"/>
      <c r="P18" s="220"/>
      <c r="Q18" s="220"/>
      <c r="R18" s="222" t="e">
        <f t="shared" si="4"/>
        <v>#DIV/0!</v>
      </c>
      <c r="S18" s="220" t="e">
        <f t="shared" si="5"/>
        <v>#DIV/0!</v>
      </c>
      <c r="T18" s="437"/>
      <c r="U18" s="220"/>
      <c r="V18" s="220"/>
      <c r="W18" s="220" t="e">
        <f t="shared" si="6"/>
        <v>#DIV/0!</v>
      </c>
      <c r="X18" s="220" t="e">
        <f t="shared" si="7"/>
        <v>#DIV/0!</v>
      </c>
      <c r="Y18" s="437"/>
      <c r="Z18" s="220"/>
      <c r="AA18" s="220"/>
      <c r="AB18" s="222" t="e">
        <f>AA18/Z18</f>
        <v>#DIV/0!</v>
      </c>
      <c r="AC18" s="220" t="e">
        <f t="shared" si="9"/>
        <v>#DIV/0!</v>
      </c>
      <c r="AD18" s="437"/>
      <c r="AE18" s="220"/>
      <c r="AF18" s="220"/>
      <c r="AG18" s="222" t="e">
        <f t="shared" si="10"/>
        <v>#DIV/0!</v>
      </c>
      <c r="AH18" s="220" t="e">
        <f t="shared" si="11"/>
        <v>#DIV/0!</v>
      </c>
      <c r="AI18" s="437"/>
      <c r="AJ18" s="220"/>
      <c r="AK18" s="220"/>
      <c r="AL18" s="222" t="e">
        <f>AK18/AJ18</f>
        <v>#DIV/0!</v>
      </c>
      <c r="AM18" s="220" t="e">
        <f t="shared" si="13"/>
        <v>#DIV/0!</v>
      </c>
      <c r="AN18" s="437"/>
      <c r="AO18" s="220"/>
      <c r="AP18" s="220"/>
      <c r="AQ18" s="222" t="e">
        <f>AP18/AO18</f>
        <v>#DIV/0!</v>
      </c>
      <c r="AR18" s="220" t="e">
        <f t="shared" si="15"/>
        <v>#DIV/0!</v>
      </c>
      <c r="AS18" s="437"/>
      <c r="AT18" s="220">
        <v>18</v>
      </c>
      <c r="AU18" s="220">
        <v>1436</v>
      </c>
      <c r="AV18" s="222">
        <f t="shared" ref="AV18:AV19" si="18">AU18/AT18</f>
        <v>79.777777777777771</v>
      </c>
      <c r="AW18" s="220">
        <f t="shared" ref="AW18:AW19" si="19">RANK(AV18, AV$7:AV$24)</f>
        <v>11</v>
      </c>
      <c r="AX18" s="437"/>
    </row>
    <row r="19" spans="2:50">
      <c r="B19" s="438"/>
      <c r="C19" s="220">
        <v>13</v>
      </c>
      <c r="D19" s="220"/>
      <c r="E19" s="221"/>
      <c r="F19" s="221"/>
      <c r="G19" s="222"/>
      <c r="H19" s="440"/>
      <c r="I19" s="221"/>
      <c r="J19" s="221"/>
      <c r="K19" s="222"/>
      <c r="L19" s="440"/>
      <c r="M19" s="223"/>
      <c r="N19" s="445"/>
      <c r="O19" s="445"/>
      <c r="P19" s="220"/>
      <c r="Q19" s="220"/>
      <c r="R19" s="222" t="e">
        <f t="shared" si="4"/>
        <v>#DIV/0!</v>
      </c>
      <c r="S19" s="220" t="e">
        <f t="shared" si="5"/>
        <v>#DIV/0!</v>
      </c>
      <c r="T19" s="437"/>
      <c r="U19" s="220"/>
      <c r="V19" s="220"/>
      <c r="W19" s="222" t="e">
        <f t="shared" si="6"/>
        <v>#DIV/0!</v>
      </c>
      <c r="X19" s="220" t="e">
        <f t="shared" si="7"/>
        <v>#DIV/0!</v>
      </c>
      <c r="Y19" s="437"/>
      <c r="Z19" s="220"/>
      <c r="AA19" s="220"/>
      <c r="AB19" s="222" t="e">
        <f>AA19/Z19</f>
        <v>#DIV/0!</v>
      </c>
      <c r="AC19" s="220" t="e">
        <f t="shared" si="9"/>
        <v>#DIV/0!</v>
      </c>
      <c r="AD19" s="437"/>
      <c r="AE19" s="220"/>
      <c r="AF19" s="220"/>
      <c r="AG19" s="222" t="e">
        <f t="shared" si="10"/>
        <v>#DIV/0!</v>
      </c>
      <c r="AH19" s="220" t="e">
        <f t="shared" si="11"/>
        <v>#DIV/0!</v>
      </c>
      <c r="AI19" s="437"/>
      <c r="AJ19" s="220"/>
      <c r="AK19" s="220"/>
      <c r="AL19" s="222"/>
      <c r="AM19" s="220"/>
      <c r="AN19" s="437"/>
      <c r="AO19" s="220"/>
      <c r="AP19" s="220"/>
      <c r="AQ19" s="222"/>
      <c r="AR19" s="220"/>
      <c r="AS19" s="437"/>
      <c r="AT19" s="220">
        <v>14</v>
      </c>
      <c r="AU19" s="220">
        <v>1043</v>
      </c>
      <c r="AV19" s="222">
        <f t="shared" si="18"/>
        <v>74.5</v>
      </c>
      <c r="AW19" s="220">
        <f t="shared" si="19"/>
        <v>13</v>
      </c>
      <c r="AX19" s="437"/>
    </row>
    <row r="20" spans="2:50">
      <c r="B20" s="438"/>
      <c r="C20" s="220">
        <v>14</v>
      </c>
      <c r="D20" s="220"/>
      <c r="E20" s="221"/>
      <c r="F20" s="221"/>
      <c r="G20" s="222"/>
      <c r="H20" s="440"/>
      <c r="I20" s="221"/>
      <c r="J20" s="221"/>
      <c r="K20" s="222"/>
      <c r="L20" s="440"/>
      <c r="M20" s="223"/>
      <c r="N20" s="445"/>
      <c r="O20" s="445"/>
      <c r="P20" s="220"/>
      <c r="Q20" s="220"/>
      <c r="R20" s="222" t="e">
        <f t="shared" si="4"/>
        <v>#DIV/0!</v>
      </c>
      <c r="S20" s="220" t="e">
        <f t="shared" si="5"/>
        <v>#DIV/0!</v>
      </c>
      <c r="T20" s="437"/>
      <c r="U20" s="220"/>
      <c r="V20" s="220"/>
      <c r="W20" s="222" t="e">
        <f t="shared" si="6"/>
        <v>#DIV/0!</v>
      </c>
      <c r="X20" s="220" t="e">
        <f t="shared" si="7"/>
        <v>#DIV/0!</v>
      </c>
      <c r="Y20" s="437"/>
      <c r="Z20" s="220"/>
      <c r="AA20" s="220"/>
      <c r="AB20" s="222" t="e">
        <f t="shared" si="8"/>
        <v>#DIV/0!</v>
      </c>
      <c r="AC20" s="220" t="e">
        <f t="shared" si="9"/>
        <v>#DIV/0!</v>
      </c>
      <c r="AD20" s="437"/>
      <c r="AE20" s="220"/>
      <c r="AF20" s="220"/>
      <c r="AG20" s="222" t="e">
        <f t="shared" si="10"/>
        <v>#DIV/0!</v>
      </c>
      <c r="AH20" s="220" t="e">
        <f t="shared" si="11"/>
        <v>#DIV/0!</v>
      </c>
      <c r="AI20" s="437"/>
      <c r="AJ20" s="220"/>
      <c r="AK20" s="220"/>
      <c r="AL20" s="222"/>
      <c r="AM20" s="220"/>
      <c r="AN20" s="437"/>
      <c r="AO20" s="220"/>
      <c r="AP20" s="220"/>
      <c r="AQ20" s="220"/>
      <c r="AR20" s="220"/>
      <c r="AS20" s="437"/>
      <c r="AT20" s="220"/>
      <c r="AU20" s="220"/>
      <c r="AV20" s="222"/>
      <c r="AW20" s="220"/>
      <c r="AX20" s="437"/>
    </row>
    <row r="21" spans="2:50">
      <c r="B21" s="438"/>
      <c r="C21" s="220">
        <v>15</v>
      </c>
      <c r="D21" s="220"/>
      <c r="E21" s="221"/>
      <c r="F21" s="221"/>
      <c r="G21" s="222"/>
      <c r="H21" s="440"/>
      <c r="I21" s="220"/>
      <c r="J21" s="220"/>
      <c r="K21" s="222"/>
      <c r="L21" s="440"/>
      <c r="M21" s="221"/>
      <c r="N21" s="445"/>
      <c r="O21" s="445"/>
      <c r="P21" s="220"/>
      <c r="Q21" s="220"/>
      <c r="R21" s="222" t="e">
        <f t="shared" si="4"/>
        <v>#DIV/0!</v>
      </c>
      <c r="S21" s="220" t="e">
        <f t="shared" si="5"/>
        <v>#DIV/0!</v>
      </c>
      <c r="T21" s="437"/>
      <c r="U21" s="220"/>
      <c r="V21" s="220"/>
      <c r="W21" s="220"/>
      <c r="X21" s="220"/>
      <c r="Y21" s="437"/>
      <c r="Z21" s="220"/>
      <c r="AA21" s="220"/>
      <c r="AB21" s="222"/>
      <c r="AC21" s="220"/>
      <c r="AD21" s="437"/>
      <c r="AE21" s="220"/>
      <c r="AF21" s="220"/>
      <c r="AG21" s="222"/>
      <c r="AH21" s="220"/>
      <c r="AI21" s="437"/>
      <c r="AJ21" s="220"/>
      <c r="AK21" s="220"/>
      <c r="AL21" s="220"/>
      <c r="AM21" s="220"/>
      <c r="AN21" s="437"/>
      <c r="AO21" s="220"/>
      <c r="AP21" s="220"/>
      <c r="AQ21" s="220"/>
      <c r="AR21" s="220"/>
      <c r="AS21" s="437"/>
      <c r="AT21" s="220"/>
      <c r="AU21" s="220"/>
      <c r="AV21" s="222"/>
      <c r="AW21" s="220"/>
      <c r="AX21" s="437"/>
    </row>
    <row r="22" spans="2:50">
      <c r="B22" s="438"/>
      <c r="C22" s="220">
        <v>16</v>
      </c>
      <c r="D22" s="220"/>
      <c r="E22" s="221"/>
      <c r="F22" s="221"/>
      <c r="G22" s="222"/>
      <c r="H22" s="440"/>
      <c r="I22" s="220"/>
      <c r="J22" s="220"/>
      <c r="K22" s="220"/>
      <c r="L22" s="440"/>
      <c r="M22" s="221"/>
      <c r="N22" s="445"/>
      <c r="O22" s="445"/>
      <c r="P22" s="220"/>
      <c r="Q22" s="220"/>
      <c r="R22" s="222" t="e">
        <f>Q22/P22</f>
        <v>#DIV/0!</v>
      </c>
      <c r="S22" s="220" t="e">
        <f>RANK(R22, R$7:R$24)</f>
        <v>#DIV/0!</v>
      </c>
      <c r="T22" s="437"/>
      <c r="U22" s="220"/>
      <c r="V22" s="220"/>
      <c r="W22" s="220"/>
      <c r="X22" s="220"/>
      <c r="Y22" s="437"/>
      <c r="Z22" s="220"/>
      <c r="AA22" s="220"/>
      <c r="AB22" s="220"/>
      <c r="AC22" s="220"/>
      <c r="AD22" s="437"/>
      <c r="AE22" s="220"/>
      <c r="AF22" s="220"/>
      <c r="AG22" s="222"/>
      <c r="AH22" s="220"/>
      <c r="AI22" s="437"/>
      <c r="AJ22" s="220"/>
      <c r="AK22" s="220"/>
      <c r="AL22" s="220"/>
      <c r="AM22" s="220"/>
      <c r="AN22" s="437"/>
      <c r="AO22" s="220"/>
      <c r="AP22" s="220"/>
      <c r="AQ22" s="220"/>
      <c r="AR22" s="220"/>
      <c r="AS22" s="437"/>
      <c r="AT22" s="220"/>
      <c r="AU22" s="220"/>
      <c r="AV22" s="220"/>
      <c r="AW22" s="220"/>
      <c r="AX22" s="437"/>
    </row>
    <row r="23" spans="2:50">
      <c r="B23" s="438"/>
      <c r="C23" s="220">
        <v>17</v>
      </c>
      <c r="D23" s="220"/>
      <c r="E23" s="221"/>
      <c r="F23" s="221"/>
      <c r="G23" s="222"/>
      <c r="H23" s="440"/>
      <c r="I23" s="220"/>
      <c r="J23" s="220"/>
      <c r="K23" s="220"/>
      <c r="L23" s="440"/>
      <c r="M23" s="221"/>
      <c r="N23" s="445"/>
      <c r="O23" s="445"/>
      <c r="P23" s="220"/>
      <c r="Q23" s="220"/>
      <c r="R23" s="222" t="e">
        <f>Q23/P23</f>
        <v>#DIV/0!</v>
      </c>
      <c r="S23" s="220" t="e">
        <f>RANK(R23, R$7:R$24)</f>
        <v>#DIV/0!</v>
      </c>
      <c r="T23" s="437"/>
      <c r="U23" s="220"/>
      <c r="V23" s="220"/>
      <c r="W23" s="220"/>
      <c r="X23" s="220"/>
      <c r="Y23" s="437"/>
      <c r="Z23" s="220"/>
      <c r="AA23" s="220"/>
      <c r="AB23" s="220"/>
      <c r="AC23" s="220"/>
      <c r="AD23" s="437"/>
      <c r="AE23" s="220"/>
      <c r="AF23" s="220"/>
      <c r="AG23" s="222"/>
      <c r="AH23" s="220"/>
      <c r="AI23" s="437"/>
      <c r="AJ23" s="220"/>
      <c r="AK23" s="220"/>
      <c r="AL23" s="220"/>
      <c r="AM23" s="220"/>
      <c r="AN23" s="437"/>
      <c r="AO23" s="220"/>
      <c r="AP23" s="220"/>
      <c r="AQ23" s="220"/>
      <c r="AR23" s="220"/>
      <c r="AS23" s="437"/>
      <c r="AT23" s="220"/>
      <c r="AU23" s="220"/>
      <c r="AV23" s="220"/>
      <c r="AW23" s="220"/>
      <c r="AX23" s="437"/>
    </row>
    <row r="24" spans="2:50">
      <c r="B24" s="438"/>
      <c r="C24" s="220">
        <v>18</v>
      </c>
      <c r="D24" s="220"/>
      <c r="E24" s="221"/>
      <c r="F24" s="221"/>
      <c r="G24" s="222"/>
      <c r="H24" s="441"/>
      <c r="I24" s="220"/>
      <c r="J24" s="220"/>
      <c r="K24" s="220"/>
      <c r="L24" s="441"/>
      <c r="M24" s="221"/>
      <c r="N24" s="445"/>
      <c r="O24" s="445"/>
      <c r="P24" s="220"/>
      <c r="Q24" s="220"/>
      <c r="R24" s="222" t="e">
        <f t="shared" si="4"/>
        <v>#DIV/0!</v>
      </c>
      <c r="S24" s="220" t="e">
        <f t="shared" si="5"/>
        <v>#DIV/0!</v>
      </c>
      <c r="T24" s="437"/>
      <c r="U24" s="220"/>
      <c r="V24" s="220"/>
      <c r="W24" s="220"/>
      <c r="X24" s="220"/>
      <c r="Y24" s="437"/>
      <c r="Z24" s="220"/>
      <c r="AA24" s="220"/>
      <c r="AB24" s="220"/>
      <c r="AC24" s="220"/>
      <c r="AD24" s="437"/>
      <c r="AE24" s="220"/>
      <c r="AF24" s="220"/>
      <c r="AG24" s="222"/>
      <c r="AH24" s="220"/>
      <c r="AI24" s="437"/>
      <c r="AJ24" s="220"/>
      <c r="AK24" s="220"/>
      <c r="AL24" s="220"/>
      <c r="AM24" s="220"/>
      <c r="AN24" s="437"/>
      <c r="AO24" s="220"/>
      <c r="AP24" s="220"/>
      <c r="AQ24" s="220"/>
      <c r="AR24" s="220"/>
      <c r="AS24" s="437"/>
      <c r="AT24" s="220"/>
      <c r="AU24" s="220"/>
      <c r="AV24" s="220"/>
      <c r="AW24" s="220"/>
      <c r="AX24" s="437"/>
    </row>
    <row r="25" spans="2:50" ht="15.5">
      <c r="B25" s="457" t="s">
        <v>44</v>
      </c>
      <c r="C25" s="458"/>
      <c r="D25" s="458"/>
      <c r="E25" s="458"/>
      <c r="F25" s="458"/>
      <c r="G25" s="458"/>
      <c r="H25" s="458"/>
      <c r="I25" s="214"/>
      <c r="J25" s="214"/>
      <c r="K25" s="214"/>
      <c r="L25" s="214"/>
      <c r="M25" s="215"/>
      <c r="N25" s="450" t="s">
        <v>45</v>
      </c>
      <c r="O25" s="450" t="s">
        <v>3</v>
      </c>
      <c r="P25" s="453">
        <v>45993</v>
      </c>
      <c r="Q25" s="438"/>
      <c r="R25" s="438"/>
      <c r="S25" s="438"/>
      <c r="T25" s="438"/>
      <c r="U25" s="453">
        <v>45994</v>
      </c>
      <c r="V25" s="438"/>
      <c r="W25" s="438"/>
      <c r="X25" s="438"/>
      <c r="Y25" s="438"/>
      <c r="Z25" s="453">
        <v>45995</v>
      </c>
      <c r="AA25" s="438"/>
      <c r="AB25" s="438"/>
      <c r="AC25" s="438"/>
      <c r="AD25" s="438"/>
      <c r="AE25" s="453">
        <v>45996</v>
      </c>
      <c r="AF25" s="438"/>
      <c r="AG25" s="438"/>
      <c r="AH25" s="438"/>
      <c r="AI25" s="438"/>
      <c r="AJ25" s="453">
        <v>45997</v>
      </c>
      <c r="AK25" s="438"/>
      <c r="AL25" s="438"/>
      <c r="AM25" s="438"/>
      <c r="AN25" s="438"/>
      <c r="AO25" s="453">
        <v>45998</v>
      </c>
      <c r="AP25" s="438"/>
      <c r="AQ25" s="438"/>
      <c r="AR25" s="438"/>
      <c r="AS25" s="438"/>
      <c r="AT25" s="453">
        <v>45999</v>
      </c>
      <c r="AU25" s="438"/>
      <c r="AV25" s="438"/>
      <c r="AW25" s="438"/>
      <c r="AX25" s="438"/>
    </row>
    <row r="26" spans="2:50" ht="15.5">
      <c r="B26" s="456"/>
      <c r="C26" s="456"/>
      <c r="D26" s="456"/>
      <c r="E26" s="456"/>
      <c r="F26" s="456"/>
      <c r="G26" s="456"/>
      <c r="H26" s="456"/>
      <c r="I26" s="216"/>
      <c r="J26" s="216"/>
      <c r="K26" s="216"/>
      <c r="L26" s="216"/>
      <c r="M26" s="217"/>
      <c r="N26" s="452"/>
      <c r="O26" s="452"/>
      <c r="P26" s="453" t="s">
        <v>15</v>
      </c>
      <c r="Q26" s="438"/>
      <c r="R26" s="438"/>
      <c r="S26" s="438"/>
      <c r="T26" s="438"/>
      <c r="U26" s="453" t="s">
        <v>16</v>
      </c>
      <c r="V26" s="438"/>
      <c r="W26" s="438"/>
      <c r="X26" s="438"/>
      <c r="Y26" s="438"/>
      <c r="Z26" s="453" t="s">
        <v>17</v>
      </c>
      <c r="AA26" s="438"/>
      <c r="AB26" s="438"/>
      <c r="AC26" s="438"/>
      <c r="AD26" s="438"/>
      <c r="AE26" s="453" t="s">
        <v>18</v>
      </c>
      <c r="AF26" s="438"/>
      <c r="AG26" s="438"/>
      <c r="AH26" s="438"/>
      <c r="AI26" s="438"/>
      <c r="AJ26" s="453" t="s">
        <v>19</v>
      </c>
      <c r="AK26" s="438"/>
      <c r="AL26" s="438"/>
      <c r="AM26" s="438"/>
      <c r="AN26" s="438"/>
      <c r="AO26" s="453" t="s">
        <v>10</v>
      </c>
      <c r="AP26" s="438"/>
      <c r="AQ26" s="438"/>
      <c r="AR26" s="438"/>
      <c r="AS26" s="438"/>
      <c r="AT26" s="453" t="s">
        <v>14</v>
      </c>
      <c r="AU26" s="438"/>
      <c r="AV26" s="438"/>
      <c r="AW26" s="438"/>
      <c r="AX26" s="438"/>
    </row>
    <row r="27" spans="2:50">
      <c r="B27" s="445" t="s">
        <v>46</v>
      </c>
      <c r="C27" s="446" t="s">
        <v>47</v>
      </c>
      <c r="D27" s="445"/>
      <c r="E27" s="445" t="s">
        <v>48</v>
      </c>
      <c r="F27" s="445"/>
      <c r="G27" s="445"/>
      <c r="H27" s="447" t="s">
        <v>49</v>
      </c>
      <c r="I27" s="445" t="s">
        <v>50</v>
      </c>
      <c r="J27" s="445"/>
      <c r="K27" s="445"/>
      <c r="L27" s="447" t="s">
        <v>49</v>
      </c>
      <c r="M27" s="450" t="s">
        <v>51</v>
      </c>
      <c r="N27" s="445"/>
      <c r="O27" s="445" t="s">
        <v>52</v>
      </c>
      <c r="P27" s="442" t="s">
        <v>53</v>
      </c>
      <c r="Q27" s="443"/>
      <c r="R27" s="443"/>
      <c r="S27" s="444"/>
      <c r="T27" s="445" t="s">
        <v>49</v>
      </c>
      <c r="U27" s="442" t="s">
        <v>53</v>
      </c>
      <c r="V27" s="443"/>
      <c r="W27" s="443"/>
      <c r="X27" s="444"/>
      <c r="Y27" s="445" t="s">
        <v>49</v>
      </c>
      <c r="Z27" s="442" t="s">
        <v>53</v>
      </c>
      <c r="AA27" s="443"/>
      <c r="AB27" s="443"/>
      <c r="AC27" s="444"/>
      <c r="AD27" s="445" t="s">
        <v>49</v>
      </c>
      <c r="AE27" s="442" t="s">
        <v>53</v>
      </c>
      <c r="AF27" s="443"/>
      <c r="AG27" s="443"/>
      <c r="AH27" s="444"/>
      <c r="AI27" s="445" t="s">
        <v>49</v>
      </c>
      <c r="AJ27" s="442" t="s">
        <v>53</v>
      </c>
      <c r="AK27" s="443"/>
      <c r="AL27" s="443"/>
      <c r="AM27" s="444"/>
      <c r="AN27" s="445" t="s">
        <v>49</v>
      </c>
      <c r="AO27" s="442" t="s">
        <v>53</v>
      </c>
      <c r="AP27" s="443"/>
      <c r="AQ27" s="443"/>
      <c r="AR27" s="444"/>
      <c r="AS27" s="445" t="s">
        <v>49</v>
      </c>
      <c r="AT27" s="442" t="s">
        <v>53</v>
      </c>
      <c r="AU27" s="443"/>
      <c r="AV27" s="443"/>
      <c r="AW27" s="444"/>
      <c r="AX27" s="445" t="s">
        <v>49</v>
      </c>
    </row>
    <row r="28" spans="2:50">
      <c r="B28" s="445"/>
      <c r="C28" s="445"/>
      <c r="D28" s="445"/>
      <c r="E28" s="445" t="s">
        <v>54</v>
      </c>
      <c r="F28" s="445"/>
      <c r="G28" s="445"/>
      <c r="H28" s="448"/>
      <c r="I28" s="445" t="s">
        <v>54</v>
      </c>
      <c r="J28" s="445"/>
      <c r="K28" s="445"/>
      <c r="L28" s="448"/>
      <c r="M28" s="451"/>
      <c r="N28" s="445"/>
      <c r="O28" s="445"/>
      <c r="P28" s="442" t="s">
        <v>55</v>
      </c>
      <c r="Q28" s="443"/>
      <c r="R28" s="443"/>
      <c r="S28" s="444"/>
      <c r="T28" s="445"/>
      <c r="U28" s="442" t="s">
        <v>55</v>
      </c>
      <c r="V28" s="443"/>
      <c r="W28" s="443"/>
      <c r="X28" s="444"/>
      <c r="Y28" s="445"/>
      <c r="Z28" s="442" t="s">
        <v>55</v>
      </c>
      <c r="AA28" s="443"/>
      <c r="AB28" s="443"/>
      <c r="AC28" s="444"/>
      <c r="AD28" s="445"/>
      <c r="AE28" s="442" t="s">
        <v>55</v>
      </c>
      <c r="AF28" s="443"/>
      <c r="AG28" s="443"/>
      <c r="AH28" s="444"/>
      <c r="AI28" s="445"/>
      <c r="AJ28" s="442" t="s">
        <v>55</v>
      </c>
      <c r="AK28" s="443"/>
      <c r="AL28" s="443"/>
      <c r="AM28" s="444"/>
      <c r="AN28" s="445"/>
      <c r="AO28" s="442" t="s">
        <v>55</v>
      </c>
      <c r="AP28" s="443"/>
      <c r="AQ28" s="443"/>
      <c r="AR28" s="444"/>
      <c r="AS28" s="445"/>
      <c r="AT28" s="442" t="s">
        <v>55</v>
      </c>
      <c r="AU28" s="443"/>
      <c r="AV28" s="443"/>
      <c r="AW28" s="444"/>
      <c r="AX28" s="445"/>
    </row>
    <row r="29" spans="2:50">
      <c r="B29" s="445"/>
      <c r="C29" s="445"/>
      <c r="D29" s="445"/>
      <c r="E29" s="219" t="s">
        <v>56</v>
      </c>
      <c r="F29" s="219" t="s">
        <v>57</v>
      </c>
      <c r="G29" s="219" t="s">
        <v>58</v>
      </c>
      <c r="H29" s="449"/>
      <c r="I29" s="219" t="s">
        <v>56</v>
      </c>
      <c r="J29" s="219" t="s">
        <v>57</v>
      </c>
      <c r="K29" s="219" t="s">
        <v>58</v>
      </c>
      <c r="L29" s="449"/>
      <c r="M29" s="452"/>
      <c r="N29" s="445"/>
      <c r="O29" s="445"/>
      <c r="P29" s="219" t="s">
        <v>56</v>
      </c>
      <c r="Q29" s="219" t="s">
        <v>57</v>
      </c>
      <c r="R29" s="219" t="s">
        <v>58</v>
      </c>
      <c r="S29" s="219" t="s">
        <v>51</v>
      </c>
      <c r="T29" s="445"/>
      <c r="U29" s="219" t="s">
        <v>56</v>
      </c>
      <c r="V29" s="219" t="s">
        <v>57</v>
      </c>
      <c r="W29" s="219" t="s">
        <v>58</v>
      </c>
      <c r="X29" s="219" t="s">
        <v>51</v>
      </c>
      <c r="Y29" s="445"/>
      <c r="Z29" s="219" t="s">
        <v>56</v>
      </c>
      <c r="AA29" s="219" t="s">
        <v>57</v>
      </c>
      <c r="AB29" s="219" t="s">
        <v>58</v>
      </c>
      <c r="AC29" s="219" t="s">
        <v>51</v>
      </c>
      <c r="AD29" s="445"/>
      <c r="AE29" s="219" t="s">
        <v>56</v>
      </c>
      <c r="AF29" s="219" t="s">
        <v>57</v>
      </c>
      <c r="AG29" s="219" t="s">
        <v>58</v>
      </c>
      <c r="AH29" s="219" t="s">
        <v>51</v>
      </c>
      <c r="AI29" s="445"/>
      <c r="AJ29" s="219" t="s">
        <v>56</v>
      </c>
      <c r="AK29" s="219" t="s">
        <v>57</v>
      </c>
      <c r="AL29" s="219" t="s">
        <v>58</v>
      </c>
      <c r="AM29" s="219" t="s">
        <v>51</v>
      </c>
      <c r="AN29" s="445"/>
      <c r="AO29" s="219" t="s">
        <v>56</v>
      </c>
      <c r="AP29" s="219" t="s">
        <v>57</v>
      </c>
      <c r="AQ29" s="219" t="s">
        <v>58</v>
      </c>
      <c r="AR29" s="219" t="s">
        <v>51</v>
      </c>
      <c r="AS29" s="445"/>
      <c r="AT29" s="219" t="s">
        <v>56</v>
      </c>
      <c r="AU29" s="219" t="s">
        <v>57</v>
      </c>
      <c r="AV29" s="219" t="s">
        <v>58</v>
      </c>
      <c r="AW29" s="219" t="s">
        <v>51</v>
      </c>
      <c r="AX29" s="445"/>
    </row>
    <row r="30" spans="2:50" ht="13">
      <c r="B30" s="438" t="s">
        <v>331</v>
      </c>
      <c r="C30" s="220">
        <v>1</v>
      </c>
      <c r="D30" s="224" t="s">
        <v>74</v>
      </c>
      <c r="E30" s="221">
        <f>VLOOKUP(D30,'11產線配置圖'!$A$2:$C$25,2,0)</f>
        <v>12</v>
      </c>
      <c r="F30" s="221">
        <f>VLOOKUP(D30,'11產線配置圖'!$A$2:$C$25,3,0)</f>
        <v>2000</v>
      </c>
      <c r="G30" s="222">
        <f>F30/E30</f>
        <v>166.66666666666666</v>
      </c>
      <c r="H30" s="439">
        <f>AVERAGE(G30:G47)</f>
        <v>112.33324707595069</v>
      </c>
      <c r="I30" s="221">
        <f>AVERAGE(P30,U30,Z30,AE30,AJ30,AO30,AT30)</f>
        <v>12</v>
      </c>
      <c r="J30" s="221">
        <f>AVERAGE(Q30,V30,AA30,AF30,AK30,AP30,AU30)</f>
        <v>1763.2857142857142</v>
      </c>
      <c r="K30" s="222">
        <f>AVERAGE(R30,W30,AB30,AG30,AL30,AQ30,AV30)</f>
        <v>146.94047619047618</v>
      </c>
      <c r="L30" s="439">
        <f>IFERROR(AVERAGE(K30:K47),"-")</f>
        <v>96.117637057418207</v>
      </c>
      <c r="M30" s="223">
        <f>RANK(K30, K$30:$K$47)</f>
        <v>1</v>
      </c>
      <c r="N30" s="445"/>
      <c r="O30" s="445"/>
      <c r="P30" s="221">
        <v>12</v>
      </c>
      <c r="Q30" s="221">
        <v>1737</v>
      </c>
      <c r="R30" s="222">
        <f>Q30/P30</f>
        <v>144.75</v>
      </c>
      <c r="S30" s="220">
        <f>RANK(R30,$R$30:$R$47)</f>
        <v>1</v>
      </c>
      <c r="T30" s="437">
        <f>AVERAGE(R30:R47)</f>
        <v>92.134984516489041</v>
      </c>
      <c r="U30" s="221">
        <v>12</v>
      </c>
      <c r="V30" s="221">
        <v>1757</v>
      </c>
      <c r="W30" s="222">
        <f>V30/U30</f>
        <v>146.41666666666666</v>
      </c>
      <c r="X30" s="220">
        <f>RANK(W30, $W$30:$W$47)</f>
        <v>2</v>
      </c>
      <c r="Y30" s="437">
        <f>AVERAGE(W30:W47)</f>
        <v>90.235869880496594</v>
      </c>
      <c r="Z30" s="221">
        <v>12</v>
      </c>
      <c r="AA30" s="221">
        <v>1620</v>
      </c>
      <c r="AB30" s="222">
        <f>AA30/Z30</f>
        <v>135</v>
      </c>
      <c r="AC30" s="220">
        <f>RANK(AB30, $AB$30:$AB$47)</f>
        <v>4</v>
      </c>
      <c r="AD30" s="437">
        <f>AVERAGE(AB30:AB47)</f>
        <v>97.446520768070528</v>
      </c>
      <c r="AE30" s="221">
        <v>12</v>
      </c>
      <c r="AF30" s="221">
        <v>1789</v>
      </c>
      <c r="AG30" s="222">
        <f>AF30/AE30</f>
        <v>149.08333333333334</v>
      </c>
      <c r="AH30" s="220">
        <f>RANK(AG30, $AG$30:$AG$47)</f>
        <v>1</v>
      </c>
      <c r="AI30" s="437">
        <f>AVERAGE(AG30:AG47)</f>
        <v>97.046616003403329</v>
      </c>
      <c r="AJ30" s="221">
        <v>12</v>
      </c>
      <c r="AK30" s="221">
        <v>1674</v>
      </c>
      <c r="AL30" s="222">
        <f>AK30/AJ30</f>
        <v>139.5</v>
      </c>
      <c r="AM30" s="220">
        <f>RANK(AL30, $AL$30:$AL$47)</f>
        <v>1</v>
      </c>
      <c r="AN30" s="437">
        <f>AVERAGE(AL30:AL47)</f>
        <v>93.118054795882856</v>
      </c>
      <c r="AO30" s="221">
        <v>12</v>
      </c>
      <c r="AP30" s="221">
        <v>1896</v>
      </c>
      <c r="AQ30" s="222">
        <f>AP30/AO30</f>
        <v>158</v>
      </c>
      <c r="AR30" s="220">
        <f>RANK(AQ30,$AQ$30:$AQ$47)</f>
        <v>1</v>
      </c>
      <c r="AS30" s="437">
        <f>AVERAGE(AQ30:AQ47)</f>
        <v>101.24906944818828</v>
      </c>
      <c r="AT30" s="221">
        <v>12</v>
      </c>
      <c r="AU30" s="221">
        <v>1870</v>
      </c>
      <c r="AV30" s="222">
        <f>AU30/AT30</f>
        <v>155.83333333333334</v>
      </c>
      <c r="AW30" s="220">
        <f>RANK(AV30, $AV$30:$AV$47)</f>
        <v>1</v>
      </c>
      <c r="AX30" s="437">
        <f>AVERAGE(AV30:AV47)</f>
        <v>101.59234398939687</v>
      </c>
    </row>
    <row r="31" spans="2:50">
      <c r="B31" s="438"/>
      <c r="C31" s="220">
        <v>2</v>
      </c>
      <c r="D31" s="220" t="s">
        <v>77</v>
      </c>
      <c r="E31" s="221">
        <f>VLOOKUP(D31,'11產線配置圖'!$A$2:$C$25,2,0)</f>
        <v>13</v>
      </c>
      <c r="F31" s="221">
        <f>VLOOKUP(D31,'11產線配置圖'!$A$2:$C$25,3,0)</f>
        <v>2000</v>
      </c>
      <c r="G31" s="222">
        <f t="shared" ref="G31:G41" si="20">F31/E31</f>
        <v>153.84615384615384</v>
      </c>
      <c r="H31" s="440"/>
      <c r="I31" s="221">
        <f t="shared" ref="I31:K41" si="21">AVERAGE(P31,U31,Z31,AE31,AJ31,AO31,AT31)</f>
        <v>13</v>
      </c>
      <c r="J31" s="221">
        <f t="shared" si="21"/>
        <v>1742</v>
      </c>
      <c r="K31" s="222">
        <f t="shared" si="21"/>
        <v>134</v>
      </c>
      <c r="L31" s="440"/>
      <c r="M31" s="223">
        <f>RANK(K31, K$30:$K$47)</f>
        <v>3</v>
      </c>
      <c r="N31" s="445"/>
      <c r="O31" s="445"/>
      <c r="P31" s="221">
        <v>13</v>
      </c>
      <c r="Q31" s="221">
        <v>1779</v>
      </c>
      <c r="R31" s="222">
        <f t="shared" ref="R31:R39" si="22">Q31/P31</f>
        <v>136.84615384615384</v>
      </c>
      <c r="S31" s="220">
        <f t="shared" ref="S31:S41" si="23">RANK(R31,$R$30:$R$47)</f>
        <v>3</v>
      </c>
      <c r="T31" s="437"/>
      <c r="U31" s="221">
        <v>13</v>
      </c>
      <c r="V31" s="221">
        <v>1260</v>
      </c>
      <c r="W31" s="222">
        <f t="shared" ref="W31:W39" si="24">V31/U31</f>
        <v>96.92307692307692</v>
      </c>
      <c r="X31" s="220">
        <f t="shared" ref="X31:X41" si="25">RANK(W31, $W$30:$W$47)</f>
        <v>4</v>
      </c>
      <c r="Y31" s="437"/>
      <c r="Z31" s="221">
        <v>13</v>
      </c>
      <c r="AA31" s="221">
        <v>1925</v>
      </c>
      <c r="AB31" s="222">
        <f t="shared" ref="AB31:AB39" si="26">AA31/Z31</f>
        <v>148.07692307692307</v>
      </c>
      <c r="AC31" s="220">
        <f t="shared" ref="AC31:AC41" si="27">RANK(AB31, $AB$30:$AB$47)</f>
        <v>1</v>
      </c>
      <c r="AD31" s="437"/>
      <c r="AE31" s="221">
        <v>13</v>
      </c>
      <c r="AF31" s="221">
        <v>1832</v>
      </c>
      <c r="AG31" s="222">
        <f t="shared" ref="AG31:AG39" si="28">AF31/AE31</f>
        <v>140.92307692307693</v>
      </c>
      <c r="AH31" s="220">
        <f t="shared" ref="AH31:AH41" si="29">RANK(AG31, $AG$30:$AG$47)</f>
        <v>2</v>
      </c>
      <c r="AI31" s="437"/>
      <c r="AJ31" s="221">
        <v>13</v>
      </c>
      <c r="AK31" s="221">
        <v>1601</v>
      </c>
      <c r="AL31" s="222">
        <f t="shared" ref="AL31:AL39" si="30">AK31/AJ31</f>
        <v>123.15384615384616</v>
      </c>
      <c r="AM31" s="220">
        <f t="shared" ref="AM31:AM41" si="31">RANK(AL31, $AL$30:$AL$47)</f>
        <v>2</v>
      </c>
      <c r="AN31" s="437"/>
      <c r="AO31" s="221">
        <v>13</v>
      </c>
      <c r="AP31" s="221">
        <v>1912</v>
      </c>
      <c r="AQ31" s="222">
        <f>AP31/AO31</f>
        <v>147.07692307692307</v>
      </c>
      <c r="AR31" s="220">
        <f>RANK(AQ31,$AQ$30:$AQ$47)</f>
        <v>2</v>
      </c>
      <c r="AS31" s="437"/>
      <c r="AT31" s="221">
        <v>13</v>
      </c>
      <c r="AU31" s="221">
        <v>1885</v>
      </c>
      <c r="AV31" s="222">
        <f t="shared" ref="AV31:AV41" si="32">AU31/AT31</f>
        <v>145</v>
      </c>
      <c r="AW31" s="220">
        <f t="shared" ref="AW31:AW41" si="33">RANK(AV31, $AV$30:$AV$47)</f>
        <v>2</v>
      </c>
      <c r="AX31" s="437"/>
    </row>
    <row r="32" spans="2:50">
      <c r="B32" s="438"/>
      <c r="C32" s="220">
        <v>3</v>
      </c>
      <c r="D32" s="220" t="s">
        <v>75</v>
      </c>
      <c r="E32" s="221">
        <f>VLOOKUP(D32,'11產線配置圖'!$A$2:$C$25,2,0)</f>
        <v>15</v>
      </c>
      <c r="F32" s="221">
        <f>VLOOKUP(D32,'11產線配置圖'!$A$2:$C$25,3,0)</f>
        <v>2000</v>
      </c>
      <c r="G32" s="222">
        <f t="shared" si="20"/>
        <v>133.33333333333334</v>
      </c>
      <c r="H32" s="440"/>
      <c r="I32" s="221">
        <f t="shared" si="21"/>
        <v>13</v>
      </c>
      <c r="J32" s="221">
        <f t="shared" si="21"/>
        <v>1784.2857142857142</v>
      </c>
      <c r="K32" s="222">
        <f>AVERAGE(R32,W32,AB32,AG32,AL32,AQ32,AV32)</f>
        <v>137.25274725274727</v>
      </c>
      <c r="L32" s="440"/>
      <c r="M32" s="223">
        <f>RANK(K32, K$30:$K$47)</f>
        <v>2</v>
      </c>
      <c r="N32" s="445"/>
      <c r="O32" s="445"/>
      <c r="P32" s="221">
        <v>13</v>
      </c>
      <c r="Q32" s="221">
        <v>1807</v>
      </c>
      <c r="R32" s="222">
        <f t="shared" si="22"/>
        <v>139</v>
      </c>
      <c r="S32" s="220">
        <f t="shared" si="23"/>
        <v>2</v>
      </c>
      <c r="T32" s="437"/>
      <c r="U32" s="221">
        <v>13</v>
      </c>
      <c r="V32" s="221">
        <v>1980</v>
      </c>
      <c r="W32" s="222">
        <f t="shared" si="24"/>
        <v>152.30769230769232</v>
      </c>
      <c r="X32" s="220">
        <f t="shared" si="25"/>
        <v>1</v>
      </c>
      <c r="Y32" s="437"/>
      <c r="Z32" s="221">
        <v>13</v>
      </c>
      <c r="AA32" s="221">
        <v>1762</v>
      </c>
      <c r="AB32" s="222">
        <f t="shared" si="26"/>
        <v>135.53846153846155</v>
      </c>
      <c r="AC32" s="220">
        <f t="shared" si="27"/>
        <v>3</v>
      </c>
      <c r="AD32" s="437"/>
      <c r="AE32" s="221">
        <v>13</v>
      </c>
      <c r="AF32" s="221">
        <v>1749</v>
      </c>
      <c r="AG32" s="222">
        <f t="shared" si="28"/>
        <v>134.53846153846155</v>
      </c>
      <c r="AH32" s="220">
        <f t="shared" si="29"/>
        <v>3</v>
      </c>
      <c r="AI32" s="437"/>
      <c r="AJ32" s="221">
        <v>13</v>
      </c>
      <c r="AK32" s="221">
        <v>1445</v>
      </c>
      <c r="AL32" s="222">
        <f>AK32/AJ32</f>
        <v>111.15384615384616</v>
      </c>
      <c r="AM32" s="220">
        <f>RANK(AL32, $AL$30:$AL$47)</f>
        <v>4</v>
      </c>
      <c r="AN32" s="437"/>
      <c r="AO32" s="221">
        <v>13</v>
      </c>
      <c r="AP32" s="221">
        <v>1881</v>
      </c>
      <c r="AQ32" s="222">
        <f t="shared" ref="AQ32:AQ41" si="34">AP32/AO32</f>
        <v>144.69230769230768</v>
      </c>
      <c r="AR32" s="220">
        <f t="shared" ref="AR32:AR41" si="35">RANK(AQ32,$AQ$30:$AQ$47)</f>
        <v>3</v>
      </c>
      <c r="AS32" s="437"/>
      <c r="AT32" s="221">
        <v>13</v>
      </c>
      <c r="AU32" s="221">
        <v>1866</v>
      </c>
      <c r="AV32" s="222">
        <f t="shared" si="32"/>
        <v>143.53846153846155</v>
      </c>
      <c r="AW32" s="220">
        <f t="shared" si="33"/>
        <v>3</v>
      </c>
      <c r="AX32" s="437"/>
    </row>
    <row r="33" spans="2:50">
      <c r="B33" s="438"/>
      <c r="C33" s="220">
        <v>4</v>
      </c>
      <c r="D33" s="220" t="s">
        <v>195</v>
      </c>
      <c r="E33" s="221">
        <f>VLOOKUP(D33,'11產線配置圖'!$A$2:$C$25,2,0)</f>
        <v>18</v>
      </c>
      <c r="F33" s="221">
        <f>VLOOKUP(D33,'11產線配置圖'!$A$2:$C$25,3,0)</f>
        <v>1565</v>
      </c>
      <c r="G33" s="222">
        <f t="shared" si="20"/>
        <v>86.944444444444443</v>
      </c>
      <c r="H33" s="440"/>
      <c r="I33" s="221">
        <f t="shared" si="21"/>
        <v>17.571428571428573</v>
      </c>
      <c r="J33" s="221">
        <f t="shared" si="21"/>
        <v>1477.7142857142858</v>
      </c>
      <c r="K33" s="222">
        <f t="shared" si="21"/>
        <v>84.103641456582636</v>
      </c>
      <c r="L33" s="440"/>
      <c r="M33" s="223">
        <f>RANK(K33, K$30:$K$47)</f>
        <v>6</v>
      </c>
      <c r="N33" s="445"/>
      <c r="O33" s="445"/>
      <c r="P33" s="221">
        <v>18</v>
      </c>
      <c r="Q33" s="221">
        <v>1538</v>
      </c>
      <c r="R33" s="222">
        <f t="shared" si="22"/>
        <v>85.444444444444443</v>
      </c>
      <c r="S33" s="220">
        <f t="shared" si="23"/>
        <v>7</v>
      </c>
      <c r="T33" s="437"/>
      <c r="U33" s="221">
        <v>17</v>
      </c>
      <c r="V33" s="221">
        <v>1441</v>
      </c>
      <c r="W33" s="222">
        <f t="shared" si="24"/>
        <v>84.764705882352942</v>
      </c>
      <c r="X33" s="220">
        <f t="shared" si="25"/>
        <v>6</v>
      </c>
      <c r="Y33" s="437"/>
      <c r="Z33" s="221">
        <v>17</v>
      </c>
      <c r="AA33" s="221">
        <v>1487</v>
      </c>
      <c r="AB33" s="222">
        <f t="shared" si="26"/>
        <v>87.470588235294116</v>
      </c>
      <c r="AC33" s="220">
        <f t="shared" si="27"/>
        <v>6</v>
      </c>
      <c r="AD33" s="437"/>
      <c r="AE33" s="221">
        <v>18</v>
      </c>
      <c r="AF33" s="221">
        <v>1526</v>
      </c>
      <c r="AG33" s="222">
        <f t="shared" si="28"/>
        <v>84.777777777777771</v>
      </c>
      <c r="AH33" s="220">
        <f t="shared" si="29"/>
        <v>7</v>
      </c>
      <c r="AI33" s="437"/>
      <c r="AJ33" s="221">
        <v>17</v>
      </c>
      <c r="AK33" s="221">
        <v>1374</v>
      </c>
      <c r="AL33" s="222">
        <f t="shared" si="30"/>
        <v>80.82352941176471</v>
      </c>
      <c r="AM33" s="220">
        <f t="shared" si="31"/>
        <v>8</v>
      </c>
      <c r="AN33" s="437"/>
      <c r="AO33" s="221">
        <v>18</v>
      </c>
      <c r="AP33" s="221">
        <v>1561</v>
      </c>
      <c r="AQ33" s="222">
        <f t="shared" si="34"/>
        <v>86.722222222222229</v>
      </c>
      <c r="AR33" s="220">
        <f t="shared" si="35"/>
        <v>7</v>
      </c>
      <c r="AS33" s="437"/>
      <c r="AT33" s="221">
        <v>18</v>
      </c>
      <c r="AU33" s="221">
        <v>1417</v>
      </c>
      <c r="AV33" s="222">
        <f t="shared" si="32"/>
        <v>78.722222222222229</v>
      </c>
      <c r="AW33" s="220">
        <f t="shared" si="33"/>
        <v>11</v>
      </c>
      <c r="AX33" s="437"/>
    </row>
    <row r="34" spans="2:50">
      <c r="B34" s="438"/>
      <c r="C34" s="220">
        <v>5</v>
      </c>
      <c r="D34" s="220" t="s">
        <v>76</v>
      </c>
      <c r="E34" s="221">
        <f>VLOOKUP(D34,'11產線配置圖'!$A$2:$C$25,2,0)</f>
        <v>13</v>
      </c>
      <c r="F34" s="221">
        <f>VLOOKUP(D34,'11產線配置圖'!$A$2:$C$25,3,0)</f>
        <v>2000</v>
      </c>
      <c r="G34" s="222">
        <f t="shared" si="20"/>
        <v>153.84615384615384</v>
      </c>
      <c r="H34" s="440"/>
      <c r="I34" s="221">
        <f t="shared" si="21"/>
        <v>13</v>
      </c>
      <c r="J34" s="221">
        <f t="shared" si="21"/>
        <v>1730.1428571428571</v>
      </c>
      <c r="K34" s="222">
        <f t="shared" si="21"/>
        <v>133.08791208791209</v>
      </c>
      <c r="L34" s="440"/>
      <c r="M34" s="223">
        <f>RANK(K34, K$30:$K$47)</f>
        <v>4</v>
      </c>
      <c r="N34" s="445"/>
      <c r="O34" s="445"/>
      <c r="P34" s="221">
        <v>13</v>
      </c>
      <c r="Q34" s="221">
        <v>1726</v>
      </c>
      <c r="R34" s="222">
        <f t="shared" si="22"/>
        <v>132.76923076923077</v>
      </c>
      <c r="S34" s="220">
        <f t="shared" si="23"/>
        <v>4</v>
      </c>
      <c r="T34" s="437"/>
      <c r="U34" s="221">
        <v>13</v>
      </c>
      <c r="V34" s="221">
        <v>1742</v>
      </c>
      <c r="W34" s="222">
        <f t="shared" si="24"/>
        <v>134</v>
      </c>
      <c r="X34" s="220">
        <f t="shared" si="25"/>
        <v>3</v>
      </c>
      <c r="Y34" s="437"/>
      <c r="Z34" s="221">
        <v>13</v>
      </c>
      <c r="AA34" s="221">
        <v>1840</v>
      </c>
      <c r="AB34" s="222">
        <f t="shared" si="26"/>
        <v>141.53846153846155</v>
      </c>
      <c r="AC34" s="220">
        <f t="shared" si="27"/>
        <v>2</v>
      </c>
      <c r="AD34" s="437"/>
      <c r="AE34" s="221">
        <v>13</v>
      </c>
      <c r="AF34" s="221">
        <v>1646</v>
      </c>
      <c r="AG34" s="222">
        <f t="shared" si="28"/>
        <v>126.61538461538461</v>
      </c>
      <c r="AH34" s="220">
        <f t="shared" si="29"/>
        <v>4</v>
      </c>
      <c r="AI34" s="437"/>
      <c r="AJ34" s="221">
        <v>13</v>
      </c>
      <c r="AK34" s="221">
        <v>1558</v>
      </c>
      <c r="AL34" s="222">
        <f t="shared" si="30"/>
        <v>119.84615384615384</v>
      </c>
      <c r="AM34" s="220">
        <f t="shared" si="31"/>
        <v>3</v>
      </c>
      <c r="AN34" s="437"/>
      <c r="AO34" s="221">
        <v>13</v>
      </c>
      <c r="AP34" s="221">
        <v>1804</v>
      </c>
      <c r="AQ34" s="222">
        <f t="shared" si="34"/>
        <v>138.76923076923077</v>
      </c>
      <c r="AR34" s="220">
        <f t="shared" si="35"/>
        <v>4</v>
      </c>
      <c r="AS34" s="437"/>
      <c r="AT34" s="221">
        <v>13</v>
      </c>
      <c r="AU34" s="221">
        <v>1795</v>
      </c>
      <c r="AV34" s="222">
        <f t="shared" si="32"/>
        <v>138.07692307692307</v>
      </c>
      <c r="AW34" s="220">
        <f t="shared" si="33"/>
        <v>4</v>
      </c>
      <c r="AX34" s="437"/>
    </row>
    <row r="35" spans="2:50">
      <c r="B35" s="438"/>
      <c r="C35" s="220">
        <v>6</v>
      </c>
      <c r="D35" s="220" t="s">
        <v>374</v>
      </c>
      <c r="E35" s="221">
        <f>VLOOKUP(D35,'11產線配置圖'!$A$2:$C$25,2,0)</f>
        <v>14</v>
      </c>
      <c r="F35" s="221">
        <f>VLOOKUP(D35,'11產線配置圖'!$A$2:$C$25,3,0)</f>
        <v>1895</v>
      </c>
      <c r="G35" s="222">
        <f t="shared" si="20"/>
        <v>135.35714285714286</v>
      </c>
      <c r="H35" s="440"/>
      <c r="I35" s="221">
        <f t="shared" si="21"/>
        <v>17</v>
      </c>
      <c r="J35" s="221">
        <f t="shared" si="21"/>
        <v>1599.8571428571429</v>
      </c>
      <c r="K35" s="222">
        <f t="shared" si="21"/>
        <v>94.109243697478988</v>
      </c>
      <c r="L35" s="440"/>
      <c r="M35" s="223">
        <f>RANK(K35, K$30:$K$47)</f>
        <v>5</v>
      </c>
      <c r="N35" s="445"/>
      <c r="O35" s="445"/>
      <c r="P35" s="221">
        <v>17</v>
      </c>
      <c r="Q35" s="221">
        <v>1525</v>
      </c>
      <c r="R35" s="222">
        <f>Q35/P35</f>
        <v>89.705882352941174</v>
      </c>
      <c r="S35" s="220">
        <f t="shared" si="23"/>
        <v>6</v>
      </c>
      <c r="T35" s="437"/>
      <c r="U35" s="221">
        <v>17</v>
      </c>
      <c r="V35" s="221">
        <v>1612</v>
      </c>
      <c r="W35" s="222">
        <f t="shared" si="24"/>
        <v>94.82352941176471</v>
      </c>
      <c r="X35" s="220">
        <f t="shared" si="25"/>
        <v>5</v>
      </c>
      <c r="Y35" s="437"/>
      <c r="Z35" s="221">
        <v>17</v>
      </c>
      <c r="AA35" s="221">
        <v>1773</v>
      </c>
      <c r="AB35" s="222">
        <f t="shared" si="26"/>
        <v>104.29411764705883</v>
      </c>
      <c r="AC35" s="220">
        <f t="shared" si="27"/>
        <v>5</v>
      </c>
      <c r="AD35" s="437"/>
      <c r="AE35" s="221">
        <v>17</v>
      </c>
      <c r="AF35" s="221">
        <v>1623</v>
      </c>
      <c r="AG35" s="222">
        <f t="shared" si="28"/>
        <v>95.470588235294116</v>
      </c>
      <c r="AH35" s="220">
        <f t="shared" si="29"/>
        <v>5</v>
      </c>
      <c r="AI35" s="437"/>
      <c r="AJ35" s="221">
        <v>17</v>
      </c>
      <c r="AK35" s="221">
        <v>1621</v>
      </c>
      <c r="AL35" s="222">
        <f t="shared" si="30"/>
        <v>95.352941176470594</v>
      </c>
      <c r="AM35" s="220">
        <f t="shared" si="31"/>
        <v>5</v>
      </c>
      <c r="AN35" s="437"/>
      <c r="AO35" s="221">
        <v>17</v>
      </c>
      <c r="AP35" s="221">
        <v>1288</v>
      </c>
      <c r="AQ35" s="222">
        <f t="shared" si="34"/>
        <v>75.764705882352942</v>
      </c>
      <c r="AR35" s="220">
        <f t="shared" si="35"/>
        <v>11</v>
      </c>
      <c r="AS35" s="437"/>
      <c r="AT35" s="221">
        <v>17</v>
      </c>
      <c r="AU35" s="221">
        <v>1757</v>
      </c>
      <c r="AV35" s="222">
        <f t="shared" si="32"/>
        <v>103.35294117647059</v>
      </c>
      <c r="AW35" s="220">
        <f t="shared" si="33"/>
        <v>5</v>
      </c>
      <c r="AX35" s="437"/>
    </row>
    <row r="36" spans="2:50">
      <c r="B36" s="438"/>
      <c r="C36" s="220">
        <v>7</v>
      </c>
      <c r="D36" s="220" t="s">
        <v>136</v>
      </c>
      <c r="E36" s="221">
        <f>VLOOKUP(D36,'11產線配置圖'!$A$2:$C$25,2,0)</f>
        <v>17</v>
      </c>
      <c r="F36" s="221">
        <f>VLOOKUP(D36,'11產線配置圖'!$A$2:$C$25,3,0)</f>
        <v>1385</v>
      </c>
      <c r="G36" s="222">
        <f t="shared" si="20"/>
        <v>81.470588235294116</v>
      </c>
      <c r="H36" s="440"/>
      <c r="I36" s="221">
        <f t="shared" si="21"/>
        <v>14.285714285714286</v>
      </c>
      <c r="J36" s="221">
        <f t="shared" si="21"/>
        <v>1090.1428571428571</v>
      </c>
      <c r="K36" s="222">
        <f t="shared" si="21"/>
        <v>76.508581894296185</v>
      </c>
      <c r="L36" s="440"/>
      <c r="M36" s="223">
        <f>RANK(K36, K$30:$K$47)</f>
        <v>10</v>
      </c>
      <c r="N36" s="445"/>
      <c r="O36" s="445"/>
      <c r="P36" s="221">
        <v>14</v>
      </c>
      <c r="Q36" s="221">
        <v>934</v>
      </c>
      <c r="R36" s="222">
        <f t="shared" si="22"/>
        <v>66.714285714285708</v>
      </c>
      <c r="S36" s="220">
        <f t="shared" si="23"/>
        <v>10</v>
      </c>
      <c r="T36" s="437"/>
      <c r="U36" s="221">
        <v>15</v>
      </c>
      <c r="V36" s="221">
        <v>907</v>
      </c>
      <c r="W36" s="222">
        <f t="shared" si="24"/>
        <v>60.466666666666669</v>
      </c>
      <c r="X36" s="220">
        <f t="shared" si="25"/>
        <v>12</v>
      </c>
      <c r="Y36" s="437"/>
      <c r="Z36" s="221">
        <v>15</v>
      </c>
      <c r="AA36" s="221">
        <v>1112</v>
      </c>
      <c r="AB36" s="222">
        <f t="shared" si="26"/>
        <v>74.13333333333334</v>
      </c>
      <c r="AC36" s="220">
        <f t="shared" si="27"/>
        <v>9</v>
      </c>
      <c r="AD36" s="437"/>
      <c r="AE36" s="221">
        <v>15</v>
      </c>
      <c r="AF36" s="221">
        <v>1183</v>
      </c>
      <c r="AG36" s="222">
        <f t="shared" si="28"/>
        <v>78.86666666666666</v>
      </c>
      <c r="AH36" s="220">
        <f t="shared" si="29"/>
        <v>9</v>
      </c>
      <c r="AI36" s="437"/>
      <c r="AJ36" s="221">
        <v>13</v>
      </c>
      <c r="AK36" s="221">
        <v>1044</v>
      </c>
      <c r="AL36" s="222">
        <f t="shared" si="30"/>
        <v>80.307692307692307</v>
      </c>
      <c r="AM36" s="220">
        <f t="shared" si="31"/>
        <v>9</v>
      </c>
      <c r="AN36" s="437"/>
      <c r="AO36" s="221">
        <v>14</v>
      </c>
      <c r="AP36" s="221">
        <v>1199</v>
      </c>
      <c r="AQ36" s="222">
        <f t="shared" si="34"/>
        <v>85.642857142857139</v>
      </c>
      <c r="AR36" s="220">
        <f t="shared" si="35"/>
        <v>8</v>
      </c>
      <c r="AS36" s="437"/>
      <c r="AT36" s="221">
        <v>14</v>
      </c>
      <c r="AU36" s="221">
        <v>1252</v>
      </c>
      <c r="AV36" s="222">
        <f t="shared" si="32"/>
        <v>89.428571428571431</v>
      </c>
      <c r="AW36" s="220">
        <f t="shared" si="33"/>
        <v>6</v>
      </c>
      <c r="AX36" s="437"/>
    </row>
    <row r="37" spans="2:50">
      <c r="B37" s="438"/>
      <c r="C37" s="220">
        <v>8</v>
      </c>
      <c r="D37" s="220" t="s">
        <v>86</v>
      </c>
      <c r="E37" s="221">
        <f>VLOOKUP(D37,'11產線配置圖'!$A$2:$C$25,2,0)</f>
        <v>18</v>
      </c>
      <c r="F37" s="221">
        <f>VLOOKUP(D37,'11產線配置圖'!$A$2:$C$25,3,0)</f>
        <v>1385</v>
      </c>
      <c r="G37" s="222">
        <f t="shared" si="20"/>
        <v>76.944444444444443</v>
      </c>
      <c r="H37" s="440"/>
      <c r="I37" s="221">
        <f t="shared" si="21"/>
        <v>15.142857142857142</v>
      </c>
      <c r="J37" s="221">
        <f t="shared" si="21"/>
        <v>1015.7142857142857</v>
      </c>
      <c r="K37" s="222">
        <f t="shared" si="21"/>
        <v>67.339159253444947</v>
      </c>
      <c r="L37" s="440"/>
      <c r="M37" s="223">
        <f>RANK(K37, K$30:$K$47)</f>
        <v>12</v>
      </c>
      <c r="N37" s="445"/>
      <c r="O37" s="445"/>
      <c r="P37" s="221">
        <v>16</v>
      </c>
      <c r="Q37" s="221">
        <v>1063</v>
      </c>
      <c r="R37" s="222">
        <f t="shared" si="22"/>
        <v>66.4375</v>
      </c>
      <c r="S37" s="220">
        <f t="shared" si="23"/>
        <v>11</v>
      </c>
      <c r="T37" s="437"/>
      <c r="U37" s="221">
        <v>16</v>
      </c>
      <c r="V37" s="221">
        <v>929</v>
      </c>
      <c r="W37" s="222">
        <f t="shared" si="24"/>
        <v>58.0625</v>
      </c>
      <c r="X37" s="220">
        <f t="shared" si="25"/>
        <v>13</v>
      </c>
      <c r="Y37" s="437"/>
      <c r="Z37" s="221">
        <v>13</v>
      </c>
      <c r="AA37" s="221">
        <v>944</v>
      </c>
      <c r="AB37" s="222">
        <f t="shared" si="26"/>
        <v>72.615384615384613</v>
      </c>
      <c r="AC37" s="220">
        <f t="shared" si="27"/>
        <v>11</v>
      </c>
      <c r="AD37" s="437"/>
      <c r="AE37" s="221">
        <v>18</v>
      </c>
      <c r="AF37" s="221">
        <v>1187</v>
      </c>
      <c r="AG37" s="222">
        <f t="shared" si="28"/>
        <v>65.944444444444443</v>
      </c>
      <c r="AH37" s="220">
        <f t="shared" si="29"/>
        <v>13</v>
      </c>
      <c r="AI37" s="437"/>
      <c r="AJ37" s="221">
        <v>15</v>
      </c>
      <c r="AK37" s="221">
        <v>1059</v>
      </c>
      <c r="AL37" s="222">
        <f>AK37/AJ37</f>
        <v>70.599999999999994</v>
      </c>
      <c r="AM37" s="220">
        <f>RANK(AL37, $AL$30:$AL$47)</f>
        <v>12</v>
      </c>
      <c r="AN37" s="437"/>
      <c r="AO37" s="221">
        <v>14</v>
      </c>
      <c r="AP37" s="221">
        <v>1023</v>
      </c>
      <c r="AQ37" s="222">
        <f t="shared" si="34"/>
        <v>73.071428571428569</v>
      </c>
      <c r="AR37" s="220">
        <f t="shared" si="35"/>
        <v>12</v>
      </c>
      <c r="AS37" s="437"/>
      <c r="AT37" s="221">
        <v>14</v>
      </c>
      <c r="AU37" s="221">
        <v>905</v>
      </c>
      <c r="AV37" s="222">
        <f t="shared" si="32"/>
        <v>64.642857142857139</v>
      </c>
      <c r="AW37" s="220">
        <f t="shared" si="33"/>
        <v>13</v>
      </c>
      <c r="AX37" s="437"/>
    </row>
    <row r="38" spans="2:50">
      <c r="B38" s="438"/>
      <c r="C38" s="220">
        <v>9</v>
      </c>
      <c r="D38" s="220" t="s">
        <v>190</v>
      </c>
      <c r="E38" s="221">
        <f>VLOOKUP(D38,'11產線配置圖'!$A$2:$C$25,2,0)</f>
        <v>17</v>
      </c>
      <c r="F38" s="221">
        <f>VLOOKUP(D38,'11產線配置圖'!$A$2:$C$25,3,0)</f>
        <v>1565</v>
      </c>
      <c r="G38" s="222">
        <f t="shared" si="20"/>
        <v>92.058823529411768</v>
      </c>
      <c r="H38" s="440"/>
      <c r="I38" s="221">
        <f t="shared" si="21"/>
        <v>15.571428571428571</v>
      </c>
      <c r="J38" s="221">
        <f t="shared" si="21"/>
        <v>1203.2857142857142</v>
      </c>
      <c r="K38" s="222">
        <f t="shared" si="21"/>
        <v>77.214875950380147</v>
      </c>
      <c r="L38" s="440"/>
      <c r="M38" s="223">
        <f>RANK(K38, K$30:$K$47)</f>
        <v>8</v>
      </c>
      <c r="N38" s="445"/>
      <c r="O38" s="445"/>
      <c r="P38" s="221">
        <v>16</v>
      </c>
      <c r="Q38" s="221">
        <v>1304</v>
      </c>
      <c r="R38" s="222">
        <f t="shared" si="22"/>
        <v>81.5</v>
      </c>
      <c r="S38" s="220">
        <f t="shared" si="23"/>
        <v>8</v>
      </c>
      <c r="T38" s="437"/>
      <c r="U38" s="221">
        <v>16</v>
      </c>
      <c r="V38" s="221">
        <v>972</v>
      </c>
      <c r="W38" s="222">
        <f t="shared" si="24"/>
        <v>60.75</v>
      </c>
      <c r="X38" s="220">
        <f t="shared" si="25"/>
        <v>11</v>
      </c>
      <c r="Y38" s="437"/>
      <c r="Z38" s="221">
        <v>15</v>
      </c>
      <c r="AA38" s="221">
        <v>1071</v>
      </c>
      <c r="AB38" s="222">
        <f t="shared" si="26"/>
        <v>71.400000000000006</v>
      </c>
      <c r="AC38" s="220">
        <f t="shared" si="27"/>
        <v>12</v>
      </c>
      <c r="AD38" s="437"/>
      <c r="AE38" s="221">
        <v>15</v>
      </c>
      <c r="AF38" s="221">
        <v>1121</v>
      </c>
      <c r="AG38" s="222">
        <f t="shared" si="28"/>
        <v>74.733333333333334</v>
      </c>
      <c r="AH38" s="220">
        <f t="shared" si="29"/>
        <v>10</v>
      </c>
      <c r="AI38" s="437"/>
      <c r="AJ38" s="221">
        <v>14</v>
      </c>
      <c r="AK38" s="221">
        <v>1164</v>
      </c>
      <c r="AL38" s="222">
        <f t="shared" si="30"/>
        <v>83.142857142857139</v>
      </c>
      <c r="AM38" s="220">
        <f t="shared" si="31"/>
        <v>7</v>
      </c>
      <c r="AN38" s="437"/>
      <c r="AO38" s="221">
        <v>17</v>
      </c>
      <c r="AP38" s="221">
        <v>1485</v>
      </c>
      <c r="AQ38" s="222">
        <f t="shared" si="34"/>
        <v>87.352941176470594</v>
      </c>
      <c r="AR38" s="220">
        <f t="shared" si="35"/>
        <v>5</v>
      </c>
      <c r="AS38" s="437"/>
      <c r="AT38" s="221">
        <v>16</v>
      </c>
      <c r="AU38" s="221">
        <v>1306</v>
      </c>
      <c r="AV38" s="222">
        <f t="shared" si="32"/>
        <v>81.625</v>
      </c>
      <c r="AW38" s="220">
        <f t="shared" si="33"/>
        <v>9</v>
      </c>
      <c r="AX38" s="437"/>
    </row>
    <row r="39" spans="2:50">
      <c r="B39" s="438"/>
      <c r="C39" s="220">
        <v>10</v>
      </c>
      <c r="D39" s="220" t="s">
        <v>88</v>
      </c>
      <c r="E39" s="221">
        <f>VLOOKUP(D39,'11產線配置圖'!$A$2:$C$25,2,0)</f>
        <v>17</v>
      </c>
      <c r="F39" s="221">
        <f>VLOOKUP(D39,'11產線配置圖'!$A$2:$C$25,3,0)</f>
        <v>1500</v>
      </c>
      <c r="G39" s="222">
        <f t="shared" si="20"/>
        <v>88.235294117647058</v>
      </c>
      <c r="H39" s="440"/>
      <c r="I39" s="221">
        <f t="shared" si="21"/>
        <v>17.714285714285715</v>
      </c>
      <c r="J39" s="221">
        <f t="shared" si="21"/>
        <v>1359.8571428571429</v>
      </c>
      <c r="K39" s="222">
        <f t="shared" si="21"/>
        <v>76.800638237751244</v>
      </c>
      <c r="L39" s="440"/>
      <c r="M39" s="223">
        <f>RANK(K39, K$30:$K$47)</f>
        <v>9</v>
      </c>
      <c r="N39" s="445"/>
      <c r="O39" s="445"/>
      <c r="P39" s="221">
        <v>18</v>
      </c>
      <c r="Q39" s="221">
        <v>1244</v>
      </c>
      <c r="R39" s="222">
        <f t="shared" si="22"/>
        <v>69.111111111111114</v>
      </c>
      <c r="S39" s="220">
        <f t="shared" si="23"/>
        <v>9</v>
      </c>
      <c r="T39" s="437"/>
      <c r="U39" s="221">
        <v>17</v>
      </c>
      <c r="V39" s="221">
        <v>1312</v>
      </c>
      <c r="W39" s="222">
        <f t="shared" si="24"/>
        <v>77.17647058823529</v>
      </c>
      <c r="X39" s="220">
        <f t="shared" si="25"/>
        <v>8</v>
      </c>
      <c r="Y39" s="437"/>
      <c r="Z39" s="221">
        <v>16</v>
      </c>
      <c r="AA39" s="221">
        <v>1233</v>
      </c>
      <c r="AB39" s="222">
        <f t="shared" si="26"/>
        <v>77.0625</v>
      </c>
      <c r="AC39" s="220">
        <f t="shared" si="27"/>
        <v>8</v>
      </c>
      <c r="AD39" s="437"/>
      <c r="AE39" s="221">
        <v>18</v>
      </c>
      <c r="AF39" s="221">
        <v>1455</v>
      </c>
      <c r="AG39" s="222">
        <f t="shared" si="28"/>
        <v>80.833333333333329</v>
      </c>
      <c r="AH39" s="220">
        <f t="shared" si="29"/>
        <v>8</v>
      </c>
      <c r="AI39" s="437"/>
      <c r="AJ39" s="221">
        <v>17</v>
      </c>
      <c r="AK39" s="221">
        <v>1360</v>
      </c>
      <c r="AL39" s="222">
        <f t="shared" si="30"/>
        <v>80</v>
      </c>
      <c r="AM39" s="220">
        <f t="shared" si="31"/>
        <v>10</v>
      </c>
      <c r="AN39" s="437"/>
      <c r="AO39" s="221">
        <v>19</v>
      </c>
      <c r="AP39" s="221">
        <v>1556</v>
      </c>
      <c r="AQ39" s="222">
        <f t="shared" si="34"/>
        <v>81.89473684210526</v>
      </c>
      <c r="AR39" s="220">
        <f t="shared" si="35"/>
        <v>10</v>
      </c>
      <c r="AS39" s="437"/>
      <c r="AT39" s="221">
        <v>19</v>
      </c>
      <c r="AU39" s="221">
        <v>1359</v>
      </c>
      <c r="AV39" s="222">
        <f t="shared" si="32"/>
        <v>71.526315789473685</v>
      </c>
      <c r="AW39" s="220">
        <f t="shared" si="33"/>
        <v>12</v>
      </c>
      <c r="AX39" s="437"/>
    </row>
    <row r="40" spans="2:50">
      <c r="B40" s="438"/>
      <c r="C40" s="220">
        <v>11</v>
      </c>
      <c r="D40" s="220" t="s">
        <v>377</v>
      </c>
      <c r="E40" s="221">
        <f>VLOOKUP(D40,'11產線配置圖'!$A$2:$C$25,2,0)</f>
        <v>15</v>
      </c>
      <c r="F40" s="221">
        <f>VLOOKUP(D40,'11產線配置圖'!$A$2:$C$25,3,0)</f>
        <v>1440</v>
      </c>
      <c r="G40" s="222">
        <f t="shared" si="20"/>
        <v>96</v>
      </c>
      <c r="H40" s="440"/>
      <c r="I40" s="221">
        <f t="shared" si="21"/>
        <v>14</v>
      </c>
      <c r="J40" s="221">
        <f t="shared" si="21"/>
        <v>927.14285714285711</v>
      </c>
      <c r="K40" s="222">
        <f t="shared" si="21"/>
        <v>66.424803767660919</v>
      </c>
      <c r="L40" s="440"/>
      <c r="M40" s="223">
        <f>RANK(K40, K$30:$K$47)</f>
        <v>13</v>
      </c>
      <c r="N40" s="445"/>
      <c r="O40" s="445"/>
      <c r="P40" s="220">
        <v>14</v>
      </c>
      <c r="Q40" s="220">
        <v>814</v>
      </c>
      <c r="R40" s="222">
        <f>Q40/P40</f>
        <v>58.142857142857146</v>
      </c>
      <c r="S40" s="220">
        <f t="shared" si="23"/>
        <v>12</v>
      </c>
      <c r="T40" s="437"/>
      <c r="U40" s="220">
        <v>15</v>
      </c>
      <c r="V40" s="220">
        <v>924</v>
      </c>
      <c r="W40" s="222">
        <f>V40/U40</f>
        <v>61.6</v>
      </c>
      <c r="X40" s="220">
        <f t="shared" si="25"/>
        <v>10</v>
      </c>
      <c r="Y40" s="437"/>
      <c r="Z40" s="220">
        <v>15</v>
      </c>
      <c r="AA40" s="220">
        <v>963</v>
      </c>
      <c r="AB40" s="222">
        <f>AA40/Z40</f>
        <v>64.2</v>
      </c>
      <c r="AC40" s="220">
        <f t="shared" si="27"/>
        <v>13</v>
      </c>
      <c r="AD40" s="437"/>
      <c r="AE40" s="220">
        <v>15</v>
      </c>
      <c r="AF40" s="220">
        <v>1017</v>
      </c>
      <c r="AG40" s="222">
        <f>AF40/AE40</f>
        <v>67.8</v>
      </c>
      <c r="AH40" s="220">
        <f t="shared" si="29"/>
        <v>12</v>
      </c>
      <c r="AI40" s="437"/>
      <c r="AJ40" s="220">
        <v>13</v>
      </c>
      <c r="AK40" s="220">
        <v>842</v>
      </c>
      <c r="AL40" s="222">
        <f>AK40/AJ40</f>
        <v>64.769230769230774</v>
      </c>
      <c r="AM40" s="220">
        <f t="shared" si="31"/>
        <v>13</v>
      </c>
      <c r="AN40" s="437"/>
      <c r="AO40" s="220">
        <v>13</v>
      </c>
      <c r="AP40" s="220">
        <v>862</v>
      </c>
      <c r="AQ40" s="222">
        <f t="shared" si="34"/>
        <v>66.307692307692307</v>
      </c>
      <c r="AR40" s="220">
        <f t="shared" si="35"/>
        <v>13</v>
      </c>
      <c r="AS40" s="437"/>
      <c r="AT40" s="220">
        <v>13</v>
      </c>
      <c r="AU40" s="220">
        <v>1068</v>
      </c>
      <c r="AV40" s="222">
        <f t="shared" si="32"/>
        <v>82.15384615384616</v>
      </c>
      <c r="AW40" s="220">
        <f t="shared" si="33"/>
        <v>8</v>
      </c>
      <c r="AX40" s="437"/>
    </row>
    <row r="41" spans="2:50">
      <c r="B41" s="438"/>
      <c r="C41" s="220">
        <v>12</v>
      </c>
      <c r="D41" s="220" t="s">
        <v>78</v>
      </c>
      <c r="E41" s="221">
        <f>VLOOKUP(D41,'11產線配置圖'!$A$2:$C$25,2,0)</f>
        <v>16</v>
      </c>
      <c r="F41" s="221">
        <f>VLOOKUP(D41,'11產線配置圖'!$A$2:$C$25,3,0)</f>
        <v>1385</v>
      </c>
      <c r="G41" s="222">
        <f t="shared" si="20"/>
        <v>86.5625</v>
      </c>
      <c r="H41" s="440"/>
      <c r="I41" s="221">
        <f t="shared" si="21"/>
        <v>15.571428571428571</v>
      </c>
      <c r="J41" s="221">
        <f t="shared" si="21"/>
        <v>1305.8571428571429</v>
      </c>
      <c r="K41" s="222">
        <f t="shared" si="21"/>
        <v>83.968447378951581</v>
      </c>
      <c r="L41" s="440"/>
      <c r="M41" s="223">
        <f>RANK(K41, K$30:$K$47)</f>
        <v>7</v>
      </c>
      <c r="N41" s="445"/>
      <c r="O41" s="445"/>
      <c r="P41" s="220">
        <v>15</v>
      </c>
      <c r="Q41" s="220">
        <v>1369</v>
      </c>
      <c r="R41" s="222">
        <f>Q41/P41</f>
        <v>91.266666666666666</v>
      </c>
      <c r="S41" s="220">
        <f t="shared" si="23"/>
        <v>5</v>
      </c>
      <c r="T41" s="437"/>
      <c r="U41" s="220">
        <v>16</v>
      </c>
      <c r="V41" s="220">
        <v>1302</v>
      </c>
      <c r="W41" s="222">
        <f>V41/U41</f>
        <v>81.375</v>
      </c>
      <c r="X41" s="220">
        <f t="shared" si="25"/>
        <v>7</v>
      </c>
      <c r="Y41" s="437"/>
      <c r="Z41" s="220">
        <v>16</v>
      </c>
      <c r="AA41" s="220">
        <v>1310</v>
      </c>
      <c r="AB41" s="222">
        <f>AA41/Z41</f>
        <v>81.875</v>
      </c>
      <c r="AC41" s="220">
        <f t="shared" si="27"/>
        <v>7</v>
      </c>
      <c r="AD41" s="437"/>
      <c r="AE41" s="220">
        <v>17</v>
      </c>
      <c r="AF41" s="220">
        <v>1485</v>
      </c>
      <c r="AG41" s="222">
        <f>AF41/AE41</f>
        <v>87.352941176470594</v>
      </c>
      <c r="AH41" s="220">
        <f t="shared" si="29"/>
        <v>6</v>
      </c>
      <c r="AI41" s="437"/>
      <c r="AJ41" s="220">
        <v>16</v>
      </c>
      <c r="AK41" s="220">
        <v>1176</v>
      </c>
      <c r="AL41" s="222">
        <f>AK41/AJ41</f>
        <v>73.5</v>
      </c>
      <c r="AM41" s="220">
        <f t="shared" si="31"/>
        <v>11</v>
      </c>
      <c r="AN41" s="437"/>
      <c r="AO41" s="220">
        <v>14</v>
      </c>
      <c r="AP41" s="220">
        <v>1220</v>
      </c>
      <c r="AQ41" s="222">
        <f t="shared" si="34"/>
        <v>87.142857142857139</v>
      </c>
      <c r="AR41" s="220">
        <f t="shared" si="35"/>
        <v>6</v>
      </c>
      <c r="AS41" s="437"/>
      <c r="AT41" s="220">
        <v>15</v>
      </c>
      <c r="AU41" s="220">
        <v>1279</v>
      </c>
      <c r="AV41" s="222">
        <f t="shared" si="32"/>
        <v>85.266666666666666</v>
      </c>
      <c r="AW41" s="220">
        <f t="shared" si="33"/>
        <v>7</v>
      </c>
      <c r="AX41" s="437"/>
    </row>
    <row r="42" spans="2:50">
      <c r="B42" s="438"/>
      <c r="C42" s="220">
        <v>13</v>
      </c>
      <c r="D42" s="220" t="s">
        <v>120</v>
      </c>
      <c r="E42" s="221">
        <f>VLOOKUP(D42,'11產線配置圖'!$A$2:$C$25,2,0)</f>
        <v>15</v>
      </c>
      <c r="F42" s="221">
        <f>VLOOKUP(D42,'11產線配置圖'!$A$2:$C$25,3,0)</f>
        <v>1636</v>
      </c>
      <c r="G42" s="222">
        <f>F42/E42</f>
        <v>109.06666666666666</v>
      </c>
      <c r="H42" s="440"/>
      <c r="I42" s="221">
        <f>AVERAGE(P42,U42,Z42,AE42,AJ42,AO42,AT42)</f>
        <v>14.714285714285714</v>
      </c>
      <c r="J42" s="221">
        <f>AVERAGE(Q42,V42,AA42,AF42,AK42,AP42,AU42)</f>
        <v>1051.4285714285713</v>
      </c>
      <c r="K42" s="222">
        <f>AVERAGE(R42,W42,AB42,AG42,AL42,AQ42,AV42)</f>
        <v>71.778754578754587</v>
      </c>
      <c r="L42" s="440"/>
      <c r="M42" s="223">
        <f>RANK(K42, K$30:$K$47)</f>
        <v>11</v>
      </c>
      <c r="N42" s="445"/>
      <c r="O42" s="445"/>
      <c r="P42" s="220">
        <v>15</v>
      </c>
      <c r="Q42" s="220">
        <v>541</v>
      </c>
      <c r="R42" s="222">
        <f>Q42/P42</f>
        <v>36.06666666666667</v>
      </c>
      <c r="S42" s="220">
        <f>RANK(R42,$R$30:$R$47)</f>
        <v>13</v>
      </c>
      <c r="T42" s="437"/>
      <c r="U42" s="220">
        <v>15</v>
      </c>
      <c r="V42" s="220">
        <v>966</v>
      </c>
      <c r="W42" s="222">
        <f>V42/U42</f>
        <v>64.400000000000006</v>
      </c>
      <c r="X42" s="220">
        <f>RANK(W42, $W$30:$W$47)</f>
        <v>9</v>
      </c>
      <c r="Y42" s="437"/>
      <c r="Z42" s="220">
        <v>15</v>
      </c>
      <c r="AA42" s="220">
        <v>1104</v>
      </c>
      <c r="AB42" s="222">
        <f>AA42/Z42</f>
        <v>73.599999999999994</v>
      </c>
      <c r="AC42" s="220">
        <f>RANK(AB42, $AB$30:$AB$47)</f>
        <v>10</v>
      </c>
      <c r="AD42" s="437"/>
      <c r="AE42" s="220">
        <v>15</v>
      </c>
      <c r="AF42" s="220">
        <v>1120</v>
      </c>
      <c r="AG42" s="222">
        <f>AF42/AE42</f>
        <v>74.666666666666671</v>
      </c>
      <c r="AH42" s="220">
        <f>RANK(AG42, $AG$30:$AG$47)</f>
        <v>11</v>
      </c>
      <c r="AI42" s="437"/>
      <c r="AJ42" s="220">
        <v>13</v>
      </c>
      <c r="AK42" s="220">
        <v>1149</v>
      </c>
      <c r="AL42" s="222">
        <f>AK42/AJ42</f>
        <v>88.384615384615387</v>
      </c>
      <c r="AM42" s="220">
        <f>RANK(AL42, $AL$30:$AL$47)</f>
        <v>6</v>
      </c>
      <c r="AN42" s="437"/>
      <c r="AO42" s="220">
        <v>15</v>
      </c>
      <c r="AP42" s="220">
        <v>1257</v>
      </c>
      <c r="AQ42" s="222">
        <f>AP42/AO42</f>
        <v>83.8</v>
      </c>
      <c r="AR42" s="220">
        <f>RANK(AQ42,$AQ$30:$AQ$47)</f>
        <v>9</v>
      </c>
      <c r="AS42" s="437"/>
      <c r="AT42" s="220">
        <v>15</v>
      </c>
      <c r="AU42" s="220">
        <v>1223</v>
      </c>
      <c r="AV42" s="222">
        <f>AU42/AT42</f>
        <v>81.533333333333331</v>
      </c>
      <c r="AW42" s="220">
        <f>RANK(AV42, $AV$30:$AV$47)</f>
        <v>10</v>
      </c>
      <c r="AX42" s="437"/>
    </row>
    <row r="43" spans="2:50">
      <c r="B43" s="438"/>
      <c r="C43" s="220">
        <v>14</v>
      </c>
      <c r="D43" s="220"/>
      <c r="E43" s="221"/>
      <c r="F43" s="221"/>
      <c r="G43" s="222"/>
      <c r="H43" s="440"/>
      <c r="I43" s="221"/>
      <c r="J43" s="221"/>
      <c r="K43" s="222"/>
      <c r="L43" s="440"/>
      <c r="M43" s="223"/>
      <c r="N43" s="445"/>
      <c r="O43" s="445"/>
      <c r="P43" s="220"/>
      <c r="Q43" s="220"/>
      <c r="R43" s="222"/>
      <c r="S43" s="220"/>
      <c r="T43" s="437"/>
      <c r="U43" s="220"/>
      <c r="V43" s="220"/>
      <c r="W43" s="222"/>
      <c r="X43" s="220"/>
      <c r="Y43" s="437"/>
      <c r="Z43" s="220"/>
      <c r="AA43" s="220"/>
      <c r="AB43" s="222"/>
      <c r="AC43" s="220"/>
      <c r="AD43" s="437"/>
      <c r="AE43" s="220"/>
      <c r="AF43" s="220"/>
      <c r="AG43" s="222"/>
      <c r="AH43" s="220"/>
      <c r="AI43" s="437"/>
      <c r="AJ43" s="220"/>
      <c r="AK43" s="220"/>
      <c r="AL43" s="222"/>
      <c r="AM43" s="220"/>
      <c r="AN43" s="437"/>
      <c r="AO43" s="220"/>
      <c r="AP43" s="220"/>
      <c r="AQ43" s="222"/>
      <c r="AR43" s="220"/>
      <c r="AS43" s="437"/>
      <c r="AT43" s="220"/>
      <c r="AU43" s="220"/>
      <c r="AV43" s="222"/>
      <c r="AW43" s="220"/>
      <c r="AX43" s="437"/>
    </row>
    <row r="44" spans="2:50">
      <c r="B44" s="438"/>
      <c r="C44" s="220">
        <v>15</v>
      </c>
      <c r="D44" s="220"/>
      <c r="E44" s="221"/>
      <c r="F44" s="221"/>
      <c r="G44" s="222"/>
      <c r="H44" s="440"/>
      <c r="I44" s="220"/>
      <c r="J44" s="221"/>
      <c r="K44" s="222"/>
      <c r="L44" s="440"/>
      <c r="M44" s="221"/>
      <c r="N44" s="445"/>
      <c r="O44" s="445"/>
      <c r="P44" s="220"/>
      <c r="Q44" s="220"/>
      <c r="R44" s="222"/>
      <c r="S44" s="220"/>
      <c r="T44" s="437"/>
      <c r="U44" s="220"/>
      <c r="V44" s="220"/>
      <c r="W44" s="222"/>
      <c r="X44" s="220"/>
      <c r="Y44" s="437"/>
      <c r="Z44" s="220"/>
      <c r="AA44" s="220"/>
      <c r="AB44" s="222"/>
      <c r="AC44" s="220"/>
      <c r="AD44" s="437"/>
      <c r="AE44" s="220"/>
      <c r="AF44" s="220"/>
      <c r="AG44" s="222"/>
      <c r="AH44" s="220"/>
      <c r="AI44" s="437"/>
      <c r="AJ44" s="220"/>
      <c r="AK44" s="220"/>
      <c r="AL44" s="222"/>
      <c r="AM44" s="220"/>
      <c r="AN44" s="437"/>
      <c r="AO44" s="220"/>
      <c r="AP44" s="220"/>
      <c r="AQ44" s="222"/>
      <c r="AR44" s="220"/>
      <c r="AS44" s="437"/>
      <c r="AT44" s="220"/>
      <c r="AU44" s="220"/>
      <c r="AV44" s="222"/>
      <c r="AW44" s="220"/>
      <c r="AX44" s="437"/>
    </row>
    <row r="45" spans="2:50">
      <c r="B45" s="438"/>
      <c r="C45" s="220">
        <v>16</v>
      </c>
      <c r="D45" s="220"/>
      <c r="E45" s="221"/>
      <c r="F45" s="221"/>
      <c r="G45" s="222"/>
      <c r="H45" s="440"/>
      <c r="I45" s="220"/>
      <c r="J45" s="220"/>
      <c r="K45" s="220"/>
      <c r="L45" s="440"/>
      <c r="M45" s="221"/>
      <c r="N45" s="445"/>
      <c r="O45" s="445"/>
      <c r="P45" s="220"/>
      <c r="Q45" s="220"/>
      <c r="R45" s="220"/>
      <c r="S45" s="220"/>
      <c r="T45" s="437"/>
      <c r="U45" s="220"/>
      <c r="V45" s="220"/>
      <c r="W45" s="222"/>
      <c r="X45" s="220"/>
      <c r="Y45" s="437"/>
      <c r="Z45" s="220"/>
      <c r="AA45" s="220"/>
      <c r="AB45" s="220"/>
      <c r="AC45" s="220"/>
      <c r="AD45" s="437"/>
      <c r="AE45" s="220"/>
      <c r="AF45" s="220"/>
      <c r="AG45" s="220"/>
      <c r="AH45" s="220"/>
      <c r="AI45" s="437"/>
      <c r="AJ45" s="220"/>
      <c r="AK45" s="220"/>
      <c r="AL45" s="220"/>
      <c r="AM45" s="220"/>
      <c r="AN45" s="437"/>
      <c r="AO45" s="220"/>
      <c r="AP45" s="220"/>
      <c r="AQ45" s="222"/>
      <c r="AR45" s="220"/>
      <c r="AS45" s="437"/>
      <c r="AT45" s="220"/>
      <c r="AU45" s="220"/>
      <c r="AV45" s="222"/>
      <c r="AW45" s="220"/>
      <c r="AX45" s="437"/>
    </row>
    <row r="46" spans="2:50">
      <c r="B46" s="438"/>
      <c r="C46" s="220">
        <v>17</v>
      </c>
      <c r="D46" s="220"/>
      <c r="E46" s="221"/>
      <c r="F46" s="221"/>
      <c r="G46" s="222"/>
      <c r="H46" s="440"/>
      <c r="I46" s="220"/>
      <c r="J46" s="220"/>
      <c r="K46" s="220"/>
      <c r="L46" s="440"/>
      <c r="M46" s="221"/>
      <c r="N46" s="445"/>
      <c r="O46" s="445"/>
      <c r="P46" s="220"/>
      <c r="Q46" s="220"/>
      <c r="R46" s="220"/>
      <c r="S46" s="220"/>
      <c r="T46" s="437"/>
      <c r="U46" s="220"/>
      <c r="V46" s="220"/>
      <c r="W46" s="222"/>
      <c r="X46" s="220"/>
      <c r="Y46" s="437"/>
      <c r="Z46" s="220"/>
      <c r="AA46" s="220"/>
      <c r="AB46" s="220"/>
      <c r="AC46" s="220"/>
      <c r="AD46" s="437"/>
      <c r="AE46" s="220"/>
      <c r="AF46" s="220"/>
      <c r="AG46" s="220"/>
      <c r="AH46" s="220"/>
      <c r="AI46" s="437"/>
      <c r="AJ46" s="220"/>
      <c r="AK46" s="220"/>
      <c r="AL46" s="220"/>
      <c r="AM46" s="220"/>
      <c r="AN46" s="437"/>
      <c r="AO46" s="220"/>
      <c r="AP46" s="220"/>
      <c r="AQ46" s="220"/>
      <c r="AR46" s="220"/>
      <c r="AS46" s="437"/>
      <c r="AT46" s="220"/>
      <c r="AU46" s="220"/>
      <c r="AV46" s="222"/>
      <c r="AW46" s="220"/>
      <c r="AX46" s="437"/>
    </row>
    <row r="47" spans="2:50">
      <c r="B47" s="438"/>
      <c r="C47" s="220">
        <v>18</v>
      </c>
      <c r="D47" s="220"/>
      <c r="E47" s="221"/>
      <c r="F47" s="221"/>
      <c r="G47" s="222"/>
      <c r="H47" s="441"/>
      <c r="I47" s="220"/>
      <c r="J47" s="220"/>
      <c r="K47" s="220"/>
      <c r="L47" s="441"/>
      <c r="M47" s="221"/>
      <c r="N47" s="445"/>
      <c r="O47" s="445"/>
      <c r="P47" s="220"/>
      <c r="Q47" s="220"/>
      <c r="R47" s="220"/>
      <c r="S47" s="220"/>
      <c r="T47" s="437"/>
      <c r="U47" s="220"/>
      <c r="V47" s="220"/>
      <c r="W47" s="222"/>
      <c r="X47" s="220"/>
      <c r="Y47" s="437"/>
      <c r="Z47" s="220"/>
      <c r="AA47" s="220"/>
      <c r="AB47" s="220"/>
      <c r="AC47" s="220"/>
      <c r="AD47" s="437"/>
      <c r="AE47" s="220"/>
      <c r="AF47" s="220"/>
      <c r="AG47" s="220"/>
      <c r="AH47" s="220"/>
      <c r="AI47" s="437"/>
      <c r="AJ47" s="220"/>
      <c r="AK47" s="220"/>
      <c r="AL47" s="220"/>
      <c r="AM47" s="220"/>
      <c r="AN47" s="437"/>
      <c r="AO47" s="220"/>
      <c r="AP47" s="220"/>
      <c r="AQ47" s="220"/>
      <c r="AR47" s="220"/>
      <c r="AS47" s="437"/>
      <c r="AT47" s="220"/>
      <c r="AU47" s="220"/>
      <c r="AV47" s="222"/>
      <c r="AW47" s="220"/>
      <c r="AX47" s="437"/>
    </row>
    <row r="48" spans="2:50" ht="15.5">
      <c r="B48" s="457" t="s">
        <v>44</v>
      </c>
      <c r="C48" s="458"/>
      <c r="D48" s="458"/>
      <c r="E48" s="458"/>
      <c r="F48" s="458"/>
      <c r="G48" s="458"/>
      <c r="H48" s="458"/>
      <c r="I48" s="225"/>
      <c r="J48" s="214"/>
      <c r="K48" s="225"/>
      <c r="L48" s="225"/>
      <c r="M48" s="215"/>
      <c r="N48" s="450" t="s">
        <v>45</v>
      </c>
      <c r="O48" s="450" t="s">
        <v>3</v>
      </c>
      <c r="P48" s="453">
        <v>46000</v>
      </c>
      <c r="Q48" s="438"/>
      <c r="R48" s="438"/>
      <c r="S48" s="438"/>
      <c r="T48" s="438"/>
      <c r="U48" s="453">
        <v>46001</v>
      </c>
      <c r="V48" s="438"/>
      <c r="W48" s="438"/>
      <c r="X48" s="438"/>
      <c r="Y48" s="438"/>
      <c r="Z48" s="453">
        <v>46002</v>
      </c>
      <c r="AA48" s="438"/>
      <c r="AB48" s="438"/>
      <c r="AC48" s="438"/>
      <c r="AD48" s="438"/>
      <c r="AE48" s="453">
        <v>46003</v>
      </c>
      <c r="AF48" s="438"/>
      <c r="AG48" s="438"/>
      <c r="AH48" s="438"/>
      <c r="AI48" s="438"/>
      <c r="AJ48" s="453">
        <v>46004</v>
      </c>
      <c r="AK48" s="438"/>
      <c r="AL48" s="438"/>
      <c r="AM48" s="438"/>
      <c r="AN48" s="438"/>
      <c r="AO48" s="453">
        <v>46005</v>
      </c>
      <c r="AP48" s="438"/>
      <c r="AQ48" s="438"/>
      <c r="AR48" s="438"/>
      <c r="AS48" s="438"/>
      <c r="AT48" s="453">
        <v>46006</v>
      </c>
      <c r="AU48" s="438"/>
      <c r="AV48" s="438"/>
      <c r="AW48" s="438"/>
      <c r="AX48" s="438"/>
    </row>
    <row r="49" spans="2:50" ht="15.5">
      <c r="B49" s="456"/>
      <c r="C49" s="456"/>
      <c r="D49" s="456"/>
      <c r="E49" s="456"/>
      <c r="F49" s="456"/>
      <c r="G49" s="456"/>
      <c r="H49" s="456"/>
      <c r="I49" s="216"/>
      <c r="J49" s="216"/>
      <c r="K49" s="216"/>
      <c r="L49" s="216"/>
      <c r="M49" s="217"/>
      <c r="N49" s="452"/>
      <c r="O49" s="452"/>
      <c r="P49" s="453" t="s">
        <v>15</v>
      </c>
      <c r="Q49" s="438"/>
      <c r="R49" s="438"/>
      <c r="S49" s="438"/>
      <c r="T49" s="438"/>
      <c r="U49" s="453" t="s">
        <v>16</v>
      </c>
      <c r="V49" s="438"/>
      <c r="W49" s="438"/>
      <c r="X49" s="438"/>
      <c r="Y49" s="438"/>
      <c r="Z49" s="453" t="s">
        <v>17</v>
      </c>
      <c r="AA49" s="438"/>
      <c r="AB49" s="438"/>
      <c r="AC49" s="438"/>
      <c r="AD49" s="438"/>
      <c r="AE49" s="453" t="s">
        <v>18</v>
      </c>
      <c r="AF49" s="438"/>
      <c r="AG49" s="438"/>
      <c r="AH49" s="438"/>
      <c r="AI49" s="438"/>
      <c r="AJ49" s="453" t="s">
        <v>19</v>
      </c>
      <c r="AK49" s="438"/>
      <c r="AL49" s="438"/>
      <c r="AM49" s="438"/>
      <c r="AN49" s="438"/>
      <c r="AO49" s="453" t="s">
        <v>10</v>
      </c>
      <c r="AP49" s="438"/>
      <c r="AQ49" s="438"/>
      <c r="AR49" s="438"/>
      <c r="AS49" s="438"/>
      <c r="AT49" s="453" t="s">
        <v>14</v>
      </c>
      <c r="AU49" s="438"/>
      <c r="AV49" s="438"/>
      <c r="AW49" s="438"/>
      <c r="AX49" s="438"/>
    </row>
    <row r="50" spans="2:50">
      <c r="B50" s="445" t="s">
        <v>46</v>
      </c>
      <c r="C50" s="445" t="s">
        <v>47</v>
      </c>
      <c r="D50" s="445"/>
      <c r="E50" s="445" t="s">
        <v>48</v>
      </c>
      <c r="F50" s="445"/>
      <c r="G50" s="445"/>
      <c r="H50" s="447" t="s">
        <v>49</v>
      </c>
      <c r="I50" s="445" t="s">
        <v>50</v>
      </c>
      <c r="J50" s="445"/>
      <c r="K50" s="445"/>
      <c r="L50" s="447" t="s">
        <v>49</v>
      </c>
      <c r="M50" s="450" t="s">
        <v>51</v>
      </c>
      <c r="N50" s="445"/>
      <c r="O50" s="445" t="s">
        <v>52</v>
      </c>
      <c r="P50" s="442" t="s">
        <v>53</v>
      </c>
      <c r="Q50" s="443"/>
      <c r="R50" s="443"/>
      <c r="S50" s="444"/>
      <c r="T50" s="445" t="s">
        <v>49</v>
      </c>
      <c r="U50" s="442" t="s">
        <v>53</v>
      </c>
      <c r="V50" s="443"/>
      <c r="W50" s="443"/>
      <c r="X50" s="444"/>
      <c r="Y50" s="445" t="s">
        <v>49</v>
      </c>
      <c r="Z50" s="442" t="s">
        <v>53</v>
      </c>
      <c r="AA50" s="443"/>
      <c r="AB50" s="443"/>
      <c r="AC50" s="444"/>
      <c r="AD50" s="445" t="s">
        <v>49</v>
      </c>
      <c r="AE50" s="442" t="s">
        <v>53</v>
      </c>
      <c r="AF50" s="443"/>
      <c r="AG50" s="443"/>
      <c r="AH50" s="444"/>
      <c r="AI50" s="445" t="s">
        <v>49</v>
      </c>
      <c r="AJ50" s="442" t="s">
        <v>53</v>
      </c>
      <c r="AK50" s="443"/>
      <c r="AL50" s="443"/>
      <c r="AM50" s="444"/>
      <c r="AN50" s="445" t="s">
        <v>49</v>
      </c>
      <c r="AO50" s="442" t="s">
        <v>53</v>
      </c>
      <c r="AP50" s="443"/>
      <c r="AQ50" s="443"/>
      <c r="AR50" s="444"/>
      <c r="AS50" s="445" t="s">
        <v>49</v>
      </c>
      <c r="AT50" s="442" t="s">
        <v>53</v>
      </c>
      <c r="AU50" s="443"/>
      <c r="AV50" s="443"/>
      <c r="AW50" s="444"/>
      <c r="AX50" s="445" t="s">
        <v>49</v>
      </c>
    </row>
    <row r="51" spans="2:50">
      <c r="B51" s="445"/>
      <c r="C51" s="445"/>
      <c r="D51" s="445"/>
      <c r="E51" s="445" t="s">
        <v>54</v>
      </c>
      <c r="F51" s="445"/>
      <c r="G51" s="445"/>
      <c r="H51" s="448"/>
      <c r="I51" s="445" t="s">
        <v>54</v>
      </c>
      <c r="J51" s="445"/>
      <c r="K51" s="445"/>
      <c r="L51" s="448"/>
      <c r="M51" s="451"/>
      <c r="N51" s="445"/>
      <c r="O51" s="445"/>
      <c r="P51" s="442" t="s">
        <v>55</v>
      </c>
      <c r="Q51" s="443"/>
      <c r="R51" s="443"/>
      <c r="S51" s="444"/>
      <c r="T51" s="445"/>
      <c r="U51" s="442" t="s">
        <v>55</v>
      </c>
      <c r="V51" s="443"/>
      <c r="W51" s="443"/>
      <c r="X51" s="444"/>
      <c r="Y51" s="445"/>
      <c r="Z51" s="442" t="s">
        <v>55</v>
      </c>
      <c r="AA51" s="443"/>
      <c r="AB51" s="443"/>
      <c r="AC51" s="444"/>
      <c r="AD51" s="445"/>
      <c r="AE51" s="442" t="s">
        <v>55</v>
      </c>
      <c r="AF51" s="443"/>
      <c r="AG51" s="443"/>
      <c r="AH51" s="444"/>
      <c r="AI51" s="445"/>
      <c r="AJ51" s="442" t="s">
        <v>55</v>
      </c>
      <c r="AK51" s="443"/>
      <c r="AL51" s="443"/>
      <c r="AM51" s="444"/>
      <c r="AN51" s="445"/>
      <c r="AO51" s="442" t="s">
        <v>55</v>
      </c>
      <c r="AP51" s="443"/>
      <c r="AQ51" s="443"/>
      <c r="AR51" s="444"/>
      <c r="AS51" s="445"/>
      <c r="AT51" s="442" t="s">
        <v>55</v>
      </c>
      <c r="AU51" s="443"/>
      <c r="AV51" s="443"/>
      <c r="AW51" s="444"/>
      <c r="AX51" s="445"/>
    </row>
    <row r="52" spans="2:50">
      <c r="B52" s="445"/>
      <c r="C52" s="445"/>
      <c r="D52" s="445"/>
      <c r="E52" s="219" t="s">
        <v>56</v>
      </c>
      <c r="F52" s="219" t="s">
        <v>57</v>
      </c>
      <c r="G52" s="219" t="s">
        <v>58</v>
      </c>
      <c r="H52" s="449"/>
      <c r="I52" s="219" t="s">
        <v>56</v>
      </c>
      <c r="J52" s="219" t="s">
        <v>57</v>
      </c>
      <c r="K52" s="219" t="s">
        <v>58</v>
      </c>
      <c r="L52" s="449"/>
      <c r="M52" s="452"/>
      <c r="N52" s="445"/>
      <c r="O52" s="445"/>
      <c r="P52" s="219" t="s">
        <v>56</v>
      </c>
      <c r="Q52" s="219" t="s">
        <v>57</v>
      </c>
      <c r="R52" s="219" t="s">
        <v>58</v>
      </c>
      <c r="S52" s="219" t="s">
        <v>51</v>
      </c>
      <c r="T52" s="445"/>
      <c r="U52" s="219" t="s">
        <v>56</v>
      </c>
      <c r="V52" s="219" t="s">
        <v>57</v>
      </c>
      <c r="W52" s="219" t="s">
        <v>58</v>
      </c>
      <c r="X52" s="219" t="s">
        <v>51</v>
      </c>
      <c r="Y52" s="445"/>
      <c r="Z52" s="219" t="s">
        <v>56</v>
      </c>
      <c r="AA52" s="219" t="s">
        <v>57</v>
      </c>
      <c r="AB52" s="219" t="s">
        <v>58</v>
      </c>
      <c r="AC52" s="219" t="s">
        <v>51</v>
      </c>
      <c r="AD52" s="445"/>
      <c r="AE52" s="219" t="s">
        <v>56</v>
      </c>
      <c r="AF52" s="219" t="s">
        <v>57</v>
      </c>
      <c r="AG52" s="219" t="s">
        <v>58</v>
      </c>
      <c r="AH52" s="219" t="s">
        <v>51</v>
      </c>
      <c r="AI52" s="445"/>
      <c r="AJ52" s="219" t="s">
        <v>56</v>
      </c>
      <c r="AK52" s="219" t="s">
        <v>57</v>
      </c>
      <c r="AL52" s="219" t="s">
        <v>58</v>
      </c>
      <c r="AM52" s="219" t="s">
        <v>51</v>
      </c>
      <c r="AN52" s="445"/>
      <c r="AO52" s="219" t="s">
        <v>56</v>
      </c>
      <c r="AP52" s="219" t="s">
        <v>57</v>
      </c>
      <c r="AQ52" s="219" t="s">
        <v>58</v>
      </c>
      <c r="AR52" s="219" t="s">
        <v>51</v>
      </c>
      <c r="AS52" s="445"/>
      <c r="AT52" s="219" t="s">
        <v>56</v>
      </c>
      <c r="AU52" s="219" t="s">
        <v>57</v>
      </c>
      <c r="AV52" s="219" t="s">
        <v>58</v>
      </c>
      <c r="AW52" s="219" t="s">
        <v>51</v>
      </c>
      <c r="AX52" s="445"/>
    </row>
    <row r="53" spans="2:50" ht="13">
      <c r="B53" s="438" t="s">
        <v>331</v>
      </c>
      <c r="C53" s="220">
        <v>1</v>
      </c>
      <c r="D53" s="224" t="s">
        <v>74</v>
      </c>
      <c r="E53" s="221">
        <f>VLOOKUP(D53,'11產線配置圖'!$A$2:$C$25,2,0)</f>
        <v>12</v>
      </c>
      <c r="F53" s="221">
        <f>VLOOKUP(D53,'11產線配置圖'!$A$2:$C$25,3,0)</f>
        <v>2000</v>
      </c>
      <c r="G53" s="222">
        <f>F53/E53</f>
        <v>166.66666666666666</v>
      </c>
      <c r="H53" s="439">
        <f>AVERAGE(G53:G67)</f>
        <v>111.16658657052564</v>
      </c>
      <c r="I53" s="221">
        <f>AVERAGE(P53,U53,Z53,AE53,AJ53,AO53,AT53)</f>
        <v>12</v>
      </c>
      <c r="J53" s="221">
        <f>AVERAGE(Q53,V53,AA53,AF53,AK53,AP53,AU53)</f>
        <v>1868.4285714285713</v>
      </c>
      <c r="K53" s="222">
        <f>AVERAGE(R53,W53,AB53,AG53,AL53,AQ53,AV53)</f>
        <v>155.70238095238096</v>
      </c>
      <c r="L53" s="439">
        <f>IFERROR(AVERAGE(K53:K67),"-")</f>
        <v>98.687283878752979</v>
      </c>
      <c r="M53" s="221">
        <f>RANK(K53, K$53:$K$67)</f>
        <v>1</v>
      </c>
      <c r="N53" s="445"/>
      <c r="O53" s="445"/>
      <c r="P53" s="221">
        <v>12</v>
      </c>
      <c r="Q53" s="221">
        <v>1825</v>
      </c>
      <c r="R53" s="222">
        <f>Q53/P53</f>
        <v>152.08333333333334</v>
      </c>
      <c r="S53" s="220">
        <f>RANK(R53, $R$53:$R$67)</f>
        <v>1</v>
      </c>
      <c r="T53" s="437">
        <f>AVERAGE(R53:R67)</f>
        <v>101.12351098334071</v>
      </c>
      <c r="U53" s="221">
        <v>12</v>
      </c>
      <c r="V53" s="221">
        <v>1873</v>
      </c>
      <c r="W53" s="222">
        <f>V53/U53</f>
        <v>156.08333333333334</v>
      </c>
      <c r="X53" s="220">
        <f>RANK(W53,$W$53:$W$67)</f>
        <v>1</v>
      </c>
      <c r="Y53" s="437">
        <f>AVERAGE(W53:W67)</f>
        <v>101.46798321217828</v>
      </c>
      <c r="Z53" s="221">
        <v>12</v>
      </c>
      <c r="AA53" s="221">
        <v>1825</v>
      </c>
      <c r="AB53" s="222">
        <f>AA53/Z53</f>
        <v>152.08333333333334</v>
      </c>
      <c r="AC53" s="220">
        <f>RANK(AB53, $AB$53:$AB$67)</f>
        <v>1</v>
      </c>
      <c r="AD53" s="437">
        <f>AVERAGE(AB53:AB67)</f>
        <v>96.610250078438938</v>
      </c>
      <c r="AE53" s="221">
        <v>12</v>
      </c>
      <c r="AF53" s="221">
        <v>1947</v>
      </c>
      <c r="AG53" s="222">
        <f>AF53/AE53</f>
        <v>162.25</v>
      </c>
      <c r="AH53" s="220">
        <f>RANK(AG53, $AG$53:$AG$67)</f>
        <v>1</v>
      </c>
      <c r="AI53" s="437">
        <f>AVERAGE(AG53:AG67)</f>
        <v>96.524451980522301</v>
      </c>
      <c r="AJ53" s="221">
        <v>12</v>
      </c>
      <c r="AK53" s="221">
        <v>1893</v>
      </c>
      <c r="AL53" s="222">
        <f>AK53/AJ53</f>
        <v>157.75</v>
      </c>
      <c r="AM53" s="220">
        <f>RANK(AL53,$AL$53:$AL$67)</f>
        <v>1</v>
      </c>
      <c r="AN53" s="437">
        <f>AVERAGE(AL53:AL67)</f>
        <v>95.738467310000942</v>
      </c>
      <c r="AO53" s="221">
        <v>12</v>
      </c>
      <c r="AP53" s="221">
        <v>1849</v>
      </c>
      <c r="AQ53" s="222">
        <f>AP53/AO53</f>
        <v>154.08333333333334</v>
      </c>
      <c r="AR53" s="220">
        <f>RANK(AQ53,$AQ$53:$AQ$67)</f>
        <v>1</v>
      </c>
      <c r="AS53" s="437">
        <f>AVERAGE(AQ53:AQ67)</f>
        <v>98.67611082894696</v>
      </c>
      <c r="AT53" s="221">
        <v>12</v>
      </c>
      <c r="AU53" s="221">
        <v>1867</v>
      </c>
      <c r="AV53" s="222">
        <f>AU53/AT53</f>
        <v>155.58333333333334</v>
      </c>
      <c r="AW53" s="220">
        <f>RANK(AV53,$AV$53:$AV$67)</f>
        <v>1</v>
      </c>
      <c r="AX53" s="437">
        <f>AVERAGE(AV53:AV67)</f>
        <v>100.67021275784268</v>
      </c>
    </row>
    <row r="54" spans="2:50">
      <c r="B54" s="438"/>
      <c r="C54" s="220">
        <v>2</v>
      </c>
      <c r="D54" s="220" t="s">
        <v>77</v>
      </c>
      <c r="E54" s="221">
        <f>VLOOKUP(D54,'11產線配置圖'!$A$2:$C$25,2,0)</f>
        <v>13</v>
      </c>
      <c r="F54" s="221">
        <f>VLOOKUP(D54,'11產線配置圖'!$A$2:$C$25,3,0)</f>
        <v>2000</v>
      </c>
      <c r="G54" s="222">
        <f t="shared" ref="G54:G62" si="36">F54/E54</f>
        <v>153.84615384615384</v>
      </c>
      <c r="H54" s="440"/>
      <c r="I54" s="221">
        <f t="shared" ref="I54:K62" si="37">AVERAGE(P54,U54,Z54,AE54,AJ54,AO54,AT54)</f>
        <v>13</v>
      </c>
      <c r="J54" s="221">
        <f t="shared" si="37"/>
        <v>1889.8571428571429</v>
      </c>
      <c r="K54" s="222">
        <f t="shared" si="37"/>
        <v>145.37362637362637</v>
      </c>
      <c r="L54" s="440"/>
      <c r="M54" s="221">
        <f>RANK(K54, K$53:$K$67)</f>
        <v>3</v>
      </c>
      <c r="N54" s="445"/>
      <c r="O54" s="445"/>
      <c r="P54" s="221">
        <v>13</v>
      </c>
      <c r="Q54" s="221">
        <v>1826</v>
      </c>
      <c r="R54" s="222">
        <f t="shared" ref="R54:R62" si="38">Q54/P54</f>
        <v>140.46153846153845</v>
      </c>
      <c r="S54" s="220">
        <f t="shared" ref="S54:S62" si="39">RANK(R54, $R$53:$R$67)</f>
        <v>3</v>
      </c>
      <c r="T54" s="437"/>
      <c r="U54" s="221">
        <v>13</v>
      </c>
      <c r="V54" s="221">
        <v>1912</v>
      </c>
      <c r="W54" s="222">
        <f t="shared" ref="W54:W62" si="40">V54/U54</f>
        <v>147.07692307692307</v>
      </c>
      <c r="X54" s="220">
        <f t="shared" ref="X54:X62" si="41">RANK(W54,$W$53:$W$67)</f>
        <v>2</v>
      </c>
      <c r="Y54" s="437"/>
      <c r="Z54" s="221">
        <v>13</v>
      </c>
      <c r="AA54" s="221">
        <v>1854</v>
      </c>
      <c r="AB54" s="222">
        <f t="shared" ref="AB54:AB62" si="42">AA54/Z54</f>
        <v>142.61538461538461</v>
      </c>
      <c r="AC54" s="220">
        <f t="shared" ref="AC54:AC62" si="43">RANK(AB54, $AB$53:$AB$67)</f>
        <v>3</v>
      </c>
      <c r="AD54" s="437"/>
      <c r="AE54" s="221">
        <v>13</v>
      </c>
      <c r="AF54" s="221">
        <v>1910</v>
      </c>
      <c r="AG54" s="222">
        <f t="shared" ref="AG54:AG62" si="44">AF54/AE54</f>
        <v>146.92307692307693</v>
      </c>
      <c r="AH54" s="220">
        <f t="shared" ref="AH54:AH62" si="45">RANK(AG54, $AG$53:$AG$67)</f>
        <v>3</v>
      </c>
      <c r="AI54" s="437"/>
      <c r="AJ54" s="221">
        <v>13</v>
      </c>
      <c r="AK54" s="221">
        <v>1906</v>
      </c>
      <c r="AL54" s="222">
        <f t="shared" ref="AL54:AL62" si="46">AK54/AJ54</f>
        <v>146.61538461538461</v>
      </c>
      <c r="AM54" s="220">
        <f t="shared" ref="AM54:AM62" si="47">RANK(AL54,$AL$53:$AL$67)</f>
        <v>3</v>
      </c>
      <c r="AN54" s="437"/>
      <c r="AO54" s="221">
        <v>13</v>
      </c>
      <c r="AP54" s="221">
        <v>1915</v>
      </c>
      <c r="AQ54" s="222">
        <f t="shared" ref="AQ54:AQ62" si="48">AP54/AO54</f>
        <v>147.30769230769232</v>
      </c>
      <c r="AR54" s="220">
        <f t="shared" ref="AR54:AR62" si="49">RANK(AQ54,$AQ$53:$AQ$67)</f>
        <v>2</v>
      </c>
      <c r="AS54" s="437"/>
      <c r="AT54" s="221">
        <v>13</v>
      </c>
      <c r="AU54" s="221">
        <v>1906</v>
      </c>
      <c r="AV54" s="222">
        <f t="shared" ref="AV54:AV62" si="50">AU54/AT54</f>
        <v>146.61538461538461</v>
      </c>
      <c r="AW54" s="220">
        <f t="shared" ref="AW54:AW62" si="51">RANK(AV54,$AV$53:$AV$67)</f>
        <v>2</v>
      </c>
      <c r="AX54" s="437"/>
    </row>
    <row r="55" spans="2:50">
      <c r="B55" s="438"/>
      <c r="C55" s="220">
        <v>3</v>
      </c>
      <c r="D55" s="220" t="s">
        <v>75</v>
      </c>
      <c r="E55" s="221">
        <f>VLOOKUP(D55,'11產線配置圖'!$A$2:$C$25,2,0)</f>
        <v>15</v>
      </c>
      <c r="F55" s="221">
        <f>VLOOKUP(D55,'11產線配置圖'!$A$2:$C$25,3,0)</f>
        <v>2000</v>
      </c>
      <c r="G55" s="222">
        <f t="shared" si="36"/>
        <v>133.33333333333334</v>
      </c>
      <c r="H55" s="440"/>
      <c r="I55" s="221">
        <f t="shared" si="37"/>
        <v>13</v>
      </c>
      <c r="J55" s="221">
        <f t="shared" si="37"/>
        <v>1891.4285714285713</v>
      </c>
      <c r="K55" s="222">
        <f t="shared" si="37"/>
        <v>145.49450549450552</v>
      </c>
      <c r="L55" s="440"/>
      <c r="M55" s="221">
        <f>RANK(K55, K$53:$K$67)</f>
        <v>2</v>
      </c>
      <c r="N55" s="445"/>
      <c r="O55" s="445"/>
      <c r="P55" s="221">
        <v>13</v>
      </c>
      <c r="Q55" s="221">
        <v>1834</v>
      </c>
      <c r="R55" s="222">
        <f>Q55/P55</f>
        <v>141.07692307692307</v>
      </c>
      <c r="S55" s="220">
        <f>RANK(R55, $R$53:$R$67)</f>
        <v>2</v>
      </c>
      <c r="T55" s="437"/>
      <c r="U55" s="221">
        <v>13</v>
      </c>
      <c r="V55" s="221">
        <v>1858</v>
      </c>
      <c r="W55" s="222">
        <f t="shared" si="40"/>
        <v>142.92307692307693</v>
      </c>
      <c r="X55" s="220">
        <f t="shared" si="41"/>
        <v>3</v>
      </c>
      <c r="Y55" s="437"/>
      <c r="Z55" s="221">
        <v>13</v>
      </c>
      <c r="AA55" s="221">
        <v>1880</v>
      </c>
      <c r="AB55" s="222">
        <f t="shared" si="42"/>
        <v>144.61538461538461</v>
      </c>
      <c r="AC55" s="220">
        <f t="shared" si="43"/>
        <v>2</v>
      </c>
      <c r="AD55" s="437"/>
      <c r="AE55" s="221">
        <v>13</v>
      </c>
      <c r="AF55" s="221">
        <v>1954</v>
      </c>
      <c r="AG55" s="222">
        <f t="shared" si="44"/>
        <v>150.30769230769232</v>
      </c>
      <c r="AH55" s="220">
        <f t="shared" si="45"/>
        <v>2</v>
      </c>
      <c r="AI55" s="437"/>
      <c r="AJ55" s="221">
        <v>13</v>
      </c>
      <c r="AK55" s="221">
        <v>1991</v>
      </c>
      <c r="AL55" s="222">
        <f t="shared" si="46"/>
        <v>153.15384615384616</v>
      </c>
      <c r="AM55" s="220">
        <f t="shared" si="47"/>
        <v>2</v>
      </c>
      <c r="AN55" s="437"/>
      <c r="AO55" s="221">
        <v>13</v>
      </c>
      <c r="AP55" s="221">
        <v>1893</v>
      </c>
      <c r="AQ55" s="222">
        <f t="shared" si="48"/>
        <v>145.61538461538461</v>
      </c>
      <c r="AR55" s="220">
        <f t="shared" si="49"/>
        <v>3</v>
      </c>
      <c r="AS55" s="437"/>
      <c r="AT55" s="221">
        <v>13</v>
      </c>
      <c r="AU55" s="221">
        <v>1830</v>
      </c>
      <c r="AV55" s="222">
        <f t="shared" si="50"/>
        <v>140.76923076923077</v>
      </c>
      <c r="AW55" s="220">
        <f t="shared" si="51"/>
        <v>3</v>
      </c>
      <c r="AX55" s="437"/>
    </row>
    <row r="56" spans="2:50">
      <c r="B56" s="438"/>
      <c r="C56" s="220">
        <v>4</v>
      </c>
      <c r="D56" s="220" t="s">
        <v>195</v>
      </c>
      <c r="E56" s="221">
        <f>VLOOKUP(D56,'11產線配置圖'!$A$2:$C$25,2,0)</f>
        <v>18</v>
      </c>
      <c r="F56" s="221">
        <f>VLOOKUP(D56,'11產線配置圖'!$A$2:$C$25,3,0)</f>
        <v>1565</v>
      </c>
      <c r="G56" s="222">
        <f t="shared" si="36"/>
        <v>86.944444444444443</v>
      </c>
      <c r="H56" s="440"/>
      <c r="I56" s="221">
        <f t="shared" si="37"/>
        <v>17.714285714285715</v>
      </c>
      <c r="J56" s="221">
        <f t="shared" si="37"/>
        <v>1447</v>
      </c>
      <c r="K56" s="222">
        <f t="shared" si="37"/>
        <v>81.464285714285708</v>
      </c>
      <c r="L56" s="440"/>
      <c r="M56" s="221">
        <f>RANK(K56, K$53:$K$67)</f>
        <v>9</v>
      </c>
      <c r="N56" s="445"/>
      <c r="O56" s="445"/>
      <c r="P56" s="221">
        <v>18</v>
      </c>
      <c r="Q56" s="221">
        <v>1590</v>
      </c>
      <c r="R56" s="222">
        <f t="shared" si="38"/>
        <v>88.333333333333329</v>
      </c>
      <c r="S56" s="220">
        <f t="shared" si="39"/>
        <v>7</v>
      </c>
      <c r="T56" s="437"/>
      <c r="U56" s="221">
        <v>18</v>
      </c>
      <c r="V56" s="221">
        <v>1594</v>
      </c>
      <c r="W56" s="222">
        <f t="shared" si="40"/>
        <v>88.555555555555557</v>
      </c>
      <c r="X56" s="220">
        <f t="shared" si="41"/>
        <v>9</v>
      </c>
      <c r="Y56" s="437"/>
      <c r="Z56" s="221">
        <v>18</v>
      </c>
      <c r="AA56" s="221">
        <v>1503</v>
      </c>
      <c r="AB56" s="222">
        <f t="shared" si="42"/>
        <v>83.5</v>
      </c>
      <c r="AC56" s="220">
        <f t="shared" si="43"/>
        <v>8</v>
      </c>
      <c r="AD56" s="437"/>
      <c r="AE56" s="221">
        <v>18</v>
      </c>
      <c r="AF56" s="221">
        <v>1274</v>
      </c>
      <c r="AG56" s="222">
        <f t="shared" si="44"/>
        <v>70.777777777777771</v>
      </c>
      <c r="AH56" s="220">
        <f t="shared" si="45"/>
        <v>11</v>
      </c>
      <c r="AI56" s="437"/>
      <c r="AJ56" s="221">
        <v>16</v>
      </c>
      <c r="AK56" s="221">
        <v>1084</v>
      </c>
      <c r="AL56" s="222">
        <f t="shared" si="46"/>
        <v>67.75</v>
      </c>
      <c r="AM56" s="220">
        <f t="shared" si="47"/>
        <v>13</v>
      </c>
      <c r="AN56" s="437"/>
      <c r="AO56" s="221">
        <v>18</v>
      </c>
      <c r="AP56" s="221">
        <v>1583</v>
      </c>
      <c r="AQ56" s="222">
        <f t="shared" si="48"/>
        <v>87.944444444444443</v>
      </c>
      <c r="AR56" s="220">
        <f t="shared" si="49"/>
        <v>6</v>
      </c>
      <c r="AS56" s="437"/>
      <c r="AT56" s="221">
        <v>18</v>
      </c>
      <c r="AU56" s="221">
        <v>1501</v>
      </c>
      <c r="AV56" s="222">
        <f t="shared" si="50"/>
        <v>83.388888888888886</v>
      </c>
      <c r="AW56" s="220">
        <f t="shared" si="51"/>
        <v>9</v>
      </c>
      <c r="AX56" s="437"/>
    </row>
    <row r="57" spans="2:50">
      <c r="B57" s="438"/>
      <c r="C57" s="220">
        <v>5</v>
      </c>
      <c r="D57" s="220" t="s">
        <v>76</v>
      </c>
      <c r="E57" s="221">
        <f>VLOOKUP(D57,'11產線配置圖'!$A$2:$C$25,2,0)</f>
        <v>13</v>
      </c>
      <c r="F57" s="221">
        <f>VLOOKUP(D57,'11產線配置圖'!$A$2:$C$25,3,0)</f>
        <v>2000</v>
      </c>
      <c r="G57" s="222">
        <f t="shared" si="36"/>
        <v>153.84615384615384</v>
      </c>
      <c r="H57" s="440"/>
      <c r="I57" s="221">
        <f t="shared" si="37"/>
        <v>13</v>
      </c>
      <c r="J57" s="221">
        <f t="shared" si="37"/>
        <v>1673</v>
      </c>
      <c r="K57" s="222">
        <f t="shared" si="37"/>
        <v>128.69230769230768</v>
      </c>
      <c r="L57" s="440"/>
      <c r="M57" s="221">
        <f>RANK(K57, K$53:$K$67)</f>
        <v>4</v>
      </c>
      <c r="N57" s="445"/>
      <c r="O57" s="445"/>
      <c r="P57" s="221">
        <v>13</v>
      </c>
      <c r="Q57" s="221">
        <v>1787</v>
      </c>
      <c r="R57" s="222">
        <f t="shared" si="38"/>
        <v>137.46153846153845</v>
      </c>
      <c r="S57" s="220">
        <f t="shared" si="39"/>
        <v>4</v>
      </c>
      <c r="T57" s="437"/>
      <c r="U57" s="221">
        <v>13</v>
      </c>
      <c r="V57" s="221">
        <v>1809</v>
      </c>
      <c r="W57" s="222">
        <f t="shared" si="40"/>
        <v>139.15384615384616</v>
      </c>
      <c r="X57" s="220">
        <f t="shared" si="41"/>
        <v>4</v>
      </c>
      <c r="Y57" s="437"/>
      <c r="Z57" s="221">
        <v>13</v>
      </c>
      <c r="AA57" s="221">
        <v>1707</v>
      </c>
      <c r="AB57" s="222">
        <f t="shared" si="42"/>
        <v>131.30769230769232</v>
      </c>
      <c r="AC57" s="220">
        <f t="shared" si="43"/>
        <v>4</v>
      </c>
      <c r="AD57" s="437"/>
      <c r="AE57" s="221">
        <v>13</v>
      </c>
      <c r="AF57" s="221">
        <v>1654</v>
      </c>
      <c r="AG57" s="222">
        <f t="shared" si="44"/>
        <v>127.23076923076923</v>
      </c>
      <c r="AH57" s="220">
        <f t="shared" si="45"/>
        <v>4</v>
      </c>
      <c r="AI57" s="437"/>
      <c r="AJ57" s="221">
        <v>13</v>
      </c>
      <c r="AK57" s="221">
        <v>1254</v>
      </c>
      <c r="AL57" s="222">
        <f t="shared" si="46"/>
        <v>96.461538461538467</v>
      </c>
      <c r="AM57" s="220">
        <f t="shared" si="47"/>
        <v>5</v>
      </c>
      <c r="AN57" s="437"/>
      <c r="AO57" s="221">
        <v>13</v>
      </c>
      <c r="AP57" s="221">
        <v>1702</v>
      </c>
      <c r="AQ57" s="222">
        <f t="shared" si="48"/>
        <v>130.92307692307693</v>
      </c>
      <c r="AR57" s="220">
        <f t="shared" si="49"/>
        <v>4</v>
      </c>
      <c r="AS57" s="437"/>
      <c r="AT57" s="221">
        <v>13</v>
      </c>
      <c r="AU57" s="221">
        <v>1798</v>
      </c>
      <c r="AV57" s="222">
        <f t="shared" si="50"/>
        <v>138.30769230769232</v>
      </c>
      <c r="AW57" s="220">
        <f t="shared" si="51"/>
        <v>4</v>
      </c>
      <c r="AX57" s="437"/>
    </row>
    <row r="58" spans="2:50">
      <c r="B58" s="438"/>
      <c r="C58" s="220">
        <v>6</v>
      </c>
      <c r="D58" s="220" t="s">
        <v>374</v>
      </c>
      <c r="E58" s="221">
        <f>VLOOKUP(D58,'11產線配置圖'!$A$2:$C$25,2,0)</f>
        <v>14</v>
      </c>
      <c r="F58" s="221">
        <f>VLOOKUP(D58,'11產線配置圖'!$A$2:$C$25,3,0)</f>
        <v>1895</v>
      </c>
      <c r="G58" s="222">
        <f t="shared" si="36"/>
        <v>135.35714285714286</v>
      </c>
      <c r="H58" s="440"/>
      <c r="I58" s="221">
        <f t="shared" si="37"/>
        <v>17</v>
      </c>
      <c r="J58" s="221">
        <f t="shared" si="37"/>
        <v>1747.2857142857142</v>
      </c>
      <c r="K58" s="222">
        <f t="shared" si="37"/>
        <v>102.78151260504202</v>
      </c>
      <c r="L58" s="440"/>
      <c r="M58" s="221">
        <f>RANK(K58, K$53:$K$67)</f>
        <v>5</v>
      </c>
      <c r="N58" s="445"/>
      <c r="O58" s="445"/>
      <c r="P58" s="221">
        <v>17</v>
      </c>
      <c r="Q58" s="221">
        <v>1743</v>
      </c>
      <c r="R58" s="222">
        <f t="shared" si="38"/>
        <v>102.52941176470588</v>
      </c>
      <c r="S58" s="220">
        <f t="shared" si="39"/>
        <v>5</v>
      </c>
      <c r="T58" s="437"/>
      <c r="U58" s="221">
        <v>17</v>
      </c>
      <c r="V58" s="221">
        <v>1728</v>
      </c>
      <c r="W58" s="222">
        <f t="shared" si="40"/>
        <v>101.64705882352941</v>
      </c>
      <c r="X58" s="220">
        <f t="shared" si="41"/>
        <v>5</v>
      </c>
      <c r="Y58" s="437"/>
      <c r="Z58" s="221">
        <v>17</v>
      </c>
      <c r="AA58" s="221">
        <v>1522</v>
      </c>
      <c r="AB58" s="222">
        <f t="shared" si="42"/>
        <v>89.529411764705884</v>
      </c>
      <c r="AC58" s="220">
        <f t="shared" si="43"/>
        <v>6</v>
      </c>
      <c r="AD58" s="437"/>
      <c r="AE58" s="221">
        <v>17</v>
      </c>
      <c r="AF58" s="221">
        <v>1697</v>
      </c>
      <c r="AG58" s="222">
        <f t="shared" si="44"/>
        <v>99.82352941176471</v>
      </c>
      <c r="AH58" s="220">
        <f t="shared" si="45"/>
        <v>5</v>
      </c>
      <c r="AI58" s="437"/>
      <c r="AJ58" s="221">
        <v>17</v>
      </c>
      <c r="AK58" s="221">
        <v>1796</v>
      </c>
      <c r="AL58" s="222">
        <f t="shared" si="46"/>
        <v>105.64705882352941</v>
      </c>
      <c r="AM58" s="220">
        <f t="shared" si="47"/>
        <v>4</v>
      </c>
      <c r="AN58" s="437"/>
      <c r="AO58" s="221">
        <v>17</v>
      </c>
      <c r="AP58" s="221">
        <v>1864</v>
      </c>
      <c r="AQ58" s="222">
        <f t="shared" si="48"/>
        <v>109.64705882352941</v>
      </c>
      <c r="AR58" s="220">
        <f t="shared" si="49"/>
        <v>5</v>
      </c>
      <c r="AS58" s="437"/>
      <c r="AT58" s="221">
        <v>17</v>
      </c>
      <c r="AU58" s="221">
        <v>1881</v>
      </c>
      <c r="AV58" s="222">
        <f t="shared" si="50"/>
        <v>110.64705882352941</v>
      </c>
      <c r="AW58" s="220">
        <f t="shared" si="51"/>
        <v>5</v>
      </c>
      <c r="AX58" s="437"/>
    </row>
    <row r="59" spans="2:50">
      <c r="B59" s="438"/>
      <c r="C59" s="220">
        <v>7</v>
      </c>
      <c r="D59" s="220" t="s">
        <v>136</v>
      </c>
      <c r="E59" s="221">
        <f>VLOOKUP(D59,'11產線配置圖'!$A$2:$C$25,2,0)</f>
        <v>17</v>
      </c>
      <c r="F59" s="221">
        <f>VLOOKUP(D59,'11產線配置圖'!$A$2:$C$25,3,0)</f>
        <v>1385</v>
      </c>
      <c r="G59" s="222">
        <f t="shared" si="36"/>
        <v>81.470588235294116</v>
      </c>
      <c r="H59" s="440"/>
      <c r="I59" s="221">
        <f>AVERAGE(P59,U59,Z59,AE59,AJ59,AO59,AT59)</f>
        <v>14.857142857142858</v>
      </c>
      <c r="J59" s="221">
        <f>AVERAGE(Q59,V59,AA59,AF59,AK59,AP59,AU59)</f>
        <v>1083.7142857142858</v>
      </c>
      <c r="K59" s="222">
        <f>AVERAGE(R59,W59,AB59,AG59,AL59,AQ59,AV59)</f>
        <v>72.867346938775512</v>
      </c>
      <c r="L59" s="440"/>
      <c r="M59" s="221">
        <f>RANK(K59, K$53:$K$67)</f>
        <v>12</v>
      </c>
      <c r="N59" s="445"/>
      <c r="O59" s="445"/>
      <c r="P59" s="221">
        <v>15</v>
      </c>
      <c r="Q59" s="221">
        <v>1247</v>
      </c>
      <c r="R59" s="222">
        <f>Q59/P59</f>
        <v>83.13333333333334</v>
      </c>
      <c r="S59" s="220">
        <f>RANK(R59, $R$53:$R$67)</f>
        <v>9</v>
      </c>
      <c r="T59" s="437"/>
      <c r="U59" s="221">
        <v>15</v>
      </c>
      <c r="V59" s="221">
        <v>1177</v>
      </c>
      <c r="W59" s="222">
        <f>V59/U59</f>
        <v>78.466666666666669</v>
      </c>
      <c r="X59" s="220">
        <f>RANK(W59,$W$53:$W$67)</f>
        <v>11</v>
      </c>
      <c r="Y59" s="437"/>
      <c r="Z59" s="221">
        <v>15</v>
      </c>
      <c r="AA59" s="221">
        <v>1163</v>
      </c>
      <c r="AB59" s="222">
        <f t="shared" si="42"/>
        <v>77.533333333333331</v>
      </c>
      <c r="AC59" s="220">
        <f t="shared" si="43"/>
        <v>10</v>
      </c>
      <c r="AD59" s="437"/>
      <c r="AE59" s="221">
        <v>14</v>
      </c>
      <c r="AF59" s="221">
        <v>911</v>
      </c>
      <c r="AG59" s="222">
        <f>AF59/AE59</f>
        <v>65.071428571428569</v>
      </c>
      <c r="AH59" s="220">
        <f>RANK(AG59, $AG$53:$AG$67)</f>
        <v>14</v>
      </c>
      <c r="AI59" s="437"/>
      <c r="AJ59" s="221">
        <v>15</v>
      </c>
      <c r="AK59" s="221">
        <v>1071</v>
      </c>
      <c r="AL59" s="222">
        <f>AK59/AJ59</f>
        <v>71.400000000000006</v>
      </c>
      <c r="AM59" s="220">
        <f>RANK(AL59,$AL$53:$AL$67)</f>
        <v>12</v>
      </c>
      <c r="AN59" s="437"/>
      <c r="AO59" s="221">
        <v>15</v>
      </c>
      <c r="AP59" s="221">
        <v>962</v>
      </c>
      <c r="AQ59" s="222">
        <f t="shared" si="48"/>
        <v>64.13333333333334</v>
      </c>
      <c r="AR59" s="220">
        <f t="shared" si="49"/>
        <v>13</v>
      </c>
      <c r="AS59" s="437"/>
      <c r="AT59" s="221">
        <v>15</v>
      </c>
      <c r="AU59" s="221">
        <v>1055</v>
      </c>
      <c r="AV59" s="222">
        <f t="shared" si="50"/>
        <v>70.333333333333329</v>
      </c>
      <c r="AW59" s="220">
        <f t="shared" si="51"/>
        <v>14</v>
      </c>
      <c r="AX59" s="437"/>
    </row>
    <row r="60" spans="2:50">
      <c r="B60" s="438"/>
      <c r="C60" s="220">
        <v>8</v>
      </c>
      <c r="D60" s="220" t="s">
        <v>86</v>
      </c>
      <c r="E60" s="221">
        <f>VLOOKUP(D60,'11產線配置圖'!$A$2:$C$25,2,0)</f>
        <v>18</v>
      </c>
      <c r="F60" s="221">
        <f>VLOOKUP(D60,'11產線配置圖'!$A$2:$C$25,3,0)</f>
        <v>1385</v>
      </c>
      <c r="G60" s="222">
        <f t="shared" si="36"/>
        <v>76.944444444444443</v>
      </c>
      <c r="H60" s="440"/>
      <c r="I60" s="221">
        <f t="shared" si="37"/>
        <v>16.428571428571427</v>
      </c>
      <c r="J60" s="221">
        <f t="shared" si="37"/>
        <v>1157.2857142857142</v>
      </c>
      <c r="K60" s="222">
        <f t="shared" si="37"/>
        <v>70.678599773242624</v>
      </c>
      <c r="L60" s="440"/>
      <c r="M60" s="221">
        <f>RANK(K60, K$53:$K$67)</f>
        <v>13</v>
      </c>
      <c r="N60" s="445"/>
      <c r="O60" s="445"/>
      <c r="P60" s="221">
        <v>18</v>
      </c>
      <c r="Q60" s="221">
        <v>1350</v>
      </c>
      <c r="R60" s="222">
        <f t="shared" si="38"/>
        <v>75</v>
      </c>
      <c r="S60" s="220">
        <f t="shared" si="39"/>
        <v>14</v>
      </c>
      <c r="T60" s="437"/>
      <c r="U60" s="221">
        <v>18</v>
      </c>
      <c r="V60" s="221">
        <v>1137</v>
      </c>
      <c r="W60" s="222">
        <f t="shared" si="40"/>
        <v>63.166666666666664</v>
      </c>
      <c r="X60" s="220">
        <f t="shared" si="41"/>
        <v>14</v>
      </c>
      <c r="Y60" s="437"/>
      <c r="Z60" s="221">
        <v>18</v>
      </c>
      <c r="AA60" s="221">
        <v>1153</v>
      </c>
      <c r="AB60" s="222">
        <f t="shared" si="42"/>
        <v>64.055555555555557</v>
      </c>
      <c r="AC60" s="220">
        <f t="shared" si="43"/>
        <v>14</v>
      </c>
      <c r="AD60" s="437"/>
      <c r="AE60" s="221">
        <v>15</v>
      </c>
      <c r="AF60" s="221">
        <v>1046</v>
      </c>
      <c r="AG60" s="222">
        <f t="shared" si="44"/>
        <v>69.733333333333334</v>
      </c>
      <c r="AH60" s="220">
        <f t="shared" si="45"/>
        <v>12</v>
      </c>
      <c r="AI60" s="437"/>
      <c r="AJ60" s="221">
        <v>14</v>
      </c>
      <c r="AK60" s="221">
        <v>1048</v>
      </c>
      <c r="AL60" s="222">
        <f t="shared" si="46"/>
        <v>74.857142857142861</v>
      </c>
      <c r="AM60" s="220">
        <f t="shared" si="47"/>
        <v>10</v>
      </c>
      <c r="AN60" s="437"/>
      <c r="AO60" s="221">
        <v>16</v>
      </c>
      <c r="AP60" s="221">
        <v>1222</v>
      </c>
      <c r="AQ60" s="222">
        <f t="shared" si="48"/>
        <v>76.375</v>
      </c>
      <c r="AR60" s="220">
        <f t="shared" si="49"/>
        <v>11</v>
      </c>
      <c r="AS60" s="437"/>
      <c r="AT60" s="221">
        <v>16</v>
      </c>
      <c r="AU60" s="221">
        <v>1145</v>
      </c>
      <c r="AV60" s="222">
        <f t="shared" si="50"/>
        <v>71.5625</v>
      </c>
      <c r="AW60" s="220">
        <f t="shared" si="51"/>
        <v>13</v>
      </c>
      <c r="AX60" s="437"/>
    </row>
    <row r="61" spans="2:50">
      <c r="B61" s="438"/>
      <c r="C61" s="220">
        <v>9</v>
      </c>
      <c r="D61" s="220" t="s">
        <v>190</v>
      </c>
      <c r="E61" s="221">
        <f>VLOOKUP(D61,'11產線配置圖'!$A$2:$C$25,2,0)</f>
        <v>17</v>
      </c>
      <c r="F61" s="221">
        <f>VLOOKUP(D61,'11產線配置圖'!$A$2:$C$25,3,0)</f>
        <v>1565</v>
      </c>
      <c r="G61" s="222">
        <f t="shared" si="36"/>
        <v>92.058823529411768</v>
      </c>
      <c r="H61" s="440"/>
      <c r="I61" s="221">
        <f t="shared" si="37"/>
        <v>16.857142857142858</v>
      </c>
      <c r="J61" s="221">
        <f t="shared" si="37"/>
        <v>1435.7142857142858</v>
      </c>
      <c r="K61" s="222">
        <f t="shared" si="37"/>
        <v>85.199054621848731</v>
      </c>
      <c r="L61" s="440"/>
      <c r="M61" s="221">
        <f>RANK(K61, K$53:$K$67)</f>
        <v>6</v>
      </c>
      <c r="N61" s="445"/>
      <c r="O61" s="445"/>
      <c r="P61" s="221">
        <v>17</v>
      </c>
      <c r="Q61" s="221">
        <v>1466</v>
      </c>
      <c r="R61" s="222">
        <f t="shared" si="38"/>
        <v>86.235294117647058</v>
      </c>
      <c r="S61" s="220">
        <f t="shared" si="39"/>
        <v>8</v>
      </c>
      <c r="T61" s="437"/>
      <c r="U61" s="221">
        <v>17</v>
      </c>
      <c r="V61" s="221">
        <v>1541</v>
      </c>
      <c r="W61" s="222">
        <f t="shared" si="40"/>
        <v>90.647058823529406</v>
      </c>
      <c r="X61" s="220">
        <f t="shared" si="41"/>
        <v>8</v>
      </c>
      <c r="Y61" s="437"/>
      <c r="Z61" s="221">
        <v>17</v>
      </c>
      <c r="AA61" s="221">
        <v>1443</v>
      </c>
      <c r="AB61" s="222">
        <f t="shared" si="42"/>
        <v>84.882352941176464</v>
      </c>
      <c r="AC61" s="220">
        <f t="shared" si="43"/>
        <v>7</v>
      </c>
      <c r="AD61" s="437"/>
      <c r="AE61" s="221">
        <v>17</v>
      </c>
      <c r="AF61" s="221">
        <v>1231</v>
      </c>
      <c r="AG61" s="222">
        <f t="shared" si="44"/>
        <v>72.411764705882348</v>
      </c>
      <c r="AH61" s="220">
        <f t="shared" si="45"/>
        <v>9</v>
      </c>
      <c r="AI61" s="437"/>
      <c r="AJ61" s="221">
        <v>16</v>
      </c>
      <c r="AK61" s="221">
        <v>1419</v>
      </c>
      <c r="AL61" s="222">
        <f t="shared" si="46"/>
        <v>88.6875</v>
      </c>
      <c r="AM61" s="220">
        <f t="shared" si="47"/>
        <v>7</v>
      </c>
      <c r="AN61" s="437"/>
      <c r="AO61" s="221">
        <v>17</v>
      </c>
      <c r="AP61" s="221">
        <v>1425</v>
      </c>
      <c r="AQ61" s="222">
        <f t="shared" si="48"/>
        <v>83.82352941176471</v>
      </c>
      <c r="AR61" s="220">
        <f t="shared" si="49"/>
        <v>8</v>
      </c>
      <c r="AS61" s="437"/>
      <c r="AT61" s="221">
        <v>17</v>
      </c>
      <c r="AU61" s="221">
        <v>1525</v>
      </c>
      <c r="AV61" s="222">
        <f t="shared" si="50"/>
        <v>89.705882352941174</v>
      </c>
      <c r="AW61" s="220">
        <f t="shared" si="51"/>
        <v>6</v>
      </c>
      <c r="AX61" s="437"/>
    </row>
    <row r="62" spans="2:50">
      <c r="B62" s="438"/>
      <c r="C62" s="220">
        <v>10</v>
      </c>
      <c r="D62" s="220" t="s">
        <v>88</v>
      </c>
      <c r="E62" s="221">
        <f>VLOOKUP(D62,'11產線配置圖'!$A$2:$C$25,2,0)</f>
        <v>17</v>
      </c>
      <c r="F62" s="221">
        <f>VLOOKUP(D62,'11產線配置圖'!$A$2:$C$25,3,0)</f>
        <v>1500</v>
      </c>
      <c r="G62" s="222">
        <f t="shared" si="36"/>
        <v>88.235294117647058</v>
      </c>
      <c r="H62" s="440"/>
      <c r="I62" s="221">
        <f t="shared" si="37"/>
        <v>18.428571428571427</v>
      </c>
      <c r="J62" s="221">
        <f t="shared" si="37"/>
        <v>1405</v>
      </c>
      <c r="K62" s="222">
        <f t="shared" si="37"/>
        <v>76.296626984126988</v>
      </c>
      <c r="L62" s="440"/>
      <c r="M62" s="221">
        <f>RANK(K62, K$53:$K$67)</f>
        <v>11</v>
      </c>
      <c r="N62" s="445"/>
      <c r="O62" s="445"/>
      <c r="P62" s="221">
        <v>19</v>
      </c>
      <c r="Q62" s="221">
        <v>1543</v>
      </c>
      <c r="R62" s="222">
        <f t="shared" si="38"/>
        <v>81.21052631578948</v>
      </c>
      <c r="S62" s="220">
        <f t="shared" si="39"/>
        <v>10</v>
      </c>
      <c r="T62" s="437"/>
      <c r="U62" s="221">
        <v>19</v>
      </c>
      <c r="V62" s="221">
        <v>1475</v>
      </c>
      <c r="W62" s="222">
        <f t="shared" si="40"/>
        <v>77.631578947368425</v>
      </c>
      <c r="X62" s="220">
        <f t="shared" si="41"/>
        <v>12</v>
      </c>
      <c r="Y62" s="437"/>
      <c r="Z62" s="221">
        <v>19</v>
      </c>
      <c r="AA62" s="221">
        <v>1281</v>
      </c>
      <c r="AB62" s="222">
        <f t="shared" si="42"/>
        <v>67.421052631578945</v>
      </c>
      <c r="AC62" s="220">
        <f t="shared" si="43"/>
        <v>13</v>
      </c>
      <c r="AD62" s="437"/>
      <c r="AE62" s="221">
        <v>19</v>
      </c>
      <c r="AF62" s="221">
        <v>1294</v>
      </c>
      <c r="AG62" s="222">
        <f t="shared" si="44"/>
        <v>68.10526315789474</v>
      </c>
      <c r="AH62" s="220">
        <f t="shared" si="45"/>
        <v>13</v>
      </c>
      <c r="AI62" s="437"/>
      <c r="AJ62" s="221">
        <v>16</v>
      </c>
      <c r="AK62" s="221">
        <v>1235</v>
      </c>
      <c r="AL62" s="222">
        <f t="shared" si="46"/>
        <v>77.1875</v>
      </c>
      <c r="AM62" s="220">
        <f t="shared" si="47"/>
        <v>8</v>
      </c>
      <c r="AN62" s="437"/>
      <c r="AO62" s="221">
        <v>18</v>
      </c>
      <c r="AP62" s="221">
        <v>1456</v>
      </c>
      <c r="AQ62" s="222">
        <f t="shared" si="48"/>
        <v>80.888888888888886</v>
      </c>
      <c r="AR62" s="220">
        <f t="shared" si="49"/>
        <v>10</v>
      </c>
      <c r="AS62" s="437"/>
      <c r="AT62" s="221">
        <v>19</v>
      </c>
      <c r="AU62" s="221">
        <v>1551</v>
      </c>
      <c r="AV62" s="222">
        <f t="shared" si="50"/>
        <v>81.631578947368425</v>
      </c>
      <c r="AW62" s="220">
        <f t="shared" si="51"/>
        <v>10</v>
      </c>
      <c r="AX62" s="437"/>
    </row>
    <row r="63" spans="2:50">
      <c r="B63" s="438"/>
      <c r="C63" s="220">
        <v>11</v>
      </c>
      <c r="D63" s="220" t="s">
        <v>377</v>
      </c>
      <c r="E63" s="221">
        <f>VLOOKUP(D63,'11產線配置圖'!$A$2:$C$25,2,0)</f>
        <v>15</v>
      </c>
      <c r="F63" s="221">
        <f>VLOOKUP(D63,'11產線配置圖'!$A$2:$C$25,3,0)</f>
        <v>1440</v>
      </c>
      <c r="G63" s="222">
        <f t="shared" ref="G63:G64" si="52">F63/E63</f>
        <v>96</v>
      </c>
      <c r="H63" s="440"/>
      <c r="I63" s="221">
        <f t="shared" ref="I63:I64" si="53">AVERAGE(P63,U63,Z63,AE63,AJ63,AO63,AT63)</f>
        <v>14.857142857142858</v>
      </c>
      <c r="J63" s="221">
        <f t="shared" ref="J63:J64" si="54">AVERAGE(Q63,V63,AA63,AF63,AK63,AP63,AU63)</f>
        <v>1039.8571428571429</v>
      </c>
      <c r="K63" s="222">
        <f t="shared" ref="K63:K64" si="55">AVERAGE(R63,W63,AB63,AG63,AL63,AQ63,AV63)</f>
        <v>70.029251700680263</v>
      </c>
      <c r="L63" s="440"/>
      <c r="M63" s="221">
        <f>RANK(K63, K$53:$K$67)</f>
        <v>14</v>
      </c>
      <c r="N63" s="445"/>
      <c r="O63" s="445"/>
      <c r="P63" s="220">
        <v>15</v>
      </c>
      <c r="Q63" s="220">
        <v>1171</v>
      </c>
      <c r="R63" s="222">
        <f t="shared" ref="R63:R64" si="56">Q63/P63</f>
        <v>78.066666666666663</v>
      </c>
      <c r="S63" s="220">
        <f t="shared" ref="S63:S64" si="57">RANK(R63, $R$53:$R$67)</f>
        <v>12</v>
      </c>
      <c r="T63" s="437"/>
      <c r="U63" s="220">
        <v>15</v>
      </c>
      <c r="V63" s="220">
        <v>1007</v>
      </c>
      <c r="W63" s="222">
        <f t="shared" ref="W63:W64" si="58">V63/U63</f>
        <v>67.13333333333334</v>
      </c>
      <c r="X63" s="220">
        <f t="shared" ref="X63:X64" si="59">RANK(W63,$W$53:$W$67)</f>
        <v>13</v>
      </c>
      <c r="Y63" s="437"/>
      <c r="Z63" s="220">
        <v>15</v>
      </c>
      <c r="AA63" s="220">
        <v>1019</v>
      </c>
      <c r="AB63" s="222">
        <f t="shared" ref="AB63:AB64" si="60">AA63/Z63</f>
        <v>67.933333333333337</v>
      </c>
      <c r="AC63" s="220">
        <f t="shared" ref="AC63:AC64" si="61">RANK(AB63, $AB$53:$AB$67)</f>
        <v>12</v>
      </c>
      <c r="AD63" s="437"/>
      <c r="AE63" s="220">
        <v>14</v>
      </c>
      <c r="AF63" s="220">
        <v>1037</v>
      </c>
      <c r="AG63" s="222">
        <f t="shared" ref="AG63:AG64" si="62">AF63/AE63</f>
        <v>74.071428571428569</v>
      </c>
      <c r="AH63" s="220">
        <f t="shared" ref="AH63:AH64" si="63">RANK(AG63, $AG$53:$AG$67)</f>
        <v>8</v>
      </c>
      <c r="AI63" s="437"/>
      <c r="AJ63" s="220">
        <v>15</v>
      </c>
      <c r="AK63" s="220">
        <v>1075</v>
      </c>
      <c r="AL63" s="222">
        <f t="shared" ref="AL63:AL64" si="64">AK63/AJ63</f>
        <v>71.666666666666671</v>
      </c>
      <c r="AM63" s="220">
        <f t="shared" ref="AM63:AM64" si="65">RANK(AL63,$AL$53:$AL$67)</f>
        <v>11</v>
      </c>
      <c r="AN63" s="437"/>
      <c r="AO63" s="220">
        <v>15</v>
      </c>
      <c r="AP63" s="220">
        <v>877</v>
      </c>
      <c r="AQ63" s="222">
        <f t="shared" ref="AQ63:AQ64" si="66">AP63/AO63</f>
        <v>58.466666666666669</v>
      </c>
      <c r="AR63" s="220">
        <f t="shared" ref="AR63:AR64" si="67">RANK(AQ63,$AQ$53:$AQ$67)</f>
        <v>14</v>
      </c>
      <c r="AS63" s="437"/>
      <c r="AT63" s="220">
        <v>15</v>
      </c>
      <c r="AU63" s="220">
        <v>1093</v>
      </c>
      <c r="AV63" s="222">
        <f t="shared" ref="AV63:AV64" si="68">AU63/AT63</f>
        <v>72.86666666666666</v>
      </c>
      <c r="AW63" s="220">
        <f t="shared" ref="AW63:AW64" si="69">RANK(AV63,$AV$53:$AV$67)</f>
        <v>12</v>
      </c>
      <c r="AX63" s="437"/>
    </row>
    <row r="64" spans="2:50">
      <c r="B64" s="438"/>
      <c r="C64" s="220">
        <v>12</v>
      </c>
      <c r="D64" s="220" t="s">
        <v>78</v>
      </c>
      <c r="E64" s="221">
        <f>VLOOKUP(D64,'11產線配置圖'!$A$2:$C$25,2,0)</f>
        <v>16</v>
      </c>
      <c r="F64" s="221">
        <f>VLOOKUP(D64,'11產線配置圖'!$A$2:$C$25,3,0)</f>
        <v>1385</v>
      </c>
      <c r="G64" s="222">
        <f t="shared" si="52"/>
        <v>86.5625</v>
      </c>
      <c r="H64" s="440"/>
      <c r="I64" s="221">
        <f t="shared" si="53"/>
        <v>14.285714285714286</v>
      </c>
      <c r="J64" s="221">
        <f t="shared" si="54"/>
        <v>1164.7142857142858</v>
      </c>
      <c r="K64" s="222">
        <f t="shared" si="55"/>
        <v>81.380010465724766</v>
      </c>
      <c r="L64" s="440"/>
      <c r="M64" s="221">
        <f>RANK(K64, K$53:$K$67)</f>
        <v>10</v>
      </c>
      <c r="N64" s="445"/>
      <c r="O64" s="445"/>
      <c r="P64" s="220">
        <v>15</v>
      </c>
      <c r="Q64" s="220">
        <v>1161</v>
      </c>
      <c r="R64" s="222">
        <f t="shared" si="56"/>
        <v>77.400000000000006</v>
      </c>
      <c r="S64" s="220">
        <f t="shared" si="57"/>
        <v>13</v>
      </c>
      <c r="T64" s="437"/>
      <c r="U64" s="220">
        <v>15</v>
      </c>
      <c r="V64" s="220">
        <v>1442</v>
      </c>
      <c r="W64" s="222">
        <f t="shared" si="58"/>
        <v>96.13333333333334</v>
      </c>
      <c r="X64" s="220">
        <f t="shared" si="59"/>
        <v>6</v>
      </c>
      <c r="Y64" s="437"/>
      <c r="Z64" s="220">
        <v>15</v>
      </c>
      <c r="AA64" s="221">
        <v>1373</v>
      </c>
      <c r="AB64" s="222">
        <f t="shared" si="60"/>
        <v>91.533333333333331</v>
      </c>
      <c r="AC64" s="220">
        <f t="shared" si="61"/>
        <v>5</v>
      </c>
      <c r="AD64" s="437"/>
      <c r="AE64" s="220">
        <v>13</v>
      </c>
      <c r="AF64" s="221">
        <v>1135</v>
      </c>
      <c r="AG64" s="222">
        <f t="shared" si="62"/>
        <v>87.307692307692307</v>
      </c>
      <c r="AH64" s="220">
        <f t="shared" si="63"/>
        <v>6</v>
      </c>
      <c r="AI64" s="437"/>
      <c r="AJ64" s="220">
        <v>14</v>
      </c>
      <c r="AK64" s="221">
        <v>908</v>
      </c>
      <c r="AL64" s="222">
        <f t="shared" si="64"/>
        <v>64.857142857142861</v>
      </c>
      <c r="AM64" s="220">
        <f t="shared" si="65"/>
        <v>14</v>
      </c>
      <c r="AN64" s="437"/>
      <c r="AO64" s="220">
        <v>14</v>
      </c>
      <c r="AP64" s="221">
        <v>1020</v>
      </c>
      <c r="AQ64" s="222">
        <f t="shared" si="66"/>
        <v>72.857142857142861</v>
      </c>
      <c r="AR64" s="220">
        <f t="shared" si="67"/>
        <v>12</v>
      </c>
      <c r="AS64" s="437"/>
      <c r="AT64" s="220">
        <v>14</v>
      </c>
      <c r="AU64" s="221">
        <v>1114</v>
      </c>
      <c r="AV64" s="222">
        <f t="shared" si="68"/>
        <v>79.571428571428569</v>
      </c>
      <c r="AW64" s="220">
        <f t="shared" si="69"/>
        <v>11</v>
      </c>
      <c r="AX64" s="437"/>
    </row>
    <row r="65" spans="2:50">
      <c r="B65" s="438"/>
      <c r="C65" s="220">
        <v>13</v>
      </c>
      <c r="D65" s="220" t="s">
        <v>120</v>
      </c>
      <c r="E65" s="221">
        <f>VLOOKUP(D65,'11產線配置圖'!$A$2:$C$25,2,0)</f>
        <v>15</v>
      </c>
      <c r="F65" s="221">
        <f>VLOOKUP(D65,'11產線配置圖'!$A$2:$C$25,3,0)</f>
        <v>1636</v>
      </c>
      <c r="G65" s="222">
        <f>F65/E65</f>
        <v>109.06666666666666</v>
      </c>
      <c r="H65" s="440"/>
      <c r="I65" s="221">
        <f t="shared" ref="I65:K66" si="70">AVERAGE(P65,U65,Z65,AE65,AJ65,AO65,AT65)</f>
        <v>15</v>
      </c>
      <c r="J65" s="221">
        <f t="shared" si="70"/>
        <v>1227.8571428571429</v>
      </c>
      <c r="K65" s="222">
        <f t="shared" si="70"/>
        <v>81.857142857142861</v>
      </c>
      <c r="L65" s="440"/>
      <c r="M65" s="221">
        <f>RANK(K65, K$53:$K$67)</f>
        <v>8</v>
      </c>
      <c r="N65" s="445"/>
      <c r="O65" s="445"/>
      <c r="P65" s="220">
        <v>15</v>
      </c>
      <c r="Q65" s="220">
        <v>1384</v>
      </c>
      <c r="R65" s="222">
        <f>Q65/P65</f>
        <v>92.266666666666666</v>
      </c>
      <c r="S65" s="220">
        <f>RANK(R65, $R$53:$R$67)</f>
        <v>6</v>
      </c>
      <c r="T65" s="437"/>
      <c r="U65" s="220">
        <v>15</v>
      </c>
      <c r="V65" s="221">
        <v>1195</v>
      </c>
      <c r="W65" s="222">
        <f t="shared" ref="W65:W66" si="71">V65/U65</f>
        <v>79.666666666666671</v>
      </c>
      <c r="X65" s="220">
        <f t="shared" ref="X65:X66" si="72">RANK(W65,$W$53:$W$67)</f>
        <v>10</v>
      </c>
      <c r="Y65" s="437"/>
      <c r="Z65" s="220">
        <v>15</v>
      </c>
      <c r="AA65" s="220">
        <v>1104</v>
      </c>
      <c r="AB65" s="222">
        <f t="shared" ref="AB65:AB66" si="73">AA65/Z65</f>
        <v>73.599999999999994</v>
      </c>
      <c r="AC65" s="220">
        <f t="shared" ref="AC65:AC66" si="74">RANK(AB65, $AB$53:$AB$67)</f>
        <v>11</v>
      </c>
      <c r="AD65" s="437"/>
      <c r="AE65" s="220">
        <v>15</v>
      </c>
      <c r="AF65" s="220">
        <v>1086</v>
      </c>
      <c r="AG65" s="222">
        <f t="shared" ref="AG65:AG66" si="75">AF65/AE65</f>
        <v>72.400000000000006</v>
      </c>
      <c r="AH65" s="220">
        <f t="shared" ref="AH65:AH66" si="76">RANK(AG65, $AG$53:$AG$67)</f>
        <v>10</v>
      </c>
      <c r="AI65" s="437"/>
      <c r="AJ65" s="220">
        <v>15</v>
      </c>
      <c r="AK65" s="220">
        <v>1331</v>
      </c>
      <c r="AL65" s="222">
        <f t="shared" ref="AL65:AL66" si="77">AK65/AJ65</f>
        <v>88.733333333333334</v>
      </c>
      <c r="AM65" s="220">
        <f t="shared" ref="AM65:AM66" si="78">RANK(AL65,$AL$53:$AL$67)</f>
        <v>6</v>
      </c>
      <c r="AN65" s="437"/>
      <c r="AO65" s="220">
        <v>15</v>
      </c>
      <c r="AP65" s="220">
        <v>1223</v>
      </c>
      <c r="AQ65" s="222">
        <f t="shared" ref="AQ65:AQ66" si="79">AP65/AO65</f>
        <v>81.533333333333331</v>
      </c>
      <c r="AR65" s="220">
        <f t="shared" ref="AR65:AR66" si="80">RANK(AQ65,$AQ$53:$AQ$67)</f>
        <v>9</v>
      </c>
      <c r="AS65" s="437"/>
      <c r="AT65" s="220">
        <v>15</v>
      </c>
      <c r="AU65" s="220">
        <v>1272</v>
      </c>
      <c r="AV65" s="222">
        <f t="shared" ref="AV65:AV66" si="81">AU65/AT65</f>
        <v>84.8</v>
      </c>
      <c r="AW65" s="220">
        <f t="shared" ref="AW65:AW66" si="82">RANK(AV65,$AV$53:$AV$67)</f>
        <v>7</v>
      </c>
      <c r="AX65" s="437"/>
    </row>
    <row r="66" spans="2:50" ht="13">
      <c r="B66" s="438"/>
      <c r="C66" s="220">
        <v>14</v>
      </c>
      <c r="D66" s="224" t="s">
        <v>138</v>
      </c>
      <c r="E66" s="221">
        <f>VLOOKUP(D66,'11產線配置圖'!$A$2:$C$25,2,0)</f>
        <v>15</v>
      </c>
      <c r="F66" s="221">
        <f>VLOOKUP(D66,'11產線配置圖'!$A$2:$C$25,3,0)</f>
        <v>1440</v>
      </c>
      <c r="G66" s="222">
        <f>F66/E66</f>
        <v>96</v>
      </c>
      <c r="H66" s="440"/>
      <c r="I66" s="221">
        <f t="shared" si="70"/>
        <v>15</v>
      </c>
      <c r="J66" s="221">
        <f t="shared" si="70"/>
        <v>1257.1428571428571</v>
      </c>
      <c r="K66" s="222">
        <f t="shared" si="70"/>
        <v>83.805322128851543</v>
      </c>
      <c r="L66" s="440"/>
      <c r="M66" s="221">
        <f>RANK(K66, K$53:$K$67)</f>
        <v>7</v>
      </c>
      <c r="N66" s="445"/>
      <c r="O66" s="445"/>
      <c r="P66" s="220">
        <v>17</v>
      </c>
      <c r="Q66" s="220">
        <v>1368</v>
      </c>
      <c r="R66" s="222">
        <f>Q66/P66</f>
        <v>80.470588235294116</v>
      </c>
      <c r="S66" s="220">
        <f>RANK(R66, $R$53:$R$67)</f>
        <v>11</v>
      </c>
      <c r="T66" s="437"/>
      <c r="U66" s="220">
        <v>15</v>
      </c>
      <c r="V66" s="220">
        <v>1384</v>
      </c>
      <c r="W66" s="222">
        <f t="shared" si="71"/>
        <v>92.266666666666666</v>
      </c>
      <c r="X66" s="220">
        <f t="shared" si="72"/>
        <v>7</v>
      </c>
      <c r="Y66" s="437"/>
      <c r="Z66" s="220">
        <v>15</v>
      </c>
      <c r="AA66" s="220">
        <v>1229</v>
      </c>
      <c r="AB66" s="222">
        <f t="shared" si="73"/>
        <v>81.933333333333337</v>
      </c>
      <c r="AC66" s="220">
        <f t="shared" si="74"/>
        <v>9</v>
      </c>
      <c r="AD66" s="437"/>
      <c r="AE66" s="220">
        <v>14</v>
      </c>
      <c r="AF66" s="220">
        <v>1189</v>
      </c>
      <c r="AG66" s="222">
        <f t="shared" si="75"/>
        <v>84.928571428571431</v>
      </c>
      <c r="AH66" s="220">
        <f t="shared" si="76"/>
        <v>7</v>
      </c>
      <c r="AI66" s="437"/>
      <c r="AJ66" s="220">
        <v>14</v>
      </c>
      <c r="AK66" s="220">
        <v>1058</v>
      </c>
      <c r="AL66" s="222">
        <f t="shared" si="77"/>
        <v>75.571428571428569</v>
      </c>
      <c r="AM66" s="220">
        <f t="shared" si="78"/>
        <v>9</v>
      </c>
      <c r="AN66" s="437"/>
      <c r="AO66" s="220">
        <v>15</v>
      </c>
      <c r="AP66" s="220">
        <v>1318</v>
      </c>
      <c r="AQ66" s="222">
        <f t="shared" si="79"/>
        <v>87.86666666666666</v>
      </c>
      <c r="AR66" s="220">
        <f t="shared" si="80"/>
        <v>7</v>
      </c>
      <c r="AS66" s="437"/>
      <c r="AT66" s="220">
        <v>15</v>
      </c>
      <c r="AU66" s="220">
        <v>1254</v>
      </c>
      <c r="AV66" s="222">
        <f t="shared" si="81"/>
        <v>83.6</v>
      </c>
      <c r="AW66" s="220">
        <f t="shared" si="82"/>
        <v>8</v>
      </c>
      <c r="AX66" s="437"/>
    </row>
    <row r="67" spans="2:50">
      <c r="B67" s="438"/>
      <c r="C67" s="220">
        <v>15</v>
      </c>
      <c r="D67" s="220"/>
      <c r="E67" s="220"/>
      <c r="F67" s="220"/>
      <c r="G67" s="222"/>
      <c r="H67" s="441"/>
      <c r="I67" s="220"/>
      <c r="J67" s="221"/>
      <c r="K67" s="222"/>
      <c r="L67" s="441"/>
      <c r="M67" s="221"/>
      <c r="N67" s="445"/>
      <c r="O67" s="445"/>
      <c r="P67" s="220"/>
      <c r="Q67" s="220"/>
      <c r="R67" s="222"/>
      <c r="S67" s="220"/>
      <c r="T67" s="437"/>
      <c r="U67" s="220"/>
      <c r="V67" s="220"/>
      <c r="W67" s="222"/>
      <c r="X67" s="220"/>
      <c r="Y67" s="437"/>
      <c r="Z67" s="220"/>
      <c r="AA67" s="220"/>
      <c r="AB67" s="222"/>
      <c r="AC67" s="220"/>
      <c r="AD67" s="437"/>
      <c r="AE67" s="220"/>
      <c r="AF67" s="220"/>
      <c r="AG67" s="222"/>
      <c r="AH67" s="220"/>
      <c r="AI67" s="437"/>
      <c r="AJ67" s="220"/>
      <c r="AK67" s="220"/>
      <c r="AL67" s="222"/>
      <c r="AM67" s="220"/>
      <c r="AN67" s="437"/>
      <c r="AO67" s="220"/>
      <c r="AP67" s="220"/>
      <c r="AQ67" s="222"/>
      <c r="AR67" s="220"/>
      <c r="AS67" s="437"/>
      <c r="AT67" s="220"/>
      <c r="AU67" s="220"/>
      <c r="AV67" s="222"/>
      <c r="AW67" s="220"/>
      <c r="AX67" s="437"/>
    </row>
    <row r="68" spans="2:50" ht="15.5">
      <c r="B68" s="459" t="s">
        <v>44</v>
      </c>
      <c r="C68" s="455"/>
      <c r="D68" s="455"/>
      <c r="E68" s="455"/>
      <c r="F68" s="455"/>
      <c r="G68" s="455"/>
      <c r="H68" s="455"/>
      <c r="I68" s="225"/>
      <c r="J68" s="225"/>
      <c r="K68" s="225"/>
      <c r="L68" s="225"/>
      <c r="M68" s="226"/>
      <c r="N68" s="450" t="s">
        <v>45</v>
      </c>
      <c r="O68" s="450" t="s">
        <v>3</v>
      </c>
      <c r="P68" s="453">
        <v>46007</v>
      </c>
      <c r="Q68" s="438"/>
      <c r="R68" s="438"/>
      <c r="S68" s="438"/>
      <c r="T68" s="438"/>
      <c r="U68" s="453">
        <v>46008</v>
      </c>
      <c r="V68" s="438"/>
      <c r="W68" s="438"/>
      <c r="X68" s="438"/>
      <c r="Y68" s="438"/>
      <c r="Z68" s="453">
        <v>46009</v>
      </c>
      <c r="AA68" s="438"/>
      <c r="AB68" s="438"/>
      <c r="AC68" s="438"/>
      <c r="AD68" s="438"/>
      <c r="AE68" s="453">
        <v>46010</v>
      </c>
      <c r="AF68" s="438"/>
      <c r="AG68" s="438"/>
      <c r="AH68" s="438"/>
      <c r="AI68" s="438"/>
      <c r="AJ68" s="453">
        <v>46011</v>
      </c>
      <c r="AK68" s="438"/>
      <c r="AL68" s="438"/>
      <c r="AM68" s="438"/>
      <c r="AN68" s="438"/>
      <c r="AO68" s="453">
        <v>46012</v>
      </c>
      <c r="AP68" s="438"/>
      <c r="AQ68" s="438"/>
      <c r="AR68" s="438"/>
      <c r="AS68" s="438"/>
      <c r="AT68" s="453">
        <v>46013</v>
      </c>
      <c r="AU68" s="438"/>
      <c r="AV68" s="438"/>
      <c r="AW68" s="438"/>
      <c r="AX68" s="438"/>
    </row>
    <row r="69" spans="2:50" ht="15.5">
      <c r="B69" s="456"/>
      <c r="C69" s="456"/>
      <c r="D69" s="456"/>
      <c r="E69" s="456"/>
      <c r="F69" s="456"/>
      <c r="G69" s="456"/>
      <c r="H69" s="456"/>
      <c r="I69" s="216"/>
      <c r="J69" s="216"/>
      <c r="K69" s="216"/>
      <c r="L69" s="216"/>
      <c r="M69" s="217"/>
      <c r="N69" s="452"/>
      <c r="O69" s="452"/>
      <c r="P69" s="453" t="s">
        <v>15</v>
      </c>
      <c r="Q69" s="438"/>
      <c r="R69" s="438"/>
      <c r="S69" s="438"/>
      <c r="T69" s="438"/>
      <c r="U69" s="453" t="s">
        <v>16</v>
      </c>
      <c r="V69" s="438"/>
      <c r="W69" s="438"/>
      <c r="X69" s="438"/>
      <c r="Y69" s="438"/>
      <c r="Z69" s="453" t="s">
        <v>17</v>
      </c>
      <c r="AA69" s="438"/>
      <c r="AB69" s="438"/>
      <c r="AC69" s="438"/>
      <c r="AD69" s="438"/>
      <c r="AE69" s="453" t="s">
        <v>18</v>
      </c>
      <c r="AF69" s="438"/>
      <c r="AG69" s="438"/>
      <c r="AH69" s="438"/>
      <c r="AI69" s="438"/>
      <c r="AJ69" s="453" t="s">
        <v>19</v>
      </c>
      <c r="AK69" s="438"/>
      <c r="AL69" s="438"/>
      <c r="AM69" s="438"/>
      <c r="AN69" s="438"/>
      <c r="AO69" s="453" t="s">
        <v>10</v>
      </c>
      <c r="AP69" s="438"/>
      <c r="AQ69" s="438"/>
      <c r="AR69" s="438"/>
      <c r="AS69" s="438"/>
      <c r="AT69" s="453" t="s">
        <v>14</v>
      </c>
      <c r="AU69" s="438"/>
      <c r="AV69" s="438"/>
      <c r="AW69" s="438"/>
      <c r="AX69" s="438"/>
    </row>
    <row r="70" spans="2:50">
      <c r="B70" s="445" t="s">
        <v>46</v>
      </c>
      <c r="C70" s="446" t="s">
        <v>47</v>
      </c>
      <c r="D70" s="445"/>
      <c r="E70" s="445" t="s">
        <v>48</v>
      </c>
      <c r="F70" s="445"/>
      <c r="G70" s="445"/>
      <c r="H70" s="447" t="s">
        <v>49</v>
      </c>
      <c r="I70" s="445" t="s">
        <v>50</v>
      </c>
      <c r="J70" s="445"/>
      <c r="K70" s="445"/>
      <c r="L70" s="447" t="s">
        <v>49</v>
      </c>
      <c r="M70" s="466" t="s">
        <v>51</v>
      </c>
      <c r="N70" s="450"/>
      <c r="O70" s="450" t="s">
        <v>52</v>
      </c>
      <c r="P70" s="442" t="s">
        <v>53</v>
      </c>
      <c r="Q70" s="443"/>
      <c r="R70" s="443"/>
      <c r="S70" s="444"/>
      <c r="T70" s="445" t="s">
        <v>49</v>
      </c>
      <c r="U70" s="442" t="s">
        <v>53</v>
      </c>
      <c r="V70" s="443"/>
      <c r="W70" s="443"/>
      <c r="X70" s="444"/>
      <c r="Y70" s="445" t="s">
        <v>49</v>
      </c>
      <c r="Z70" s="442" t="s">
        <v>53</v>
      </c>
      <c r="AA70" s="443"/>
      <c r="AB70" s="443"/>
      <c r="AC70" s="444"/>
      <c r="AD70" s="445" t="s">
        <v>49</v>
      </c>
      <c r="AE70" s="442" t="s">
        <v>53</v>
      </c>
      <c r="AF70" s="443"/>
      <c r="AG70" s="443"/>
      <c r="AH70" s="444"/>
      <c r="AI70" s="445" t="s">
        <v>49</v>
      </c>
      <c r="AJ70" s="442" t="s">
        <v>53</v>
      </c>
      <c r="AK70" s="443"/>
      <c r="AL70" s="443"/>
      <c r="AM70" s="444"/>
      <c r="AN70" s="445" t="s">
        <v>49</v>
      </c>
      <c r="AO70" s="442" t="s">
        <v>53</v>
      </c>
      <c r="AP70" s="443"/>
      <c r="AQ70" s="443"/>
      <c r="AR70" s="444"/>
      <c r="AS70" s="445" t="s">
        <v>49</v>
      </c>
      <c r="AT70" s="442" t="s">
        <v>53</v>
      </c>
      <c r="AU70" s="443"/>
      <c r="AV70" s="443"/>
      <c r="AW70" s="444"/>
      <c r="AX70" s="445" t="s">
        <v>49</v>
      </c>
    </row>
    <row r="71" spans="2:50">
      <c r="B71" s="445"/>
      <c r="C71" s="445"/>
      <c r="D71" s="445"/>
      <c r="E71" s="445" t="s">
        <v>54</v>
      </c>
      <c r="F71" s="445"/>
      <c r="G71" s="445"/>
      <c r="H71" s="448"/>
      <c r="I71" s="445" t="s">
        <v>54</v>
      </c>
      <c r="J71" s="445"/>
      <c r="K71" s="445"/>
      <c r="L71" s="448"/>
      <c r="M71" s="451"/>
      <c r="N71" s="451"/>
      <c r="O71" s="451"/>
      <c r="P71" s="442" t="s">
        <v>55</v>
      </c>
      <c r="Q71" s="443"/>
      <c r="R71" s="443"/>
      <c r="S71" s="444"/>
      <c r="T71" s="445"/>
      <c r="U71" s="442" t="s">
        <v>55</v>
      </c>
      <c r="V71" s="443"/>
      <c r="W71" s="443"/>
      <c r="X71" s="444"/>
      <c r="Y71" s="445"/>
      <c r="Z71" s="442" t="s">
        <v>55</v>
      </c>
      <c r="AA71" s="443"/>
      <c r="AB71" s="443"/>
      <c r="AC71" s="444"/>
      <c r="AD71" s="445"/>
      <c r="AE71" s="442" t="s">
        <v>55</v>
      </c>
      <c r="AF71" s="443"/>
      <c r="AG71" s="443"/>
      <c r="AH71" s="444"/>
      <c r="AI71" s="445"/>
      <c r="AJ71" s="442" t="s">
        <v>55</v>
      </c>
      <c r="AK71" s="443"/>
      <c r="AL71" s="443"/>
      <c r="AM71" s="444"/>
      <c r="AN71" s="445"/>
      <c r="AO71" s="442" t="s">
        <v>55</v>
      </c>
      <c r="AP71" s="443"/>
      <c r="AQ71" s="443"/>
      <c r="AR71" s="444"/>
      <c r="AS71" s="445"/>
      <c r="AT71" s="442" t="s">
        <v>55</v>
      </c>
      <c r="AU71" s="443"/>
      <c r="AV71" s="443"/>
      <c r="AW71" s="444"/>
      <c r="AX71" s="445"/>
    </row>
    <row r="72" spans="2:50">
      <c r="B72" s="445"/>
      <c r="C72" s="445"/>
      <c r="D72" s="445"/>
      <c r="E72" s="219" t="s">
        <v>56</v>
      </c>
      <c r="F72" s="219" t="s">
        <v>57</v>
      </c>
      <c r="G72" s="219" t="s">
        <v>58</v>
      </c>
      <c r="H72" s="449"/>
      <c r="I72" s="219" t="s">
        <v>56</v>
      </c>
      <c r="J72" s="219" t="s">
        <v>57</v>
      </c>
      <c r="K72" s="219" t="s">
        <v>58</v>
      </c>
      <c r="L72" s="449"/>
      <c r="M72" s="452"/>
      <c r="N72" s="451"/>
      <c r="O72" s="451"/>
      <c r="P72" s="219" t="s">
        <v>56</v>
      </c>
      <c r="Q72" s="219" t="s">
        <v>57</v>
      </c>
      <c r="R72" s="219" t="s">
        <v>58</v>
      </c>
      <c r="S72" s="219" t="s">
        <v>51</v>
      </c>
      <c r="T72" s="445"/>
      <c r="U72" s="219" t="s">
        <v>56</v>
      </c>
      <c r="V72" s="219" t="s">
        <v>57</v>
      </c>
      <c r="W72" s="219" t="s">
        <v>58</v>
      </c>
      <c r="X72" s="219" t="s">
        <v>51</v>
      </c>
      <c r="Y72" s="445"/>
      <c r="Z72" s="219" t="s">
        <v>56</v>
      </c>
      <c r="AA72" s="219" t="s">
        <v>57</v>
      </c>
      <c r="AB72" s="219" t="s">
        <v>58</v>
      </c>
      <c r="AC72" s="219" t="s">
        <v>51</v>
      </c>
      <c r="AD72" s="445"/>
      <c r="AE72" s="219" t="s">
        <v>56</v>
      </c>
      <c r="AF72" s="219" t="s">
        <v>57</v>
      </c>
      <c r="AG72" s="219" t="s">
        <v>58</v>
      </c>
      <c r="AH72" s="219" t="s">
        <v>51</v>
      </c>
      <c r="AI72" s="445"/>
      <c r="AJ72" s="219" t="s">
        <v>56</v>
      </c>
      <c r="AK72" s="219" t="s">
        <v>57</v>
      </c>
      <c r="AL72" s="219" t="s">
        <v>58</v>
      </c>
      <c r="AM72" s="219" t="s">
        <v>51</v>
      </c>
      <c r="AN72" s="445"/>
      <c r="AO72" s="219" t="s">
        <v>56</v>
      </c>
      <c r="AP72" s="219" t="s">
        <v>57</v>
      </c>
      <c r="AQ72" s="219" t="s">
        <v>58</v>
      </c>
      <c r="AR72" s="219" t="s">
        <v>51</v>
      </c>
      <c r="AS72" s="445"/>
      <c r="AT72" s="219" t="s">
        <v>56</v>
      </c>
      <c r="AU72" s="219" t="s">
        <v>57</v>
      </c>
      <c r="AV72" s="219" t="s">
        <v>58</v>
      </c>
      <c r="AW72" s="219" t="s">
        <v>51</v>
      </c>
      <c r="AX72" s="445"/>
    </row>
    <row r="73" spans="2:50" ht="13">
      <c r="B73" s="463" t="s">
        <v>331</v>
      </c>
      <c r="C73" s="220">
        <v>1</v>
      </c>
      <c r="D73" s="224" t="s">
        <v>74</v>
      </c>
      <c r="E73" s="221">
        <f>VLOOKUP(D73,'11產線配置圖'!$A$2:$C$25,2,0)</f>
        <v>12</v>
      </c>
      <c r="F73" s="221">
        <f>VLOOKUP(D73,'11產線配置圖'!$A$2:$C$25,3,0)</f>
        <v>2000</v>
      </c>
      <c r="G73" s="222">
        <f>F73/E73</f>
        <v>166.66666666666666</v>
      </c>
      <c r="H73" s="460">
        <f>AVERAGE(G73:G87)</f>
        <v>109.0888141324906</v>
      </c>
      <c r="I73" s="221">
        <f>AVERAGE(P73,U73,Z73,AE73,AJ73,AO73,AT73)</f>
        <v>12</v>
      </c>
      <c r="J73" s="221">
        <f>AVERAGE(Q73,V73,AA73,AF73,AK73,AP73,AU73)</f>
        <v>1814.5714285714287</v>
      </c>
      <c r="K73" s="222">
        <f>AVERAGE(R73,W73,AB73,AG73,AL73,AQ73,AV73)</f>
        <v>151.21428571428575</v>
      </c>
      <c r="L73" s="460">
        <f>IFERROR(AVERAGE(K73:K90),"-")</f>
        <v>96.594173786248646</v>
      </c>
      <c r="M73" s="221">
        <f>RANK(K73, $K$73:$K$90)</f>
        <v>1</v>
      </c>
      <c r="N73" s="451"/>
      <c r="O73" s="451"/>
      <c r="P73" s="221">
        <v>12</v>
      </c>
      <c r="Q73" s="221">
        <v>1892</v>
      </c>
      <c r="R73" s="158">
        <f>Q73/P73</f>
        <v>157.66666666666666</v>
      </c>
      <c r="S73" s="110">
        <f>RANK(R73, $R$73:$R$90)</f>
        <v>1</v>
      </c>
      <c r="T73" s="460">
        <f>AVERAGE(R73:R90)</f>
        <v>94.092307961055553</v>
      </c>
      <c r="U73" s="221">
        <v>12</v>
      </c>
      <c r="V73" s="221">
        <v>1876</v>
      </c>
      <c r="W73" s="222">
        <f>V73/U73</f>
        <v>156.33333333333334</v>
      </c>
      <c r="X73" s="220">
        <f>RANK(W73, $W$73:$W$90)</f>
        <v>1</v>
      </c>
      <c r="Y73" s="460">
        <f>AVERAGE(W73:W90)</f>
        <v>96.221214872588732</v>
      </c>
      <c r="Z73" s="221">
        <v>12</v>
      </c>
      <c r="AA73" s="221">
        <v>1885</v>
      </c>
      <c r="AB73" s="222">
        <f>AA73/Z73</f>
        <v>157.08333333333334</v>
      </c>
      <c r="AC73" s="220">
        <f>RANK(AB73, $AB$73:$AB$90)</f>
        <v>1</v>
      </c>
      <c r="AD73" s="460">
        <f>AVERAGE(AB73:AB90)</f>
        <v>97.941669230107706</v>
      </c>
      <c r="AE73" s="221">
        <v>12</v>
      </c>
      <c r="AF73" s="221">
        <v>1819</v>
      </c>
      <c r="AG73" s="222">
        <f>AF73/AE73</f>
        <v>151.58333333333334</v>
      </c>
      <c r="AH73" s="220">
        <f>RANK(AG73, $AG$73:$AG$90)</f>
        <v>1</v>
      </c>
      <c r="AI73" s="460">
        <f>AVERAGE(AG73:AG90)</f>
        <v>95.185493809112714</v>
      </c>
      <c r="AJ73" s="221">
        <v>12</v>
      </c>
      <c r="AK73" s="221">
        <v>1558</v>
      </c>
      <c r="AL73" s="222">
        <f>AK73/AJ73</f>
        <v>129.83333333333334</v>
      </c>
      <c r="AM73" s="220">
        <f>RANK(AL73, $AL$73:$AL$90)</f>
        <v>4</v>
      </c>
      <c r="AN73" s="460">
        <f>AVERAGE(AL73:AL90)</f>
        <v>94.659719505210973</v>
      </c>
      <c r="AO73" s="221">
        <v>12</v>
      </c>
      <c r="AP73" s="221">
        <v>1903</v>
      </c>
      <c r="AQ73" s="222">
        <f>AP73/AO73</f>
        <v>158.58333333333334</v>
      </c>
      <c r="AR73" s="220">
        <f>RANK(AQ73, $AQ$73:$AQ$90)</f>
        <v>1</v>
      </c>
      <c r="AS73" s="460">
        <f>AVERAGE(AQ73:AQ90)</f>
        <v>99.967981877298811</v>
      </c>
      <c r="AT73" s="221">
        <v>12</v>
      </c>
      <c r="AU73" s="221">
        <v>1769</v>
      </c>
      <c r="AV73" s="222">
        <f>AU73/AT73</f>
        <v>147.41666666666666</v>
      </c>
      <c r="AW73" s="220">
        <f>RANK(AV73, $AV$73:$AV$90)</f>
        <v>1</v>
      </c>
      <c r="AX73" s="460">
        <f>AVERAGE(AV73:AV90)</f>
        <v>98.090829248366006</v>
      </c>
    </row>
    <row r="74" spans="2:50">
      <c r="B74" s="464"/>
      <c r="C74" s="220">
        <v>2</v>
      </c>
      <c r="D74" s="220" t="s">
        <v>77</v>
      </c>
      <c r="E74" s="221">
        <f>VLOOKUP(D74,'11產線配置圖'!$A$2:$C$25,2,0)</f>
        <v>13</v>
      </c>
      <c r="F74" s="221">
        <f>VLOOKUP(D74,'11產線配置圖'!$A$2:$C$25,3,0)</f>
        <v>2000</v>
      </c>
      <c r="G74" s="222">
        <f t="shared" ref="G74:G85" si="83">F74/E74</f>
        <v>153.84615384615384</v>
      </c>
      <c r="H74" s="461"/>
      <c r="I74" s="221">
        <f t="shared" ref="I74:K82" si="84">AVERAGE(P74,U74,Z74,AE74,AJ74,AO74,AT74)</f>
        <v>13</v>
      </c>
      <c r="J74" s="221">
        <f t="shared" si="84"/>
        <v>1873.8571428571429</v>
      </c>
      <c r="K74" s="222">
        <f t="shared" si="84"/>
        <v>144.14285714285714</v>
      </c>
      <c r="L74" s="461"/>
      <c r="M74" s="221">
        <f t="shared" ref="M74:M88" si="85">RANK(K74, $K$73:$K$90)</f>
        <v>3</v>
      </c>
      <c r="N74" s="451"/>
      <c r="O74" s="451"/>
      <c r="P74" s="221">
        <v>13</v>
      </c>
      <c r="Q74" s="221">
        <v>1906</v>
      </c>
      <c r="R74" s="158">
        <f t="shared" ref="R74:R82" si="86">Q74/P74</f>
        <v>146.61538461538461</v>
      </c>
      <c r="S74" s="110">
        <f t="shared" ref="S74:S82" si="87">RANK(R74, $R$73:$R$90)</f>
        <v>3</v>
      </c>
      <c r="T74" s="461"/>
      <c r="U74" s="221">
        <v>13</v>
      </c>
      <c r="V74" s="221">
        <v>1930</v>
      </c>
      <c r="W74" s="222">
        <f t="shared" ref="W74:W82" si="88">V74/U74</f>
        <v>148.46153846153845</v>
      </c>
      <c r="X74" s="220">
        <f t="shared" ref="X74:X82" si="89">RANK(W74, $W$73:$W$90)</f>
        <v>2</v>
      </c>
      <c r="Y74" s="461"/>
      <c r="Z74" s="221">
        <v>13</v>
      </c>
      <c r="AA74" s="221">
        <v>1902</v>
      </c>
      <c r="AB74" s="222">
        <f t="shared" ref="AB74:AB82" si="90">AA74/Z74</f>
        <v>146.30769230769232</v>
      </c>
      <c r="AC74" s="220">
        <f t="shared" ref="AC74:AC82" si="91">RANK(AB74, $AB$73:$AB$90)</f>
        <v>3</v>
      </c>
      <c r="AD74" s="461"/>
      <c r="AE74" s="221">
        <v>13</v>
      </c>
      <c r="AF74" s="221">
        <v>1810</v>
      </c>
      <c r="AG74" s="222">
        <f t="shared" ref="AG74:AG82" si="92">AF74/AE74</f>
        <v>139.23076923076923</v>
      </c>
      <c r="AH74" s="220">
        <f t="shared" ref="AH74:AH82" si="93">RANK(AG74, $AG$73:$AG$90)</f>
        <v>3</v>
      </c>
      <c r="AI74" s="461"/>
      <c r="AJ74" s="221">
        <v>13</v>
      </c>
      <c r="AK74" s="221">
        <v>1858</v>
      </c>
      <c r="AL74" s="222">
        <f t="shared" ref="AL74:AL82" si="94">AK74/AJ74</f>
        <v>142.92307692307693</v>
      </c>
      <c r="AM74" s="220">
        <f t="shared" ref="AM74:AM82" si="95">RANK(AL74, $AL$73:$AL$90)</f>
        <v>2</v>
      </c>
      <c r="AN74" s="461"/>
      <c r="AO74" s="221">
        <v>13</v>
      </c>
      <c r="AP74" s="221">
        <v>1914</v>
      </c>
      <c r="AQ74" s="222">
        <f t="shared" ref="AQ74:AQ82" si="96">AP74/AO74</f>
        <v>147.23076923076923</v>
      </c>
      <c r="AR74" s="220">
        <f t="shared" ref="AR74:AR82" si="97">RANK(AQ74, $AQ$73:$AQ$90)</f>
        <v>3</v>
      </c>
      <c r="AS74" s="461"/>
      <c r="AT74" s="221">
        <v>13</v>
      </c>
      <c r="AU74" s="221">
        <v>1797</v>
      </c>
      <c r="AV74" s="222">
        <f t="shared" ref="AV74:AV82" si="98">AU74/AT74</f>
        <v>138.23076923076923</v>
      </c>
      <c r="AW74" s="220">
        <f t="shared" ref="AW74:AW82" si="99">RANK(AV74, $AV$73:$AV$90)</f>
        <v>3</v>
      </c>
      <c r="AX74" s="461"/>
    </row>
    <row r="75" spans="2:50">
      <c r="B75" s="464"/>
      <c r="C75" s="220">
        <v>3</v>
      </c>
      <c r="D75" s="220" t="s">
        <v>75</v>
      </c>
      <c r="E75" s="221">
        <f>VLOOKUP(D75,'11產線配置圖'!$A$2:$C$25,2,0)</f>
        <v>15</v>
      </c>
      <c r="F75" s="221">
        <f>VLOOKUP(D75,'11產線配置圖'!$A$2:$C$25,3,0)</f>
        <v>2000</v>
      </c>
      <c r="G75" s="222">
        <f t="shared" si="83"/>
        <v>133.33333333333334</v>
      </c>
      <c r="H75" s="461"/>
      <c r="I75" s="221">
        <f t="shared" si="84"/>
        <v>13</v>
      </c>
      <c r="J75" s="221">
        <f t="shared" si="84"/>
        <v>1905.2857142857142</v>
      </c>
      <c r="K75" s="222">
        <f t="shared" si="84"/>
        <v>146.56043956043956</v>
      </c>
      <c r="L75" s="461"/>
      <c r="M75" s="221">
        <f t="shared" si="85"/>
        <v>2</v>
      </c>
      <c r="N75" s="451"/>
      <c r="O75" s="451"/>
      <c r="P75" s="221">
        <v>13</v>
      </c>
      <c r="Q75" s="221">
        <v>1899</v>
      </c>
      <c r="R75" s="158">
        <f t="shared" si="86"/>
        <v>146.07692307692307</v>
      </c>
      <c r="S75" s="110">
        <f t="shared" si="87"/>
        <v>4</v>
      </c>
      <c r="T75" s="461"/>
      <c r="U75" s="221">
        <v>13</v>
      </c>
      <c r="V75" s="221">
        <v>1902</v>
      </c>
      <c r="W75" s="222">
        <f t="shared" si="88"/>
        <v>146.30769230769232</v>
      </c>
      <c r="X75" s="220">
        <f t="shared" si="89"/>
        <v>3</v>
      </c>
      <c r="Y75" s="461"/>
      <c r="Z75" s="221">
        <v>13</v>
      </c>
      <c r="AA75" s="221">
        <v>1957</v>
      </c>
      <c r="AB75" s="222">
        <f t="shared" si="90"/>
        <v>150.53846153846155</v>
      </c>
      <c r="AC75" s="220">
        <f t="shared" si="91"/>
        <v>2</v>
      </c>
      <c r="AD75" s="461"/>
      <c r="AE75" s="221">
        <v>13</v>
      </c>
      <c r="AF75" s="221">
        <v>1835</v>
      </c>
      <c r="AG75" s="222">
        <f t="shared" si="92"/>
        <v>141.15384615384616</v>
      </c>
      <c r="AH75" s="220">
        <f t="shared" si="93"/>
        <v>2</v>
      </c>
      <c r="AI75" s="461"/>
      <c r="AJ75" s="221">
        <v>13</v>
      </c>
      <c r="AK75" s="221">
        <v>1961</v>
      </c>
      <c r="AL75" s="222">
        <f t="shared" si="94"/>
        <v>150.84615384615384</v>
      </c>
      <c r="AM75" s="220">
        <f t="shared" si="95"/>
        <v>1</v>
      </c>
      <c r="AN75" s="461"/>
      <c r="AO75" s="221">
        <v>13</v>
      </c>
      <c r="AP75" s="221">
        <v>1928</v>
      </c>
      <c r="AQ75" s="222">
        <f t="shared" si="96"/>
        <v>148.30769230769232</v>
      </c>
      <c r="AR75" s="220">
        <f t="shared" si="97"/>
        <v>2</v>
      </c>
      <c r="AS75" s="461"/>
      <c r="AT75" s="221">
        <v>13</v>
      </c>
      <c r="AU75" s="221">
        <v>1855</v>
      </c>
      <c r="AV75" s="222">
        <f t="shared" si="98"/>
        <v>142.69230769230768</v>
      </c>
      <c r="AW75" s="220">
        <f t="shared" si="99"/>
        <v>2</v>
      </c>
      <c r="AX75" s="461"/>
    </row>
    <row r="76" spans="2:50">
      <c r="B76" s="464"/>
      <c r="C76" s="220">
        <v>4</v>
      </c>
      <c r="D76" s="220" t="s">
        <v>195</v>
      </c>
      <c r="E76" s="221">
        <f>VLOOKUP(D76,'11產線配置圖'!$A$2:$C$25,2,0)</f>
        <v>18</v>
      </c>
      <c r="F76" s="221">
        <f>VLOOKUP(D76,'11產線配置圖'!$A$2:$C$25,3,0)</f>
        <v>1565</v>
      </c>
      <c r="G76" s="222">
        <f t="shared" si="83"/>
        <v>86.944444444444443</v>
      </c>
      <c r="H76" s="461"/>
      <c r="I76" s="221">
        <f t="shared" si="84"/>
        <v>18</v>
      </c>
      <c r="J76" s="221">
        <f t="shared" si="84"/>
        <v>1551.8571428571429</v>
      </c>
      <c r="K76" s="222">
        <f t="shared" si="84"/>
        <v>86.214285714285708</v>
      </c>
      <c r="L76" s="461"/>
      <c r="M76" s="221">
        <f t="shared" si="85"/>
        <v>9</v>
      </c>
      <c r="N76" s="451"/>
      <c r="O76" s="451"/>
      <c r="P76" s="221">
        <v>18</v>
      </c>
      <c r="Q76" s="221">
        <v>1585</v>
      </c>
      <c r="R76" s="158">
        <f t="shared" si="86"/>
        <v>88.055555555555557</v>
      </c>
      <c r="S76" s="110">
        <f t="shared" si="87"/>
        <v>7</v>
      </c>
      <c r="T76" s="461"/>
      <c r="U76" s="221">
        <v>18</v>
      </c>
      <c r="V76" s="221">
        <v>1533</v>
      </c>
      <c r="W76" s="222">
        <f t="shared" si="88"/>
        <v>85.166666666666671</v>
      </c>
      <c r="X76" s="220">
        <f t="shared" si="89"/>
        <v>7</v>
      </c>
      <c r="Y76" s="461"/>
      <c r="Z76" s="221">
        <v>18</v>
      </c>
      <c r="AA76" s="221">
        <v>1556</v>
      </c>
      <c r="AB76" s="222">
        <f t="shared" si="90"/>
        <v>86.444444444444443</v>
      </c>
      <c r="AC76" s="220">
        <f t="shared" si="91"/>
        <v>9</v>
      </c>
      <c r="AD76" s="461"/>
      <c r="AE76" s="221">
        <v>18</v>
      </c>
      <c r="AF76" s="221">
        <v>1527</v>
      </c>
      <c r="AG76" s="222">
        <f t="shared" si="92"/>
        <v>84.833333333333329</v>
      </c>
      <c r="AH76" s="220">
        <f t="shared" si="93"/>
        <v>8</v>
      </c>
      <c r="AI76" s="461"/>
      <c r="AJ76" s="221">
        <v>18</v>
      </c>
      <c r="AK76" s="221">
        <v>1519</v>
      </c>
      <c r="AL76" s="222">
        <f t="shared" si="94"/>
        <v>84.388888888888886</v>
      </c>
      <c r="AM76" s="220">
        <f t="shared" si="95"/>
        <v>9</v>
      </c>
      <c r="AN76" s="461"/>
      <c r="AO76" s="221">
        <v>18</v>
      </c>
      <c r="AP76" s="221">
        <v>1588</v>
      </c>
      <c r="AQ76" s="222">
        <f t="shared" si="96"/>
        <v>88.222222222222229</v>
      </c>
      <c r="AR76" s="220">
        <f t="shared" si="97"/>
        <v>9</v>
      </c>
      <c r="AS76" s="461"/>
      <c r="AT76" s="221">
        <v>18</v>
      </c>
      <c r="AU76" s="221">
        <v>1555</v>
      </c>
      <c r="AV76" s="222">
        <f t="shared" si="98"/>
        <v>86.388888888888886</v>
      </c>
      <c r="AW76" s="220">
        <f t="shared" si="99"/>
        <v>10</v>
      </c>
      <c r="AX76" s="461"/>
    </row>
    <row r="77" spans="2:50">
      <c r="B77" s="464"/>
      <c r="C77" s="220">
        <v>5</v>
      </c>
      <c r="D77" s="220" t="s">
        <v>76</v>
      </c>
      <c r="E77" s="221">
        <f>VLOOKUP(D77,'11產線配置圖'!$A$2:$C$25,2,0)</f>
        <v>13</v>
      </c>
      <c r="F77" s="221">
        <f>VLOOKUP(D77,'11產線配置圖'!$A$2:$C$25,3,0)</f>
        <v>2000</v>
      </c>
      <c r="G77" s="222">
        <f t="shared" si="83"/>
        <v>153.84615384615384</v>
      </c>
      <c r="H77" s="461"/>
      <c r="I77" s="221">
        <f t="shared" si="84"/>
        <v>13</v>
      </c>
      <c r="J77" s="221">
        <f>AVERAGE(Q77,V77,AA77,AF77,AK77,AP77,AU77)</f>
        <v>1817.2857142857142</v>
      </c>
      <c r="K77" s="222">
        <f t="shared" si="84"/>
        <v>139.79120879120879</v>
      </c>
      <c r="L77" s="461"/>
      <c r="M77" s="221">
        <f t="shared" si="85"/>
        <v>4</v>
      </c>
      <c r="N77" s="451"/>
      <c r="O77" s="451"/>
      <c r="P77" s="221">
        <v>13</v>
      </c>
      <c r="Q77" s="221">
        <v>1916</v>
      </c>
      <c r="R77" s="158">
        <f t="shared" si="86"/>
        <v>147.38461538461539</v>
      </c>
      <c r="S77" s="110">
        <f t="shared" si="87"/>
        <v>2</v>
      </c>
      <c r="T77" s="461"/>
      <c r="U77" s="221">
        <v>13</v>
      </c>
      <c r="V77" s="221">
        <v>1813</v>
      </c>
      <c r="W77" s="222">
        <f t="shared" si="88"/>
        <v>139.46153846153845</v>
      </c>
      <c r="X77" s="220">
        <f t="shared" si="89"/>
        <v>4</v>
      </c>
      <c r="Y77" s="461"/>
      <c r="Z77" s="221">
        <v>13</v>
      </c>
      <c r="AA77" s="221">
        <v>1794</v>
      </c>
      <c r="AB77" s="222">
        <f t="shared" si="90"/>
        <v>138</v>
      </c>
      <c r="AC77" s="220">
        <f t="shared" si="91"/>
        <v>4</v>
      </c>
      <c r="AD77" s="461"/>
      <c r="AE77" s="221">
        <v>13</v>
      </c>
      <c r="AF77" s="221">
        <v>1796</v>
      </c>
      <c r="AG77" s="222">
        <f t="shared" si="92"/>
        <v>138.15384615384616</v>
      </c>
      <c r="AH77" s="220">
        <f t="shared" si="93"/>
        <v>4</v>
      </c>
      <c r="AI77" s="461"/>
      <c r="AJ77" s="221">
        <v>13</v>
      </c>
      <c r="AK77" s="221">
        <v>1721</v>
      </c>
      <c r="AL77" s="222">
        <f t="shared" si="94"/>
        <v>132.38461538461539</v>
      </c>
      <c r="AM77" s="220">
        <f t="shared" si="95"/>
        <v>3</v>
      </c>
      <c r="AN77" s="461"/>
      <c r="AO77" s="221">
        <v>13</v>
      </c>
      <c r="AP77" s="221">
        <v>1886</v>
      </c>
      <c r="AQ77" s="222">
        <f t="shared" si="96"/>
        <v>145.07692307692307</v>
      </c>
      <c r="AR77" s="220">
        <f t="shared" si="97"/>
        <v>4</v>
      </c>
      <c r="AS77" s="461"/>
      <c r="AT77" s="221">
        <v>13</v>
      </c>
      <c r="AU77" s="221">
        <v>1795</v>
      </c>
      <c r="AV77" s="222">
        <f t="shared" si="98"/>
        <v>138.07692307692307</v>
      </c>
      <c r="AW77" s="220">
        <f t="shared" si="99"/>
        <v>4</v>
      </c>
      <c r="AX77" s="461"/>
    </row>
    <row r="78" spans="2:50" ht="13.5" customHeight="1">
      <c r="B78" s="464"/>
      <c r="C78" s="220">
        <v>6</v>
      </c>
      <c r="D78" s="220" t="s">
        <v>374</v>
      </c>
      <c r="E78" s="221">
        <f>VLOOKUP(D78,'11產線配置圖'!$A$2:$C$25,2,0)</f>
        <v>14</v>
      </c>
      <c r="F78" s="221">
        <f>VLOOKUP(D78,'11產線配置圖'!$A$2:$C$25,3,0)</f>
        <v>1895</v>
      </c>
      <c r="G78" s="222">
        <f t="shared" si="83"/>
        <v>135.35714285714286</v>
      </c>
      <c r="H78" s="461"/>
      <c r="I78" s="221">
        <f t="shared" si="84"/>
        <v>16.857142857142858</v>
      </c>
      <c r="J78" s="221">
        <f t="shared" si="84"/>
        <v>1644.4285714285713</v>
      </c>
      <c r="K78" s="222">
        <f t="shared" si="84"/>
        <v>97.623424369747909</v>
      </c>
      <c r="L78" s="461"/>
      <c r="M78" s="221">
        <f t="shared" si="85"/>
        <v>5</v>
      </c>
      <c r="N78" s="451"/>
      <c r="O78" s="451"/>
      <c r="P78" s="221">
        <v>17</v>
      </c>
      <c r="Q78" s="221">
        <v>1546</v>
      </c>
      <c r="R78" s="158">
        <f t="shared" si="86"/>
        <v>90.941176470588232</v>
      </c>
      <c r="S78" s="110">
        <f t="shared" si="87"/>
        <v>6</v>
      </c>
      <c r="T78" s="461"/>
      <c r="U78" s="221">
        <v>17</v>
      </c>
      <c r="V78" s="221">
        <v>1801</v>
      </c>
      <c r="W78" s="222">
        <f t="shared" si="88"/>
        <v>105.94117647058823</v>
      </c>
      <c r="X78" s="220">
        <f t="shared" si="89"/>
        <v>5</v>
      </c>
      <c r="Y78" s="461"/>
      <c r="Z78" s="221">
        <v>17</v>
      </c>
      <c r="AA78" s="221">
        <v>1669</v>
      </c>
      <c r="AB78" s="222">
        <f t="shared" si="90"/>
        <v>98.17647058823529</v>
      </c>
      <c r="AC78" s="220">
        <f t="shared" si="91"/>
        <v>5</v>
      </c>
      <c r="AD78" s="461"/>
      <c r="AE78" s="221">
        <v>17</v>
      </c>
      <c r="AF78" s="221">
        <v>1775</v>
      </c>
      <c r="AG78" s="222">
        <f t="shared" si="92"/>
        <v>104.41176470588235</v>
      </c>
      <c r="AH78" s="220">
        <f t="shared" si="93"/>
        <v>5</v>
      </c>
      <c r="AI78" s="461"/>
      <c r="AJ78" s="221">
        <v>17</v>
      </c>
      <c r="AK78" s="221">
        <v>1239</v>
      </c>
      <c r="AL78" s="222">
        <f t="shared" si="94"/>
        <v>72.882352941176464</v>
      </c>
      <c r="AM78" s="220">
        <f t="shared" si="95"/>
        <v>14</v>
      </c>
      <c r="AN78" s="461"/>
      <c r="AO78" s="221">
        <v>17</v>
      </c>
      <c r="AP78" s="221">
        <v>1782</v>
      </c>
      <c r="AQ78" s="222">
        <f t="shared" si="96"/>
        <v>104.82352941176471</v>
      </c>
      <c r="AR78" s="220">
        <f t="shared" si="97"/>
        <v>5</v>
      </c>
      <c r="AS78" s="461"/>
      <c r="AT78" s="221">
        <v>16</v>
      </c>
      <c r="AU78" s="221">
        <v>1699</v>
      </c>
      <c r="AV78" s="222">
        <f t="shared" si="98"/>
        <v>106.1875</v>
      </c>
      <c r="AW78" s="220">
        <f t="shared" si="99"/>
        <v>5</v>
      </c>
      <c r="AX78" s="461"/>
    </row>
    <row r="79" spans="2:50">
      <c r="B79" s="464"/>
      <c r="C79" s="220">
        <v>7</v>
      </c>
      <c r="D79" s="220" t="s">
        <v>136</v>
      </c>
      <c r="E79" s="221">
        <f>VLOOKUP(D79,'11產線配置圖'!$A$2:$C$25,2,0)</f>
        <v>17</v>
      </c>
      <c r="F79" s="221">
        <f>VLOOKUP(D79,'11產線配置圖'!$A$2:$C$25,3,0)</f>
        <v>1385</v>
      </c>
      <c r="G79" s="222">
        <f t="shared" si="83"/>
        <v>81.470588235294116</v>
      </c>
      <c r="H79" s="461"/>
      <c r="I79" s="221">
        <f>AVERAGE(P79,U79,Z79,AE79,AJ79,AO79,AT79)</f>
        <v>14.428571428571429</v>
      </c>
      <c r="J79" s="221">
        <f>AVERAGE(Q79,V79,AA79,AF79,AK79,AP79,AU79)</f>
        <v>1201.7142857142858</v>
      </c>
      <c r="K79" s="222">
        <f>AVERAGE(R79,W79,AB79,AG79,AL79,AQ79,AV79)</f>
        <v>83.264625850340138</v>
      </c>
      <c r="L79" s="461"/>
      <c r="M79" s="221">
        <f t="shared" si="85"/>
        <v>10</v>
      </c>
      <c r="N79" s="451"/>
      <c r="O79" s="451"/>
      <c r="P79" s="221">
        <v>15</v>
      </c>
      <c r="Q79" s="221">
        <v>1256</v>
      </c>
      <c r="R79" s="158">
        <f>Q79/P79</f>
        <v>83.733333333333334</v>
      </c>
      <c r="S79" s="110">
        <f>RANK(R79, $R$73:$R$90)</f>
        <v>8</v>
      </c>
      <c r="T79" s="461"/>
      <c r="U79" s="221">
        <v>15</v>
      </c>
      <c r="V79" s="221">
        <v>1211</v>
      </c>
      <c r="W79" s="222">
        <f t="shared" si="88"/>
        <v>80.733333333333334</v>
      </c>
      <c r="X79" s="220">
        <f t="shared" si="89"/>
        <v>9</v>
      </c>
      <c r="Y79" s="461"/>
      <c r="Z79" s="221">
        <v>14</v>
      </c>
      <c r="AA79" s="221">
        <v>1141</v>
      </c>
      <c r="AB79" s="222">
        <f t="shared" si="90"/>
        <v>81.5</v>
      </c>
      <c r="AC79" s="220">
        <f t="shared" si="91"/>
        <v>11</v>
      </c>
      <c r="AD79" s="461"/>
      <c r="AE79" s="221">
        <v>14</v>
      </c>
      <c r="AF79" s="221">
        <v>1133</v>
      </c>
      <c r="AG79" s="222">
        <f t="shared" si="92"/>
        <v>80.928571428571431</v>
      </c>
      <c r="AH79" s="220">
        <f t="shared" si="93"/>
        <v>10</v>
      </c>
      <c r="AI79" s="461"/>
      <c r="AJ79" s="221">
        <v>14</v>
      </c>
      <c r="AK79" s="221">
        <v>1159</v>
      </c>
      <c r="AL79" s="222">
        <f t="shared" si="94"/>
        <v>82.785714285714292</v>
      </c>
      <c r="AM79" s="220">
        <f t="shared" si="95"/>
        <v>10</v>
      </c>
      <c r="AN79" s="461"/>
      <c r="AO79" s="221">
        <v>14</v>
      </c>
      <c r="AP79" s="221">
        <v>1198</v>
      </c>
      <c r="AQ79" s="222">
        <f t="shared" si="96"/>
        <v>85.571428571428569</v>
      </c>
      <c r="AR79" s="220">
        <f t="shared" si="97"/>
        <v>10</v>
      </c>
      <c r="AS79" s="461"/>
      <c r="AT79" s="221">
        <v>15</v>
      </c>
      <c r="AU79" s="221">
        <v>1314</v>
      </c>
      <c r="AV79" s="222">
        <f t="shared" si="98"/>
        <v>87.6</v>
      </c>
      <c r="AW79" s="220">
        <f t="shared" si="99"/>
        <v>9</v>
      </c>
      <c r="AX79" s="461"/>
    </row>
    <row r="80" spans="2:50">
      <c r="B80" s="464"/>
      <c r="C80" s="220">
        <v>8</v>
      </c>
      <c r="D80" s="220" t="s">
        <v>86</v>
      </c>
      <c r="E80" s="221">
        <f>VLOOKUP(D80,'11產線配置圖'!$A$2:$C$25,2,0)</f>
        <v>18</v>
      </c>
      <c r="F80" s="221">
        <f>VLOOKUP(D80,'11產線配置圖'!$A$2:$C$25,3,0)</f>
        <v>1385</v>
      </c>
      <c r="G80" s="222">
        <f t="shared" si="83"/>
        <v>76.944444444444443</v>
      </c>
      <c r="H80" s="461"/>
      <c r="I80" s="221">
        <f t="shared" si="84"/>
        <v>16.428571428571427</v>
      </c>
      <c r="J80" s="221">
        <f t="shared" si="84"/>
        <v>1136</v>
      </c>
      <c r="K80" s="222">
        <f t="shared" si="84"/>
        <v>69.42272408963585</v>
      </c>
      <c r="L80" s="461"/>
      <c r="M80" s="221">
        <f t="shared" si="85"/>
        <v>14</v>
      </c>
      <c r="N80" s="451"/>
      <c r="O80" s="451"/>
      <c r="P80" s="221">
        <v>16</v>
      </c>
      <c r="Q80" s="221">
        <v>1031</v>
      </c>
      <c r="R80" s="158">
        <f t="shared" si="86"/>
        <v>64.4375</v>
      </c>
      <c r="S80" s="110">
        <f t="shared" si="87"/>
        <v>14</v>
      </c>
      <c r="T80" s="461"/>
      <c r="U80" s="221">
        <v>17</v>
      </c>
      <c r="V80" s="221">
        <v>1081</v>
      </c>
      <c r="W80" s="222">
        <f t="shared" si="88"/>
        <v>63.588235294117645</v>
      </c>
      <c r="X80" s="220">
        <f t="shared" si="89"/>
        <v>16</v>
      </c>
      <c r="Y80" s="461"/>
      <c r="Z80" s="221">
        <v>18</v>
      </c>
      <c r="AA80" s="221">
        <v>1254</v>
      </c>
      <c r="AB80" s="222">
        <f t="shared" si="90"/>
        <v>69.666666666666671</v>
      </c>
      <c r="AC80" s="220">
        <f t="shared" si="91"/>
        <v>14</v>
      </c>
      <c r="AD80" s="461"/>
      <c r="AE80" s="221">
        <v>18</v>
      </c>
      <c r="AF80" s="221">
        <v>1113</v>
      </c>
      <c r="AG80" s="222">
        <f t="shared" si="92"/>
        <v>61.833333333333336</v>
      </c>
      <c r="AH80" s="220">
        <f t="shared" si="93"/>
        <v>16</v>
      </c>
      <c r="AI80" s="461"/>
      <c r="AJ80" s="221">
        <v>15</v>
      </c>
      <c r="AK80" s="221">
        <v>1131</v>
      </c>
      <c r="AL80" s="222">
        <f t="shared" si="94"/>
        <v>75.400000000000006</v>
      </c>
      <c r="AM80" s="220">
        <f t="shared" si="95"/>
        <v>13</v>
      </c>
      <c r="AN80" s="461"/>
      <c r="AO80" s="221">
        <v>15</v>
      </c>
      <c r="AP80" s="221">
        <v>1118</v>
      </c>
      <c r="AQ80" s="222">
        <f t="shared" si="96"/>
        <v>74.533333333333331</v>
      </c>
      <c r="AR80" s="220">
        <f t="shared" si="97"/>
        <v>13</v>
      </c>
      <c r="AS80" s="461"/>
      <c r="AT80" s="221">
        <v>16</v>
      </c>
      <c r="AU80" s="221">
        <v>1224</v>
      </c>
      <c r="AV80" s="222">
        <f t="shared" si="98"/>
        <v>76.5</v>
      </c>
      <c r="AW80" s="220">
        <f t="shared" si="99"/>
        <v>13</v>
      </c>
      <c r="AX80" s="461"/>
    </row>
    <row r="81" spans="2:50">
      <c r="B81" s="464"/>
      <c r="C81" s="220">
        <v>9</v>
      </c>
      <c r="D81" s="220" t="s">
        <v>190</v>
      </c>
      <c r="E81" s="221">
        <f>VLOOKUP(D81,'11產線配置圖'!$A$2:$C$25,2,0)</f>
        <v>17</v>
      </c>
      <c r="F81" s="221">
        <f>VLOOKUP(D81,'11產線配置圖'!$A$2:$C$25,3,0)</f>
        <v>1565</v>
      </c>
      <c r="G81" s="222">
        <f t="shared" si="83"/>
        <v>92.058823529411768</v>
      </c>
      <c r="H81" s="461"/>
      <c r="I81" s="221">
        <f t="shared" si="84"/>
        <v>17</v>
      </c>
      <c r="J81" s="221">
        <f t="shared" si="84"/>
        <v>1509.7142857142858</v>
      </c>
      <c r="K81" s="222">
        <f t="shared" si="84"/>
        <v>88.806722689075642</v>
      </c>
      <c r="L81" s="461"/>
      <c r="M81" s="221">
        <f t="shared" si="85"/>
        <v>6</v>
      </c>
      <c r="N81" s="451"/>
      <c r="O81" s="451"/>
      <c r="P81" s="221">
        <v>17</v>
      </c>
      <c r="Q81" s="221">
        <v>1552</v>
      </c>
      <c r="R81" s="158">
        <f t="shared" si="86"/>
        <v>91.294117647058826</v>
      </c>
      <c r="S81" s="110">
        <f t="shared" si="87"/>
        <v>5</v>
      </c>
      <c r="T81" s="461"/>
      <c r="U81" s="221">
        <v>17</v>
      </c>
      <c r="V81" s="221">
        <v>1430</v>
      </c>
      <c r="W81" s="222">
        <f t="shared" si="88"/>
        <v>84.117647058823536</v>
      </c>
      <c r="X81" s="220">
        <f t="shared" si="89"/>
        <v>8</v>
      </c>
      <c r="Y81" s="461"/>
      <c r="Z81" s="221">
        <v>17</v>
      </c>
      <c r="AA81" s="221">
        <v>1510</v>
      </c>
      <c r="AB81" s="222">
        <f t="shared" si="90"/>
        <v>88.82352941176471</v>
      </c>
      <c r="AC81" s="220">
        <f t="shared" si="91"/>
        <v>7</v>
      </c>
      <c r="AD81" s="461"/>
      <c r="AE81" s="221">
        <v>17</v>
      </c>
      <c r="AF81" s="221">
        <v>1487</v>
      </c>
      <c r="AG81" s="222">
        <f t="shared" si="92"/>
        <v>87.470588235294116</v>
      </c>
      <c r="AH81" s="220">
        <f t="shared" si="93"/>
        <v>7</v>
      </c>
      <c r="AI81" s="461"/>
      <c r="AJ81" s="221">
        <v>17</v>
      </c>
      <c r="AK81" s="221">
        <v>1540</v>
      </c>
      <c r="AL81" s="222">
        <f t="shared" si="94"/>
        <v>90.588235294117652</v>
      </c>
      <c r="AM81" s="220">
        <f t="shared" si="95"/>
        <v>6</v>
      </c>
      <c r="AN81" s="461"/>
      <c r="AO81" s="221">
        <v>17</v>
      </c>
      <c r="AP81" s="221">
        <v>1552</v>
      </c>
      <c r="AQ81" s="222">
        <f t="shared" si="96"/>
        <v>91.294117647058826</v>
      </c>
      <c r="AR81" s="220">
        <f t="shared" si="97"/>
        <v>8</v>
      </c>
      <c r="AS81" s="461"/>
      <c r="AT81" s="221">
        <v>17</v>
      </c>
      <c r="AU81" s="221">
        <v>1497</v>
      </c>
      <c r="AV81" s="222">
        <f t="shared" si="98"/>
        <v>88.058823529411768</v>
      </c>
      <c r="AW81" s="220">
        <f t="shared" si="99"/>
        <v>8</v>
      </c>
      <c r="AX81" s="461"/>
    </row>
    <row r="82" spans="2:50">
      <c r="B82" s="464"/>
      <c r="C82" s="220">
        <v>10</v>
      </c>
      <c r="D82" s="220" t="s">
        <v>88</v>
      </c>
      <c r="E82" s="221">
        <f>VLOOKUP(D82,'11產線配置圖'!$A$2:$C$25,2,0)</f>
        <v>17</v>
      </c>
      <c r="F82" s="221">
        <f>VLOOKUP(D82,'11產線配置圖'!$A$2:$C$25,3,0)</f>
        <v>1500</v>
      </c>
      <c r="G82" s="222">
        <f t="shared" si="83"/>
        <v>88.235294117647058</v>
      </c>
      <c r="H82" s="461"/>
      <c r="I82" s="221">
        <f t="shared" si="84"/>
        <v>18.857142857142858</v>
      </c>
      <c r="J82" s="221">
        <f t="shared" si="84"/>
        <v>1480.4285714285713</v>
      </c>
      <c r="K82" s="222">
        <f t="shared" si="84"/>
        <v>78.516708437761068</v>
      </c>
      <c r="L82" s="461"/>
      <c r="M82" s="221">
        <f t="shared" si="85"/>
        <v>11</v>
      </c>
      <c r="N82" s="451"/>
      <c r="O82" s="451"/>
      <c r="P82" s="221">
        <v>19</v>
      </c>
      <c r="Q82" s="221">
        <v>1335</v>
      </c>
      <c r="R82" s="158">
        <f t="shared" si="86"/>
        <v>70.263157894736835</v>
      </c>
      <c r="S82" s="110">
        <f t="shared" si="87"/>
        <v>12</v>
      </c>
      <c r="T82" s="461"/>
      <c r="U82" s="221">
        <v>19</v>
      </c>
      <c r="V82" s="221">
        <v>1422</v>
      </c>
      <c r="W82" s="222">
        <f t="shared" si="88"/>
        <v>74.84210526315789</v>
      </c>
      <c r="X82" s="220">
        <f t="shared" si="89"/>
        <v>12</v>
      </c>
      <c r="Y82" s="461"/>
      <c r="Z82" s="221">
        <v>19</v>
      </c>
      <c r="AA82" s="221">
        <v>1556</v>
      </c>
      <c r="AB82" s="222">
        <f t="shared" si="90"/>
        <v>81.89473684210526</v>
      </c>
      <c r="AC82" s="220">
        <f t="shared" si="91"/>
        <v>10</v>
      </c>
      <c r="AD82" s="461"/>
      <c r="AE82" s="221">
        <v>19</v>
      </c>
      <c r="AF82" s="221">
        <v>1525</v>
      </c>
      <c r="AG82" s="222">
        <f t="shared" si="92"/>
        <v>80.263157894736835</v>
      </c>
      <c r="AH82" s="220">
        <f t="shared" si="93"/>
        <v>11</v>
      </c>
      <c r="AI82" s="461"/>
      <c r="AJ82" s="221">
        <v>19</v>
      </c>
      <c r="AK82" s="221">
        <v>1545</v>
      </c>
      <c r="AL82" s="222">
        <f t="shared" si="94"/>
        <v>81.315789473684205</v>
      </c>
      <c r="AM82" s="220">
        <f t="shared" si="95"/>
        <v>11</v>
      </c>
      <c r="AN82" s="461"/>
      <c r="AO82" s="221">
        <v>19</v>
      </c>
      <c r="AP82" s="221">
        <v>1545</v>
      </c>
      <c r="AQ82" s="222">
        <f t="shared" si="96"/>
        <v>81.315789473684205</v>
      </c>
      <c r="AR82" s="220">
        <f t="shared" si="97"/>
        <v>12</v>
      </c>
      <c r="AS82" s="461"/>
      <c r="AT82" s="221">
        <v>18</v>
      </c>
      <c r="AU82" s="221">
        <v>1435</v>
      </c>
      <c r="AV82" s="222">
        <f t="shared" si="98"/>
        <v>79.722222222222229</v>
      </c>
      <c r="AW82" s="220">
        <f t="shared" si="99"/>
        <v>12</v>
      </c>
      <c r="AX82" s="461"/>
    </row>
    <row r="83" spans="2:50">
      <c r="B83" s="464"/>
      <c r="C83" s="220">
        <v>11</v>
      </c>
      <c r="D83" s="220" t="s">
        <v>377</v>
      </c>
      <c r="E83" s="221">
        <f>VLOOKUP(D83,'11產線配置圖'!$A$2:$C$25,2,0)</f>
        <v>15</v>
      </c>
      <c r="F83" s="221">
        <f>VLOOKUP(D83,'11產線配置圖'!$A$2:$C$25,3,0)</f>
        <v>1440</v>
      </c>
      <c r="G83" s="222">
        <f t="shared" si="83"/>
        <v>96</v>
      </c>
      <c r="H83" s="461"/>
      <c r="I83" s="221">
        <f t="shared" ref="I83:I85" si="100">AVERAGE(P83,U83,Z83,AE83,AJ83,AO83,AT83)</f>
        <v>15</v>
      </c>
      <c r="J83" s="221">
        <f t="shared" ref="J83:J85" si="101">AVERAGE(Q83,V83,AA83,AF83,AK83,AP83,AU83)</f>
        <v>1128.8571428571429</v>
      </c>
      <c r="K83" s="222">
        <f t="shared" ref="K83:K85" si="102">AVERAGE(R83,W83,AB83,AG83,AL83,AQ83,AV83)</f>
        <v>75.29821428571428</v>
      </c>
      <c r="L83" s="461"/>
      <c r="M83" s="221">
        <f t="shared" si="85"/>
        <v>13</v>
      </c>
      <c r="N83" s="451"/>
      <c r="O83" s="451"/>
      <c r="P83" s="220">
        <v>15</v>
      </c>
      <c r="Q83" s="220">
        <v>1201</v>
      </c>
      <c r="R83" s="158">
        <f t="shared" ref="R83:R85" si="103">Q83/P83</f>
        <v>80.066666666666663</v>
      </c>
      <c r="S83" s="110">
        <f t="shared" ref="S83:S85" si="104">RANK(R83, $R$73:$R$90)</f>
        <v>10</v>
      </c>
      <c r="T83" s="461"/>
      <c r="U83" s="220">
        <v>15</v>
      </c>
      <c r="V83" s="220">
        <v>1202</v>
      </c>
      <c r="W83" s="222">
        <f t="shared" ref="W83:W85" si="105">V83/U83</f>
        <v>80.13333333333334</v>
      </c>
      <c r="X83" s="220">
        <f t="shared" ref="X83:X85" si="106">RANK(W83, $W$73:$W$90)</f>
        <v>10</v>
      </c>
      <c r="Y83" s="461"/>
      <c r="Z83" s="220">
        <v>15</v>
      </c>
      <c r="AA83" s="220">
        <v>1142</v>
      </c>
      <c r="AB83" s="222">
        <f t="shared" ref="AB83:AB85" si="107">AA83/Z83</f>
        <v>76.13333333333334</v>
      </c>
      <c r="AC83" s="220">
        <f t="shared" ref="AC83:AC85" si="108">RANK(AB83, $AB$73:$AB$90)</f>
        <v>13</v>
      </c>
      <c r="AD83" s="461"/>
      <c r="AE83" s="220">
        <v>14</v>
      </c>
      <c r="AF83" s="220">
        <v>1078</v>
      </c>
      <c r="AG83" s="222">
        <f t="shared" ref="AG83:AG85" si="109">AF83/AE83</f>
        <v>77</v>
      </c>
      <c r="AH83" s="220">
        <f t="shared" ref="AH83:AH85" si="110">RANK(AG83, $AG$73:$AG$90)</f>
        <v>12</v>
      </c>
      <c r="AI83" s="461"/>
      <c r="AJ83" s="220">
        <v>15</v>
      </c>
      <c r="AK83" s="220">
        <v>1135</v>
      </c>
      <c r="AL83" s="222">
        <f t="shared" ref="AL83:AL85" si="111">AK83/AJ83</f>
        <v>75.666666666666671</v>
      </c>
      <c r="AM83" s="220">
        <f t="shared" ref="AM83:AM85" si="112">RANK(AL83, $AL$73:$AL$90)</f>
        <v>12</v>
      </c>
      <c r="AN83" s="461"/>
      <c r="AO83" s="220">
        <v>15</v>
      </c>
      <c r="AP83" s="220">
        <v>981</v>
      </c>
      <c r="AQ83" s="222">
        <f t="shared" ref="AQ83:AQ85" si="113">AP83/AO83</f>
        <v>65.400000000000006</v>
      </c>
      <c r="AR83" s="220">
        <f t="shared" ref="AR83:AR85" si="114">RANK(AQ83, $AQ$73:$AQ$90)</f>
        <v>15</v>
      </c>
      <c r="AS83" s="461"/>
      <c r="AT83" s="220">
        <v>16</v>
      </c>
      <c r="AU83" s="220">
        <v>1163</v>
      </c>
      <c r="AV83" s="222">
        <f t="shared" ref="AV83:AV85" si="115">AU83/AT83</f>
        <v>72.6875</v>
      </c>
      <c r="AW83" s="220">
        <f t="shared" ref="AW83:AW85" si="116">RANK(AV83, $AV$73:$AV$90)</f>
        <v>15</v>
      </c>
      <c r="AX83" s="461"/>
    </row>
    <row r="84" spans="2:50">
      <c r="B84" s="464"/>
      <c r="C84" s="220">
        <v>12</v>
      </c>
      <c r="D84" s="220" t="s">
        <v>78</v>
      </c>
      <c r="E84" s="221">
        <f>VLOOKUP(D84,'11產線配置圖'!$A$2:$C$25,2,0)</f>
        <v>16</v>
      </c>
      <c r="F84" s="221">
        <f>VLOOKUP(D84,'11產線配置圖'!$A$2:$C$25,3,0)</f>
        <v>1385</v>
      </c>
      <c r="G84" s="222">
        <f t="shared" si="83"/>
        <v>86.5625</v>
      </c>
      <c r="H84" s="461"/>
      <c r="I84" s="221">
        <f t="shared" si="100"/>
        <v>14.857142857142858</v>
      </c>
      <c r="J84" s="221">
        <f t="shared" si="101"/>
        <v>1314.4285714285713</v>
      </c>
      <c r="K84" s="222">
        <f t="shared" si="102"/>
        <v>88.493197278911566</v>
      </c>
      <c r="L84" s="461"/>
      <c r="M84" s="221">
        <f t="shared" si="85"/>
        <v>7</v>
      </c>
      <c r="N84" s="451"/>
      <c r="O84" s="451"/>
      <c r="P84" s="220">
        <v>15</v>
      </c>
      <c r="Q84" s="220">
        <v>1241</v>
      </c>
      <c r="R84" s="158">
        <f t="shared" si="103"/>
        <v>82.733333333333334</v>
      </c>
      <c r="S84" s="110">
        <f t="shared" si="104"/>
        <v>9</v>
      </c>
      <c r="T84" s="461"/>
      <c r="U84" s="220">
        <v>15</v>
      </c>
      <c r="V84" s="220">
        <v>1401</v>
      </c>
      <c r="W84" s="222">
        <f t="shared" si="105"/>
        <v>93.4</v>
      </c>
      <c r="X84" s="220">
        <f t="shared" si="106"/>
        <v>6</v>
      </c>
      <c r="Y84" s="461"/>
      <c r="Z84" s="220">
        <v>15</v>
      </c>
      <c r="AA84" s="221">
        <v>1310</v>
      </c>
      <c r="AB84" s="222">
        <f t="shared" si="107"/>
        <v>87.333333333333329</v>
      </c>
      <c r="AC84" s="220">
        <f t="shared" si="108"/>
        <v>8</v>
      </c>
      <c r="AD84" s="461"/>
      <c r="AE84" s="220">
        <v>15</v>
      </c>
      <c r="AF84" s="221">
        <v>1250</v>
      </c>
      <c r="AG84" s="222">
        <f t="shared" si="109"/>
        <v>83.333333333333329</v>
      </c>
      <c r="AH84" s="220">
        <f t="shared" si="110"/>
        <v>9</v>
      </c>
      <c r="AI84" s="461"/>
      <c r="AJ84" s="220">
        <v>14</v>
      </c>
      <c r="AK84" s="221">
        <v>1271</v>
      </c>
      <c r="AL84" s="222">
        <f t="shared" si="111"/>
        <v>90.785714285714292</v>
      </c>
      <c r="AM84" s="220">
        <f t="shared" si="112"/>
        <v>5</v>
      </c>
      <c r="AN84" s="461"/>
      <c r="AO84" s="220">
        <v>15</v>
      </c>
      <c r="AP84" s="221">
        <v>1392</v>
      </c>
      <c r="AQ84" s="222">
        <f t="shared" si="113"/>
        <v>92.8</v>
      </c>
      <c r="AR84" s="220">
        <f t="shared" si="114"/>
        <v>7</v>
      </c>
      <c r="AS84" s="461"/>
      <c r="AT84" s="220">
        <v>15</v>
      </c>
      <c r="AU84" s="221">
        <v>1336</v>
      </c>
      <c r="AV84" s="222">
        <f t="shared" si="115"/>
        <v>89.066666666666663</v>
      </c>
      <c r="AW84" s="220">
        <f t="shared" si="116"/>
        <v>7</v>
      </c>
      <c r="AX84" s="461"/>
    </row>
    <row r="85" spans="2:50">
      <c r="B85" s="464"/>
      <c r="C85" s="220">
        <v>13</v>
      </c>
      <c r="D85" s="220" t="s">
        <v>120</v>
      </c>
      <c r="E85" s="221">
        <f>VLOOKUP(D85,'11產線配置圖'!$A$2:$C$25,2,0)</f>
        <v>15</v>
      </c>
      <c r="F85" s="221">
        <f>VLOOKUP(D85,'11產線配置圖'!$A$2:$C$25,3,0)</f>
        <v>1636</v>
      </c>
      <c r="G85" s="222">
        <f t="shared" si="83"/>
        <v>109.06666666666666</v>
      </c>
      <c r="H85" s="461"/>
      <c r="I85" s="221">
        <f t="shared" si="100"/>
        <v>15</v>
      </c>
      <c r="J85" s="221">
        <f t="shared" si="101"/>
        <v>1148</v>
      </c>
      <c r="K85" s="222">
        <f t="shared" si="102"/>
        <v>76.533333333333331</v>
      </c>
      <c r="L85" s="461"/>
      <c r="M85" s="221">
        <f t="shared" si="85"/>
        <v>12</v>
      </c>
      <c r="N85" s="451"/>
      <c r="O85" s="451"/>
      <c r="P85" s="220">
        <v>15</v>
      </c>
      <c r="Q85" s="220">
        <v>932</v>
      </c>
      <c r="R85" s="158">
        <f t="shared" si="103"/>
        <v>62.133333333333333</v>
      </c>
      <c r="S85" s="110">
        <f t="shared" si="104"/>
        <v>15</v>
      </c>
      <c r="T85" s="461"/>
      <c r="U85" s="220">
        <v>15</v>
      </c>
      <c r="V85" s="220">
        <v>1077</v>
      </c>
      <c r="W85" s="222">
        <f t="shared" si="105"/>
        <v>71.8</v>
      </c>
      <c r="X85" s="220">
        <f t="shared" si="106"/>
        <v>13</v>
      </c>
      <c r="Y85" s="461"/>
      <c r="Z85" s="220">
        <v>15</v>
      </c>
      <c r="AA85" s="220">
        <v>1211</v>
      </c>
      <c r="AB85" s="222">
        <f t="shared" si="107"/>
        <v>80.733333333333334</v>
      </c>
      <c r="AC85" s="220">
        <f t="shared" si="108"/>
        <v>12</v>
      </c>
      <c r="AD85" s="461"/>
      <c r="AE85" s="220">
        <v>15</v>
      </c>
      <c r="AF85" s="220">
        <v>1012</v>
      </c>
      <c r="AG85" s="222">
        <f t="shared" si="109"/>
        <v>67.466666666666669</v>
      </c>
      <c r="AH85" s="220">
        <f t="shared" si="110"/>
        <v>15</v>
      </c>
      <c r="AI85" s="461"/>
      <c r="AJ85" s="220">
        <v>15</v>
      </c>
      <c r="AK85" s="220">
        <v>1313</v>
      </c>
      <c r="AL85" s="222">
        <f t="shared" si="111"/>
        <v>87.533333333333331</v>
      </c>
      <c r="AM85" s="220">
        <f t="shared" si="112"/>
        <v>8</v>
      </c>
      <c r="AN85" s="461"/>
      <c r="AO85" s="220">
        <v>15</v>
      </c>
      <c r="AP85" s="220">
        <v>1246</v>
      </c>
      <c r="AQ85" s="222">
        <f t="shared" si="113"/>
        <v>83.066666666666663</v>
      </c>
      <c r="AR85" s="220">
        <f t="shared" si="114"/>
        <v>11</v>
      </c>
      <c r="AS85" s="461"/>
      <c r="AT85" s="220">
        <v>15</v>
      </c>
      <c r="AU85" s="220">
        <v>1245</v>
      </c>
      <c r="AV85" s="222">
        <f t="shared" si="115"/>
        <v>83</v>
      </c>
      <c r="AW85" s="220">
        <f t="shared" si="116"/>
        <v>11</v>
      </c>
      <c r="AX85" s="461"/>
    </row>
    <row r="86" spans="2:50" ht="13">
      <c r="B86" s="464"/>
      <c r="C86" s="220">
        <v>14</v>
      </c>
      <c r="D86" s="224" t="s">
        <v>138</v>
      </c>
      <c r="E86" s="221">
        <f>VLOOKUP(D86,'11產線配置圖'!$A$2:$C$25,2,0)</f>
        <v>15</v>
      </c>
      <c r="F86" s="221">
        <f>VLOOKUP(D86,'11產線配置圖'!$A$2:$C$25,3,0)</f>
        <v>1440</v>
      </c>
      <c r="G86" s="222">
        <f>F86/E86</f>
        <v>96</v>
      </c>
      <c r="H86" s="461"/>
      <c r="I86" s="221">
        <f t="shared" ref="I86:I88" si="117">AVERAGE(P86,U86,Z86,AE86,AJ86,AO86,AT86)</f>
        <v>15.428571428571429</v>
      </c>
      <c r="J86" s="221">
        <f t="shared" ref="J86:J88" si="118">AVERAGE(Q86,V86,AA86,AF86,AK86,AP86,AU86)</f>
        <v>1334.7142857142858</v>
      </c>
      <c r="K86" s="222">
        <f t="shared" ref="K86:K88" si="119">AVERAGE(R86,W86,AB86,AG86,AL86,AQ86,AV86)</f>
        <v>87.007162865146057</v>
      </c>
      <c r="L86" s="461"/>
      <c r="M86" s="221">
        <f>RANK(K86, $K$73:$K$90)</f>
        <v>8</v>
      </c>
      <c r="N86" s="451"/>
      <c r="O86" s="451"/>
      <c r="P86" s="220">
        <v>17</v>
      </c>
      <c r="Q86" s="220">
        <v>1247</v>
      </c>
      <c r="R86" s="158">
        <f t="shared" ref="R86:R88" si="120">Q86/P86</f>
        <v>73.352941176470594</v>
      </c>
      <c r="S86" s="110">
        <f t="shared" ref="S86:S88" si="121">RANK(R86, $R$73:$R$90)</f>
        <v>11</v>
      </c>
      <c r="T86" s="461"/>
      <c r="U86" s="220">
        <v>17</v>
      </c>
      <c r="V86" s="220">
        <v>1313</v>
      </c>
      <c r="W86" s="222">
        <f t="shared" ref="W86:W88" si="122">V86/U86</f>
        <v>77.235294117647058</v>
      </c>
      <c r="X86" s="220">
        <f t="shared" ref="X86:X88" si="123">RANK(W86, $W$73:$W$90)</f>
        <v>11</v>
      </c>
      <c r="Y86" s="461"/>
      <c r="Z86" s="220">
        <v>15</v>
      </c>
      <c r="AA86" s="220">
        <v>1390</v>
      </c>
      <c r="AB86" s="222">
        <f t="shared" ref="AB86:AB88" si="124">AA86/Z86</f>
        <v>92.666666666666671</v>
      </c>
      <c r="AC86" s="220">
        <f t="shared" ref="AC86:AC88" si="125">RANK(AB86, $AB$73:$AB$90)</f>
        <v>6</v>
      </c>
      <c r="AD86" s="461"/>
      <c r="AE86" s="220">
        <v>15</v>
      </c>
      <c r="AF86" s="220">
        <v>1329</v>
      </c>
      <c r="AG86" s="222">
        <f t="shared" ref="AG86:AG88" si="126">AF86/AE86</f>
        <v>88.6</v>
      </c>
      <c r="AH86" s="220">
        <f t="shared" ref="AH86:AH88" si="127">RANK(AG86, $AG$73:$AG$90)</f>
        <v>6</v>
      </c>
      <c r="AI86" s="461"/>
      <c r="AJ86" s="220">
        <v>15</v>
      </c>
      <c r="AK86" s="220">
        <v>1351</v>
      </c>
      <c r="AL86" s="222">
        <f t="shared" ref="AL86:AL88" si="128">AK86/AJ86</f>
        <v>90.066666666666663</v>
      </c>
      <c r="AM86" s="220">
        <f t="shared" ref="AM86:AM88" si="129">RANK(AL86, $AL$73:$AL$90)</f>
        <v>7</v>
      </c>
      <c r="AN86" s="461"/>
      <c r="AO86" s="220">
        <v>14</v>
      </c>
      <c r="AP86" s="220">
        <v>1315</v>
      </c>
      <c r="AQ86" s="222">
        <f t="shared" ref="AQ86:AQ88" si="130">AP86/AO86</f>
        <v>93.928571428571431</v>
      </c>
      <c r="AR86" s="220">
        <f t="shared" ref="AR86:AR88" si="131">RANK(AQ86, $AQ$73:$AQ$90)</f>
        <v>6</v>
      </c>
      <c r="AS86" s="461"/>
      <c r="AT86" s="220">
        <v>15</v>
      </c>
      <c r="AU86" s="220">
        <v>1398</v>
      </c>
      <c r="AV86" s="222">
        <f t="shared" ref="AV86:AV88" si="132">AU86/AT86</f>
        <v>93.2</v>
      </c>
      <c r="AW86" s="220">
        <f t="shared" ref="AW86:AW88" si="133">RANK(AV86, $AV$73:$AV$90)</f>
        <v>6</v>
      </c>
      <c r="AX86" s="461"/>
    </row>
    <row r="87" spans="2:50">
      <c r="B87" s="464"/>
      <c r="C87" s="220">
        <v>15</v>
      </c>
      <c r="D87" s="220" t="s">
        <v>81</v>
      </c>
      <c r="E87" s="221">
        <f>VLOOKUP(D87,'11產線配置圖'!$A$2:$C$25,2,0)</f>
        <v>18</v>
      </c>
      <c r="F87" s="221">
        <f>VLOOKUP(D87,'11產線配置圖'!$A$2:$C$25,3,0)</f>
        <v>1440</v>
      </c>
      <c r="G87" s="222">
        <f t="shared" ref="G87:G88" si="134">F87/E87</f>
        <v>80</v>
      </c>
      <c r="H87" s="461"/>
      <c r="I87" s="221">
        <f t="shared" si="117"/>
        <v>17</v>
      </c>
      <c r="J87" s="221">
        <f t="shared" si="118"/>
        <v>1104.4285714285713</v>
      </c>
      <c r="K87" s="222">
        <f t="shared" si="119"/>
        <v>65.161456249166321</v>
      </c>
      <c r="L87" s="461"/>
      <c r="M87" s="221">
        <f t="shared" si="85"/>
        <v>16</v>
      </c>
      <c r="N87" s="451"/>
      <c r="O87" s="451"/>
      <c r="P87" s="220">
        <v>18</v>
      </c>
      <c r="Q87" s="220">
        <v>1002</v>
      </c>
      <c r="R87" s="158">
        <f t="shared" si="120"/>
        <v>55.666666666666664</v>
      </c>
      <c r="S87" s="110">
        <f t="shared" si="121"/>
        <v>16</v>
      </c>
      <c r="T87" s="461"/>
      <c r="U87" s="220">
        <v>18</v>
      </c>
      <c r="V87" s="220">
        <v>1158</v>
      </c>
      <c r="W87" s="222">
        <f t="shared" si="122"/>
        <v>64.333333333333329</v>
      </c>
      <c r="X87" s="220">
        <f t="shared" si="123"/>
        <v>15</v>
      </c>
      <c r="Y87" s="461"/>
      <c r="Z87" s="220">
        <v>17</v>
      </c>
      <c r="AA87" s="220">
        <v>1184</v>
      </c>
      <c r="AB87" s="222">
        <f t="shared" si="124"/>
        <v>69.647058823529406</v>
      </c>
      <c r="AC87" s="220">
        <f t="shared" si="125"/>
        <v>15</v>
      </c>
      <c r="AD87" s="461"/>
      <c r="AE87" s="220">
        <v>14</v>
      </c>
      <c r="AF87" s="220">
        <v>961</v>
      </c>
      <c r="AG87" s="222">
        <f t="shared" si="126"/>
        <v>68.642857142857139</v>
      </c>
      <c r="AH87" s="220">
        <f t="shared" si="127"/>
        <v>13</v>
      </c>
      <c r="AI87" s="461"/>
      <c r="AJ87" s="220">
        <v>18</v>
      </c>
      <c r="AK87" s="220">
        <v>1169</v>
      </c>
      <c r="AL87" s="222">
        <f t="shared" si="128"/>
        <v>64.944444444444443</v>
      </c>
      <c r="AM87" s="220">
        <f t="shared" si="129"/>
        <v>15</v>
      </c>
      <c r="AN87" s="461"/>
      <c r="AO87" s="220">
        <v>18</v>
      </c>
      <c r="AP87" s="220">
        <v>1176</v>
      </c>
      <c r="AQ87" s="222">
        <f t="shared" si="130"/>
        <v>65.333333333333329</v>
      </c>
      <c r="AR87" s="220">
        <f t="shared" si="131"/>
        <v>16</v>
      </c>
      <c r="AS87" s="461"/>
      <c r="AT87" s="220">
        <v>16</v>
      </c>
      <c r="AU87" s="220">
        <v>1081</v>
      </c>
      <c r="AV87" s="222">
        <f t="shared" si="132"/>
        <v>67.5625</v>
      </c>
      <c r="AW87" s="220">
        <f t="shared" si="133"/>
        <v>16</v>
      </c>
      <c r="AX87" s="461"/>
    </row>
    <row r="88" spans="2:50">
      <c r="B88" s="464"/>
      <c r="C88" s="220">
        <v>16</v>
      </c>
      <c r="D88" s="220" t="s">
        <v>84</v>
      </c>
      <c r="E88" s="221">
        <f>VLOOKUP(D88,'11產線配置圖'!$A$2:$C$25,2,0)</f>
        <v>19</v>
      </c>
      <c r="F88" s="221">
        <f>VLOOKUP(D88,'11產線配置圖'!$A$2:$C$25,3,0)</f>
        <v>1440</v>
      </c>
      <c r="G88" s="222">
        <f t="shared" si="134"/>
        <v>75.78947368421052</v>
      </c>
      <c r="H88" s="461"/>
      <c r="I88" s="221">
        <f t="shared" si="117"/>
        <v>17.571428571428573</v>
      </c>
      <c r="J88" s="221">
        <f t="shared" si="118"/>
        <v>1183.5714285714287</v>
      </c>
      <c r="K88" s="222">
        <f t="shared" si="119"/>
        <v>67.456134208069201</v>
      </c>
      <c r="L88" s="461"/>
      <c r="M88" s="221">
        <f t="shared" si="85"/>
        <v>15</v>
      </c>
      <c r="N88" s="451"/>
      <c r="O88" s="451"/>
      <c r="P88" s="220">
        <v>18</v>
      </c>
      <c r="Q88" s="220">
        <v>1171</v>
      </c>
      <c r="R88" s="158">
        <f t="shared" si="120"/>
        <v>65.055555555555557</v>
      </c>
      <c r="S88" s="110">
        <f t="shared" si="121"/>
        <v>13</v>
      </c>
      <c r="T88" s="461"/>
      <c r="U88" s="220">
        <v>19</v>
      </c>
      <c r="V88" s="220">
        <v>1286</v>
      </c>
      <c r="W88" s="222">
        <f t="shared" si="122"/>
        <v>67.684210526315795</v>
      </c>
      <c r="X88" s="220">
        <f t="shared" si="123"/>
        <v>14</v>
      </c>
      <c r="Y88" s="461"/>
      <c r="Z88" s="220">
        <v>17</v>
      </c>
      <c r="AA88" s="220">
        <v>1056</v>
      </c>
      <c r="AB88" s="222">
        <f t="shared" si="124"/>
        <v>62.117647058823529</v>
      </c>
      <c r="AC88" s="220">
        <f t="shared" si="125"/>
        <v>16</v>
      </c>
      <c r="AD88" s="461"/>
      <c r="AE88" s="220">
        <v>16</v>
      </c>
      <c r="AF88" s="220">
        <v>1089</v>
      </c>
      <c r="AG88" s="222">
        <f t="shared" si="126"/>
        <v>68.0625</v>
      </c>
      <c r="AH88" s="220">
        <f t="shared" si="127"/>
        <v>14</v>
      </c>
      <c r="AI88" s="461"/>
      <c r="AJ88" s="220">
        <v>19</v>
      </c>
      <c r="AK88" s="220">
        <v>1182</v>
      </c>
      <c r="AL88" s="222">
        <f t="shared" si="128"/>
        <v>62.210526315789473</v>
      </c>
      <c r="AM88" s="220">
        <f t="shared" si="129"/>
        <v>16</v>
      </c>
      <c r="AN88" s="461"/>
      <c r="AO88" s="220">
        <v>18</v>
      </c>
      <c r="AP88" s="220">
        <v>1332</v>
      </c>
      <c r="AQ88" s="222">
        <f t="shared" si="130"/>
        <v>74</v>
      </c>
      <c r="AR88" s="220">
        <f t="shared" si="131"/>
        <v>14</v>
      </c>
      <c r="AS88" s="461"/>
      <c r="AT88" s="220">
        <v>16</v>
      </c>
      <c r="AU88" s="220">
        <v>1169</v>
      </c>
      <c r="AV88" s="222">
        <f t="shared" si="132"/>
        <v>73.0625</v>
      </c>
      <c r="AW88" s="220">
        <f t="shared" si="133"/>
        <v>14</v>
      </c>
      <c r="AX88" s="461"/>
    </row>
    <row r="89" spans="2:50">
      <c r="B89" s="464"/>
      <c r="C89" s="220">
        <v>17</v>
      </c>
      <c r="D89" s="220"/>
      <c r="E89" s="221"/>
      <c r="F89" s="221"/>
      <c r="G89" s="222"/>
      <c r="H89" s="461"/>
      <c r="I89" s="221"/>
      <c r="J89" s="221"/>
      <c r="K89" s="222"/>
      <c r="L89" s="461"/>
      <c r="M89" s="221"/>
      <c r="N89" s="451"/>
      <c r="O89" s="451"/>
      <c r="P89" s="220"/>
      <c r="Q89" s="220"/>
      <c r="R89" s="158"/>
      <c r="S89" s="110"/>
      <c r="T89" s="461"/>
      <c r="U89" s="220"/>
      <c r="V89" s="220"/>
      <c r="W89" s="222"/>
      <c r="X89" s="220"/>
      <c r="Y89" s="461"/>
      <c r="Z89" s="220"/>
      <c r="AA89" s="220"/>
      <c r="AB89" s="222"/>
      <c r="AC89" s="220"/>
      <c r="AD89" s="461"/>
      <c r="AE89" s="220"/>
      <c r="AF89" s="220"/>
      <c r="AG89" s="222"/>
      <c r="AH89" s="220"/>
      <c r="AI89" s="461"/>
      <c r="AJ89" s="220"/>
      <c r="AK89" s="220"/>
      <c r="AL89" s="222"/>
      <c r="AM89" s="220"/>
      <c r="AN89" s="461"/>
      <c r="AO89" s="220"/>
      <c r="AP89" s="220"/>
      <c r="AQ89" s="222"/>
      <c r="AR89" s="220"/>
      <c r="AS89" s="461"/>
      <c r="AT89" s="220"/>
      <c r="AU89" s="220"/>
      <c r="AV89" s="222"/>
      <c r="AW89" s="220"/>
      <c r="AX89" s="461"/>
    </row>
    <row r="90" spans="2:50">
      <c r="B90" s="465"/>
      <c r="C90" s="220">
        <v>18</v>
      </c>
      <c r="D90" s="220"/>
      <c r="E90" s="221"/>
      <c r="F90" s="221"/>
      <c r="G90" s="222"/>
      <c r="H90" s="461"/>
      <c r="I90" s="220"/>
      <c r="J90" s="220"/>
      <c r="K90" s="220"/>
      <c r="L90" s="462"/>
      <c r="M90" s="221"/>
      <c r="N90" s="452"/>
      <c r="O90" s="452"/>
      <c r="P90" s="220"/>
      <c r="Q90" s="220"/>
      <c r="R90" s="158"/>
      <c r="S90" s="110"/>
      <c r="T90" s="462"/>
      <c r="U90" s="220"/>
      <c r="V90" s="220"/>
      <c r="W90" s="222"/>
      <c r="X90" s="220"/>
      <c r="Y90" s="462"/>
      <c r="Z90" s="220"/>
      <c r="AA90" s="220"/>
      <c r="AB90" s="222"/>
      <c r="AC90" s="220"/>
      <c r="AD90" s="462"/>
      <c r="AE90" s="220"/>
      <c r="AF90" s="220"/>
      <c r="AG90" s="222"/>
      <c r="AH90" s="220"/>
      <c r="AI90" s="462"/>
      <c r="AJ90" s="220"/>
      <c r="AK90" s="220"/>
      <c r="AL90" s="222"/>
      <c r="AM90" s="220"/>
      <c r="AN90" s="462"/>
      <c r="AO90" s="220"/>
      <c r="AP90" s="220"/>
      <c r="AQ90" s="222"/>
      <c r="AR90" s="220"/>
      <c r="AS90" s="462"/>
      <c r="AT90" s="220"/>
      <c r="AU90" s="220"/>
      <c r="AV90" s="222"/>
      <c r="AW90" s="220"/>
      <c r="AX90" s="462"/>
    </row>
    <row r="91" spans="2:50" ht="15.5">
      <c r="B91" s="459" t="s">
        <v>44</v>
      </c>
      <c r="C91" s="455"/>
      <c r="D91" s="455"/>
      <c r="E91" s="455"/>
      <c r="F91" s="455"/>
      <c r="G91" s="455"/>
      <c r="H91" s="455"/>
      <c r="I91" s="225"/>
      <c r="J91" s="225"/>
      <c r="K91" s="225"/>
      <c r="L91" s="225"/>
      <c r="M91" s="226"/>
      <c r="N91" s="450" t="s">
        <v>45</v>
      </c>
      <c r="O91" s="450" t="s">
        <v>3</v>
      </c>
      <c r="P91" s="453">
        <v>46014</v>
      </c>
      <c r="Q91" s="438"/>
      <c r="R91" s="438"/>
      <c r="S91" s="438"/>
      <c r="T91" s="438"/>
      <c r="U91" s="453">
        <v>46015</v>
      </c>
      <c r="V91" s="438"/>
      <c r="W91" s="438"/>
      <c r="X91" s="438"/>
      <c r="Y91" s="438"/>
      <c r="Z91" s="453">
        <v>46016</v>
      </c>
      <c r="AA91" s="438"/>
      <c r="AB91" s="438"/>
      <c r="AC91" s="438"/>
      <c r="AD91" s="438"/>
      <c r="AE91" s="453">
        <v>46017</v>
      </c>
      <c r="AF91" s="438"/>
      <c r="AG91" s="438"/>
      <c r="AH91" s="438"/>
      <c r="AI91" s="438"/>
      <c r="AJ91" s="453">
        <v>46018</v>
      </c>
      <c r="AK91" s="438"/>
      <c r="AL91" s="438"/>
      <c r="AM91" s="438"/>
      <c r="AN91" s="438"/>
      <c r="AO91" s="453">
        <v>46019</v>
      </c>
      <c r="AP91" s="438"/>
      <c r="AQ91" s="438"/>
      <c r="AR91" s="438"/>
      <c r="AS91" s="438"/>
      <c r="AT91" s="453">
        <v>46020</v>
      </c>
      <c r="AU91" s="438"/>
      <c r="AV91" s="438"/>
      <c r="AW91" s="438"/>
      <c r="AX91" s="438"/>
    </row>
    <row r="92" spans="2:50" ht="15.5">
      <c r="B92" s="456"/>
      <c r="C92" s="456"/>
      <c r="D92" s="456"/>
      <c r="E92" s="456"/>
      <c r="F92" s="456"/>
      <c r="G92" s="456"/>
      <c r="H92" s="456"/>
      <c r="I92" s="216"/>
      <c r="J92" s="216"/>
      <c r="K92" s="216"/>
      <c r="L92" s="216"/>
      <c r="M92" s="217"/>
      <c r="N92" s="452"/>
      <c r="O92" s="452"/>
      <c r="P92" s="453" t="s">
        <v>15</v>
      </c>
      <c r="Q92" s="438"/>
      <c r="R92" s="438"/>
      <c r="S92" s="438"/>
      <c r="T92" s="438"/>
      <c r="U92" s="453" t="s">
        <v>16</v>
      </c>
      <c r="V92" s="438"/>
      <c r="W92" s="438"/>
      <c r="X92" s="438"/>
      <c r="Y92" s="438"/>
      <c r="Z92" s="453" t="s">
        <v>17</v>
      </c>
      <c r="AA92" s="438"/>
      <c r="AB92" s="438"/>
      <c r="AC92" s="438"/>
      <c r="AD92" s="438"/>
      <c r="AE92" s="453" t="s">
        <v>18</v>
      </c>
      <c r="AF92" s="438"/>
      <c r="AG92" s="438"/>
      <c r="AH92" s="438"/>
      <c r="AI92" s="438"/>
      <c r="AJ92" s="453" t="s">
        <v>19</v>
      </c>
      <c r="AK92" s="438"/>
      <c r="AL92" s="438"/>
      <c r="AM92" s="438"/>
      <c r="AN92" s="438"/>
      <c r="AO92" s="453" t="s">
        <v>10</v>
      </c>
      <c r="AP92" s="438"/>
      <c r="AQ92" s="438"/>
      <c r="AR92" s="438"/>
      <c r="AS92" s="438"/>
      <c r="AT92" s="453" t="s">
        <v>14</v>
      </c>
      <c r="AU92" s="438"/>
      <c r="AV92" s="438"/>
      <c r="AW92" s="438"/>
      <c r="AX92" s="438"/>
    </row>
    <row r="93" spans="2:50">
      <c r="B93" s="445" t="s">
        <v>46</v>
      </c>
      <c r="C93" s="445" t="s">
        <v>47</v>
      </c>
      <c r="D93" s="445"/>
      <c r="E93" s="445" t="s">
        <v>48</v>
      </c>
      <c r="F93" s="445"/>
      <c r="G93" s="445"/>
      <c r="H93" s="447" t="s">
        <v>49</v>
      </c>
      <c r="I93" s="445" t="s">
        <v>50</v>
      </c>
      <c r="J93" s="445"/>
      <c r="K93" s="445"/>
      <c r="L93" s="447" t="s">
        <v>49</v>
      </c>
      <c r="M93" s="450" t="s">
        <v>51</v>
      </c>
      <c r="N93" s="450"/>
      <c r="O93" s="450" t="s">
        <v>52</v>
      </c>
      <c r="P93" s="442" t="s">
        <v>53</v>
      </c>
      <c r="Q93" s="443"/>
      <c r="R93" s="443"/>
      <c r="S93" s="444"/>
      <c r="T93" s="445" t="s">
        <v>49</v>
      </c>
      <c r="U93" s="442" t="s">
        <v>53</v>
      </c>
      <c r="V93" s="443"/>
      <c r="W93" s="443"/>
      <c r="X93" s="444"/>
      <c r="Y93" s="445" t="s">
        <v>49</v>
      </c>
      <c r="Z93" s="442" t="s">
        <v>53</v>
      </c>
      <c r="AA93" s="443"/>
      <c r="AB93" s="443"/>
      <c r="AC93" s="444"/>
      <c r="AD93" s="445" t="s">
        <v>49</v>
      </c>
      <c r="AE93" s="442" t="s">
        <v>53</v>
      </c>
      <c r="AF93" s="443"/>
      <c r="AG93" s="443"/>
      <c r="AH93" s="444"/>
      <c r="AI93" s="445" t="s">
        <v>49</v>
      </c>
      <c r="AJ93" s="442" t="s">
        <v>53</v>
      </c>
      <c r="AK93" s="443"/>
      <c r="AL93" s="443"/>
      <c r="AM93" s="444"/>
      <c r="AN93" s="445" t="s">
        <v>49</v>
      </c>
      <c r="AO93" s="442" t="s">
        <v>53</v>
      </c>
      <c r="AP93" s="443"/>
      <c r="AQ93" s="443"/>
      <c r="AR93" s="444"/>
      <c r="AS93" s="445" t="s">
        <v>49</v>
      </c>
      <c r="AT93" s="442" t="s">
        <v>53</v>
      </c>
      <c r="AU93" s="443"/>
      <c r="AV93" s="443"/>
      <c r="AW93" s="444"/>
      <c r="AX93" s="445" t="s">
        <v>49</v>
      </c>
    </row>
    <row r="94" spans="2:50">
      <c r="B94" s="445"/>
      <c r="C94" s="445"/>
      <c r="D94" s="445"/>
      <c r="E94" s="445" t="s">
        <v>54</v>
      </c>
      <c r="F94" s="445"/>
      <c r="G94" s="445"/>
      <c r="H94" s="448"/>
      <c r="I94" s="445" t="s">
        <v>54</v>
      </c>
      <c r="J94" s="445"/>
      <c r="K94" s="445"/>
      <c r="L94" s="448"/>
      <c r="M94" s="451"/>
      <c r="N94" s="451"/>
      <c r="O94" s="451"/>
      <c r="P94" s="442" t="s">
        <v>55</v>
      </c>
      <c r="Q94" s="443"/>
      <c r="R94" s="443"/>
      <c r="S94" s="444"/>
      <c r="T94" s="445"/>
      <c r="U94" s="442" t="s">
        <v>55</v>
      </c>
      <c r="V94" s="443"/>
      <c r="W94" s="443"/>
      <c r="X94" s="444"/>
      <c r="Y94" s="445"/>
      <c r="Z94" s="442" t="s">
        <v>55</v>
      </c>
      <c r="AA94" s="443"/>
      <c r="AB94" s="443"/>
      <c r="AC94" s="444"/>
      <c r="AD94" s="445"/>
      <c r="AE94" s="442" t="s">
        <v>55</v>
      </c>
      <c r="AF94" s="443"/>
      <c r="AG94" s="443"/>
      <c r="AH94" s="444"/>
      <c r="AI94" s="445"/>
      <c r="AJ94" s="442" t="s">
        <v>55</v>
      </c>
      <c r="AK94" s="443"/>
      <c r="AL94" s="443"/>
      <c r="AM94" s="444"/>
      <c r="AN94" s="445"/>
      <c r="AO94" s="442" t="s">
        <v>55</v>
      </c>
      <c r="AP94" s="443"/>
      <c r="AQ94" s="443"/>
      <c r="AR94" s="444"/>
      <c r="AS94" s="445"/>
      <c r="AT94" s="442" t="s">
        <v>55</v>
      </c>
      <c r="AU94" s="443"/>
      <c r="AV94" s="443"/>
      <c r="AW94" s="444"/>
      <c r="AX94" s="445"/>
    </row>
    <row r="95" spans="2:50">
      <c r="B95" s="445"/>
      <c r="C95" s="445"/>
      <c r="D95" s="445"/>
      <c r="E95" s="219" t="s">
        <v>56</v>
      </c>
      <c r="F95" s="219" t="s">
        <v>57</v>
      </c>
      <c r="G95" s="219" t="s">
        <v>58</v>
      </c>
      <c r="H95" s="449"/>
      <c r="I95" s="219" t="s">
        <v>56</v>
      </c>
      <c r="J95" s="219" t="s">
        <v>57</v>
      </c>
      <c r="K95" s="219" t="s">
        <v>58</v>
      </c>
      <c r="L95" s="449"/>
      <c r="M95" s="452"/>
      <c r="N95" s="451"/>
      <c r="O95" s="451"/>
      <c r="P95" s="219" t="s">
        <v>56</v>
      </c>
      <c r="Q95" s="219" t="s">
        <v>57</v>
      </c>
      <c r="R95" s="219" t="s">
        <v>58</v>
      </c>
      <c r="S95" s="219" t="s">
        <v>51</v>
      </c>
      <c r="T95" s="445"/>
      <c r="U95" s="219" t="s">
        <v>56</v>
      </c>
      <c r="V95" s="219" t="s">
        <v>57</v>
      </c>
      <c r="W95" s="219" t="s">
        <v>58</v>
      </c>
      <c r="X95" s="219" t="s">
        <v>51</v>
      </c>
      <c r="Y95" s="445"/>
      <c r="Z95" s="219" t="s">
        <v>56</v>
      </c>
      <c r="AA95" s="219" t="s">
        <v>57</v>
      </c>
      <c r="AB95" s="219" t="s">
        <v>58</v>
      </c>
      <c r="AC95" s="219" t="s">
        <v>51</v>
      </c>
      <c r="AD95" s="445"/>
      <c r="AE95" s="219" t="s">
        <v>56</v>
      </c>
      <c r="AF95" s="219" t="s">
        <v>57</v>
      </c>
      <c r="AG95" s="219" t="s">
        <v>58</v>
      </c>
      <c r="AH95" s="219" t="s">
        <v>51</v>
      </c>
      <c r="AI95" s="445"/>
      <c r="AJ95" s="219" t="s">
        <v>56</v>
      </c>
      <c r="AK95" s="219" t="s">
        <v>57</v>
      </c>
      <c r="AL95" s="219" t="s">
        <v>58</v>
      </c>
      <c r="AM95" s="219" t="s">
        <v>51</v>
      </c>
      <c r="AN95" s="445"/>
      <c r="AO95" s="219" t="s">
        <v>56</v>
      </c>
      <c r="AP95" s="219" t="s">
        <v>57</v>
      </c>
      <c r="AQ95" s="219" t="s">
        <v>58</v>
      </c>
      <c r="AR95" s="219" t="s">
        <v>51</v>
      </c>
      <c r="AS95" s="445"/>
      <c r="AT95" s="219" t="s">
        <v>56</v>
      </c>
      <c r="AU95" s="219" t="s">
        <v>57</v>
      </c>
      <c r="AV95" s="219" t="s">
        <v>58</v>
      </c>
      <c r="AW95" s="219" t="s">
        <v>51</v>
      </c>
      <c r="AX95" s="445"/>
    </row>
    <row r="96" spans="2:50" ht="13">
      <c r="B96" s="467" t="s">
        <v>331</v>
      </c>
      <c r="C96" s="220">
        <v>1</v>
      </c>
      <c r="D96" s="224" t="s">
        <v>74</v>
      </c>
      <c r="E96" s="221">
        <f>VLOOKUP(D96,'11產線配置圖'!$A$2:$C$25,2,0)</f>
        <v>12</v>
      </c>
      <c r="F96" s="221">
        <f>VLOOKUP(D96,'11產線配置圖'!$A$2:$C$25,3,0)</f>
        <v>2000</v>
      </c>
      <c r="G96" s="222">
        <f>F96/E96</f>
        <v>166.66666666666666</v>
      </c>
      <c r="H96" s="460">
        <f>AVERAGE(G96:G110)</f>
        <v>106.87033460032687</v>
      </c>
      <c r="I96" s="221">
        <f>AVERAGE(P96,U96,Z96,AE96,AJ96,AO96,AT96)</f>
        <v>11.928571428571429</v>
      </c>
      <c r="J96" s="221">
        <f>AVERAGE(Q96,V96,AA96,AF96,AK96,AP96,AU96)</f>
        <v>1811.4285714285713</v>
      </c>
      <c r="K96" s="222">
        <f>AVERAGE(R96,W96,AB96,AG96,AL96,AQ96,AV96)</f>
        <v>151.83799171842651</v>
      </c>
      <c r="L96" s="460">
        <f>IFERROR(AVERAGE(K96:K113),"-")</f>
        <v>97.15033908874473</v>
      </c>
      <c r="M96" s="221">
        <f>RANK(K96, K$96:$K$113)</f>
        <v>1</v>
      </c>
      <c r="N96" s="451"/>
      <c r="O96" s="451"/>
      <c r="P96" s="221">
        <v>11.5</v>
      </c>
      <c r="Q96" s="221">
        <v>1711</v>
      </c>
      <c r="R96" s="222">
        <f>Q96/P96</f>
        <v>148.78260869565219</v>
      </c>
      <c r="S96" s="220">
        <f>RANK(R96,$R$96:$R$113)</f>
        <v>1</v>
      </c>
      <c r="T96" s="460">
        <f>AVERAGE(R96:R113)</f>
        <v>96.567667432042057</v>
      </c>
      <c r="U96" s="221">
        <v>12</v>
      </c>
      <c r="V96" s="221">
        <v>1944</v>
      </c>
      <c r="W96" s="222">
        <f>V96/U96</f>
        <v>162</v>
      </c>
      <c r="X96" s="220">
        <f>RANK(W96,$W$96:$W$113)</f>
        <v>1</v>
      </c>
      <c r="Y96" s="460">
        <f>AVERAGE(W96:W113)</f>
        <v>98.216944865795966</v>
      </c>
      <c r="Z96" s="221">
        <v>12</v>
      </c>
      <c r="AA96" s="221">
        <v>1619</v>
      </c>
      <c r="AB96" s="222">
        <f>AA96/Z96</f>
        <v>134.91666666666666</v>
      </c>
      <c r="AC96" s="220">
        <f>RANK(AB96, $AB$96:$AB$113)</f>
        <v>2</v>
      </c>
      <c r="AD96" s="460">
        <f>AVERAGE(AB96:AB113)</f>
        <v>93.959538696973425</v>
      </c>
      <c r="AE96" s="221">
        <v>12</v>
      </c>
      <c r="AF96" s="221">
        <v>1786</v>
      </c>
      <c r="AG96" s="222">
        <f>AF96/AE96</f>
        <v>148.83333333333334</v>
      </c>
      <c r="AH96" s="220">
        <f>RANK(AG96,$AG$96:$AG$113)</f>
        <v>2</v>
      </c>
      <c r="AI96" s="460">
        <f>AVERAGE(AG96:AG113)</f>
        <v>96.641397877470851</v>
      </c>
      <c r="AJ96" s="221">
        <v>12</v>
      </c>
      <c r="AK96" s="221">
        <v>1793</v>
      </c>
      <c r="AL96" s="222">
        <f>AK96/AJ96</f>
        <v>149.41666666666666</v>
      </c>
      <c r="AM96" s="220">
        <f>RANK(AL96,$AL$96:$AL$113)</f>
        <v>3</v>
      </c>
      <c r="AN96" s="460">
        <f>AVERAGE(AL96:AL113)</f>
        <v>96.413715744394906</v>
      </c>
      <c r="AO96" s="221">
        <v>12</v>
      </c>
      <c r="AP96" s="221">
        <v>1905</v>
      </c>
      <c r="AQ96" s="222">
        <f>AP96/AO96</f>
        <v>158.75</v>
      </c>
      <c r="AR96" s="220">
        <f>RANK(AQ96,$AQ$96:$AQ$113)</f>
        <v>1</v>
      </c>
      <c r="AS96" s="460">
        <f>AVERAGE(AQ96:AQ113)</f>
        <v>100.85729064429722</v>
      </c>
      <c r="AT96" s="220">
        <v>12</v>
      </c>
      <c r="AU96" s="220">
        <v>1922</v>
      </c>
      <c r="AV96" s="222">
        <f>AU96/AT96</f>
        <v>160.16666666666666</v>
      </c>
      <c r="AW96" s="220">
        <f>RANK(AV96,$AV$96:$AV$113)</f>
        <v>1</v>
      </c>
      <c r="AX96" s="460">
        <f>AVERAGE(AV96:AV113)</f>
        <v>97.395818360238835</v>
      </c>
    </row>
    <row r="97" spans="1:50">
      <c r="B97" s="468"/>
      <c r="C97" s="220">
        <v>2</v>
      </c>
      <c r="D97" s="220" t="s">
        <v>77</v>
      </c>
      <c r="E97" s="221">
        <f>VLOOKUP(D97,'11產線配置圖'!$A$2:$C$25,2,0)</f>
        <v>13</v>
      </c>
      <c r="F97" s="221">
        <f>VLOOKUP(D97,'11產線配置圖'!$A$2:$C$25,3,0)</f>
        <v>2000</v>
      </c>
      <c r="G97" s="222">
        <f t="shared" ref="G97:G105" si="135">F97/E97</f>
        <v>153.84615384615384</v>
      </c>
      <c r="H97" s="461"/>
      <c r="I97" s="221">
        <f t="shared" ref="I97:I108" si="136">AVERAGE(P97,U97,Z97,AE97,AJ97,AO97,AT97)</f>
        <v>13.285714285714286</v>
      </c>
      <c r="J97" s="221">
        <f t="shared" ref="J97:J108" si="137">AVERAGE(Q97,V97,AA97,AF97,AK97,AP97,AU97)</f>
        <v>1791</v>
      </c>
      <c r="K97" s="222">
        <f t="shared" ref="K97:K108" si="138">AVERAGE(R97,W97,AB97,AG97,AL97,AQ97,AV97)</f>
        <v>135.15970695970697</v>
      </c>
      <c r="L97" s="461"/>
      <c r="M97" s="221">
        <f>RANK(K97, K$96:$K$113)</f>
        <v>4</v>
      </c>
      <c r="N97" s="451"/>
      <c r="O97" s="451"/>
      <c r="P97" s="221">
        <v>13</v>
      </c>
      <c r="Q97" s="221">
        <v>1919</v>
      </c>
      <c r="R97" s="222">
        <f t="shared" ref="R97:R106" si="139">Q97/P97</f>
        <v>147.61538461538461</v>
      </c>
      <c r="S97" s="220">
        <f t="shared" ref="S97:S106" si="140">RANK(R97,$R$96:$R$113)</f>
        <v>2</v>
      </c>
      <c r="T97" s="461"/>
      <c r="U97" s="221">
        <v>13</v>
      </c>
      <c r="V97" s="221">
        <v>1960</v>
      </c>
      <c r="W97" s="222">
        <f t="shared" ref="W97:W106" si="141">V97/U97</f>
        <v>150.76923076923077</v>
      </c>
      <c r="X97" s="220">
        <f t="shared" ref="X97:X106" si="142">RANK(W97,$W$96:$W$113)</f>
        <v>2</v>
      </c>
      <c r="Y97" s="461"/>
      <c r="Z97" s="221">
        <v>13</v>
      </c>
      <c r="AA97" s="221">
        <v>1471</v>
      </c>
      <c r="AB97" s="222">
        <f t="shared" ref="AB97:AB108" si="143">AA97/Z97</f>
        <v>113.15384615384616</v>
      </c>
      <c r="AC97" s="220">
        <f t="shared" ref="AC97:AC108" si="144">RANK(AB97, $AB$96:$AB$113)</f>
        <v>4</v>
      </c>
      <c r="AD97" s="461"/>
      <c r="AE97" s="221">
        <v>15</v>
      </c>
      <c r="AF97" s="221">
        <v>1781</v>
      </c>
      <c r="AG97" s="222">
        <f t="shared" ref="AG97:AG108" si="145">AF97/AE97</f>
        <v>118.73333333333333</v>
      </c>
      <c r="AH97" s="220">
        <f t="shared" ref="AH97:AH108" si="146">RANK(AG97,$AG$96:$AG$113)</f>
        <v>4</v>
      </c>
      <c r="AI97" s="461"/>
      <c r="AJ97" s="221">
        <v>13</v>
      </c>
      <c r="AK97" s="221">
        <v>1643</v>
      </c>
      <c r="AL97" s="222">
        <f t="shared" ref="AL97:AL108" si="147">AK97/AJ97</f>
        <v>126.38461538461539</v>
      </c>
      <c r="AM97" s="220">
        <f t="shared" ref="AM97:AM108" si="148">RANK(AL97,$AL$96:$AL$113)</f>
        <v>4</v>
      </c>
      <c r="AN97" s="461"/>
      <c r="AO97" s="221">
        <v>13</v>
      </c>
      <c r="AP97" s="221">
        <v>1890</v>
      </c>
      <c r="AQ97" s="222">
        <f t="shared" ref="AQ97:AQ101" si="149">AP97/AO97</f>
        <v>145.38461538461539</v>
      </c>
      <c r="AR97" s="220">
        <f t="shared" ref="AR97:AR101" si="150">RANK(AQ97,$AQ$96:$AQ$113)</f>
        <v>4</v>
      </c>
      <c r="AS97" s="461"/>
      <c r="AT97" s="220">
        <v>13</v>
      </c>
      <c r="AU97" s="220">
        <v>1873</v>
      </c>
      <c r="AV97" s="222">
        <f t="shared" ref="AV97:AV101" si="151">AU97/AT97</f>
        <v>144.07692307692307</v>
      </c>
      <c r="AW97" s="220">
        <f t="shared" ref="AW97:AW101" si="152">RANK(AV97,$AV$96:$AV$113)</f>
        <v>3</v>
      </c>
      <c r="AX97" s="461"/>
    </row>
    <row r="98" spans="1:50">
      <c r="B98" s="468"/>
      <c r="C98" s="220">
        <v>3</v>
      </c>
      <c r="D98" s="220" t="s">
        <v>75</v>
      </c>
      <c r="E98" s="221">
        <f>VLOOKUP(D98,'11產線配置圖'!$A$2:$C$25,2,0)</f>
        <v>15</v>
      </c>
      <c r="F98" s="221">
        <f>VLOOKUP(D98,'11產線配置圖'!$A$2:$C$25,3,0)</f>
        <v>2000</v>
      </c>
      <c r="G98" s="222">
        <f t="shared" si="135"/>
        <v>133.33333333333334</v>
      </c>
      <c r="H98" s="461"/>
      <c r="I98" s="221">
        <f t="shared" si="136"/>
        <v>13</v>
      </c>
      <c r="J98" s="221">
        <f t="shared" si="137"/>
        <v>1893.2857142857142</v>
      </c>
      <c r="K98" s="222">
        <f t="shared" si="138"/>
        <v>145.63736263736263</v>
      </c>
      <c r="L98" s="461"/>
      <c r="M98" s="221">
        <f>RANK(K98, K$96:$K$113)</f>
        <v>2</v>
      </c>
      <c r="N98" s="451"/>
      <c r="O98" s="451"/>
      <c r="P98" s="221">
        <v>13</v>
      </c>
      <c r="Q98" s="221">
        <v>1879</v>
      </c>
      <c r="R98" s="222">
        <f t="shared" si="139"/>
        <v>144.53846153846155</v>
      </c>
      <c r="S98" s="220">
        <f t="shared" si="140"/>
        <v>3</v>
      </c>
      <c r="T98" s="461"/>
      <c r="U98" s="221">
        <v>13</v>
      </c>
      <c r="V98" s="221">
        <v>1900</v>
      </c>
      <c r="W98" s="222">
        <f t="shared" si="141"/>
        <v>146.15384615384616</v>
      </c>
      <c r="X98" s="220">
        <f t="shared" si="142"/>
        <v>3</v>
      </c>
      <c r="Y98" s="461"/>
      <c r="Z98" s="221">
        <v>13</v>
      </c>
      <c r="AA98" s="221">
        <v>1694</v>
      </c>
      <c r="AB98" s="222">
        <f>AA98/Z98</f>
        <v>130.30769230769232</v>
      </c>
      <c r="AC98" s="220">
        <f t="shared" si="144"/>
        <v>3</v>
      </c>
      <c r="AD98" s="461"/>
      <c r="AE98" s="221">
        <v>13</v>
      </c>
      <c r="AF98" s="221">
        <v>1938</v>
      </c>
      <c r="AG98" s="222">
        <f t="shared" si="145"/>
        <v>149.07692307692307</v>
      </c>
      <c r="AH98" s="220">
        <f t="shared" si="146"/>
        <v>1</v>
      </c>
      <c r="AI98" s="461"/>
      <c r="AJ98" s="221">
        <v>13</v>
      </c>
      <c r="AK98" s="221">
        <v>1977</v>
      </c>
      <c r="AL98" s="222">
        <f t="shared" si="147"/>
        <v>152.07692307692307</v>
      </c>
      <c r="AM98" s="220">
        <f t="shared" si="148"/>
        <v>1</v>
      </c>
      <c r="AN98" s="461"/>
      <c r="AO98" s="221">
        <v>13</v>
      </c>
      <c r="AP98" s="221">
        <v>1930</v>
      </c>
      <c r="AQ98" s="222">
        <f t="shared" si="149"/>
        <v>148.46153846153845</v>
      </c>
      <c r="AR98" s="220">
        <f t="shared" si="150"/>
        <v>2</v>
      </c>
      <c r="AS98" s="461"/>
      <c r="AT98" s="220">
        <v>13</v>
      </c>
      <c r="AU98" s="220">
        <v>1935</v>
      </c>
      <c r="AV98" s="222">
        <f t="shared" si="151"/>
        <v>148.84615384615384</v>
      </c>
      <c r="AW98" s="220">
        <f t="shared" si="152"/>
        <v>2</v>
      </c>
      <c r="AX98" s="461"/>
    </row>
    <row r="99" spans="1:50">
      <c r="A99" s="212">
        <v>18</v>
      </c>
      <c r="B99" s="468"/>
      <c r="C99" s="220">
        <v>4</v>
      </c>
      <c r="D99" s="220" t="s">
        <v>195</v>
      </c>
      <c r="E99" s="221">
        <f>VLOOKUP(D99,'11產線配置圖'!$A$2:$C$25,2,0)</f>
        <v>18</v>
      </c>
      <c r="F99" s="221">
        <f>VLOOKUP(D99,'11產線配置圖'!$A$2:$C$25,3,0)</f>
        <v>1565</v>
      </c>
      <c r="G99" s="222">
        <f t="shared" si="135"/>
        <v>86.944444444444443</v>
      </c>
      <c r="H99" s="461"/>
      <c r="I99" s="221">
        <f t="shared" si="136"/>
        <v>18</v>
      </c>
      <c r="J99" s="221">
        <f t="shared" si="137"/>
        <v>1597.1428571428571</v>
      </c>
      <c r="K99" s="222">
        <f t="shared" si="138"/>
        <v>88.73015873015872</v>
      </c>
      <c r="L99" s="461"/>
      <c r="M99" s="221">
        <f>RANK(K99, K$96:$K$113)</f>
        <v>7</v>
      </c>
      <c r="N99" s="451"/>
      <c r="O99" s="451"/>
      <c r="P99" s="221">
        <v>18</v>
      </c>
      <c r="Q99" s="221">
        <v>1595</v>
      </c>
      <c r="R99" s="222">
        <f t="shared" si="139"/>
        <v>88.611111111111114</v>
      </c>
      <c r="S99" s="220">
        <f t="shared" si="140"/>
        <v>8</v>
      </c>
      <c r="T99" s="461"/>
      <c r="U99" s="221">
        <v>18</v>
      </c>
      <c r="V99" s="221">
        <v>1519</v>
      </c>
      <c r="W99" s="222">
        <f t="shared" si="141"/>
        <v>84.388888888888886</v>
      </c>
      <c r="X99" s="220">
        <f t="shared" si="142"/>
        <v>10</v>
      </c>
      <c r="Y99" s="461"/>
      <c r="Z99" s="221">
        <v>18</v>
      </c>
      <c r="AA99" s="221">
        <v>1550</v>
      </c>
      <c r="AB99" s="222">
        <f t="shared" si="143"/>
        <v>86.111111111111114</v>
      </c>
      <c r="AC99" s="220">
        <f t="shared" si="144"/>
        <v>8</v>
      </c>
      <c r="AD99" s="461"/>
      <c r="AE99" s="221">
        <v>18</v>
      </c>
      <c r="AF99" s="221">
        <v>1786</v>
      </c>
      <c r="AG99" s="222">
        <f t="shared" si="145"/>
        <v>99.222222222222229</v>
      </c>
      <c r="AH99" s="220">
        <f t="shared" si="146"/>
        <v>6</v>
      </c>
      <c r="AI99" s="461"/>
      <c r="AJ99" s="221">
        <v>18</v>
      </c>
      <c r="AK99" s="221">
        <v>1570</v>
      </c>
      <c r="AL99" s="222">
        <f t="shared" si="147"/>
        <v>87.222222222222229</v>
      </c>
      <c r="AM99" s="220">
        <f t="shared" si="148"/>
        <v>9</v>
      </c>
      <c r="AN99" s="461"/>
      <c r="AO99" s="221">
        <v>18</v>
      </c>
      <c r="AP99" s="221">
        <v>1583</v>
      </c>
      <c r="AQ99" s="222">
        <f t="shared" si="149"/>
        <v>87.944444444444443</v>
      </c>
      <c r="AR99" s="220">
        <f t="shared" si="150"/>
        <v>9</v>
      </c>
      <c r="AS99" s="461"/>
      <c r="AT99" s="220">
        <v>18</v>
      </c>
      <c r="AU99" s="220">
        <v>1577</v>
      </c>
      <c r="AV99" s="222">
        <f t="shared" si="151"/>
        <v>87.611111111111114</v>
      </c>
      <c r="AW99" s="220">
        <f t="shared" si="152"/>
        <v>9</v>
      </c>
      <c r="AX99" s="461"/>
    </row>
    <row r="100" spans="1:50">
      <c r="B100" s="468"/>
      <c r="C100" s="220">
        <v>5</v>
      </c>
      <c r="D100" s="220" t="s">
        <v>76</v>
      </c>
      <c r="E100" s="221">
        <f>VLOOKUP(D100,'11產線配置圖'!$A$2:$C$25,2,0)</f>
        <v>13</v>
      </c>
      <c r="F100" s="221">
        <f>VLOOKUP(D100,'11產線配置圖'!$A$2:$C$25,3,0)</f>
        <v>2000</v>
      </c>
      <c r="G100" s="222">
        <f t="shared" si="135"/>
        <v>153.84615384615384</v>
      </c>
      <c r="H100" s="461"/>
      <c r="I100" s="221">
        <f t="shared" si="136"/>
        <v>13</v>
      </c>
      <c r="J100" s="221">
        <f t="shared" si="137"/>
        <v>1762.2857142857142</v>
      </c>
      <c r="K100" s="222">
        <f t="shared" si="138"/>
        <v>135.56043956043959</v>
      </c>
      <c r="L100" s="461"/>
      <c r="M100" s="221">
        <f>RANK(K100, K$96:$K$113)</f>
        <v>3</v>
      </c>
      <c r="N100" s="451"/>
      <c r="O100" s="451"/>
      <c r="P100" s="221">
        <v>13</v>
      </c>
      <c r="Q100" s="221">
        <v>1734</v>
      </c>
      <c r="R100" s="222">
        <f t="shared" si="139"/>
        <v>133.38461538461539</v>
      </c>
      <c r="S100" s="220">
        <f t="shared" si="140"/>
        <v>4</v>
      </c>
      <c r="T100" s="461"/>
      <c r="U100" s="221">
        <v>13</v>
      </c>
      <c r="V100" s="221">
        <v>1830</v>
      </c>
      <c r="W100" s="222">
        <f t="shared" si="141"/>
        <v>140.76923076923077</v>
      </c>
      <c r="X100" s="220">
        <f t="shared" si="142"/>
        <v>4</v>
      </c>
      <c r="Y100" s="461"/>
      <c r="Z100" s="221">
        <v>13</v>
      </c>
      <c r="AA100" s="221">
        <v>1887</v>
      </c>
      <c r="AB100" s="222">
        <f t="shared" si="143"/>
        <v>145.15384615384616</v>
      </c>
      <c r="AC100" s="220">
        <f t="shared" si="144"/>
        <v>1</v>
      </c>
      <c r="AD100" s="461"/>
      <c r="AE100" s="221">
        <v>13</v>
      </c>
      <c r="AF100" s="221">
        <v>1658</v>
      </c>
      <c r="AG100" s="222">
        <f t="shared" si="145"/>
        <v>127.53846153846153</v>
      </c>
      <c r="AH100" s="220">
        <f t="shared" si="146"/>
        <v>3</v>
      </c>
      <c r="AI100" s="461"/>
      <c r="AJ100" s="221">
        <v>13</v>
      </c>
      <c r="AK100" s="221">
        <v>1959</v>
      </c>
      <c r="AL100" s="222">
        <f t="shared" si="147"/>
        <v>150.69230769230768</v>
      </c>
      <c r="AM100" s="220">
        <f t="shared" si="148"/>
        <v>2</v>
      </c>
      <c r="AN100" s="461"/>
      <c r="AO100" s="221">
        <v>13</v>
      </c>
      <c r="AP100" s="221">
        <v>1902</v>
      </c>
      <c r="AQ100" s="222">
        <f t="shared" si="149"/>
        <v>146.30769230769232</v>
      </c>
      <c r="AR100" s="220">
        <f t="shared" si="150"/>
        <v>3</v>
      </c>
      <c r="AS100" s="461"/>
      <c r="AT100" s="220">
        <v>13</v>
      </c>
      <c r="AU100" s="220">
        <v>1366</v>
      </c>
      <c r="AV100" s="222">
        <f t="shared" si="151"/>
        <v>105.07692307692308</v>
      </c>
      <c r="AW100" s="220">
        <f t="shared" si="152"/>
        <v>4</v>
      </c>
      <c r="AX100" s="461"/>
    </row>
    <row r="101" spans="1:50">
      <c r="B101" s="468"/>
      <c r="C101" s="220">
        <v>6</v>
      </c>
      <c r="D101" s="220" t="s">
        <v>374</v>
      </c>
      <c r="E101" s="221">
        <f>VLOOKUP(D101,'11產線配置圖'!$A$2:$C$25,2,0)</f>
        <v>14</v>
      </c>
      <c r="F101" s="221">
        <f>VLOOKUP(D101,'11產線配置圖'!$A$2:$C$25,3,0)</f>
        <v>1895</v>
      </c>
      <c r="G101" s="222">
        <f t="shared" si="135"/>
        <v>135.35714285714286</v>
      </c>
      <c r="H101" s="461"/>
      <c r="I101" s="221">
        <f t="shared" si="136"/>
        <v>16.714285714285715</v>
      </c>
      <c r="J101" s="221">
        <f t="shared" si="137"/>
        <v>1618.1428571428571</v>
      </c>
      <c r="K101" s="222">
        <f t="shared" si="138"/>
        <v>96.67752100840336</v>
      </c>
      <c r="L101" s="461"/>
      <c r="M101" s="221">
        <f>RANK(K101, K$96:$K$113)</f>
        <v>6</v>
      </c>
      <c r="N101" s="451"/>
      <c r="O101" s="451"/>
      <c r="P101" s="221">
        <v>16</v>
      </c>
      <c r="Q101" s="221">
        <v>1360</v>
      </c>
      <c r="R101" s="222">
        <f t="shared" si="139"/>
        <v>85</v>
      </c>
      <c r="S101" s="220">
        <f t="shared" si="140"/>
        <v>11</v>
      </c>
      <c r="T101" s="461"/>
      <c r="U101" s="221">
        <v>17</v>
      </c>
      <c r="V101" s="221">
        <v>1609</v>
      </c>
      <c r="W101" s="222">
        <f t="shared" si="141"/>
        <v>94.647058823529406</v>
      </c>
      <c r="X101" s="220">
        <f t="shared" si="142"/>
        <v>6</v>
      </c>
      <c r="Y101" s="461"/>
      <c r="Z101" s="221">
        <v>17</v>
      </c>
      <c r="AA101" s="221">
        <v>1561</v>
      </c>
      <c r="AB101" s="222">
        <f t="shared" si="143"/>
        <v>91.82352941176471</v>
      </c>
      <c r="AC101" s="220">
        <f t="shared" si="144"/>
        <v>6</v>
      </c>
      <c r="AD101" s="461"/>
      <c r="AE101" s="221">
        <v>16</v>
      </c>
      <c r="AF101" s="221">
        <v>1482</v>
      </c>
      <c r="AG101" s="222">
        <f t="shared" si="145"/>
        <v>92.625</v>
      </c>
      <c r="AH101" s="220">
        <f t="shared" si="146"/>
        <v>7</v>
      </c>
      <c r="AI101" s="461"/>
      <c r="AJ101" s="221">
        <v>17</v>
      </c>
      <c r="AK101" s="221">
        <v>1687</v>
      </c>
      <c r="AL101" s="222">
        <f t="shared" si="147"/>
        <v>99.235294117647058</v>
      </c>
      <c r="AM101" s="220">
        <f t="shared" si="148"/>
        <v>5</v>
      </c>
      <c r="AN101" s="461"/>
      <c r="AO101" s="221">
        <v>17</v>
      </c>
      <c r="AP101" s="221">
        <v>1884</v>
      </c>
      <c r="AQ101" s="222">
        <f t="shared" si="149"/>
        <v>110.82352941176471</v>
      </c>
      <c r="AR101" s="220">
        <f t="shared" si="150"/>
        <v>5</v>
      </c>
      <c r="AS101" s="461"/>
      <c r="AT101" s="220">
        <v>17</v>
      </c>
      <c r="AU101" s="220">
        <v>1744</v>
      </c>
      <c r="AV101" s="222">
        <f t="shared" si="151"/>
        <v>102.58823529411765</v>
      </c>
      <c r="AW101" s="220">
        <f t="shared" si="152"/>
        <v>5</v>
      </c>
      <c r="AX101" s="461"/>
    </row>
    <row r="102" spans="1:50">
      <c r="B102" s="468"/>
      <c r="C102" s="220">
        <v>7</v>
      </c>
      <c r="D102" s="220" t="s">
        <v>136</v>
      </c>
      <c r="E102" s="221">
        <f>VLOOKUP(D102,'11產線配置圖'!$A$2:$C$25,2,0)</f>
        <v>17</v>
      </c>
      <c r="F102" s="221">
        <f>VLOOKUP(D102,'11產線配置圖'!$A$2:$C$25,3,0)</f>
        <v>1385</v>
      </c>
      <c r="G102" s="222">
        <f t="shared" si="135"/>
        <v>81.470588235294116</v>
      </c>
      <c r="H102" s="461"/>
      <c r="I102" s="221">
        <f t="shared" si="136"/>
        <v>13.571428571428571</v>
      </c>
      <c r="J102" s="221">
        <f t="shared" si="137"/>
        <v>1129.5714285714287</v>
      </c>
      <c r="K102" s="222">
        <f t="shared" si="138"/>
        <v>83.135007849293558</v>
      </c>
      <c r="L102" s="461"/>
      <c r="M102" s="221">
        <f>RANK(K102, K$96:$K$113)</f>
        <v>10</v>
      </c>
      <c r="N102" s="451"/>
      <c r="O102" s="451"/>
      <c r="P102" s="221">
        <v>14</v>
      </c>
      <c r="Q102" s="221">
        <v>1201</v>
      </c>
      <c r="R102" s="222">
        <f t="shared" si="139"/>
        <v>85.785714285714292</v>
      </c>
      <c r="S102" s="220">
        <f t="shared" si="140"/>
        <v>9</v>
      </c>
      <c r="T102" s="461"/>
      <c r="U102" s="221">
        <v>14</v>
      </c>
      <c r="V102" s="221">
        <v>1195</v>
      </c>
      <c r="W102" s="222">
        <f t="shared" si="141"/>
        <v>85.357142857142861</v>
      </c>
      <c r="X102" s="220">
        <f t="shared" si="142"/>
        <v>8</v>
      </c>
      <c r="Y102" s="461"/>
      <c r="Z102" s="221">
        <v>14</v>
      </c>
      <c r="AA102" s="221">
        <v>1191</v>
      </c>
      <c r="AB102" s="222">
        <f>AA102/Z102</f>
        <v>85.071428571428569</v>
      </c>
      <c r="AC102" s="220">
        <f>RANK(AB102, $AB$96:$AB$113)</f>
        <v>9</v>
      </c>
      <c r="AD102" s="461"/>
      <c r="AE102" s="221">
        <v>14</v>
      </c>
      <c r="AF102" s="221">
        <v>1208</v>
      </c>
      <c r="AG102" s="222">
        <f>AF102/AE102</f>
        <v>86.285714285714292</v>
      </c>
      <c r="AH102" s="220">
        <f>RANK(AG102,$AG$96:$AG$113)</f>
        <v>9</v>
      </c>
      <c r="AI102" s="461"/>
      <c r="AJ102" s="221">
        <v>14</v>
      </c>
      <c r="AK102" s="221">
        <v>1095</v>
      </c>
      <c r="AL102" s="222">
        <f>AK102/AJ102</f>
        <v>78.214285714285708</v>
      </c>
      <c r="AM102" s="220">
        <f>RANK(AL102,$AL$96:$AL$113)</f>
        <v>11</v>
      </c>
      <c r="AN102" s="461"/>
      <c r="AO102" s="221">
        <v>13</v>
      </c>
      <c r="AP102" s="221">
        <v>1069</v>
      </c>
      <c r="AQ102" s="222">
        <f t="shared" ref="AQ102:AQ108" si="153">AP102/AO102</f>
        <v>82.230769230769226</v>
      </c>
      <c r="AR102" s="220">
        <f t="shared" ref="AR102:AR108" si="154">RANK(AQ102,$AQ$96:$AQ$113)</f>
        <v>11</v>
      </c>
      <c r="AS102" s="461"/>
      <c r="AT102" s="220">
        <v>12</v>
      </c>
      <c r="AU102" s="220">
        <v>948</v>
      </c>
      <c r="AV102" s="222">
        <f t="shared" ref="AV102:AV108" si="155">AU102/AT102</f>
        <v>79</v>
      </c>
      <c r="AW102" s="220">
        <f t="shared" ref="AW102:AW108" si="156">RANK(AV102,$AV$96:$AV$113)</f>
        <v>12</v>
      </c>
      <c r="AX102" s="461"/>
    </row>
    <row r="103" spans="1:50">
      <c r="B103" s="468"/>
      <c r="C103" s="220">
        <v>8</v>
      </c>
      <c r="D103" s="220" t="s">
        <v>86</v>
      </c>
      <c r="E103" s="221">
        <f>VLOOKUP(D103,'11產線配置圖'!$A$2:$C$25,2,0)</f>
        <v>18</v>
      </c>
      <c r="F103" s="221">
        <f>VLOOKUP(D103,'11產線配置圖'!$A$2:$C$25,3,0)</f>
        <v>1385</v>
      </c>
      <c r="G103" s="222">
        <f t="shared" si="135"/>
        <v>76.944444444444443</v>
      </c>
      <c r="H103" s="461"/>
      <c r="I103" s="221">
        <f t="shared" si="136"/>
        <v>15.285714285714286</v>
      </c>
      <c r="J103" s="221">
        <f t="shared" si="137"/>
        <v>1132.7142857142858</v>
      </c>
      <c r="K103" s="222">
        <f t="shared" si="138"/>
        <v>74.147205805399082</v>
      </c>
      <c r="L103" s="461"/>
      <c r="M103" s="221">
        <f>RANK(K103, K$96:$K$113)</f>
        <v>14</v>
      </c>
      <c r="N103" s="451"/>
      <c r="O103" s="451"/>
      <c r="P103" s="221">
        <v>16</v>
      </c>
      <c r="Q103" s="221">
        <v>1219</v>
      </c>
      <c r="R103" s="222">
        <f t="shared" si="139"/>
        <v>76.1875</v>
      </c>
      <c r="S103" s="220">
        <f t="shared" si="140"/>
        <v>12</v>
      </c>
      <c r="T103" s="461"/>
      <c r="U103" s="221">
        <v>16</v>
      </c>
      <c r="V103" s="221">
        <v>1173</v>
      </c>
      <c r="W103" s="222">
        <f t="shared" si="141"/>
        <v>73.3125</v>
      </c>
      <c r="X103" s="220">
        <f t="shared" si="142"/>
        <v>13</v>
      </c>
      <c r="Y103" s="461"/>
      <c r="Z103" s="221">
        <v>17</v>
      </c>
      <c r="AA103" s="221">
        <v>1262</v>
      </c>
      <c r="AB103" s="222">
        <f t="shared" si="143"/>
        <v>74.235294117647058</v>
      </c>
      <c r="AC103" s="220">
        <f t="shared" si="144"/>
        <v>14</v>
      </c>
      <c r="AD103" s="461"/>
      <c r="AE103" s="221">
        <v>14</v>
      </c>
      <c r="AF103" s="221">
        <v>1030</v>
      </c>
      <c r="AG103" s="222">
        <f t="shared" si="145"/>
        <v>73.571428571428569</v>
      </c>
      <c r="AH103" s="220">
        <f t="shared" si="146"/>
        <v>13</v>
      </c>
      <c r="AI103" s="461"/>
      <c r="AJ103" s="221">
        <v>13</v>
      </c>
      <c r="AK103" s="221">
        <v>983</v>
      </c>
      <c r="AL103" s="222">
        <f t="shared" si="147"/>
        <v>75.615384615384613</v>
      </c>
      <c r="AM103" s="220">
        <f t="shared" si="148"/>
        <v>14</v>
      </c>
      <c r="AN103" s="461"/>
      <c r="AO103" s="221">
        <v>15</v>
      </c>
      <c r="AP103" s="221">
        <v>1136</v>
      </c>
      <c r="AQ103" s="222">
        <f t="shared" si="153"/>
        <v>75.733333333333334</v>
      </c>
      <c r="AR103" s="220">
        <f t="shared" si="154"/>
        <v>13</v>
      </c>
      <c r="AS103" s="461"/>
      <c r="AT103" s="220">
        <v>16</v>
      </c>
      <c r="AU103" s="220">
        <v>1126</v>
      </c>
      <c r="AV103" s="222">
        <f t="shared" si="155"/>
        <v>70.375</v>
      </c>
      <c r="AW103" s="220">
        <f t="shared" si="156"/>
        <v>15</v>
      </c>
      <c r="AX103" s="461"/>
    </row>
    <row r="104" spans="1:50">
      <c r="B104" s="468"/>
      <c r="C104" s="220">
        <v>9</v>
      </c>
      <c r="D104" s="220" t="s">
        <v>190</v>
      </c>
      <c r="E104" s="221">
        <f>VLOOKUP(D104,'11產線配置圖'!$A$2:$C$25,2,0)</f>
        <v>17</v>
      </c>
      <c r="F104" s="221">
        <f>VLOOKUP(D104,'11產線配置圖'!$A$2:$C$25,3,0)</f>
        <v>1565</v>
      </c>
      <c r="G104" s="222">
        <f t="shared" si="135"/>
        <v>92.058823529411768</v>
      </c>
      <c r="H104" s="461"/>
      <c r="I104" s="221">
        <f t="shared" si="136"/>
        <v>17</v>
      </c>
      <c r="J104" s="221">
        <f t="shared" si="137"/>
        <v>1478.2857142857142</v>
      </c>
      <c r="K104" s="222">
        <f t="shared" si="138"/>
        <v>86.957983193277315</v>
      </c>
      <c r="L104" s="461"/>
      <c r="M104" s="221">
        <f>RANK(K104, K$96:$K$113)</f>
        <v>9</v>
      </c>
      <c r="N104" s="451"/>
      <c r="O104" s="451"/>
      <c r="P104" s="221">
        <v>17</v>
      </c>
      <c r="Q104" s="221">
        <v>1456</v>
      </c>
      <c r="R104" s="222">
        <f t="shared" si="139"/>
        <v>85.647058823529406</v>
      </c>
      <c r="S104" s="220">
        <f t="shared" si="140"/>
        <v>10</v>
      </c>
      <c r="T104" s="461"/>
      <c r="U104" s="221">
        <v>17</v>
      </c>
      <c r="V104" s="221">
        <v>1509</v>
      </c>
      <c r="W104" s="222">
        <f t="shared" si="141"/>
        <v>88.764705882352942</v>
      </c>
      <c r="X104" s="220">
        <f t="shared" si="142"/>
        <v>7</v>
      </c>
      <c r="Y104" s="461"/>
      <c r="Z104" s="221">
        <v>17</v>
      </c>
      <c r="AA104" s="221">
        <v>1374</v>
      </c>
      <c r="AB104" s="222">
        <f t="shared" si="143"/>
        <v>80.82352941176471</v>
      </c>
      <c r="AC104" s="220">
        <f t="shared" si="144"/>
        <v>12</v>
      </c>
      <c r="AD104" s="461"/>
      <c r="AE104" s="221">
        <v>17</v>
      </c>
      <c r="AF104" s="221">
        <v>1429</v>
      </c>
      <c r="AG104" s="222">
        <f t="shared" si="145"/>
        <v>84.058823529411768</v>
      </c>
      <c r="AH104" s="220">
        <f t="shared" si="146"/>
        <v>10</v>
      </c>
      <c r="AI104" s="461"/>
      <c r="AJ104" s="221">
        <v>17</v>
      </c>
      <c r="AK104" s="221">
        <v>1528</v>
      </c>
      <c r="AL104" s="222">
        <f t="shared" si="147"/>
        <v>89.882352941176464</v>
      </c>
      <c r="AM104" s="220">
        <f t="shared" si="148"/>
        <v>6</v>
      </c>
      <c r="AN104" s="461"/>
      <c r="AO104" s="221">
        <v>17</v>
      </c>
      <c r="AP104" s="221">
        <v>1499</v>
      </c>
      <c r="AQ104" s="222">
        <f t="shared" si="153"/>
        <v>88.17647058823529</v>
      </c>
      <c r="AR104" s="220">
        <f t="shared" si="154"/>
        <v>8</v>
      </c>
      <c r="AS104" s="461"/>
      <c r="AT104" s="220">
        <v>17</v>
      </c>
      <c r="AU104" s="220">
        <v>1553</v>
      </c>
      <c r="AV104" s="222">
        <f t="shared" si="155"/>
        <v>91.352941176470594</v>
      </c>
      <c r="AW104" s="220">
        <f t="shared" si="156"/>
        <v>7</v>
      </c>
      <c r="AX104" s="461"/>
    </row>
    <row r="105" spans="1:50">
      <c r="B105" s="468"/>
      <c r="C105" s="220">
        <v>10</v>
      </c>
      <c r="D105" s="220" t="s">
        <v>88</v>
      </c>
      <c r="E105" s="221">
        <f>VLOOKUP(D105,'11產線配置圖'!$A$2:$C$25,2,0)</f>
        <v>17</v>
      </c>
      <c r="F105" s="221">
        <f>VLOOKUP(D105,'11產線配置圖'!$A$2:$C$25,3,0)</f>
        <v>1500</v>
      </c>
      <c r="G105" s="222">
        <f t="shared" si="135"/>
        <v>88.235294117647058</v>
      </c>
      <c r="H105" s="461"/>
      <c r="I105" s="221">
        <f t="shared" si="136"/>
        <v>18.857142857142858</v>
      </c>
      <c r="J105" s="221">
        <f t="shared" si="137"/>
        <v>1419.2857142857142</v>
      </c>
      <c r="K105" s="222">
        <f t="shared" si="138"/>
        <v>75.198830409356717</v>
      </c>
      <c r="L105" s="461"/>
      <c r="M105" s="221">
        <f>RANK(K105, K$96:$K$113)</f>
        <v>13</v>
      </c>
      <c r="N105" s="451"/>
      <c r="O105" s="451"/>
      <c r="P105" s="221">
        <v>19</v>
      </c>
      <c r="Q105" s="221">
        <v>1211</v>
      </c>
      <c r="R105" s="222">
        <f t="shared" si="139"/>
        <v>63.736842105263158</v>
      </c>
      <c r="S105" s="220">
        <f t="shared" si="140"/>
        <v>16</v>
      </c>
      <c r="T105" s="461"/>
      <c r="U105" s="221">
        <v>18</v>
      </c>
      <c r="V105" s="221">
        <v>1196</v>
      </c>
      <c r="W105" s="222">
        <f t="shared" si="141"/>
        <v>66.444444444444443</v>
      </c>
      <c r="X105" s="220">
        <f t="shared" si="142"/>
        <v>16</v>
      </c>
      <c r="Y105" s="461"/>
      <c r="Z105" s="221">
        <v>19</v>
      </c>
      <c r="AA105" s="221">
        <v>1484</v>
      </c>
      <c r="AB105" s="222">
        <f t="shared" si="143"/>
        <v>78.10526315789474</v>
      </c>
      <c r="AC105" s="220">
        <f t="shared" si="144"/>
        <v>13</v>
      </c>
      <c r="AD105" s="461"/>
      <c r="AE105" s="221">
        <v>19</v>
      </c>
      <c r="AF105" s="221">
        <v>1525</v>
      </c>
      <c r="AG105" s="222">
        <f t="shared" si="145"/>
        <v>80.263157894736835</v>
      </c>
      <c r="AH105" s="220">
        <f t="shared" si="146"/>
        <v>11</v>
      </c>
      <c r="AI105" s="461"/>
      <c r="AJ105" s="221">
        <v>19</v>
      </c>
      <c r="AK105" s="221">
        <v>1465</v>
      </c>
      <c r="AL105" s="222">
        <f t="shared" si="147"/>
        <v>77.10526315789474</v>
      </c>
      <c r="AM105" s="220">
        <f t="shared" si="148"/>
        <v>12</v>
      </c>
      <c r="AN105" s="461"/>
      <c r="AO105" s="221">
        <v>19</v>
      </c>
      <c r="AP105" s="221">
        <v>1552</v>
      </c>
      <c r="AQ105" s="222">
        <f t="shared" si="153"/>
        <v>81.684210526315795</v>
      </c>
      <c r="AR105" s="220">
        <f t="shared" si="154"/>
        <v>12</v>
      </c>
      <c r="AS105" s="461"/>
      <c r="AT105" s="220">
        <v>19</v>
      </c>
      <c r="AU105" s="220">
        <v>1502</v>
      </c>
      <c r="AV105" s="222">
        <f t="shared" si="155"/>
        <v>79.05263157894737</v>
      </c>
      <c r="AW105" s="220">
        <f t="shared" si="156"/>
        <v>11</v>
      </c>
      <c r="AX105" s="461"/>
    </row>
    <row r="106" spans="1:50">
      <c r="B106" s="468"/>
      <c r="C106" s="220">
        <v>11</v>
      </c>
      <c r="D106" s="220" t="s">
        <v>377</v>
      </c>
      <c r="E106" s="221">
        <f>VLOOKUP(D106,'11產線配置圖'!$A$2:$C$25,2,0)</f>
        <v>15</v>
      </c>
      <c r="F106" s="221">
        <f>VLOOKUP(D106,'11產線配置圖'!$A$2:$C$25,3,0)</f>
        <v>1440</v>
      </c>
      <c r="G106" s="222">
        <f t="shared" ref="G106:G111" si="157">F106/E106</f>
        <v>96</v>
      </c>
      <c r="H106" s="461"/>
      <c r="I106" s="221">
        <f t="shared" si="136"/>
        <v>13.714285714285714</v>
      </c>
      <c r="J106" s="221">
        <f t="shared" si="137"/>
        <v>1110.2857142857142</v>
      </c>
      <c r="K106" s="222">
        <f t="shared" si="138"/>
        <v>81.052276295133439</v>
      </c>
      <c r="L106" s="461"/>
      <c r="M106" s="221">
        <f>RANK(K106, K$96:$K$113)</f>
        <v>11</v>
      </c>
      <c r="N106" s="451"/>
      <c r="O106" s="451"/>
      <c r="P106" s="220">
        <v>15</v>
      </c>
      <c r="Q106" s="220">
        <v>1387</v>
      </c>
      <c r="R106" s="222">
        <f t="shared" si="139"/>
        <v>92.466666666666669</v>
      </c>
      <c r="S106" s="220">
        <f t="shared" si="140"/>
        <v>5</v>
      </c>
      <c r="T106" s="461"/>
      <c r="U106" s="220">
        <v>14</v>
      </c>
      <c r="V106" s="220">
        <v>980</v>
      </c>
      <c r="W106" s="222">
        <f t="shared" si="141"/>
        <v>70</v>
      </c>
      <c r="X106" s="220">
        <f t="shared" si="142"/>
        <v>14</v>
      </c>
      <c r="Y106" s="461"/>
      <c r="Z106" s="220">
        <v>14</v>
      </c>
      <c r="AA106" s="220">
        <v>1153</v>
      </c>
      <c r="AB106" s="222">
        <f t="shared" si="143"/>
        <v>82.357142857142861</v>
      </c>
      <c r="AC106" s="220">
        <f t="shared" si="144"/>
        <v>10</v>
      </c>
      <c r="AD106" s="461"/>
      <c r="AE106" s="220">
        <v>14</v>
      </c>
      <c r="AF106" s="220">
        <v>1023</v>
      </c>
      <c r="AG106" s="222">
        <f t="shared" si="145"/>
        <v>73.071428571428569</v>
      </c>
      <c r="AH106" s="220">
        <f t="shared" si="146"/>
        <v>14</v>
      </c>
      <c r="AI106" s="461"/>
      <c r="AJ106" s="220">
        <v>14</v>
      </c>
      <c r="AK106" s="220">
        <v>1067</v>
      </c>
      <c r="AL106" s="222">
        <f t="shared" si="147"/>
        <v>76.214285714285708</v>
      </c>
      <c r="AM106" s="220">
        <f t="shared" si="148"/>
        <v>13</v>
      </c>
      <c r="AN106" s="461"/>
      <c r="AO106" s="220">
        <v>13</v>
      </c>
      <c r="AP106" s="220">
        <v>1078</v>
      </c>
      <c r="AQ106" s="222">
        <f t="shared" si="153"/>
        <v>82.92307692307692</v>
      </c>
      <c r="AR106" s="220">
        <f t="shared" si="154"/>
        <v>10</v>
      </c>
      <c r="AS106" s="461"/>
      <c r="AT106" s="220">
        <v>12</v>
      </c>
      <c r="AU106" s="220">
        <v>1084</v>
      </c>
      <c r="AV106" s="222">
        <f t="shared" si="155"/>
        <v>90.333333333333329</v>
      </c>
      <c r="AW106" s="220">
        <f t="shared" si="156"/>
        <v>8</v>
      </c>
      <c r="AX106" s="461"/>
    </row>
    <row r="107" spans="1:50">
      <c r="B107" s="468"/>
      <c r="C107" s="220">
        <v>12</v>
      </c>
      <c r="D107" s="220" t="s">
        <v>78</v>
      </c>
      <c r="E107" s="221">
        <f>VLOOKUP(D107,'11產線配置圖'!$A$2:$C$25,2,0)</f>
        <v>16</v>
      </c>
      <c r="F107" s="221">
        <f>VLOOKUP(D107,'11產線配置圖'!$A$2:$C$25,3,0)</f>
        <v>1385</v>
      </c>
      <c r="G107" s="222">
        <f t="shared" si="157"/>
        <v>86.5625</v>
      </c>
      <c r="H107" s="461"/>
      <c r="I107" s="221">
        <f>AVERAGE(P107,U107,Z107,AE107,AJ107,AO107,AT107)</f>
        <v>14.428571428571429</v>
      </c>
      <c r="J107" s="221">
        <f>AVERAGE(Q107,V107,AA107,AF107,AK107,AP107,AU107)</f>
        <v>1394.5714285714287</v>
      </c>
      <c r="K107" s="222">
        <f t="shared" si="138"/>
        <v>96.79283097854524</v>
      </c>
      <c r="L107" s="461"/>
      <c r="M107" s="221">
        <f>RANK(K107, K$96:$K$113)</f>
        <v>5</v>
      </c>
      <c r="N107" s="451"/>
      <c r="O107" s="451"/>
      <c r="P107" s="220">
        <v>15</v>
      </c>
      <c r="Q107" s="220">
        <v>1366</v>
      </c>
      <c r="R107" s="222">
        <f>Q107/P107</f>
        <v>91.066666666666663</v>
      </c>
      <c r="S107" s="220">
        <f>RANK(R107,$R$96:$R$113)</f>
        <v>6</v>
      </c>
      <c r="T107" s="461"/>
      <c r="U107" s="220">
        <v>15</v>
      </c>
      <c r="V107" s="220">
        <v>1444</v>
      </c>
      <c r="W107" s="222">
        <f>V107/U107</f>
        <v>96.266666666666666</v>
      </c>
      <c r="X107" s="220">
        <f>RANK(W107,$W$96:$W$113)</f>
        <v>5</v>
      </c>
      <c r="Y107" s="461"/>
      <c r="Z107" s="220">
        <v>13</v>
      </c>
      <c r="AA107" s="221">
        <v>1277</v>
      </c>
      <c r="AB107" s="222">
        <f>AA107/Z107</f>
        <v>98.230769230769226</v>
      </c>
      <c r="AC107" s="220">
        <f>RANK(AB107, $AB$96:$AB$113)</f>
        <v>5</v>
      </c>
      <c r="AD107" s="461"/>
      <c r="AE107" s="220">
        <v>14</v>
      </c>
      <c r="AF107" s="221">
        <v>1471</v>
      </c>
      <c r="AG107" s="222">
        <f>AF107/AE107</f>
        <v>105.07142857142857</v>
      </c>
      <c r="AH107" s="220">
        <f>RANK(AG107,$AG$96:$AG$113)</f>
        <v>5</v>
      </c>
      <c r="AI107" s="461"/>
      <c r="AJ107" s="220">
        <v>15</v>
      </c>
      <c r="AK107" s="221">
        <v>1309</v>
      </c>
      <c r="AL107" s="222">
        <f>AK107/AJ107</f>
        <v>87.266666666666666</v>
      </c>
      <c r="AM107" s="220">
        <f>RANK(AL107,$AL$96:$AL$113)</f>
        <v>8</v>
      </c>
      <c r="AN107" s="461"/>
      <c r="AO107" s="220">
        <v>15</v>
      </c>
      <c r="AP107" s="221">
        <v>1499</v>
      </c>
      <c r="AQ107" s="222">
        <f t="shared" si="153"/>
        <v>99.933333333333337</v>
      </c>
      <c r="AR107" s="220">
        <f t="shared" si="154"/>
        <v>6</v>
      </c>
      <c r="AS107" s="461"/>
      <c r="AT107" s="220">
        <v>14</v>
      </c>
      <c r="AU107" s="220">
        <v>1396</v>
      </c>
      <c r="AV107" s="222">
        <f t="shared" si="155"/>
        <v>99.714285714285708</v>
      </c>
      <c r="AW107" s="220">
        <f t="shared" si="156"/>
        <v>6</v>
      </c>
      <c r="AX107" s="461"/>
    </row>
    <row r="108" spans="1:50">
      <c r="B108" s="468"/>
      <c r="C108" s="220">
        <v>13</v>
      </c>
      <c r="D108" s="220" t="s">
        <v>138</v>
      </c>
      <c r="E108" s="221">
        <f>VLOOKUP(D108,'11產線配置圖'!$A$2:$C$25,2,0)</f>
        <v>15</v>
      </c>
      <c r="F108" s="221">
        <f>VLOOKUP(D108,'11產線配置圖'!$A$2:$C$25,3,0)</f>
        <v>1440</v>
      </c>
      <c r="G108" s="222">
        <f t="shared" si="157"/>
        <v>96</v>
      </c>
      <c r="H108" s="461"/>
      <c r="I108" s="221">
        <f t="shared" si="136"/>
        <v>14.714285714285714</v>
      </c>
      <c r="J108" s="221">
        <f t="shared" si="137"/>
        <v>1294.4285714285713</v>
      </c>
      <c r="K108" s="222">
        <f t="shared" si="138"/>
        <v>87.929251700680283</v>
      </c>
      <c r="L108" s="461"/>
      <c r="M108" s="221">
        <f>RANK(K108, K$96:$K$113)</f>
        <v>8</v>
      </c>
      <c r="N108" s="451"/>
      <c r="O108" s="451"/>
      <c r="P108" s="220">
        <v>15</v>
      </c>
      <c r="Q108" s="220">
        <v>1331</v>
      </c>
      <c r="R108" s="222">
        <f t="shared" ref="R108:R111" si="158">Q108/P108</f>
        <v>88.733333333333334</v>
      </c>
      <c r="S108" s="220">
        <f t="shared" ref="S108:S111" si="159">RANK(R108,$R$96:$R$113)</f>
        <v>7</v>
      </c>
      <c r="T108" s="461"/>
      <c r="U108" s="220">
        <v>14</v>
      </c>
      <c r="V108" s="220">
        <v>1154</v>
      </c>
      <c r="W108" s="222">
        <f>V108/U108</f>
        <v>82.428571428571431</v>
      </c>
      <c r="X108" s="220">
        <f>RANK(W108,$W$96:$W$113)</f>
        <v>11</v>
      </c>
      <c r="Y108" s="461"/>
      <c r="Z108" s="220">
        <v>15</v>
      </c>
      <c r="AA108" s="220">
        <v>1292</v>
      </c>
      <c r="AB108" s="222">
        <f t="shared" si="143"/>
        <v>86.13333333333334</v>
      </c>
      <c r="AC108" s="220">
        <f t="shared" si="144"/>
        <v>7</v>
      </c>
      <c r="AD108" s="461"/>
      <c r="AE108" s="220">
        <v>15</v>
      </c>
      <c r="AF108" s="220">
        <v>1382</v>
      </c>
      <c r="AG108" s="222">
        <f t="shared" si="145"/>
        <v>92.13333333333334</v>
      </c>
      <c r="AH108" s="220">
        <f t="shared" si="146"/>
        <v>8</v>
      </c>
      <c r="AI108" s="461"/>
      <c r="AJ108" s="220">
        <v>14</v>
      </c>
      <c r="AK108" s="220">
        <v>1248</v>
      </c>
      <c r="AL108" s="222">
        <f t="shared" si="147"/>
        <v>89.142857142857139</v>
      </c>
      <c r="AM108" s="220">
        <f t="shared" si="148"/>
        <v>7</v>
      </c>
      <c r="AN108" s="461"/>
      <c r="AO108" s="220">
        <v>15</v>
      </c>
      <c r="AP108" s="220">
        <v>1381</v>
      </c>
      <c r="AQ108" s="222">
        <f t="shared" si="153"/>
        <v>92.066666666666663</v>
      </c>
      <c r="AR108" s="220">
        <f t="shared" si="154"/>
        <v>7</v>
      </c>
      <c r="AS108" s="461"/>
      <c r="AT108" s="220">
        <v>15</v>
      </c>
      <c r="AU108" s="220">
        <v>1273</v>
      </c>
      <c r="AV108" s="222">
        <f t="shared" si="155"/>
        <v>84.86666666666666</v>
      </c>
      <c r="AW108" s="220">
        <f t="shared" si="156"/>
        <v>10</v>
      </c>
      <c r="AX108" s="461"/>
    </row>
    <row r="109" spans="1:50">
      <c r="B109" s="468"/>
      <c r="C109" s="220">
        <v>14</v>
      </c>
      <c r="D109" s="220" t="s">
        <v>81</v>
      </c>
      <c r="E109" s="221">
        <f>VLOOKUP(D109,'11產線配置圖'!$A$2:$C$25,2,0)</f>
        <v>18</v>
      </c>
      <c r="F109" s="221">
        <f>VLOOKUP(D109,'11產線配置圖'!$A$2:$C$25,3,0)</f>
        <v>1440</v>
      </c>
      <c r="G109" s="222">
        <f t="shared" si="157"/>
        <v>80</v>
      </c>
      <c r="H109" s="461"/>
      <c r="I109" s="221">
        <f t="shared" ref="I109:I111" si="160">AVERAGE(P109,U109,Z109,AE109,AJ109,AO109,AT109)</f>
        <v>15</v>
      </c>
      <c r="J109" s="221">
        <f t="shared" ref="J109:J111" si="161">AVERAGE(Q109,V109,AA109,AF109,AK109,AP109,AU109)</f>
        <v>1024.4285714285713</v>
      </c>
      <c r="K109" s="222">
        <f t="shared" ref="K109:K111" si="162">AVERAGE(R109,W109,AB109,AG109,AL109,AQ109,AV109)</f>
        <v>68.250595238095244</v>
      </c>
      <c r="L109" s="461"/>
      <c r="M109" s="221">
        <f>RANK(K109, K$96:$K$113)</f>
        <v>16</v>
      </c>
      <c r="N109" s="451"/>
      <c r="O109" s="451"/>
      <c r="P109" s="220">
        <v>16</v>
      </c>
      <c r="Q109" s="220">
        <v>1195</v>
      </c>
      <c r="R109" s="222">
        <f t="shared" si="158"/>
        <v>74.6875</v>
      </c>
      <c r="S109" s="220">
        <f t="shared" si="159"/>
        <v>14</v>
      </c>
      <c r="T109" s="461"/>
      <c r="U109" s="220">
        <v>14</v>
      </c>
      <c r="V109" s="220">
        <v>980</v>
      </c>
      <c r="W109" s="222">
        <f t="shared" ref="W109:W111" si="163">V109/U109</f>
        <v>70</v>
      </c>
      <c r="X109" s="220">
        <f t="shared" ref="X109:X111" si="164">RANK(W109,$W$96:$W$113)</f>
        <v>14</v>
      </c>
      <c r="Y109" s="461"/>
      <c r="Z109" s="220">
        <v>15</v>
      </c>
      <c r="AA109" s="220">
        <v>962</v>
      </c>
      <c r="AB109" s="222">
        <f t="shared" ref="AB109:AB111" si="165">AA109/Z109</f>
        <v>64.13333333333334</v>
      </c>
      <c r="AC109" s="220">
        <f t="shared" ref="AC109:AC111" si="166">RANK(AB109, $AB$96:$AB$113)</f>
        <v>16</v>
      </c>
      <c r="AD109" s="461"/>
      <c r="AE109" s="220">
        <v>15</v>
      </c>
      <c r="AF109" s="220">
        <v>1030</v>
      </c>
      <c r="AG109" s="222">
        <f t="shared" ref="AG109:AG111" si="167">AF109/AE109</f>
        <v>68.666666666666671</v>
      </c>
      <c r="AH109" s="220">
        <f t="shared" ref="AH109:AH111" si="168">RANK(AG109,$AG$96:$AG$113)</f>
        <v>16</v>
      </c>
      <c r="AI109" s="461"/>
      <c r="AJ109" s="220">
        <v>15</v>
      </c>
      <c r="AK109" s="220">
        <v>975</v>
      </c>
      <c r="AL109" s="222">
        <f t="shared" ref="AL109:AL111" si="169">AK109/AJ109</f>
        <v>65</v>
      </c>
      <c r="AM109" s="220">
        <f t="shared" ref="AM109:AM111" si="170">RANK(AL109,$AL$96:$AL$113)</f>
        <v>15</v>
      </c>
      <c r="AN109" s="461"/>
      <c r="AO109" s="220">
        <v>15</v>
      </c>
      <c r="AP109" s="220">
        <v>1007</v>
      </c>
      <c r="AQ109" s="222">
        <f t="shared" ref="AQ109:AQ111" si="171">AP109/AO109</f>
        <v>67.13333333333334</v>
      </c>
      <c r="AR109" s="220">
        <f t="shared" ref="AR109:AR111" si="172">RANK(AQ109,$AQ$96:$AQ$113)</f>
        <v>16</v>
      </c>
      <c r="AS109" s="461"/>
      <c r="AT109" s="220">
        <v>15</v>
      </c>
      <c r="AU109" s="220">
        <v>1022</v>
      </c>
      <c r="AV109" s="222">
        <f t="shared" ref="AV109:AV111" si="173">AU109/AT109</f>
        <v>68.13333333333334</v>
      </c>
      <c r="AW109" s="220">
        <f t="shared" ref="AW109:AW111" si="174">RANK(AV109,$AV$96:$AV$113)</f>
        <v>16</v>
      </c>
      <c r="AX109" s="461"/>
    </row>
    <row r="110" spans="1:50">
      <c r="B110" s="468"/>
      <c r="C110" s="220">
        <v>15</v>
      </c>
      <c r="D110" s="220" t="s">
        <v>84</v>
      </c>
      <c r="E110" s="221">
        <f>VLOOKUP(D110,'11產線配置圖'!$A$2:$C$25,2,0)</f>
        <v>19</v>
      </c>
      <c r="F110" s="221">
        <f>VLOOKUP(D110,'11產線配置圖'!$A$2:$C$25,3,0)</f>
        <v>1440</v>
      </c>
      <c r="G110" s="222">
        <f t="shared" si="157"/>
        <v>75.78947368421052</v>
      </c>
      <c r="H110" s="461"/>
      <c r="I110" s="221">
        <f t="shared" si="160"/>
        <v>15.428571428571429</v>
      </c>
      <c r="J110" s="221">
        <f t="shared" si="161"/>
        <v>1100.4285714285713</v>
      </c>
      <c r="K110" s="222">
        <f t="shared" si="162"/>
        <v>71.653126250500193</v>
      </c>
      <c r="L110" s="461"/>
      <c r="M110" s="221">
        <f>RANK(K110, K$96:$K$113)</f>
        <v>15</v>
      </c>
      <c r="N110" s="451"/>
      <c r="O110" s="451"/>
      <c r="P110" s="220">
        <v>17</v>
      </c>
      <c r="Q110" s="220">
        <v>1270</v>
      </c>
      <c r="R110" s="222">
        <f t="shared" si="158"/>
        <v>74.705882352941174</v>
      </c>
      <c r="S110" s="220">
        <f t="shared" si="159"/>
        <v>13</v>
      </c>
      <c r="T110" s="461"/>
      <c r="U110" s="220">
        <v>14</v>
      </c>
      <c r="V110" s="220">
        <v>1060</v>
      </c>
      <c r="W110" s="222">
        <f t="shared" si="163"/>
        <v>75.714285714285708</v>
      </c>
      <c r="X110" s="220">
        <f t="shared" si="164"/>
        <v>12</v>
      </c>
      <c r="Y110" s="461"/>
      <c r="Z110" s="220">
        <v>16</v>
      </c>
      <c r="AA110" s="220">
        <v>1137</v>
      </c>
      <c r="AB110" s="222">
        <f t="shared" si="165"/>
        <v>71.0625</v>
      </c>
      <c r="AC110" s="220">
        <f t="shared" si="166"/>
        <v>15</v>
      </c>
      <c r="AD110" s="461"/>
      <c r="AE110" s="220">
        <v>17</v>
      </c>
      <c r="AF110" s="220">
        <v>1207</v>
      </c>
      <c r="AG110" s="222">
        <f t="shared" si="167"/>
        <v>71</v>
      </c>
      <c r="AH110" s="220">
        <f t="shared" si="168"/>
        <v>15</v>
      </c>
      <c r="AI110" s="461"/>
      <c r="AJ110" s="220">
        <v>17</v>
      </c>
      <c r="AK110" s="220">
        <v>1015</v>
      </c>
      <c r="AL110" s="222">
        <f t="shared" si="169"/>
        <v>59.705882352941174</v>
      </c>
      <c r="AM110" s="220">
        <f t="shared" si="170"/>
        <v>16</v>
      </c>
      <c r="AN110" s="461"/>
      <c r="AO110" s="220">
        <v>15</v>
      </c>
      <c r="AP110" s="220">
        <v>1107</v>
      </c>
      <c r="AQ110" s="222">
        <f t="shared" si="171"/>
        <v>73.8</v>
      </c>
      <c r="AR110" s="220">
        <f t="shared" si="172"/>
        <v>14</v>
      </c>
      <c r="AS110" s="461"/>
      <c r="AT110" s="220">
        <v>12</v>
      </c>
      <c r="AU110" s="220">
        <v>907</v>
      </c>
      <c r="AV110" s="222">
        <f t="shared" si="173"/>
        <v>75.583333333333329</v>
      </c>
      <c r="AW110" s="220">
        <f t="shared" si="174"/>
        <v>13</v>
      </c>
      <c r="AX110" s="461"/>
    </row>
    <row r="111" spans="1:50">
      <c r="B111" s="468"/>
      <c r="C111" s="220">
        <v>16</v>
      </c>
      <c r="D111" s="220" t="s">
        <v>90</v>
      </c>
      <c r="E111" s="221">
        <f>VLOOKUP(D111,'11產線配置圖'!$A$2:$C$25,2,0)</f>
        <v>15</v>
      </c>
      <c r="F111" s="221">
        <f>VLOOKUP(D111,'11產線配置圖'!$A$2:$C$25,3,0)</f>
        <v>1440</v>
      </c>
      <c r="G111" s="222">
        <f t="shared" si="157"/>
        <v>96</v>
      </c>
      <c r="H111" s="461"/>
      <c r="I111" s="221">
        <f t="shared" si="160"/>
        <v>11.285714285714286</v>
      </c>
      <c r="J111" s="221">
        <f t="shared" si="161"/>
        <v>851</v>
      </c>
      <c r="K111" s="222">
        <f t="shared" si="162"/>
        <v>75.685137085137086</v>
      </c>
      <c r="L111" s="461"/>
      <c r="M111" s="221">
        <f>RANK(K111, K$96:$K$113)</f>
        <v>12</v>
      </c>
      <c r="N111" s="451"/>
      <c r="O111" s="451"/>
      <c r="P111" s="220">
        <v>15</v>
      </c>
      <c r="Q111" s="220">
        <v>962</v>
      </c>
      <c r="R111" s="222">
        <f t="shared" si="158"/>
        <v>64.13333333333334</v>
      </c>
      <c r="S111" s="220">
        <f t="shared" si="159"/>
        <v>15</v>
      </c>
      <c r="T111" s="461"/>
      <c r="U111" s="220">
        <v>11</v>
      </c>
      <c r="V111" s="220">
        <v>929</v>
      </c>
      <c r="W111" s="222">
        <f t="shared" si="163"/>
        <v>84.454545454545453</v>
      </c>
      <c r="X111" s="220">
        <f t="shared" si="164"/>
        <v>9</v>
      </c>
      <c r="Y111" s="461"/>
      <c r="Z111" s="220">
        <v>15</v>
      </c>
      <c r="AA111" s="220">
        <v>1226</v>
      </c>
      <c r="AB111" s="222">
        <f t="shared" si="165"/>
        <v>81.733333333333334</v>
      </c>
      <c r="AC111" s="220">
        <f t="shared" si="166"/>
        <v>11</v>
      </c>
      <c r="AD111" s="461"/>
      <c r="AE111" s="220">
        <v>9</v>
      </c>
      <c r="AF111" s="220">
        <v>685</v>
      </c>
      <c r="AG111" s="222">
        <f t="shared" si="167"/>
        <v>76.111111111111114</v>
      </c>
      <c r="AH111" s="220">
        <f t="shared" si="168"/>
        <v>12</v>
      </c>
      <c r="AI111" s="461"/>
      <c r="AJ111" s="220">
        <v>9</v>
      </c>
      <c r="AK111" s="220">
        <v>715</v>
      </c>
      <c r="AL111" s="222">
        <f t="shared" si="169"/>
        <v>79.444444444444443</v>
      </c>
      <c r="AM111" s="220">
        <f t="shared" si="170"/>
        <v>10</v>
      </c>
      <c r="AN111" s="461"/>
      <c r="AO111" s="220">
        <v>11</v>
      </c>
      <c r="AP111" s="220">
        <v>796</v>
      </c>
      <c r="AQ111" s="222">
        <f t="shared" si="171"/>
        <v>72.36363636363636</v>
      </c>
      <c r="AR111" s="220">
        <f t="shared" si="172"/>
        <v>15</v>
      </c>
      <c r="AS111" s="461"/>
      <c r="AT111" s="220">
        <v>9</v>
      </c>
      <c r="AU111" s="220">
        <v>644</v>
      </c>
      <c r="AV111" s="222">
        <f t="shared" si="173"/>
        <v>71.555555555555557</v>
      </c>
      <c r="AW111" s="220">
        <f t="shared" si="174"/>
        <v>14</v>
      </c>
      <c r="AX111" s="461"/>
    </row>
    <row r="112" spans="1:50">
      <c r="B112" s="468"/>
      <c r="C112" s="220">
        <v>17</v>
      </c>
      <c r="D112" s="220"/>
      <c r="E112" s="221"/>
      <c r="F112" s="221"/>
      <c r="G112" s="222"/>
      <c r="H112" s="461"/>
      <c r="I112" s="221"/>
      <c r="J112" s="221"/>
      <c r="K112" s="222"/>
      <c r="L112" s="461"/>
      <c r="M112" s="221"/>
      <c r="N112" s="451"/>
      <c r="O112" s="451"/>
      <c r="P112" s="220"/>
      <c r="Q112" s="220"/>
      <c r="R112" s="222"/>
      <c r="S112" s="220"/>
      <c r="T112" s="461"/>
      <c r="U112" s="220"/>
      <c r="V112" s="220"/>
      <c r="W112" s="222"/>
      <c r="X112" s="220"/>
      <c r="Y112" s="461"/>
      <c r="Z112" s="220"/>
      <c r="AA112" s="220"/>
      <c r="AB112" s="222"/>
      <c r="AC112" s="220"/>
      <c r="AD112" s="461"/>
      <c r="AE112" s="220"/>
      <c r="AF112" s="220"/>
      <c r="AG112" s="222"/>
      <c r="AH112" s="220"/>
      <c r="AI112" s="461"/>
      <c r="AJ112" s="220"/>
      <c r="AK112" s="220"/>
      <c r="AL112" s="222"/>
      <c r="AM112" s="220"/>
      <c r="AN112" s="461"/>
      <c r="AO112" s="220"/>
      <c r="AP112" s="220"/>
      <c r="AQ112" s="222"/>
      <c r="AR112" s="220"/>
      <c r="AS112" s="461"/>
      <c r="AT112" s="220"/>
      <c r="AU112" s="220"/>
      <c r="AV112" s="222"/>
      <c r="AW112" s="220"/>
      <c r="AX112" s="461"/>
    </row>
    <row r="113" spans="2:50">
      <c r="B113" s="468"/>
      <c r="C113" s="220">
        <v>18</v>
      </c>
      <c r="D113" s="220"/>
      <c r="E113" s="220"/>
      <c r="F113" s="220"/>
      <c r="G113" s="220"/>
      <c r="H113" s="461"/>
      <c r="I113" s="220"/>
      <c r="J113" s="220"/>
      <c r="K113" s="220"/>
      <c r="L113" s="462"/>
      <c r="M113" s="221"/>
      <c r="N113" s="452"/>
      <c r="O113" s="452"/>
      <c r="P113" s="220"/>
      <c r="Q113" s="220"/>
      <c r="R113" s="220"/>
      <c r="S113" s="220"/>
      <c r="T113" s="462"/>
      <c r="U113" s="220"/>
      <c r="V113" s="220"/>
      <c r="W113" s="222"/>
      <c r="X113" s="220"/>
      <c r="Y113" s="462"/>
      <c r="Z113" s="220"/>
      <c r="AA113" s="220"/>
      <c r="AB113" s="222"/>
      <c r="AC113" s="220"/>
      <c r="AD113" s="462"/>
      <c r="AE113" s="220"/>
      <c r="AF113" s="220"/>
      <c r="AG113" s="222"/>
      <c r="AH113" s="220"/>
      <c r="AI113" s="462"/>
      <c r="AJ113" s="220"/>
      <c r="AK113" s="220"/>
      <c r="AL113" s="222"/>
      <c r="AM113" s="220"/>
      <c r="AN113" s="462"/>
      <c r="AO113" s="220"/>
      <c r="AP113" s="220"/>
      <c r="AQ113" s="222"/>
      <c r="AR113" s="220"/>
      <c r="AS113" s="462"/>
      <c r="AT113" s="220"/>
      <c r="AU113" s="220"/>
      <c r="AV113" s="222"/>
      <c r="AW113" s="220"/>
      <c r="AX113" s="462"/>
    </row>
    <row r="114" spans="2:50" ht="15.5">
      <c r="B114" s="454" t="s">
        <v>44</v>
      </c>
      <c r="C114" s="455"/>
      <c r="D114" s="455"/>
      <c r="E114" s="455"/>
      <c r="F114" s="455"/>
      <c r="G114" s="455"/>
      <c r="H114" s="455"/>
      <c r="I114" s="214"/>
      <c r="J114" s="214"/>
      <c r="K114" s="214"/>
      <c r="L114" s="214"/>
      <c r="M114" s="215"/>
      <c r="N114" s="450" t="s">
        <v>45</v>
      </c>
      <c r="O114" s="450" t="s">
        <v>3</v>
      </c>
      <c r="P114" s="453">
        <v>46021</v>
      </c>
      <c r="Q114" s="438"/>
      <c r="R114" s="438"/>
      <c r="S114" s="438"/>
      <c r="T114" s="438"/>
      <c r="U114" s="453">
        <v>46022</v>
      </c>
      <c r="V114" s="438"/>
      <c r="W114" s="438"/>
      <c r="X114" s="438"/>
      <c r="Y114" s="438"/>
      <c r="Z114" s="453"/>
      <c r="AA114" s="438"/>
      <c r="AB114" s="438"/>
      <c r="AC114" s="438"/>
      <c r="AD114" s="438"/>
      <c r="AE114" s="453"/>
      <c r="AF114" s="438"/>
      <c r="AG114" s="438"/>
      <c r="AH114" s="438"/>
      <c r="AI114" s="438"/>
      <c r="AJ114" s="453"/>
      <c r="AK114" s="438"/>
      <c r="AL114" s="438"/>
      <c r="AM114" s="438"/>
      <c r="AN114" s="438"/>
      <c r="AO114" s="453"/>
      <c r="AP114" s="438"/>
      <c r="AQ114" s="438"/>
      <c r="AR114" s="438"/>
      <c r="AS114" s="438"/>
      <c r="AT114" s="453"/>
      <c r="AU114" s="438"/>
      <c r="AV114" s="438"/>
      <c r="AW114" s="438"/>
      <c r="AX114" s="438"/>
    </row>
    <row r="115" spans="2:50" ht="15.5">
      <c r="B115" s="456"/>
      <c r="C115" s="456"/>
      <c r="D115" s="456"/>
      <c r="E115" s="456"/>
      <c r="F115" s="456"/>
      <c r="G115" s="456"/>
      <c r="H115" s="456"/>
      <c r="I115" s="216"/>
      <c r="J115" s="216"/>
      <c r="K115" s="216"/>
      <c r="L115" s="216"/>
      <c r="M115" s="217"/>
      <c r="N115" s="452"/>
      <c r="O115" s="452"/>
      <c r="P115" s="453" t="s">
        <v>15</v>
      </c>
      <c r="Q115" s="438"/>
      <c r="R115" s="438"/>
      <c r="S115" s="438"/>
      <c r="T115" s="438"/>
      <c r="U115" s="453" t="s">
        <v>16</v>
      </c>
      <c r="V115" s="438"/>
      <c r="W115" s="438"/>
      <c r="X115" s="438"/>
      <c r="Y115" s="438"/>
      <c r="Z115" s="453" t="s">
        <v>17</v>
      </c>
      <c r="AA115" s="438"/>
      <c r="AB115" s="438"/>
      <c r="AC115" s="438"/>
      <c r="AD115" s="438"/>
      <c r="AE115" s="453" t="s">
        <v>18</v>
      </c>
      <c r="AF115" s="438"/>
      <c r="AG115" s="438"/>
      <c r="AH115" s="438"/>
      <c r="AI115" s="438"/>
      <c r="AJ115" s="453" t="s">
        <v>19</v>
      </c>
      <c r="AK115" s="438"/>
      <c r="AL115" s="438"/>
      <c r="AM115" s="438"/>
      <c r="AN115" s="438"/>
      <c r="AO115" s="453" t="s">
        <v>10</v>
      </c>
      <c r="AP115" s="438"/>
      <c r="AQ115" s="438"/>
      <c r="AR115" s="438"/>
      <c r="AS115" s="438"/>
      <c r="AT115" s="453" t="s">
        <v>14</v>
      </c>
      <c r="AU115" s="438"/>
      <c r="AV115" s="438"/>
      <c r="AW115" s="438"/>
      <c r="AX115" s="438"/>
    </row>
    <row r="116" spans="2:50">
      <c r="B116" s="445" t="s">
        <v>46</v>
      </c>
      <c r="C116" s="446" t="s">
        <v>47</v>
      </c>
      <c r="D116" s="445"/>
      <c r="E116" s="445" t="s">
        <v>48</v>
      </c>
      <c r="F116" s="445"/>
      <c r="G116" s="445"/>
      <c r="H116" s="447" t="s">
        <v>49</v>
      </c>
      <c r="I116" s="445" t="s">
        <v>50</v>
      </c>
      <c r="J116" s="445"/>
      <c r="K116" s="445"/>
      <c r="L116" s="447" t="s">
        <v>49</v>
      </c>
      <c r="M116" s="450" t="s">
        <v>51</v>
      </c>
      <c r="N116" s="445"/>
      <c r="O116" s="445" t="s">
        <v>52</v>
      </c>
      <c r="P116" s="442" t="s">
        <v>53</v>
      </c>
      <c r="Q116" s="443"/>
      <c r="R116" s="443"/>
      <c r="S116" s="444"/>
      <c r="T116" s="445" t="s">
        <v>49</v>
      </c>
      <c r="U116" s="442" t="s">
        <v>53</v>
      </c>
      <c r="V116" s="443"/>
      <c r="W116" s="443"/>
      <c r="X116" s="444"/>
      <c r="Y116" s="445" t="s">
        <v>49</v>
      </c>
      <c r="Z116" s="442" t="s">
        <v>53</v>
      </c>
      <c r="AA116" s="443"/>
      <c r="AB116" s="443"/>
      <c r="AC116" s="444"/>
      <c r="AD116" s="445" t="s">
        <v>49</v>
      </c>
      <c r="AE116" s="442" t="s">
        <v>53</v>
      </c>
      <c r="AF116" s="443"/>
      <c r="AG116" s="443"/>
      <c r="AH116" s="444"/>
      <c r="AI116" s="445" t="s">
        <v>49</v>
      </c>
      <c r="AJ116" s="442" t="s">
        <v>53</v>
      </c>
      <c r="AK116" s="443"/>
      <c r="AL116" s="443"/>
      <c r="AM116" s="444"/>
      <c r="AN116" s="445" t="s">
        <v>49</v>
      </c>
      <c r="AO116" s="442" t="s">
        <v>53</v>
      </c>
      <c r="AP116" s="443"/>
      <c r="AQ116" s="443"/>
      <c r="AR116" s="444"/>
      <c r="AS116" s="445" t="s">
        <v>49</v>
      </c>
      <c r="AT116" s="442" t="s">
        <v>53</v>
      </c>
      <c r="AU116" s="443"/>
      <c r="AV116" s="443"/>
      <c r="AW116" s="444"/>
      <c r="AX116" s="445" t="s">
        <v>49</v>
      </c>
    </row>
    <row r="117" spans="2:50">
      <c r="B117" s="445"/>
      <c r="C117" s="445"/>
      <c r="D117" s="445"/>
      <c r="E117" s="445" t="s">
        <v>54</v>
      </c>
      <c r="F117" s="445"/>
      <c r="G117" s="445"/>
      <c r="H117" s="448"/>
      <c r="I117" s="445" t="s">
        <v>54</v>
      </c>
      <c r="J117" s="445"/>
      <c r="K117" s="445"/>
      <c r="L117" s="448"/>
      <c r="M117" s="451"/>
      <c r="N117" s="445"/>
      <c r="O117" s="445"/>
      <c r="P117" s="442" t="s">
        <v>55</v>
      </c>
      <c r="Q117" s="443"/>
      <c r="R117" s="443"/>
      <c r="S117" s="444"/>
      <c r="T117" s="445"/>
      <c r="U117" s="442" t="s">
        <v>55</v>
      </c>
      <c r="V117" s="443"/>
      <c r="W117" s="443"/>
      <c r="X117" s="444"/>
      <c r="Y117" s="445"/>
      <c r="Z117" s="442" t="s">
        <v>55</v>
      </c>
      <c r="AA117" s="443"/>
      <c r="AB117" s="443"/>
      <c r="AC117" s="444"/>
      <c r="AD117" s="445"/>
      <c r="AE117" s="442" t="s">
        <v>55</v>
      </c>
      <c r="AF117" s="443"/>
      <c r="AG117" s="443"/>
      <c r="AH117" s="444"/>
      <c r="AI117" s="445"/>
      <c r="AJ117" s="442" t="s">
        <v>55</v>
      </c>
      <c r="AK117" s="443"/>
      <c r="AL117" s="443"/>
      <c r="AM117" s="444"/>
      <c r="AN117" s="445"/>
      <c r="AO117" s="442" t="s">
        <v>55</v>
      </c>
      <c r="AP117" s="443"/>
      <c r="AQ117" s="443"/>
      <c r="AR117" s="444"/>
      <c r="AS117" s="445"/>
      <c r="AT117" s="442" t="s">
        <v>55</v>
      </c>
      <c r="AU117" s="443"/>
      <c r="AV117" s="443"/>
      <c r="AW117" s="444"/>
      <c r="AX117" s="445"/>
    </row>
    <row r="118" spans="2:50">
      <c r="B118" s="445"/>
      <c r="C118" s="445"/>
      <c r="D118" s="445"/>
      <c r="E118" s="219" t="s">
        <v>56</v>
      </c>
      <c r="F118" s="219" t="s">
        <v>57</v>
      </c>
      <c r="G118" s="219" t="s">
        <v>58</v>
      </c>
      <c r="H118" s="449"/>
      <c r="I118" s="219" t="s">
        <v>56</v>
      </c>
      <c r="J118" s="219" t="s">
        <v>57</v>
      </c>
      <c r="K118" s="219" t="s">
        <v>58</v>
      </c>
      <c r="L118" s="449"/>
      <c r="M118" s="452"/>
      <c r="N118" s="445"/>
      <c r="O118" s="445"/>
      <c r="P118" s="219" t="s">
        <v>56</v>
      </c>
      <c r="Q118" s="219" t="s">
        <v>57</v>
      </c>
      <c r="R118" s="219" t="s">
        <v>58</v>
      </c>
      <c r="S118" s="219" t="s">
        <v>51</v>
      </c>
      <c r="T118" s="445"/>
      <c r="U118" s="219" t="s">
        <v>56</v>
      </c>
      <c r="V118" s="219" t="s">
        <v>57</v>
      </c>
      <c r="W118" s="219" t="s">
        <v>58</v>
      </c>
      <c r="X118" s="219" t="s">
        <v>51</v>
      </c>
      <c r="Y118" s="445"/>
      <c r="Z118" s="219" t="s">
        <v>56</v>
      </c>
      <c r="AA118" s="219" t="s">
        <v>57</v>
      </c>
      <c r="AB118" s="219" t="s">
        <v>58</v>
      </c>
      <c r="AC118" s="219" t="s">
        <v>51</v>
      </c>
      <c r="AD118" s="445"/>
      <c r="AE118" s="219" t="s">
        <v>56</v>
      </c>
      <c r="AF118" s="219" t="s">
        <v>57</v>
      </c>
      <c r="AG118" s="219" t="s">
        <v>58</v>
      </c>
      <c r="AH118" s="219" t="s">
        <v>51</v>
      </c>
      <c r="AI118" s="445"/>
      <c r="AJ118" s="219" t="s">
        <v>56</v>
      </c>
      <c r="AK118" s="219" t="s">
        <v>57</v>
      </c>
      <c r="AL118" s="219" t="s">
        <v>58</v>
      </c>
      <c r="AM118" s="219" t="s">
        <v>51</v>
      </c>
      <c r="AN118" s="445"/>
      <c r="AO118" s="219" t="s">
        <v>56</v>
      </c>
      <c r="AP118" s="219" t="s">
        <v>57</v>
      </c>
      <c r="AQ118" s="219" t="s">
        <v>58</v>
      </c>
      <c r="AR118" s="219" t="s">
        <v>51</v>
      </c>
      <c r="AS118" s="445"/>
      <c r="AT118" s="219" t="s">
        <v>56</v>
      </c>
      <c r="AU118" s="219" t="s">
        <v>57</v>
      </c>
      <c r="AV118" s="219" t="s">
        <v>58</v>
      </c>
      <c r="AW118" s="219" t="s">
        <v>51</v>
      </c>
      <c r="AX118" s="445"/>
    </row>
    <row r="119" spans="2:50" ht="13">
      <c r="B119" s="438" t="s">
        <v>331</v>
      </c>
      <c r="C119" s="220">
        <v>1</v>
      </c>
      <c r="D119" s="224" t="s">
        <v>74</v>
      </c>
      <c r="E119" s="221">
        <f>VLOOKUP(D119,'11產線配置圖'!$A$2:$C$25,2,0)</f>
        <v>12</v>
      </c>
      <c r="F119" s="221">
        <f>VLOOKUP(D119,'11產線配置圖'!$A$2:$C$25,3,0)</f>
        <v>2000</v>
      </c>
      <c r="G119" s="222">
        <f>F119/E119</f>
        <v>166.66666666666666</v>
      </c>
      <c r="H119" s="439" t="e">
        <f>AVERAGE(G119:G136)</f>
        <v>#N/A</v>
      </c>
      <c r="I119" s="221" t="e">
        <f>AVERAGE(P119,U119,Z119,AE119,AJ119,AO119,AT119)</f>
        <v>#DIV/0!</v>
      </c>
      <c r="J119" s="221" t="e">
        <f>AVERAGE(Q119,V119,AA119,AF119,AK119,AP119,AU119)</f>
        <v>#DIV/0!</v>
      </c>
      <c r="K119" s="222" t="e">
        <f>AVERAGE(R119)</f>
        <v>#DIV/0!</v>
      </c>
      <c r="L119" s="439" t="str">
        <f>IFERROR(AVERAGE(K119:K136),"-")</f>
        <v>-</v>
      </c>
      <c r="M119" s="223" t="e">
        <f>RANK(K119,$K$119:$K$136)</f>
        <v>#DIV/0!</v>
      </c>
      <c r="N119" s="445"/>
      <c r="O119" s="445"/>
      <c r="P119" s="221"/>
      <c r="Q119" s="221"/>
      <c r="R119" s="222" t="e">
        <f>Q119/P119</f>
        <v>#DIV/0!</v>
      </c>
      <c r="S119" s="220" t="e">
        <f>RANK(R119,$R$119:$R$136)</f>
        <v>#DIV/0!</v>
      </c>
      <c r="T119" s="437" t="e">
        <f>AVERAGE(R119:R136)</f>
        <v>#DIV/0!</v>
      </c>
      <c r="U119" s="221"/>
      <c r="V119" s="221"/>
      <c r="W119" s="222" t="e">
        <f>V119/U119</f>
        <v>#DIV/0!</v>
      </c>
      <c r="X119" s="220" t="e">
        <f>RANK(W119, W$7:W$24)</f>
        <v>#DIV/0!</v>
      </c>
      <c r="Y119" s="437" t="e">
        <f>AVERAGE(W119:W136)</f>
        <v>#DIV/0!</v>
      </c>
      <c r="Z119" s="220"/>
      <c r="AA119" s="221"/>
      <c r="AB119" s="222" t="e">
        <f>AA119/Z119</f>
        <v>#DIV/0!</v>
      </c>
      <c r="AC119" s="220" t="e">
        <f>RANK(AB119, AB$7:AB$24)</f>
        <v>#DIV/0!</v>
      </c>
      <c r="AD119" s="437" t="e">
        <f>AVERAGE(AB119:AB136)</f>
        <v>#DIV/0!</v>
      </c>
      <c r="AE119" s="221"/>
      <c r="AF119" s="221"/>
      <c r="AG119" s="222" t="e">
        <f>AF119/AE119</f>
        <v>#DIV/0!</v>
      </c>
      <c r="AH119" s="220" t="e">
        <f>RANK(AG119, AG$7:AG$24)</f>
        <v>#DIV/0!</v>
      </c>
      <c r="AI119" s="437" t="e">
        <f>AVERAGE(AG119:AG136)</f>
        <v>#DIV/0!</v>
      </c>
      <c r="AJ119" s="221"/>
      <c r="AK119" s="221"/>
      <c r="AL119" s="222" t="e">
        <f>AK119/AJ119</f>
        <v>#DIV/0!</v>
      </c>
      <c r="AM119" s="220" t="e">
        <f>RANK(AL119, AL$7:AL$24)</f>
        <v>#DIV/0!</v>
      </c>
      <c r="AN119" s="437" t="e">
        <f>AVERAGE(AL119:AL136)</f>
        <v>#DIV/0!</v>
      </c>
      <c r="AO119" s="221"/>
      <c r="AP119" s="221"/>
      <c r="AQ119" s="222" t="e">
        <f>AP119/AO119</f>
        <v>#DIV/0!</v>
      </c>
      <c r="AR119" s="220" t="e">
        <f>RANK(AQ119, AQ$7:AQ$24)</f>
        <v>#DIV/0!</v>
      </c>
      <c r="AS119" s="437" t="e">
        <f>AVERAGE(AQ119:AQ136)</f>
        <v>#DIV/0!</v>
      </c>
      <c r="AT119" s="221"/>
      <c r="AU119" s="222"/>
      <c r="AV119" s="222" t="e">
        <f>AU119/AT119</f>
        <v>#DIV/0!</v>
      </c>
      <c r="AW119" s="220" t="e">
        <f>RANK(AV119, AV$7:AV$24)</f>
        <v>#DIV/0!</v>
      </c>
      <c r="AX119" s="437" t="e">
        <f>AVERAGE(AV119:AV136)</f>
        <v>#DIV/0!</v>
      </c>
    </row>
    <row r="120" spans="2:50">
      <c r="B120" s="438"/>
      <c r="C120" s="220">
        <v>2</v>
      </c>
      <c r="D120" s="220" t="s">
        <v>77</v>
      </c>
      <c r="E120" s="221">
        <f>VLOOKUP(D120,'11產線配置圖'!$A$2:$C$25,2,0)</f>
        <v>13</v>
      </c>
      <c r="F120" s="221">
        <f>VLOOKUP(D120,'11產線配置圖'!$A$2:$C$25,3,0)</f>
        <v>2000</v>
      </c>
      <c r="G120" s="222">
        <f t="shared" ref="G120:G132" si="175">F120/E120</f>
        <v>153.84615384615384</v>
      </c>
      <c r="H120" s="440"/>
      <c r="I120" s="221" t="e">
        <f t="shared" ref="I120:I135" si="176">AVERAGE(P120,U120,Z120,AE120,AJ120,AO120,AT120)</f>
        <v>#DIV/0!</v>
      </c>
      <c r="J120" s="221" t="e">
        <f t="shared" ref="J120:J135" si="177">AVERAGE(Q120,V120,AA120,AF120,AK120,AP120,AU120)</f>
        <v>#DIV/0!</v>
      </c>
      <c r="K120" s="222" t="e">
        <f t="shared" ref="K120:K135" si="178">AVERAGE(R120)</f>
        <v>#DIV/0!</v>
      </c>
      <c r="L120" s="440"/>
      <c r="M120" s="223" t="e">
        <f t="shared" ref="M120:M135" si="179">RANK(K120,$K$119:$K$136)</f>
        <v>#DIV/0!</v>
      </c>
      <c r="N120" s="445"/>
      <c r="O120" s="445"/>
      <c r="P120" s="221"/>
      <c r="Q120" s="221"/>
      <c r="R120" s="222" t="e">
        <f t="shared" ref="R120:R127" si="180">Q120/P120</f>
        <v>#DIV/0!</v>
      </c>
      <c r="S120" s="220" t="e">
        <f t="shared" ref="S120:S135" si="181">RANK(R120,$R$119:$R$136)</f>
        <v>#DIV/0!</v>
      </c>
      <c r="T120" s="437"/>
      <c r="U120" s="221"/>
      <c r="V120" s="221"/>
      <c r="W120" s="222" t="e">
        <f t="shared" ref="W120:W128" si="182">V120/U120</f>
        <v>#DIV/0!</v>
      </c>
      <c r="X120" s="220" t="e">
        <f t="shared" ref="X120:X136" si="183">RANK(W120, W$7:W$24)</f>
        <v>#DIV/0!</v>
      </c>
      <c r="Y120" s="437"/>
      <c r="Z120" s="220"/>
      <c r="AA120" s="221"/>
      <c r="AB120" s="222" t="e">
        <f t="shared" ref="AB120:AB128" si="184">AA120/Z120</f>
        <v>#DIV/0!</v>
      </c>
      <c r="AC120" s="220" t="e">
        <f t="shared" ref="AC120:AC136" si="185">RANK(AB120, AB$7:AB$24)</f>
        <v>#DIV/0!</v>
      </c>
      <c r="AD120" s="437"/>
      <c r="AE120" s="221"/>
      <c r="AF120" s="221"/>
      <c r="AG120" s="222" t="e">
        <f t="shared" ref="AG120:AG128" si="186">AF120/AE120</f>
        <v>#DIV/0!</v>
      </c>
      <c r="AH120" s="220" t="e">
        <f t="shared" ref="AH120:AH132" si="187">RANK(AG120, AG$7:AG$24)</f>
        <v>#DIV/0!</v>
      </c>
      <c r="AI120" s="437"/>
      <c r="AJ120" s="221"/>
      <c r="AK120" s="221"/>
      <c r="AL120" s="222" t="e">
        <f t="shared" ref="AL120:AL128" si="188">AK120/AJ120</f>
        <v>#DIV/0!</v>
      </c>
      <c r="AM120" s="220" t="e">
        <f t="shared" ref="AM120:AM132" si="189">RANK(AL120, AL$7:AL$24)</f>
        <v>#DIV/0!</v>
      </c>
      <c r="AN120" s="437"/>
      <c r="AO120" s="221"/>
      <c r="AP120" s="221"/>
      <c r="AQ120" s="222" t="e">
        <f t="shared" ref="AQ120:AQ128" si="190">AP120/AO120</f>
        <v>#DIV/0!</v>
      </c>
      <c r="AR120" s="220" t="e">
        <f t="shared" ref="AR120:AR136" si="191">RANK(AQ120, AQ$7:AQ$24)</f>
        <v>#DIV/0!</v>
      </c>
      <c r="AS120" s="437"/>
      <c r="AT120" s="221"/>
      <c r="AU120" s="222"/>
      <c r="AV120" s="222" t="e">
        <f t="shared" ref="AV120:AV132" si="192">AU120/AT120</f>
        <v>#DIV/0!</v>
      </c>
      <c r="AW120" s="220" t="e">
        <f t="shared" ref="AW120:AW129" si="193">RANK(AV120, AV$7:AV$24)</f>
        <v>#DIV/0!</v>
      </c>
      <c r="AX120" s="437"/>
    </row>
    <row r="121" spans="2:50">
      <c r="B121" s="438"/>
      <c r="C121" s="220">
        <v>3</v>
      </c>
      <c r="D121" s="220" t="s">
        <v>379</v>
      </c>
      <c r="E121" s="221" t="e">
        <f>VLOOKUP(D121,'11產線配置圖'!$A$2:$C$25,2,0)</f>
        <v>#N/A</v>
      </c>
      <c r="F121" s="221" t="e">
        <f>VLOOKUP(D121,'11產線配置圖'!$A$2:$C$25,3,0)</f>
        <v>#N/A</v>
      </c>
      <c r="G121" s="222" t="e">
        <f t="shared" si="175"/>
        <v>#N/A</v>
      </c>
      <c r="H121" s="440"/>
      <c r="I121" s="221" t="e">
        <f t="shared" si="176"/>
        <v>#DIV/0!</v>
      </c>
      <c r="J121" s="221" t="e">
        <f t="shared" si="177"/>
        <v>#DIV/0!</v>
      </c>
      <c r="K121" s="222" t="e">
        <f t="shared" si="178"/>
        <v>#DIV/0!</v>
      </c>
      <c r="L121" s="440"/>
      <c r="M121" s="223" t="e">
        <f t="shared" si="179"/>
        <v>#DIV/0!</v>
      </c>
      <c r="N121" s="445"/>
      <c r="O121" s="445"/>
      <c r="P121" s="221"/>
      <c r="Q121" s="221"/>
      <c r="R121" s="222" t="e">
        <f t="shared" si="180"/>
        <v>#DIV/0!</v>
      </c>
      <c r="S121" s="220" t="e">
        <f t="shared" si="181"/>
        <v>#DIV/0!</v>
      </c>
      <c r="T121" s="437"/>
      <c r="U121" s="221"/>
      <c r="V121" s="221"/>
      <c r="W121" s="222" t="e">
        <f t="shared" si="182"/>
        <v>#DIV/0!</v>
      </c>
      <c r="X121" s="220" t="e">
        <f t="shared" si="183"/>
        <v>#DIV/0!</v>
      </c>
      <c r="Y121" s="437"/>
      <c r="Z121" s="220"/>
      <c r="AA121" s="221"/>
      <c r="AB121" s="222" t="e">
        <f t="shared" si="184"/>
        <v>#DIV/0!</v>
      </c>
      <c r="AC121" s="220" t="e">
        <f t="shared" si="185"/>
        <v>#DIV/0!</v>
      </c>
      <c r="AD121" s="437"/>
      <c r="AE121" s="221"/>
      <c r="AF121" s="221"/>
      <c r="AG121" s="222" t="e">
        <f t="shared" si="186"/>
        <v>#DIV/0!</v>
      </c>
      <c r="AH121" s="220" t="e">
        <f t="shared" si="187"/>
        <v>#DIV/0!</v>
      </c>
      <c r="AI121" s="437"/>
      <c r="AJ121" s="221"/>
      <c r="AK121" s="221"/>
      <c r="AL121" s="222" t="e">
        <f t="shared" si="188"/>
        <v>#DIV/0!</v>
      </c>
      <c r="AM121" s="220" t="e">
        <f t="shared" si="189"/>
        <v>#DIV/0!</v>
      </c>
      <c r="AN121" s="437"/>
      <c r="AO121" s="221"/>
      <c r="AP121" s="221"/>
      <c r="AQ121" s="222" t="e">
        <f t="shared" si="190"/>
        <v>#DIV/0!</v>
      </c>
      <c r="AR121" s="220" t="e">
        <f t="shared" si="191"/>
        <v>#DIV/0!</v>
      </c>
      <c r="AS121" s="437"/>
      <c r="AT121" s="221"/>
      <c r="AU121" s="222"/>
      <c r="AV121" s="222" t="e">
        <f t="shared" si="192"/>
        <v>#DIV/0!</v>
      </c>
      <c r="AW121" s="220" t="e">
        <f t="shared" si="193"/>
        <v>#DIV/0!</v>
      </c>
      <c r="AX121" s="437"/>
    </row>
    <row r="122" spans="2:50">
      <c r="B122" s="438"/>
      <c r="C122" s="220">
        <v>4</v>
      </c>
      <c r="D122" s="220" t="s">
        <v>195</v>
      </c>
      <c r="E122" s="221">
        <f>VLOOKUP(D122,'11產線配置圖'!$A$2:$C$25,2,0)</f>
        <v>18</v>
      </c>
      <c r="F122" s="221">
        <f>VLOOKUP(D122,'11產線配置圖'!$A$2:$C$25,3,0)</f>
        <v>1565</v>
      </c>
      <c r="G122" s="222">
        <f t="shared" si="175"/>
        <v>86.944444444444443</v>
      </c>
      <c r="H122" s="440"/>
      <c r="I122" s="221" t="e">
        <f t="shared" si="176"/>
        <v>#DIV/0!</v>
      </c>
      <c r="J122" s="221" t="e">
        <f t="shared" si="177"/>
        <v>#DIV/0!</v>
      </c>
      <c r="K122" s="222" t="e">
        <f t="shared" si="178"/>
        <v>#DIV/0!</v>
      </c>
      <c r="L122" s="440"/>
      <c r="M122" s="223" t="e">
        <f t="shared" si="179"/>
        <v>#DIV/0!</v>
      </c>
      <c r="N122" s="445"/>
      <c r="O122" s="445"/>
      <c r="P122" s="221"/>
      <c r="Q122" s="221"/>
      <c r="R122" s="222" t="e">
        <f t="shared" si="180"/>
        <v>#DIV/0!</v>
      </c>
      <c r="S122" s="220" t="e">
        <f t="shared" si="181"/>
        <v>#DIV/0!</v>
      </c>
      <c r="T122" s="437"/>
      <c r="U122" s="221"/>
      <c r="V122" s="221"/>
      <c r="W122" s="222" t="e">
        <f t="shared" si="182"/>
        <v>#DIV/0!</v>
      </c>
      <c r="X122" s="220" t="e">
        <f t="shared" si="183"/>
        <v>#DIV/0!</v>
      </c>
      <c r="Y122" s="437"/>
      <c r="Z122" s="220"/>
      <c r="AA122" s="221"/>
      <c r="AB122" s="222" t="e">
        <f t="shared" si="184"/>
        <v>#DIV/0!</v>
      </c>
      <c r="AC122" s="220" t="e">
        <f t="shared" si="185"/>
        <v>#DIV/0!</v>
      </c>
      <c r="AD122" s="437"/>
      <c r="AE122" s="221"/>
      <c r="AF122" s="221"/>
      <c r="AG122" s="222" t="e">
        <f t="shared" si="186"/>
        <v>#DIV/0!</v>
      </c>
      <c r="AH122" s="220" t="e">
        <f t="shared" si="187"/>
        <v>#DIV/0!</v>
      </c>
      <c r="AI122" s="437"/>
      <c r="AJ122" s="221"/>
      <c r="AK122" s="221"/>
      <c r="AL122" s="222" t="e">
        <f t="shared" si="188"/>
        <v>#DIV/0!</v>
      </c>
      <c r="AM122" s="220" t="e">
        <f t="shared" si="189"/>
        <v>#DIV/0!</v>
      </c>
      <c r="AN122" s="437"/>
      <c r="AO122" s="221"/>
      <c r="AP122" s="221"/>
      <c r="AQ122" s="222" t="e">
        <f t="shared" si="190"/>
        <v>#DIV/0!</v>
      </c>
      <c r="AR122" s="220" t="e">
        <f t="shared" si="191"/>
        <v>#DIV/0!</v>
      </c>
      <c r="AS122" s="437"/>
      <c r="AT122" s="221"/>
      <c r="AU122" s="222"/>
      <c r="AV122" s="222" t="e">
        <f t="shared" si="192"/>
        <v>#DIV/0!</v>
      </c>
      <c r="AW122" s="220" t="e">
        <f t="shared" si="193"/>
        <v>#DIV/0!</v>
      </c>
      <c r="AX122" s="437"/>
    </row>
    <row r="123" spans="2:50">
      <c r="B123" s="438"/>
      <c r="C123" s="220">
        <v>5</v>
      </c>
      <c r="D123" s="220" t="s">
        <v>76</v>
      </c>
      <c r="E123" s="221">
        <f>VLOOKUP(D123,'11產線配置圖'!$A$2:$C$25,2,0)</f>
        <v>13</v>
      </c>
      <c r="F123" s="221">
        <f>VLOOKUP(D123,'11產線配置圖'!$A$2:$C$25,3,0)</f>
        <v>2000</v>
      </c>
      <c r="G123" s="222">
        <f t="shared" si="175"/>
        <v>153.84615384615384</v>
      </c>
      <c r="H123" s="440"/>
      <c r="I123" s="221" t="e">
        <f t="shared" si="176"/>
        <v>#DIV/0!</v>
      </c>
      <c r="J123" s="221" t="e">
        <f t="shared" si="177"/>
        <v>#DIV/0!</v>
      </c>
      <c r="K123" s="222" t="e">
        <f t="shared" si="178"/>
        <v>#DIV/0!</v>
      </c>
      <c r="L123" s="440"/>
      <c r="M123" s="223" t="e">
        <f t="shared" si="179"/>
        <v>#DIV/0!</v>
      </c>
      <c r="N123" s="445"/>
      <c r="O123" s="445"/>
      <c r="P123" s="221"/>
      <c r="Q123" s="221"/>
      <c r="R123" s="222" t="e">
        <f t="shared" si="180"/>
        <v>#DIV/0!</v>
      </c>
      <c r="S123" s="220" t="e">
        <f t="shared" si="181"/>
        <v>#DIV/0!</v>
      </c>
      <c r="T123" s="437"/>
      <c r="U123" s="221"/>
      <c r="V123" s="221"/>
      <c r="W123" s="222" t="e">
        <f t="shared" si="182"/>
        <v>#DIV/0!</v>
      </c>
      <c r="X123" s="220" t="e">
        <f t="shared" si="183"/>
        <v>#DIV/0!</v>
      </c>
      <c r="Y123" s="437"/>
      <c r="Z123" s="220"/>
      <c r="AA123" s="221"/>
      <c r="AB123" s="222" t="e">
        <f t="shared" si="184"/>
        <v>#DIV/0!</v>
      </c>
      <c r="AC123" s="220" t="e">
        <f t="shared" si="185"/>
        <v>#DIV/0!</v>
      </c>
      <c r="AD123" s="437"/>
      <c r="AE123" s="221"/>
      <c r="AF123" s="221"/>
      <c r="AG123" s="222" t="e">
        <f t="shared" si="186"/>
        <v>#DIV/0!</v>
      </c>
      <c r="AH123" s="220" t="e">
        <f t="shared" si="187"/>
        <v>#DIV/0!</v>
      </c>
      <c r="AI123" s="437"/>
      <c r="AJ123" s="221"/>
      <c r="AK123" s="221"/>
      <c r="AL123" s="222" t="e">
        <f t="shared" si="188"/>
        <v>#DIV/0!</v>
      </c>
      <c r="AM123" s="220" t="e">
        <f t="shared" si="189"/>
        <v>#DIV/0!</v>
      </c>
      <c r="AN123" s="437"/>
      <c r="AO123" s="221"/>
      <c r="AP123" s="221"/>
      <c r="AQ123" s="222" t="e">
        <f t="shared" si="190"/>
        <v>#DIV/0!</v>
      </c>
      <c r="AR123" s="220" t="e">
        <f t="shared" si="191"/>
        <v>#DIV/0!</v>
      </c>
      <c r="AS123" s="437"/>
      <c r="AT123" s="221"/>
      <c r="AU123" s="222"/>
      <c r="AV123" s="222" t="e">
        <f t="shared" si="192"/>
        <v>#DIV/0!</v>
      </c>
      <c r="AW123" s="220" t="e">
        <f t="shared" si="193"/>
        <v>#DIV/0!</v>
      </c>
      <c r="AX123" s="437"/>
    </row>
    <row r="124" spans="2:50">
      <c r="B124" s="438"/>
      <c r="C124" s="220">
        <v>6</v>
      </c>
      <c r="D124" s="220" t="s">
        <v>374</v>
      </c>
      <c r="E124" s="221">
        <f>VLOOKUP(D124,'11產線配置圖'!$A$2:$C$25,2,0)</f>
        <v>14</v>
      </c>
      <c r="F124" s="221">
        <f>VLOOKUP(D124,'11產線配置圖'!$A$2:$C$25,3,0)</f>
        <v>1895</v>
      </c>
      <c r="G124" s="222">
        <f t="shared" si="175"/>
        <v>135.35714285714286</v>
      </c>
      <c r="H124" s="440"/>
      <c r="I124" s="221" t="e">
        <f t="shared" si="176"/>
        <v>#DIV/0!</v>
      </c>
      <c r="J124" s="221" t="e">
        <f t="shared" si="177"/>
        <v>#DIV/0!</v>
      </c>
      <c r="K124" s="222" t="e">
        <f t="shared" si="178"/>
        <v>#DIV/0!</v>
      </c>
      <c r="L124" s="440"/>
      <c r="M124" s="223" t="e">
        <f t="shared" si="179"/>
        <v>#DIV/0!</v>
      </c>
      <c r="N124" s="445"/>
      <c r="O124" s="445"/>
      <c r="P124" s="221"/>
      <c r="Q124" s="221"/>
      <c r="R124" s="222" t="e">
        <f t="shared" si="180"/>
        <v>#DIV/0!</v>
      </c>
      <c r="S124" s="220" t="e">
        <f t="shared" si="181"/>
        <v>#DIV/0!</v>
      </c>
      <c r="T124" s="437"/>
      <c r="U124" s="221"/>
      <c r="V124" s="221"/>
      <c r="W124" s="222" t="e">
        <f t="shared" si="182"/>
        <v>#DIV/0!</v>
      </c>
      <c r="X124" s="220" t="e">
        <f t="shared" si="183"/>
        <v>#DIV/0!</v>
      </c>
      <c r="Y124" s="437"/>
      <c r="Z124" s="220"/>
      <c r="AA124" s="221"/>
      <c r="AB124" s="222" t="e">
        <f t="shared" si="184"/>
        <v>#DIV/0!</v>
      </c>
      <c r="AC124" s="220" t="e">
        <f t="shared" si="185"/>
        <v>#DIV/0!</v>
      </c>
      <c r="AD124" s="437"/>
      <c r="AE124" s="221"/>
      <c r="AF124" s="221"/>
      <c r="AG124" s="222" t="e">
        <f t="shared" si="186"/>
        <v>#DIV/0!</v>
      </c>
      <c r="AH124" s="220" t="e">
        <f t="shared" si="187"/>
        <v>#DIV/0!</v>
      </c>
      <c r="AI124" s="437"/>
      <c r="AJ124" s="221"/>
      <c r="AK124" s="221"/>
      <c r="AL124" s="222" t="e">
        <f t="shared" si="188"/>
        <v>#DIV/0!</v>
      </c>
      <c r="AM124" s="220" t="e">
        <f t="shared" si="189"/>
        <v>#DIV/0!</v>
      </c>
      <c r="AN124" s="437"/>
      <c r="AO124" s="221"/>
      <c r="AP124" s="221"/>
      <c r="AQ124" s="222" t="e">
        <f t="shared" si="190"/>
        <v>#DIV/0!</v>
      </c>
      <c r="AR124" s="220" t="e">
        <f t="shared" si="191"/>
        <v>#DIV/0!</v>
      </c>
      <c r="AS124" s="437"/>
      <c r="AT124" s="221"/>
      <c r="AU124" s="222"/>
      <c r="AV124" s="222" t="e">
        <f t="shared" si="192"/>
        <v>#DIV/0!</v>
      </c>
      <c r="AW124" s="220" t="e">
        <f t="shared" si="193"/>
        <v>#DIV/0!</v>
      </c>
      <c r="AX124" s="437"/>
    </row>
    <row r="125" spans="2:50">
      <c r="B125" s="438"/>
      <c r="C125" s="220">
        <v>7</v>
      </c>
      <c r="D125" s="220" t="s">
        <v>380</v>
      </c>
      <c r="E125" s="221" t="e">
        <f>VLOOKUP(D125,'11產線配置圖'!$A$2:$C$25,2,0)</f>
        <v>#N/A</v>
      </c>
      <c r="F125" s="221" t="e">
        <f>VLOOKUP(D125,'11產線配置圖'!$A$2:$C$25,3,0)</f>
        <v>#N/A</v>
      </c>
      <c r="G125" s="222" t="e">
        <f t="shared" si="175"/>
        <v>#N/A</v>
      </c>
      <c r="H125" s="440"/>
      <c r="I125" s="221" t="e">
        <f t="shared" ref="I125:I132" si="194">AVERAGE(P125,U125,Z125,AE125,AJ125,AO125,AT125)</f>
        <v>#DIV/0!</v>
      </c>
      <c r="J125" s="221" t="e">
        <f t="shared" ref="J125:J132" si="195">AVERAGE(Q125,V125,AA125,AF125,AK125,AP125,AU125)</f>
        <v>#DIV/0!</v>
      </c>
      <c r="K125" s="222" t="e">
        <f t="shared" ref="K125:K132" si="196">AVERAGE(R125)</f>
        <v>#DIV/0!</v>
      </c>
      <c r="L125" s="440"/>
      <c r="M125" s="223" t="e">
        <f t="shared" si="179"/>
        <v>#DIV/0!</v>
      </c>
      <c r="N125" s="445"/>
      <c r="O125" s="445"/>
      <c r="P125" s="221"/>
      <c r="Q125" s="221"/>
      <c r="R125" s="222"/>
      <c r="S125" s="220"/>
      <c r="T125" s="437"/>
      <c r="U125" s="221"/>
      <c r="V125" s="221"/>
      <c r="W125" s="222" t="e">
        <f t="shared" si="182"/>
        <v>#DIV/0!</v>
      </c>
      <c r="X125" s="220" t="e">
        <f t="shared" si="183"/>
        <v>#DIV/0!</v>
      </c>
      <c r="Y125" s="437"/>
      <c r="Z125" s="220"/>
      <c r="AA125" s="221"/>
      <c r="AB125" s="222" t="e">
        <f t="shared" si="184"/>
        <v>#DIV/0!</v>
      </c>
      <c r="AC125" s="220" t="e">
        <f t="shared" si="185"/>
        <v>#DIV/0!</v>
      </c>
      <c r="AD125" s="437"/>
      <c r="AE125" s="221"/>
      <c r="AF125" s="221"/>
      <c r="AG125" s="222" t="e">
        <f t="shared" si="186"/>
        <v>#DIV/0!</v>
      </c>
      <c r="AH125" s="220" t="e">
        <f t="shared" si="187"/>
        <v>#DIV/0!</v>
      </c>
      <c r="AI125" s="437"/>
      <c r="AJ125" s="221"/>
      <c r="AK125" s="221"/>
      <c r="AL125" s="222" t="e">
        <f t="shared" si="188"/>
        <v>#DIV/0!</v>
      </c>
      <c r="AM125" s="220" t="e">
        <f t="shared" si="189"/>
        <v>#DIV/0!</v>
      </c>
      <c r="AN125" s="437"/>
      <c r="AO125" s="221"/>
      <c r="AP125" s="221"/>
      <c r="AQ125" s="222" t="e">
        <f t="shared" si="190"/>
        <v>#DIV/0!</v>
      </c>
      <c r="AR125" s="220" t="e">
        <f t="shared" si="191"/>
        <v>#DIV/0!</v>
      </c>
      <c r="AS125" s="437"/>
      <c r="AT125" s="221"/>
      <c r="AU125" s="222"/>
      <c r="AV125" s="222" t="e">
        <f t="shared" si="192"/>
        <v>#DIV/0!</v>
      </c>
      <c r="AW125" s="220" t="e">
        <f t="shared" si="193"/>
        <v>#DIV/0!</v>
      </c>
      <c r="AX125" s="437"/>
    </row>
    <row r="126" spans="2:50">
      <c r="B126" s="438"/>
      <c r="C126" s="220">
        <v>8</v>
      </c>
      <c r="D126" s="220" t="s">
        <v>381</v>
      </c>
      <c r="E126" s="221" t="e">
        <f>VLOOKUP(D126,'11產線配置圖'!$A$2:$C$25,2,0)</f>
        <v>#N/A</v>
      </c>
      <c r="F126" s="221" t="e">
        <f>VLOOKUP(D126,'11產線配置圖'!$A$2:$C$25,3,0)</f>
        <v>#N/A</v>
      </c>
      <c r="G126" s="222" t="e">
        <f t="shared" si="175"/>
        <v>#N/A</v>
      </c>
      <c r="H126" s="440"/>
      <c r="I126" s="221" t="e">
        <f t="shared" si="194"/>
        <v>#DIV/0!</v>
      </c>
      <c r="J126" s="221" t="e">
        <f t="shared" si="195"/>
        <v>#DIV/0!</v>
      </c>
      <c r="K126" s="222" t="e">
        <f t="shared" si="196"/>
        <v>#DIV/0!</v>
      </c>
      <c r="L126" s="440"/>
      <c r="M126" s="223" t="e">
        <f t="shared" si="179"/>
        <v>#DIV/0!</v>
      </c>
      <c r="N126" s="445"/>
      <c r="O126" s="445"/>
      <c r="P126" s="221"/>
      <c r="Q126" s="221"/>
      <c r="R126" s="222" t="e">
        <f t="shared" si="180"/>
        <v>#DIV/0!</v>
      </c>
      <c r="S126" s="220" t="e">
        <f t="shared" si="181"/>
        <v>#DIV/0!</v>
      </c>
      <c r="T126" s="437"/>
      <c r="U126" s="221"/>
      <c r="V126" s="221"/>
      <c r="W126" s="222" t="e">
        <f t="shared" si="182"/>
        <v>#DIV/0!</v>
      </c>
      <c r="X126" s="220" t="e">
        <f t="shared" si="183"/>
        <v>#DIV/0!</v>
      </c>
      <c r="Y126" s="437"/>
      <c r="Z126" s="220"/>
      <c r="AA126" s="221"/>
      <c r="AB126" s="222" t="e">
        <f t="shared" si="184"/>
        <v>#DIV/0!</v>
      </c>
      <c r="AC126" s="220" t="e">
        <f t="shared" si="185"/>
        <v>#DIV/0!</v>
      </c>
      <c r="AD126" s="437"/>
      <c r="AE126" s="221"/>
      <c r="AF126" s="221"/>
      <c r="AG126" s="222" t="e">
        <f t="shared" si="186"/>
        <v>#DIV/0!</v>
      </c>
      <c r="AH126" s="220" t="e">
        <f t="shared" si="187"/>
        <v>#DIV/0!</v>
      </c>
      <c r="AI126" s="437"/>
      <c r="AJ126" s="221"/>
      <c r="AK126" s="221"/>
      <c r="AL126" s="222" t="e">
        <f t="shared" si="188"/>
        <v>#DIV/0!</v>
      </c>
      <c r="AM126" s="220" t="e">
        <f t="shared" si="189"/>
        <v>#DIV/0!</v>
      </c>
      <c r="AN126" s="437"/>
      <c r="AO126" s="221"/>
      <c r="AP126" s="221"/>
      <c r="AQ126" s="222" t="e">
        <f t="shared" si="190"/>
        <v>#DIV/0!</v>
      </c>
      <c r="AR126" s="220" t="e">
        <f t="shared" si="191"/>
        <v>#DIV/0!</v>
      </c>
      <c r="AS126" s="437"/>
      <c r="AT126" s="221"/>
      <c r="AU126" s="222"/>
      <c r="AV126" s="222" t="e">
        <f t="shared" si="192"/>
        <v>#DIV/0!</v>
      </c>
      <c r="AW126" s="220" t="e">
        <f t="shared" si="193"/>
        <v>#DIV/0!</v>
      </c>
      <c r="AX126" s="437"/>
    </row>
    <row r="127" spans="2:50">
      <c r="B127" s="438"/>
      <c r="C127" s="220">
        <v>9</v>
      </c>
      <c r="D127" s="220" t="s">
        <v>86</v>
      </c>
      <c r="E127" s="221">
        <f>VLOOKUP(D127,'11產線配置圖'!$A$2:$C$25,2,0)</f>
        <v>18</v>
      </c>
      <c r="F127" s="221">
        <f>VLOOKUP(D127,'11產線配置圖'!$A$2:$C$25,3,0)</f>
        <v>1385</v>
      </c>
      <c r="G127" s="222">
        <f t="shared" si="175"/>
        <v>76.944444444444443</v>
      </c>
      <c r="H127" s="440"/>
      <c r="I127" s="221" t="e">
        <f t="shared" si="194"/>
        <v>#DIV/0!</v>
      </c>
      <c r="J127" s="221" t="e">
        <f t="shared" si="195"/>
        <v>#DIV/0!</v>
      </c>
      <c r="K127" s="222" t="e">
        <f t="shared" si="196"/>
        <v>#DIV/0!</v>
      </c>
      <c r="L127" s="440"/>
      <c r="M127" s="223" t="e">
        <f t="shared" si="179"/>
        <v>#DIV/0!</v>
      </c>
      <c r="N127" s="445"/>
      <c r="O127" s="445"/>
      <c r="P127" s="221"/>
      <c r="Q127" s="221"/>
      <c r="R127" s="222" t="e">
        <f t="shared" si="180"/>
        <v>#DIV/0!</v>
      </c>
      <c r="S127" s="220" t="e">
        <f t="shared" si="181"/>
        <v>#DIV/0!</v>
      </c>
      <c r="T127" s="437"/>
      <c r="U127" s="221"/>
      <c r="V127" s="221"/>
      <c r="W127" s="222" t="e">
        <f t="shared" si="182"/>
        <v>#DIV/0!</v>
      </c>
      <c r="X127" s="220" t="e">
        <f t="shared" si="183"/>
        <v>#DIV/0!</v>
      </c>
      <c r="Y127" s="437"/>
      <c r="Z127" s="220"/>
      <c r="AA127" s="221"/>
      <c r="AB127" s="222" t="e">
        <f t="shared" si="184"/>
        <v>#DIV/0!</v>
      </c>
      <c r="AC127" s="220" t="e">
        <f t="shared" si="185"/>
        <v>#DIV/0!</v>
      </c>
      <c r="AD127" s="437"/>
      <c r="AE127" s="221"/>
      <c r="AF127" s="221"/>
      <c r="AG127" s="222" t="e">
        <f t="shared" si="186"/>
        <v>#DIV/0!</v>
      </c>
      <c r="AH127" s="220" t="e">
        <f t="shared" si="187"/>
        <v>#DIV/0!</v>
      </c>
      <c r="AI127" s="437"/>
      <c r="AJ127" s="221"/>
      <c r="AK127" s="221"/>
      <c r="AL127" s="222" t="e">
        <f t="shared" si="188"/>
        <v>#DIV/0!</v>
      </c>
      <c r="AM127" s="220" t="e">
        <f t="shared" si="189"/>
        <v>#DIV/0!</v>
      </c>
      <c r="AN127" s="437"/>
      <c r="AO127" s="221"/>
      <c r="AP127" s="221"/>
      <c r="AQ127" s="222" t="e">
        <f t="shared" si="190"/>
        <v>#DIV/0!</v>
      </c>
      <c r="AR127" s="220" t="e">
        <f t="shared" si="191"/>
        <v>#DIV/0!</v>
      </c>
      <c r="AS127" s="437"/>
      <c r="AT127" s="221"/>
      <c r="AU127" s="222"/>
      <c r="AV127" s="222" t="e">
        <f t="shared" si="192"/>
        <v>#DIV/0!</v>
      </c>
      <c r="AW127" s="220" t="e">
        <f t="shared" si="193"/>
        <v>#DIV/0!</v>
      </c>
      <c r="AX127" s="437"/>
    </row>
    <row r="128" spans="2:50">
      <c r="B128" s="438"/>
      <c r="C128" s="220">
        <v>10</v>
      </c>
      <c r="D128" s="220" t="s">
        <v>190</v>
      </c>
      <c r="E128" s="221">
        <f>VLOOKUP(D128,'11產線配置圖'!$A$2:$C$25,2,0)</f>
        <v>17</v>
      </c>
      <c r="F128" s="221">
        <f>VLOOKUP(D128,'11產線配置圖'!$A$2:$C$25,3,0)</f>
        <v>1565</v>
      </c>
      <c r="G128" s="222">
        <f t="shared" si="175"/>
        <v>92.058823529411768</v>
      </c>
      <c r="H128" s="440"/>
      <c r="I128" s="221" t="e">
        <f t="shared" si="194"/>
        <v>#DIV/0!</v>
      </c>
      <c r="J128" s="221" t="e">
        <f t="shared" si="195"/>
        <v>#DIV/0!</v>
      </c>
      <c r="K128" s="222" t="e">
        <f t="shared" si="196"/>
        <v>#DIV/0!</v>
      </c>
      <c r="L128" s="440"/>
      <c r="M128" s="223" t="e">
        <f t="shared" si="179"/>
        <v>#DIV/0!</v>
      </c>
      <c r="N128" s="445"/>
      <c r="O128" s="445"/>
      <c r="P128" s="221"/>
      <c r="Q128" s="221"/>
      <c r="R128" s="222"/>
      <c r="S128" s="220"/>
      <c r="T128" s="437"/>
      <c r="U128" s="221"/>
      <c r="V128" s="221"/>
      <c r="W128" s="222" t="e">
        <f t="shared" si="182"/>
        <v>#DIV/0!</v>
      </c>
      <c r="X128" s="220" t="e">
        <f t="shared" si="183"/>
        <v>#DIV/0!</v>
      </c>
      <c r="Y128" s="437"/>
      <c r="Z128" s="220"/>
      <c r="AA128" s="221"/>
      <c r="AB128" s="222" t="e">
        <f t="shared" si="184"/>
        <v>#DIV/0!</v>
      </c>
      <c r="AC128" s="220" t="e">
        <f t="shared" si="185"/>
        <v>#DIV/0!</v>
      </c>
      <c r="AD128" s="437"/>
      <c r="AE128" s="221"/>
      <c r="AF128" s="221"/>
      <c r="AG128" s="222" t="e">
        <f t="shared" si="186"/>
        <v>#DIV/0!</v>
      </c>
      <c r="AH128" s="220" t="e">
        <f t="shared" si="187"/>
        <v>#DIV/0!</v>
      </c>
      <c r="AI128" s="437"/>
      <c r="AJ128" s="221"/>
      <c r="AK128" s="221"/>
      <c r="AL128" s="222" t="e">
        <f t="shared" si="188"/>
        <v>#DIV/0!</v>
      </c>
      <c r="AM128" s="220" t="e">
        <f t="shared" si="189"/>
        <v>#DIV/0!</v>
      </c>
      <c r="AN128" s="437"/>
      <c r="AO128" s="221"/>
      <c r="AP128" s="221"/>
      <c r="AQ128" s="222" t="e">
        <f t="shared" si="190"/>
        <v>#DIV/0!</v>
      </c>
      <c r="AR128" s="220" t="e">
        <f t="shared" si="191"/>
        <v>#DIV/0!</v>
      </c>
      <c r="AS128" s="437"/>
      <c r="AT128" s="221"/>
      <c r="AU128" s="222"/>
      <c r="AV128" s="222" t="e">
        <f t="shared" si="192"/>
        <v>#DIV/0!</v>
      </c>
      <c r="AW128" s="220" t="e">
        <f t="shared" si="193"/>
        <v>#DIV/0!</v>
      </c>
      <c r="AX128" s="437"/>
    </row>
    <row r="129" spans="2:50">
      <c r="B129" s="438"/>
      <c r="C129" s="220">
        <v>11</v>
      </c>
      <c r="D129" s="220" t="s">
        <v>382</v>
      </c>
      <c r="E129" s="221" t="e">
        <f>VLOOKUP(D129,'11產線配置圖'!$A$2:$C$25,2,0)</f>
        <v>#N/A</v>
      </c>
      <c r="F129" s="221" t="e">
        <f>VLOOKUP(D129,'11產線配置圖'!$A$2:$C$25,3,0)</f>
        <v>#N/A</v>
      </c>
      <c r="G129" s="222" t="e">
        <f t="shared" si="175"/>
        <v>#N/A</v>
      </c>
      <c r="H129" s="440"/>
      <c r="I129" s="221" t="e">
        <f t="shared" si="194"/>
        <v>#DIV/0!</v>
      </c>
      <c r="J129" s="221" t="e">
        <f t="shared" si="195"/>
        <v>#DIV/0!</v>
      </c>
      <c r="K129" s="222" t="e">
        <f t="shared" si="196"/>
        <v>#DIV/0!</v>
      </c>
      <c r="L129" s="440"/>
      <c r="M129" s="223" t="e">
        <f t="shared" si="179"/>
        <v>#DIV/0!</v>
      </c>
      <c r="N129" s="445"/>
      <c r="O129" s="445"/>
      <c r="P129" s="220"/>
      <c r="Q129" s="220"/>
      <c r="R129" s="222" t="e">
        <f>Q129/P129</f>
        <v>#DIV/0!</v>
      </c>
      <c r="S129" s="220" t="e">
        <f t="shared" si="181"/>
        <v>#DIV/0!</v>
      </c>
      <c r="T129" s="437"/>
      <c r="U129" s="220"/>
      <c r="V129" s="220"/>
      <c r="W129" s="220" t="e">
        <f>V129/U129</f>
        <v>#DIV/0!</v>
      </c>
      <c r="X129" s="220" t="e">
        <f t="shared" si="183"/>
        <v>#DIV/0!</v>
      </c>
      <c r="Y129" s="437"/>
      <c r="Z129" s="220"/>
      <c r="AA129" s="220"/>
      <c r="AB129" s="220" t="e">
        <f>AA129/Z129</f>
        <v>#DIV/0!</v>
      </c>
      <c r="AC129" s="220" t="e">
        <f t="shared" si="185"/>
        <v>#DIV/0!</v>
      </c>
      <c r="AD129" s="437"/>
      <c r="AE129" s="220"/>
      <c r="AF129" s="220"/>
      <c r="AG129" s="222" t="e">
        <f>AF129/AE129</f>
        <v>#DIV/0!</v>
      </c>
      <c r="AH129" s="220" t="e">
        <f t="shared" si="187"/>
        <v>#DIV/0!</v>
      </c>
      <c r="AI129" s="437"/>
      <c r="AJ129" s="220"/>
      <c r="AK129" s="220"/>
      <c r="AL129" s="222" t="e">
        <f>AK129/AJ129</f>
        <v>#DIV/0!</v>
      </c>
      <c r="AM129" s="220" t="e">
        <f t="shared" si="189"/>
        <v>#DIV/0!</v>
      </c>
      <c r="AN129" s="437"/>
      <c r="AO129" s="220"/>
      <c r="AP129" s="220"/>
      <c r="AQ129" s="222" t="e">
        <f>AP129/AO129</f>
        <v>#DIV/0!</v>
      </c>
      <c r="AR129" s="220" t="e">
        <f t="shared" si="191"/>
        <v>#DIV/0!</v>
      </c>
      <c r="AS129" s="437"/>
      <c r="AT129" s="220"/>
      <c r="AU129" s="222"/>
      <c r="AV129" s="222" t="e">
        <f t="shared" si="192"/>
        <v>#DIV/0!</v>
      </c>
      <c r="AW129" s="220" t="e">
        <f t="shared" si="193"/>
        <v>#DIV/0!</v>
      </c>
      <c r="AX129" s="437"/>
    </row>
    <row r="130" spans="2:50">
      <c r="B130" s="438"/>
      <c r="C130" s="220">
        <v>12</v>
      </c>
      <c r="D130" s="220" t="s">
        <v>383</v>
      </c>
      <c r="E130" s="221" t="e">
        <f>VLOOKUP(D130,'11產線配置圖'!$A$2:$C$25,2,0)</f>
        <v>#N/A</v>
      </c>
      <c r="F130" s="221" t="e">
        <f>VLOOKUP(D130,'11產線配置圖'!$A$2:$C$25,3,0)</f>
        <v>#N/A</v>
      </c>
      <c r="G130" s="222" t="e">
        <f t="shared" si="175"/>
        <v>#N/A</v>
      </c>
      <c r="H130" s="440"/>
      <c r="I130" s="221" t="e">
        <f t="shared" si="194"/>
        <v>#DIV/0!</v>
      </c>
      <c r="J130" s="221" t="e">
        <f t="shared" si="195"/>
        <v>#DIV/0!</v>
      </c>
      <c r="K130" s="222" t="e">
        <f t="shared" si="196"/>
        <v>#DIV/0!</v>
      </c>
      <c r="L130" s="440"/>
      <c r="M130" s="223" t="e">
        <f t="shared" si="179"/>
        <v>#DIV/0!</v>
      </c>
      <c r="N130" s="445"/>
      <c r="O130" s="445"/>
      <c r="P130" s="220"/>
      <c r="Q130" s="220"/>
      <c r="R130" s="222" t="e">
        <f t="shared" ref="R130:R135" si="197">Q130/P130</f>
        <v>#DIV/0!</v>
      </c>
      <c r="S130" s="220" t="e">
        <f t="shared" si="181"/>
        <v>#DIV/0!</v>
      </c>
      <c r="T130" s="437"/>
      <c r="U130" s="220"/>
      <c r="V130" s="220"/>
      <c r="W130" s="220" t="e">
        <f t="shared" ref="W130:W136" si="198">V130/U130</f>
        <v>#DIV/0!</v>
      </c>
      <c r="X130" s="220" t="e">
        <f t="shared" si="183"/>
        <v>#DIV/0!</v>
      </c>
      <c r="Y130" s="437"/>
      <c r="Z130" s="220"/>
      <c r="AA130" s="220"/>
      <c r="AB130" s="220" t="e">
        <f t="shared" ref="AB130:AB136" si="199">AA130/Z130</f>
        <v>#DIV/0!</v>
      </c>
      <c r="AC130" s="220" t="e">
        <f t="shared" si="185"/>
        <v>#DIV/0!</v>
      </c>
      <c r="AD130" s="437"/>
      <c r="AE130" s="220"/>
      <c r="AF130" s="220"/>
      <c r="AG130" s="222" t="e">
        <f>AF130/AE130</f>
        <v>#DIV/0!</v>
      </c>
      <c r="AH130" s="220" t="e">
        <f t="shared" si="187"/>
        <v>#DIV/0!</v>
      </c>
      <c r="AI130" s="437"/>
      <c r="AJ130" s="220"/>
      <c r="AK130" s="220"/>
      <c r="AL130" s="222" t="e">
        <f>AK130/AJ130</f>
        <v>#DIV/0!</v>
      </c>
      <c r="AM130" s="220" t="e">
        <f t="shared" si="189"/>
        <v>#DIV/0!</v>
      </c>
      <c r="AN130" s="437"/>
      <c r="AO130" s="220"/>
      <c r="AP130" s="220"/>
      <c r="AQ130" s="222" t="e">
        <f>AP130/AO130</f>
        <v>#DIV/0!</v>
      </c>
      <c r="AR130" s="220" t="e">
        <f t="shared" si="191"/>
        <v>#DIV/0!</v>
      </c>
      <c r="AS130" s="437"/>
      <c r="AT130" s="220"/>
      <c r="AU130" s="220"/>
      <c r="AV130" s="222" t="e">
        <f t="shared" si="192"/>
        <v>#DIV/0!</v>
      </c>
      <c r="AW130" s="220" t="e">
        <f>RANK(AV130, AV$7:AV$24)</f>
        <v>#DIV/0!</v>
      </c>
      <c r="AX130" s="437"/>
    </row>
    <row r="131" spans="2:50">
      <c r="B131" s="438"/>
      <c r="C131" s="220">
        <v>13</v>
      </c>
      <c r="D131" s="220" t="s">
        <v>88</v>
      </c>
      <c r="E131" s="221">
        <f>VLOOKUP(D131,'11產線配置圖'!$A$2:$C$25,2,0)</f>
        <v>17</v>
      </c>
      <c r="F131" s="221">
        <f>VLOOKUP(D131,'11產線配置圖'!$A$2:$C$25,3,0)</f>
        <v>1500</v>
      </c>
      <c r="G131" s="222">
        <f t="shared" si="175"/>
        <v>88.235294117647058</v>
      </c>
      <c r="H131" s="440"/>
      <c r="I131" s="221" t="e">
        <f t="shared" si="194"/>
        <v>#DIV/0!</v>
      </c>
      <c r="J131" s="221" t="e">
        <f t="shared" si="195"/>
        <v>#DIV/0!</v>
      </c>
      <c r="K131" s="222" t="e">
        <f t="shared" si="196"/>
        <v>#DIV/0!</v>
      </c>
      <c r="L131" s="440"/>
      <c r="M131" s="223" t="e">
        <f t="shared" si="179"/>
        <v>#DIV/0!</v>
      </c>
      <c r="N131" s="445"/>
      <c r="O131" s="445"/>
      <c r="P131" s="220"/>
      <c r="Q131" s="220"/>
      <c r="R131" s="222" t="e">
        <f t="shared" si="197"/>
        <v>#DIV/0!</v>
      </c>
      <c r="S131" s="220" t="e">
        <f t="shared" si="181"/>
        <v>#DIV/0!</v>
      </c>
      <c r="T131" s="437"/>
      <c r="U131" s="220"/>
      <c r="V131" s="220"/>
      <c r="W131" s="220" t="e">
        <f t="shared" si="198"/>
        <v>#DIV/0!</v>
      </c>
      <c r="X131" s="220" t="e">
        <f t="shared" si="183"/>
        <v>#DIV/0!</v>
      </c>
      <c r="Y131" s="437"/>
      <c r="Z131" s="220"/>
      <c r="AA131" s="220"/>
      <c r="AB131" s="220" t="e">
        <f t="shared" si="199"/>
        <v>#DIV/0!</v>
      </c>
      <c r="AC131" s="220" t="e">
        <f t="shared" si="185"/>
        <v>#DIV/0!</v>
      </c>
      <c r="AD131" s="437"/>
      <c r="AE131" s="220"/>
      <c r="AF131" s="220"/>
      <c r="AG131" s="222" t="e">
        <f>AF131/AE131</f>
        <v>#DIV/0!</v>
      </c>
      <c r="AH131" s="220" t="e">
        <f t="shared" si="187"/>
        <v>#DIV/0!</v>
      </c>
      <c r="AI131" s="437"/>
      <c r="AJ131" s="220"/>
      <c r="AK131" s="220"/>
      <c r="AL131" s="222" t="e">
        <f>AK131/AJ131</f>
        <v>#DIV/0!</v>
      </c>
      <c r="AM131" s="220" t="e">
        <f t="shared" si="189"/>
        <v>#DIV/0!</v>
      </c>
      <c r="AN131" s="437"/>
      <c r="AO131" s="220"/>
      <c r="AP131" s="220"/>
      <c r="AQ131" s="222" t="e">
        <f>AP131/AO131</f>
        <v>#DIV/0!</v>
      </c>
      <c r="AR131" s="220" t="e">
        <f t="shared" si="191"/>
        <v>#DIV/0!</v>
      </c>
      <c r="AS131" s="437"/>
      <c r="AT131" s="220"/>
      <c r="AU131" s="220"/>
      <c r="AV131" s="222" t="e">
        <f t="shared" si="192"/>
        <v>#DIV/0!</v>
      </c>
      <c r="AW131" s="220" t="e">
        <f>RANK(AV131, AV$7:AV$24)</f>
        <v>#DIV/0!</v>
      </c>
      <c r="AX131" s="437"/>
    </row>
    <row r="132" spans="2:50">
      <c r="B132" s="438"/>
      <c r="C132" s="220">
        <v>14</v>
      </c>
      <c r="D132" s="220" t="s">
        <v>384</v>
      </c>
      <c r="E132" s="221" t="e">
        <f>VLOOKUP(D132,'11產線配置圖'!$A$2:$C$25,2,0)</f>
        <v>#N/A</v>
      </c>
      <c r="F132" s="221" t="e">
        <f>VLOOKUP(D132,'11產線配置圖'!$A$2:$C$25,3,0)</f>
        <v>#N/A</v>
      </c>
      <c r="G132" s="222" t="e">
        <f t="shared" si="175"/>
        <v>#N/A</v>
      </c>
      <c r="H132" s="440"/>
      <c r="I132" s="221" t="e">
        <f t="shared" si="194"/>
        <v>#DIV/0!</v>
      </c>
      <c r="J132" s="221" t="e">
        <f t="shared" si="195"/>
        <v>#DIV/0!</v>
      </c>
      <c r="K132" s="222" t="e">
        <f t="shared" si="196"/>
        <v>#DIV/0!</v>
      </c>
      <c r="L132" s="440"/>
      <c r="M132" s="223" t="e">
        <f t="shared" si="179"/>
        <v>#DIV/0!</v>
      </c>
      <c r="N132" s="445"/>
      <c r="O132" s="445"/>
      <c r="P132" s="220"/>
      <c r="Q132" s="220"/>
      <c r="R132" s="222"/>
      <c r="S132" s="220"/>
      <c r="T132" s="437"/>
      <c r="U132" s="220"/>
      <c r="V132" s="220"/>
      <c r="W132" s="220" t="e">
        <f t="shared" si="198"/>
        <v>#DIV/0!</v>
      </c>
      <c r="X132" s="220" t="e">
        <f t="shared" si="183"/>
        <v>#DIV/0!</v>
      </c>
      <c r="Y132" s="437"/>
      <c r="Z132" s="220"/>
      <c r="AA132" s="220"/>
      <c r="AB132" s="220" t="e">
        <f t="shared" si="199"/>
        <v>#DIV/0!</v>
      </c>
      <c r="AC132" s="220" t="e">
        <f t="shared" si="185"/>
        <v>#DIV/0!</v>
      </c>
      <c r="AD132" s="437"/>
      <c r="AE132" s="220"/>
      <c r="AF132" s="220"/>
      <c r="AG132" s="222" t="e">
        <f>AF132/AE132</f>
        <v>#DIV/0!</v>
      </c>
      <c r="AH132" s="220" t="e">
        <f t="shared" si="187"/>
        <v>#DIV/0!</v>
      </c>
      <c r="AI132" s="437"/>
      <c r="AJ132" s="220"/>
      <c r="AK132" s="220"/>
      <c r="AL132" s="222" t="e">
        <f>AK132/AJ132</f>
        <v>#DIV/0!</v>
      </c>
      <c r="AM132" s="220" t="e">
        <f t="shared" si="189"/>
        <v>#DIV/0!</v>
      </c>
      <c r="AN132" s="437"/>
      <c r="AO132" s="220"/>
      <c r="AP132" s="220"/>
      <c r="AQ132" s="220" t="e">
        <f>AP132/AO132</f>
        <v>#DIV/0!</v>
      </c>
      <c r="AR132" s="220" t="e">
        <f t="shared" si="191"/>
        <v>#DIV/0!</v>
      </c>
      <c r="AS132" s="437"/>
      <c r="AT132" s="220"/>
      <c r="AU132" s="220"/>
      <c r="AV132" s="222" t="e">
        <f t="shared" si="192"/>
        <v>#DIV/0!</v>
      </c>
      <c r="AW132" s="220" t="e">
        <f>RANK(AV132, AV$7:AV$24)</f>
        <v>#DIV/0!</v>
      </c>
      <c r="AX132" s="437"/>
    </row>
    <row r="133" spans="2:50">
      <c r="B133" s="438"/>
      <c r="C133" s="220">
        <v>15</v>
      </c>
      <c r="D133" s="220"/>
      <c r="E133" s="221"/>
      <c r="F133" s="221"/>
      <c r="G133" s="222"/>
      <c r="H133" s="440"/>
      <c r="I133" s="220" t="e">
        <f t="shared" si="176"/>
        <v>#DIV/0!</v>
      </c>
      <c r="J133" s="220" t="e">
        <f t="shared" si="177"/>
        <v>#DIV/0!</v>
      </c>
      <c r="K133" s="222" t="e">
        <f t="shared" si="178"/>
        <v>#DIV/0!</v>
      </c>
      <c r="L133" s="440"/>
      <c r="M133" s="223" t="e">
        <f t="shared" si="179"/>
        <v>#DIV/0!</v>
      </c>
      <c r="N133" s="445"/>
      <c r="O133" s="445"/>
      <c r="P133" s="220"/>
      <c r="Q133" s="220"/>
      <c r="R133" s="222" t="e">
        <f t="shared" si="197"/>
        <v>#DIV/0!</v>
      </c>
      <c r="S133" s="220" t="e">
        <f t="shared" si="181"/>
        <v>#DIV/0!</v>
      </c>
      <c r="T133" s="437"/>
      <c r="U133" s="220"/>
      <c r="V133" s="220"/>
      <c r="W133" s="220" t="e">
        <f t="shared" si="198"/>
        <v>#DIV/0!</v>
      </c>
      <c r="X133" s="220" t="e">
        <f t="shared" si="183"/>
        <v>#DIV/0!</v>
      </c>
      <c r="Y133" s="437"/>
      <c r="Z133" s="220"/>
      <c r="AA133" s="220"/>
      <c r="AB133" s="220" t="e">
        <f t="shared" si="199"/>
        <v>#DIV/0!</v>
      </c>
      <c r="AC133" s="220" t="e">
        <f t="shared" si="185"/>
        <v>#DIV/0!</v>
      </c>
      <c r="AD133" s="437"/>
      <c r="AE133" s="220"/>
      <c r="AF133" s="220"/>
      <c r="AG133" s="222"/>
      <c r="AH133" s="220"/>
      <c r="AI133" s="437"/>
      <c r="AJ133" s="220"/>
      <c r="AK133" s="220"/>
      <c r="AL133" s="220"/>
      <c r="AM133" s="220"/>
      <c r="AN133" s="437"/>
      <c r="AO133" s="220"/>
      <c r="AP133" s="220"/>
      <c r="AQ133" s="220"/>
      <c r="AR133" s="220" t="e">
        <f t="shared" si="191"/>
        <v>#DIV/0!</v>
      </c>
      <c r="AS133" s="437"/>
      <c r="AT133" s="220"/>
      <c r="AU133" s="220"/>
      <c r="AV133" s="222" t="e">
        <f>AU133/AT133</f>
        <v>#DIV/0!</v>
      </c>
      <c r="AW133" s="220" t="e">
        <f>RANK(AV133, AV$7:AV$24)</f>
        <v>#DIV/0!</v>
      </c>
      <c r="AX133" s="437"/>
    </row>
    <row r="134" spans="2:50">
      <c r="B134" s="438"/>
      <c r="C134" s="220">
        <v>16</v>
      </c>
      <c r="D134" s="220"/>
      <c r="E134" s="221"/>
      <c r="F134" s="221"/>
      <c r="G134" s="222"/>
      <c r="H134" s="440"/>
      <c r="I134" s="220" t="e">
        <f t="shared" si="176"/>
        <v>#DIV/0!</v>
      </c>
      <c r="J134" s="220" t="e">
        <f t="shared" si="177"/>
        <v>#DIV/0!</v>
      </c>
      <c r="K134" s="222" t="e">
        <f t="shared" si="178"/>
        <v>#DIV/0!</v>
      </c>
      <c r="L134" s="440"/>
      <c r="M134" s="223" t="e">
        <f t="shared" si="179"/>
        <v>#DIV/0!</v>
      </c>
      <c r="N134" s="445"/>
      <c r="O134" s="445"/>
      <c r="P134" s="220"/>
      <c r="Q134" s="220"/>
      <c r="R134" s="222" t="e">
        <f t="shared" si="197"/>
        <v>#DIV/0!</v>
      </c>
      <c r="S134" s="220" t="e">
        <f t="shared" si="181"/>
        <v>#DIV/0!</v>
      </c>
      <c r="T134" s="437"/>
      <c r="U134" s="220"/>
      <c r="V134" s="220"/>
      <c r="W134" s="220" t="e">
        <f t="shared" si="198"/>
        <v>#DIV/0!</v>
      </c>
      <c r="X134" s="220" t="e">
        <f t="shared" si="183"/>
        <v>#DIV/0!</v>
      </c>
      <c r="Y134" s="437"/>
      <c r="Z134" s="220"/>
      <c r="AA134" s="220"/>
      <c r="AB134" s="220" t="e">
        <f t="shared" si="199"/>
        <v>#DIV/0!</v>
      </c>
      <c r="AC134" s="220" t="e">
        <f t="shared" si="185"/>
        <v>#DIV/0!</v>
      </c>
      <c r="AD134" s="437"/>
      <c r="AE134" s="220"/>
      <c r="AF134" s="220"/>
      <c r="AG134" s="222"/>
      <c r="AH134" s="220"/>
      <c r="AI134" s="437"/>
      <c r="AJ134" s="220"/>
      <c r="AK134" s="220"/>
      <c r="AL134" s="220"/>
      <c r="AM134" s="220"/>
      <c r="AN134" s="437"/>
      <c r="AO134" s="220"/>
      <c r="AP134" s="220"/>
      <c r="AQ134" s="220"/>
      <c r="AR134" s="220" t="e">
        <f t="shared" si="191"/>
        <v>#DIV/0!</v>
      </c>
      <c r="AS134" s="437"/>
      <c r="AT134" s="220"/>
      <c r="AU134" s="220"/>
      <c r="AV134" s="220"/>
      <c r="AW134" s="220"/>
      <c r="AX134" s="437"/>
    </row>
    <row r="135" spans="2:50">
      <c r="B135" s="438"/>
      <c r="C135" s="220">
        <v>17</v>
      </c>
      <c r="D135" s="220"/>
      <c r="E135" s="221"/>
      <c r="F135" s="221"/>
      <c r="G135" s="222"/>
      <c r="H135" s="440"/>
      <c r="I135" s="220" t="e">
        <f t="shared" si="176"/>
        <v>#DIV/0!</v>
      </c>
      <c r="J135" s="220" t="e">
        <f t="shared" si="177"/>
        <v>#DIV/0!</v>
      </c>
      <c r="K135" s="222" t="e">
        <f t="shared" si="178"/>
        <v>#DIV/0!</v>
      </c>
      <c r="L135" s="440"/>
      <c r="M135" s="223" t="e">
        <f t="shared" si="179"/>
        <v>#DIV/0!</v>
      </c>
      <c r="N135" s="445"/>
      <c r="O135" s="445"/>
      <c r="P135" s="220"/>
      <c r="Q135" s="220"/>
      <c r="R135" s="222" t="e">
        <f t="shared" si="197"/>
        <v>#DIV/0!</v>
      </c>
      <c r="S135" s="220" t="e">
        <f t="shared" si="181"/>
        <v>#DIV/0!</v>
      </c>
      <c r="T135" s="437"/>
      <c r="U135" s="220"/>
      <c r="V135" s="220"/>
      <c r="W135" s="220" t="e">
        <f t="shared" si="198"/>
        <v>#DIV/0!</v>
      </c>
      <c r="X135" s="220" t="e">
        <f t="shared" si="183"/>
        <v>#DIV/0!</v>
      </c>
      <c r="Y135" s="437"/>
      <c r="Z135" s="220"/>
      <c r="AA135" s="220"/>
      <c r="AB135" s="220" t="e">
        <f t="shared" si="199"/>
        <v>#DIV/0!</v>
      </c>
      <c r="AC135" s="220" t="e">
        <f t="shared" si="185"/>
        <v>#DIV/0!</v>
      </c>
      <c r="AD135" s="437"/>
      <c r="AE135" s="220"/>
      <c r="AF135" s="220"/>
      <c r="AG135" s="222"/>
      <c r="AH135" s="220"/>
      <c r="AI135" s="437"/>
      <c r="AJ135" s="220"/>
      <c r="AK135" s="220"/>
      <c r="AL135" s="220"/>
      <c r="AM135" s="220"/>
      <c r="AN135" s="437"/>
      <c r="AO135" s="220"/>
      <c r="AP135" s="220"/>
      <c r="AQ135" s="220"/>
      <c r="AR135" s="220" t="e">
        <f t="shared" si="191"/>
        <v>#DIV/0!</v>
      </c>
      <c r="AS135" s="437"/>
      <c r="AT135" s="220"/>
      <c r="AU135" s="220"/>
      <c r="AV135" s="220"/>
      <c r="AW135" s="220"/>
      <c r="AX135" s="437"/>
    </row>
    <row r="136" spans="2:50">
      <c r="B136" s="438"/>
      <c r="C136" s="220">
        <v>18</v>
      </c>
      <c r="D136" s="220"/>
      <c r="E136" s="221"/>
      <c r="F136" s="221"/>
      <c r="G136" s="222"/>
      <c r="H136" s="441"/>
      <c r="I136" s="220"/>
      <c r="J136" s="220"/>
      <c r="K136" s="222"/>
      <c r="L136" s="441"/>
      <c r="M136" s="223"/>
      <c r="N136" s="445"/>
      <c r="O136" s="445"/>
      <c r="P136" s="220"/>
      <c r="Q136" s="220"/>
      <c r="R136" s="222"/>
      <c r="S136" s="220"/>
      <c r="T136" s="437"/>
      <c r="U136" s="220"/>
      <c r="V136" s="220"/>
      <c r="W136" s="220" t="e">
        <f t="shared" si="198"/>
        <v>#DIV/0!</v>
      </c>
      <c r="X136" s="220" t="e">
        <f t="shared" si="183"/>
        <v>#DIV/0!</v>
      </c>
      <c r="Y136" s="437"/>
      <c r="Z136" s="220"/>
      <c r="AA136" s="220"/>
      <c r="AB136" s="220" t="e">
        <f t="shared" si="199"/>
        <v>#DIV/0!</v>
      </c>
      <c r="AC136" s="220" t="e">
        <f t="shared" si="185"/>
        <v>#DIV/0!</v>
      </c>
      <c r="AD136" s="437"/>
      <c r="AE136" s="220"/>
      <c r="AF136" s="220"/>
      <c r="AG136" s="222"/>
      <c r="AH136" s="220"/>
      <c r="AI136" s="437"/>
      <c r="AJ136" s="220"/>
      <c r="AK136" s="220"/>
      <c r="AL136" s="220"/>
      <c r="AM136" s="220"/>
      <c r="AN136" s="437"/>
      <c r="AO136" s="220"/>
      <c r="AP136" s="220"/>
      <c r="AQ136" s="220"/>
      <c r="AR136" s="220" t="e">
        <f t="shared" si="191"/>
        <v>#DIV/0!</v>
      </c>
      <c r="AS136" s="437"/>
      <c r="AT136" s="220"/>
      <c r="AU136" s="220"/>
      <c r="AV136" s="220"/>
      <c r="AW136" s="220"/>
      <c r="AX136" s="437"/>
    </row>
  </sheetData>
  <mergeCells count="354">
    <mergeCell ref="AX96:AX113"/>
    <mergeCell ref="AS96:AS113"/>
    <mergeCell ref="AN96:AN113"/>
    <mergeCell ref="AI96:AI113"/>
    <mergeCell ref="AX93:AX95"/>
    <mergeCell ref="AJ94:AM94"/>
    <mergeCell ref="AS93:AS95"/>
    <mergeCell ref="AT93:AW93"/>
    <mergeCell ref="AI93:AI95"/>
    <mergeCell ref="AJ93:AM93"/>
    <mergeCell ref="AT94:AW94"/>
    <mergeCell ref="AT92:AX92"/>
    <mergeCell ref="B91:H92"/>
    <mergeCell ref="N91:N92"/>
    <mergeCell ref="O91:O92"/>
    <mergeCell ref="P91:T91"/>
    <mergeCell ref="U91:Y91"/>
    <mergeCell ref="Z91:AD91"/>
    <mergeCell ref="P92:T92"/>
    <mergeCell ref="U92:Y92"/>
    <mergeCell ref="Z92:AD92"/>
    <mergeCell ref="AE92:AI92"/>
    <mergeCell ref="AJ92:AN92"/>
    <mergeCell ref="AO91:AS91"/>
    <mergeCell ref="AT91:AX91"/>
    <mergeCell ref="AE91:AI91"/>
    <mergeCell ref="AJ91:AN91"/>
    <mergeCell ref="M93:M95"/>
    <mergeCell ref="B93:B95"/>
    <mergeCell ref="C93:D95"/>
    <mergeCell ref="AO94:AR94"/>
    <mergeCell ref="AO93:AR93"/>
    <mergeCell ref="U93:X93"/>
    <mergeCell ref="N93:N113"/>
    <mergeCell ref="O93:O113"/>
    <mergeCell ref="Z94:AC94"/>
    <mergeCell ref="Y93:Y95"/>
    <mergeCell ref="AE93:AH93"/>
    <mergeCell ref="AE94:AH94"/>
    <mergeCell ref="B96:B113"/>
    <mergeCell ref="E93:G93"/>
    <mergeCell ref="AN93:AN95"/>
    <mergeCell ref="AO92:AS92"/>
    <mergeCell ref="E94:G94"/>
    <mergeCell ref="H73:H90"/>
    <mergeCell ref="T96:T113"/>
    <mergeCell ref="Y96:Y113"/>
    <mergeCell ref="AD96:AD113"/>
    <mergeCell ref="H96:H113"/>
    <mergeCell ref="L96:L113"/>
    <mergeCell ref="L73:L90"/>
    <mergeCell ref="N70:N90"/>
    <mergeCell ref="M70:M72"/>
    <mergeCell ref="P70:S70"/>
    <mergeCell ref="Y70:Y72"/>
    <mergeCell ref="Z70:AC70"/>
    <mergeCell ref="AD70:AD72"/>
    <mergeCell ref="U71:X71"/>
    <mergeCell ref="H93:H95"/>
    <mergeCell ref="I93:K93"/>
    <mergeCell ref="L93:L95"/>
    <mergeCell ref="AD93:AD95"/>
    <mergeCell ref="Z93:AC93"/>
    <mergeCell ref="P93:S93"/>
    <mergeCell ref="T93:T95"/>
    <mergeCell ref="I94:K94"/>
    <mergeCell ref="P94:S94"/>
    <mergeCell ref="U94:X94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O70:O90"/>
    <mergeCell ref="AX70:AX72"/>
    <mergeCell ref="T70:T72"/>
    <mergeCell ref="H70:H72"/>
    <mergeCell ref="I70:K70"/>
    <mergeCell ref="L70:L72"/>
    <mergeCell ref="I71:K71"/>
    <mergeCell ref="P71:S71"/>
    <mergeCell ref="AX53:AX67"/>
    <mergeCell ref="AT68:AX68"/>
    <mergeCell ref="AT69:AX69"/>
    <mergeCell ref="AD53:AD67"/>
    <mergeCell ref="AN53:AN67"/>
    <mergeCell ref="AS53:AS67"/>
    <mergeCell ref="AO68:AS68"/>
    <mergeCell ref="AO69:AS69"/>
    <mergeCell ref="B70:B72"/>
    <mergeCell ref="C70:D72"/>
    <mergeCell ref="AO71:AR71"/>
    <mergeCell ref="E70:G70"/>
    <mergeCell ref="AT71:AW71"/>
    <mergeCell ref="E71:G71"/>
    <mergeCell ref="U70:X70"/>
    <mergeCell ref="AJ70:AM70"/>
    <mergeCell ref="AO70:AR70"/>
    <mergeCell ref="AS70:AS72"/>
    <mergeCell ref="AT70:AW70"/>
    <mergeCell ref="Z71:AC71"/>
    <mergeCell ref="AE71:AH71"/>
    <mergeCell ref="AJ71:AM71"/>
    <mergeCell ref="AE70:AH70"/>
    <mergeCell ref="AI70:AI72"/>
    <mergeCell ref="AN70:AN72"/>
    <mergeCell ref="B68:H69"/>
    <mergeCell ref="N68:N69"/>
    <mergeCell ref="O68:O69"/>
    <mergeCell ref="P68:T68"/>
    <mergeCell ref="U68:Y68"/>
    <mergeCell ref="Z68:AD68"/>
    <mergeCell ref="AE68:AI68"/>
    <mergeCell ref="AJ68:AN68"/>
    <mergeCell ref="P69:T69"/>
    <mergeCell ref="U69:Y69"/>
    <mergeCell ref="Z69:AD69"/>
    <mergeCell ref="AE69:AI69"/>
    <mergeCell ref="AJ69:AN69"/>
    <mergeCell ref="AO50:AR50"/>
    <mergeCell ref="AS50:AS52"/>
    <mergeCell ref="AT50:AW50"/>
    <mergeCell ref="P50:S50"/>
    <mergeCell ref="T50:T52"/>
    <mergeCell ref="B53:B67"/>
    <mergeCell ref="H53:H67"/>
    <mergeCell ref="L53:L67"/>
    <mergeCell ref="T53:T67"/>
    <mergeCell ref="I50:K50"/>
    <mergeCell ref="L50:L52"/>
    <mergeCell ref="B50:B52"/>
    <mergeCell ref="C50:D52"/>
    <mergeCell ref="O50:O67"/>
    <mergeCell ref="U50:X50"/>
    <mergeCell ref="E50:G50"/>
    <mergeCell ref="H50:H52"/>
    <mergeCell ref="AN50:AN52"/>
    <mergeCell ref="AI53:AI67"/>
    <mergeCell ref="Y53:Y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AO51:AR51"/>
    <mergeCell ref="AT51:AW51"/>
    <mergeCell ref="AN30:AN47"/>
    <mergeCell ref="N27:N47"/>
    <mergeCell ref="O27:O47"/>
    <mergeCell ref="P27:S27"/>
    <mergeCell ref="T27:T29"/>
    <mergeCell ref="AD30:AD47"/>
    <mergeCell ref="AI30:AI47"/>
    <mergeCell ref="Z27:AC27"/>
    <mergeCell ref="AD27:AD29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T49:AX49"/>
    <mergeCell ref="B30:B47"/>
    <mergeCell ref="AS30:AS47"/>
    <mergeCell ref="AE49:AI49"/>
    <mergeCell ref="AJ49:AN49"/>
    <mergeCell ref="AO49:AS49"/>
    <mergeCell ref="H30:H47"/>
    <mergeCell ref="L30:L47"/>
    <mergeCell ref="T30:T47"/>
    <mergeCell ref="Y30:Y47"/>
    <mergeCell ref="B27:B29"/>
    <mergeCell ref="C27:D29"/>
    <mergeCell ref="AX27:AX29"/>
    <mergeCell ref="E28:G28"/>
    <mergeCell ref="I28:K28"/>
    <mergeCell ref="P28:S28"/>
    <mergeCell ref="U28:X28"/>
    <mergeCell ref="Z28:AC28"/>
    <mergeCell ref="AJ27:AM27"/>
    <mergeCell ref="AE28:AH28"/>
    <mergeCell ref="AJ28:AM28"/>
    <mergeCell ref="AE27:AH27"/>
    <mergeCell ref="AI27:AI29"/>
    <mergeCell ref="AN27:AN29"/>
    <mergeCell ref="I27:K27"/>
    <mergeCell ref="L27:L29"/>
    <mergeCell ref="M27:M29"/>
    <mergeCell ref="E27:G27"/>
    <mergeCell ref="H27:H29"/>
    <mergeCell ref="U27:X27"/>
    <mergeCell ref="Y27:Y29"/>
    <mergeCell ref="AO27:AR27"/>
    <mergeCell ref="AS27:AS29"/>
    <mergeCell ref="AT27:AW27"/>
    <mergeCell ref="AT25:AX25"/>
    <mergeCell ref="P26:T26"/>
    <mergeCell ref="U26:Y26"/>
    <mergeCell ref="Z26:AD26"/>
    <mergeCell ref="AE26:AI26"/>
    <mergeCell ref="AJ26:AN26"/>
    <mergeCell ref="AT26:AX26"/>
    <mergeCell ref="AO26:AS26"/>
    <mergeCell ref="Z25:AD25"/>
    <mergeCell ref="AE25:AI25"/>
    <mergeCell ref="AJ25:AN25"/>
    <mergeCell ref="AO25:AS25"/>
    <mergeCell ref="B2:H3"/>
    <mergeCell ref="N2:N3"/>
    <mergeCell ref="O2:O3"/>
    <mergeCell ref="AE2:AI2"/>
    <mergeCell ref="AJ2:AN2"/>
    <mergeCell ref="B25:H26"/>
    <mergeCell ref="N25:N26"/>
    <mergeCell ref="O25:O26"/>
    <mergeCell ref="P25:T25"/>
    <mergeCell ref="U25:Y25"/>
    <mergeCell ref="B4:B6"/>
    <mergeCell ref="C4:D6"/>
    <mergeCell ref="E4:G4"/>
    <mergeCell ref="AO4:AR4"/>
    <mergeCell ref="U4:X4"/>
    <mergeCell ref="O4:O24"/>
    <mergeCell ref="Y4:Y6"/>
    <mergeCell ref="Z4:AC4"/>
    <mergeCell ref="AD4:AD6"/>
    <mergeCell ref="M4:M6"/>
    <mergeCell ref="N4:N24"/>
    <mergeCell ref="B7:B24"/>
    <mergeCell ref="H7:H24"/>
    <mergeCell ref="L7:L24"/>
    <mergeCell ref="H4:H6"/>
    <mergeCell ref="I4:K4"/>
    <mergeCell ref="L4:L6"/>
    <mergeCell ref="T7:T24"/>
    <mergeCell ref="Y7:Y24"/>
    <mergeCell ref="AD7:AD24"/>
    <mergeCell ref="AI7:AI24"/>
    <mergeCell ref="AN7:AN24"/>
    <mergeCell ref="AJ115:AN115"/>
    <mergeCell ref="AO115:AS115"/>
    <mergeCell ref="AT115:AX115"/>
    <mergeCell ref="Z114:AD114"/>
    <mergeCell ref="AE114:AI114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AS7:AS24"/>
    <mergeCell ref="AO28:AR28"/>
    <mergeCell ref="AT28:AW28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T5:AW5"/>
    <mergeCell ref="AN4:AN6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AJ114:AN114"/>
    <mergeCell ref="AO114:AS114"/>
    <mergeCell ref="AT114:AX114"/>
    <mergeCell ref="Z115:AD115"/>
    <mergeCell ref="AE115:AI115"/>
    <mergeCell ref="AX7:AX24"/>
    <mergeCell ref="B114:H115"/>
    <mergeCell ref="N114:N115"/>
    <mergeCell ref="O114:O115"/>
    <mergeCell ref="P114:T114"/>
    <mergeCell ref="U114:Y114"/>
    <mergeCell ref="P115:T115"/>
    <mergeCell ref="U115:Y115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E116:AH116"/>
    <mergeCell ref="AI116:AI118"/>
    <mergeCell ref="AJ116:AM116"/>
    <mergeCell ref="AN116:AN118"/>
    <mergeCell ref="P116:S116"/>
    <mergeCell ref="AO116:AR116"/>
    <mergeCell ref="T116:T118"/>
    <mergeCell ref="U116:X116"/>
    <mergeCell ref="Y116:Y118"/>
    <mergeCell ref="Z116:AC116"/>
    <mergeCell ref="AD116:AD118"/>
    <mergeCell ref="AS116:AS118"/>
    <mergeCell ref="AT116:AW116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'11產線配置圖'!$A$2:$A$24</xm:f>
          </x14:formula1>
          <xm:sqref>D85:D90 D19:D24 D42:D47 D65:D67 D119:D136 D73:D82 D96:D113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25" zoomScaleNormal="100" workbookViewId="0">
      <selection activeCell="AL51" sqref="AL5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 customWidth="1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57" width="8.81640625" style="108" customWidth="1"/>
    <col min="58" max="16384" width="8.81640625" style="108"/>
  </cols>
  <sheetData>
    <row r="1" spans="1:50" ht="21">
      <c r="A1" s="78"/>
      <c r="B1" s="182" t="s">
        <v>43</v>
      </c>
      <c r="C1" s="107" t="e">
        <f>AVERAGE(L7,L27,L47,L67,L87)</f>
        <v>#DIV/0!</v>
      </c>
    </row>
    <row r="2" spans="1:50" ht="15.5">
      <c r="A2" s="83"/>
      <c r="B2" s="486" t="s">
        <v>44</v>
      </c>
      <c r="C2" s="487"/>
      <c r="D2" s="487"/>
      <c r="E2" s="487"/>
      <c r="F2" s="487"/>
      <c r="G2" s="487"/>
      <c r="H2" s="487"/>
      <c r="I2" s="159"/>
      <c r="J2" s="159"/>
      <c r="K2" s="159"/>
      <c r="L2" s="159"/>
      <c r="M2" s="155"/>
      <c r="N2" s="476" t="s">
        <v>45</v>
      </c>
      <c r="O2" s="476" t="s">
        <v>3</v>
      </c>
      <c r="P2" s="470"/>
      <c r="Q2" s="471"/>
      <c r="R2" s="471"/>
      <c r="S2" s="471"/>
      <c r="T2" s="471"/>
      <c r="U2" s="470"/>
      <c r="V2" s="471"/>
      <c r="W2" s="471"/>
      <c r="X2" s="471"/>
      <c r="Y2" s="471"/>
      <c r="Z2" s="470"/>
      <c r="AA2" s="471"/>
      <c r="AB2" s="471"/>
      <c r="AC2" s="471"/>
      <c r="AD2" s="471"/>
      <c r="AE2" s="470">
        <v>45870</v>
      </c>
      <c r="AF2" s="471"/>
      <c r="AG2" s="471"/>
      <c r="AH2" s="471"/>
      <c r="AI2" s="471"/>
      <c r="AJ2" s="470">
        <v>45871</v>
      </c>
      <c r="AK2" s="471"/>
      <c r="AL2" s="471"/>
      <c r="AM2" s="471"/>
      <c r="AN2" s="471"/>
      <c r="AO2" s="470">
        <v>45872</v>
      </c>
      <c r="AP2" s="471"/>
      <c r="AQ2" s="471"/>
      <c r="AR2" s="471"/>
      <c r="AS2" s="471"/>
      <c r="AT2" s="470">
        <v>45873</v>
      </c>
      <c r="AU2" s="471"/>
      <c r="AV2" s="471"/>
      <c r="AW2" s="471"/>
      <c r="AX2" s="471"/>
    </row>
    <row r="3" spans="1:50" ht="15.5">
      <c r="A3" s="83"/>
      <c r="B3" s="488"/>
      <c r="C3" s="488"/>
      <c r="D3" s="488"/>
      <c r="E3" s="488"/>
      <c r="F3" s="488"/>
      <c r="G3" s="488"/>
      <c r="H3" s="488"/>
      <c r="I3" s="156"/>
      <c r="J3" s="156"/>
      <c r="K3" s="156"/>
      <c r="L3" s="156"/>
      <c r="M3" s="157"/>
      <c r="N3" s="478"/>
      <c r="O3" s="478"/>
      <c r="P3" s="470" t="s">
        <v>15</v>
      </c>
      <c r="Q3" s="471"/>
      <c r="R3" s="471"/>
      <c r="S3" s="471"/>
      <c r="T3" s="471"/>
      <c r="U3" s="470" t="s">
        <v>16</v>
      </c>
      <c r="V3" s="471"/>
      <c r="W3" s="471"/>
      <c r="X3" s="471"/>
      <c r="Y3" s="471"/>
      <c r="Z3" s="470" t="s">
        <v>17</v>
      </c>
      <c r="AA3" s="471"/>
      <c r="AB3" s="471"/>
      <c r="AC3" s="471"/>
      <c r="AD3" s="471"/>
      <c r="AE3" s="470" t="s">
        <v>18</v>
      </c>
      <c r="AF3" s="471"/>
      <c r="AG3" s="471"/>
      <c r="AH3" s="471"/>
      <c r="AI3" s="471"/>
      <c r="AJ3" s="470" t="s">
        <v>19</v>
      </c>
      <c r="AK3" s="471"/>
      <c r="AL3" s="471"/>
      <c r="AM3" s="471"/>
      <c r="AN3" s="471"/>
      <c r="AO3" s="470" t="s">
        <v>10</v>
      </c>
      <c r="AP3" s="471"/>
      <c r="AQ3" s="471"/>
      <c r="AR3" s="471"/>
      <c r="AS3" s="471"/>
      <c r="AT3" s="470" t="s">
        <v>14</v>
      </c>
      <c r="AU3" s="471"/>
      <c r="AV3" s="471"/>
      <c r="AW3" s="471"/>
      <c r="AX3" s="471"/>
    </row>
    <row r="4" spans="1:50">
      <c r="A4" s="83"/>
      <c r="B4" s="472" t="s">
        <v>46</v>
      </c>
      <c r="C4" s="472" t="s">
        <v>47</v>
      </c>
      <c r="D4" s="472"/>
      <c r="E4" s="472" t="s">
        <v>48</v>
      </c>
      <c r="F4" s="472"/>
      <c r="G4" s="472"/>
      <c r="H4" s="483" t="s">
        <v>49</v>
      </c>
      <c r="I4" s="472" t="s">
        <v>50</v>
      </c>
      <c r="J4" s="472"/>
      <c r="K4" s="472"/>
      <c r="L4" s="483" t="s">
        <v>49</v>
      </c>
      <c r="M4" s="476" t="s">
        <v>51</v>
      </c>
      <c r="N4" s="472"/>
      <c r="O4" s="472" t="s">
        <v>52</v>
      </c>
      <c r="P4" s="473" t="s">
        <v>53</v>
      </c>
      <c r="Q4" s="474"/>
      <c r="R4" s="474"/>
      <c r="S4" s="475"/>
      <c r="T4" s="472" t="s">
        <v>49</v>
      </c>
      <c r="U4" s="473" t="s">
        <v>53</v>
      </c>
      <c r="V4" s="474"/>
      <c r="W4" s="474"/>
      <c r="X4" s="475"/>
      <c r="Y4" s="472" t="s">
        <v>49</v>
      </c>
      <c r="Z4" s="473" t="s">
        <v>53</v>
      </c>
      <c r="AA4" s="474"/>
      <c r="AB4" s="474"/>
      <c r="AC4" s="475"/>
      <c r="AD4" s="472" t="s">
        <v>49</v>
      </c>
      <c r="AE4" s="473" t="s">
        <v>53</v>
      </c>
      <c r="AF4" s="474"/>
      <c r="AG4" s="474"/>
      <c r="AH4" s="475"/>
      <c r="AI4" s="472" t="s">
        <v>49</v>
      </c>
      <c r="AJ4" s="473" t="s">
        <v>53</v>
      </c>
      <c r="AK4" s="474"/>
      <c r="AL4" s="474"/>
      <c r="AM4" s="475"/>
      <c r="AN4" s="472" t="s">
        <v>49</v>
      </c>
      <c r="AO4" s="473" t="s">
        <v>53</v>
      </c>
      <c r="AP4" s="474"/>
      <c r="AQ4" s="474"/>
      <c r="AR4" s="475"/>
      <c r="AS4" s="472" t="s">
        <v>49</v>
      </c>
      <c r="AT4" s="473" t="s">
        <v>53</v>
      </c>
      <c r="AU4" s="474"/>
      <c r="AV4" s="474"/>
      <c r="AW4" s="475"/>
      <c r="AX4" s="472" t="s">
        <v>49</v>
      </c>
    </row>
    <row r="5" spans="1:50">
      <c r="A5" s="83"/>
      <c r="B5" s="472"/>
      <c r="C5" s="472"/>
      <c r="D5" s="472"/>
      <c r="E5" s="472" t="s">
        <v>54</v>
      </c>
      <c r="F5" s="472"/>
      <c r="G5" s="472"/>
      <c r="H5" s="484"/>
      <c r="I5" s="472" t="s">
        <v>54</v>
      </c>
      <c r="J5" s="472"/>
      <c r="K5" s="472"/>
      <c r="L5" s="484"/>
      <c r="M5" s="477"/>
      <c r="N5" s="472"/>
      <c r="O5" s="472"/>
      <c r="P5" s="473" t="s">
        <v>55</v>
      </c>
      <c r="Q5" s="474"/>
      <c r="R5" s="474"/>
      <c r="S5" s="475"/>
      <c r="T5" s="472"/>
      <c r="U5" s="473" t="s">
        <v>55</v>
      </c>
      <c r="V5" s="474"/>
      <c r="W5" s="474"/>
      <c r="X5" s="475"/>
      <c r="Y5" s="472"/>
      <c r="Z5" s="473" t="s">
        <v>55</v>
      </c>
      <c r="AA5" s="474"/>
      <c r="AB5" s="474"/>
      <c r="AC5" s="475"/>
      <c r="AD5" s="472"/>
      <c r="AE5" s="473" t="s">
        <v>55</v>
      </c>
      <c r="AF5" s="474"/>
      <c r="AG5" s="474"/>
      <c r="AH5" s="475"/>
      <c r="AI5" s="472"/>
      <c r="AJ5" s="473" t="s">
        <v>55</v>
      </c>
      <c r="AK5" s="474"/>
      <c r="AL5" s="474"/>
      <c r="AM5" s="475"/>
      <c r="AN5" s="472"/>
      <c r="AO5" s="473" t="s">
        <v>55</v>
      </c>
      <c r="AP5" s="474"/>
      <c r="AQ5" s="474"/>
      <c r="AR5" s="475"/>
      <c r="AS5" s="472"/>
      <c r="AT5" s="473" t="s">
        <v>55</v>
      </c>
      <c r="AU5" s="474"/>
      <c r="AV5" s="474"/>
      <c r="AW5" s="475"/>
      <c r="AX5" s="472"/>
    </row>
    <row r="6" spans="1:50">
      <c r="A6" s="81"/>
      <c r="B6" s="472"/>
      <c r="C6" s="472"/>
      <c r="D6" s="472"/>
      <c r="E6" s="109" t="s">
        <v>56</v>
      </c>
      <c r="F6" s="109" t="s">
        <v>57</v>
      </c>
      <c r="G6" s="109" t="s">
        <v>58</v>
      </c>
      <c r="H6" s="485"/>
      <c r="I6" s="109" t="s">
        <v>56</v>
      </c>
      <c r="J6" s="109" t="s">
        <v>57</v>
      </c>
      <c r="K6" s="109" t="s">
        <v>58</v>
      </c>
      <c r="L6" s="485"/>
      <c r="M6" s="478"/>
      <c r="N6" s="472"/>
      <c r="O6" s="472"/>
      <c r="P6" s="109" t="s">
        <v>56</v>
      </c>
      <c r="Q6" s="109" t="s">
        <v>57</v>
      </c>
      <c r="R6" s="109" t="s">
        <v>58</v>
      </c>
      <c r="S6" s="109" t="s">
        <v>51</v>
      </c>
      <c r="T6" s="472"/>
      <c r="U6" s="109" t="s">
        <v>56</v>
      </c>
      <c r="V6" s="109" t="s">
        <v>57</v>
      </c>
      <c r="W6" s="109" t="s">
        <v>58</v>
      </c>
      <c r="X6" s="109" t="s">
        <v>51</v>
      </c>
      <c r="Y6" s="472"/>
      <c r="Z6" s="109" t="s">
        <v>56</v>
      </c>
      <c r="AA6" s="109" t="s">
        <v>57</v>
      </c>
      <c r="AB6" s="109" t="s">
        <v>58</v>
      </c>
      <c r="AC6" s="109" t="s">
        <v>51</v>
      </c>
      <c r="AD6" s="472"/>
      <c r="AE6" s="109" t="s">
        <v>56</v>
      </c>
      <c r="AF6" s="109" t="s">
        <v>57</v>
      </c>
      <c r="AG6" s="109" t="s">
        <v>58</v>
      </c>
      <c r="AH6" s="109" t="s">
        <v>51</v>
      </c>
      <c r="AI6" s="472"/>
      <c r="AJ6" s="109" t="s">
        <v>56</v>
      </c>
      <c r="AK6" s="109" t="s">
        <v>57</v>
      </c>
      <c r="AL6" s="109" t="s">
        <v>58</v>
      </c>
      <c r="AM6" s="109" t="s">
        <v>51</v>
      </c>
      <c r="AN6" s="472"/>
      <c r="AO6" s="109" t="s">
        <v>56</v>
      </c>
      <c r="AP6" s="109" t="s">
        <v>57</v>
      </c>
      <c r="AQ6" s="109" t="s">
        <v>58</v>
      </c>
      <c r="AR6" s="109" t="s">
        <v>51</v>
      </c>
      <c r="AS6" s="472"/>
      <c r="AT6" s="109" t="s">
        <v>56</v>
      </c>
      <c r="AU6" s="109" t="s">
        <v>57</v>
      </c>
      <c r="AV6" s="109" t="s">
        <v>58</v>
      </c>
      <c r="AW6" s="109" t="s">
        <v>51</v>
      </c>
      <c r="AX6" s="472"/>
    </row>
    <row r="7" spans="1:50">
      <c r="A7" s="83"/>
      <c r="B7" s="479" t="s">
        <v>59</v>
      </c>
      <c r="C7" s="110">
        <v>1</v>
      </c>
      <c r="D7" s="110"/>
      <c r="E7" s="160"/>
      <c r="F7" s="110"/>
      <c r="G7" s="158"/>
      <c r="H7" s="480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80" t="e">
        <f>AVERAGE(K7:K21)</f>
        <v>#DIV/0!</v>
      </c>
      <c r="M7" s="173" t="e">
        <f>RANK(K7, K$7:$K$21)</f>
        <v>#DIV/0!</v>
      </c>
      <c r="N7" s="472"/>
      <c r="O7" s="472"/>
      <c r="P7" s="160"/>
      <c r="Q7" s="160"/>
      <c r="R7" s="158"/>
      <c r="S7" s="110" t="e">
        <f>RANK(R7, R$7:R$21)</f>
        <v>#N/A</v>
      </c>
      <c r="T7" s="469" t="e">
        <f>AVERAGE(R7:R21)</f>
        <v>#DIV/0!</v>
      </c>
      <c r="U7" s="160"/>
      <c r="V7" s="160"/>
      <c r="W7" s="158"/>
      <c r="X7" s="110" t="e">
        <f>RANK(W7, W$7:W$21)</f>
        <v>#N/A</v>
      </c>
      <c r="Y7" s="469" t="e">
        <f>AVERAGE(W7:W21)</f>
        <v>#DIV/0!</v>
      </c>
      <c r="Z7" s="110"/>
      <c r="AA7" s="160"/>
      <c r="AB7" s="158"/>
      <c r="AC7" s="110" t="e">
        <f>RANK(AB7, AB$7:AB$21)</f>
        <v>#N/A</v>
      </c>
      <c r="AD7" s="469" t="e">
        <f>AVERAGE(AB7:AB21)</f>
        <v>#DIV/0!</v>
      </c>
      <c r="AE7" s="160"/>
      <c r="AF7" s="160"/>
      <c r="AG7" s="158"/>
      <c r="AH7" s="110" t="e">
        <f>RANK(AG7, AG$7:AG$21)</f>
        <v>#N/A</v>
      </c>
      <c r="AI7" s="469" t="e">
        <f>AVERAGE(AG7:AG21)</f>
        <v>#DIV/0!</v>
      </c>
      <c r="AJ7" s="110"/>
      <c r="AK7" s="160"/>
      <c r="AL7" s="158"/>
      <c r="AM7" s="110" t="e">
        <f>RANK(AL7, AL$7:AL$21)</f>
        <v>#N/A</v>
      </c>
      <c r="AN7" s="469" t="e">
        <f>AVERAGE(AL7:AL21)</f>
        <v>#DIV/0!</v>
      </c>
      <c r="AO7" s="110"/>
      <c r="AP7" s="160"/>
      <c r="AQ7" s="158"/>
      <c r="AR7" s="110" t="e">
        <f>RANK(AQ7, AQ$7:AQ$21)</f>
        <v>#N/A</v>
      </c>
      <c r="AS7" s="469" t="e">
        <f>AVERAGE(AQ7:AQ21)</f>
        <v>#DIV/0!</v>
      </c>
      <c r="AT7" s="110"/>
      <c r="AU7" s="160"/>
      <c r="AV7" s="158"/>
      <c r="AW7" s="110" t="e">
        <f>RANK(AV7, AV$7:AV$21)</f>
        <v>#N/A</v>
      </c>
      <c r="AX7" s="469" t="e">
        <f>AVERAGE(AV7:AV21)</f>
        <v>#DIV/0!</v>
      </c>
    </row>
    <row r="8" spans="1:50" ht="15" customHeight="1">
      <c r="A8" s="83"/>
      <c r="B8" s="471"/>
      <c r="C8" s="110">
        <v>2</v>
      </c>
      <c r="D8" s="110"/>
      <c r="E8" s="160"/>
      <c r="F8" s="110"/>
      <c r="G8" s="158"/>
      <c r="H8" s="481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1"/>
      <c r="M8" s="173" t="e">
        <f>RANK(K8, K$7:$K$21)</f>
        <v>#DIV/0!</v>
      </c>
      <c r="N8" s="472"/>
      <c r="O8" s="472"/>
      <c r="P8" s="160"/>
      <c r="Q8" s="160"/>
      <c r="R8" s="158"/>
      <c r="S8" s="110" t="e">
        <f t="shared" ref="S8:S21" si="1">RANK(R8, R$7:R$21)</f>
        <v>#N/A</v>
      </c>
      <c r="T8" s="469"/>
      <c r="U8" s="160"/>
      <c r="V8" s="160"/>
      <c r="W8" s="158"/>
      <c r="X8" s="110" t="e">
        <f t="shared" ref="X8:X21" si="2">RANK(W8, W$7:W$21)</f>
        <v>#N/A</v>
      </c>
      <c r="Y8" s="469"/>
      <c r="Z8" s="110"/>
      <c r="AA8" s="160"/>
      <c r="AB8" s="158"/>
      <c r="AC8" s="110" t="e">
        <f t="shared" ref="AC8:AC21" si="3">RANK(AB8, AB$7:AB$21)</f>
        <v>#N/A</v>
      </c>
      <c r="AD8" s="469"/>
      <c r="AE8" s="160"/>
      <c r="AF8" s="160"/>
      <c r="AG8" s="158"/>
      <c r="AH8" s="110" t="e">
        <f t="shared" ref="AH8:AH21" si="4">RANK(AG8, AG$7:AG$21)</f>
        <v>#N/A</v>
      </c>
      <c r="AI8" s="469"/>
      <c r="AJ8" s="110"/>
      <c r="AK8" s="160"/>
      <c r="AL8" s="158"/>
      <c r="AM8" s="110" t="e">
        <f t="shared" ref="AM8:AM21" si="5">RANK(AL8, AL$7:AL$21)</f>
        <v>#N/A</v>
      </c>
      <c r="AN8" s="469"/>
      <c r="AO8" s="110"/>
      <c r="AP8" s="160"/>
      <c r="AQ8" s="158"/>
      <c r="AR8" s="110" t="e">
        <f t="shared" ref="AR8:AR21" si="6">RANK(AQ8, AQ$7:AQ$21)</f>
        <v>#N/A</v>
      </c>
      <c r="AS8" s="469"/>
      <c r="AT8" s="110"/>
      <c r="AU8" s="160"/>
      <c r="AV8" s="158"/>
      <c r="AW8" s="110" t="e">
        <f t="shared" ref="AW8:AW21" si="7">RANK(AV8, AV$7:AV$21)</f>
        <v>#N/A</v>
      </c>
      <c r="AX8" s="469"/>
    </row>
    <row r="9" spans="1:50">
      <c r="A9" s="83"/>
      <c r="B9" s="471"/>
      <c r="C9" s="110">
        <v>3</v>
      </c>
      <c r="D9" s="110"/>
      <c r="E9" s="160"/>
      <c r="F9" s="110"/>
      <c r="G9" s="158"/>
      <c r="H9" s="481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1"/>
      <c r="M9" s="173" t="e">
        <f>RANK(K9, K$7:$K$21)</f>
        <v>#DIV/0!</v>
      </c>
      <c r="N9" s="472"/>
      <c r="O9" s="472"/>
      <c r="P9" s="160"/>
      <c r="Q9" s="160"/>
      <c r="R9" s="158"/>
      <c r="S9" s="110" t="e">
        <f t="shared" si="1"/>
        <v>#N/A</v>
      </c>
      <c r="T9" s="469"/>
      <c r="U9" s="160"/>
      <c r="V9" s="160"/>
      <c r="W9" s="158"/>
      <c r="X9" s="110" t="e">
        <f t="shared" si="2"/>
        <v>#N/A</v>
      </c>
      <c r="Y9" s="469"/>
      <c r="Z9" s="110"/>
      <c r="AA9" s="160"/>
      <c r="AB9" s="158"/>
      <c r="AC9" s="110" t="e">
        <f t="shared" si="3"/>
        <v>#N/A</v>
      </c>
      <c r="AD9" s="469"/>
      <c r="AE9" s="160"/>
      <c r="AF9" s="160"/>
      <c r="AG9" s="158"/>
      <c r="AH9" s="110" t="e">
        <f t="shared" si="4"/>
        <v>#N/A</v>
      </c>
      <c r="AI9" s="469"/>
      <c r="AJ9" s="110"/>
      <c r="AK9" s="160"/>
      <c r="AL9" s="158"/>
      <c r="AM9" s="110" t="e">
        <f t="shared" si="5"/>
        <v>#N/A</v>
      </c>
      <c r="AN9" s="469"/>
      <c r="AO9" s="110"/>
      <c r="AP9" s="160"/>
      <c r="AQ9" s="158"/>
      <c r="AR9" s="110" t="e">
        <f t="shared" si="6"/>
        <v>#N/A</v>
      </c>
      <c r="AS9" s="469"/>
      <c r="AT9" s="110"/>
      <c r="AU9" s="160"/>
      <c r="AV9" s="158"/>
      <c r="AW9" s="110" t="e">
        <f t="shared" si="7"/>
        <v>#N/A</v>
      </c>
      <c r="AX9" s="469"/>
    </row>
    <row r="10" spans="1:50">
      <c r="A10" s="83"/>
      <c r="B10" s="471"/>
      <c r="C10" s="110">
        <v>4</v>
      </c>
      <c r="D10" s="110"/>
      <c r="E10" s="160"/>
      <c r="F10" s="110"/>
      <c r="G10" s="158"/>
      <c r="H10" s="481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1"/>
      <c r="M10" s="173" t="e">
        <f>RANK(K10, K$7:$K$21)</f>
        <v>#DIV/0!</v>
      </c>
      <c r="N10" s="472"/>
      <c r="O10" s="472"/>
      <c r="P10" s="160"/>
      <c r="Q10" s="160"/>
      <c r="R10" s="158"/>
      <c r="S10" s="110" t="e">
        <f t="shared" si="1"/>
        <v>#N/A</v>
      </c>
      <c r="T10" s="469"/>
      <c r="U10" s="160"/>
      <c r="V10" s="160"/>
      <c r="W10" s="158"/>
      <c r="X10" s="110" t="e">
        <f t="shared" si="2"/>
        <v>#N/A</v>
      </c>
      <c r="Y10" s="469"/>
      <c r="Z10" s="110"/>
      <c r="AA10" s="160"/>
      <c r="AB10" s="158"/>
      <c r="AC10" s="110" t="e">
        <f t="shared" si="3"/>
        <v>#N/A</v>
      </c>
      <c r="AD10" s="469"/>
      <c r="AE10" s="160"/>
      <c r="AF10" s="160"/>
      <c r="AG10" s="158"/>
      <c r="AH10" s="110" t="e">
        <f t="shared" si="4"/>
        <v>#N/A</v>
      </c>
      <c r="AI10" s="469"/>
      <c r="AJ10" s="110"/>
      <c r="AK10" s="160"/>
      <c r="AL10" s="158"/>
      <c r="AM10" s="110" t="e">
        <f t="shared" si="5"/>
        <v>#N/A</v>
      </c>
      <c r="AN10" s="469"/>
      <c r="AO10" s="110"/>
      <c r="AP10" s="160"/>
      <c r="AQ10" s="158"/>
      <c r="AR10" s="110" t="e">
        <f t="shared" si="6"/>
        <v>#N/A</v>
      </c>
      <c r="AS10" s="469"/>
      <c r="AT10" s="110"/>
      <c r="AU10" s="160"/>
      <c r="AV10" s="158"/>
      <c r="AW10" s="110" t="e">
        <f t="shared" si="7"/>
        <v>#N/A</v>
      </c>
      <c r="AX10" s="469"/>
    </row>
    <row r="11" spans="1:50">
      <c r="A11" s="83"/>
      <c r="B11" s="471"/>
      <c r="C11" s="110">
        <v>5</v>
      </c>
      <c r="D11" s="110"/>
      <c r="E11" s="160"/>
      <c r="F11" s="110"/>
      <c r="G11" s="158"/>
      <c r="H11" s="481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1"/>
      <c r="M11" s="173" t="e">
        <f>RANK(K11, K$7:$K$21)</f>
        <v>#DIV/0!</v>
      </c>
      <c r="N11" s="472"/>
      <c r="O11" s="472"/>
      <c r="P11" s="160"/>
      <c r="Q11" s="160"/>
      <c r="R11" s="158"/>
      <c r="S11" s="110" t="e">
        <f t="shared" si="1"/>
        <v>#N/A</v>
      </c>
      <c r="T11" s="469"/>
      <c r="U11" s="160"/>
      <c r="V11" s="160"/>
      <c r="W11" s="158"/>
      <c r="X11" s="110" t="e">
        <f t="shared" si="2"/>
        <v>#N/A</v>
      </c>
      <c r="Y11" s="469"/>
      <c r="Z11" s="110"/>
      <c r="AA11" s="160"/>
      <c r="AB11" s="158"/>
      <c r="AC11" s="110" t="e">
        <f t="shared" si="3"/>
        <v>#N/A</v>
      </c>
      <c r="AD11" s="469"/>
      <c r="AE11" s="160"/>
      <c r="AF11" s="160"/>
      <c r="AG11" s="158"/>
      <c r="AH11" s="110" t="e">
        <f t="shared" si="4"/>
        <v>#N/A</v>
      </c>
      <c r="AI11" s="469"/>
      <c r="AJ11" s="110"/>
      <c r="AK11" s="160"/>
      <c r="AL11" s="158"/>
      <c r="AM11" s="110" t="e">
        <f t="shared" si="5"/>
        <v>#N/A</v>
      </c>
      <c r="AN11" s="469"/>
      <c r="AO11" s="110"/>
      <c r="AP11" s="160"/>
      <c r="AQ11" s="158"/>
      <c r="AR11" s="110" t="e">
        <f t="shared" si="6"/>
        <v>#N/A</v>
      </c>
      <c r="AS11" s="469"/>
      <c r="AT11" s="110"/>
      <c r="AU11" s="160"/>
      <c r="AV11" s="158"/>
      <c r="AW11" s="110" t="e">
        <f t="shared" si="7"/>
        <v>#N/A</v>
      </c>
      <c r="AX11" s="469"/>
    </row>
    <row r="12" spans="1:50">
      <c r="A12" s="83"/>
      <c r="B12" s="471"/>
      <c r="C12" s="110">
        <v>6</v>
      </c>
      <c r="D12" s="110"/>
      <c r="E12" s="160"/>
      <c r="F12" s="110"/>
      <c r="G12" s="158"/>
      <c r="H12" s="481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1"/>
      <c r="M12" s="173" t="e">
        <f>RANK(K12, K$7:$K$21)</f>
        <v>#DIV/0!</v>
      </c>
      <c r="N12" s="472"/>
      <c r="O12" s="472"/>
      <c r="P12" s="160"/>
      <c r="Q12" s="160"/>
      <c r="R12" s="158"/>
      <c r="S12" s="110" t="e">
        <f t="shared" si="1"/>
        <v>#N/A</v>
      </c>
      <c r="T12" s="469"/>
      <c r="U12" s="160"/>
      <c r="V12" s="160"/>
      <c r="W12" s="158"/>
      <c r="X12" s="110" t="e">
        <f t="shared" si="2"/>
        <v>#N/A</v>
      </c>
      <c r="Y12" s="469"/>
      <c r="Z12" s="110"/>
      <c r="AA12" s="160"/>
      <c r="AB12" s="158"/>
      <c r="AC12" s="110" t="e">
        <f t="shared" si="3"/>
        <v>#N/A</v>
      </c>
      <c r="AD12" s="469"/>
      <c r="AE12" s="160"/>
      <c r="AF12" s="160"/>
      <c r="AG12" s="158"/>
      <c r="AH12" s="110" t="e">
        <f t="shared" si="4"/>
        <v>#N/A</v>
      </c>
      <c r="AI12" s="469"/>
      <c r="AJ12" s="110"/>
      <c r="AK12" s="160"/>
      <c r="AL12" s="158"/>
      <c r="AM12" s="110" t="e">
        <f t="shared" si="5"/>
        <v>#N/A</v>
      </c>
      <c r="AN12" s="469"/>
      <c r="AO12" s="110"/>
      <c r="AP12" s="160"/>
      <c r="AQ12" s="158"/>
      <c r="AR12" s="110" t="e">
        <f t="shared" si="6"/>
        <v>#N/A</v>
      </c>
      <c r="AS12" s="469"/>
      <c r="AT12" s="110"/>
      <c r="AU12" s="160"/>
      <c r="AV12" s="158"/>
      <c r="AW12" s="110" t="e">
        <f t="shared" si="7"/>
        <v>#N/A</v>
      </c>
      <c r="AX12" s="469"/>
    </row>
    <row r="13" spans="1:50">
      <c r="A13" s="83"/>
      <c r="B13" s="471"/>
      <c r="C13" s="110">
        <v>7</v>
      </c>
      <c r="D13" s="110"/>
      <c r="E13" s="160"/>
      <c r="F13" s="110"/>
      <c r="G13" s="158"/>
      <c r="H13" s="481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1"/>
      <c r="M13" s="173" t="e">
        <f>RANK(K13, K$7:$K$21)</f>
        <v>#DIV/0!</v>
      </c>
      <c r="N13" s="472"/>
      <c r="O13" s="472"/>
      <c r="P13" s="160"/>
      <c r="Q13" s="160"/>
      <c r="R13" s="158"/>
      <c r="S13" s="110" t="e">
        <f t="shared" si="1"/>
        <v>#N/A</v>
      </c>
      <c r="T13" s="469"/>
      <c r="U13" s="160"/>
      <c r="V13" s="160"/>
      <c r="W13" s="158"/>
      <c r="X13" s="110" t="e">
        <f t="shared" si="2"/>
        <v>#N/A</v>
      </c>
      <c r="Y13" s="469"/>
      <c r="Z13" s="110"/>
      <c r="AA13" s="160"/>
      <c r="AB13" s="158"/>
      <c r="AC13" s="110" t="e">
        <f t="shared" si="3"/>
        <v>#N/A</v>
      </c>
      <c r="AD13" s="469"/>
      <c r="AE13" s="160"/>
      <c r="AF13" s="160"/>
      <c r="AG13" s="158"/>
      <c r="AH13" s="110" t="e">
        <f t="shared" si="4"/>
        <v>#N/A</v>
      </c>
      <c r="AI13" s="469"/>
      <c r="AJ13" s="110"/>
      <c r="AK13" s="160"/>
      <c r="AL13" s="158"/>
      <c r="AM13" s="110" t="e">
        <f t="shared" si="5"/>
        <v>#N/A</v>
      </c>
      <c r="AN13" s="469"/>
      <c r="AO13" s="110"/>
      <c r="AP13" s="160"/>
      <c r="AQ13" s="158"/>
      <c r="AR13" s="110" t="e">
        <f t="shared" si="6"/>
        <v>#N/A</v>
      </c>
      <c r="AS13" s="469"/>
      <c r="AT13" s="110"/>
      <c r="AU13" s="160"/>
      <c r="AV13" s="158"/>
      <c r="AW13" s="110" t="e">
        <f t="shared" si="7"/>
        <v>#N/A</v>
      </c>
      <c r="AX13" s="469"/>
    </row>
    <row r="14" spans="1:50">
      <c r="A14" s="83"/>
      <c r="B14" s="471"/>
      <c r="C14" s="110">
        <v>8</v>
      </c>
      <c r="D14" s="110"/>
      <c r="E14" s="160"/>
      <c r="F14" s="110"/>
      <c r="G14" s="158"/>
      <c r="H14" s="481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1"/>
      <c r="M14" s="173" t="e">
        <f>RANK(K14, K$7:$K$21)</f>
        <v>#DIV/0!</v>
      </c>
      <c r="N14" s="472"/>
      <c r="O14" s="472"/>
      <c r="P14" s="160"/>
      <c r="Q14" s="160"/>
      <c r="R14" s="158"/>
      <c r="S14" s="110" t="e">
        <f t="shared" si="1"/>
        <v>#N/A</v>
      </c>
      <c r="T14" s="469"/>
      <c r="U14" s="160"/>
      <c r="V14" s="160"/>
      <c r="W14" s="158"/>
      <c r="X14" s="110" t="e">
        <f t="shared" si="2"/>
        <v>#N/A</v>
      </c>
      <c r="Y14" s="469"/>
      <c r="Z14" s="110"/>
      <c r="AA14" s="160"/>
      <c r="AB14" s="158"/>
      <c r="AC14" s="110" t="e">
        <f t="shared" si="3"/>
        <v>#N/A</v>
      </c>
      <c r="AD14" s="469"/>
      <c r="AE14" s="160"/>
      <c r="AF14" s="160"/>
      <c r="AG14" s="158"/>
      <c r="AH14" s="110" t="e">
        <f t="shared" si="4"/>
        <v>#N/A</v>
      </c>
      <c r="AI14" s="469"/>
      <c r="AJ14" s="110"/>
      <c r="AK14" s="160"/>
      <c r="AL14" s="158"/>
      <c r="AM14" s="110" t="e">
        <f t="shared" si="5"/>
        <v>#N/A</v>
      </c>
      <c r="AN14" s="469"/>
      <c r="AO14" s="110"/>
      <c r="AP14" s="160"/>
      <c r="AQ14" s="158"/>
      <c r="AR14" s="110" t="e">
        <f t="shared" si="6"/>
        <v>#N/A</v>
      </c>
      <c r="AS14" s="469"/>
      <c r="AT14" s="110"/>
      <c r="AU14" s="160"/>
      <c r="AV14" s="158"/>
      <c r="AW14" s="110" t="e">
        <f t="shared" si="7"/>
        <v>#N/A</v>
      </c>
      <c r="AX14" s="469"/>
    </row>
    <row r="15" spans="1:50">
      <c r="A15" s="83"/>
      <c r="B15" s="471"/>
      <c r="C15" s="110">
        <v>9</v>
      </c>
      <c r="D15" s="110"/>
      <c r="E15" s="160"/>
      <c r="F15" s="110"/>
      <c r="G15" s="158"/>
      <c r="H15" s="481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1"/>
      <c r="M15" s="173" t="e">
        <f>RANK(K15, K$7:$K$21)</f>
        <v>#DIV/0!</v>
      </c>
      <c r="N15" s="472"/>
      <c r="O15" s="472"/>
      <c r="P15" s="160"/>
      <c r="Q15" s="160"/>
      <c r="R15" s="158"/>
      <c r="S15" s="110" t="e">
        <f t="shared" si="1"/>
        <v>#N/A</v>
      </c>
      <c r="T15" s="469"/>
      <c r="U15" s="160"/>
      <c r="V15" s="160"/>
      <c r="W15" s="158"/>
      <c r="X15" s="110" t="e">
        <f t="shared" si="2"/>
        <v>#N/A</v>
      </c>
      <c r="Y15" s="469"/>
      <c r="Z15" s="110"/>
      <c r="AA15" s="160"/>
      <c r="AB15" s="158"/>
      <c r="AC15" s="110" t="e">
        <f t="shared" si="3"/>
        <v>#N/A</v>
      </c>
      <c r="AD15" s="469"/>
      <c r="AE15" s="160"/>
      <c r="AF15" s="160"/>
      <c r="AG15" s="158"/>
      <c r="AH15" s="110" t="e">
        <f t="shared" si="4"/>
        <v>#N/A</v>
      </c>
      <c r="AI15" s="469"/>
      <c r="AJ15" s="110"/>
      <c r="AK15" s="160"/>
      <c r="AL15" s="158"/>
      <c r="AM15" s="110" t="e">
        <f t="shared" si="5"/>
        <v>#N/A</v>
      </c>
      <c r="AN15" s="469"/>
      <c r="AO15" s="110"/>
      <c r="AP15" s="160"/>
      <c r="AQ15" s="158"/>
      <c r="AR15" s="110" t="e">
        <f t="shared" si="6"/>
        <v>#N/A</v>
      </c>
      <c r="AS15" s="469"/>
      <c r="AT15" s="110"/>
      <c r="AU15" s="160"/>
      <c r="AV15" s="158"/>
      <c r="AW15" s="110" t="e">
        <f t="shared" si="7"/>
        <v>#N/A</v>
      </c>
      <c r="AX15" s="469"/>
    </row>
    <row r="16" spans="1:50">
      <c r="A16" s="83"/>
      <c r="B16" s="471"/>
      <c r="C16" s="110">
        <v>10</v>
      </c>
      <c r="D16" s="110"/>
      <c r="E16" s="160"/>
      <c r="F16" s="110"/>
      <c r="G16" s="158"/>
      <c r="H16" s="481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1"/>
      <c r="M16" s="173" t="e">
        <f>RANK(K16, K$7:$K$21)</f>
        <v>#DIV/0!</v>
      </c>
      <c r="N16" s="472"/>
      <c r="O16" s="472"/>
      <c r="P16" s="160"/>
      <c r="Q16" s="160"/>
      <c r="R16" s="158"/>
      <c r="S16" s="110" t="e">
        <f t="shared" si="1"/>
        <v>#N/A</v>
      </c>
      <c r="T16" s="469"/>
      <c r="U16" s="160"/>
      <c r="V16" s="160"/>
      <c r="W16" s="158"/>
      <c r="X16" s="110" t="e">
        <f t="shared" si="2"/>
        <v>#N/A</v>
      </c>
      <c r="Y16" s="469"/>
      <c r="Z16" s="110"/>
      <c r="AA16" s="160"/>
      <c r="AB16" s="158"/>
      <c r="AC16" s="110" t="e">
        <f t="shared" si="3"/>
        <v>#N/A</v>
      </c>
      <c r="AD16" s="469"/>
      <c r="AE16" s="160"/>
      <c r="AF16" s="160"/>
      <c r="AG16" s="158"/>
      <c r="AH16" s="110" t="e">
        <f t="shared" si="4"/>
        <v>#N/A</v>
      </c>
      <c r="AI16" s="469"/>
      <c r="AJ16" s="110"/>
      <c r="AK16" s="160"/>
      <c r="AL16" s="158"/>
      <c r="AM16" s="110" t="e">
        <f t="shared" si="5"/>
        <v>#N/A</v>
      </c>
      <c r="AN16" s="469"/>
      <c r="AO16" s="110"/>
      <c r="AP16" s="160"/>
      <c r="AQ16" s="158"/>
      <c r="AR16" s="110" t="e">
        <f t="shared" si="6"/>
        <v>#N/A</v>
      </c>
      <c r="AS16" s="469"/>
      <c r="AT16" s="110"/>
      <c r="AU16" s="160"/>
      <c r="AV16" s="158"/>
      <c r="AW16" s="110" t="e">
        <f t="shared" si="7"/>
        <v>#N/A</v>
      </c>
      <c r="AX16" s="469"/>
    </row>
    <row r="17" spans="2:50">
      <c r="B17" s="471"/>
      <c r="C17" s="110">
        <v>11</v>
      </c>
      <c r="D17" s="110"/>
      <c r="E17" s="110"/>
      <c r="F17" s="110"/>
      <c r="G17" s="110"/>
      <c r="H17" s="481"/>
      <c r="I17" s="110"/>
      <c r="J17" s="110"/>
      <c r="K17" s="110"/>
      <c r="L17" s="481"/>
      <c r="M17" s="173" t="e">
        <f>RANK(K17, K$7:$K$21)</f>
        <v>#DIV/0!</v>
      </c>
      <c r="N17" s="472"/>
      <c r="O17" s="472"/>
      <c r="P17" s="110"/>
      <c r="Q17" s="110"/>
      <c r="R17" s="110"/>
      <c r="S17" s="110" t="e">
        <f t="shared" si="1"/>
        <v>#N/A</v>
      </c>
      <c r="T17" s="469"/>
      <c r="U17" s="110"/>
      <c r="V17" s="110"/>
      <c r="W17" s="110"/>
      <c r="X17" s="110" t="e">
        <f t="shared" si="2"/>
        <v>#N/A</v>
      </c>
      <c r="Y17" s="469"/>
      <c r="Z17" s="110"/>
      <c r="AA17" s="110"/>
      <c r="AB17" s="110"/>
      <c r="AC17" s="110" t="e">
        <f t="shared" si="3"/>
        <v>#N/A</v>
      </c>
      <c r="AD17" s="469"/>
      <c r="AE17" s="110"/>
      <c r="AF17" s="110"/>
      <c r="AG17" s="110"/>
      <c r="AH17" s="110" t="e">
        <f t="shared" si="4"/>
        <v>#N/A</v>
      </c>
      <c r="AI17" s="469"/>
      <c r="AJ17" s="110"/>
      <c r="AK17" s="110"/>
      <c r="AL17" s="110"/>
      <c r="AM17" s="110" t="e">
        <f t="shared" si="5"/>
        <v>#N/A</v>
      </c>
      <c r="AN17" s="469"/>
      <c r="AO17" s="110"/>
      <c r="AP17" s="110"/>
      <c r="AQ17" s="110"/>
      <c r="AR17" s="110" t="e">
        <f t="shared" si="6"/>
        <v>#N/A</v>
      </c>
      <c r="AS17" s="469"/>
      <c r="AT17" s="110"/>
      <c r="AU17" s="110"/>
      <c r="AV17" s="110"/>
      <c r="AW17" s="110" t="e">
        <f t="shared" si="7"/>
        <v>#N/A</v>
      </c>
      <c r="AX17" s="469"/>
    </row>
    <row r="18" spans="2:50">
      <c r="B18" s="471"/>
      <c r="C18" s="110">
        <v>12</v>
      </c>
      <c r="D18" s="110"/>
      <c r="E18" s="110"/>
      <c r="F18" s="110"/>
      <c r="G18" s="110"/>
      <c r="H18" s="481"/>
      <c r="I18" s="110"/>
      <c r="J18" s="110"/>
      <c r="K18" s="110"/>
      <c r="L18" s="481"/>
      <c r="M18" s="173" t="e">
        <f>RANK(K18, K$7:$K$21)</f>
        <v>#DIV/0!</v>
      </c>
      <c r="N18" s="472"/>
      <c r="O18" s="472"/>
      <c r="P18" s="110"/>
      <c r="Q18" s="110"/>
      <c r="R18" s="110"/>
      <c r="S18" s="110" t="e">
        <f t="shared" si="1"/>
        <v>#N/A</v>
      </c>
      <c r="T18" s="469"/>
      <c r="U18" s="110"/>
      <c r="V18" s="110"/>
      <c r="W18" s="110"/>
      <c r="X18" s="110" t="e">
        <f t="shared" si="2"/>
        <v>#N/A</v>
      </c>
      <c r="Y18" s="469"/>
      <c r="Z18" s="110"/>
      <c r="AA18" s="110"/>
      <c r="AB18" s="110"/>
      <c r="AC18" s="110" t="e">
        <f t="shared" si="3"/>
        <v>#N/A</v>
      </c>
      <c r="AD18" s="469"/>
      <c r="AE18" s="110"/>
      <c r="AF18" s="110"/>
      <c r="AG18" s="110"/>
      <c r="AH18" s="110" t="e">
        <f t="shared" si="4"/>
        <v>#N/A</v>
      </c>
      <c r="AI18" s="469"/>
      <c r="AJ18" s="110"/>
      <c r="AK18" s="110"/>
      <c r="AL18" s="110"/>
      <c r="AM18" s="110" t="e">
        <f t="shared" si="5"/>
        <v>#N/A</v>
      </c>
      <c r="AN18" s="469"/>
      <c r="AO18" s="110"/>
      <c r="AP18" s="110"/>
      <c r="AQ18" s="110"/>
      <c r="AR18" s="110" t="e">
        <f t="shared" si="6"/>
        <v>#N/A</v>
      </c>
      <c r="AS18" s="469"/>
      <c r="AT18" s="110"/>
      <c r="AU18" s="110"/>
      <c r="AV18" s="110"/>
      <c r="AW18" s="110" t="e">
        <f t="shared" si="7"/>
        <v>#N/A</v>
      </c>
      <c r="AX18" s="469"/>
    </row>
    <row r="19" spans="2:50">
      <c r="B19" s="471"/>
      <c r="C19" s="110">
        <v>13</v>
      </c>
      <c r="D19" s="110"/>
      <c r="E19" s="110"/>
      <c r="F19" s="110"/>
      <c r="G19" s="110"/>
      <c r="H19" s="481"/>
      <c r="I19" s="110"/>
      <c r="J19" s="110"/>
      <c r="K19" s="110"/>
      <c r="L19" s="481"/>
      <c r="M19" s="173" t="e">
        <f>RANK(K19, K$7:$K$21)</f>
        <v>#DIV/0!</v>
      </c>
      <c r="N19" s="472"/>
      <c r="O19" s="472"/>
      <c r="P19" s="110"/>
      <c r="Q19" s="110"/>
      <c r="R19" s="110"/>
      <c r="S19" s="110" t="e">
        <f t="shared" si="1"/>
        <v>#N/A</v>
      </c>
      <c r="T19" s="469"/>
      <c r="U19" s="110"/>
      <c r="V19" s="110"/>
      <c r="W19" s="110"/>
      <c r="X19" s="110" t="e">
        <f t="shared" si="2"/>
        <v>#N/A</v>
      </c>
      <c r="Y19" s="469"/>
      <c r="Z19" s="110"/>
      <c r="AA19" s="110"/>
      <c r="AB19" s="110"/>
      <c r="AC19" s="110" t="e">
        <f t="shared" si="3"/>
        <v>#N/A</v>
      </c>
      <c r="AD19" s="469"/>
      <c r="AE19" s="110"/>
      <c r="AF19" s="110"/>
      <c r="AG19" s="110"/>
      <c r="AH19" s="110" t="e">
        <f t="shared" si="4"/>
        <v>#N/A</v>
      </c>
      <c r="AI19" s="469"/>
      <c r="AJ19" s="110"/>
      <c r="AK19" s="110"/>
      <c r="AL19" s="110"/>
      <c r="AM19" s="110" t="e">
        <f t="shared" si="5"/>
        <v>#N/A</v>
      </c>
      <c r="AN19" s="469"/>
      <c r="AO19" s="110"/>
      <c r="AP19" s="110"/>
      <c r="AQ19" s="110"/>
      <c r="AR19" s="110" t="e">
        <f t="shared" si="6"/>
        <v>#N/A</v>
      </c>
      <c r="AS19" s="469"/>
      <c r="AT19" s="110"/>
      <c r="AU19" s="110"/>
      <c r="AV19" s="110"/>
      <c r="AW19" s="110" t="e">
        <f t="shared" si="7"/>
        <v>#N/A</v>
      </c>
      <c r="AX19" s="469"/>
    </row>
    <row r="20" spans="2:50">
      <c r="B20" s="471"/>
      <c r="C20" s="110">
        <v>14</v>
      </c>
      <c r="D20" s="110"/>
      <c r="E20" s="110"/>
      <c r="F20" s="110"/>
      <c r="G20" s="110"/>
      <c r="H20" s="481"/>
      <c r="I20" s="110"/>
      <c r="J20" s="110"/>
      <c r="K20" s="110"/>
      <c r="L20" s="481"/>
      <c r="M20" s="173" t="e">
        <f>RANK(K20, K$7:$K$21)</f>
        <v>#DIV/0!</v>
      </c>
      <c r="N20" s="472"/>
      <c r="O20" s="472"/>
      <c r="P20" s="110"/>
      <c r="Q20" s="110"/>
      <c r="R20" s="110"/>
      <c r="S20" s="110" t="e">
        <f t="shared" si="1"/>
        <v>#N/A</v>
      </c>
      <c r="T20" s="469"/>
      <c r="U20" s="110"/>
      <c r="V20" s="110"/>
      <c r="W20" s="110"/>
      <c r="X20" s="110" t="e">
        <f t="shared" si="2"/>
        <v>#N/A</v>
      </c>
      <c r="Y20" s="469"/>
      <c r="Z20" s="110"/>
      <c r="AA20" s="110"/>
      <c r="AB20" s="110"/>
      <c r="AC20" s="110" t="e">
        <f t="shared" si="3"/>
        <v>#N/A</v>
      </c>
      <c r="AD20" s="469"/>
      <c r="AE20" s="110"/>
      <c r="AF20" s="110"/>
      <c r="AG20" s="110"/>
      <c r="AH20" s="110" t="e">
        <f t="shared" si="4"/>
        <v>#N/A</v>
      </c>
      <c r="AI20" s="469"/>
      <c r="AJ20" s="110"/>
      <c r="AK20" s="110"/>
      <c r="AL20" s="110"/>
      <c r="AM20" s="110" t="e">
        <f t="shared" si="5"/>
        <v>#N/A</v>
      </c>
      <c r="AN20" s="469"/>
      <c r="AO20" s="110"/>
      <c r="AP20" s="110"/>
      <c r="AQ20" s="110"/>
      <c r="AR20" s="110" t="e">
        <f t="shared" si="6"/>
        <v>#N/A</v>
      </c>
      <c r="AS20" s="469"/>
      <c r="AT20" s="110"/>
      <c r="AU20" s="110"/>
      <c r="AV20" s="110"/>
      <c r="AW20" s="110" t="e">
        <f t="shared" si="7"/>
        <v>#N/A</v>
      </c>
      <c r="AX20" s="469"/>
    </row>
    <row r="21" spans="2:50">
      <c r="B21" s="471"/>
      <c r="C21" s="110">
        <v>15</v>
      </c>
      <c r="D21" s="110"/>
      <c r="E21" s="110"/>
      <c r="F21" s="110"/>
      <c r="G21" s="110"/>
      <c r="H21" s="482"/>
      <c r="I21" s="110"/>
      <c r="J21" s="110"/>
      <c r="K21" s="110"/>
      <c r="L21" s="482"/>
      <c r="M21" s="160" t="e">
        <f>RANK(K21, K$7:$K$21)</f>
        <v>#DIV/0!</v>
      </c>
      <c r="N21" s="472"/>
      <c r="O21" s="472"/>
      <c r="P21" s="110"/>
      <c r="Q21" s="110"/>
      <c r="R21" s="110"/>
      <c r="S21" s="110" t="e">
        <f t="shared" si="1"/>
        <v>#N/A</v>
      </c>
      <c r="T21" s="469"/>
      <c r="U21" s="110"/>
      <c r="V21" s="110"/>
      <c r="W21" s="110"/>
      <c r="X21" s="110" t="e">
        <f t="shared" si="2"/>
        <v>#N/A</v>
      </c>
      <c r="Y21" s="469"/>
      <c r="Z21" s="110"/>
      <c r="AA21" s="110"/>
      <c r="AB21" s="110"/>
      <c r="AC21" s="110" t="e">
        <f t="shared" si="3"/>
        <v>#N/A</v>
      </c>
      <c r="AD21" s="469"/>
      <c r="AE21" s="110"/>
      <c r="AF21" s="110"/>
      <c r="AG21" s="110"/>
      <c r="AH21" s="110" t="e">
        <f t="shared" si="4"/>
        <v>#N/A</v>
      </c>
      <c r="AI21" s="469"/>
      <c r="AJ21" s="110"/>
      <c r="AK21" s="110"/>
      <c r="AL21" s="110"/>
      <c r="AM21" s="110" t="e">
        <f t="shared" si="5"/>
        <v>#N/A</v>
      </c>
      <c r="AN21" s="469"/>
      <c r="AO21" s="110"/>
      <c r="AP21" s="110"/>
      <c r="AQ21" s="110"/>
      <c r="AR21" s="110" t="e">
        <f t="shared" si="6"/>
        <v>#N/A</v>
      </c>
      <c r="AS21" s="469"/>
      <c r="AT21" s="110"/>
      <c r="AU21" s="110"/>
      <c r="AV21" s="110"/>
      <c r="AW21" s="110" t="e">
        <f t="shared" si="7"/>
        <v>#N/A</v>
      </c>
      <c r="AX21" s="469"/>
    </row>
    <row r="22" spans="2:50" ht="15.5">
      <c r="B22" s="489" t="s">
        <v>44</v>
      </c>
      <c r="C22" s="490"/>
      <c r="D22" s="490"/>
      <c r="E22" s="490"/>
      <c r="F22" s="490"/>
      <c r="G22" s="490"/>
      <c r="H22" s="490"/>
      <c r="I22" s="159"/>
      <c r="J22" s="159"/>
      <c r="K22" s="159"/>
      <c r="L22" s="159"/>
      <c r="M22" s="155"/>
      <c r="N22" s="476" t="s">
        <v>45</v>
      </c>
      <c r="O22" s="476" t="s">
        <v>3</v>
      </c>
      <c r="P22" s="470">
        <v>45874</v>
      </c>
      <c r="Q22" s="471"/>
      <c r="R22" s="471"/>
      <c r="S22" s="471"/>
      <c r="T22" s="471"/>
      <c r="U22" s="470">
        <v>45875</v>
      </c>
      <c r="V22" s="471"/>
      <c r="W22" s="471"/>
      <c r="X22" s="471"/>
      <c r="Y22" s="471"/>
      <c r="Z22" s="470">
        <v>45876</v>
      </c>
      <c r="AA22" s="471"/>
      <c r="AB22" s="471"/>
      <c r="AC22" s="471"/>
      <c r="AD22" s="471"/>
      <c r="AE22" s="470">
        <v>45877</v>
      </c>
      <c r="AF22" s="471"/>
      <c r="AG22" s="471"/>
      <c r="AH22" s="471"/>
      <c r="AI22" s="471"/>
      <c r="AJ22" s="470">
        <v>45878</v>
      </c>
      <c r="AK22" s="471"/>
      <c r="AL22" s="471"/>
      <c r="AM22" s="471"/>
      <c r="AN22" s="471"/>
      <c r="AO22" s="470">
        <v>45879</v>
      </c>
      <c r="AP22" s="471"/>
      <c r="AQ22" s="471"/>
      <c r="AR22" s="471"/>
      <c r="AS22" s="471"/>
      <c r="AT22" s="470">
        <v>45880</v>
      </c>
      <c r="AU22" s="471"/>
      <c r="AV22" s="471"/>
      <c r="AW22" s="471"/>
      <c r="AX22" s="471"/>
    </row>
    <row r="23" spans="2:50" ht="15.5">
      <c r="B23" s="488"/>
      <c r="C23" s="488"/>
      <c r="D23" s="488"/>
      <c r="E23" s="488"/>
      <c r="F23" s="488"/>
      <c r="G23" s="488"/>
      <c r="H23" s="488"/>
      <c r="I23" s="156"/>
      <c r="J23" s="156"/>
      <c r="K23" s="156"/>
      <c r="L23" s="156"/>
      <c r="M23" s="157"/>
      <c r="N23" s="478"/>
      <c r="O23" s="478"/>
      <c r="P23" s="470" t="s">
        <v>15</v>
      </c>
      <c r="Q23" s="471"/>
      <c r="R23" s="471"/>
      <c r="S23" s="471"/>
      <c r="T23" s="471"/>
      <c r="U23" s="470" t="s">
        <v>16</v>
      </c>
      <c r="V23" s="471"/>
      <c r="W23" s="471"/>
      <c r="X23" s="471"/>
      <c r="Y23" s="471"/>
      <c r="Z23" s="470" t="s">
        <v>17</v>
      </c>
      <c r="AA23" s="471"/>
      <c r="AB23" s="471"/>
      <c r="AC23" s="471"/>
      <c r="AD23" s="471"/>
      <c r="AE23" s="470" t="s">
        <v>18</v>
      </c>
      <c r="AF23" s="471"/>
      <c r="AG23" s="471"/>
      <c r="AH23" s="471"/>
      <c r="AI23" s="471"/>
      <c r="AJ23" s="470" t="s">
        <v>19</v>
      </c>
      <c r="AK23" s="471"/>
      <c r="AL23" s="471"/>
      <c r="AM23" s="471"/>
      <c r="AN23" s="471"/>
      <c r="AO23" s="470" t="s">
        <v>10</v>
      </c>
      <c r="AP23" s="471"/>
      <c r="AQ23" s="471"/>
      <c r="AR23" s="471"/>
      <c r="AS23" s="471"/>
      <c r="AT23" s="470" t="s">
        <v>14</v>
      </c>
      <c r="AU23" s="471"/>
      <c r="AV23" s="471"/>
      <c r="AW23" s="471"/>
      <c r="AX23" s="471"/>
    </row>
    <row r="24" spans="2:50">
      <c r="B24" s="472" t="s">
        <v>46</v>
      </c>
      <c r="C24" s="472" t="s">
        <v>47</v>
      </c>
      <c r="D24" s="472"/>
      <c r="E24" s="472" t="s">
        <v>48</v>
      </c>
      <c r="F24" s="472"/>
      <c r="G24" s="472"/>
      <c r="H24" s="483" t="s">
        <v>49</v>
      </c>
      <c r="I24" s="472" t="s">
        <v>50</v>
      </c>
      <c r="J24" s="472"/>
      <c r="K24" s="472"/>
      <c r="L24" s="483" t="s">
        <v>49</v>
      </c>
      <c r="M24" s="476" t="s">
        <v>51</v>
      </c>
      <c r="N24" s="472"/>
      <c r="O24" s="472" t="s">
        <v>52</v>
      </c>
      <c r="P24" s="473" t="s">
        <v>53</v>
      </c>
      <c r="Q24" s="474"/>
      <c r="R24" s="474"/>
      <c r="S24" s="475"/>
      <c r="T24" s="472" t="s">
        <v>49</v>
      </c>
      <c r="U24" s="473" t="s">
        <v>53</v>
      </c>
      <c r="V24" s="474"/>
      <c r="W24" s="474"/>
      <c r="X24" s="475"/>
      <c r="Y24" s="472" t="s">
        <v>49</v>
      </c>
      <c r="Z24" s="473" t="s">
        <v>53</v>
      </c>
      <c r="AA24" s="474"/>
      <c r="AB24" s="474"/>
      <c r="AC24" s="475"/>
      <c r="AD24" s="472" t="s">
        <v>49</v>
      </c>
      <c r="AE24" s="473" t="s">
        <v>53</v>
      </c>
      <c r="AF24" s="474"/>
      <c r="AG24" s="474"/>
      <c r="AH24" s="475"/>
      <c r="AI24" s="472" t="s">
        <v>49</v>
      </c>
      <c r="AJ24" s="473" t="s">
        <v>53</v>
      </c>
      <c r="AK24" s="474"/>
      <c r="AL24" s="474"/>
      <c r="AM24" s="475"/>
      <c r="AN24" s="472" t="s">
        <v>49</v>
      </c>
      <c r="AO24" s="473" t="s">
        <v>53</v>
      </c>
      <c r="AP24" s="474"/>
      <c r="AQ24" s="474"/>
      <c r="AR24" s="475"/>
      <c r="AS24" s="472" t="s">
        <v>49</v>
      </c>
      <c r="AT24" s="473" t="s">
        <v>53</v>
      </c>
      <c r="AU24" s="474"/>
      <c r="AV24" s="474"/>
      <c r="AW24" s="475"/>
      <c r="AX24" s="472" t="s">
        <v>49</v>
      </c>
    </row>
    <row r="25" spans="2:50">
      <c r="B25" s="472"/>
      <c r="C25" s="472"/>
      <c r="D25" s="472"/>
      <c r="E25" s="472" t="s">
        <v>54</v>
      </c>
      <c r="F25" s="472"/>
      <c r="G25" s="472"/>
      <c r="H25" s="484"/>
      <c r="I25" s="472" t="s">
        <v>54</v>
      </c>
      <c r="J25" s="472"/>
      <c r="K25" s="472"/>
      <c r="L25" s="484"/>
      <c r="M25" s="477"/>
      <c r="N25" s="472"/>
      <c r="O25" s="472"/>
      <c r="P25" s="473" t="s">
        <v>55</v>
      </c>
      <c r="Q25" s="474"/>
      <c r="R25" s="474"/>
      <c r="S25" s="475"/>
      <c r="T25" s="472"/>
      <c r="U25" s="473" t="s">
        <v>55</v>
      </c>
      <c r="V25" s="474"/>
      <c r="W25" s="474"/>
      <c r="X25" s="475"/>
      <c r="Y25" s="472"/>
      <c r="Z25" s="473" t="s">
        <v>55</v>
      </c>
      <c r="AA25" s="474"/>
      <c r="AB25" s="474"/>
      <c r="AC25" s="475"/>
      <c r="AD25" s="472"/>
      <c r="AE25" s="473" t="s">
        <v>55</v>
      </c>
      <c r="AF25" s="474"/>
      <c r="AG25" s="474"/>
      <c r="AH25" s="475"/>
      <c r="AI25" s="472"/>
      <c r="AJ25" s="473" t="s">
        <v>55</v>
      </c>
      <c r="AK25" s="474"/>
      <c r="AL25" s="474"/>
      <c r="AM25" s="475"/>
      <c r="AN25" s="472"/>
      <c r="AO25" s="473" t="s">
        <v>55</v>
      </c>
      <c r="AP25" s="474"/>
      <c r="AQ25" s="474"/>
      <c r="AR25" s="475"/>
      <c r="AS25" s="472"/>
      <c r="AT25" s="473" t="s">
        <v>55</v>
      </c>
      <c r="AU25" s="474"/>
      <c r="AV25" s="474"/>
      <c r="AW25" s="475"/>
      <c r="AX25" s="472"/>
    </row>
    <row r="26" spans="2:50">
      <c r="B26" s="472"/>
      <c r="C26" s="472"/>
      <c r="D26" s="472"/>
      <c r="E26" s="109" t="s">
        <v>56</v>
      </c>
      <c r="F26" s="109" t="s">
        <v>57</v>
      </c>
      <c r="G26" s="109" t="s">
        <v>58</v>
      </c>
      <c r="H26" s="485"/>
      <c r="I26" s="109" t="s">
        <v>56</v>
      </c>
      <c r="J26" s="109" t="s">
        <v>57</v>
      </c>
      <c r="K26" s="109" t="s">
        <v>58</v>
      </c>
      <c r="L26" s="485"/>
      <c r="M26" s="478"/>
      <c r="N26" s="472"/>
      <c r="O26" s="472"/>
      <c r="P26" s="109" t="s">
        <v>56</v>
      </c>
      <c r="Q26" s="109" t="s">
        <v>57</v>
      </c>
      <c r="R26" s="109" t="s">
        <v>58</v>
      </c>
      <c r="S26" s="109" t="s">
        <v>51</v>
      </c>
      <c r="T26" s="472"/>
      <c r="U26" s="109" t="s">
        <v>56</v>
      </c>
      <c r="V26" s="109" t="s">
        <v>57</v>
      </c>
      <c r="W26" s="109" t="s">
        <v>58</v>
      </c>
      <c r="X26" s="109" t="s">
        <v>51</v>
      </c>
      <c r="Y26" s="472"/>
      <c r="Z26" s="109" t="s">
        <v>56</v>
      </c>
      <c r="AA26" s="109" t="s">
        <v>57</v>
      </c>
      <c r="AB26" s="109" t="s">
        <v>58</v>
      </c>
      <c r="AC26" s="109" t="s">
        <v>51</v>
      </c>
      <c r="AD26" s="472"/>
      <c r="AE26" s="109" t="s">
        <v>56</v>
      </c>
      <c r="AF26" s="109" t="s">
        <v>57</v>
      </c>
      <c r="AG26" s="109" t="s">
        <v>58</v>
      </c>
      <c r="AH26" s="109" t="s">
        <v>51</v>
      </c>
      <c r="AI26" s="472"/>
      <c r="AJ26" s="109" t="s">
        <v>56</v>
      </c>
      <c r="AK26" s="109" t="s">
        <v>57</v>
      </c>
      <c r="AL26" s="109" t="s">
        <v>58</v>
      </c>
      <c r="AM26" s="109" t="s">
        <v>51</v>
      </c>
      <c r="AN26" s="472"/>
      <c r="AO26" s="109" t="s">
        <v>56</v>
      </c>
      <c r="AP26" s="109" t="s">
        <v>57</v>
      </c>
      <c r="AQ26" s="109" t="s">
        <v>58</v>
      </c>
      <c r="AR26" s="109" t="s">
        <v>51</v>
      </c>
      <c r="AS26" s="472"/>
      <c r="AT26" s="109" t="s">
        <v>56</v>
      </c>
      <c r="AU26" s="109" t="s">
        <v>57</v>
      </c>
      <c r="AV26" s="109" t="s">
        <v>58</v>
      </c>
      <c r="AW26" s="109" t="s">
        <v>51</v>
      </c>
      <c r="AX26" s="472"/>
    </row>
    <row r="27" spans="2:50">
      <c r="B27" s="472" t="s">
        <v>60</v>
      </c>
      <c r="C27" s="110">
        <v>1</v>
      </c>
      <c r="D27" s="110"/>
      <c r="E27" s="110"/>
      <c r="F27" s="110"/>
      <c r="G27" s="110"/>
      <c r="H27" s="491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80" t="e">
        <f>AVERAGE(K27:K41)</f>
        <v>#DIV/0!</v>
      </c>
      <c r="M27" s="173" t="e">
        <f>RANK(K27, K$27:$K$41)</f>
        <v>#DIV/0!</v>
      </c>
      <c r="N27" s="472"/>
      <c r="O27" s="472"/>
      <c r="P27" s="110"/>
      <c r="Q27" s="110"/>
      <c r="R27" s="110"/>
      <c r="S27" s="110"/>
      <c r="T27" s="471" t="e">
        <f>AVERAGE(R27:R41)</f>
        <v>#DIV/0!</v>
      </c>
      <c r="U27" s="110"/>
      <c r="V27" s="110"/>
      <c r="W27" s="110"/>
      <c r="X27" s="110"/>
      <c r="Y27" s="471" t="e">
        <f>AVERAGE(W27:W41)</f>
        <v>#DIV/0!</v>
      </c>
      <c r="Z27" s="110"/>
      <c r="AA27" s="110"/>
      <c r="AB27" s="110"/>
      <c r="AC27" s="110"/>
      <c r="AD27" s="471" t="e">
        <f>AVERAGE(AB27:AB41)</f>
        <v>#DIV/0!</v>
      </c>
      <c r="AE27" s="110"/>
      <c r="AF27" s="110"/>
      <c r="AG27" s="110"/>
      <c r="AH27" s="110"/>
      <c r="AI27" s="471" t="e">
        <f>AVERAGE(AG27:AG41)</f>
        <v>#DIV/0!</v>
      </c>
      <c r="AJ27" s="110"/>
      <c r="AK27" s="110"/>
      <c r="AL27" s="110"/>
      <c r="AM27" s="110"/>
      <c r="AN27" s="471" t="e">
        <f>AVERAGE(AL27:AL41)</f>
        <v>#DIV/0!</v>
      </c>
      <c r="AO27" s="110"/>
      <c r="AP27" s="110"/>
      <c r="AQ27" s="110"/>
      <c r="AR27" s="110"/>
      <c r="AS27" s="471" t="e">
        <f>AVERAGE(AQ27:AQ41)</f>
        <v>#DIV/0!</v>
      </c>
      <c r="AT27" s="110"/>
      <c r="AU27" s="110"/>
      <c r="AV27" s="110"/>
      <c r="AW27" s="110"/>
      <c r="AX27" s="471" t="e">
        <f>AVERAGE(AV27:AV41)</f>
        <v>#DIV/0!</v>
      </c>
    </row>
    <row r="28" spans="2:50">
      <c r="B28" s="471"/>
      <c r="C28" s="110">
        <v>2</v>
      </c>
      <c r="D28" s="110"/>
      <c r="E28" s="110"/>
      <c r="F28" s="110"/>
      <c r="G28" s="110"/>
      <c r="H28" s="492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1"/>
      <c r="M28" s="173" t="e">
        <f>RANK(K28, K$27:$K$41)</f>
        <v>#DIV/0!</v>
      </c>
      <c r="N28" s="472"/>
      <c r="O28" s="472"/>
      <c r="P28" s="110"/>
      <c r="Q28" s="110"/>
      <c r="R28" s="110"/>
      <c r="S28" s="110"/>
      <c r="T28" s="471"/>
      <c r="U28" s="110"/>
      <c r="V28" s="110"/>
      <c r="W28" s="110"/>
      <c r="X28" s="110"/>
      <c r="Y28" s="471"/>
      <c r="Z28" s="110"/>
      <c r="AA28" s="110"/>
      <c r="AB28" s="110"/>
      <c r="AC28" s="110"/>
      <c r="AD28" s="471"/>
      <c r="AE28" s="110"/>
      <c r="AF28" s="110"/>
      <c r="AG28" s="110"/>
      <c r="AH28" s="110"/>
      <c r="AI28" s="471"/>
      <c r="AJ28" s="110"/>
      <c r="AK28" s="110"/>
      <c r="AL28" s="110"/>
      <c r="AM28" s="110"/>
      <c r="AN28" s="471"/>
      <c r="AO28" s="110"/>
      <c r="AP28" s="110"/>
      <c r="AQ28" s="110"/>
      <c r="AR28" s="110"/>
      <c r="AS28" s="471"/>
      <c r="AT28" s="110"/>
      <c r="AU28" s="110"/>
      <c r="AV28" s="110"/>
      <c r="AW28" s="110"/>
      <c r="AX28" s="471"/>
    </row>
    <row r="29" spans="2:50">
      <c r="B29" s="471"/>
      <c r="C29" s="110">
        <v>3</v>
      </c>
      <c r="D29" s="110"/>
      <c r="E29" s="110"/>
      <c r="F29" s="110"/>
      <c r="G29" s="110"/>
      <c r="H29" s="492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1"/>
      <c r="M29" s="173" t="e">
        <f>RANK(K29, K$27:$K$41)</f>
        <v>#DIV/0!</v>
      </c>
      <c r="N29" s="472"/>
      <c r="O29" s="472"/>
      <c r="P29" s="110"/>
      <c r="Q29" s="110"/>
      <c r="R29" s="110"/>
      <c r="S29" s="110"/>
      <c r="T29" s="471"/>
      <c r="U29" s="110"/>
      <c r="V29" s="110"/>
      <c r="W29" s="110"/>
      <c r="X29" s="110"/>
      <c r="Y29" s="471"/>
      <c r="Z29" s="110"/>
      <c r="AA29" s="110"/>
      <c r="AB29" s="110"/>
      <c r="AC29" s="110"/>
      <c r="AD29" s="471"/>
      <c r="AE29" s="110"/>
      <c r="AF29" s="110"/>
      <c r="AG29" s="110"/>
      <c r="AH29" s="110"/>
      <c r="AI29" s="471"/>
      <c r="AJ29" s="110"/>
      <c r="AK29" s="110"/>
      <c r="AL29" s="110"/>
      <c r="AM29" s="110"/>
      <c r="AN29" s="471"/>
      <c r="AO29" s="110"/>
      <c r="AP29" s="110"/>
      <c r="AQ29" s="110"/>
      <c r="AR29" s="110"/>
      <c r="AS29" s="471"/>
      <c r="AT29" s="110"/>
      <c r="AU29" s="110"/>
      <c r="AV29" s="110"/>
      <c r="AW29" s="110"/>
      <c r="AX29" s="471"/>
    </row>
    <row r="30" spans="2:50">
      <c r="B30" s="471"/>
      <c r="C30" s="110">
        <v>4</v>
      </c>
      <c r="D30" s="110"/>
      <c r="E30" s="110"/>
      <c r="F30" s="110"/>
      <c r="G30" s="110"/>
      <c r="H30" s="492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1"/>
      <c r="M30" s="173" t="e">
        <f>RANK(K30, K$27:$K$41)</f>
        <v>#DIV/0!</v>
      </c>
      <c r="N30" s="472"/>
      <c r="O30" s="472"/>
      <c r="P30" s="110"/>
      <c r="Q30" s="110"/>
      <c r="R30" s="110"/>
      <c r="S30" s="110"/>
      <c r="T30" s="471"/>
      <c r="U30" s="110"/>
      <c r="V30" s="110"/>
      <c r="W30" s="110"/>
      <c r="X30" s="110"/>
      <c r="Y30" s="471"/>
      <c r="Z30" s="110"/>
      <c r="AA30" s="110"/>
      <c r="AB30" s="110"/>
      <c r="AC30" s="110"/>
      <c r="AD30" s="471"/>
      <c r="AE30" s="110"/>
      <c r="AF30" s="110"/>
      <c r="AG30" s="110"/>
      <c r="AH30" s="110"/>
      <c r="AI30" s="471"/>
      <c r="AJ30" s="110"/>
      <c r="AK30" s="110"/>
      <c r="AL30" s="110"/>
      <c r="AM30" s="110"/>
      <c r="AN30" s="471"/>
      <c r="AO30" s="110"/>
      <c r="AP30" s="110"/>
      <c r="AQ30" s="110"/>
      <c r="AR30" s="110"/>
      <c r="AS30" s="471"/>
      <c r="AT30" s="110"/>
      <c r="AU30" s="110"/>
      <c r="AV30" s="110"/>
      <c r="AW30" s="110"/>
      <c r="AX30" s="471"/>
    </row>
    <row r="31" spans="2:50">
      <c r="B31" s="471"/>
      <c r="C31" s="110">
        <v>5</v>
      </c>
      <c r="D31" s="110"/>
      <c r="E31" s="110"/>
      <c r="F31" s="110"/>
      <c r="G31" s="110"/>
      <c r="H31" s="492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1"/>
      <c r="M31" s="173" t="e">
        <f>RANK(K31, K$27:$K$41)</f>
        <v>#DIV/0!</v>
      </c>
      <c r="N31" s="472"/>
      <c r="O31" s="472"/>
      <c r="P31" s="110"/>
      <c r="Q31" s="110"/>
      <c r="R31" s="110"/>
      <c r="S31" s="110"/>
      <c r="T31" s="471"/>
      <c r="U31" s="110"/>
      <c r="V31" s="110"/>
      <c r="W31" s="110"/>
      <c r="X31" s="110"/>
      <c r="Y31" s="471"/>
      <c r="Z31" s="110"/>
      <c r="AA31" s="110"/>
      <c r="AB31" s="110"/>
      <c r="AC31" s="110"/>
      <c r="AD31" s="471"/>
      <c r="AE31" s="110"/>
      <c r="AF31" s="110"/>
      <c r="AG31" s="110"/>
      <c r="AH31" s="110"/>
      <c r="AI31" s="471"/>
      <c r="AJ31" s="110"/>
      <c r="AK31" s="110"/>
      <c r="AL31" s="110"/>
      <c r="AM31" s="110"/>
      <c r="AN31" s="471"/>
      <c r="AO31" s="110"/>
      <c r="AP31" s="110"/>
      <c r="AQ31" s="110"/>
      <c r="AR31" s="110"/>
      <c r="AS31" s="471"/>
      <c r="AT31" s="110"/>
      <c r="AU31" s="110"/>
      <c r="AV31" s="110"/>
      <c r="AW31" s="110"/>
      <c r="AX31" s="471"/>
    </row>
    <row r="32" spans="2:50">
      <c r="B32" s="471"/>
      <c r="C32" s="110">
        <v>6</v>
      </c>
      <c r="D32" s="110"/>
      <c r="E32" s="110"/>
      <c r="F32" s="110"/>
      <c r="G32" s="110"/>
      <c r="H32" s="492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1"/>
      <c r="M32" s="173" t="e">
        <f>RANK(K32, K$27:$K$41)</f>
        <v>#DIV/0!</v>
      </c>
      <c r="N32" s="472"/>
      <c r="O32" s="472"/>
      <c r="P32" s="110"/>
      <c r="Q32" s="110"/>
      <c r="R32" s="110"/>
      <c r="S32" s="110"/>
      <c r="T32" s="471"/>
      <c r="U32" s="110"/>
      <c r="V32" s="110"/>
      <c r="W32" s="110"/>
      <c r="X32" s="110"/>
      <c r="Y32" s="471"/>
      <c r="Z32" s="110"/>
      <c r="AA32" s="110"/>
      <c r="AB32" s="110"/>
      <c r="AC32" s="110"/>
      <c r="AD32" s="471"/>
      <c r="AE32" s="110"/>
      <c r="AF32" s="110"/>
      <c r="AG32" s="110"/>
      <c r="AH32" s="110"/>
      <c r="AI32" s="471"/>
      <c r="AJ32" s="110"/>
      <c r="AK32" s="110"/>
      <c r="AL32" s="110"/>
      <c r="AM32" s="110"/>
      <c r="AN32" s="471"/>
      <c r="AO32" s="110"/>
      <c r="AP32" s="110"/>
      <c r="AQ32" s="110"/>
      <c r="AR32" s="110"/>
      <c r="AS32" s="471"/>
      <c r="AT32" s="110"/>
      <c r="AU32" s="110"/>
      <c r="AV32" s="110"/>
      <c r="AW32" s="110"/>
      <c r="AX32" s="471"/>
    </row>
    <row r="33" spans="2:50">
      <c r="B33" s="471"/>
      <c r="C33" s="110">
        <v>7</v>
      </c>
      <c r="D33" s="110"/>
      <c r="E33" s="110"/>
      <c r="F33" s="110"/>
      <c r="G33" s="110"/>
      <c r="H33" s="492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1"/>
      <c r="M33" s="173" t="e">
        <f>RANK(K33, K$27:$K$41)</f>
        <v>#DIV/0!</v>
      </c>
      <c r="N33" s="472"/>
      <c r="O33" s="472"/>
      <c r="P33" s="110"/>
      <c r="Q33" s="110"/>
      <c r="R33" s="110"/>
      <c r="S33" s="110"/>
      <c r="T33" s="471"/>
      <c r="U33" s="110"/>
      <c r="V33" s="110"/>
      <c r="W33" s="110"/>
      <c r="X33" s="110"/>
      <c r="Y33" s="471"/>
      <c r="Z33" s="110"/>
      <c r="AA33" s="110"/>
      <c r="AB33" s="110"/>
      <c r="AC33" s="110"/>
      <c r="AD33" s="471"/>
      <c r="AE33" s="110"/>
      <c r="AF33" s="110"/>
      <c r="AG33" s="110"/>
      <c r="AH33" s="110"/>
      <c r="AI33" s="471"/>
      <c r="AJ33" s="110"/>
      <c r="AK33" s="110"/>
      <c r="AL33" s="110"/>
      <c r="AM33" s="110"/>
      <c r="AN33" s="471"/>
      <c r="AO33" s="110"/>
      <c r="AP33" s="110"/>
      <c r="AQ33" s="110"/>
      <c r="AR33" s="110"/>
      <c r="AS33" s="471"/>
      <c r="AT33" s="110"/>
      <c r="AU33" s="110"/>
      <c r="AV33" s="110"/>
      <c r="AW33" s="110"/>
      <c r="AX33" s="471"/>
    </row>
    <row r="34" spans="2:50">
      <c r="B34" s="471"/>
      <c r="C34" s="110">
        <v>8</v>
      </c>
      <c r="D34" s="110"/>
      <c r="E34" s="110"/>
      <c r="F34" s="110"/>
      <c r="G34" s="110"/>
      <c r="H34" s="492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1"/>
      <c r="M34" s="173" t="e">
        <f>RANK(K34, K$27:$K$41)</f>
        <v>#DIV/0!</v>
      </c>
      <c r="N34" s="472"/>
      <c r="O34" s="472"/>
      <c r="P34" s="110"/>
      <c r="Q34" s="110"/>
      <c r="R34" s="110"/>
      <c r="S34" s="110"/>
      <c r="T34" s="471"/>
      <c r="U34" s="110"/>
      <c r="V34" s="110"/>
      <c r="W34" s="110"/>
      <c r="X34" s="110"/>
      <c r="Y34" s="471"/>
      <c r="Z34" s="110"/>
      <c r="AA34" s="110"/>
      <c r="AB34" s="110"/>
      <c r="AC34" s="110"/>
      <c r="AD34" s="471"/>
      <c r="AE34" s="110"/>
      <c r="AF34" s="110"/>
      <c r="AG34" s="110"/>
      <c r="AH34" s="110"/>
      <c r="AI34" s="471"/>
      <c r="AJ34" s="110"/>
      <c r="AK34" s="110"/>
      <c r="AL34" s="110"/>
      <c r="AM34" s="110"/>
      <c r="AN34" s="471"/>
      <c r="AO34" s="110"/>
      <c r="AP34" s="110"/>
      <c r="AQ34" s="110"/>
      <c r="AR34" s="110"/>
      <c r="AS34" s="471"/>
      <c r="AT34" s="110"/>
      <c r="AU34" s="110"/>
      <c r="AV34" s="110"/>
      <c r="AW34" s="110"/>
      <c r="AX34" s="471"/>
    </row>
    <row r="35" spans="2:50">
      <c r="B35" s="471"/>
      <c r="C35" s="110">
        <v>9</v>
      </c>
      <c r="D35" s="110"/>
      <c r="E35" s="110"/>
      <c r="F35" s="110"/>
      <c r="G35" s="110"/>
      <c r="H35" s="492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1"/>
      <c r="M35" s="173" t="e">
        <f>RANK(K35, K$27:$K$41)</f>
        <v>#DIV/0!</v>
      </c>
      <c r="N35" s="472"/>
      <c r="O35" s="472"/>
      <c r="P35" s="110"/>
      <c r="Q35" s="110"/>
      <c r="R35" s="110"/>
      <c r="S35" s="110"/>
      <c r="T35" s="471"/>
      <c r="U35" s="110"/>
      <c r="V35" s="110"/>
      <c r="W35" s="110"/>
      <c r="X35" s="110"/>
      <c r="Y35" s="471"/>
      <c r="Z35" s="110"/>
      <c r="AA35" s="110"/>
      <c r="AB35" s="110"/>
      <c r="AC35" s="110"/>
      <c r="AD35" s="471"/>
      <c r="AE35" s="110"/>
      <c r="AF35" s="110"/>
      <c r="AG35" s="110"/>
      <c r="AH35" s="110"/>
      <c r="AI35" s="471"/>
      <c r="AJ35" s="110"/>
      <c r="AK35" s="110"/>
      <c r="AL35" s="110"/>
      <c r="AM35" s="110"/>
      <c r="AN35" s="471"/>
      <c r="AO35" s="110"/>
      <c r="AP35" s="110"/>
      <c r="AQ35" s="110"/>
      <c r="AR35" s="110"/>
      <c r="AS35" s="471"/>
      <c r="AT35" s="110"/>
      <c r="AU35" s="110"/>
      <c r="AV35" s="110"/>
      <c r="AW35" s="110"/>
      <c r="AX35" s="471"/>
    </row>
    <row r="36" spans="2:50">
      <c r="B36" s="471"/>
      <c r="C36" s="110">
        <v>10</v>
      </c>
      <c r="D36" s="110"/>
      <c r="E36" s="110"/>
      <c r="F36" s="110"/>
      <c r="G36" s="110"/>
      <c r="H36" s="492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1"/>
      <c r="M36" s="173" t="e">
        <f>RANK(K36, K$27:$K$41)</f>
        <v>#DIV/0!</v>
      </c>
      <c r="N36" s="472"/>
      <c r="O36" s="472"/>
      <c r="P36" s="110"/>
      <c r="Q36" s="110"/>
      <c r="R36" s="110"/>
      <c r="S36" s="110"/>
      <c r="T36" s="471"/>
      <c r="U36" s="110"/>
      <c r="V36" s="110"/>
      <c r="W36" s="110"/>
      <c r="X36" s="110"/>
      <c r="Y36" s="471"/>
      <c r="Z36" s="110"/>
      <c r="AA36" s="110"/>
      <c r="AB36" s="110"/>
      <c r="AC36" s="110"/>
      <c r="AD36" s="471"/>
      <c r="AE36" s="110"/>
      <c r="AF36" s="110"/>
      <c r="AG36" s="110"/>
      <c r="AH36" s="110"/>
      <c r="AI36" s="471"/>
      <c r="AJ36" s="110"/>
      <c r="AK36" s="110"/>
      <c r="AL36" s="110"/>
      <c r="AM36" s="110"/>
      <c r="AN36" s="471"/>
      <c r="AO36" s="110"/>
      <c r="AP36" s="110"/>
      <c r="AQ36" s="110"/>
      <c r="AR36" s="110"/>
      <c r="AS36" s="471"/>
      <c r="AT36" s="110"/>
      <c r="AU36" s="110"/>
      <c r="AV36" s="110"/>
      <c r="AW36" s="110"/>
      <c r="AX36" s="471"/>
    </row>
    <row r="37" spans="2:50">
      <c r="B37" s="471"/>
      <c r="C37" s="110">
        <v>11</v>
      </c>
      <c r="D37" s="110"/>
      <c r="E37" s="110"/>
      <c r="F37" s="110"/>
      <c r="G37" s="110"/>
      <c r="H37" s="492"/>
      <c r="I37" s="110"/>
      <c r="J37" s="110"/>
      <c r="K37" s="110"/>
      <c r="L37" s="481"/>
      <c r="M37" s="173" t="e">
        <f>RANK(K37, K$27:$K$41)</f>
        <v>#DIV/0!</v>
      </c>
      <c r="N37" s="472"/>
      <c r="O37" s="472"/>
      <c r="P37" s="110"/>
      <c r="Q37" s="110"/>
      <c r="R37" s="110"/>
      <c r="S37" s="110"/>
      <c r="T37" s="471"/>
      <c r="U37" s="110"/>
      <c r="V37" s="110"/>
      <c r="W37" s="110"/>
      <c r="X37" s="110"/>
      <c r="Y37" s="471"/>
      <c r="Z37" s="110"/>
      <c r="AA37" s="110"/>
      <c r="AB37" s="110"/>
      <c r="AC37" s="110"/>
      <c r="AD37" s="471"/>
      <c r="AE37" s="110"/>
      <c r="AF37" s="110"/>
      <c r="AG37" s="110"/>
      <c r="AH37" s="110"/>
      <c r="AI37" s="471"/>
      <c r="AJ37" s="110"/>
      <c r="AK37" s="110"/>
      <c r="AL37" s="110"/>
      <c r="AM37" s="110"/>
      <c r="AN37" s="471"/>
      <c r="AO37" s="110"/>
      <c r="AP37" s="110"/>
      <c r="AQ37" s="110"/>
      <c r="AR37" s="110"/>
      <c r="AS37" s="471"/>
      <c r="AT37" s="110"/>
      <c r="AU37" s="110"/>
      <c r="AV37" s="110"/>
      <c r="AW37" s="110"/>
      <c r="AX37" s="471"/>
    </row>
    <row r="38" spans="2:50">
      <c r="B38" s="471"/>
      <c r="C38" s="110">
        <v>12</v>
      </c>
      <c r="D38" s="110"/>
      <c r="E38" s="110"/>
      <c r="F38" s="110"/>
      <c r="G38" s="110"/>
      <c r="H38" s="492"/>
      <c r="I38" s="110"/>
      <c r="J38" s="110"/>
      <c r="K38" s="110"/>
      <c r="L38" s="481"/>
      <c r="M38" s="173" t="e">
        <f>RANK(K38, K$27:$K$41)</f>
        <v>#DIV/0!</v>
      </c>
      <c r="N38" s="472"/>
      <c r="O38" s="472"/>
      <c r="P38" s="110"/>
      <c r="Q38" s="110"/>
      <c r="R38" s="110"/>
      <c r="S38" s="110"/>
      <c r="T38" s="471"/>
      <c r="U38" s="110"/>
      <c r="V38" s="110"/>
      <c r="W38" s="110"/>
      <c r="X38" s="110"/>
      <c r="Y38" s="471"/>
      <c r="Z38" s="110"/>
      <c r="AA38" s="110"/>
      <c r="AB38" s="110"/>
      <c r="AC38" s="110"/>
      <c r="AD38" s="471"/>
      <c r="AE38" s="110"/>
      <c r="AF38" s="110"/>
      <c r="AG38" s="110"/>
      <c r="AH38" s="110"/>
      <c r="AI38" s="471"/>
      <c r="AJ38" s="110"/>
      <c r="AK38" s="110"/>
      <c r="AL38" s="110"/>
      <c r="AM38" s="110"/>
      <c r="AN38" s="471"/>
      <c r="AO38" s="110"/>
      <c r="AP38" s="110"/>
      <c r="AQ38" s="110"/>
      <c r="AR38" s="110"/>
      <c r="AS38" s="471"/>
      <c r="AT38" s="110"/>
      <c r="AU38" s="110"/>
      <c r="AV38" s="110"/>
      <c r="AW38" s="110"/>
      <c r="AX38" s="471"/>
    </row>
    <row r="39" spans="2:50">
      <c r="B39" s="471"/>
      <c r="C39" s="110">
        <v>13</v>
      </c>
      <c r="D39" s="110"/>
      <c r="E39" s="110"/>
      <c r="F39" s="110"/>
      <c r="G39" s="110"/>
      <c r="H39" s="492"/>
      <c r="I39" s="110"/>
      <c r="J39" s="110"/>
      <c r="K39" s="110"/>
      <c r="L39" s="481"/>
      <c r="M39" s="173" t="e">
        <f>RANK(K39, K$27:$K$41)</f>
        <v>#DIV/0!</v>
      </c>
      <c r="N39" s="472"/>
      <c r="O39" s="472"/>
      <c r="P39" s="110"/>
      <c r="Q39" s="110"/>
      <c r="R39" s="110"/>
      <c r="S39" s="110"/>
      <c r="T39" s="471"/>
      <c r="U39" s="110"/>
      <c r="V39" s="110"/>
      <c r="W39" s="110"/>
      <c r="X39" s="110"/>
      <c r="Y39" s="471"/>
      <c r="Z39" s="110"/>
      <c r="AA39" s="110"/>
      <c r="AB39" s="110"/>
      <c r="AC39" s="110"/>
      <c r="AD39" s="471"/>
      <c r="AE39" s="110"/>
      <c r="AF39" s="110"/>
      <c r="AG39" s="110"/>
      <c r="AH39" s="110"/>
      <c r="AI39" s="471"/>
      <c r="AJ39" s="110"/>
      <c r="AK39" s="110"/>
      <c r="AL39" s="110"/>
      <c r="AM39" s="110"/>
      <c r="AN39" s="471"/>
      <c r="AO39" s="110"/>
      <c r="AP39" s="110"/>
      <c r="AQ39" s="110"/>
      <c r="AR39" s="110"/>
      <c r="AS39" s="471"/>
      <c r="AT39" s="110"/>
      <c r="AU39" s="110"/>
      <c r="AV39" s="110"/>
      <c r="AW39" s="110"/>
      <c r="AX39" s="471"/>
    </row>
    <row r="40" spans="2:50">
      <c r="B40" s="471"/>
      <c r="C40" s="110">
        <v>14</v>
      </c>
      <c r="D40" s="110"/>
      <c r="E40" s="110"/>
      <c r="F40" s="110"/>
      <c r="G40" s="110"/>
      <c r="H40" s="492"/>
      <c r="I40" s="110"/>
      <c r="J40" s="110"/>
      <c r="K40" s="110"/>
      <c r="L40" s="481"/>
      <c r="M40" s="173" t="e">
        <f>RANK(K40, K$27:$K$41)</f>
        <v>#DIV/0!</v>
      </c>
      <c r="N40" s="472"/>
      <c r="O40" s="472"/>
      <c r="P40" s="110"/>
      <c r="Q40" s="110"/>
      <c r="R40" s="110"/>
      <c r="S40" s="110"/>
      <c r="T40" s="471"/>
      <c r="U40" s="110"/>
      <c r="V40" s="110"/>
      <c r="W40" s="110"/>
      <c r="X40" s="110"/>
      <c r="Y40" s="471"/>
      <c r="Z40" s="110"/>
      <c r="AA40" s="110"/>
      <c r="AB40" s="110"/>
      <c r="AC40" s="110"/>
      <c r="AD40" s="471"/>
      <c r="AE40" s="110"/>
      <c r="AF40" s="110"/>
      <c r="AG40" s="110"/>
      <c r="AH40" s="110"/>
      <c r="AI40" s="471"/>
      <c r="AJ40" s="110"/>
      <c r="AK40" s="110"/>
      <c r="AL40" s="110"/>
      <c r="AM40" s="110"/>
      <c r="AN40" s="471"/>
      <c r="AO40" s="110"/>
      <c r="AP40" s="110"/>
      <c r="AQ40" s="110"/>
      <c r="AR40" s="110"/>
      <c r="AS40" s="471"/>
      <c r="AT40" s="110"/>
      <c r="AU40" s="110"/>
      <c r="AV40" s="110"/>
      <c r="AW40" s="110"/>
      <c r="AX40" s="471"/>
    </row>
    <row r="41" spans="2:50">
      <c r="B41" s="471"/>
      <c r="C41" s="110">
        <v>15</v>
      </c>
      <c r="D41" s="110"/>
      <c r="E41" s="110"/>
      <c r="F41" s="110"/>
      <c r="G41" s="110"/>
      <c r="H41" s="493"/>
      <c r="I41" s="110"/>
      <c r="J41" s="110"/>
      <c r="K41" s="110"/>
      <c r="L41" s="482"/>
      <c r="M41" s="160" t="e">
        <f>RANK(K41, K$27:$K$41)</f>
        <v>#DIV/0!</v>
      </c>
      <c r="N41" s="472"/>
      <c r="O41" s="472"/>
      <c r="P41" s="110"/>
      <c r="Q41" s="110"/>
      <c r="R41" s="110"/>
      <c r="S41" s="110"/>
      <c r="T41" s="471"/>
      <c r="U41" s="110"/>
      <c r="V41" s="110"/>
      <c r="W41" s="110"/>
      <c r="X41" s="110"/>
      <c r="Y41" s="471"/>
      <c r="Z41" s="110"/>
      <c r="AA41" s="110"/>
      <c r="AB41" s="110"/>
      <c r="AC41" s="110"/>
      <c r="AD41" s="471"/>
      <c r="AE41" s="110"/>
      <c r="AF41" s="110"/>
      <c r="AG41" s="110"/>
      <c r="AH41" s="110"/>
      <c r="AI41" s="471"/>
      <c r="AJ41" s="110"/>
      <c r="AK41" s="110"/>
      <c r="AL41" s="110"/>
      <c r="AM41" s="110"/>
      <c r="AN41" s="471"/>
      <c r="AO41" s="110"/>
      <c r="AP41" s="110"/>
      <c r="AQ41" s="110"/>
      <c r="AR41" s="110"/>
      <c r="AS41" s="471"/>
      <c r="AT41" s="110"/>
      <c r="AU41" s="110"/>
      <c r="AV41" s="110"/>
      <c r="AW41" s="110"/>
      <c r="AX41" s="471"/>
    </row>
    <row r="42" spans="2:50" ht="15.5">
      <c r="B42" s="489" t="s">
        <v>44</v>
      </c>
      <c r="C42" s="490"/>
      <c r="D42" s="490"/>
      <c r="E42" s="490"/>
      <c r="F42" s="490"/>
      <c r="G42" s="490"/>
      <c r="H42" s="490"/>
      <c r="I42" s="175"/>
      <c r="J42" s="159"/>
      <c r="K42" s="175"/>
      <c r="L42" s="175"/>
      <c r="M42" s="155"/>
      <c r="N42" s="476" t="s">
        <v>45</v>
      </c>
      <c r="O42" s="476" t="s">
        <v>3</v>
      </c>
      <c r="P42" s="470">
        <v>45881</v>
      </c>
      <c r="Q42" s="471"/>
      <c r="R42" s="471"/>
      <c r="S42" s="471"/>
      <c r="T42" s="471"/>
      <c r="U42" s="470">
        <v>45882</v>
      </c>
      <c r="V42" s="471"/>
      <c r="W42" s="471"/>
      <c r="X42" s="471"/>
      <c r="Y42" s="471"/>
      <c r="Z42" s="470">
        <v>45883</v>
      </c>
      <c r="AA42" s="471"/>
      <c r="AB42" s="471"/>
      <c r="AC42" s="471"/>
      <c r="AD42" s="471"/>
      <c r="AE42" s="470">
        <v>45884</v>
      </c>
      <c r="AF42" s="471"/>
      <c r="AG42" s="471"/>
      <c r="AH42" s="471"/>
      <c r="AI42" s="471"/>
      <c r="AJ42" s="470">
        <v>45885</v>
      </c>
      <c r="AK42" s="471"/>
      <c r="AL42" s="471"/>
      <c r="AM42" s="471"/>
      <c r="AN42" s="471"/>
      <c r="AO42" s="470">
        <v>45886</v>
      </c>
      <c r="AP42" s="471"/>
      <c r="AQ42" s="471"/>
      <c r="AR42" s="471"/>
      <c r="AS42" s="471"/>
      <c r="AT42" s="470">
        <v>45887</v>
      </c>
      <c r="AU42" s="471"/>
      <c r="AV42" s="471"/>
      <c r="AW42" s="471"/>
      <c r="AX42" s="471"/>
    </row>
    <row r="43" spans="2:50" ht="15.5">
      <c r="B43" s="488"/>
      <c r="C43" s="488"/>
      <c r="D43" s="488"/>
      <c r="E43" s="488"/>
      <c r="F43" s="488"/>
      <c r="G43" s="488"/>
      <c r="H43" s="488"/>
      <c r="I43" s="156"/>
      <c r="J43" s="156"/>
      <c r="K43" s="156"/>
      <c r="L43" s="156"/>
      <c r="M43" s="157"/>
      <c r="N43" s="478"/>
      <c r="O43" s="478"/>
      <c r="P43" s="470" t="s">
        <v>15</v>
      </c>
      <c r="Q43" s="471"/>
      <c r="R43" s="471"/>
      <c r="S43" s="471"/>
      <c r="T43" s="471"/>
      <c r="U43" s="470" t="s">
        <v>16</v>
      </c>
      <c r="V43" s="471"/>
      <c r="W43" s="471"/>
      <c r="X43" s="471"/>
      <c r="Y43" s="471"/>
      <c r="Z43" s="470" t="s">
        <v>17</v>
      </c>
      <c r="AA43" s="471"/>
      <c r="AB43" s="471"/>
      <c r="AC43" s="471"/>
      <c r="AD43" s="471"/>
      <c r="AE43" s="470" t="s">
        <v>18</v>
      </c>
      <c r="AF43" s="471"/>
      <c r="AG43" s="471"/>
      <c r="AH43" s="471"/>
      <c r="AI43" s="471"/>
      <c r="AJ43" s="470" t="s">
        <v>19</v>
      </c>
      <c r="AK43" s="471"/>
      <c r="AL43" s="471"/>
      <c r="AM43" s="471"/>
      <c r="AN43" s="471"/>
      <c r="AO43" s="470" t="s">
        <v>10</v>
      </c>
      <c r="AP43" s="471"/>
      <c r="AQ43" s="471"/>
      <c r="AR43" s="471"/>
      <c r="AS43" s="471"/>
      <c r="AT43" s="470" t="s">
        <v>14</v>
      </c>
      <c r="AU43" s="471"/>
      <c r="AV43" s="471"/>
      <c r="AW43" s="471"/>
      <c r="AX43" s="471"/>
    </row>
    <row r="44" spans="2:50">
      <c r="B44" s="472" t="s">
        <v>46</v>
      </c>
      <c r="C44" s="472" t="s">
        <v>47</v>
      </c>
      <c r="D44" s="472"/>
      <c r="E44" s="472" t="s">
        <v>48</v>
      </c>
      <c r="F44" s="472"/>
      <c r="G44" s="472"/>
      <c r="H44" s="483" t="s">
        <v>49</v>
      </c>
      <c r="I44" s="472" t="s">
        <v>50</v>
      </c>
      <c r="J44" s="472"/>
      <c r="K44" s="472"/>
      <c r="L44" s="483" t="s">
        <v>49</v>
      </c>
      <c r="M44" s="476" t="s">
        <v>51</v>
      </c>
      <c r="N44" s="472"/>
      <c r="O44" s="472" t="s">
        <v>52</v>
      </c>
      <c r="P44" s="473" t="s">
        <v>53</v>
      </c>
      <c r="Q44" s="474"/>
      <c r="R44" s="474"/>
      <c r="S44" s="475"/>
      <c r="T44" s="472" t="s">
        <v>49</v>
      </c>
      <c r="U44" s="473" t="s">
        <v>53</v>
      </c>
      <c r="V44" s="474"/>
      <c r="W44" s="474"/>
      <c r="X44" s="475"/>
      <c r="Y44" s="472" t="s">
        <v>49</v>
      </c>
      <c r="Z44" s="473" t="s">
        <v>53</v>
      </c>
      <c r="AA44" s="474"/>
      <c r="AB44" s="474"/>
      <c r="AC44" s="475"/>
      <c r="AD44" s="472" t="s">
        <v>49</v>
      </c>
      <c r="AE44" s="473" t="s">
        <v>53</v>
      </c>
      <c r="AF44" s="474"/>
      <c r="AG44" s="474"/>
      <c r="AH44" s="475"/>
      <c r="AI44" s="472" t="s">
        <v>49</v>
      </c>
      <c r="AJ44" s="473" t="s">
        <v>53</v>
      </c>
      <c r="AK44" s="474"/>
      <c r="AL44" s="474"/>
      <c r="AM44" s="475"/>
      <c r="AN44" s="472" t="s">
        <v>49</v>
      </c>
      <c r="AO44" s="473" t="s">
        <v>53</v>
      </c>
      <c r="AP44" s="474"/>
      <c r="AQ44" s="474"/>
      <c r="AR44" s="475"/>
      <c r="AS44" s="472" t="s">
        <v>49</v>
      </c>
      <c r="AT44" s="473" t="s">
        <v>53</v>
      </c>
      <c r="AU44" s="474"/>
      <c r="AV44" s="474"/>
      <c r="AW44" s="475"/>
      <c r="AX44" s="472" t="s">
        <v>49</v>
      </c>
    </row>
    <row r="45" spans="2:50">
      <c r="B45" s="472"/>
      <c r="C45" s="472"/>
      <c r="D45" s="472"/>
      <c r="E45" s="472" t="s">
        <v>54</v>
      </c>
      <c r="F45" s="472"/>
      <c r="G45" s="472"/>
      <c r="H45" s="484"/>
      <c r="I45" s="472" t="s">
        <v>54</v>
      </c>
      <c r="J45" s="472"/>
      <c r="K45" s="472"/>
      <c r="L45" s="484"/>
      <c r="M45" s="477"/>
      <c r="N45" s="472"/>
      <c r="O45" s="472"/>
      <c r="P45" s="473" t="s">
        <v>55</v>
      </c>
      <c r="Q45" s="474"/>
      <c r="R45" s="474"/>
      <c r="S45" s="475"/>
      <c r="T45" s="472"/>
      <c r="U45" s="473" t="s">
        <v>55</v>
      </c>
      <c r="V45" s="474"/>
      <c r="W45" s="474"/>
      <c r="X45" s="475"/>
      <c r="Y45" s="472"/>
      <c r="Z45" s="473" t="s">
        <v>55</v>
      </c>
      <c r="AA45" s="474"/>
      <c r="AB45" s="474"/>
      <c r="AC45" s="475"/>
      <c r="AD45" s="472"/>
      <c r="AE45" s="473" t="s">
        <v>55</v>
      </c>
      <c r="AF45" s="474"/>
      <c r="AG45" s="474"/>
      <c r="AH45" s="475"/>
      <c r="AI45" s="472"/>
      <c r="AJ45" s="473" t="s">
        <v>55</v>
      </c>
      <c r="AK45" s="474"/>
      <c r="AL45" s="474"/>
      <c r="AM45" s="475"/>
      <c r="AN45" s="472"/>
      <c r="AO45" s="473" t="s">
        <v>55</v>
      </c>
      <c r="AP45" s="474"/>
      <c r="AQ45" s="474"/>
      <c r="AR45" s="475"/>
      <c r="AS45" s="472"/>
      <c r="AT45" s="473" t="s">
        <v>55</v>
      </c>
      <c r="AU45" s="474"/>
      <c r="AV45" s="474"/>
      <c r="AW45" s="475"/>
      <c r="AX45" s="472"/>
    </row>
    <row r="46" spans="2:50">
      <c r="B46" s="472"/>
      <c r="C46" s="472"/>
      <c r="D46" s="472"/>
      <c r="E46" s="109" t="s">
        <v>56</v>
      </c>
      <c r="F46" s="109" t="s">
        <v>57</v>
      </c>
      <c r="G46" s="109" t="s">
        <v>58</v>
      </c>
      <c r="H46" s="485"/>
      <c r="I46" s="109" t="s">
        <v>56</v>
      </c>
      <c r="J46" s="109" t="s">
        <v>57</v>
      </c>
      <c r="K46" s="109" t="s">
        <v>58</v>
      </c>
      <c r="L46" s="485"/>
      <c r="M46" s="478"/>
      <c r="N46" s="472"/>
      <c r="O46" s="472"/>
      <c r="P46" s="109" t="s">
        <v>56</v>
      </c>
      <c r="Q46" s="109" t="s">
        <v>57</v>
      </c>
      <c r="R46" s="109" t="s">
        <v>58</v>
      </c>
      <c r="S46" s="109" t="s">
        <v>51</v>
      </c>
      <c r="T46" s="472"/>
      <c r="U46" s="109" t="s">
        <v>56</v>
      </c>
      <c r="V46" s="109" t="s">
        <v>57</v>
      </c>
      <c r="W46" s="109" t="s">
        <v>58</v>
      </c>
      <c r="X46" s="109" t="s">
        <v>51</v>
      </c>
      <c r="Y46" s="472"/>
      <c r="Z46" s="109" t="s">
        <v>56</v>
      </c>
      <c r="AA46" s="109" t="s">
        <v>57</v>
      </c>
      <c r="AB46" s="109" t="s">
        <v>58</v>
      </c>
      <c r="AC46" s="109" t="s">
        <v>51</v>
      </c>
      <c r="AD46" s="472"/>
      <c r="AE46" s="109" t="s">
        <v>56</v>
      </c>
      <c r="AF46" s="109" t="s">
        <v>57</v>
      </c>
      <c r="AG46" s="109" t="s">
        <v>58</v>
      </c>
      <c r="AH46" s="109" t="s">
        <v>51</v>
      </c>
      <c r="AI46" s="472"/>
      <c r="AJ46" s="109" t="s">
        <v>56</v>
      </c>
      <c r="AK46" s="109" t="s">
        <v>57</v>
      </c>
      <c r="AL46" s="109" t="s">
        <v>58</v>
      </c>
      <c r="AM46" s="109" t="s">
        <v>51</v>
      </c>
      <c r="AN46" s="472"/>
      <c r="AO46" s="109" t="s">
        <v>56</v>
      </c>
      <c r="AP46" s="109" t="s">
        <v>57</v>
      </c>
      <c r="AQ46" s="109" t="s">
        <v>58</v>
      </c>
      <c r="AR46" s="109" t="s">
        <v>51</v>
      </c>
      <c r="AS46" s="472"/>
      <c r="AT46" s="109" t="s">
        <v>56</v>
      </c>
      <c r="AU46" s="109" t="s">
        <v>57</v>
      </c>
      <c r="AV46" s="109" t="s">
        <v>58</v>
      </c>
      <c r="AW46" s="109" t="s">
        <v>51</v>
      </c>
      <c r="AX46" s="472"/>
    </row>
    <row r="47" spans="2:50">
      <c r="B47" s="472" t="s">
        <v>60</v>
      </c>
      <c r="C47" s="110">
        <v>1</v>
      </c>
      <c r="D47" s="110"/>
      <c r="E47" s="110"/>
      <c r="F47" s="110"/>
      <c r="G47" s="110"/>
      <c r="H47" s="491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80" t="e">
        <f>AVERAGE(K47:K61)</f>
        <v>#DIV/0!</v>
      </c>
      <c r="M47" s="160" t="e">
        <f>RANK(K47, K$47:$K$61)</f>
        <v>#DIV/0!</v>
      </c>
      <c r="N47" s="472"/>
      <c r="O47" s="472"/>
      <c r="P47" s="110"/>
      <c r="Q47" s="110"/>
      <c r="R47" s="110"/>
      <c r="S47" s="110"/>
      <c r="T47" s="471" t="e">
        <f>AVERAGE(R47:R61)</f>
        <v>#DIV/0!</v>
      </c>
      <c r="U47" s="110"/>
      <c r="V47" s="110"/>
      <c r="W47" s="110"/>
      <c r="X47" s="110"/>
      <c r="Y47" s="471" t="e">
        <f>AVERAGE(W47:W61)</f>
        <v>#DIV/0!</v>
      </c>
      <c r="Z47" s="110"/>
      <c r="AA47" s="110"/>
      <c r="AB47" s="110"/>
      <c r="AC47" s="110"/>
      <c r="AD47" s="471" t="e">
        <f>AVERAGE(AB47:AB61)</f>
        <v>#DIV/0!</v>
      </c>
      <c r="AE47" s="110"/>
      <c r="AF47" s="110"/>
      <c r="AG47" s="110"/>
      <c r="AH47" s="110"/>
      <c r="AI47" s="471" t="e">
        <f>AVERAGE(AG47:AG61)</f>
        <v>#DIV/0!</v>
      </c>
      <c r="AJ47" s="110"/>
      <c r="AK47" s="110"/>
      <c r="AL47" s="110"/>
      <c r="AM47" s="110"/>
      <c r="AN47" s="471" t="e">
        <f>AVERAGE(AL47:AL61)</f>
        <v>#DIV/0!</v>
      </c>
      <c r="AO47" s="110"/>
      <c r="AP47" s="110"/>
      <c r="AQ47" s="110"/>
      <c r="AR47" s="110"/>
      <c r="AS47" s="471" t="e">
        <f>AVERAGE(AQ47:AQ61)</f>
        <v>#DIV/0!</v>
      </c>
      <c r="AT47" s="110"/>
      <c r="AU47" s="110"/>
      <c r="AV47" s="110"/>
      <c r="AW47" s="110"/>
      <c r="AX47" s="471" t="e">
        <f>AVERAGE(AV47:AV61)</f>
        <v>#DIV/0!</v>
      </c>
    </row>
    <row r="48" spans="2:50">
      <c r="B48" s="471"/>
      <c r="C48" s="110">
        <v>2</v>
      </c>
      <c r="D48" s="110"/>
      <c r="E48" s="110"/>
      <c r="F48" s="110"/>
      <c r="G48" s="110"/>
      <c r="H48" s="492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1"/>
      <c r="M48" s="160" t="e">
        <f>RANK(K48, K$47:$K$61)</f>
        <v>#DIV/0!</v>
      </c>
      <c r="N48" s="472"/>
      <c r="O48" s="472"/>
      <c r="P48" s="110"/>
      <c r="Q48" s="110"/>
      <c r="R48" s="110"/>
      <c r="S48" s="110"/>
      <c r="T48" s="471"/>
      <c r="U48" s="110"/>
      <c r="V48" s="110"/>
      <c r="W48" s="110"/>
      <c r="X48" s="110"/>
      <c r="Y48" s="471"/>
      <c r="Z48" s="110"/>
      <c r="AA48" s="110"/>
      <c r="AB48" s="110"/>
      <c r="AC48" s="110"/>
      <c r="AD48" s="471"/>
      <c r="AE48" s="110"/>
      <c r="AF48" s="110"/>
      <c r="AG48" s="110"/>
      <c r="AH48" s="110"/>
      <c r="AI48" s="471"/>
      <c r="AJ48" s="110"/>
      <c r="AK48" s="110"/>
      <c r="AL48" s="110"/>
      <c r="AM48" s="110"/>
      <c r="AN48" s="471"/>
      <c r="AO48" s="110"/>
      <c r="AP48" s="110"/>
      <c r="AQ48" s="110"/>
      <c r="AR48" s="110"/>
      <c r="AS48" s="471"/>
      <c r="AT48" s="110"/>
      <c r="AU48" s="110"/>
      <c r="AV48" s="110"/>
      <c r="AW48" s="110"/>
      <c r="AX48" s="471"/>
    </row>
    <row r="49" spans="2:50">
      <c r="B49" s="471"/>
      <c r="C49" s="110">
        <v>3</v>
      </c>
      <c r="D49" s="110"/>
      <c r="E49" s="110"/>
      <c r="F49" s="110"/>
      <c r="G49" s="110"/>
      <c r="H49" s="492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1"/>
      <c r="M49" s="160" t="e">
        <f>RANK(K49, K$47:$K$61)</f>
        <v>#DIV/0!</v>
      </c>
      <c r="N49" s="472"/>
      <c r="O49" s="472"/>
      <c r="P49" s="110"/>
      <c r="Q49" s="110"/>
      <c r="R49" s="110"/>
      <c r="S49" s="110"/>
      <c r="T49" s="471"/>
      <c r="U49" s="110"/>
      <c r="V49" s="110"/>
      <c r="W49" s="110"/>
      <c r="X49" s="110"/>
      <c r="Y49" s="471"/>
      <c r="Z49" s="110"/>
      <c r="AA49" s="110"/>
      <c r="AB49" s="110"/>
      <c r="AC49" s="110"/>
      <c r="AD49" s="471"/>
      <c r="AE49" s="110"/>
      <c r="AF49" s="110"/>
      <c r="AG49" s="110"/>
      <c r="AH49" s="110"/>
      <c r="AI49" s="471"/>
      <c r="AJ49" s="110"/>
      <c r="AK49" s="110"/>
      <c r="AL49" s="110"/>
      <c r="AM49" s="110"/>
      <c r="AN49" s="471"/>
      <c r="AO49" s="110"/>
      <c r="AP49" s="110"/>
      <c r="AQ49" s="110"/>
      <c r="AR49" s="110"/>
      <c r="AS49" s="471"/>
      <c r="AT49" s="110"/>
      <c r="AU49" s="110"/>
      <c r="AV49" s="110"/>
      <c r="AW49" s="110"/>
      <c r="AX49" s="471"/>
    </row>
    <row r="50" spans="2:50">
      <c r="B50" s="471"/>
      <c r="C50" s="110">
        <v>4</v>
      </c>
      <c r="D50" s="110"/>
      <c r="E50" s="110"/>
      <c r="F50" s="110"/>
      <c r="G50" s="110"/>
      <c r="H50" s="492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1"/>
      <c r="M50" s="160" t="e">
        <f>RANK(K50, K$47:$K$61)</f>
        <v>#DIV/0!</v>
      </c>
      <c r="N50" s="472"/>
      <c r="O50" s="472"/>
      <c r="P50" s="110"/>
      <c r="Q50" s="110"/>
      <c r="R50" s="110"/>
      <c r="S50" s="110"/>
      <c r="T50" s="471"/>
      <c r="U50" s="110"/>
      <c r="V50" s="110"/>
      <c r="W50" s="110"/>
      <c r="X50" s="110"/>
      <c r="Y50" s="471"/>
      <c r="Z50" s="110"/>
      <c r="AA50" s="110"/>
      <c r="AB50" s="110"/>
      <c r="AC50" s="110"/>
      <c r="AD50" s="471"/>
      <c r="AE50" s="110"/>
      <c r="AF50" s="110"/>
      <c r="AG50" s="110"/>
      <c r="AH50" s="110"/>
      <c r="AI50" s="471"/>
      <c r="AJ50" s="110"/>
      <c r="AK50" s="110"/>
      <c r="AL50" s="110"/>
      <c r="AM50" s="110"/>
      <c r="AN50" s="471"/>
      <c r="AO50" s="110"/>
      <c r="AP50" s="110"/>
      <c r="AQ50" s="110"/>
      <c r="AR50" s="110"/>
      <c r="AS50" s="471"/>
      <c r="AT50" s="110"/>
      <c r="AU50" s="110"/>
      <c r="AV50" s="110"/>
      <c r="AW50" s="110"/>
      <c r="AX50" s="471"/>
    </row>
    <row r="51" spans="2:50">
      <c r="B51" s="471"/>
      <c r="C51" s="110">
        <v>5</v>
      </c>
      <c r="D51" s="110"/>
      <c r="E51" s="110"/>
      <c r="F51" s="110"/>
      <c r="G51" s="110"/>
      <c r="H51" s="492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1"/>
      <c r="M51" s="160" t="e">
        <f>RANK(K51, K$47:$K$61)</f>
        <v>#DIV/0!</v>
      </c>
      <c r="N51" s="472"/>
      <c r="O51" s="472"/>
      <c r="P51" s="110"/>
      <c r="Q51" s="110"/>
      <c r="R51" s="110"/>
      <c r="S51" s="110"/>
      <c r="T51" s="471"/>
      <c r="U51" s="110"/>
      <c r="V51" s="110"/>
      <c r="W51" s="110"/>
      <c r="X51" s="110"/>
      <c r="Y51" s="471"/>
      <c r="Z51" s="110"/>
      <c r="AA51" s="110"/>
      <c r="AB51" s="110"/>
      <c r="AC51" s="110"/>
      <c r="AD51" s="471"/>
      <c r="AE51" s="110"/>
      <c r="AF51" s="110"/>
      <c r="AG51" s="110"/>
      <c r="AH51" s="110"/>
      <c r="AI51" s="471"/>
      <c r="AJ51" s="110"/>
      <c r="AK51" s="110"/>
      <c r="AL51" s="110"/>
      <c r="AM51" s="110"/>
      <c r="AN51" s="471"/>
      <c r="AO51" s="110"/>
      <c r="AP51" s="110"/>
      <c r="AQ51" s="110"/>
      <c r="AR51" s="110"/>
      <c r="AS51" s="471"/>
      <c r="AT51" s="110"/>
      <c r="AU51" s="110"/>
      <c r="AV51" s="110"/>
      <c r="AW51" s="110"/>
      <c r="AX51" s="471"/>
    </row>
    <row r="52" spans="2:50">
      <c r="B52" s="471"/>
      <c r="C52" s="110">
        <v>6</v>
      </c>
      <c r="D52" s="110"/>
      <c r="E52" s="110"/>
      <c r="F52" s="110"/>
      <c r="G52" s="110"/>
      <c r="H52" s="492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1"/>
      <c r="M52" s="160" t="e">
        <f>RANK(K52, K$47:$K$61)</f>
        <v>#DIV/0!</v>
      </c>
      <c r="N52" s="472"/>
      <c r="O52" s="472"/>
      <c r="P52" s="110"/>
      <c r="Q52" s="110"/>
      <c r="R52" s="110"/>
      <c r="S52" s="110"/>
      <c r="T52" s="471"/>
      <c r="U52" s="110"/>
      <c r="V52" s="110"/>
      <c r="W52" s="110"/>
      <c r="X52" s="110"/>
      <c r="Y52" s="471"/>
      <c r="Z52" s="110"/>
      <c r="AA52" s="110"/>
      <c r="AB52" s="110"/>
      <c r="AC52" s="110"/>
      <c r="AD52" s="471"/>
      <c r="AE52" s="110"/>
      <c r="AF52" s="110"/>
      <c r="AG52" s="110"/>
      <c r="AH52" s="110"/>
      <c r="AI52" s="471"/>
      <c r="AJ52" s="110"/>
      <c r="AK52" s="110"/>
      <c r="AL52" s="110"/>
      <c r="AM52" s="110"/>
      <c r="AN52" s="471"/>
      <c r="AO52" s="110"/>
      <c r="AP52" s="110"/>
      <c r="AQ52" s="110"/>
      <c r="AR52" s="110"/>
      <c r="AS52" s="471"/>
      <c r="AT52" s="110"/>
      <c r="AU52" s="110"/>
      <c r="AV52" s="110"/>
      <c r="AW52" s="110"/>
      <c r="AX52" s="471"/>
    </row>
    <row r="53" spans="2:50">
      <c r="B53" s="471"/>
      <c r="C53" s="110">
        <v>7</v>
      </c>
      <c r="D53" s="110"/>
      <c r="E53" s="110"/>
      <c r="F53" s="110"/>
      <c r="G53" s="110"/>
      <c r="H53" s="492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1"/>
      <c r="M53" s="160" t="e">
        <f>RANK(K53, K$47:$K$61)</f>
        <v>#DIV/0!</v>
      </c>
      <c r="N53" s="472"/>
      <c r="O53" s="472"/>
      <c r="P53" s="110"/>
      <c r="Q53" s="110"/>
      <c r="R53" s="110"/>
      <c r="S53" s="110"/>
      <c r="T53" s="471"/>
      <c r="U53" s="110"/>
      <c r="V53" s="110"/>
      <c r="W53" s="110"/>
      <c r="X53" s="110"/>
      <c r="Y53" s="471"/>
      <c r="Z53" s="110"/>
      <c r="AA53" s="110"/>
      <c r="AB53" s="110"/>
      <c r="AC53" s="110"/>
      <c r="AD53" s="471"/>
      <c r="AE53" s="110"/>
      <c r="AF53" s="110"/>
      <c r="AG53" s="110"/>
      <c r="AH53" s="110"/>
      <c r="AI53" s="471"/>
      <c r="AJ53" s="110"/>
      <c r="AK53" s="110"/>
      <c r="AL53" s="110"/>
      <c r="AM53" s="110"/>
      <c r="AN53" s="471"/>
      <c r="AO53" s="110"/>
      <c r="AP53" s="110"/>
      <c r="AQ53" s="110"/>
      <c r="AR53" s="110"/>
      <c r="AS53" s="471"/>
      <c r="AT53" s="110"/>
      <c r="AU53" s="110"/>
      <c r="AV53" s="110"/>
      <c r="AW53" s="110"/>
      <c r="AX53" s="471"/>
    </row>
    <row r="54" spans="2:50">
      <c r="B54" s="471"/>
      <c r="C54" s="110">
        <v>8</v>
      </c>
      <c r="D54" s="110"/>
      <c r="E54" s="110"/>
      <c r="F54" s="110"/>
      <c r="G54" s="110"/>
      <c r="H54" s="492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1"/>
      <c r="M54" s="160" t="e">
        <f>RANK(K54, K$47:$K$61)</f>
        <v>#DIV/0!</v>
      </c>
      <c r="N54" s="472"/>
      <c r="O54" s="472"/>
      <c r="P54" s="110"/>
      <c r="Q54" s="110"/>
      <c r="R54" s="110"/>
      <c r="S54" s="110"/>
      <c r="T54" s="471"/>
      <c r="U54" s="110"/>
      <c r="V54" s="110"/>
      <c r="W54" s="110"/>
      <c r="X54" s="110"/>
      <c r="Y54" s="471"/>
      <c r="Z54" s="110"/>
      <c r="AA54" s="110"/>
      <c r="AB54" s="110"/>
      <c r="AC54" s="110"/>
      <c r="AD54" s="471"/>
      <c r="AE54" s="110"/>
      <c r="AF54" s="110"/>
      <c r="AG54" s="110"/>
      <c r="AH54" s="110"/>
      <c r="AI54" s="471"/>
      <c r="AJ54" s="110"/>
      <c r="AK54" s="110"/>
      <c r="AL54" s="110"/>
      <c r="AM54" s="110"/>
      <c r="AN54" s="471"/>
      <c r="AO54" s="110"/>
      <c r="AP54" s="110"/>
      <c r="AQ54" s="110"/>
      <c r="AR54" s="110"/>
      <c r="AS54" s="471"/>
      <c r="AT54" s="110"/>
      <c r="AU54" s="110"/>
      <c r="AV54" s="110"/>
      <c r="AW54" s="110"/>
      <c r="AX54" s="471"/>
    </row>
    <row r="55" spans="2:50">
      <c r="B55" s="471"/>
      <c r="C55" s="110">
        <v>9</v>
      </c>
      <c r="D55" s="110"/>
      <c r="E55" s="110"/>
      <c r="F55" s="110"/>
      <c r="G55" s="110"/>
      <c r="H55" s="492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1"/>
      <c r="M55" s="160" t="e">
        <f>RANK(K55, K$47:$K$61)</f>
        <v>#DIV/0!</v>
      </c>
      <c r="N55" s="472"/>
      <c r="O55" s="472"/>
      <c r="P55" s="110"/>
      <c r="Q55" s="110"/>
      <c r="R55" s="110"/>
      <c r="S55" s="110"/>
      <c r="T55" s="471"/>
      <c r="U55" s="110"/>
      <c r="V55" s="110"/>
      <c r="W55" s="110"/>
      <c r="X55" s="110"/>
      <c r="Y55" s="471"/>
      <c r="Z55" s="110"/>
      <c r="AA55" s="110"/>
      <c r="AB55" s="110"/>
      <c r="AC55" s="110"/>
      <c r="AD55" s="471"/>
      <c r="AE55" s="110"/>
      <c r="AF55" s="110"/>
      <c r="AG55" s="110"/>
      <c r="AH55" s="110"/>
      <c r="AI55" s="471"/>
      <c r="AJ55" s="110"/>
      <c r="AK55" s="110"/>
      <c r="AL55" s="110"/>
      <c r="AM55" s="110"/>
      <c r="AN55" s="471"/>
      <c r="AO55" s="110"/>
      <c r="AP55" s="110"/>
      <c r="AQ55" s="110"/>
      <c r="AR55" s="110"/>
      <c r="AS55" s="471"/>
      <c r="AT55" s="110"/>
      <c r="AU55" s="110"/>
      <c r="AV55" s="110"/>
      <c r="AW55" s="110"/>
      <c r="AX55" s="471"/>
    </row>
    <row r="56" spans="2:50">
      <c r="B56" s="471"/>
      <c r="C56" s="110">
        <v>10</v>
      </c>
      <c r="D56" s="110"/>
      <c r="E56" s="110"/>
      <c r="F56" s="110"/>
      <c r="G56" s="110"/>
      <c r="H56" s="492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1"/>
      <c r="M56" s="160" t="e">
        <f>RANK(K56, K$47:$K$61)</f>
        <v>#DIV/0!</v>
      </c>
      <c r="N56" s="472"/>
      <c r="O56" s="472"/>
      <c r="P56" s="110"/>
      <c r="Q56" s="110"/>
      <c r="R56" s="110"/>
      <c r="S56" s="110"/>
      <c r="T56" s="471"/>
      <c r="U56" s="110"/>
      <c r="V56" s="110"/>
      <c r="W56" s="110"/>
      <c r="X56" s="110"/>
      <c r="Y56" s="471"/>
      <c r="Z56" s="110"/>
      <c r="AA56" s="110"/>
      <c r="AB56" s="110"/>
      <c r="AC56" s="110"/>
      <c r="AD56" s="471"/>
      <c r="AE56" s="110"/>
      <c r="AF56" s="110"/>
      <c r="AG56" s="110"/>
      <c r="AH56" s="110"/>
      <c r="AI56" s="471"/>
      <c r="AJ56" s="110"/>
      <c r="AK56" s="110"/>
      <c r="AL56" s="110"/>
      <c r="AM56" s="110"/>
      <c r="AN56" s="471"/>
      <c r="AO56" s="110"/>
      <c r="AP56" s="110"/>
      <c r="AQ56" s="110"/>
      <c r="AR56" s="110"/>
      <c r="AS56" s="471"/>
      <c r="AT56" s="110"/>
      <c r="AU56" s="110"/>
      <c r="AV56" s="110"/>
      <c r="AW56" s="110"/>
      <c r="AX56" s="471"/>
    </row>
    <row r="57" spans="2:50">
      <c r="B57" s="471"/>
      <c r="C57" s="110">
        <v>11</v>
      </c>
      <c r="D57" s="110"/>
      <c r="E57" s="110"/>
      <c r="F57" s="110"/>
      <c r="G57" s="110"/>
      <c r="H57" s="492"/>
      <c r="I57" s="110"/>
      <c r="J57" s="110"/>
      <c r="K57" s="110"/>
      <c r="L57" s="481"/>
      <c r="M57" s="160" t="e">
        <f>RANK(K57, K$47:$K$61)</f>
        <v>#DIV/0!</v>
      </c>
      <c r="N57" s="472"/>
      <c r="O57" s="472"/>
      <c r="P57" s="110"/>
      <c r="Q57" s="110"/>
      <c r="R57" s="110"/>
      <c r="S57" s="110"/>
      <c r="T57" s="471"/>
      <c r="U57" s="110"/>
      <c r="V57" s="110"/>
      <c r="W57" s="110"/>
      <c r="X57" s="110"/>
      <c r="Y57" s="471"/>
      <c r="Z57" s="110"/>
      <c r="AA57" s="110"/>
      <c r="AB57" s="110"/>
      <c r="AC57" s="110"/>
      <c r="AD57" s="471"/>
      <c r="AE57" s="110"/>
      <c r="AF57" s="110"/>
      <c r="AG57" s="110"/>
      <c r="AH57" s="110"/>
      <c r="AI57" s="471"/>
      <c r="AJ57" s="110"/>
      <c r="AK57" s="110"/>
      <c r="AL57" s="110"/>
      <c r="AM57" s="110"/>
      <c r="AN57" s="471"/>
      <c r="AO57" s="110"/>
      <c r="AP57" s="110"/>
      <c r="AQ57" s="110"/>
      <c r="AR57" s="110"/>
      <c r="AS57" s="471"/>
      <c r="AT57" s="110"/>
      <c r="AU57" s="110"/>
      <c r="AV57" s="110"/>
      <c r="AW57" s="110"/>
      <c r="AX57" s="471"/>
    </row>
    <row r="58" spans="2:50">
      <c r="B58" s="471"/>
      <c r="C58" s="110">
        <v>12</v>
      </c>
      <c r="D58" s="110"/>
      <c r="E58" s="110"/>
      <c r="F58" s="110"/>
      <c r="G58" s="110"/>
      <c r="H58" s="492"/>
      <c r="I58" s="110"/>
      <c r="J58" s="110"/>
      <c r="K58" s="110"/>
      <c r="L58" s="481"/>
      <c r="M58" s="160" t="e">
        <f>RANK(K58, K$47:$K$61)</f>
        <v>#DIV/0!</v>
      </c>
      <c r="N58" s="472"/>
      <c r="O58" s="472"/>
      <c r="P58" s="110"/>
      <c r="Q58" s="110"/>
      <c r="R58" s="110"/>
      <c r="S58" s="110"/>
      <c r="T58" s="471"/>
      <c r="U58" s="110"/>
      <c r="V58" s="110"/>
      <c r="W58" s="110"/>
      <c r="X58" s="110"/>
      <c r="Y58" s="471"/>
      <c r="Z58" s="110"/>
      <c r="AA58" s="110"/>
      <c r="AB58" s="110"/>
      <c r="AC58" s="110"/>
      <c r="AD58" s="471"/>
      <c r="AE58" s="110"/>
      <c r="AF58" s="110"/>
      <c r="AG58" s="110"/>
      <c r="AH58" s="110"/>
      <c r="AI58" s="471"/>
      <c r="AJ58" s="110"/>
      <c r="AK58" s="110"/>
      <c r="AL58" s="110"/>
      <c r="AM58" s="110"/>
      <c r="AN58" s="471"/>
      <c r="AO58" s="110"/>
      <c r="AP58" s="110"/>
      <c r="AQ58" s="110"/>
      <c r="AR58" s="110"/>
      <c r="AS58" s="471"/>
      <c r="AT58" s="110"/>
      <c r="AU58" s="110"/>
      <c r="AV58" s="110"/>
      <c r="AW58" s="110"/>
      <c r="AX58" s="471"/>
    </row>
    <row r="59" spans="2:50">
      <c r="B59" s="471"/>
      <c r="C59" s="110">
        <v>13</v>
      </c>
      <c r="D59" s="110"/>
      <c r="E59" s="110"/>
      <c r="F59" s="110"/>
      <c r="G59" s="110"/>
      <c r="H59" s="492"/>
      <c r="I59" s="110"/>
      <c r="J59" s="110"/>
      <c r="K59" s="110"/>
      <c r="L59" s="481"/>
      <c r="M59" s="160" t="e">
        <f>RANK(K59, K$47:$K$61)</f>
        <v>#DIV/0!</v>
      </c>
      <c r="N59" s="472"/>
      <c r="O59" s="472"/>
      <c r="P59" s="110"/>
      <c r="Q59" s="110"/>
      <c r="R59" s="110"/>
      <c r="S59" s="110"/>
      <c r="T59" s="471"/>
      <c r="U59" s="110"/>
      <c r="V59" s="110"/>
      <c r="W59" s="110"/>
      <c r="X59" s="110"/>
      <c r="Y59" s="471"/>
      <c r="Z59" s="110"/>
      <c r="AA59" s="110"/>
      <c r="AB59" s="110"/>
      <c r="AC59" s="110"/>
      <c r="AD59" s="471"/>
      <c r="AE59" s="110"/>
      <c r="AF59" s="110"/>
      <c r="AG59" s="110"/>
      <c r="AH59" s="110"/>
      <c r="AI59" s="471"/>
      <c r="AJ59" s="110"/>
      <c r="AK59" s="110"/>
      <c r="AL59" s="110"/>
      <c r="AM59" s="110"/>
      <c r="AN59" s="471"/>
      <c r="AO59" s="110"/>
      <c r="AP59" s="110"/>
      <c r="AQ59" s="110"/>
      <c r="AR59" s="110"/>
      <c r="AS59" s="471"/>
      <c r="AT59" s="110"/>
      <c r="AU59" s="110"/>
      <c r="AV59" s="110"/>
      <c r="AW59" s="110"/>
      <c r="AX59" s="471"/>
    </row>
    <row r="60" spans="2:50">
      <c r="B60" s="471"/>
      <c r="C60" s="110">
        <v>14</v>
      </c>
      <c r="D60" s="110"/>
      <c r="E60" s="110"/>
      <c r="F60" s="110"/>
      <c r="G60" s="110"/>
      <c r="H60" s="492"/>
      <c r="I60" s="110"/>
      <c r="J60" s="110"/>
      <c r="K60" s="110"/>
      <c r="L60" s="481"/>
      <c r="M60" s="160" t="e">
        <f>RANK(K60, K$47:$K$61)</f>
        <v>#DIV/0!</v>
      </c>
      <c r="N60" s="472"/>
      <c r="O60" s="472"/>
      <c r="P60" s="110"/>
      <c r="Q60" s="110"/>
      <c r="R60" s="110"/>
      <c r="S60" s="110"/>
      <c r="T60" s="471"/>
      <c r="U60" s="110"/>
      <c r="V60" s="110"/>
      <c r="W60" s="110"/>
      <c r="X60" s="110"/>
      <c r="Y60" s="471"/>
      <c r="Z60" s="110"/>
      <c r="AA60" s="110"/>
      <c r="AB60" s="110"/>
      <c r="AC60" s="110"/>
      <c r="AD60" s="471"/>
      <c r="AE60" s="110"/>
      <c r="AF60" s="110"/>
      <c r="AG60" s="110"/>
      <c r="AH60" s="110"/>
      <c r="AI60" s="471"/>
      <c r="AJ60" s="110"/>
      <c r="AK60" s="110"/>
      <c r="AL60" s="110"/>
      <c r="AM60" s="110"/>
      <c r="AN60" s="471"/>
      <c r="AO60" s="110"/>
      <c r="AP60" s="110"/>
      <c r="AQ60" s="110"/>
      <c r="AR60" s="110"/>
      <c r="AS60" s="471"/>
      <c r="AT60" s="110"/>
      <c r="AU60" s="110"/>
      <c r="AV60" s="110"/>
      <c r="AW60" s="110"/>
      <c r="AX60" s="471"/>
    </row>
    <row r="61" spans="2:50">
      <c r="B61" s="471"/>
      <c r="C61" s="110">
        <v>15</v>
      </c>
      <c r="D61" s="110"/>
      <c r="E61" s="110"/>
      <c r="F61" s="110"/>
      <c r="G61" s="110"/>
      <c r="H61" s="493"/>
      <c r="I61" s="110"/>
      <c r="J61" s="110"/>
      <c r="K61" s="110"/>
      <c r="L61" s="482"/>
      <c r="M61" s="160" t="e">
        <f>RANK(K61, K$47:$K$61)</f>
        <v>#DIV/0!</v>
      </c>
      <c r="N61" s="472"/>
      <c r="O61" s="472"/>
      <c r="P61" s="110"/>
      <c r="Q61" s="110"/>
      <c r="R61" s="110"/>
      <c r="S61" s="110"/>
      <c r="T61" s="471"/>
      <c r="U61" s="110"/>
      <c r="V61" s="110"/>
      <c r="W61" s="110"/>
      <c r="X61" s="110"/>
      <c r="Y61" s="471"/>
      <c r="Z61" s="110"/>
      <c r="AA61" s="110"/>
      <c r="AB61" s="110"/>
      <c r="AC61" s="110"/>
      <c r="AD61" s="471"/>
      <c r="AE61" s="110"/>
      <c r="AF61" s="110"/>
      <c r="AG61" s="110"/>
      <c r="AH61" s="110"/>
      <c r="AI61" s="471"/>
      <c r="AJ61" s="110"/>
      <c r="AK61" s="110"/>
      <c r="AL61" s="110"/>
      <c r="AM61" s="110"/>
      <c r="AN61" s="471"/>
      <c r="AO61" s="110"/>
      <c r="AP61" s="110"/>
      <c r="AQ61" s="110"/>
      <c r="AR61" s="110"/>
      <c r="AS61" s="471"/>
      <c r="AT61" s="110"/>
      <c r="AU61" s="110"/>
      <c r="AV61" s="110"/>
      <c r="AW61" s="110"/>
      <c r="AX61" s="471"/>
    </row>
    <row r="62" spans="2:50" ht="15.5">
      <c r="B62" s="486" t="s">
        <v>44</v>
      </c>
      <c r="C62" s="487"/>
      <c r="D62" s="487"/>
      <c r="E62" s="487"/>
      <c r="F62" s="487"/>
      <c r="G62" s="487"/>
      <c r="H62" s="487"/>
      <c r="I62" s="175"/>
      <c r="J62" s="175"/>
      <c r="K62" s="175"/>
      <c r="L62" s="175"/>
      <c r="M62" s="174"/>
      <c r="N62" s="476" t="s">
        <v>45</v>
      </c>
      <c r="O62" s="476" t="s">
        <v>3</v>
      </c>
      <c r="P62" s="470">
        <v>45888</v>
      </c>
      <c r="Q62" s="471"/>
      <c r="R62" s="471"/>
      <c r="S62" s="471"/>
      <c r="T62" s="471"/>
      <c r="U62" s="470">
        <v>45889</v>
      </c>
      <c r="V62" s="471"/>
      <c r="W62" s="471"/>
      <c r="X62" s="471"/>
      <c r="Y62" s="471"/>
      <c r="Z62" s="470">
        <v>45890</v>
      </c>
      <c r="AA62" s="471"/>
      <c r="AB62" s="471"/>
      <c r="AC62" s="471"/>
      <c r="AD62" s="471"/>
      <c r="AE62" s="470">
        <v>45891</v>
      </c>
      <c r="AF62" s="471"/>
      <c r="AG62" s="471"/>
      <c r="AH62" s="471"/>
      <c r="AI62" s="471"/>
      <c r="AJ62" s="470">
        <v>45892</v>
      </c>
      <c r="AK62" s="471"/>
      <c r="AL62" s="471"/>
      <c r="AM62" s="471"/>
      <c r="AN62" s="471"/>
      <c r="AO62" s="470">
        <v>45893</v>
      </c>
      <c r="AP62" s="471"/>
      <c r="AQ62" s="471"/>
      <c r="AR62" s="471"/>
      <c r="AS62" s="471"/>
      <c r="AT62" s="470">
        <v>45894</v>
      </c>
      <c r="AU62" s="471"/>
      <c r="AV62" s="471"/>
      <c r="AW62" s="471"/>
      <c r="AX62" s="471"/>
    </row>
    <row r="63" spans="2:50" ht="15.5">
      <c r="B63" s="488"/>
      <c r="C63" s="488"/>
      <c r="D63" s="488"/>
      <c r="E63" s="488"/>
      <c r="F63" s="488"/>
      <c r="G63" s="488"/>
      <c r="H63" s="488"/>
      <c r="I63" s="156"/>
      <c r="J63" s="156"/>
      <c r="K63" s="156"/>
      <c r="L63" s="156"/>
      <c r="M63" s="157"/>
      <c r="N63" s="478"/>
      <c r="O63" s="478"/>
      <c r="P63" s="470" t="s">
        <v>15</v>
      </c>
      <c r="Q63" s="471"/>
      <c r="R63" s="471"/>
      <c r="S63" s="471"/>
      <c r="T63" s="471"/>
      <c r="U63" s="470" t="s">
        <v>16</v>
      </c>
      <c r="V63" s="471"/>
      <c r="W63" s="471"/>
      <c r="X63" s="471"/>
      <c r="Y63" s="471"/>
      <c r="Z63" s="470" t="s">
        <v>17</v>
      </c>
      <c r="AA63" s="471"/>
      <c r="AB63" s="471"/>
      <c r="AC63" s="471"/>
      <c r="AD63" s="471"/>
      <c r="AE63" s="470" t="s">
        <v>18</v>
      </c>
      <c r="AF63" s="471"/>
      <c r="AG63" s="471"/>
      <c r="AH63" s="471"/>
      <c r="AI63" s="471"/>
      <c r="AJ63" s="470" t="s">
        <v>19</v>
      </c>
      <c r="AK63" s="471"/>
      <c r="AL63" s="471"/>
      <c r="AM63" s="471"/>
      <c r="AN63" s="471"/>
      <c r="AO63" s="470" t="s">
        <v>10</v>
      </c>
      <c r="AP63" s="471"/>
      <c r="AQ63" s="471"/>
      <c r="AR63" s="471"/>
      <c r="AS63" s="471"/>
      <c r="AT63" s="470" t="s">
        <v>14</v>
      </c>
      <c r="AU63" s="471"/>
      <c r="AV63" s="471"/>
      <c r="AW63" s="471"/>
      <c r="AX63" s="471"/>
    </row>
    <row r="64" spans="2:50">
      <c r="B64" s="472" t="s">
        <v>46</v>
      </c>
      <c r="C64" s="472" t="s">
        <v>47</v>
      </c>
      <c r="D64" s="472"/>
      <c r="E64" s="472" t="s">
        <v>48</v>
      </c>
      <c r="F64" s="472"/>
      <c r="G64" s="472"/>
      <c r="H64" s="483" t="s">
        <v>49</v>
      </c>
      <c r="I64" s="472" t="s">
        <v>50</v>
      </c>
      <c r="J64" s="472"/>
      <c r="K64" s="472"/>
      <c r="L64" s="483" t="s">
        <v>49</v>
      </c>
      <c r="M64" s="476" t="s">
        <v>51</v>
      </c>
      <c r="N64" s="472"/>
      <c r="O64" s="472" t="s">
        <v>52</v>
      </c>
      <c r="P64" s="473" t="s">
        <v>53</v>
      </c>
      <c r="Q64" s="474"/>
      <c r="R64" s="474"/>
      <c r="S64" s="475"/>
      <c r="T64" s="472" t="s">
        <v>49</v>
      </c>
      <c r="U64" s="473" t="s">
        <v>53</v>
      </c>
      <c r="V64" s="474"/>
      <c r="W64" s="474"/>
      <c r="X64" s="475"/>
      <c r="Y64" s="472" t="s">
        <v>49</v>
      </c>
      <c r="Z64" s="473" t="s">
        <v>53</v>
      </c>
      <c r="AA64" s="474"/>
      <c r="AB64" s="474"/>
      <c r="AC64" s="475"/>
      <c r="AD64" s="472" t="s">
        <v>49</v>
      </c>
      <c r="AE64" s="473" t="s">
        <v>53</v>
      </c>
      <c r="AF64" s="474"/>
      <c r="AG64" s="474"/>
      <c r="AH64" s="475"/>
      <c r="AI64" s="472" t="s">
        <v>49</v>
      </c>
      <c r="AJ64" s="473" t="s">
        <v>53</v>
      </c>
      <c r="AK64" s="474"/>
      <c r="AL64" s="474"/>
      <c r="AM64" s="475"/>
      <c r="AN64" s="472" t="s">
        <v>49</v>
      </c>
      <c r="AO64" s="473" t="s">
        <v>53</v>
      </c>
      <c r="AP64" s="474"/>
      <c r="AQ64" s="474"/>
      <c r="AR64" s="475"/>
      <c r="AS64" s="472" t="s">
        <v>49</v>
      </c>
      <c r="AT64" s="473" t="s">
        <v>53</v>
      </c>
      <c r="AU64" s="474"/>
      <c r="AV64" s="474"/>
      <c r="AW64" s="475"/>
      <c r="AX64" s="472" t="s">
        <v>49</v>
      </c>
    </row>
    <row r="65" spans="2:50">
      <c r="B65" s="472"/>
      <c r="C65" s="472"/>
      <c r="D65" s="472"/>
      <c r="E65" s="472" t="s">
        <v>54</v>
      </c>
      <c r="F65" s="472"/>
      <c r="G65" s="472"/>
      <c r="H65" s="484"/>
      <c r="I65" s="472" t="s">
        <v>54</v>
      </c>
      <c r="J65" s="472"/>
      <c r="K65" s="472"/>
      <c r="L65" s="484"/>
      <c r="M65" s="477"/>
      <c r="N65" s="472"/>
      <c r="O65" s="472"/>
      <c r="P65" s="473" t="s">
        <v>55</v>
      </c>
      <c r="Q65" s="474"/>
      <c r="R65" s="474"/>
      <c r="S65" s="475"/>
      <c r="T65" s="472"/>
      <c r="U65" s="473" t="s">
        <v>55</v>
      </c>
      <c r="V65" s="474"/>
      <c r="W65" s="474"/>
      <c r="X65" s="475"/>
      <c r="Y65" s="472"/>
      <c r="Z65" s="473" t="s">
        <v>55</v>
      </c>
      <c r="AA65" s="474"/>
      <c r="AB65" s="474"/>
      <c r="AC65" s="475"/>
      <c r="AD65" s="472"/>
      <c r="AE65" s="473" t="s">
        <v>55</v>
      </c>
      <c r="AF65" s="474"/>
      <c r="AG65" s="474"/>
      <c r="AH65" s="475"/>
      <c r="AI65" s="472"/>
      <c r="AJ65" s="473" t="s">
        <v>55</v>
      </c>
      <c r="AK65" s="474"/>
      <c r="AL65" s="474"/>
      <c r="AM65" s="475"/>
      <c r="AN65" s="472"/>
      <c r="AO65" s="473" t="s">
        <v>55</v>
      </c>
      <c r="AP65" s="474"/>
      <c r="AQ65" s="474"/>
      <c r="AR65" s="475"/>
      <c r="AS65" s="472"/>
      <c r="AT65" s="473" t="s">
        <v>55</v>
      </c>
      <c r="AU65" s="474"/>
      <c r="AV65" s="474"/>
      <c r="AW65" s="475"/>
      <c r="AX65" s="472"/>
    </row>
    <row r="66" spans="2:50">
      <c r="B66" s="472"/>
      <c r="C66" s="472"/>
      <c r="D66" s="472"/>
      <c r="E66" s="109" t="s">
        <v>56</v>
      </c>
      <c r="F66" s="109" t="s">
        <v>57</v>
      </c>
      <c r="G66" s="109" t="s">
        <v>58</v>
      </c>
      <c r="H66" s="485"/>
      <c r="I66" s="109" t="s">
        <v>56</v>
      </c>
      <c r="J66" s="109" t="s">
        <v>57</v>
      </c>
      <c r="K66" s="109" t="s">
        <v>58</v>
      </c>
      <c r="L66" s="485"/>
      <c r="M66" s="478"/>
      <c r="N66" s="472"/>
      <c r="O66" s="472"/>
      <c r="P66" s="109" t="s">
        <v>56</v>
      </c>
      <c r="Q66" s="109" t="s">
        <v>57</v>
      </c>
      <c r="R66" s="109" t="s">
        <v>58</v>
      </c>
      <c r="S66" s="109" t="s">
        <v>51</v>
      </c>
      <c r="T66" s="472"/>
      <c r="U66" s="109" t="s">
        <v>56</v>
      </c>
      <c r="V66" s="109" t="s">
        <v>57</v>
      </c>
      <c r="W66" s="109" t="s">
        <v>58</v>
      </c>
      <c r="X66" s="109" t="s">
        <v>51</v>
      </c>
      <c r="Y66" s="472"/>
      <c r="Z66" s="109" t="s">
        <v>56</v>
      </c>
      <c r="AA66" s="109" t="s">
        <v>57</v>
      </c>
      <c r="AB66" s="109" t="s">
        <v>58</v>
      </c>
      <c r="AC66" s="109" t="s">
        <v>51</v>
      </c>
      <c r="AD66" s="472"/>
      <c r="AE66" s="109" t="s">
        <v>56</v>
      </c>
      <c r="AF66" s="109" t="s">
        <v>57</v>
      </c>
      <c r="AG66" s="109" t="s">
        <v>58</v>
      </c>
      <c r="AH66" s="109" t="s">
        <v>51</v>
      </c>
      <c r="AI66" s="472"/>
      <c r="AJ66" s="109" t="s">
        <v>56</v>
      </c>
      <c r="AK66" s="109" t="s">
        <v>57</v>
      </c>
      <c r="AL66" s="109" t="s">
        <v>58</v>
      </c>
      <c r="AM66" s="109" t="s">
        <v>51</v>
      </c>
      <c r="AN66" s="472"/>
      <c r="AO66" s="109" t="s">
        <v>56</v>
      </c>
      <c r="AP66" s="109" t="s">
        <v>57</v>
      </c>
      <c r="AQ66" s="109" t="s">
        <v>58</v>
      </c>
      <c r="AR66" s="109" t="s">
        <v>51</v>
      </c>
      <c r="AS66" s="472"/>
      <c r="AT66" s="109" t="s">
        <v>56</v>
      </c>
      <c r="AU66" s="109" t="s">
        <v>57</v>
      </c>
      <c r="AV66" s="109" t="s">
        <v>58</v>
      </c>
      <c r="AW66" s="109" t="s">
        <v>51</v>
      </c>
      <c r="AX66" s="472"/>
    </row>
    <row r="67" spans="2:50" ht="13">
      <c r="B67" s="472" t="s">
        <v>60</v>
      </c>
      <c r="C67" s="110">
        <v>1</v>
      </c>
      <c r="D67" s="227"/>
      <c r="E67" s="160"/>
      <c r="F67" s="160"/>
      <c r="G67" s="158"/>
      <c r="H67" s="480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80" t="e">
        <f>AVERAGE(K67:K81)</f>
        <v>#DIV/0!</v>
      </c>
      <c r="M67" s="160" t="e">
        <f>RANK(K67, K$67:$K$81)</f>
        <v>#DIV/0!</v>
      </c>
      <c r="N67" s="472"/>
      <c r="O67" s="472"/>
      <c r="P67" s="110"/>
      <c r="Q67" s="110"/>
      <c r="R67" s="158"/>
      <c r="S67" s="110"/>
      <c r="T67" s="480" t="e">
        <f>AVERAGE(R67:R81)</f>
        <v>#DIV/0!</v>
      </c>
      <c r="U67" s="110"/>
      <c r="V67" s="110"/>
      <c r="W67" s="110"/>
      <c r="X67" s="110"/>
      <c r="Y67" s="471" t="e">
        <f>AVERAGE(W67:W81)</f>
        <v>#DIV/0!</v>
      </c>
      <c r="Z67" s="110"/>
      <c r="AA67" s="110"/>
      <c r="AB67" s="110"/>
      <c r="AC67" s="110"/>
      <c r="AD67" s="471" t="e">
        <f>AVERAGE(AB67:AB81)</f>
        <v>#DIV/0!</v>
      </c>
      <c r="AE67" s="110"/>
      <c r="AF67" s="110"/>
      <c r="AG67" s="110"/>
      <c r="AH67" s="110"/>
      <c r="AI67" s="471" t="e">
        <f>AVERAGE(AG67:AG81)</f>
        <v>#DIV/0!</v>
      </c>
      <c r="AJ67" s="110"/>
      <c r="AK67" s="110"/>
      <c r="AL67" s="110"/>
      <c r="AM67" s="110"/>
      <c r="AN67" s="471" t="e">
        <f>AVERAGE(AL67:AL81)</f>
        <v>#DIV/0!</v>
      </c>
      <c r="AO67" s="110"/>
      <c r="AP67" s="110"/>
      <c r="AQ67" s="110"/>
      <c r="AR67" s="110"/>
      <c r="AS67" s="471" t="e">
        <f>AVERAGE(AQ67:AQ81)</f>
        <v>#DIV/0!</v>
      </c>
      <c r="AT67" s="110"/>
      <c r="AU67" s="110"/>
      <c r="AV67" s="110"/>
      <c r="AW67" s="110"/>
      <c r="AX67" s="471" t="e">
        <f>AVERAGE(AV67:AV81)</f>
        <v>#DIV/0!</v>
      </c>
    </row>
    <row r="68" spans="2:50">
      <c r="B68" s="471"/>
      <c r="C68" s="110">
        <v>2</v>
      </c>
      <c r="D68" s="110"/>
      <c r="E68" s="160"/>
      <c r="F68" s="160"/>
      <c r="G68" s="158"/>
      <c r="H68" s="481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1"/>
      <c r="M68" s="160" t="e">
        <f>RANK(K68, K$67:$K$81)</f>
        <v>#DIV/0!</v>
      </c>
      <c r="N68" s="472"/>
      <c r="O68" s="472"/>
      <c r="P68" s="110"/>
      <c r="Q68" s="110"/>
      <c r="R68" s="158"/>
      <c r="S68" s="110"/>
      <c r="T68" s="481"/>
      <c r="U68" s="110"/>
      <c r="V68" s="110"/>
      <c r="W68" s="110"/>
      <c r="X68" s="110"/>
      <c r="Y68" s="471"/>
      <c r="Z68" s="110"/>
      <c r="AA68" s="110"/>
      <c r="AB68" s="110"/>
      <c r="AC68" s="110"/>
      <c r="AD68" s="471"/>
      <c r="AE68" s="110"/>
      <c r="AF68" s="110"/>
      <c r="AG68" s="110"/>
      <c r="AH68" s="110"/>
      <c r="AI68" s="471"/>
      <c r="AJ68" s="110"/>
      <c r="AK68" s="110"/>
      <c r="AL68" s="110"/>
      <c r="AM68" s="110"/>
      <c r="AN68" s="471"/>
      <c r="AO68" s="110"/>
      <c r="AP68" s="110"/>
      <c r="AQ68" s="110"/>
      <c r="AR68" s="110"/>
      <c r="AS68" s="471"/>
      <c r="AT68" s="110"/>
      <c r="AU68" s="110"/>
      <c r="AV68" s="110"/>
      <c r="AW68" s="110"/>
      <c r="AX68" s="471"/>
    </row>
    <row r="69" spans="2:50">
      <c r="B69" s="471"/>
      <c r="C69" s="110">
        <v>3</v>
      </c>
      <c r="D69" s="110"/>
      <c r="E69" s="160"/>
      <c r="F69" s="160"/>
      <c r="G69" s="158"/>
      <c r="H69" s="481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1"/>
      <c r="M69" s="160" t="e">
        <f>RANK(K69, K$67:$K$81)</f>
        <v>#DIV/0!</v>
      </c>
      <c r="N69" s="472"/>
      <c r="O69" s="472"/>
      <c r="P69" s="110"/>
      <c r="Q69" s="110"/>
      <c r="R69" s="158"/>
      <c r="S69" s="110"/>
      <c r="T69" s="481"/>
      <c r="U69" s="110"/>
      <c r="V69" s="110"/>
      <c r="W69" s="110"/>
      <c r="X69" s="110"/>
      <c r="Y69" s="471"/>
      <c r="Z69" s="110"/>
      <c r="AA69" s="110"/>
      <c r="AB69" s="110"/>
      <c r="AC69" s="110"/>
      <c r="AD69" s="471"/>
      <c r="AE69" s="110"/>
      <c r="AF69" s="110"/>
      <c r="AG69" s="110"/>
      <c r="AH69" s="110"/>
      <c r="AI69" s="471"/>
      <c r="AJ69" s="110"/>
      <c r="AK69" s="110"/>
      <c r="AL69" s="110"/>
      <c r="AM69" s="110"/>
      <c r="AN69" s="471"/>
      <c r="AO69" s="110"/>
      <c r="AP69" s="110"/>
      <c r="AQ69" s="110"/>
      <c r="AR69" s="110"/>
      <c r="AS69" s="471"/>
      <c r="AT69" s="110"/>
      <c r="AU69" s="110"/>
      <c r="AV69" s="110"/>
      <c r="AW69" s="110"/>
      <c r="AX69" s="471"/>
    </row>
    <row r="70" spans="2:50">
      <c r="B70" s="471"/>
      <c r="C70" s="110">
        <v>4</v>
      </c>
      <c r="D70" s="110"/>
      <c r="E70" s="160"/>
      <c r="F70" s="160"/>
      <c r="G70" s="158"/>
      <c r="H70" s="481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1"/>
      <c r="M70" s="160" t="e">
        <f>RANK(K70, K$67:$K$81)</f>
        <v>#DIV/0!</v>
      </c>
      <c r="N70" s="472"/>
      <c r="O70" s="472"/>
      <c r="P70" s="110"/>
      <c r="Q70" s="110"/>
      <c r="R70" s="158"/>
      <c r="S70" s="110"/>
      <c r="T70" s="481"/>
      <c r="U70" s="110"/>
      <c r="V70" s="110"/>
      <c r="W70" s="110"/>
      <c r="X70" s="110"/>
      <c r="Y70" s="471"/>
      <c r="Z70" s="110"/>
      <c r="AA70" s="110"/>
      <c r="AB70" s="110"/>
      <c r="AC70" s="110"/>
      <c r="AD70" s="471"/>
      <c r="AE70" s="110"/>
      <c r="AF70" s="110"/>
      <c r="AG70" s="110"/>
      <c r="AH70" s="110"/>
      <c r="AI70" s="471"/>
      <c r="AJ70" s="110"/>
      <c r="AK70" s="110"/>
      <c r="AL70" s="110"/>
      <c r="AM70" s="110"/>
      <c r="AN70" s="471"/>
      <c r="AO70" s="110"/>
      <c r="AP70" s="110"/>
      <c r="AQ70" s="110"/>
      <c r="AR70" s="110"/>
      <c r="AS70" s="471"/>
      <c r="AT70" s="110"/>
      <c r="AU70" s="110"/>
      <c r="AV70" s="110"/>
      <c r="AW70" s="110"/>
      <c r="AX70" s="471"/>
    </row>
    <row r="71" spans="2:50">
      <c r="B71" s="471"/>
      <c r="C71" s="110">
        <v>5</v>
      </c>
      <c r="D71" s="110"/>
      <c r="E71" s="160"/>
      <c r="F71" s="160"/>
      <c r="G71" s="158"/>
      <c r="H71" s="481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1"/>
      <c r="M71" s="160" t="e">
        <f>RANK(K71, K$67:$K$81)</f>
        <v>#DIV/0!</v>
      </c>
      <c r="N71" s="472"/>
      <c r="O71" s="472"/>
      <c r="P71" s="110"/>
      <c r="Q71" s="110"/>
      <c r="R71" s="158"/>
      <c r="S71" s="110"/>
      <c r="T71" s="481"/>
      <c r="U71" s="110"/>
      <c r="V71" s="110"/>
      <c r="W71" s="110"/>
      <c r="X71" s="110"/>
      <c r="Y71" s="471"/>
      <c r="Z71" s="110"/>
      <c r="AA71" s="110"/>
      <c r="AB71" s="110"/>
      <c r="AC71" s="110"/>
      <c r="AD71" s="471"/>
      <c r="AE71" s="110"/>
      <c r="AF71" s="110"/>
      <c r="AG71" s="110"/>
      <c r="AH71" s="110"/>
      <c r="AI71" s="471"/>
      <c r="AJ71" s="110"/>
      <c r="AK71" s="110"/>
      <c r="AL71" s="110"/>
      <c r="AM71" s="110"/>
      <c r="AN71" s="471"/>
      <c r="AO71" s="110"/>
      <c r="AP71" s="110"/>
      <c r="AQ71" s="110"/>
      <c r="AR71" s="110"/>
      <c r="AS71" s="471"/>
      <c r="AT71" s="110"/>
      <c r="AU71" s="110"/>
      <c r="AV71" s="110"/>
      <c r="AW71" s="110"/>
      <c r="AX71" s="471"/>
    </row>
    <row r="72" spans="2:50">
      <c r="B72" s="471"/>
      <c r="C72" s="110">
        <v>6</v>
      </c>
      <c r="D72" s="110"/>
      <c r="E72" s="160"/>
      <c r="F72" s="160"/>
      <c r="G72" s="158"/>
      <c r="H72" s="481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1"/>
      <c r="M72" s="160" t="e">
        <f>RANK(K72, K$67:$K$81)</f>
        <v>#DIV/0!</v>
      </c>
      <c r="N72" s="472"/>
      <c r="O72" s="472"/>
      <c r="P72" s="110"/>
      <c r="Q72" s="110"/>
      <c r="R72" s="158"/>
      <c r="S72" s="110"/>
      <c r="T72" s="481"/>
      <c r="U72" s="110"/>
      <c r="V72" s="110"/>
      <c r="W72" s="110"/>
      <c r="X72" s="110"/>
      <c r="Y72" s="471"/>
      <c r="Z72" s="110"/>
      <c r="AA72" s="110"/>
      <c r="AB72" s="110"/>
      <c r="AC72" s="110"/>
      <c r="AD72" s="471"/>
      <c r="AE72" s="110"/>
      <c r="AF72" s="110"/>
      <c r="AG72" s="110"/>
      <c r="AH72" s="110"/>
      <c r="AI72" s="471"/>
      <c r="AJ72" s="110"/>
      <c r="AK72" s="110"/>
      <c r="AL72" s="110"/>
      <c r="AM72" s="110"/>
      <c r="AN72" s="471"/>
      <c r="AO72" s="110"/>
      <c r="AP72" s="110"/>
      <c r="AQ72" s="110"/>
      <c r="AR72" s="110"/>
      <c r="AS72" s="471"/>
      <c r="AT72" s="110"/>
      <c r="AU72" s="110"/>
      <c r="AV72" s="110"/>
      <c r="AW72" s="110"/>
      <c r="AX72" s="471"/>
    </row>
    <row r="73" spans="2:50">
      <c r="B73" s="471"/>
      <c r="C73" s="110">
        <v>7</v>
      </c>
      <c r="D73" s="110"/>
      <c r="E73" s="160"/>
      <c r="F73" s="160"/>
      <c r="G73" s="158"/>
      <c r="H73" s="481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1"/>
      <c r="M73" s="160" t="e">
        <f>RANK(K73, K$67:$K$81)</f>
        <v>#DIV/0!</v>
      </c>
      <c r="N73" s="472"/>
      <c r="O73" s="472"/>
      <c r="P73" s="110"/>
      <c r="Q73" s="110"/>
      <c r="R73" s="158"/>
      <c r="S73" s="110"/>
      <c r="T73" s="481"/>
      <c r="U73" s="110"/>
      <c r="V73" s="110"/>
      <c r="W73" s="110"/>
      <c r="X73" s="110"/>
      <c r="Y73" s="471"/>
      <c r="Z73" s="110"/>
      <c r="AA73" s="110"/>
      <c r="AB73" s="110"/>
      <c r="AC73" s="110"/>
      <c r="AD73" s="471"/>
      <c r="AE73" s="110"/>
      <c r="AF73" s="110"/>
      <c r="AG73" s="110"/>
      <c r="AH73" s="110"/>
      <c r="AI73" s="471"/>
      <c r="AJ73" s="110"/>
      <c r="AK73" s="110"/>
      <c r="AL73" s="110"/>
      <c r="AM73" s="110"/>
      <c r="AN73" s="471"/>
      <c r="AO73" s="110"/>
      <c r="AP73" s="110"/>
      <c r="AQ73" s="110"/>
      <c r="AR73" s="110"/>
      <c r="AS73" s="471"/>
      <c r="AT73" s="110"/>
      <c r="AU73" s="110"/>
      <c r="AV73" s="110"/>
      <c r="AW73" s="110"/>
      <c r="AX73" s="471"/>
    </row>
    <row r="74" spans="2:50">
      <c r="B74" s="471"/>
      <c r="C74" s="110">
        <v>8</v>
      </c>
      <c r="D74" s="110"/>
      <c r="E74" s="160"/>
      <c r="F74" s="160"/>
      <c r="G74" s="158"/>
      <c r="H74" s="481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1"/>
      <c r="M74" s="160" t="e">
        <f>RANK(K74, K$67:$K$81)</f>
        <v>#DIV/0!</v>
      </c>
      <c r="N74" s="472"/>
      <c r="O74" s="472"/>
      <c r="P74" s="110"/>
      <c r="Q74" s="110"/>
      <c r="R74" s="158"/>
      <c r="S74" s="110"/>
      <c r="T74" s="481"/>
      <c r="U74" s="110"/>
      <c r="V74" s="110"/>
      <c r="W74" s="110"/>
      <c r="X74" s="110"/>
      <c r="Y74" s="471"/>
      <c r="Z74" s="110"/>
      <c r="AA74" s="110"/>
      <c r="AB74" s="110"/>
      <c r="AC74" s="110"/>
      <c r="AD74" s="471"/>
      <c r="AE74" s="110"/>
      <c r="AF74" s="110"/>
      <c r="AG74" s="110"/>
      <c r="AH74" s="110"/>
      <c r="AI74" s="471"/>
      <c r="AJ74" s="110"/>
      <c r="AK74" s="110"/>
      <c r="AL74" s="110"/>
      <c r="AM74" s="110"/>
      <c r="AN74" s="471"/>
      <c r="AO74" s="110"/>
      <c r="AP74" s="110"/>
      <c r="AQ74" s="110"/>
      <c r="AR74" s="110"/>
      <c r="AS74" s="471"/>
      <c r="AT74" s="110"/>
      <c r="AU74" s="110"/>
      <c r="AV74" s="110"/>
      <c r="AW74" s="110"/>
      <c r="AX74" s="471"/>
    </row>
    <row r="75" spans="2:50">
      <c r="B75" s="471"/>
      <c r="C75" s="110">
        <v>9</v>
      </c>
      <c r="D75" s="110"/>
      <c r="E75" s="160"/>
      <c r="F75" s="160"/>
      <c r="G75" s="158"/>
      <c r="H75" s="481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1"/>
      <c r="M75" s="160" t="e">
        <f>RANK(K75, K$67:$K$81)</f>
        <v>#DIV/0!</v>
      </c>
      <c r="N75" s="472"/>
      <c r="O75" s="472"/>
      <c r="P75" s="110"/>
      <c r="Q75" s="110"/>
      <c r="R75" s="158"/>
      <c r="S75" s="110"/>
      <c r="T75" s="481"/>
      <c r="U75" s="110"/>
      <c r="V75" s="110"/>
      <c r="W75" s="110"/>
      <c r="X75" s="110"/>
      <c r="Y75" s="471"/>
      <c r="Z75" s="110"/>
      <c r="AA75" s="110"/>
      <c r="AB75" s="110"/>
      <c r="AC75" s="110"/>
      <c r="AD75" s="471"/>
      <c r="AE75" s="110"/>
      <c r="AF75" s="110"/>
      <c r="AG75" s="110"/>
      <c r="AH75" s="110"/>
      <c r="AI75" s="471"/>
      <c r="AJ75" s="110"/>
      <c r="AK75" s="110"/>
      <c r="AL75" s="110"/>
      <c r="AM75" s="110"/>
      <c r="AN75" s="471"/>
      <c r="AO75" s="110"/>
      <c r="AP75" s="110"/>
      <c r="AQ75" s="110"/>
      <c r="AR75" s="110"/>
      <c r="AS75" s="471"/>
      <c r="AT75" s="110"/>
      <c r="AU75" s="110"/>
      <c r="AV75" s="110"/>
      <c r="AW75" s="110"/>
      <c r="AX75" s="471"/>
    </row>
    <row r="76" spans="2:50">
      <c r="B76" s="471"/>
      <c r="C76" s="110">
        <v>10</v>
      </c>
      <c r="D76" s="110"/>
      <c r="E76" s="160"/>
      <c r="F76" s="160"/>
      <c r="G76" s="158"/>
      <c r="H76" s="481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1"/>
      <c r="M76" s="160" t="e">
        <f>RANK(K76, K$67:$K$81)</f>
        <v>#DIV/0!</v>
      </c>
      <c r="N76" s="472"/>
      <c r="O76" s="472"/>
      <c r="P76" s="110"/>
      <c r="Q76" s="110"/>
      <c r="R76" s="158"/>
      <c r="S76" s="110"/>
      <c r="T76" s="481"/>
      <c r="U76" s="110"/>
      <c r="V76" s="110"/>
      <c r="W76" s="110"/>
      <c r="X76" s="110"/>
      <c r="Y76" s="471"/>
      <c r="Z76" s="110"/>
      <c r="AA76" s="110"/>
      <c r="AB76" s="110"/>
      <c r="AC76" s="110"/>
      <c r="AD76" s="471"/>
      <c r="AE76" s="110"/>
      <c r="AF76" s="110"/>
      <c r="AG76" s="110"/>
      <c r="AH76" s="110"/>
      <c r="AI76" s="471"/>
      <c r="AJ76" s="110"/>
      <c r="AK76" s="110"/>
      <c r="AL76" s="110"/>
      <c r="AM76" s="110"/>
      <c r="AN76" s="471"/>
      <c r="AO76" s="110"/>
      <c r="AP76" s="110"/>
      <c r="AQ76" s="110"/>
      <c r="AR76" s="110"/>
      <c r="AS76" s="471"/>
      <c r="AT76" s="110"/>
      <c r="AU76" s="110"/>
      <c r="AV76" s="110"/>
      <c r="AW76" s="110"/>
      <c r="AX76" s="471"/>
    </row>
    <row r="77" spans="2:50">
      <c r="B77" s="471"/>
      <c r="C77" s="110">
        <v>11</v>
      </c>
      <c r="D77" s="110"/>
      <c r="E77" s="160"/>
      <c r="F77" s="160"/>
      <c r="G77" s="158"/>
      <c r="H77" s="481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1"/>
      <c r="M77" s="160" t="e">
        <f>RANK(K77, K$67:$K$81)</f>
        <v>#DIV/0!</v>
      </c>
      <c r="N77" s="472"/>
      <c r="O77" s="472"/>
      <c r="P77" s="110"/>
      <c r="Q77" s="110"/>
      <c r="R77" s="158"/>
      <c r="S77" s="110"/>
      <c r="T77" s="481"/>
      <c r="U77" s="110"/>
      <c r="V77" s="110"/>
      <c r="W77" s="110"/>
      <c r="X77" s="110"/>
      <c r="Y77" s="471"/>
      <c r="Z77" s="110"/>
      <c r="AA77" s="110"/>
      <c r="AB77" s="110"/>
      <c r="AC77" s="110"/>
      <c r="AD77" s="471"/>
      <c r="AE77" s="110"/>
      <c r="AF77" s="110"/>
      <c r="AG77" s="110"/>
      <c r="AH77" s="110"/>
      <c r="AI77" s="471"/>
      <c r="AJ77" s="110"/>
      <c r="AK77" s="110"/>
      <c r="AL77" s="110"/>
      <c r="AM77" s="110"/>
      <c r="AN77" s="471"/>
      <c r="AO77" s="110"/>
      <c r="AP77" s="110"/>
      <c r="AQ77" s="110"/>
      <c r="AR77" s="110"/>
      <c r="AS77" s="471"/>
      <c r="AT77" s="110"/>
      <c r="AU77" s="110"/>
      <c r="AV77" s="110"/>
      <c r="AW77" s="110"/>
      <c r="AX77" s="471"/>
    </row>
    <row r="78" spans="2:50">
      <c r="B78" s="471"/>
      <c r="C78" s="110">
        <v>12</v>
      </c>
      <c r="D78" s="110"/>
      <c r="E78" s="160"/>
      <c r="F78" s="160"/>
      <c r="G78" s="158"/>
      <c r="H78" s="481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1"/>
      <c r="M78" s="160" t="e">
        <f>RANK(K78, K$67:$K$81)</f>
        <v>#DIV/0!</v>
      </c>
      <c r="N78" s="472"/>
      <c r="O78" s="472"/>
      <c r="P78" s="110"/>
      <c r="Q78" s="110"/>
      <c r="R78" s="158"/>
      <c r="S78" s="110"/>
      <c r="T78" s="481"/>
      <c r="U78" s="110"/>
      <c r="V78" s="110"/>
      <c r="W78" s="110"/>
      <c r="X78" s="110"/>
      <c r="Y78" s="471"/>
      <c r="Z78" s="110"/>
      <c r="AA78" s="110"/>
      <c r="AB78" s="110"/>
      <c r="AC78" s="110"/>
      <c r="AD78" s="471"/>
      <c r="AE78" s="110"/>
      <c r="AF78" s="110"/>
      <c r="AG78" s="110"/>
      <c r="AH78" s="110"/>
      <c r="AI78" s="471"/>
      <c r="AJ78" s="110"/>
      <c r="AK78" s="110"/>
      <c r="AL78" s="110"/>
      <c r="AM78" s="110"/>
      <c r="AN78" s="471"/>
      <c r="AO78" s="110"/>
      <c r="AP78" s="110"/>
      <c r="AQ78" s="110"/>
      <c r="AR78" s="110"/>
      <c r="AS78" s="471"/>
      <c r="AT78" s="110"/>
      <c r="AU78" s="110"/>
      <c r="AV78" s="110"/>
      <c r="AW78" s="110"/>
      <c r="AX78" s="471"/>
    </row>
    <row r="79" spans="2:50">
      <c r="B79" s="471"/>
      <c r="C79" s="110">
        <v>13</v>
      </c>
      <c r="D79" s="110"/>
      <c r="E79" s="160"/>
      <c r="F79" s="160"/>
      <c r="G79" s="158"/>
      <c r="H79" s="481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1"/>
      <c r="M79" s="160" t="e">
        <f>RANK(K79, K$67:$K$81)</f>
        <v>#DIV/0!</v>
      </c>
      <c r="N79" s="472"/>
      <c r="O79" s="472"/>
      <c r="P79" s="110"/>
      <c r="Q79" s="110"/>
      <c r="R79" s="158"/>
      <c r="S79" s="110"/>
      <c r="T79" s="481"/>
      <c r="U79" s="110"/>
      <c r="V79" s="110"/>
      <c r="W79" s="110"/>
      <c r="X79" s="110"/>
      <c r="Y79" s="471"/>
      <c r="Z79" s="110"/>
      <c r="AA79" s="110"/>
      <c r="AB79" s="110"/>
      <c r="AC79" s="110"/>
      <c r="AD79" s="471"/>
      <c r="AE79" s="110"/>
      <c r="AF79" s="110"/>
      <c r="AG79" s="110"/>
      <c r="AH79" s="110"/>
      <c r="AI79" s="471"/>
      <c r="AJ79" s="110"/>
      <c r="AK79" s="110"/>
      <c r="AL79" s="110"/>
      <c r="AM79" s="110"/>
      <c r="AN79" s="471"/>
      <c r="AO79" s="110"/>
      <c r="AP79" s="110"/>
      <c r="AQ79" s="110"/>
      <c r="AR79" s="110"/>
      <c r="AS79" s="471"/>
      <c r="AT79" s="110"/>
      <c r="AU79" s="110"/>
      <c r="AV79" s="110"/>
      <c r="AW79" s="110"/>
      <c r="AX79" s="471"/>
    </row>
    <row r="80" spans="2:50">
      <c r="B80" s="471"/>
      <c r="C80" s="110">
        <v>14</v>
      </c>
      <c r="D80" s="110"/>
      <c r="E80" s="160"/>
      <c r="F80" s="160"/>
      <c r="G80" s="158"/>
      <c r="H80" s="481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1"/>
      <c r="M80" s="160" t="e">
        <f>RANK(K80, K$67:$K$81)</f>
        <v>#DIV/0!</v>
      </c>
      <c r="N80" s="472"/>
      <c r="O80" s="472"/>
      <c r="P80" s="110"/>
      <c r="Q80" s="110"/>
      <c r="R80" s="110"/>
      <c r="S80" s="110"/>
      <c r="T80" s="481"/>
      <c r="U80" s="110"/>
      <c r="V80" s="110"/>
      <c r="W80" s="110"/>
      <c r="X80" s="110"/>
      <c r="Y80" s="471"/>
      <c r="Z80" s="110"/>
      <c r="AA80" s="110"/>
      <c r="AB80" s="110"/>
      <c r="AC80" s="110"/>
      <c r="AD80" s="471"/>
      <c r="AE80" s="110"/>
      <c r="AF80" s="110"/>
      <c r="AG80" s="110"/>
      <c r="AH80" s="110"/>
      <c r="AI80" s="471"/>
      <c r="AJ80" s="110"/>
      <c r="AK80" s="110"/>
      <c r="AL80" s="110"/>
      <c r="AM80" s="110"/>
      <c r="AN80" s="471"/>
      <c r="AO80" s="110"/>
      <c r="AP80" s="110"/>
      <c r="AQ80" s="110"/>
      <c r="AR80" s="110"/>
      <c r="AS80" s="471"/>
      <c r="AT80" s="110"/>
      <c r="AU80" s="110"/>
      <c r="AV80" s="110"/>
      <c r="AW80" s="110"/>
      <c r="AX80" s="471"/>
    </row>
    <row r="81" spans="2:50">
      <c r="B81" s="471"/>
      <c r="C81" s="110">
        <v>15</v>
      </c>
      <c r="D81" s="110"/>
      <c r="E81" s="110"/>
      <c r="F81" s="110"/>
      <c r="G81" s="110"/>
      <c r="H81" s="482"/>
      <c r="I81" s="110"/>
      <c r="J81" s="110"/>
      <c r="K81" s="110"/>
      <c r="L81" s="482"/>
      <c r="M81" s="160" t="e">
        <f>RANK(K81, K$67:$K$81)</f>
        <v>#DIV/0!</v>
      </c>
      <c r="N81" s="472"/>
      <c r="O81" s="472"/>
      <c r="P81" s="110"/>
      <c r="Q81" s="110"/>
      <c r="R81" s="110"/>
      <c r="S81" s="110"/>
      <c r="T81" s="482"/>
      <c r="U81" s="110"/>
      <c r="V81" s="110"/>
      <c r="W81" s="110"/>
      <c r="X81" s="110"/>
      <c r="Y81" s="471"/>
      <c r="Z81" s="110"/>
      <c r="AA81" s="110"/>
      <c r="AB81" s="110"/>
      <c r="AC81" s="110"/>
      <c r="AD81" s="471"/>
      <c r="AE81" s="110"/>
      <c r="AF81" s="110"/>
      <c r="AG81" s="110"/>
      <c r="AH81" s="110"/>
      <c r="AI81" s="471"/>
      <c r="AJ81" s="110"/>
      <c r="AK81" s="110"/>
      <c r="AL81" s="110"/>
      <c r="AM81" s="110"/>
      <c r="AN81" s="471"/>
      <c r="AO81" s="110"/>
      <c r="AP81" s="110"/>
      <c r="AQ81" s="110"/>
      <c r="AR81" s="110"/>
      <c r="AS81" s="471"/>
      <c r="AT81" s="110"/>
      <c r="AU81" s="110"/>
      <c r="AV81" s="110"/>
      <c r="AW81" s="110"/>
      <c r="AX81" s="471"/>
    </row>
    <row r="82" spans="2:50" ht="15.5">
      <c r="B82" s="486" t="s">
        <v>44</v>
      </c>
      <c r="C82" s="487"/>
      <c r="D82" s="487"/>
      <c r="E82" s="487"/>
      <c r="F82" s="487"/>
      <c r="G82" s="487"/>
      <c r="H82" s="487"/>
      <c r="I82" s="175"/>
      <c r="J82" s="175"/>
      <c r="K82" s="175"/>
      <c r="L82" s="175"/>
      <c r="M82" s="174"/>
      <c r="N82" s="476" t="s">
        <v>45</v>
      </c>
      <c r="O82" s="476" t="s">
        <v>3</v>
      </c>
      <c r="P82" s="470">
        <v>45895</v>
      </c>
      <c r="Q82" s="471"/>
      <c r="R82" s="471"/>
      <c r="S82" s="471"/>
      <c r="T82" s="471"/>
      <c r="U82" s="470">
        <v>45896</v>
      </c>
      <c r="V82" s="471"/>
      <c r="W82" s="471"/>
      <c r="X82" s="471"/>
      <c r="Y82" s="471"/>
      <c r="Z82" s="470">
        <v>45897</v>
      </c>
      <c r="AA82" s="471"/>
      <c r="AB82" s="471"/>
      <c r="AC82" s="471"/>
      <c r="AD82" s="471"/>
      <c r="AE82" s="470">
        <v>45898</v>
      </c>
      <c r="AF82" s="471"/>
      <c r="AG82" s="471"/>
      <c r="AH82" s="471"/>
      <c r="AI82" s="471"/>
      <c r="AJ82" s="470">
        <v>45899</v>
      </c>
      <c r="AK82" s="471"/>
      <c r="AL82" s="471"/>
      <c r="AM82" s="471"/>
      <c r="AN82" s="471"/>
      <c r="AO82" s="470">
        <v>45900</v>
      </c>
      <c r="AP82" s="471"/>
      <c r="AQ82" s="471"/>
      <c r="AR82" s="471"/>
      <c r="AS82" s="471"/>
      <c r="AT82" s="470"/>
      <c r="AU82" s="471"/>
      <c r="AV82" s="471"/>
      <c r="AW82" s="471"/>
      <c r="AX82" s="471"/>
    </row>
    <row r="83" spans="2:50" ht="15.5">
      <c r="B83" s="488"/>
      <c r="C83" s="488"/>
      <c r="D83" s="488"/>
      <c r="E83" s="488"/>
      <c r="F83" s="488"/>
      <c r="G83" s="488"/>
      <c r="H83" s="488"/>
      <c r="I83" s="156"/>
      <c r="J83" s="156"/>
      <c r="K83" s="156"/>
      <c r="L83" s="156"/>
      <c r="M83" s="157"/>
      <c r="N83" s="478"/>
      <c r="O83" s="478"/>
      <c r="P83" s="470" t="s">
        <v>15</v>
      </c>
      <c r="Q83" s="471"/>
      <c r="R83" s="471"/>
      <c r="S83" s="471"/>
      <c r="T83" s="471"/>
      <c r="U83" s="470" t="s">
        <v>16</v>
      </c>
      <c r="V83" s="471"/>
      <c r="W83" s="471"/>
      <c r="X83" s="471"/>
      <c r="Y83" s="471"/>
      <c r="Z83" s="470" t="s">
        <v>17</v>
      </c>
      <c r="AA83" s="471"/>
      <c r="AB83" s="471"/>
      <c r="AC83" s="471"/>
      <c r="AD83" s="471"/>
      <c r="AE83" s="470" t="s">
        <v>18</v>
      </c>
      <c r="AF83" s="471"/>
      <c r="AG83" s="471"/>
      <c r="AH83" s="471"/>
      <c r="AI83" s="471"/>
      <c r="AJ83" s="470" t="s">
        <v>19</v>
      </c>
      <c r="AK83" s="471"/>
      <c r="AL83" s="471"/>
      <c r="AM83" s="471"/>
      <c r="AN83" s="471"/>
      <c r="AO83" s="470" t="s">
        <v>10</v>
      </c>
      <c r="AP83" s="471"/>
      <c r="AQ83" s="471"/>
      <c r="AR83" s="471"/>
      <c r="AS83" s="471"/>
      <c r="AT83" s="470" t="s">
        <v>14</v>
      </c>
      <c r="AU83" s="471"/>
      <c r="AV83" s="471"/>
      <c r="AW83" s="471"/>
      <c r="AX83" s="471"/>
    </row>
    <row r="84" spans="2:50">
      <c r="B84" s="472" t="s">
        <v>46</v>
      </c>
      <c r="C84" s="472" t="s">
        <v>47</v>
      </c>
      <c r="D84" s="472"/>
      <c r="E84" s="472" t="s">
        <v>48</v>
      </c>
      <c r="F84" s="472"/>
      <c r="G84" s="472"/>
      <c r="H84" s="483" t="s">
        <v>49</v>
      </c>
      <c r="I84" s="472" t="s">
        <v>50</v>
      </c>
      <c r="J84" s="472"/>
      <c r="K84" s="472"/>
      <c r="L84" s="483" t="s">
        <v>49</v>
      </c>
      <c r="M84" s="476" t="s">
        <v>51</v>
      </c>
      <c r="N84" s="472"/>
      <c r="O84" s="472" t="s">
        <v>52</v>
      </c>
      <c r="P84" s="473" t="s">
        <v>53</v>
      </c>
      <c r="Q84" s="474"/>
      <c r="R84" s="474"/>
      <c r="S84" s="475"/>
      <c r="T84" s="472" t="s">
        <v>49</v>
      </c>
      <c r="U84" s="473" t="s">
        <v>53</v>
      </c>
      <c r="V84" s="474"/>
      <c r="W84" s="474"/>
      <c r="X84" s="475"/>
      <c r="Y84" s="472" t="s">
        <v>49</v>
      </c>
      <c r="Z84" s="473" t="s">
        <v>53</v>
      </c>
      <c r="AA84" s="474"/>
      <c r="AB84" s="474"/>
      <c r="AC84" s="475"/>
      <c r="AD84" s="472" t="s">
        <v>49</v>
      </c>
      <c r="AE84" s="473" t="s">
        <v>53</v>
      </c>
      <c r="AF84" s="474"/>
      <c r="AG84" s="474"/>
      <c r="AH84" s="475"/>
      <c r="AI84" s="472" t="s">
        <v>49</v>
      </c>
      <c r="AJ84" s="473" t="s">
        <v>53</v>
      </c>
      <c r="AK84" s="474"/>
      <c r="AL84" s="474"/>
      <c r="AM84" s="475"/>
      <c r="AN84" s="472" t="s">
        <v>49</v>
      </c>
      <c r="AO84" s="473" t="s">
        <v>53</v>
      </c>
      <c r="AP84" s="474"/>
      <c r="AQ84" s="474"/>
      <c r="AR84" s="475"/>
      <c r="AS84" s="472" t="s">
        <v>49</v>
      </c>
      <c r="AT84" s="473" t="s">
        <v>53</v>
      </c>
      <c r="AU84" s="474"/>
      <c r="AV84" s="474"/>
      <c r="AW84" s="475"/>
      <c r="AX84" s="472" t="s">
        <v>49</v>
      </c>
    </row>
    <row r="85" spans="2:50">
      <c r="B85" s="472"/>
      <c r="C85" s="472"/>
      <c r="D85" s="472"/>
      <c r="E85" s="472" t="s">
        <v>54</v>
      </c>
      <c r="F85" s="472"/>
      <c r="G85" s="472"/>
      <c r="H85" s="484"/>
      <c r="I85" s="472" t="s">
        <v>54</v>
      </c>
      <c r="J85" s="472"/>
      <c r="K85" s="472"/>
      <c r="L85" s="484"/>
      <c r="M85" s="477"/>
      <c r="N85" s="472"/>
      <c r="O85" s="472"/>
      <c r="P85" s="473" t="s">
        <v>55</v>
      </c>
      <c r="Q85" s="474"/>
      <c r="R85" s="474"/>
      <c r="S85" s="475"/>
      <c r="T85" s="472"/>
      <c r="U85" s="473" t="s">
        <v>55</v>
      </c>
      <c r="V85" s="474"/>
      <c r="W85" s="474"/>
      <c r="X85" s="475"/>
      <c r="Y85" s="472"/>
      <c r="Z85" s="473" t="s">
        <v>55</v>
      </c>
      <c r="AA85" s="474"/>
      <c r="AB85" s="474"/>
      <c r="AC85" s="475"/>
      <c r="AD85" s="472"/>
      <c r="AE85" s="473" t="s">
        <v>55</v>
      </c>
      <c r="AF85" s="474"/>
      <c r="AG85" s="474"/>
      <c r="AH85" s="475"/>
      <c r="AI85" s="472"/>
      <c r="AJ85" s="473" t="s">
        <v>55</v>
      </c>
      <c r="AK85" s="474"/>
      <c r="AL85" s="474"/>
      <c r="AM85" s="475"/>
      <c r="AN85" s="472"/>
      <c r="AO85" s="473" t="s">
        <v>55</v>
      </c>
      <c r="AP85" s="474"/>
      <c r="AQ85" s="474"/>
      <c r="AR85" s="475"/>
      <c r="AS85" s="472"/>
      <c r="AT85" s="473" t="s">
        <v>55</v>
      </c>
      <c r="AU85" s="474"/>
      <c r="AV85" s="474"/>
      <c r="AW85" s="475"/>
      <c r="AX85" s="472"/>
    </row>
    <row r="86" spans="2:50">
      <c r="B86" s="472"/>
      <c r="C86" s="472"/>
      <c r="D86" s="472"/>
      <c r="E86" s="109" t="s">
        <v>56</v>
      </c>
      <c r="F86" s="109" t="s">
        <v>57</v>
      </c>
      <c r="G86" s="109" t="s">
        <v>58</v>
      </c>
      <c r="H86" s="485"/>
      <c r="I86" s="109" t="s">
        <v>56</v>
      </c>
      <c r="J86" s="109" t="s">
        <v>57</v>
      </c>
      <c r="K86" s="109" t="s">
        <v>58</v>
      </c>
      <c r="L86" s="485"/>
      <c r="M86" s="478"/>
      <c r="N86" s="472"/>
      <c r="O86" s="472"/>
      <c r="P86" s="109" t="s">
        <v>56</v>
      </c>
      <c r="Q86" s="109" t="s">
        <v>57</v>
      </c>
      <c r="R86" s="109" t="s">
        <v>58</v>
      </c>
      <c r="S86" s="109" t="s">
        <v>51</v>
      </c>
      <c r="T86" s="472"/>
      <c r="U86" s="109" t="s">
        <v>56</v>
      </c>
      <c r="V86" s="109" t="s">
        <v>57</v>
      </c>
      <c r="W86" s="109" t="s">
        <v>58</v>
      </c>
      <c r="X86" s="109" t="s">
        <v>51</v>
      </c>
      <c r="Y86" s="472"/>
      <c r="Z86" s="109" t="s">
        <v>56</v>
      </c>
      <c r="AA86" s="109" t="s">
        <v>57</v>
      </c>
      <c r="AB86" s="109" t="s">
        <v>58</v>
      </c>
      <c r="AC86" s="109" t="s">
        <v>51</v>
      </c>
      <c r="AD86" s="472"/>
      <c r="AE86" s="109" t="s">
        <v>56</v>
      </c>
      <c r="AF86" s="109" t="s">
        <v>57</v>
      </c>
      <c r="AG86" s="109" t="s">
        <v>58</v>
      </c>
      <c r="AH86" s="109" t="s">
        <v>51</v>
      </c>
      <c r="AI86" s="472"/>
      <c r="AJ86" s="109" t="s">
        <v>56</v>
      </c>
      <c r="AK86" s="109" t="s">
        <v>57</v>
      </c>
      <c r="AL86" s="109" t="s">
        <v>58</v>
      </c>
      <c r="AM86" s="109" t="s">
        <v>51</v>
      </c>
      <c r="AN86" s="472"/>
      <c r="AO86" s="109" t="s">
        <v>56</v>
      </c>
      <c r="AP86" s="109" t="s">
        <v>57</v>
      </c>
      <c r="AQ86" s="109" t="s">
        <v>58</v>
      </c>
      <c r="AR86" s="109" t="s">
        <v>51</v>
      </c>
      <c r="AS86" s="472"/>
      <c r="AT86" s="109" t="s">
        <v>56</v>
      </c>
      <c r="AU86" s="109" t="s">
        <v>57</v>
      </c>
      <c r="AV86" s="109" t="s">
        <v>58</v>
      </c>
      <c r="AW86" s="109" t="s">
        <v>51</v>
      </c>
      <c r="AX86" s="472"/>
    </row>
    <row r="87" spans="2:50">
      <c r="B87" s="472" t="s">
        <v>60</v>
      </c>
      <c r="C87" s="110">
        <v>1</v>
      </c>
      <c r="D87" s="110"/>
      <c r="E87" s="110"/>
      <c r="F87" s="110"/>
      <c r="G87" s="110"/>
      <c r="H87" s="491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80" t="e">
        <f>AVERAGE(K87:K101)</f>
        <v>#DIV/0!</v>
      </c>
      <c r="M87" s="160" t="e">
        <f>RANK(K87, K$87:$K$101)</f>
        <v>#DIV/0!</v>
      </c>
      <c r="N87" s="472"/>
      <c r="O87" s="472"/>
      <c r="P87" s="110"/>
      <c r="Q87" s="110"/>
      <c r="R87" s="110"/>
      <c r="S87" s="110"/>
      <c r="T87" s="471" t="e">
        <f>AVERAGE(R87:R101)</f>
        <v>#DIV/0!</v>
      </c>
      <c r="U87" s="110"/>
      <c r="V87" s="110"/>
      <c r="W87" s="110"/>
      <c r="X87" s="110"/>
      <c r="Y87" s="471" t="e">
        <f>AVERAGE(W87:W101)</f>
        <v>#DIV/0!</v>
      </c>
      <c r="Z87" s="110"/>
      <c r="AA87" s="110"/>
      <c r="AB87" s="110"/>
      <c r="AC87" s="110"/>
      <c r="AD87" s="471" t="e">
        <f>AVERAGE(AB87:AB101)</f>
        <v>#DIV/0!</v>
      </c>
      <c r="AE87" s="110"/>
      <c r="AF87" s="110"/>
      <c r="AG87" s="110"/>
      <c r="AH87" s="110"/>
      <c r="AI87" s="471" t="e">
        <f>AVERAGE(AG87:AG101)</f>
        <v>#DIV/0!</v>
      </c>
      <c r="AJ87" s="110"/>
      <c r="AK87" s="110"/>
      <c r="AL87" s="110"/>
      <c r="AM87" s="110"/>
      <c r="AN87" s="471" t="e">
        <f>AVERAGE(AL87:AL101)</f>
        <v>#DIV/0!</v>
      </c>
      <c r="AO87" s="110"/>
      <c r="AP87" s="110"/>
      <c r="AQ87" s="110"/>
      <c r="AR87" s="110"/>
      <c r="AS87" s="471" t="e">
        <f>AVERAGE(AQ87:AQ101)</f>
        <v>#DIV/0!</v>
      </c>
      <c r="AT87" s="110"/>
      <c r="AU87" s="110"/>
      <c r="AV87" s="110"/>
      <c r="AW87" s="110"/>
      <c r="AX87" s="471" t="e">
        <f>AVERAGE(AV87:AV101)</f>
        <v>#DIV/0!</v>
      </c>
    </row>
    <row r="88" spans="2:50">
      <c r="B88" s="471"/>
      <c r="C88" s="110">
        <v>2</v>
      </c>
      <c r="D88" s="110"/>
      <c r="E88" s="110"/>
      <c r="F88" s="110"/>
      <c r="G88" s="110"/>
      <c r="H88" s="492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1"/>
      <c r="M88" s="160" t="e">
        <f>RANK(K88, K$87:$K$101)</f>
        <v>#DIV/0!</v>
      </c>
      <c r="N88" s="472"/>
      <c r="O88" s="472"/>
      <c r="P88" s="110"/>
      <c r="Q88" s="110"/>
      <c r="R88" s="110"/>
      <c r="S88" s="110"/>
      <c r="T88" s="471"/>
      <c r="U88" s="110"/>
      <c r="V88" s="110"/>
      <c r="W88" s="110"/>
      <c r="X88" s="110"/>
      <c r="Y88" s="471"/>
      <c r="Z88" s="110"/>
      <c r="AA88" s="110"/>
      <c r="AB88" s="110"/>
      <c r="AC88" s="110"/>
      <c r="AD88" s="471"/>
      <c r="AE88" s="110"/>
      <c r="AF88" s="110"/>
      <c r="AG88" s="110"/>
      <c r="AH88" s="110"/>
      <c r="AI88" s="471"/>
      <c r="AJ88" s="110"/>
      <c r="AK88" s="110"/>
      <c r="AL88" s="110"/>
      <c r="AM88" s="110"/>
      <c r="AN88" s="471"/>
      <c r="AO88" s="110"/>
      <c r="AP88" s="110"/>
      <c r="AQ88" s="110"/>
      <c r="AR88" s="110"/>
      <c r="AS88" s="471"/>
      <c r="AT88" s="110"/>
      <c r="AU88" s="110"/>
      <c r="AV88" s="110"/>
      <c r="AW88" s="110"/>
      <c r="AX88" s="471"/>
    </row>
    <row r="89" spans="2:50">
      <c r="B89" s="471"/>
      <c r="C89" s="110">
        <v>3</v>
      </c>
      <c r="D89" s="110"/>
      <c r="E89" s="110"/>
      <c r="F89" s="110"/>
      <c r="G89" s="110"/>
      <c r="H89" s="492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1"/>
      <c r="M89" s="160" t="e">
        <f>RANK(K89, K$87:$K$101)</f>
        <v>#DIV/0!</v>
      </c>
      <c r="N89" s="472"/>
      <c r="O89" s="472"/>
      <c r="P89" s="110"/>
      <c r="Q89" s="110"/>
      <c r="R89" s="110"/>
      <c r="S89" s="110"/>
      <c r="T89" s="471"/>
      <c r="U89" s="110"/>
      <c r="V89" s="110"/>
      <c r="W89" s="110"/>
      <c r="X89" s="110"/>
      <c r="Y89" s="471"/>
      <c r="Z89" s="110"/>
      <c r="AA89" s="110"/>
      <c r="AB89" s="110"/>
      <c r="AC89" s="110"/>
      <c r="AD89" s="471"/>
      <c r="AE89" s="110"/>
      <c r="AF89" s="110"/>
      <c r="AG89" s="110"/>
      <c r="AH89" s="110"/>
      <c r="AI89" s="471"/>
      <c r="AJ89" s="110"/>
      <c r="AK89" s="110"/>
      <c r="AL89" s="110"/>
      <c r="AM89" s="110"/>
      <c r="AN89" s="471"/>
      <c r="AO89" s="110"/>
      <c r="AP89" s="110"/>
      <c r="AQ89" s="110"/>
      <c r="AR89" s="110"/>
      <c r="AS89" s="471"/>
      <c r="AT89" s="110"/>
      <c r="AU89" s="110"/>
      <c r="AV89" s="110"/>
      <c r="AW89" s="110"/>
      <c r="AX89" s="471"/>
    </row>
    <row r="90" spans="2:50">
      <c r="B90" s="471"/>
      <c r="C90" s="110">
        <v>4</v>
      </c>
      <c r="D90" s="110"/>
      <c r="E90" s="110"/>
      <c r="F90" s="110"/>
      <c r="G90" s="110"/>
      <c r="H90" s="492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1"/>
      <c r="M90" s="160" t="e">
        <f>RANK(K90, K$87:$K$101)</f>
        <v>#DIV/0!</v>
      </c>
      <c r="N90" s="472"/>
      <c r="O90" s="472"/>
      <c r="P90" s="110"/>
      <c r="Q90" s="110"/>
      <c r="R90" s="110"/>
      <c r="S90" s="110"/>
      <c r="T90" s="471"/>
      <c r="U90" s="110"/>
      <c r="V90" s="110"/>
      <c r="W90" s="110"/>
      <c r="X90" s="110"/>
      <c r="Y90" s="471"/>
      <c r="Z90" s="110"/>
      <c r="AA90" s="110"/>
      <c r="AB90" s="110"/>
      <c r="AC90" s="110"/>
      <c r="AD90" s="471"/>
      <c r="AE90" s="110"/>
      <c r="AF90" s="110"/>
      <c r="AG90" s="110"/>
      <c r="AH90" s="110"/>
      <c r="AI90" s="471"/>
      <c r="AJ90" s="110"/>
      <c r="AK90" s="110"/>
      <c r="AL90" s="110"/>
      <c r="AM90" s="110"/>
      <c r="AN90" s="471"/>
      <c r="AO90" s="110"/>
      <c r="AP90" s="110"/>
      <c r="AQ90" s="110"/>
      <c r="AR90" s="110"/>
      <c r="AS90" s="471"/>
      <c r="AT90" s="110"/>
      <c r="AU90" s="110"/>
      <c r="AV90" s="110"/>
      <c r="AW90" s="110"/>
      <c r="AX90" s="471"/>
    </row>
    <row r="91" spans="2:50">
      <c r="B91" s="471"/>
      <c r="C91" s="110">
        <v>5</v>
      </c>
      <c r="D91" s="110"/>
      <c r="E91" s="110"/>
      <c r="F91" s="110"/>
      <c r="G91" s="110"/>
      <c r="H91" s="492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1"/>
      <c r="M91" s="160" t="e">
        <f>RANK(K91, K$87:$K$101)</f>
        <v>#DIV/0!</v>
      </c>
      <c r="N91" s="472"/>
      <c r="O91" s="472"/>
      <c r="P91" s="110"/>
      <c r="Q91" s="110"/>
      <c r="R91" s="110"/>
      <c r="S91" s="110"/>
      <c r="T91" s="471"/>
      <c r="U91" s="110"/>
      <c r="V91" s="110"/>
      <c r="W91" s="110"/>
      <c r="X91" s="110"/>
      <c r="Y91" s="471"/>
      <c r="Z91" s="110"/>
      <c r="AA91" s="110"/>
      <c r="AB91" s="110"/>
      <c r="AC91" s="110"/>
      <c r="AD91" s="471"/>
      <c r="AE91" s="110"/>
      <c r="AF91" s="110"/>
      <c r="AG91" s="110"/>
      <c r="AH91" s="110"/>
      <c r="AI91" s="471"/>
      <c r="AJ91" s="110"/>
      <c r="AK91" s="110"/>
      <c r="AL91" s="110"/>
      <c r="AM91" s="110"/>
      <c r="AN91" s="471"/>
      <c r="AO91" s="110"/>
      <c r="AP91" s="110"/>
      <c r="AQ91" s="110"/>
      <c r="AR91" s="110"/>
      <c r="AS91" s="471"/>
      <c r="AT91" s="110"/>
      <c r="AU91" s="110"/>
      <c r="AV91" s="110"/>
      <c r="AW91" s="110"/>
      <c r="AX91" s="471"/>
    </row>
    <row r="92" spans="2:50">
      <c r="B92" s="471"/>
      <c r="C92" s="110">
        <v>6</v>
      </c>
      <c r="D92" s="110"/>
      <c r="E92" s="110"/>
      <c r="F92" s="110"/>
      <c r="G92" s="110"/>
      <c r="H92" s="492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1"/>
      <c r="M92" s="160" t="e">
        <f>RANK(K92, K$87:$K$101)</f>
        <v>#DIV/0!</v>
      </c>
      <c r="N92" s="472"/>
      <c r="O92" s="472"/>
      <c r="P92" s="110"/>
      <c r="Q92" s="110"/>
      <c r="R92" s="110"/>
      <c r="S92" s="110"/>
      <c r="T92" s="471"/>
      <c r="U92" s="110"/>
      <c r="V92" s="110"/>
      <c r="W92" s="110"/>
      <c r="X92" s="110"/>
      <c r="Y92" s="471"/>
      <c r="Z92" s="110"/>
      <c r="AA92" s="110"/>
      <c r="AB92" s="110"/>
      <c r="AC92" s="110"/>
      <c r="AD92" s="471"/>
      <c r="AE92" s="110"/>
      <c r="AF92" s="110"/>
      <c r="AG92" s="110"/>
      <c r="AH92" s="110"/>
      <c r="AI92" s="471"/>
      <c r="AJ92" s="110"/>
      <c r="AK92" s="110"/>
      <c r="AL92" s="110"/>
      <c r="AM92" s="110"/>
      <c r="AN92" s="471"/>
      <c r="AO92" s="110"/>
      <c r="AP92" s="110"/>
      <c r="AQ92" s="110"/>
      <c r="AR92" s="110"/>
      <c r="AS92" s="471"/>
      <c r="AT92" s="110"/>
      <c r="AU92" s="110"/>
      <c r="AV92" s="110"/>
      <c r="AW92" s="110"/>
      <c r="AX92" s="471"/>
    </row>
    <row r="93" spans="2:50">
      <c r="B93" s="471"/>
      <c r="C93" s="110">
        <v>7</v>
      </c>
      <c r="D93" s="110"/>
      <c r="E93" s="110"/>
      <c r="F93" s="110"/>
      <c r="G93" s="110"/>
      <c r="H93" s="492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1"/>
      <c r="M93" s="160" t="e">
        <f>RANK(K93, K$87:$K$101)</f>
        <v>#DIV/0!</v>
      </c>
      <c r="N93" s="472"/>
      <c r="O93" s="472"/>
      <c r="P93" s="110"/>
      <c r="Q93" s="110"/>
      <c r="R93" s="110"/>
      <c r="S93" s="110"/>
      <c r="T93" s="471"/>
      <c r="U93" s="110"/>
      <c r="V93" s="110"/>
      <c r="W93" s="110"/>
      <c r="X93" s="110"/>
      <c r="Y93" s="471"/>
      <c r="Z93" s="110"/>
      <c r="AA93" s="110"/>
      <c r="AB93" s="110"/>
      <c r="AC93" s="110"/>
      <c r="AD93" s="471"/>
      <c r="AE93" s="110"/>
      <c r="AF93" s="110"/>
      <c r="AG93" s="110"/>
      <c r="AH93" s="110"/>
      <c r="AI93" s="471"/>
      <c r="AJ93" s="110"/>
      <c r="AK93" s="110"/>
      <c r="AL93" s="110"/>
      <c r="AM93" s="110"/>
      <c r="AN93" s="471"/>
      <c r="AO93" s="110"/>
      <c r="AP93" s="110"/>
      <c r="AQ93" s="110"/>
      <c r="AR93" s="110"/>
      <c r="AS93" s="471"/>
      <c r="AT93" s="110"/>
      <c r="AU93" s="110"/>
      <c r="AV93" s="110"/>
      <c r="AW93" s="110"/>
      <c r="AX93" s="471"/>
    </row>
    <row r="94" spans="2:50">
      <c r="B94" s="471"/>
      <c r="C94" s="110">
        <v>8</v>
      </c>
      <c r="D94" s="110"/>
      <c r="E94" s="110"/>
      <c r="F94" s="110"/>
      <c r="G94" s="110"/>
      <c r="H94" s="492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1"/>
      <c r="M94" s="160" t="e">
        <f>RANK(K94, K$87:$K$101)</f>
        <v>#DIV/0!</v>
      </c>
      <c r="N94" s="472"/>
      <c r="O94" s="472"/>
      <c r="P94" s="110"/>
      <c r="Q94" s="110"/>
      <c r="R94" s="110"/>
      <c r="S94" s="110"/>
      <c r="T94" s="471"/>
      <c r="U94" s="110"/>
      <c r="V94" s="110"/>
      <c r="W94" s="110"/>
      <c r="X94" s="110"/>
      <c r="Y94" s="471"/>
      <c r="Z94" s="110"/>
      <c r="AA94" s="110"/>
      <c r="AB94" s="110"/>
      <c r="AC94" s="110"/>
      <c r="AD94" s="471"/>
      <c r="AE94" s="110"/>
      <c r="AF94" s="110"/>
      <c r="AG94" s="110"/>
      <c r="AH94" s="110"/>
      <c r="AI94" s="471"/>
      <c r="AJ94" s="110"/>
      <c r="AK94" s="110"/>
      <c r="AL94" s="110"/>
      <c r="AM94" s="110"/>
      <c r="AN94" s="471"/>
      <c r="AO94" s="110"/>
      <c r="AP94" s="110"/>
      <c r="AQ94" s="110"/>
      <c r="AR94" s="110"/>
      <c r="AS94" s="471"/>
      <c r="AT94" s="110"/>
      <c r="AU94" s="110"/>
      <c r="AV94" s="110"/>
      <c r="AW94" s="110"/>
      <c r="AX94" s="471"/>
    </row>
    <row r="95" spans="2:50">
      <c r="B95" s="471"/>
      <c r="C95" s="110">
        <v>9</v>
      </c>
      <c r="D95" s="110"/>
      <c r="E95" s="110"/>
      <c r="F95" s="110"/>
      <c r="G95" s="110"/>
      <c r="H95" s="492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1"/>
      <c r="M95" s="160" t="e">
        <f>RANK(K95, K$87:$K$101)</f>
        <v>#DIV/0!</v>
      </c>
      <c r="N95" s="472"/>
      <c r="O95" s="472"/>
      <c r="P95" s="110"/>
      <c r="Q95" s="110"/>
      <c r="R95" s="110"/>
      <c r="S95" s="110"/>
      <c r="T95" s="471"/>
      <c r="U95" s="110"/>
      <c r="V95" s="110"/>
      <c r="W95" s="110"/>
      <c r="X95" s="110"/>
      <c r="Y95" s="471"/>
      <c r="Z95" s="110"/>
      <c r="AA95" s="110"/>
      <c r="AB95" s="110"/>
      <c r="AC95" s="110"/>
      <c r="AD95" s="471"/>
      <c r="AE95" s="110"/>
      <c r="AF95" s="110"/>
      <c r="AG95" s="110"/>
      <c r="AH95" s="110"/>
      <c r="AI95" s="471"/>
      <c r="AJ95" s="110"/>
      <c r="AK95" s="110"/>
      <c r="AL95" s="110"/>
      <c r="AM95" s="110"/>
      <c r="AN95" s="471"/>
      <c r="AO95" s="110"/>
      <c r="AP95" s="110"/>
      <c r="AQ95" s="110"/>
      <c r="AR95" s="110"/>
      <c r="AS95" s="471"/>
      <c r="AT95" s="110"/>
      <c r="AU95" s="110"/>
      <c r="AV95" s="110"/>
      <c r="AW95" s="110"/>
      <c r="AX95" s="471"/>
    </row>
    <row r="96" spans="2:50">
      <c r="B96" s="471"/>
      <c r="C96" s="110">
        <v>10</v>
      </c>
      <c r="D96" s="110"/>
      <c r="E96" s="110"/>
      <c r="F96" s="110"/>
      <c r="G96" s="110"/>
      <c r="H96" s="492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1"/>
      <c r="M96" s="160" t="e">
        <f>RANK(K96, K$87:$K$101)</f>
        <v>#DIV/0!</v>
      </c>
      <c r="N96" s="472"/>
      <c r="O96" s="472"/>
      <c r="P96" s="110"/>
      <c r="Q96" s="110"/>
      <c r="R96" s="110"/>
      <c r="S96" s="110"/>
      <c r="T96" s="471"/>
      <c r="U96" s="110"/>
      <c r="V96" s="110"/>
      <c r="W96" s="110"/>
      <c r="X96" s="110"/>
      <c r="Y96" s="471"/>
      <c r="Z96" s="110"/>
      <c r="AA96" s="110"/>
      <c r="AB96" s="110"/>
      <c r="AC96" s="110"/>
      <c r="AD96" s="471"/>
      <c r="AE96" s="110"/>
      <c r="AF96" s="110"/>
      <c r="AG96" s="110"/>
      <c r="AH96" s="110"/>
      <c r="AI96" s="471"/>
      <c r="AJ96" s="110"/>
      <c r="AK96" s="110"/>
      <c r="AL96" s="110"/>
      <c r="AM96" s="110"/>
      <c r="AN96" s="471"/>
      <c r="AO96" s="110"/>
      <c r="AP96" s="110"/>
      <c r="AQ96" s="110"/>
      <c r="AR96" s="110"/>
      <c r="AS96" s="471"/>
      <c r="AT96" s="110"/>
      <c r="AU96" s="110"/>
      <c r="AV96" s="110"/>
      <c r="AW96" s="110"/>
      <c r="AX96" s="471"/>
    </row>
    <row r="97" spans="2:50">
      <c r="B97" s="471"/>
      <c r="C97" s="110">
        <v>11</v>
      </c>
      <c r="D97" s="110"/>
      <c r="E97" s="110"/>
      <c r="F97" s="110"/>
      <c r="G97" s="110"/>
      <c r="H97" s="492"/>
      <c r="I97" s="110"/>
      <c r="J97" s="110"/>
      <c r="K97" s="110"/>
      <c r="L97" s="481"/>
      <c r="M97" s="160" t="e">
        <f>RANK(K97, K$87:$K$101)</f>
        <v>#DIV/0!</v>
      </c>
      <c r="N97" s="472"/>
      <c r="O97" s="472"/>
      <c r="P97" s="110"/>
      <c r="Q97" s="110"/>
      <c r="R97" s="110"/>
      <c r="S97" s="110"/>
      <c r="T97" s="471"/>
      <c r="U97" s="110"/>
      <c r="V97" s="110"/>
      <c r="W97" s="110"/>
      <c r="X97" s="110"/>
      <c r="Y97" s="471"/>
      <c r="Z97" s="110"/>
      <c r="AA97" s="110"/>
      <c r="AB97" s="110"/>
      <c r="AC97" s="110"/>
      <c r="AD97" s="471"/>
      <c r="AE97" s="110"/>
      <c r="AF97" s="110"/>
      <c r="AG97" s="110"/>
      <c r="AH97" s="110"/>
      <c r="AI97" s="471"/>
      <c r="AJ97" s="110"/>
      <c r="AK97" s="110"/>
      <c r="AL97" s="110"/>
      <c r="AM97" s="110"/>
      <c r="AN97" s="471"/>
      <c r="AO97" s="110"/>
      <c r="AP97" s="110"/>
      <c r="AQ97" s="110"/>
      <c r="AR97" s="110"/>
      <c r="AS97" s="471"/>
      <c r="AT97" s="110"/>
      <c r="AU97" s="110"/>
      <c r="AV97" s="110"/>
      <c r="AW97" s="110"/>
      <c r="AX97" s="471"/>
    </row>
    <row r="98" spans="2:50">
      <c r="B98" s="471"/>
      <c r="C98" s="110">
        <v>12</v>
      </c>
      <c r="D98" s="110"/>
      <c r="E98" s="110"/>
      <c r="F98" s="110"/>
      <c r="G98" s="110"/>
      <c r="H98" s="492"/>
      <c r="I98" s="110"/>
      <c r="J98" s="110"/>
      <c r="K98" s="110"/>
      <c r="L98" s="481"/>
      <c r="M98" s="160" t="e">
        <f>RANK(K98, K$87:$K$101)</f>
        <v>#DIV/0!</v>
      </c>
      <c r="N98" s="472"/>
      <c r="O98" s="472"/>
      <c r="P98" s="110"/>
      <c r="Q98" s="110"/>
      <c r="R98" s="110"/>
      <c r="S98" s="110"/>
      <c r="T98" s="471"/>
      <c r="U98" s="110"/>
      <c r="V98" s="110"/>
      <c r="W98" s="110"/>
      <c r="X98" s="110"/>
      <c r="Y98" s="471"/>
      <c r="Z98" s="110"/>
      <c r="AA98" s="110"/>
      <c r="AB98" s="110"/>
      <c r="AC98" s="110"/>
      <c r="AD98" s="471"/>
      <c r="AE98" s="110"/>
      <c r="AF98" s="110"/>
      <c r="AG98" s="110"/>
      <c r="AH98" s="110"/>
      <c r="AI98" s="471"/>
      <c r="AJ98" s="110"/>
      <c r="AK98" s="110"/>
      <c r="AL98" s="110"/>
      <c r="AM98" s="110"/>
      <c r="AN98" s="471"/>
      <c r="AO98" s="110"/>
      <c r="AP98" s="110"/>
      <c r="AQ98" s="110"/>
      <c r="AR98" s="110"/>
      <c r="AS98" s="471"/>
      <c r="AT98" s="110"/>
      <c r="AU98" s="110"/>
      <c r="AV98" s="110"/>
      <c r="AW98" s="110"/>
      <c r="AX98" s="471"/>
    </row>
    <row r="99" spans="2:50">
      <c r="B99" s="471"/>
      <c r="C99" s="110">
        <v>13</v>
      </c>
      <c r="D99" s="110"/>
      <c r="E99" s="110"/>
      <c r="F99" s="110"/>
      <c r="G99" s="110"/>
      <c r="H99" s="492"/>
      <c r="I99" s="110"/>
      <c r="J99" s="110"/>
      <c r="K99" s="110"/>
      <c r="L99" s="481"/>
      <c r="M99" s="160" t="e">
        <f>RANK(K99, K$87:$K$101)</f>
        <v>#DIV/0!</v>
      </c>
      <c r="N99" s="472"/>
      <c r="O99" s="472"/>
      <c r="P99" s="110"/>
      <c r="Q99" s="110"/>
      <c r="R99" s="110"/>
      <c r="S99" s="110"/>
      <c r="T99" s="471"/>
      <c r="U99" s="110"/>
      <c r="V99" s="110"/>
      <c r="W99" s="110"/>
      <c r="X99" s="110"/>
      <c r="Y99" s="471"/>
      <c r="Z99" s="110"/>
      <c r="AA99" s="110"/>
      <c r="AB99" s="110"/>
      <c r="AC99" s="110"/>
      <c r="AD99" s="471"/>
      <c r="AE99" s="110"/>
      <c r="AF99" s="110"/>
      <c r="AG99" s="110"/>
      <c r="AH99" s="110"/>
      <c r="AI99" s="471"/>
      <c r="AJ99" s="110"/>
      <c r="AK99" s="110"/>
      <c r="AL99" s="110"/>
      <c r="AM99" s="110"/>
      <c r="AN99" s="471"/>
      <c r="AO99" s="110"/>
      <c r="AP99" s="110"/>
      <c r="AQ99" s="110"/>
      <c r="AR99" s="110"/>
      <c r="AS99" s="471"/>
      <c r="AT99" s="110"/>
      <c r="AU99" s="110"/>
      <c r="AV99" s="110"/>
      <c r="AW99" s="110"/>
      <c r="AX99" s="471"/>
    </row>
    <row r="100" spans="2:50">
      <c r="B100" s="471"/>
      <c r="C100" s="110">
        <v>14</v>
      </c>
      <c r="D100" s="110"/>
      <c r="E100" s="110"/>
      <c r="F100" s="110"/>
      <c r="G100" s="110"/>
      <c r="H100" s="492"/>
      <c r="I100" s="110"/>
      <c r="J100" s="110"/>
      <c r="K100" s="110"/>
      <c r="L100" s="481"/>
      <c r="M100" s="160" t="e">
        <f>RANK(K100, K$87:$K$101)</f>
        <v>#DIV/0!</v>
      </c>
      <c r="N100" s="472"/>
      <c r="O100" s="472"/>
      <c r="P100" s="110"/>
      <c r="Q100" s="110"/>
      <c r="R100" s="110"/>
      <c r="S100" s="110"/>
      <c r="T100" s="471"/>
      <c r="U100" s="110"/>
      <c r="V100" s="110"/>
      <c r="W100" s="110"/>
      <c r="X100" s="110"/>
      <c r="Y100" s="471"/>
      <c r="Z100" s="110"/>
      <c r="AA100" s="110"/>
      <c r="AB100" s="110"/>
      <c r="AC100" s="110"/>
      <c r="AD100" s="471"/>
      <c r="AE100" s="110"/>
      <c r="AF100" s="110"/>
      <c r="AG100" s="110"/>
      <c r="AH100" s="110"/>
      <c r="AI100" s="471"/>
      <c r="AJ100" s="110"/>
      <c r="AK100" s="110"/>
      <c r="AL100" s="110"/>
      <c r="AM100" s="110"/>
      <c r="AN100" s="471"/>
      <c r="AO100" s="110"/>
      <c r="AP100" s="110"/>
      <c r="AQ100" s="110"/>
      <c r="AR100" s="110"/>
      <c r="AS100" s="471"/>
      <c r="AT100" s="110"/>
      <c r="AU100" s="110"/>
      <c r="AV100" s="110"/>
      <c r="AW100" s="110"/>
      <c r="AX100" s="471"/>
    </row>
    <row r="101" spans="2:50">
      <c r="B101" s="471"/>
      <c r="C101" s="110">
        <v>15</v>
      </c>
      <c r="D101" s="110"/>
      <c r="E101" s="110"/>
      <c r="F101" s="110"/>
      <c r="G101" s="110"/>
      <c r="H101" s="493"/>
      <c r="I101" s="110"/>
      <c r="J101" s="110"/>
      <c r="K101" s="110"/>
      <c r="L101" s="482"/>
      <c r="M101" s="160" t="e">
        <f>RANK(K101, K$87:$K$101)</f>
        <v>#DIV/0!</v>
      </c>
      <c r="N101" s="472"/>
      <c r="O101" s="472"/>
      <c r="P101" s="110"/>
      <c r="Q101" s="110"/>
      <c r="R101" s="110"/>
      <c r="S101" s="110"/>
      <c r="T101" s="471"/>
      <c r="U101" s="110"/>
      <c r="V101" s="110"/>
      <c r="W101" s="110"/>
      <c r="X101" s="110"/>
      <c r="Y101" s="471"/>
      <c r="Z101" s="110"/>
      <c r="AA101" s="110"/>
      <c r="AB101" s="110"/>
      <c r="AC101" s="110"/>
      <c r="AD101" s="471"/>
      <c r="AE101" s="110"/>
      <c r="AF101" s="110"/>
      <c r="AG101" s="110"/>
      <c r="AH101" s="110"/>
      <c r="AI101" s="471"/>
      <c r="AJ101" s="110"/>
      <c r="AK101" s="110"/>
      <c r="AL101" s="110"/>
      <c r="AM101" s="110"/>
      <c r="AN101" s="471"/>
      <c r="AO101" s="110"/>
      <c r="AP101" s="110"/>
      <c r="AQ101" s="110"/>
      <c r="AR101" s="110"/>
      <c r="AS101" s="471"/>
      <c r="AT101" s="110"/>
      <c r="AU101" s="110"/>
      <c r="AV101" s="110"/>
      <c r="AW101" s="110"/>
      <c r="AX101" s="471"/>
    </row>
  </sheetData>
  <mergeCells count="295"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AO83:AS83"/>
    <mergeCell ref="U83:Y83"/>
    <mergeCell ref="Z83:AD83"/>
    <mergeCell ref="AE83:AI83"/>
    <mergeCell ref="AJ83:AN83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O82:AS82"/>
    <mergeCell ref="U85:X85"/>
    <mergeCell ref="P82:T82"/>
    <mergeCell ref="B67:B81"/>
    <mergeCell ref="H67:H81"/>
    <mergeCell ref="B64:B66"/>
    <mergeCell ref="C64:D66"/>
    <mergeCell ref="L67:L81"/>
    <mergeCell ref="P83:T83"/>
    <mergeCell ref="Y87:Y101"/>
    <mergeCell ref="AJ84:AM84"/>
    <mergeCell ref="Y84:Y86"/>
    <mergeCell ref="AD87:AD101"/>
    <mergeCell ref="AI87:AI101"/>
    <mergeCell ref="E85:G85"/>
    <mergeCell ref="I85:K85"/>
    <mergeCell ref="P85:S85"/>
    <mergeCell ref="M84:M86"/>
    <mergeCell ref="N84:N101"/>
    <mergeCell ref="O84:O101"/>
    <mergeCell ref="H87:H101"/>
    <mergeCell ref="L87:L101"/>
    <mergeCell ref="T87:T101"/>
    <mergeCell ref="P84:S84"/>
    <mergeCell ref="B87:B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D67:AD81"/>
    <mergeCell ref="AI67:AI81"/>
    <mergeCell ref="H64:H66"/>
    <mergeCell ref="U82:Y82"/>
    <mergeCell ref="Z82:AD82"/>
    <mergeCell ref="AE82:AI82"/>
    <mergeCell ref="AJ82:AN82"/>
    <mergeCell ref="T67:T81"/>
    <mergeCell ref="B82:H83"/>
    <mergeCell ref="N82:N83"/>
    <mergeCell ref="O82:O83"/>
    <mergeCell ref="AO65:AR65"/>
    <mergeCell ref="AT65:AW65"/>
    <mergeCell ref="AS64:AS66"/>
    <mergeCell ref="AT64:AW64"/>
    <mergeCell ref="AN64:AN66"/>
    <mergeCell ref="AO64:AR64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E45:G45"/>
    <mergeCell ref="I45:K45"/>
    <mergeCell ref="P45:S45"/>
    <mergeCell ref="Z63:AD63"/>
    <mergeCell ref="AE63:AI63"/>
    <mergeCell ref="N62:N63"/>
    <mergeCell ref="O62:O63"/>
    <mergeCell ref="P62:T62"/>
    <mergeCell ref="M44:M46"/>
    <mergeCell ref="B62:H63"/>
    <mergeCell ref="T44:T46"/>
    <mergeCell ref="E64:G64"/>
    <mergeCell ref="T47:T61"/>
    <mergeCell ref="AJ65:AM65"/>
    <mergeCell ref="U62:Y62"/>
    <mergeCell ref="Y47:Y61"/>
    <mergeCell ref="P63:T63"/>
    <mergeCell ref="U63:Y63"/>
    <mergeCell ref="N44:N61"/>
    <mergeCell ref="O44:O61"/>
    <mergeCell ref="P44:S44"/>
    <mergeCell ref="U44:X44"/>
    <mergeCell ref="Y27:Y41"/>
    <mergeCell ref="AD47:AD61"/>
    <mergeCell ref="AI47:AI61"/>
    <mergeCell ref="AJ44:AM44"/>
    <mergeCell ref="AE45:AH45"/>
    <mergeCell ref="AJ45:AM45"/>
    <mergeCell ref="AD44:AD46"/>
    <mergeCell ref="U45:X45"/>
    <mergeCell ref="Z45:AC45"/>
    <mergeCell ref="Y44:Y46"/>
    <mergeCell ref="Z44:AC44"/>
    <mergeCell ref="Z43:AD43"/>
    <mergeCell ref="AE44:AH44"/>
    <mergeCell ref="AI44:AI46"/>
    <mergeCell ref="E44:G44"/>
    <mergeCell ref="H44:H46"/>
    <mergeCell ref="I44:K44"/>
    <mergeCell ref="L44:L46"/>
    <mergeCell ref="B47:B61"/>
    <mergeCell ref="H47:H61"/>
    <mergeCell ref="L47:L61"/>
    <mergeCell ref="B44:B46"/>
    <mergeCell ref="C44:D46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AN47:AN61"/>
    <mergeCell ref="B42:H43"/>
    <mergeCell ref="N42:N43"/>
    <mergeCell ref="O42:O43"/>
    <mergeCell ref="P42:T42"/>
    <mergeCell ref="U42:Y42"/>
    <mergeCell ref="AT42:AX42"/>
    <mergeCell ref="P43:T43"/>
    <mergeCell ref="U43:Y43"/>
    <mergeCell ref="AN27:AN41"/>
    <mergeCell ref="N24:N41"/>
    <mergeCell ref="O24:O41"/>
    <mergeCell ref="P24:S24"/>
    <mergeCell ref="T24:T26"/>
    <mergeCell ref="AD27:AD41"/>
    <mergeCell ref="AI27:AI41"/>
    <mergeCell ref="U24:X24"/>
    <mergeCell ref="AS27:AS41"/>
    <mergeCell ref="Z42:AD42"/>
    <mergeCell ref="AE42:AI42"/>
    <mergeCell ref="AJ42:AN42"/>
    <mergeCell ref="AO42:AS42"/>
    <mergeCell ref="B27:B41"/>
    <mergeCell ref="B24:B26"/>
    <mergeCell ref="T27:T41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AN24:AN26"/>
    <mergeCell ref="M24:M26"/>
    <mergeCell ref="E24:G24"/>
    <mergeCell ref="H24:H26"/>
    <mergeCell ref="O4:O21"/>
    <mergeCell ref="Y24:Y26"/>
    <mergeCell ref="Z24:AC24"/>
    <mergeCell ref="AD24:AD26"/>
    <mergeCell ref="AT22:AX22"/>
    <mergeCell ref="P23:T23"/>
    <mergeCell ref="U23:Y23"/>
    <mergeCell ref="Z23:AD23"/>
    <mergeCell ref="AE23:AI23"/>
    <mergeCell ref="AJ23:AN23"/>
    <mergeCell ref="AT23:AX23"/>
    <mergeCell ref="AT25:AW25"/>
    <mergeCell ref="AT24:AW24"/>
    <mergeCell ref="B2:H3"/>
    <mergeCell ref="N2:N3"/>
    <mergeCell ref="O2:O3"/>
    <mergeCell ref="AE2:AI2"/>
    <mergeCell ref="AJ2:AN2"/>
    <mergeCell ref="AX27:AX4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S7:AS21"/>
    <mergeCell ref="H27:H41"/>
    <mergeCell ref="L27:L41"/>
    <mergeCell ref="I24:K24"/>
    <mergeCell ref="L24:L26"/>
    <mergeCell ref="AO25:AR25"/>
    <mergeCell ref="AO24:AR24"/>
    <mergeCell ref="AS24:AS26"/>
    <mergeCell ref="AO23:AS23"/>
    <mergeCell ref="B7:B21"/>
    <mergeCell ref="H7:H21"/>
    <mergeCell ref="L7:L21"/>
    <mergeCell ref="H4:H6"/>
    <mergeCell ref="I4:K4"/>
    <mergeCell ref="L4:L6"/>
    <mergeCell ref="B4:B6"/>
    <mergeCell ref="C4:D6"/>
    <mergeCell ref="E4:G4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P4:S4"/>
    <mergeCell ref="T4:T6"/>
    <mergeCell ref="U4:X4"/>
    <mergeCell ref="Y4:Y6"/>
    <mergeCell ref="Z4:AC4"/>
    <mergeCell ref="AD4:AD6"/>
    <mergeCell ref="AN4:AN6"/>
    <mergeCell ref="AO4:AR4"/>
    <mergeCell ref="M4:M6"/>
    <mergeCell ref="N4:N21"/>
    <mergeCell ref="T7:T21"/>
    <mergeCell ref="Y7:Y21"/>
    <mergeCell ref="AD7:AD21"/>
    <mergeCell ref="AX7:AX21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X4:AX6"/>
    <mergeCell ref="AS4:AS6"/>
    <mergeCell ref="AT5:AW5"/>
    <mergeCell ref="AT4:AW4"/>
    <mergeCell ref="AI7:AI21"/>
    <mergeCell ref="AN7:AN21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J23" sqref="J23"/>
    </sheetView>
  </sheetViews>
  <sheetFormatPr defaultColWidth="12.54296875" defaultRowHeight="15.75" customHeight="1"/>
  <cols>
    <col min="1" max="1" width="6.453125" style="161" customWidth="1"/>
    <col min="2" max="10" width="11.54296875" style="161" customWidth="1"/>
    <col min="11" max="12" width="12.81640625" style="161" customWidth="1"/>
    <col min="13" max="13" width="12.54296875" style="162" customWidth="1"/>
    <col min="14" max="20" width="12.54296875" style="161" customWidth="1"/>
    <col min="21" max="16384" width="12.54296875" style="161"/>
  </cols>
  <sheetData>
    <row r="1" spans="1:13" ht="15.75" customHeight="1">
      <c r="A1" s="391" t="s">
        <v>64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161"/>
    </row>
    <row r="2" spans="1:13" s="162" customFormat="1" ht="15.75" customHeight="1">
      <c r="A2" s="391"/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</row>
    <row r="3" spans="1:13" ht="15.75" customHeight="1">
      <c r="A3" s="494" t="s">
        <v>65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161"/>
    </row>
    <row r="4" spans="1:13" s="162" customFormat="1" ht="15.75" customHeight="1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</row>
    <row r="5" spans="1:13" s="186" customFormat="1" ht="16.399999999999999" customHeight="1">
      <c r="A5" s="496" t="s">
        <v>46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99999999999999" customHeight="1">
      <c r="A6" s="496"/>
      <c r="B6" s="187" t="s">
        <v>66</v>
      </c>
      <c r="C6" s="187" t="s">
        <v>67</v>
      </c>
      <c r="D6" s="187" t="s">
        <v>35</v>
      </c>
      <c r="E6" s="188"/>
      <c r="F6" s="188"/>
      <c r="G6" s="162"/>
      <c r="M6" s="161"/>
    </row>
    <row r="7" spans="1:13" s="186" customFormat="1" ht="15.75" customHeight="1">
      <c r="A7" s="497" t="s">
        <v>46</v>
      </c>
      <c r="B7" s="497"/>
      <c r="C7" s="189" t="s">
        <v>51</v>
      </c>
      <c r="D7" s="497" t="s">
        <v>68</v>
      </c>
      <c r="E7" s="498"/>
      <c r="F7" s="498"/>
      <c r="G7" s="189" t="s">
        <v>56</v>
      </c>
      <c r="H7" s="189" t="s">
        <v>69</v>
      </c>
      <c r="I7" s="189" t="s">
        <v>70</v>
      </c>
      <c r="J7" s="190" t="s">
        <v>71</v>
      </c>
      <c r="K7" s="497" t="s">
        <v>72</v>
      </c>
      <c r="L7" s="498"/>
      <c r="M7" s="185"/>
    </row>
    <row r="8" spans="1:13" ht="15.75" customHeight="1">
      <c r="A8" s="496">
        <v>1</v>
      </c>
      <c r="B8" s="497" t="s">
        <v>73</v>
      </c>
      <c r="C8" s="191">
        <v>1</v>
      </c>
      <c r="D8" s="499" t="s">
        <v>74</v>
      </c>
      <c r="E8" s="500"/>
      <c r="F8" s="501"/>
      <c r="G8" s="197">
        <v>12</v>
      </c>
      <c r="H8" s="197">
        <v>1811</v>
      </c>
      <c r="I8" s="198">
        <v>151.80000000000001</v>
      </c>
      <c r="J8" s="231">
        <v>1.0269999999999999</v>
      </c>
      <c r="K8" s="502"/>
      <c r="L8" s="503"/>
    </row>
    <row r="9" spans="1:13" ht="15.75" customHeight="1">
      <c r="A9" s="496"/>
      <c r="B9" s="497"/>
      <c r="C9" s="191">
        <v>2</v>
      </c>
      <c r="D9" s="499" t="s">
        <v>75</v>
      </c>
      <c r="E9" s="500"/>
      <c r="F9" s="501"/>
      <c r="G9" s="197">
        <v>13</v>
      </c>
      <c r="H9" s="197">
        <v>1893</v>
      </c>
      <c r="I9" s="198">
        <v>145.6</v>
      </c>
      <c r="J9" s="231">
        <v>1.099</v>
      </c>
      <c r="K9" s="502"/>
      <c r="L9" s="503"/>
    </row>
    <row r="10" spans="1:13" ht="15.75" customHeight="1">
      <c r="A10" s="496"/>
      <c r="B10" s="497"/>
      <c r="C10" s="191">
        <v>3</v>
      </c>
      <c r="D10" s="499" t="s">
        <v>76</v>
      </c>
      <c r="E10" s="500"/>
      <c r="F10" s="501"/>
      <c r="G10" s="197">
        <v>13</v>
      </c>
      <c r="H10" s="197">
        <v>1762</v>
      </c>
      <c r="I10" s="198">
        <v>135.6</v>
      </c>
      <c r="J10" s="231">
        <v>1.0720000000000001</v>
      </c>
      <c r="K10" s="502"/>
      <c r="L10" s="503"/>
    </row>
    <row r="11" spans="1:13" ht="15.75" customHeight="1">
      <c r="A11" s="496"/>
      <c r="B11" s="497"/>
      <c r="C11" s="191">
        <v>4</v>
      </c>
      <c r="D11" s="504" t="s">
        <v>77</v>
      </c>
      <c r="E11" s="500"/>
      <c r="F11" s="501"/>
      <c r="G11" s="197">
        <v>13</v>
      </c>
      <c r="H11" s="197">
        <v>1791</v>
      </c>
      <c r="I11" s="198">
        <v>135.19999999999999</v>
      </c>
      <c r="J11" s="231">
        <v>0.97899999999999998</v>
      </c>
      <c r="K11" s="502"/>
      <c r="L11" s="503"/>
    </row>
    <row r="12" spans="1:13" ht="15.75" customHeight="1">
      <c r="A12" s="496"/>
      <c r="B12" s="497"/>
      <c r="C12" s="191">
        <v>5</v>
      </c>
      <c r="D12" s="505" t="s">
        <v>78</v>
      </c>
      <c r="E12" s="500"/>
      <c r="F12" s="501"/>
      <c r="G12" s="197">
        <v>14</v>
      </c>
      <c r="H12" s="197">
        <v>1395</v>
      </c>
      <c r="I12" s="198">
        <v>96.8</v>
      </c>
      <c r="J12" s="231">
        <v>1.131</v>
      </c>
      <c r="K12" s="502" t="s">
        <v>79</v>
      </c>
      <c r="L12" s="503"/>
    </row>
    <row r="13" spans="1:13" ht="15.75" customHeight="1">
      <c r="A13" s="496"/>
      <c r="B13" s="497"/>
      <c r="C13" s="193" t="s">
        <v>80</v>
      </c>
      <c r="D13" s="505" t="s">
        <v>81</v>
      </c>
      <c r="E13" s="500"/>
      <c r="F13" s="501"/>
      <c r="G13" s="197">
        <v>15</v>
      </c>
      <c r="H13" s="197">
        <v>1024</v>
      </c>
      <c r="I13" s="198">
        <v>68.3</v>
      </c>
      <c r="J13" s="231"/>
      <c r="K13" s="502" t="s">
        <v>82</v>
      </c>
      <c r="L13" s="503"/>
    </row>
    <row r="14" spans="1:13" ht="15.75" customHeight="1">
      <c r="A14" s="496"/>
      <c r="B14" s="497"/>
      <c r="C14" s="193" t="s">
        <v>83</v>
      </c>
      <c r="D14" s="504" t="s">
        <v>84</v>
      </c>
      <c r="E14" s="500"/>
      <c r="F14" s="501"/>
      <c r="G14" s="197">
        <v>15</v>
      </c>
      <c r="H14" s="197">
        <v>1100</v>
      </c>
      <c r="I14" s="198">
        <v>71.7</v>
      </c>
      <c r="J14" s="231"/>
      <c r="K14" s="502" t="s">
        <v>82</v>
      </c>
      <c r="L14" s="503"/>
    </row>
    <row r="15" spans="1:13" ht="15.75" customHeight="1">
      <c r="A15" s="496"/>
      <c r="B15" s="497"/>
      <c r="C15" s="193" t="s">
        <v>85</v>
      </c>
      <c r="D15" s="505" t="s">
        <v>86</v>
      </c>
      <c r="E15" s="500"/>
      <c r="F15" s="501"/>
      <c r="G15" s="197">
        <v>15</v>
      </c>
      <c r="H15" s="197">
        <v>1133</v>
      </c>
      <c r="I15" s="198">
        <v>74.099999999999994</v>
      </c>
      <c r="J15" s="231">
        <v>1.06</v>
      </c>
      <c r="K15" s="502"/>
      <c r="L15" s="503"/>
    </row>
    <row r="16" spans="1:13" ht="15.75" customHeight="1">
      <c r="A16" s="496"/>
      <c r="B16" s="497"/>
      <c r="C16" s="193" t="s">
        <v>87</v>
      </c>
      <c r="D16" s="504" t="s">
        <v>88</v>
      </c>
      <c r="E16" s="500"/>
      <c r="F16" s="501"/>
      <c r="G16" s="197">
        <v>19</v>
      </c>
      <c r="H16" s="197">
        <v>1419</v>
      </c>
      <c r="I16" s="198">
        <v>75.2</v>
      </c>
      <c r="J16" s="231">
        <v>0.93</v>
      </c>
      <c r="K16" s="502"/>
      <c r="L16" s="503"/>
      <c r="M16" s="161"/>
    </row>
    <row r="17" spans="1:13" ht="15.75" customHeight="1">
      <c r="A17" s="496"/>
      <c r="B17" s="497"/>
      <c r="C17" s="193" t="s">
        <v>89</v>
      </c>
      <c r="D17" s="505" t="s">
        <v>90</v>
      </c>
      <c r="E17" s="500"/>
      <c r="F17" s="501"/>
      <c r="G17" s="197">
        <v>11</v>
      </c>
      <c r="H17" s="197">
        <v>851</v>
      </c>
      <c r="I17" s="198">
        <v>75.7</v>
      </c>
      <c r="J17" s="231"/>
      <c r="K17" s="502" t="s">
        <v>91</v>
      </c>
      <c r="L17" s="503"/>
      <c r="M17" s="161"/>
    </row>
    <row r="18" spans="1:13" s="196" customFormat="1" ht="15.75" customHeight="1">
      <c r="A18" s="506" t="s">
        <v>46</v>
      </c>
      <c r="B18" s="506"/>
      <c r="C18" s="194" t="s">
        <v>51</v>
      </c>
      <c r="D18" s="506" t="s">
        <v>68</v>
      </c>
      <c r="E18" s="507"/>
      <c r="F18" s="507"/>
      <c r="G18" s="194" t="s">
        <v>56</v>
      </c>
      <c r="H18" s="194" t="s">
        <v>69</v>
      </c>
      <c r="I18" s="194" t="s">
        <v>70</v>
      </c>
      <c r="J18" s="195" t="s">
        <v>71</v>
      </c>
      <c r="K18" s="506" t="s">
        <v>72</v>
      </c>
      <c r="L18" s="507"/>
      <c r="M18" s="188"/>
    </row>
    <row r="19" spans="1:13" ht="15.75" customHeight="1">
      <c r="A19" s="496">
        <v>2</v>
      </c>
      <c r="B19" s="497" t="s">
        <v>92</v>
      </c>
      <c r="C19" s="191">
        <v>1</v>
      </c>
      <c r="D19" s="508"/>
      <c r="E19" s="503"/>
      <c r="F19" s="503"/>
      <c r="G19" s="192"/>
      <c r="H19" s="192"/>
      <c r="I19" s="192"/>
      <c r="J19" s="192"/>
      <c r="K19" s="508"/>
      <c r="L19" s="503"/>
      <c r="M19" s="161"/>
    </row>
    <row r="20" spans="1:13" ht="15.75" customHeight="1">
      <c r="A20" s="496"/>
      <c r="B20" s="497"/>
      <c r="C20" s="191">
        <v>2</v>
      </c>
      <c r="D20" s="509"/>
      <c r="E20" s="503"/>
      <c r="F20" s="503"/>
      <c r="G20" s="192"/>
      <c r="H20" s="192"/>
      <c r="I20" s="192"/>
      <c r="J20" s="192"/>
      <c r="K20" s="509"/>
      <c r="L20" s="503"/>
      <c r="M20" s="161"/>
    </row>
    <row r="21" spans="1:13" ht="15.75" customHeight="1">
      <c r="A21" s="496"/>
      <c r="B21" s="497"/>
      <c r="C21" s="191">
        <v>3</v>
      </c>
      <c r="D21" s="509"/>
      <c r="E21" s="503"/>
      <c r="F21" s="503"/>
      <c r="G21" s="192"/>
      <c r="H21" s="192"/>
      <c r="I21" s="192"/>
      <c r="J21" s="192"/>
      <c r="K21" s="509"/>
      <c r="L21" s="503"/>
      <c r="M21" s="161"/>
    </row>
    <row r="22" spans="1:13" ht="15.75" customHeight="1">
      <c r="A22" s="496"/>
      <c r="B22" s="497"/>
      <c r="C22" s="191">
        <v>4</v>
      </c>
      <c r="D22" s="509"/>
      <c r="E22" s="503"/>
      <c r="F22" s="503"/>
      <c r="G22" s="192"/>
      <c r="H22" s="192"/>
      <c r="I22" s="192"/>
      <c r="J22" s="192"/>
      <c r="K22" s="509"/>
      <c r="L22" s="503"/>
      <c r="M22" s="161"/>
    </row>
    <row r="23" spans="1:13" ht="15.75" customHeight="1">
      <c r="A23" s="496"/>
      <c r="B23" s="497"/>
      <c r="C23" s="191">
        <v>5</v>
      </c>
      <c r="D23" s="509"/>
      <c r="E23" s="503"/>
      <c r="F23" s="503"/>
      <c r="G23" s="192"/>
      <c r="H23" s="192"/>
      <c r="I23" s="192"/>
      <c r="J23" s="192"/>
      <c r="K23" s="509"/>
      <c r="L23" s="503"/>
      <c r="M23" s="161"/>
    </row>
    <row r="24" spans="1:13" ht="15.75" customHeight="1">
      <c r="A24" s="496"/>
      <c r="B24" s="497"/>
      <c r="C24" s="193" t="s">
        <v>80</v>
      </c>
      <c r="D24" s="508"/>
      <c r="E24" s="503"/>
      <c r="F24" s="503"/>
      <c r="G24" s="192"/>
      <c r="H24" s="192"/>
      <c r="I24" s="192"/>
      <c r="J24" s="192"/>
      <c r="K24" s="508"/>
      <c r="L24" s="503"/>
      <c r="M24" s="161"/>
    </row>
    <row r="25" spans="1:13" ht="15.75" customHeight="1">
      <c r="A25" s="496"/>
      <c r="B25" s="497"/>
      <c r="C25" s="193" t="s">
        <v>83</v>
      </c>
      <c r="D25" s="509"/>
      <c r="E25" s="503"/>
      <c r="F25" s="503"/>
      <c r="G25" s="192"/>
      <c r="H25" s="192"/>
      <c r="I25" s="192"/>
      <c r="J25" s="192"/>
      <c r="K25" s="509"/>
      <c r="L25" s="503"/>
      <c r="M25" s="161"/>
    </row>
    <row r="26" spans="1:13" ht="15.75" customHeight="1">
      <c r="A26" s="496"/>
      <c r="B26" s="497"/>
      <c r="C26" s="193" t="s">
        <v>85</v>
      </c>
      <c r="D26" s="509"/>
      <c r="E26" s="503"/>
      <c r="F26" s="503"/>
      <c r="G26" s="192"/>
      <c r="H26" s="192"/>
      <c r="I26" s="192"/>
      <c r="J26" s="192"/>
      <c r="K26" s="509"/>
      <c r="L26" s="503"/>
      <c r="M26" s="161"/>
    </row>
    <row r="27" spans="1:13" ht="15.75" customHeight="1">
      <c r="A27" s="496"/>
      <c r="B27" s="497"/>
      <c r="C27" s="193" t="s">
        <v>87</v>
      </c>
      <c r="D27" s="509"/>
      <c r="E27" s="503"/>
      <c r="F27" s="503"/>
      <c r="G27" s="192"/>
      <c r="H27" s="192"/>
      <c r="I27" s="192"/>
      <c r="J27" s="192"/>
      <c r="K27" s="509"/>
      <c r="L27" s="503"/>
      <c r="M27" s="161"/>
    </row>
    <row r="28" spans="1:13" ht="15.75" customHeight="1">
      <c r="A28" s="496"/>
      <c r="B28" s="497"/>
      <c r="C28" s="193" t="s">
        <v>89</v>
      </c>
      <c r="D28" s="509"/>
      <c r="E28" s="503"/>
      <c r="F28" s="503"/>
      <c r="G28" s="192"/>
      <c r="H28" s="192"/>
      <c r="I28" s="192"/>
      <c r="J28" s="192"/>
      <c r="K28" s="509"/>
      <c r="L28" s="503"/>
      <c r="M28" s="161"/>
    </row>
    <row r="29" spans="1:13" ht="15.75" customHeight="1">
      <c r="A29" s="506" t="s">
        <v>46</v>
      </c>
      <c r="B29" s="506"/>
      <c r="C29" s="194" t="s">
        <v>51</v>
      </c>
      <c r="D29" s="506" t="s">
        <v>68</v>
      </c>
      <c r="E29" s="507"/>
      <c r="F29" s="507"/>
      <c r="G29" s="194" t="s">
        <v>56</v>
      </c>
      <c r="H29" s="194" t="s">
        <v>69</v>
      </c>
      <c r="I29" s="194" t="s">
        <v>70</v>
      </c>
      <c r="J29" s="195" t="s">
        <v>71</v>
      </c>
      <c r="K29" s="506" t="s">
        <v>72</v>
      </c>
      <c r="L29" s="507"/>
    </row>
    <row r="30" spans="1:13" ht="15.75" customHeight="1">
      <c r="A30" s="496">
        <v>3</v>
      </c>
      <c r="B30" s="510" t="s">
        <v>35</v>
      </c>
      <c r="C30" s="191">
        <v>1</v>
      </c>
      <c r="D30" s="508" t="s">
        <v>61</v>
      </c>
      <c r="E30" s="503"/>
      <c r="F30" s="503"/>
      <c r="G30" s="197">
        <v>12.571428571428571</v>
      </c>
      <c r="H30" s="198">
        <v>1501.8571428571429</v>
      </c>
      <c r="I30" s="198">
        <v>119.71162171162169</v>
      </c>
      <c r="J30" s="231">
        <v>1.0407999999999999</v>
      </c>
      <c r="K30" s="511"/>
      <c r="L30" s="503"/>
    </row>
    <row r="31" spans="1:13" ht="15.75" customHeight="1">
      <c r="A31" s="496"/>
      <c r="B31" s="510"/>
      <c r="C31" s="191">
        <v>2</v>
      </c>
      <c r="D31" s="502" t="s">
        <v>62</v>
      </c>
      <c r="E31" s="503"/>
      <c r="F31" s="503"/>
      <c r="G31" s="197">
        <v>11.714285714285714</v>
      </c>
      <c r="H31" s="198">
        <v>1282</v>
      </c>
      <c r="I31" s="198">
        <v>110.21190476190476</v>
      </c>
      <c r="J31" s="231">
        <v>0.94099999999999995</v>
      </c>
      <c r="K31" s="508" t="s">
        <v>93</v>
      </c>
      <c r="L31" s="503"/>
    </row>
    <row r="32" spans="1:13" ht="15.75" customHeight="1">
      <c r="A32" s="496"/>
      <c r="B32" s="510"/>
      <c r="C32" s="191">
        <v>3</v>
      </c>
      <c r="D32" s="509" t="s">
        <v>63</v>
      </c>
      <c r="E32" s="503"/>
      <c r="F32" s="503"/>
      <c r="G32" s="197">
        <v>11.714285714285714</v>
      </c>
      <c r="H32" s="198">
        <v>1227.7142857142858</v>
      </c>
      <c r="I32" s="198">
        <v>104.87380952380953</v>
      </c>
      <c r="J32" s="231">
        <v>0.98770000000000002</v>
      </c>
      <c r="K32" s="511"/>
      <c r="L32" s="503"/>
    </row>
    <row r="33" spans="1:12" ht="15.75" customHeight="1">
      <c r="A33" s="496"/>
      <c r="B33" s="510"/>
      <c r="C33" s="191">
        <v>4</v>
      </c>
      <c r="D33" s="509"/>
      <c r="E33" s="503"/>
      <c r="F33" s="503"/>
      <c r="G33" s="192"/>
      <c r="H33" s="192"/>
      <c r="I33" s="192"/>
      <c r="J33" s="192"/>
      <c r="K33" s="509"/>
      <c r="L33" s="503"/>
    </row>
    <row r="34" spans="1:12" ht="15.75" customHeight="1">
      <c r="A34" s="496"/>
      <c r="B34" s="510"/>
      <c r="C34" s="191">
        <v>5</v>
      </c>
      <c r="D34" s="509"/>
      <c r="E34" s="503"/>
      <c r="F34" s="503"/>
      <c r="G34" s="192"/>
      <c r="H34" s="192"/>
      <c r="I34" s="192"/>
      <c r="J34" s="192"/>
      <c r="K34" s="509"/>
      <c r="L34" s="503"/>
    </row>
    <row r="35" spans="1:12" ht="15.75" customHeight="1">
      <c r="A35" s="496"/>
      <c r="B35" s="510"/>
      <c r="C35" s="193" t="s">
        <v>80</v>
      </c>
      <c r="D35" s="508"/>
      <c r="E35" s="503"/>
      <c r="F35" s="503"/>
      <c r="G35" s="192"/>
      <c r="H35" s="192"/>
      <c r="I35" s="192"/>
      <c r="J35" s="192"/>
      <c r="K35" s="508"/>
      <c r="L35" s="503"/>
    </row>
    <row r="36" spans="1:12" ht="15.75" customHeight="1">
      <c r="A36" s="496"/>
      <c r="B36" s="510"/>
      <c r="C36" s="193" t="s">
        <v>83</v>
      </c>
      <c r="D36" s="509"/>
      <c r="E36" s="503"/>
      <c r="F36" s="503"/>
      <c r="G36" s="192"/>
      <c r="H36" s="192"/>
      <c r="I36" s="192"/>
      <c r="J36" s="192"/>
      <c r="K36" s="509"/>
      <c r="L36" s="503"/>
    </row>
    <row r="37" spans="1:12" ht="15.75" customHeight="1">
      <c r="A37" s="496"/>
      <c r="B37" s="510"/>
      <c r="C37" s="193" t="s">
        <v>85</v>
      </c>
      <c r="D37" s="509"/>
      <c r="E37" s="503"/>
      <c r="F37" s="503"/>
      <c r="G37" s="192"/>
      <c r="H37" s="192"/>
      <c r="I37" s="192"/>
      <c r="J37" s="192"/>
      <c r="K37" s="509"/>
      <c r="L37" s="503"/>
    </row>
    <row r="38" spans="1:12" ht="15.75" customHeight="1">
      <c r="A38" s="496"/>
      <c r="B38" s="510"/>
      <c r="C38" s="193" t="s">
        <v>87</v>
      </c>
      <c r="D38" s="509"/>
      <c r="E38" s="503"/>
      <c r="F38" s="503"/>
      <c r="G38" s="192"/>
      <c r="H38" s="192"/>
      <c r="I38" s="192"/>
      <c r="J38" s="192"/>
      <c r="K38" s="509"/>
      <c r="L38" s="503"/>
    </row>
    <row r="39" spans="1:12" ht="15.75" customHeight="1">
      <c r="A39" s="496"/>
      <c r="B39" s="510"/>
      <c r="C39" s="193" t="s">
        <v>89</v>
      </c>
      <c r="D39" s="509"/>
      <c r="E39" s="503"/>
      <c r="F39" s="503"/>
      <c r="G39" s="192"/>
      <c r="H39" s="192"/>
      <c r="I39" s="192"/>
      <c r="J39" s="192"/>
      <c r="K39" s="509"/>
      <c r="L39" s="503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62" zoomScaleNormal="100" workbookViewId="0">
      <pane xSplit="4" topLeftCell="E1" activePane="topRight" state="frozen"/>
      <selection pane="topRight" activeCell="L87" sqref="L87:L101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7.7265625" style="211" bestFit="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5.453125" style="211" customWidth="1"/>
    <col min="30" max="30" width="12.81640625" style="212" customWidth="1"/>
    <col min="31" max="33" width="12.54296875" style="212" customWidth="1"/>
    <col min="34" max="34" width="5.453125" style="21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7" width="8.81640625" style="212" customWidth="1"/>
    <col min="58" max="16384" width="8.81640625" style="212"/>
  </cols>
  <sheetData>
    <row r="1" spans="1:50" ht="21">
      <c r="A1" s="208"/>
      <c r="B1" s="209" t="s">
        <v>43</v>
      </c>
      <c r="C1" s="210">
        <f>AVERAGE(L7,L27,L47,L67,L87,L107)</f>
        <v>111.77663558663559</v>
      </c>
    </row>
    <row r="2" spans="1:50" ht="15.5">
      <c r="A2" s="213"/>
      <c r="B2" s="459" t="s">
        <v>44</v>
      </c>
      <c r="C2" s="455"/>
      <c r="D2" s="455"/>
      <c r="E2" s="455"/>
      <c r="F2" s="455"/>
      <c r="G2" s="455"/>
      <c r="H2" s="455"/>
      <c r="I2" s="214"/>
      <c r="J2" s="214"/>
      <c r="K2" s="214"/>
      <c r="L2" s="214"/>
      <c r="M2" s="215"/>
      <c r="N2" s="450" t="s">
        <v>45</v>
      </c>
      <c r="O2" s="450" t="s">
        <v>3</v>
      </c>
      <c r="P2" s="453"/>
      <c r="Q2" s="438"/>
      <c r="R2" s="438"/>
      <c r="S2" s="438"/>
      <c r="T2" s="438"/>
      <c r="U2" s="453"/>
      <c r="V2" s="438"/>
      <c r="W2" s="438"/>
      <c r="X2" s="438"/>
      <c r="Y2" s="438"/>
      <c r="Z2" s="453"/>
      <c r="AA2" s="438"/>
      <c r="AB2" s="438"/>
      <c r="AC2" s="438"/>
      <c r="AD2" s="438"/>
      <c r="AE2" s="453"/>
      <c r="AF2" s="438"/>
      <c r="AG2" s="438"/>
      <c r="AH2" s="438"/>
      <c r="AI2" s="438"/>
      <c r="AJ2" s="453"/>
      <c r="AK2" s="438"/>
      <c r="AL2" s="438"/>
      <c r="AM2" s="438"/>
      <c r="AN2" s="438"/>
      <c r="AO2" s="453"/>
      <c r="AP2" s="438"/>
      <c r="AQ2" s="438"/>
      <c r="AR2" s="438"/>
      <c r="AS2" s="438"/>
      <c r="AT2" s="453">
        <v>45992</v>
      </c>
      <c r="AU2" s="438"/>
      <c r="AV2" s="438"/>
      <c r="AW2" s="438"/>
      <c r="AX2" s="438"/>
    </row>
    <row r="3" spans="1:50" ht="15.5">
      <c r="A3" s="213"/>
      <c r="B3" s="456"/>
      <c r="C3" s="456"/>
      <c r="D3" s="456"/>
      <c r="E3" s="456"/>
      <c r="F3" s="456"/>
      <c r="G3" s="456"/>
      <c r="H3" s="456"/>
      <c r="I3" s="216"/>
      <c r="J3" s="216"/>
      <c r="K3" s="216"/>
      <c r="L3" s="216"/>
      <c r="M3" s="217"/>
      <c r="N3" s="452"/>
      <c r="O3" s="452"/>
      <c r="P3" s="453" t="s">
        <v>15</v>
      </c>
      <c r="Q3" s="438"/>
      <c r="R3" s="438"/>
      <c r="S3" s="438"/>
      <c r="T3" s="438"/>
      <c r="U3" s="453" t="s">
        <v>16</v>
      </c>
      <c r="V3" s="438"/>
      <c r="W3" s="438"/>
      <c r="X3" s="438"/>
      <c r="Y3" s="438"/>
      <c r="Z3" s="453" t="s">
        <v>17</v>
      </c>
      <c r="AA3" s="438"/>
      <c r="AB3" s="438"/>
      <c r="AC3" s="438"/>
      <c r="AD3" s="438"/>
      <c r="AE3" s="453" t="s">
        <v>18</v>
      </c>
      <c r="AF3" s="438"/>
      <c r="AG3" s="438"/>
      <c r="AH3" s="438"/>
      <c r="AI3" s="438"/>
      <c r="AJ3" s="453" t="s">
        <v>19</v>
      </c>
      <c r="AK3" s="438"/>
      <c r="AL3" s="438"/>
      <c r="AM3" s="438"/>
      <c r="AN3" s="438"/>
      <c r="AO3" s="453" t="s">
        <v>10</v>
      </c>
      <c r="AP3" s="438"/>
      <c r="AQ3" s="438"/>
      <c r="AR3" s="438"/>
      <c r="AS3" s="438"/>
      <c r="AT3" s="453" t="s">
        <v>14</v>
      </c>
      <c r="AU3" s="438"/>
      <c r="AV3" s="438"/>
      <c r="AW3" s="438"/>
      <c r="AX3" s="438"/>
    </row>
    <row r="4" spans="1:50">
      <c r="A4" s="213"/>
      <c r="B4" s="445" t="s">
        <v>46</v>
      </c>
      <c r="C4" s="445" t="s">
        <v>47</v>
      </c>
      <c r="D4" s="445"/>
      <c r="E4" s="445" t="s">
        <v>48</v>
      </c>
      <c r="F4" s="445"/>
      <c r="G4" s="445"/>
      <c r="H4" s="447" t="s">
        <v>49</v>
      </c>
      <c r="I4" s="445" t="s">
        <v>50</v>
      </c>
      <c r="J4" s="445"/>
      <c r="K4" s="445"/>
      <c r="L4" s="447" t="s">
        <v>49</v>
      </c>
      <c r="M4" s="450" t="s">
        <v>51</v>
      </c>
      <c r="N4" s="445"/>
      <c r="O4" s="445" t="s">
        <v>52</v>
      </c>
      <c r="P4" s="442" t="s">
        <v>53</v>
      </c>
      <c r="Q4" s="443"/>
      <c r="R4" s="443"/>
      <c r="S4" s="444"/>
      <c r="T4" s="445" t="s">
        <v>49</v>
      </c>
      <c r="U4" s="442" t="s">
        <v>53</v>
      </c>
      <c r="V4" s="443"/>
      <c r="W4" s="443"/>
      <c r="X4" s="444"/>
      <c r="Y4" s="445" t="s">
        <v>49</v>
      </c>
      <c r="Z4" s="442" t="s">
        <v>53</v>
      </c>
      <c r="AA4" s="443"/>
      <c r="AB4" s="443"/>
      <c r="AC4" s="444"/>
      <c r="AD4" s="445" t="s">
        <v>49</v>
      </c>
      <c r="AE4" s="442" t="s">
        <v>53</v>
      </c>
      <c r="AF4" s="443"/>
      <c r="AG4" s="443"/>
      <c r="AH4" s="444"/>
      <c r="AI4" s="445" t="s">
        <v>49</v>
      </c>
      <c r="AJ4" s="442" t="s">
        <v>53</v>
      </c>
      <c r="AK4" s="443"/>
      <c r="AL4" s="443"/>
      <c r="AM4" s="444"/>
      <c r="AN4" s="445" t="s">
        <v>49</v>
      </c>
      <c r="AO4" s="442" t="s">
        <v>53</v>
      </c>
      <c r="AP4" s="443"/>
      <c r="AQ4" s="443"/>
      <c r="AR4" s="444"/>
      <c r="AS4" s="445" t="s">
        <v>49</v>
      </c>
      <c r="AT4" s="442" t="s">
        <v>53</v>
      </c>
      <c r="AU4" s="443"/>
      <c r="AV4" s="443"/>
      <c r="AW4" s="444"/>
      <c r="AX4" s="445" t="s">
        <v>49</v>
      </c>
    </row>
    <row r="5" spans="1:50">
      <c r="A5" s="213"/>
      <c r="B5" s="445"/>
      <c r="C5" s="445"/>
      <c r="D5" s="445"/>
      <c r="E5" s="445" t="s">
        <v>54</v>
      </c>
      <c r="F5" s="445"/>
      <c r="G5" s="445"/>
      <c r="H5" s="448"/>
      <c r="I5" s="445" t="s">
        <v>54</v>
      </c>
      <c r="J5" s="445"/>
      <c r="K5" s="445"/>
      <c r="L5" s="448"/>
      <c r="M5" s="451"/>
      <c r="N5" s="445"/>
      <c r="O5" s="445"/>
      <c r="P5" s="442" t="s">
        <v>55</v>
      </c>
      <c r="Q5" s="443"/>
      <c r="R5" s="443"/>
      <c r="S5" s="444"/>
      <c r="T5" s="445"/>
      <c r="U5" s="442" t="s">
        <v>55</v>
      </c>
      <c r="V5" s="443"/>
      <c r="W5" s="443"/>
      <c r="X5" s="444"/>
      <c r="Y5" s="445"/>
      <c r="Z5" s="442" t="s">
        <v>55</v>
      </c>
      <c r="AA5" s="443"/>
      <c r="AB5" s="443"/>
      <c r="AC5" s="444"/>
      <c r="AD5" s="445"/>
      <c r="AE5" s="442" t="s">
        <v>55</v>
      </c>
      <c r="AF5" s="443"/>
      <c r="AG5" s="443"/>
      <c r="AH5" s="444"/>
      <c r="AI5" s="445"/>
      <c r="AJ5" s="442" t="s">
        <v>55</v>
      </c>
      <c r="AK5" s="443"/>
      <c r="AL5" s="443"/>
      <c r="AM5" s="444"/>
      <c r="AN5" s="445"/>
      <c r="AO5" s="442" t="s">
        <v>55</v>
      </c>
      <c r="AP5" s="443"/>
      <c r="AQ5" s="443"/>
      <c r="AR5" s="444"/>
      <c r="AS5" s="445"/>
      <c r="AT5" s="442" t="s">
        <v>55</v>
      </c>
      <c r="AU5" s="443"/>
      <c r="AV5" s="443"/>
      <c r="AW5" s="444"/>
      <c r="AX5" s="445"/>
    </row>
    <row r="6" spans="1:50">
      <c r="A6" s="218"/>
      <c r="B6" s="445"/>
      <c r="C6" s="445"/>
      <c r="D6" s="445"/>
      <c r="E6" s="219" t="s">
        <v>56</v>
      </c>
      <c r="F6" s="219" t="s">
        <v>57</v>
      </c>
      <c r="G6" s="219" t="s">
        <v>58</v>
      </c>
      <c r="H6" s="449"/>
      <c r="I6" s="219" t="s">
        <v>56</v>
      </c>
      <c r="J6" s="219" t="s">
        <v>57</v>
      </c>
      <c r="K6" s="219" t="s">
        <v>58</v>
      </c>
      <c r="L6" s="449"/>
      <c r="M6" s="452"/>
      <c r="N6" s="445"/>
      <c r="O6" s="445"/>
      <c r="P6" s="219" t="s">
        <v>56</v>
      </c>
      <c r="Q6" s="219" t="s">
        <v>57</v>
      </c>
      <c r="R6" s="219" t="s">
        <v>58</v>
      </c>
      <c r="S6" s="219" t="s">
        <v>51</v>
      </c>
      <c r="T6" s="445"/>
      <c r="U6" s="219" t="s">
        <v>56</v>
      </c>
      <c r="V6" s="219" t="s">
        <v>57</v>
      </c>
      <c r="W6" s="219" t="s">
        <v>58</v>
      </c>
      <c r="X6" s="219" t="s">
        <v>51</v>
      </c>
      <c r="Y6" s="445"/>
      <c r="Z6" s="219" t="s">
        <v>56</v>
      </c>
      <c r="AA6" s="219" t="s">
        <v>57</v>
      </c>
      <c r="AB6" s="219" t="s">
        <v>58</v>
      </c>
      <c r="AC6" s="219" t="s">
        <v>51</v>
      </c>
      <c r="AD6" s="445"/>
      <c r="AE6" s="219" t="s">
        <v>56</v>
      </c>
      <c r="AF6" s="219" t="s">
        <v>57</v>
      </c>
      <c r="AG6" s="219" t="s">
        <v>58</v>
      </c>
      <c r="AH6" s="219" t="s">
        <v>51</v>
      </c>
      <c r="AI6" s="445"/>
      <c r="AJ6" s="219" t="s">
        <v>56</v>
      </c>
      <c r="AK6" s="219" t="s">
        <v>57</v>
      </c>
      <c r="AL6" s="219" t="s">
        <v>58</v>
      </c>
      <c r="AM6" s="219" t="s">
        <v>51</v>
      </c>
      <c r="AN6" s="445"/>
      <c r="AO6" s="219" t="s">
        <v>56</v>
      </c>
      <c r="AP6" s="219" t="s">
        <v>57</v>
      </c>
      <c r="AQ6" s="219" t="s">
        <v>58</v>
      </c>
      <c r="AR6" s="219" t="s">
        <v>51</v>
      </c>
      <c r="AS6" s="445"/>
      <c r="AT6" s="219" t="s">
        <v>56</v>
      </c>
      <c r="AU6" s="219" t="s">
        <v>57</v>
      </c>
      <c r="AV6" s="219" t="s">
        <v>58</v>
      </c>
      <c r="AW6" s="219" t="s">
        <v>51</v>
      </c>
      <c r="AX6" s="445"/>
    </row>
    <row r="7" spans="1:50">
      <c r="A7" s="213"/>
      <c r="B7" s="445" t="s">
        <v>35</v>
      </c>
      <c r="C7" s="220">
        <v>1</v>
      </c>
      <c r="D7" s="220" t="s">
        <v>61</v>
      </c>
      <c r="E7" s="221">
        <f>VLOOKUP(D7,'11產線配置圖'!$A$2:$C$30,2,0)</f>
        <v>13</v>
      </c>
      <c r="F7" s="221">
        <f>VLOOKUP(D7,'11產線配置圖'!$A$2:$C$30,3,0)</f>
        <v>1565</v>
      </c>
      <c r="G7" s="222">
        <f>F7/E7</f>
        <v>120.38461538461539</v>
      </c>
      <c r="H7" s="439">
        <f>AVERAGE(G7:G21)</f>
        <v>127.07264957264958</v>
      </c>
      <c r="I7" s="221">
        <f>AVERAGE(AT7)</f>
        <v>13</v>
      </c>
      <c r="J7" s="221">
        <f>AVERAGE(AU7)</f>
        <v>1526</v>
      </c>
      <c r="K7" s="222">
        <f>AVERAGE(AV7)</f>
        <v>117.38461538461539</v>
      </c>
      <c r="L7" s="439">
        <f>IFERROR(AVERAGE(K7:K21),"-")</f>
        <v>116.71153846153845</v>
      </c>
      <c r="M7" s="223">
        <f>RANK(K7, K$7:$K$21)</f>
        <v>2</v>
      </c>
      <c r="N7" s="445"/>
      <c r="O7" s="445"/>
      <c r="P7" s="221"/>
      <c r="Q7" s="221"/>
      <c r="R7" s="222" t="e">
        <f>Q7/P7</f>
        <v>#DIV/0!</v>
      </c>
      <c r="S7" s="220" t="e">
        <f>RANK(R7, R$7:R$21)</f>
        <v>#DIV/0!</v>
      </c>
      <c r="T7" s="437" t="e">
        <f>AVERAGE(R7:R21)</f>
        <v>#DIV/0!</v>
      </c>
      <c r="U7" s="221"/>
      <c r="V7" s="221"/>
      <c r="W7" s="222" t="e">
        <f>V7/U7</f>
        <v>#DIV/0!</v>
      </c>
      <c r="X7" s="220" t="e">
        <f>RANK(W7, W$7:W$21)</f>
        <v>#DIV/0!</v>
      </c>
      <c r="Y7" s="437" t="e">
        <f>AVERAGE(W7:W21)</f>
        <v>#DIV/0!</v>
      </c>
      <c r="Z7" s="220"/>
      <c r="AA7" s="221"/>
      <c r="AB7" s="222" t="e">
        <f>AA7/Z7</f>
        <v>#DIV/0!</v>
      </c>
      <c r="AC7" s="220" t="e">
        <f>RANK(AB7, AB$7:AB$21)</f>
        <v>#DIV/0!</v>
      </c>
      <c r="AD7" s="437" t="e">
        <f>AVERAGE(AB7:AB21)</f>
        <v>#DIV/0!</v>
      </c>
      <c r="AE7" s="221"/>
      <c r="AF7" s="221"/>
      <c r="AG7" s="222" t="e">
        <f>AF7/AE7</f>
        <v>#DIV/0!</v>
      </c>
      <c r="AH7" s="220" t="e">
        <f>RANK(AG7, AG$7:AG$21)</f>
        <v>#DIV/0!</v>
      </c>
      <c r="AI7" s="437" t="e">
        <f>AVERAGE(AG7:AG21)</f>
        <v>#DIV/0!</v>
      </c>
      <c r="AJ7" s="221"/>
      <c r="AK7" s="221"/>
      <c r="AL7" s="222" t="e">
        <f>AK7/AJ7</f>
        <v>#DIV/0!</v>
      </c>
      <c r="AM7" s="220" t="e">
        <f>RANK(AL7, AL$7:AL$21)</f>
        <v>#DIV/0!</v>
      </c>
      <c r="AN7" s="437" t="e">
        <f>AVERAGE(AL7:AL21)</f>
        <v>#DIV/0!</v>
      </c>
      <c r="AO7" s="221"/>
      <c r="AP7" s="221"/>
      <c r="AQ7" s="222" t="e">
        <f>AP7/AO7</f>
        <v>#DIV/0!</v>
      </c>
      <c r="AR7" s="220" t="e">
        <f>RANK(AQ7, AQ$7:AQ$21)</f>
        <v>#DIV/0!</v>
      </c>
      <c r="AS7" s="437" t="e">
        <f>AVERAGE(AQ7:AQ21)</f>
        <v>#DIV/0!</v>
      </c>
      <c r="AT7" s="221">
        <v>13</v>
      </c>
      <c r="AU7" s="221">
        <v>1526</v>
      </c>
      <c r="AV7" s="222">
        <f>AU7/AT7</f>
        <v>117.38461538461539</v>
      </c>
      <c r="AW7" s="220">
        <f>RANK(AV7, AV$7:AV$21)</f>
        <v>2</v>
      </c>
      <c r="AX7" s="437">
        <f>AVERAGE(AV7:AV21)</f>
        <v>116.71153846153845</v>
      </c>
    </row>
    <row r="8" spans="1:50" ht="15" customHeight="1">
      <c r="A8" s="213"/>
      <c r="B8" s="438"/>
      <c r="C8" s="220">
        <v>2</v>
      </c>
      <c r="D8" s="220" t="s">
        <v>62</v>
      </c>
      <c r="E8" s="221">
        <f>VLOOKUP(D8,'11產線配置圖'!$A$2:$C$30,2,0)</f>
        <v>12</v>
      </c>
      <c r="F8" s="221">
        <f>VLOOKUP(D8,'11產線配置圖'!$A$2:$C$30,3,0)</f>
        <v>1565</v>
      </c>
      <c r="G8" s="222">
        <f>F8/E8</f>
        <v>130.41666666666666</v>
      </c>
      <c r="H8" s="440"/>
      <c r="I8" s="221">
        <f t="shared" ref="I8:I9" si="0">AVERAGE(AT8)</f>
        <v>12</v>
      </c>
      <c r="J8" s="221">
        <f t="shared" ref="J8:J9" si="1">AVERAGE(AU8)</f>
        <v>1512</v>
      </c>
      <c r="K8" s="222">
        <f t="shared" ref="K8:K9" si="2">AVERAGE(AV8)</f>
        <v>126</v>
      </c>
      <c r="L8" s="440"/>
      <c r="M8" s="223">
        <f>RANK(K8, K$7:$K$21)</f>
        <v>1</v>
      </c>
      <c r="N8" s="445"/>
      <c r="O8" s="445"/>
      <c r="P8" s="221"/>
      <c r="Q8" s="221"/>
      <c r="R8" s="222" t="e">
        <f t="shared" ref="R8:R13" si="3">Q8/P8</f>
        <v>#DIV/0!</v>
      </c>
      <c r="S8" s="220" t="e">
        <f t="shared" ref="S8:S13" si="4">RANK(R8, R$7:R$21)</f>
        <v>#DIV/0!</v>
      </c>
      <c r="T8" s="437"/>
      <c r="U8" s="221"/>
      <c r="V8" s="221"/>
      <c r="W8" s="222" t="e">
        <f>V8/U8</f>
        <v>#DIV/0!</v>
      </c>
      <c r="X8" s="220" t="e">
        <f>RANK(W8, W$7:W$21)</f>
        <v>#DIV/0!</v>
      </c>
      <c r="Y8" s="437"/>
      <c r="Z8" s="220"/>
      <c r="AA8" s="221"/>
      <c r="AB8" s="222" t="e">
        <f>AA8/Z8</f>
        <v>#DIV/0!</v>
      </c>
      <c r="AC8" s="220" t="e">
        <f>RANK(AB8, AB$7:AB$21)</f>
        <v>#DIV/0!</v>
      </c>
      <c r="AD8" s="437"/>
      <c r="AE8" s="221"/>
      <c r="AF8" s="221"/>
      <c r="AG8" s="222" t="e">
        <f>AF8/AE8</f>
        <v>#DIV/0!</v>
      </c>
      <c r="AH8" s="220" t="e">
        <f>RANK(AG8, AG$7:AG$21)</f>
        <v>#DIV/0!</v>
      </c>
      <c r="AI8" s="437"/>
      <c r="AJ8" s="221"/>
      <c r="AK8" s="221"/>
      <c r="AL8" s="222" t="e">
        <f>AK8/AJ8</f>
        <v>#DIV/0!</v>
      </c>
      <c r="AM8" s="220" t="e">
        <f>RANK(AL8, AL$7:AL$21)</f>
        <v>#DIV/0!</v>
      </c>
      <c r="AN8" s="437"/>
      <c r="AO8" s="221"/>
      <c r="AP8" s="221"/>
      <c r="AQ8" s="222" t="e">
        <f>AP8/AO8</f>
        <v>#DIV/0!</v>
      </c>
      <c r="AR8" s="220" t="e">
        <f>RANK(AQ8, AQ$7:AQ$21)</f>
        <v>#DIV/0!</v>
      </c>
      <c r="AS8" s="437"/>
      <c r="AT8" s="221">
        <v>12</v>
      </c>
      <c r="AU8" s="221">
        <v>1512</v>
      </c>
      <c r="AV8" s="222">
        <f>AU8/AT8</f>
        <v>126</v>
      </c>
      <c r="AW8" s="220">
        <f>RANK(AV8, AV$7:AV$21)</f>
        <v>1</v>
      </c>
      <c r="AX8" s="437"/>
    </row>
    <row r="9" spans="1:50">
      <c r="A9" s="213"/>
      <c r="B9" s="438"/>
      <c r="C9" s="220">
        <v>3</v>
      </c>
      <c r="D9" s="220" t="s">
        <v>63</v>
      </c>
      <c r="E9" s="221">
        <f>VLOOKUP(D9,'11產線配置圖'!$A$2:$C$30,2,0)</f>
        <v>12</v>
      </c>
      <c r="F9" s="221">
        <f>VLOOKUP(D9,'11產線配置圖'!$A$2:$C$30,3,0)</f>
        <v>1565</v>
      </c>
      <c r="G9" s="222">
        <f>F9/E9</f>
        <v>130.41666666666666</v>
      </c>
      <c r="H9" s="440"/>
      <c r="I9" s="221">
        <f t="shared" si="0"/>
        <v>12</v>
      </c>
      <c r="J9" s="221">
        <f t="shared" si="1"/>
        <v>1281</v>
      </c>
      <c r="K9" s="222">
        <f t="shared" si="2"/>
        <v>106.75</v>
      </c>
      <c r="L9" s="440"/>
      <c r="M9" s="223">
        <f>RANK(K9, K$7:$K$21)</f>
        <v>3</v>
      </c>
      <c r="N9" s="445"/>
      <c r="O9" s="445"/>
      <c r="P9" s="221"/>
      <c r="Q9" s="221"/>
      <c r="R9" s="222" t="e">
        <f t="shared" si="3"/>
        <v>#DIV/0!</v>
      </c>
      <c r="S9" s="220" t="e">
        <f t="shared" si="4"/>
        <v>#DIV/0!</v>
      </c>
      <c r="T9" s="437"/>
      <c r="U9" s="221"/>
      <c r="V9" s="221"/>
      <c r="W9" s="222" t="e">
        <f>V9/U9</f>
        <v>#DIV/0!</v>
      </c>
      <c r="X9" s="220" t="e">
        <f>RANK(W9, W$7:W$21)</f>
        <v>#DIV/0!</v>
      </c>
      <c r="Y9" s="437"/>
      <c r="Z9" s="220"/>
      <c r="AA9" s="221"/>
      <c r="AB9" s="222" t="e">
        <f>AA9/Z9</f>
        <v>#DIV/0!</v>
      </c>
      <c r="AC9" s="220" t="e">
        <f>RANK(AB9, AB$7:AB$21)</f>
        <v>#DIV/0!</v>
      </c>
      <c r="AD9" s="437"/>
      <c r="AE9" s="221"/>
      <c r="AF9" s="221"/>
      <c r="AG9" s="222" t="e">
        <f>AF9/AE9</f>
        <v>#DIV/0!</v>
      </c>
      <c r="AH9" s="220" t="e">
        <f>RANK(AG9, AG$7:AG$21)</f>
        <v>#DIV/0!</v>
      </c>
      <c r="AI9" s="437"/>
      <c r="AJ9" s="221"/>
      <c r="AK9" s="221"/>
      <c r="AL9" s="222" t="e">
        <f>AK9/AJ9</f>
        <v>#DIV/0!</v>
      </c>
      <c r="AM9" s="220" t="e">
        <f>RANK(AL9, AL$7:AL$21)</f>
        <v>#DIV/0!</v>
      </c>
      <c r="AN9" s="437"/>
      <c r="AO9" s="221"/>
      <c r="AP9" s="221"/>
      <c r="AQ9" s="222" t="e">
        <f>AP9/AO9</f>
        <v>#DIV/0!</v>
      </c>
      <c r="AR9" s="220" t="e">
        <f>RANK(AQ9, AQ$7:AQ$21)</f>
        <v>#DIV/0!</v>
      </c>
      <c r="AS9" s="437"/>
      <c r="AT9" s="221">
        <v>12</v>
      </c>
      <c r="AU9" s="221">
        <v>1281</v>
      </c>
      <c r="AV9" s="222">
        <f>AU9/AT9</f>
        <v>106.75</v>
      </c>
      <c r="AW9" s="220">
        <f>RANK(AV9, AV$7:AV$21)</f>
        <v>3</v>
      </c>
      <c r="AX9" s="437"/>
    </row>
    <row r="10" spans="1:50">
      <c r="A10" s="213"/>
      <c r="B10" s="438"/>
      <c r="C10" s="220">
        <v>4</v>
      </c>
      <c r="D10" s="220"/>
      <c r="E10" s="221"/>
      <c r="F10" s="221"/>
      <c r="G10" s="222"/>
      <c r="H10" s="440"/>
      <c r="I10" s="221"/>
      <c r="J10" s="221"/>
      <c r="K10" s="222"/>
      <c r="L10" s="440"/>
      <c r="M10" s="223"/>
      <c r="N10" s="445"/>
      <c r="O10" s="445"/>
      <c r="P10" s="221"/>
      <c r="Q10" s="221"/>
      <c r="R10" s="222" t="e">
        <f t="shared" si="3"/>
        <v>#DIV/0!</v>
      </c>
      <c r="S10" s="220" t="e">
        <f t="shared" si="4"/>
        <v>#DIV/0!</v>
      </c>
      <c r="T10" s="437"/>
      <c r="U10" s="221"/>
      <c r="V10" s="221"/>
      <c r="W10" s="222"/>
      <c r="X10" s="220"/>
      <c r="Y10" s="437"/>
      <c r="Z10" s="220"/>
      <c r="AA10" s="221"/>
      <c r="AB10" s="222"/>
      <c r="AC10" s="220"/>
      <c r="AD10" s="437"/>
      <c r="AE10" s="221"/>
      <c r="AF10" s="221"/>
      <c r="AG10" s="222"/>
      <c r="AH10" s="220"/>
      <c r="AI10" s="437"/>
      <c r="AJ10" s="221"/>
      <c r="AK10" s="221"/>
      <c r="AL10" s="222"/>
      <c r="AM10" s="220"/>
      <c r="AN10" s="437"/>
      <c r="AO10" s="221"/>
      <c r="AP10" s="221"/>
      <c r="AQ10" s="222"/>
      <c r="AR10" s="220"/>
      <c r="AS10" s="437"/>
      <c r="AT10" s="221"/>
      <c r="AU10" s="221"/>
      <c r="AV10" s="222"/>
      <c r="AW10" s="220"/>
      <c r="AX10" s="437"/>
    </row>
    <row r="11" spans="1:50">
      <c r="A11" s="213"/>
      <c r="B11" s="438"/>
      <c r="C11" s="220">
        <v>5</v>
      </c>
      <c r="D11" s="220"/>
      <c r="E11" s="221"/>
      <c r="F11" s="221"/>
      <c r="G11" s="222"/>
      <c r="H11" s="440"/>
      <c r="I11" s="221"/>
      <c r="J11" s="221"/>
      <c r="K11" s="222"/>
      <c r="L11" s="440"/>
      <c r="M11" s="223"/>
      <c r="N11" s="445"/>
      <c r="O11" s="445"/>
      <c r="P11" s="221"/>
      <c r="Q11" s="221"/>
      <c r="R11" s="222" t="e">
        <f t="shared" si="3"/>
        <v>#DIV/0!</v>
      </c>
      <c r="S11" s="220" t="e">
        <f t="shared" si="4"/>
        <v>#DIV/0!</v>
      </c>
      <c r="T11" s="437"/>
      <c r="U11" s="221"/>
      <c r="V11" s="221"/>
      <c r="W11" s="222"/>
      <c r="X11" s="220"/>
      <c r="Y11" s="437"/>
      <c r="Z11" s="220"/>
      <c r="AA11" s="221"/>
      <c r="AB11" s="222"/>
      <c r="AC11" s="220"/>
      <c r="AD11" s="437"/>
      <c r="AE11" s="221"/>
      <c r="AF11" s="221"/>
      <c r="AG11" s="222"/>
      <c r="AH11" s="220"/>
      <c r="AI11" s="437"/>
      <c r="AJ11" s="221"/>
      <c r="AK11" s="221"/>
      <c r="AL11" s="222"/>
      <c r="AM11" s="220"/>
      <c r="AN11" s="437"/>
      <c r="AO11" s="221"/>
      <c r="AP11" s="221"/>
      <c r="AQ11" s="222"/>
      <c r="AR11" s="220"/>
      <c r="AS11" s="437"/>
      <c r="AT11" s="221"/>
      <c r="AU11" s="221"/>
      <c r="AV11" s="222"/>
      <c r="AW11" s="220"/>
      <c r="AX11" s="437"/>
    </row>
    <row r="12" spans="1:50">
      <c r="A12" s="213"/>
      <c r="B12" s="438"/>
      <c r="C12" s="220">
        <v>6</v>
      </c>
      <c r="D12" s="220"/>
      <c r="E12" s="221"/>
      <c r="F12" s="221"/>
      <c r="G12" s="222"/>
      <c r="H12" s="440"/>
      <c r="I12" s="221"/>
      <c r="J12" s="221"/>
      <c r="K12" s="222"/>
      <c r="L12" s="440"/>
      <c r="M12" s="223"/>
      <c r="N12" s="445"/>
      <c r="O12" s="445"/>
      <c r="P12" s="221"/>
      <c r="Q12" s="221"/>
      <c r="R12" s="222" t="e">
        <f t="shared" si="3"/>
        <v>#DIV/0!</v>
      </c>
      <c r="S12" s="220" t="e">
        <f t="shared" si="4"/>
        <v>#DIV/0!</v>
      </c>
      <c r="T12" s="437"/>
      <c r="U12" s="221"/>
      <c r="V12" s="221"/>
      <c r="W12" s="222"/>
      <c r="X12" s="220"/>
      <c r="Y12" s="437"/>
      <c r="Z12" s="220"/>
      <c r="AA12" s="221"/>
      <c r="AB12" s="222"/>
      <c r="AC12" s="220"/>
      <c r="AD12" s="437"/>
      <c r="AE12" s="221"/>
      <c r="AF12" s="221"/>
      <c r="AG12" s="222"/>
      <c r="AH12" s="220"/>
      <c r="AI12" s="437"/>
      <c r="AJ12" s="221"/>
      <c r="AK12" s="221"/>
      <c r="AL12" s="222"/>
      <c r="AM12" s="220"/>
      <c r="AN12" s="437"/>
      <c r="AO12" s="221"/>
      <c r="AP12" s="221"/>
      <c r="AQ12" s="222"/>
      <c r="AR12" s="220"/>
      <c r="AS12" s="437"/>
      <c r="AT12" s="221"/>
      <c r="AU12" s="221"/>
      <c r="AV12" s="222"/>
      <c r="AW12" s="220"/>
      <c r="AX12" s="437"/>
    </row>
    <row r="13" spans="1:50">
      <c r="A13" s="213"/>
      <c r="B13" s="438"/>
      <c r="C13" s="220">
        <v>7</v>
      </c>
      <c r="D13" s="220"/>
      <c r="E13" s="221"/>
      <c r="F13" s="221"/>
      <c r="G13" s="222"/>
      <c r="H13" s="440"/>
      <c r="I13" s="221"/>
      <c r="J13" s="221"/>
      <c r="K13" s="222"/>
      <c r="L13" s="440"/>
      <c r="M13" s="223"/>
      <c r="N13" s="445"/>
      <c r="O13" s="445"/>
      <c r="P13" s="221"/>
      <c r="Q13" s="221"/>
      <c r="R13" s="222" t="e">
        <f t="shared" si="3"/>
        <v>#DIV/0!</v>
      </c>
      <c r="S13" s="220" t="e">
        <f t="shared" si="4"/>
        <v>#DIV/0!</v>
      </c>
      <c r="T13" s="437"/>
      <c r="U13" s="221"/>
      <c r="V13" s="221"/>
      <c r="W13" s="222"/>
      <c r="X13" s="220"/>
      <c r="Y13" s="437"/>
      <c r="Z13" s="220"/>
      <c r="AA13" s="221"/>
      <c r="AB13" s="222"/>
      <c r="AC13" s="220"/>
      <c r="AD13" s="437"/>
      <c r="AE13" s="221"/>
      <c r="AF13" s="221"/>
      <c r="AG13" s="222"/>
      <c r="AH13" s="220"/>
      <c r="AI13" s="437"/>
      <c r="AJ13" s="221"/>
      <c r="AK13" s="221"/>
      <c r="AL13" s="222"/>
      <c r="AM13" s="220"/>
      <c r="AN13" s="437"/>
      <c r="AO13" s="221"/>
      <c r="AP13" s="221"/>
      <c r="AQ13" s="222"/>
      <c r="AR13" s="220"/>
      <c r="AS13" s="437"/>
      <c r="AT13" s="221"/>
      <c r="AU13" s="221"/>
      <c r="AV13" s="222"/>
      <c r="AW13" s="220"/>
      <c r="AX13" s="437"/>
    </row>
    <row r="14" spans="1:50">
      <c r="A14" s="213"/>
      <c r="B14" s="438"/>
      <c r="C14" s="220">
        <v>8</v>
      </c>
      <c r="D14" s="220"/>
      <c r="E14" s="221"/>
      <c r="F14" s="221"/>
      <c r="G14" s="222"/>
      <c r="H14" s="440"/>
      <c r="I14" s="221"/>
      <c r="J14" s="221"/>
      <c r="K14" s="222"/>
      <c r="L14" s="440"/>
      <c r="M14" s="223"/>
      <c r="N14" s="445"/>
      <c r="O14" s="445"/>
      <c r="P14" s="221"/>
      <c r="Q14" s="221"/>
      <c r="R14" s="222"/>
      <c r="S14" s="220"/>
      <c r="T14" s="437"/>
      <c r="U14" s="221"/>
      <c r="V14" s="221"/>
      <c r="W14" s="222"/>
      <c r="X14" s="220"/>
      <c r="Y14" s="437"/>
      <c r="Z14" s="220"/>
      <c r="AA14" s="221"/>
      <c r="AB14" s="222"/>
      <c r="AC14" s="220"/>
      <c r="AD14" s="437"/>
      <c r="AE14" s="221"/>
      <c r="AF14" s="221"/>
      <c r="AG14" s="222"/>
      <c r="AH14" s="220"/>
      <c r="AI14" s="437"/>
      <c r="AJ14" s="221"/>
      <c r="AK14" s="221"/>
      <c r="AL14" s="222"/>
      <c r="AM14" s="220"/>
      <c r="AN14" s="437"/>
      <c r="AO14" s="221"/>
      <c r="AP14" s="221"/>
      <c r="AQ14" s="222"/>
      <c r="AR14" s="220"/>
      <c r="AS14" s="437"/>
      <c r="AT14" s="221"/>
      <c r="AU14" s="221"/>
      <c r="AV14" s="222"/>
      <c r="AW14" s="220"/>
      <c r="AX14" s="437"/>
    </row>
    <row r="15" spans="1:50">
      <c r="A15" s="213"/>
      <c r="B15" s="438"/>
      <c r="C15" s="220">
        <v>9</v>
      </c>
      <c r="D15" s="220"/>
      <c r="E15" s="221"/>
      <c r="F15" s="221"/>
      <c r="G15" s="222"/>
      <c r="H15" s="440"/>
      <c r="I15" s="221"/>
      <c r="J15" s="221"/>
      <c r="K15" s="222"/>
      <c r="L15" s="440"/>
      <c r="M15" s="223"/>
      <c r="N15" s="445"/>
      <c r="O15" s="445"/>
      <c r="P15" s="221"/>
      <c r="Q15" s="221"/>
      <c r="R15" s="222"/>
      <c r="S15" s="220"/>
      <c r="T15" s="437"/>
      <c r="U15" s="221"/>
      <c r="V15" s="221"/>
      <c r="W15" s="222"/>
      <c r="X15" s="220"/>
      <c r="Y15" s="437"/>
      <c r="Z15" s="220"/>
      <c r="AA15" s="221"/>
      <c r="AB15" s="222"/>
      <c r="AC15" s="220"/>
      <c r="AD15" s="437"/>
      <c r="AE15" s="221"/>
      <c r="AF15" s="221"/>
      <c r="AG15" s="222"/>
      <c r="AH15" s="220"/>
      <c r="AI15" s="437"/>
      <c r="AJ15" s="221"/>
      <c r="AK15" s="221"/>
      <c r="AL15" s="222"/>
      <c r="AM15" s="220"/>
      <c r="AN15" s="437"/>
      <c r="AO15" s="221"/>
      <c r="AP15" s="221"/>
      <c r="AQ15" s="222"/>
      <c r="AR15" s="220"/>
      <c r="AS15" s="437"/>
      <c r="AT15" s="221"/>
      <c r="AU15" s="221"/>
      <c r="AV15" s="222"/>
      <c r="AW15" s="220"/>
      <c r="AX15" s="437"/>
    </row>
    <row r="16" spans="1:50">
      <c r="A16" s="213"/>
      <c r="B16" s="438"/>
      <c r="C16" s="220">
        <v>10</v>
      </c>
      <c r="D16" s="220"/>
      <c r="E16" s="221"/>
      <c r="F16" s="221"/>
      <c r="G16" s="222"/>
      <c r="H16" s="440"/>
      <c r="I16" s="221"/>
      <c r="J16" s="221"/>
      <c r="K16" s="222"/>
      <c r="L16" s="440"/>
      <c r="M16" s="223"/>
      <c r="N16" s="445"/>
      <c r="O16" s="445"/>
      <c r="P16" s="221"/>
      <c r="Q16" s="221"/>
      <c r="R16" s="222"/>
      <c r="S16" s="220"/>
      <c r="T16" s="437"/>
      <c r="U16" s="221"/>
      <c r="V16" s="221"/>
      <c r="W16" s="222"/>
      <c r="X16" s="220"/>
      <c r="Y16" s="437"/>
      <c r="Z16" s="220"/>
      <c r="AA16" s="221"/>
      <c r="AB16" s="222"/>
      <c r="AC16" s="220"/>
      <c r="AD16" s="437"/>
      <c r="AE16" s="221"/>
      <c r="AF16" s="221"/>
      <c r="AG16" s="222"/>
      <c r="AH16" s="220"/>
      <c r="AI16" s="437"/>
      <c r="AJ16" s="221"/>
      <c r="AK16" s="221"/>
      <c r="AL16" s="222"/>
      <c r="AM16" s="220"/>
      <c r="AN16" s="437"/>
      <c r="AO16" s="221"/>
      <c r="AP16" s="221"/>
      <c r="AQ16" s="222"/>
      <c r="AR16" s="220"/>
      <c r="AS16" s="437"/>
      <c r="AT16" s="221"/>
      <c r="AU16" s="221"/>
      <c r="AV16" s="222"/>
      <c r="AW16" s="220"/>
      <c r="AX16" s="437"/>
    </row>
    <row r="17" spans="2:50">
      <c r="B17" s="438"/>
      <c r="C17" s="220">
        <v>11</v>
      </c>
      <c r="D17" s="220"/>
      <c r="E17" s="221"/>
      <c r="F17" s="221"/>
      <c r="G17" s="222"/>
      <c r="H17" s="440"/>
      <c r="I17" s="221"/>
      <c r="J17" s="221"/>
      <c r="K17" s="222"/>
      <c r="L17" s="440"/>
      <c r="M17" s="223"/>
      <c r="N17" s="445"/>
      <c r="O17" s="445"/>
      <c r="P17" s="220"/>
      <c r="Q17" s="220"/>
      <c r="R17" s="222"/>
      <c r="S17" s="220"/>
      <c r="T17" s="437"/>
      <c r="U17" s="220"/>
      <c r="V17" s="220"/>
      <c r="W17" s="222"/>
      <c r="X17" s="220"/>
      <c r="Y17" s="437"/>
      <c r="Z17" s="220"/>
      <c r="AA17" s="220"/>
      <c r="AB17" s="222"/>
      <c r="AC17" s="220"/>
      <c r="AD17" s="437"/>
      <c r="AE17" s="220"/>
      <c r="AF17" s="220"/>
      <c r="AG17" s="222"/>
      <c r="AH17" s="220"/>
      <c r="AI17" s="437"/>
      <c r="AJ17" s="220"/>
      <c r="AK17" s="220"/>
      <c r="AL17" s="220"/>
      <c r="AM17" s="220"/>
      <c r="AN17" s="437"/>
      <c r="AO17" s="220"/>
      <c r="AP17" s="220"/>
      <c r="AQ17" s="222"/>
      <c r="AR17" s="220"/>
      <c r="AS17" s="437"/>
      <c r="AT17" s="220"/>
      <c r="AU17" s="220"/>
      <c r="AV17" s="222"/>
      <c r="AW17" s="220"/>
      <c r="AX17" s="437"/>
    </row>
    <row r="18" spans="2:50">
      <c r="B18" s="438"/>
      <c r="C18" s="220">
        <v>12</v>
      </c>
      <c r="D18" s="220"/>
      <c r="E18" s="221"/>
      <c r="F18" s="221"/>
      <c r="G18" s="222"/>
      <c r="H18" s="440"/>
      <c r="I18" s="221"/>
      <c r="J18" s="221"/>
      <c r="K18" s="222"/>
      <c r="L18" s="440"/>
      <c r="M18" s="223"/>
      <c r="N18" s="445"/>
      <c r="O18" s="445"/>
      <c r="P18" s="220"/>
      <c r="Q18" s="220"/>
      <c r="R18" s="222"/>
      <c r="S18" s="220"/>
      <c r="T18" s="437"/>
      <c r="U18" s="220"/>
      <c r="V18" s="220"/>
      <c r="W18" s="222"/>
      <c r="X18" s="220"/>
      <c r="Y18" s="437"/>
      <c r="Z18" s="220"/>
      <c r="AA18" s="220"/>
      <c r="AB18" s="222"/>
      <c r="AC18" s="220"/>
      <c r="AD18" s="437"/>
      <c r="AE18" s="220"/>
      <c r="AF18" s="220"/>
      <c r="AG18" s="222"/>
      <c r="AH18" s="220"/>
      <c r="AI18" s="437"/>
      <c r="AJ18" s="220"/>
      <c r="AK18" s="220"/>
      <c r="AL18" s="220"/>
      <c r="AM18" s="220"/>
      <c r="AN18" s="437"/>
      <c r="AO18" s="220"/>
      <c r="AP18" s="220"/>
      <c r="AQ18" s="222"/>
      <c r="AR18" s="220"/>
      <c r="AS18" s="437"/>
      <c r="AT18" s="220"/>
      <c r="AU18" s="220"/>
      <c r="AV18" s="222"/>
      <c r="AW18" s="220"/>
      <c r="AX18" s="437"/>
    </row>
    <row r="19" spans="2:50">
      <c r="B19" s="438"/>
      <c r="C19" s="220">
        <v>13</v>
      </c>
      <c r="D19" s="220"/>
      <c r="E19" s="221"/>
      <c r="F19" s="221"/>
      <c r="G19" s="222"/>
      <c r="H19" s="440"/>
      <c r="I19" s="221"/>
      <c r="J19" s="221"/>
      <c r="K19" s="222"/>
      <c r="L19" s="440"/>
      <c r="M19" s="223"/>
      <c r="N19" s="445"/>
      <c r="O19" s="445"/>
      <c r="P19" s="220"/>
      <c r="Q19" s="220"/>
      <c r="R19" s="222"/>
      <c r="S19" s="220"/>
      <c r="T19" s="437"/>
      <c r="U19" s="220"/>
      <c r="V19" s="220"/>
      <c r="W19" s="222"/>
      <c r="X19" s="220"/>
      <c r="Y19" s="437"/>
      <c r="Z19" s="220"/>
      <c r="AA19" s="220"/>
      <c r="AB19" s="222"/>
      <c r="AC19" s="220"/>
      <c r="AD19" s="437"/>
      <c r="AE19" s="220"/>
      <c r="AF19" s="220"/>
      <c r="AG19" s="222"/>
      <c r="AH19" s="220"/>
      <c r="AI19" s="437"/>
      <c r="AJ19" s="220"/>
      <c r="AK19" s="220"/>
      <c r="AL19" s="220"/>
      <c r="AM19" s="220"/>
      <c r="AN19" s="437"/>
      <c r="AO19" s="220"/>
      <c r="AP19" s="220"/>
      <c r="AQ19" s="222"/>
      <c r="AR19" s="220"/>
      <c r="AS19" s="437"/>
      <c r="AT19" s="220"/>
      <c r="AU19" s="220"/>
      <c r="AV19" s="222"/>
      <c r="AW19" s="220"/>
      <c r="AX19" s="437"/>
    </row>
    <row r="20" spans="2:50">
      <c r="B20" s="438"/>
      <c r="C20" s="220">
        <v>14</v>
      </c>
      <c r="D20" s="220"/>
      <c r="E20" s="221"/>
      <c r="F20" s="221"/>
      <c r="G20" s="222"/>
      <c r="H20" s="440"/>
      <c r="I20" s="221"/>
      <c r="J20" s="221"/>
      <c r="K20" s="222"/>
      <c r="L20" s="440"/>
      <c r="M20" s="223"/>
      <c r="N20" s="445"/>
      <c r="O20" s="445"/>
      <c r="P20" s="220"/>
      <c r="Q20" s="220"/>
      <c r="R20" s="222"/>
      <c r="S20" s="220"/>
      <c r="T20" s="437"/>
      <c r="U20" s="220"/>
      <c r="V20" s="220"/>
      <c r="W20" s="222"/>
      <c r="X20" s="220"/>
      <c r="Y20" s="437"/>
      <c r="Z20" s="220"/>
      <c r="AA20" s="220"/>
      <c r="AB20" s="222"/>
      <c r="AC20" s="220"/>
      <c r="AD20" s="437"/>
      <c r="AE20" s="220"/>
      <c r="AF20" s="220"/>
      <c r="AG20" s="222"/>
      <c r="AH20" s="220"/>
      <c r="AI20" s="437"/>
      <c r="AJ20" s="220"/>
      <c r="AK20" s="220"/>
      <c r="AL20" s="220"/>
      <c r="AM20" s="220"/>
      <c r="AN20" s="437"/>
      <c r="AO20" s="220"/>
      <c r="AP20" s="220"/>
      <c r="AQ20" s="222"/>
      <c r="AR20" s="220"/>
      <c r="AS20" s="437"/>
      <c r="AT20" s="220"/>
      <c r="AU20" s="220"/>
      <c r="AV20" s="222"/>
      <c r="AW20" s="220"/>
      <c r="AX20" s="437"/>
    </row>
    <row r="21" spans="2:50">
      <c r="B21" s="438"/>
      <c r="C21" s="220">
        <v>15</v>
      </c>
      <c r="D21" s="220"/>
      <c r="E21" s="221"/>
      <c r="F21" s="221"/>
      <c r="G21" s="222"/>
      <c r="H21" s="441"/>
      <c r="I21" s="221"/>
      <c r="J21" s="221"/>
      <c r="K21" s="222"/>
      <c r="L21" s="441"/>
      <c r="M21" s="221"/>
      <c r="N21" s="445"/>
      <c r="O21" s="445"/>
      <c r="P21" s="220"/>
      <c r="Q21" s="220"/>
      <c r="R21" s="222"/>
      <c r="S21" s="220"/>
      <c r="T21" s="437"/>
      <c r="U21" s="220"/>
      <c r="V21" s="220"/>
      <c r="W21" s="222"/>
      <c r="X21" s="220"/>
      <c r="Y21" s="437"/>
      <c r="Z21" s="220"/>
      <c r="AA21" s="220"/>
      <c r="AB21" s="222"/>
      <c r="AC21" s="220"/>
      <c r="AD21" s="437"/>
      <c r="AE21" s="220"/>
      <c r="AF21" s="220"/>
      <c r="AG21" s="222"/>
      <c r="AH21" s="220"/>
      <c r="AI21" s="437"/>
      <c r="AJ21" s="220"/>
      <c r="AK21" s="220"/>
      <c r="AL21" s="220"/>
      <c r="AM21" s="220"/>
      <c r="AN21" s="437"/>
      <c r="AO21" s="220"/>
      <c r="AP21" s="220"/>
      <c r="AQ21" s="222"/>
      <c r="AR21" s="220"/>
      <c r="AS21" s="437"/>
      <c r="AT21" s="220"/>
      <c r="AU21" s="220"/>
      <c r="AV21" s="222"/>
      <c r="AW21" s="220"/>
      <c r="AX21" s="437"/>
    </row>
    <row r="22" spans="2:50" ht="15.5">
      <c r="B22" s="457" t="s">
        <v>44</v>
      </c>
      <c r="C22" s="458"/>
      <c r="D22" s="458"/>
      <c r="E22" s="458"/>
      <c r="F22" s="458"/>
      <c r="G22" s="458"/>
      <c r="H22" s="458"/>
      <c r="I22" s="214"/>
      <c r="J22" s="214"/>
      <c r="K22" s="214"/>
      <c r="L22" s="214"/>
      <c r="M22" s="215"/>
      <c r="N22" s="450" t="s">
        <v>45</v>
      </c>
      <c r="O22" s="450" t="s">
        <v>3</v>
      </c>
      <c r="P22" s="453">
        <v>45993</v>
      </c>
      <c r="Q22" s="438"/>
      <c r="R22" s="438"/>
      <c r="S22" s="438"/>
      <c r="T22" s="438"/>
      <c r="U22" s="453">
        <v>45994</v>
      </c>
      <c r="V22" s="438"/>
      <c r="W22" s="438"/>
      <c r="X22" s="438"/>
      <c r="Y22" s="438"/>
      <c r="Z22" s="453">
        <v>45995</v>
      </c>
      <c r="AA22" s="438"/>
      <c r="AB22" s="438"/>
      <c r="AC22" s="438"/>
      <c r="AD22" s="438"/>
      <c r="AE22" s="453">
        <v>45996</v>
      </c>
      <c r="AF22" s="438"/>
      <c r="AG22" s="438"/>
      <c r="AH22" s="438"/>
      <c r="AI22" s="438"/>
      <c r="AJ22" s="453">
        <v>45997</v>
      </c>
      <c r="AK22" s="438"/>
      <c r="AL22" s="438"/>
      <c r="AM22" s="438"/>
      <c r="AN22" s="438"/>
      <c r="AO22" s="453">
        <v>45998</v>
      </c>
      <c r="AP22" s="438"/>
      <c r="AQ22" s="438"/>
      <c r="AR22" s="438"/>
      <c r="AS22" s="438"/>
      <c r="AT22" s="453">
        <v>45999</v>
      </c>
      <c r="AU22" s="438"/>
      <c r="AV22" s="438"/>
      <c r="AW22" s="438"/>
      <c r="AX22" s="438"/>
    </row>
    <row r="23" spans="2:50" ht="15.5">
      <c r="B23" s="456"/>
      <c r="C23" s="456"/>
      <c r="D23" s="456"/>
      <c r="E23" s="456"/>
      <c r="F23" s="456"/>
      <c r="G23" s="456"/>
      <c r="H23" s="456"/>
      <c r="I23" s="216"/>
      <c r="J23" s="216"/>
      <c r="K23" s="216"/>
      <c r="L23" s="216"/>
      <c r="M23" s="217"/>
      <c r="N23" s="452"/>
      <c r="O23" s="452"/>
      <c r="P23" s="453" t="s">
        <v>15</v>
      </c>
      <c r="Q23" s="438"/>
      <c r="R23" s="438"/>
      <c r="S23" s="438"/>
      <c r="T23" s="438"/>
      <c r="U23" s="453" t="s">
        <v>16</v>
      </c>
      <c r="V23" s="438"/>
      <c r="W23" s="438"/>
      <c r="X23" s="438"/>
      <c r="Y23" s="438"/>
      <c r="Z23" s="453" t="s">
        <v>17</v>
      </c>
      <c r="AA23" s="438"/>
      <c r="AB23" s="438"/>
      <c r="AC23" s="438"/>
      <c r="AD23" s="438"/>
      <c r="AE23" s="453" t="s">
        <v>18</v>
      </c>
      <c r="AF23" s="438"/>
      <c r="AG23" s="438"/>
      <c r="AH23" s="438"/>
      <c r="AI23" s="438"/>
      <c r="AJ23" s="453" t="s">
        <v>19</v>
      </c>
      <c r="AK23" s="438"/>
      <c r="AL23" s="438"/>
      <c r="AM23" s="438"/>
      <c r="AN23" s="438"/>
      <c r="AO23" s="453" t="s">
        <v>10</v>
      </c>
      <c r="AP23" s="438"/>
      <c r="AQ23" s="438"/>
      <c r="AR23" s="438"/>
      <c r="AS23" s="438"/>
      <c r="AT23" s="453" t="s">
        <v>14</v>
      </c>
      <c r="AU23" s="438"/>
      <c r="AV23" s="438"/>
      <c r="AW23" s="438"/>
      <c r="AX23" s="438"/>
    </row>
    <row r="24" spans="2:50">
      <c r="B24" s="445" t="s">
        <v>46</v>
      </c>
      <c r="C24" s="445" t="s">
        <v>47</v>
      </c>
      <c r="D24" s="445"/>
      <c r="E24" s="445" t="s">
        <v>48</v>
      </c>
      <c r="F24" s="445"/>
      <c r="G24" s="445"/>
      <c r="H24" s="447" t="s">
        <v>49</v>
      </c>
      <c r="I24" s="445" t="s">
        <v>50</v>
      </c>
      <c r="J24" s="445"/>
      <c r="K24" s="445"/>
      <c r="L24" s="447" t="s">
        <v>49</v>
      </c>
      <c r="M24" s="450" t="s">
        <v>51</v>
      </c>
      <c r="N24" s="445"/>
      <c r="O24" s="445" t="s">
        <v>52</v>
      </c>
      <c r="P24" s="442" t="s">
        <v>53</v>
      </c>
      <c r="Q24" s="443"/>
      <c r="R24" s="443"/>
      <c r="S24" s="444"/>
      <c r="T24" s="445" t="s">
        <v>49</v>
      </c>
      <c r="U24" s="442" t="s">
        <v>53</v>
      </c>
      <c r="V24" s="443"/>
      <c r="W24" s="443"/>
      <c r="X24" s="444"/>
      <c r="Y24" s="445" t="s">
        <v>49</v>
      </c>
      <c r="Z24" s="442" t="s">
        <v>53</v>
      </c>
      <c r="AA24" s="443"/>
      <c r="AB24" s="443"/>
      <c r="AC24" s="444"/>
      <c r="AD24" s="445" t="s">
        <v>49</v>
      </c>
      <c r="AE24" s="442" t="s">
        <v>53</v>
      </c>
      <c r="AF24" s="443"/>
      <c r="AG24" s="443"/>
      <c r="AH24" s="444"/>
      <c r="AI24" s="445" t="s">
        <v>49</v>
      </c>
      <c r="AJ24" s="442" t="s">
        <v>53</v>
      </c>
      <c r="AK24" s="443"/>
      <c r="AL24" s="443"/>
      <c r="AM24" s="444"/>
      <c r="AN24" s="445" t="s">
        <v>49</v>
      </c>
      <c r="AO24" s="442" t="s">
        <v>53</v>
      </c>
      <c r="AP24" s="443"/>
      <c r="AQ24" s="443"/>
      <c r="AR24" s="444"/>
      <c r="AS24" s="445" t="s">
        <v>49</v>
      </c>
      <c r="AT24" s="442" t="s">
        <v>53</v>
      </c>
      <c r="AU24" s="443"/>
      <c r="AV24" s="443"/>
      <c r="AW24" s="444"/>
      <c r="AX24" s="445" t="s">
        <v>49</v>
      </c>
    </row>
    <row r="25" spans="2:50">
      <c r="B25" s="445"/>
      <c r="C25" s="445"/>
      <c r="D25" s="445"/>
      <c r="E25" s="445" t="s">
        <v>54</v>
      </c>
      <c r="F25" s="445"/>
      <c r="G25" s="445"/>
      <c r="H25" s="448"/>
      <c r="I25" s="445" t="s">
        <v>54</v>
      </c>
      <c r="J25" s="445"/>
      <c r="K25" s="445"/>
      <c r="L25" s="448"/>
      <c r="M25" s="451"/>
      <c r="N25" s="445"/>
      <c r="O25" s="445"/>
      <c r="P25" s="442" t="s">
        <v>55</v>
      </c>
      <c r="Q25" s="443"/>
      <c r="R25" s="443"/>
      <c r="S25" s="444"/>
      <c r="T25" s="445"/>
      <c r="U25" s="442" t="s">
        <v>55</v>
      </c>
      <c r="V25" s="443"/>
      <c r="W25" s="443"/>
      <c r="X25" s="444"/>
      <c r="Y25" s="445"/>
      <c r="Z25" s="442" t="s">
        <v>55</v>
      </c>
      <c r="AA25" s="443"/>
      <c r="AB25" s="443"/>
      <c r="AC25" s="444"/>
      <c r="AD25" s="445"/>
      <c r="AE25" s="442" t="s">
        <v>55</v>
      </c>
      <c r="AF25" s="443"/>
      <c r="AG25" s="443"/>
      <c r="AH25" s="444"/>
      <c r="AI25" s="445"/>
      <c r="AJ25" s="442" t="s">
        <v>55</v>
      </c>
      <c r="AK25" s="443"/>
      <c r="AL25" s="443"/>
      <c r="AM25" s="444"/>
      <c r="AN25" s="445"/>
      <c r="AO25" s="442" t="s">
        <v>55</v>
      </c>
      <c r="AP25" s="443"/>
      <c r="AQ25" s="443"/>
      <c r="AR25" s="444"/>
      <c r="AS25" s="445"/>
      <c r="AT25" s="442" t="s">
        <v>55</v>
      </c>
      <c r="AU25" s="443"/>
      <c r="AV25" s="443"/>
      <c r="AW25" s="444"/>
      <c r="AX25" s="445"/>
    </row>
    <row r="26" spans="2:50">
      <c r="B26" s="445"/>
      <c r="C26" s="445"/>
      <c r="D26" s="445"/>
      <c r="E26" s="219" t="s">
        <v>56</v>
      </c>
      <c r="F26" s="219" t="s">
        <v>57</v>
      </c>
      <c r="G26" s="219" t="s">
        <v>58</v>
      </c>
      <c r="H26" s="449"/>
      <c r="I26" s="219" t="s">
        <v>56</v>
      </c>
      <c r="J26" s="219" t="s">
        <v>57</v>
      </c>
      <c r="K26" s="219" t="s">
        <v>58</v>
      </c>
      <c r="L26" s="449"/>
      <c r="M26" s="452"/>
      <c r="N26" s="445"/>
      <c r="O26" s="445"/>
      <c r="P26" s="219" t="s">
        <v>56</v>
      </c>
      <c r="Q26" s="219" t="s">
        <v>57</v>
      </c>
      <c r="R26" s="219" t="s">
        <v>58</v>
      </c>
      <c r="S26" s="219" t="s">
        <v>51</v>
      </c>
      <c r="T26" s="445"/>
      <c r="U26" s="219" t="s">
        <v>56</v>
      </c>
      <c r="V26" s="219" t="s">
        <v>57</v>
      </c>
      <c r="W26" s="219" t="s">
        <v>58</v>
      </c>
      <c r="X26" s="219" t="s">
        <v>51</v>
      </c>
      <c r="Y26" s="445"/>
      <c r="Z26" s="219" t="s">
        <v>56</v>
      </c>
      <c r="AA26" s="219" t="s">
        <v>57</v>
      </c>
      <c r="AB26" s="219" t="s">
        <v>58</v>
      </c>
      <c r="AC26" s="219" t="s">
        <v>51</v>
      </c>
      <c r="AD26" s="445"/>
      <c r="AE26" s="219" t="s">
        <v>56</v>
      </c>
      <c r="AF26" s="219" t="s">
        <v>57</v>
      </c>
      <c r="AG26" s="219" t="s">
        <v>58</v>
      </c>
      <c r="AH26" s="219" t="s">
        <v>51</v>
      </c>
      <c r="AI26" s="445"/>
      <c r="AJ26" s="219" t="s">
        <v>56</v>
      </c>
      <c r="AK26" s="219" t="s">
        <v>57</v>
      </c>
      <c r="AL26" s="219" t="s">
        <v>58</v>
      </c>
      <c r="AM26" s="219" t="s">
        <v>51</v>
      </c>
      <c r="AN26" s="445"/>
      <c r="AO26" s="219" t="s">
        <v>56</v>
      </c>
      <c r="AP26" s="219" t="s">
        <v>57</v>
      </c>
      <c r="AQ26" s="219" t="s">
        <v>58</v>
      </c>
      <c r="AR26" s="219" t="s">
        <v>51</v>
      </c>
      <c r="AS26" s="445"/>
      <c r="AT26" s="219" t="s">
        <v>56</v>
      </c>
      <c r="AU26" s="219" t="s">
        <v>57</v>
      </c>
      <c r="AV26" s="219" t="s">
        <v>58</v>
      </c>
      <c r="AW26" s="219" t="s">
        <v>51</v>
      </c>
      <c r="AX26" s="445"/>
    </row>
    <row r="27" spans="2:50">
      <c r="B27" s="445" t="s">
        <v>35</v>
      </c>
      <c r="C27" s="220">
        <v>1</v>
      </c>
      <c r="D27" s="220" t="s">
        <v>61</v>
      </c>
      <c r="E27" s="221">
        <f>VLOOKUP(D27,'11產線配置圖'!$A$2:$C$30,2,0)</f>
        <v>13</v>
      </c>
      <c r="F27" s="221">
        <f>VLOOKUP(D27,'11產線配置圖'!$A$2:$C$30,3,0)</f>
        <v>1565</v>
      </c>
      <c r="G27" s="222">
        <f>F27/E27</f>
        <v>120.38461538461539</v>
      </c>
      <c r="H27" s="439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1491.7142857142858</v>
      </c>
      <c r="K27" s="222">
        <f>AVERAGE(R27,W27,AB27,AG27,AL27,AQ27,AV27)</f>
        <v>114.74725274725274</v>
      </c>
      <c r="L27" s="439">
        <f>IFERROR(AVERAGE(K27:K41),"-")</f>
        <v>105.64987789987789</v>
      </c>
      <c r="M27" s="223">
        <f>RANK(K27, K$27:$K$41)</f>
        <v>2</v>
      </c>
      <c r="N27" s="445"/>
      <c r="O27" s="445"/>
      <c r="P27" s="221">
        <v>13</v>
      </c>
      <c r="Q27" s="221">
        <v>1557</v>
      </c>
      <c r="R27" s="222">
        <f>Q27/P27</f>
        <v>119.76923076923077</v>
      </c>
      <c r="S27" s="220">
        <f>RANK(R27, $R$27:$R$41)</f>
        <v>1</v>
      </c>
      <c r="T27" s="437">
        <f>AVERAGE(R27:R41)</f>
        <v>117.00641025641026</v>
      </c>
      <c r="U27" s="221">
        <v>13</v>
      </c>
      <c r="V27" s="221">
        <v>1256</v>
      </c>
      <c r="W27" s="222">
        <f>V27/U27</f>
        <v>96.615384615384613</v>
      </c>
      <c r="X27" s="220">
        <f>RANK(W27, $W$27:$W$41)</f>
        <v>2</v>
      </c>
      <c r="Y27" s="437">
        <f>AVERAGE(W27:W41)</f>
        <v>94.84401709401709</v>
      </c>
      <c r="Z27" s="221">
        <v>13</v>
      </c>
      <c r="AA27" s="221">
        <v>1470</v>
      </c>
      <c r="AB27" s="222">
        <f>AA27/Z27</f>
        <v>113.07692307692308</v>
      </c>
      <c r="AC27" s="220">
        <f>RANK(AB27, $AB$27:$AB$29)</f>
        <v>2</v>
      </c>
      <c r="AD27" s="437">
        <f>AVERAGE(AB27:AB41)</f>
        <v>111.55341880341881</v>
      </c>
      <c r="AE27" s="221">
        <v>13</v>
      </c>
      <c r="AF27" s="221">
        <v>1524</v>
      </c>
      <c r="AG27" s="222">
        <f>AF27/AE27</f>
        <v>117.23076923076923</v>
      </c>
      <c r="AH27" s="220">
        <f>RANK(AG27, $AG$27:$AG$29)</f>
        <v>2</v>
      </c>
      <c r="AI27" s="437">
        <f>AVERAGE(AG27:AG41)</f>
        <v>106.38247863247864</v>
      </c>
      <c r="AJ27" s="221">
        <v>13</v>
      </c>
      <c r="AK27" s="221">
        <v>1547</v>
      </c>
      <c r="AL27" s="222">
        <f>AK27/AJ27</f>
        <v>119</v>
      </c>
      <c r="AM27" s="220">
        <f>RANK(AL27, $AL$27:$AL$29)</f>
        <v>2</v>
      </c>
      <c r="AN27" s="437">
        <f>AVERAGE(AL27:AL41)</f>
        <v>109.86111111111113</v>
      </c>
      <c r="AO27" s="221">
        <v>13</v>
      </c>
      <c r="AP27" s="221">
        <v>1541</v>
      </c>
      <c r="AQ27" s="222">
        <f>AP27/AO27</f>
        <v>118.53846153846153</v>
      </c>
      <c r="AR27" s="220">
        <f>RANK(AQ27, $AQ$27:$AQ$41)</f>
        <v>1</v>
      </c>
      <c r="AS27" s="437">
        <f>AVERAGE(AQ27:AQ41)</f>
        <v>92.457264957264954</v>
      </c>
      <c r="AT27" s="221">
        <v>13</v>
      </c>
      <c r="AU27" s="221">
        <v>1547</v>
      </c>
      <c r="AV27" s="222">
        <f>AU27/AT27</f>
        <v>119</v>
      </c>
      <c r="AW27" s="220">
        <f>RANK(AV27, $AV$27:$AV$41)</f>
        <v>2</v>
      </c>
      <c r="AX27" s="437">
        <f>AVERAGE(AV27:AV41)</f>
        <v>107.44444444444444</v>
      </c>
    </row>
    <row r="28" spans="2:50">
      <c r="B28" s="438"/>
      <c r="C28" s="220">
        <v>2</v>
      </c>
      <c r="D28" s="220" t="s">
        <v>62</v>
      </c>
      <c r="E28" s="221">
        <f>VLOOKUP(D28,'11產線配置圖'!$A$2:$C$30,2,0)</f>
        <v>12</v>
      </c>
      <c r="F28" s="221">
        <f>VLOOKUP(D28,'11產線配置圖'!$A$2:$C$30,3,0)</f>
        <v>1565</v>
      </c>
      <c r="G28" s="222">
        <f>F28/E28</f>
        <v>130.41666666666666</v>
      </c>
      <c r="H28" s="440"/>
      <c r="I28" s="221">
        <f t="shared" ref="I28:K29" si="5">AVERAGE(P28,U28,Z28,AE28,AJ28,AO28,AT28)</f>
        <v>12</v>
      </c>
      <c r="J28" s="221">
        <f t="shared" si="5"/>
        <v>1395.1428571428571</v>
      </c>
      <c r="K28" s="222">
        <f t="shared" si="5"/>
        <v>116.26190476190477</v>
      </c>
      <c r="L28" s="440"/>
      <c r="M28" s="223">
        <f>RANK(K28, K$27:$K$41)</f>
        <v>1</v>
      </c>
      <c r="N28" s="445"/>
      <c r="O28" s="445"/>
      <c r="P28" s="221">
        <v>12</v>
      </c>
      <c r="Q28" s="221">
        <v>1411</v>
      </c>
      <c r="R28" s="222">
        <f>Q28/P28</f>
        <v>117.58333333333333</v>
      </c>
      <c r="S28" s="220">
        <f>RANK(R28, $R$27:$R$41)</f>
        <v>2</v>
      </c>
      <c r="T28" s="437"/>
      <c r="U28" s="221">
        <v>12</v>
      </c>
      <c r="V28" s="221">
        <v>1180</v>
      </c>
      <c r="W28" s="222">
        <f>V28/U28</f>
        <v>98.333333333333329</v>
      </c>
      <c r="X28" s="220">
        <f>RANK(W28, $W$27:$W$41)</f>
        <v>1</v>
      </c>
      <c r="Y28" s="437"/>
      <c r="Z28" s="221">
        <v>12</v>
      </c>
      <c r="AA28" s="221">
        <v>1389</v>
      </c>
      <c r="AB28" s="222">
        <f>AA28/Z28</f>
        <v>115.75</v>
      </c>
      <c r="AC28" s="220">
        <f>RANK(AB28, $AB$27:$AB$29)</f>
        <v>1</v>
      </c>
      <c r="AD28" s="437"/>
      <c r="AE28" s="221">
        <v>12</v>
      </c>
      <c r="AF28" s="221">
        <v>1506</v>
      </c>
      <c r="AG28" s="222">
        <f>AF28/AE28</f>
        <v>125.5</v>
      </c>
      <c r="AH28" s="220">
        <f>RANK(AG28, $AG$27:$AG$29)</f>
        <v>1</v>
      </c>
      <c r="AI28" s="437"/>
      <c r="AJ28" s="221">
        <v>12</v>
      </c>
      <c r="AK28" s="221">
        <v>1543</v>
      </c>
      <c r="AL28" s="222">
        <f>AK28/AJ28</f>
        <v>128.58333333333334</v>
      </c>
      <c r="AM28" s="220">
        <f>RANK(AL28, $AL$27:$AL$29)</f>
        <v>1</v>
      </c>
      <c r="AN28" s="437"/>
      <c r="AO28" s="221">
        <v>12</v>
      </c>
      <c r="AP28" s="221">
        <v>1269</v>
      </c>
      <c r="AQ28" s="222">
        <f>AP28/AO28</f>
        <v>105.75</v>
      </c>
      <c r="AR28" s="220">
        <f>RANK(AQ28, $AQ$27:$AQ$41)</f>
        <v>2</v>
      </c>
      <c r="AS28" s="437"/>
      <c r="AT28" s="221">
        <v>12</v>
      </c>
      <c r="AU28" s="221">
        <v>1468</v>
      </c>
      <c r="AV28" s="222">
        <f>AU28/AT28</f>
        <v>122.33333333333333</v>
      </c>
      <c r="AW28" s="220">
        <f>RANK(AV28, $AV$27:$AV$41)</f>
        <v>1</v>
      </c>
      <c r="AX28" s="437"/>
    </row>
    <row r="29" spans="2:50">
      <c r="B29" s="438"/>
      <c r="C29" s="220">
        <v>3</v>
      </c>
      <c r="D29" s="220" t="s">
        <v>63</v>
      </c>
      <c r="E29" s="221">
        <f>VLOOKUP(D29,'11產線配置圖'!$A$2:$C$30,2,0)</f>
        <v>12</v>
      </c>
      <c r="F29" s="221">
        <f>VLOOKUP(D29,'11產線配置圖'!$A$2:$C$30,3,0)</f>
        <v>1565</v>
      </c>
      <c r="G29" s="222">
        <f>F29/E29</f>
        <v>130.41666666666666</v>
      </c>
      <c r="H29" s="440"/>
      <c r="I29" s="221">
        <f t="shared" si="5"/>
        <v>12</v>
      </c>
      <c r="J29" s="221">
        <f t="shared" si="5"/>
        <v>1031.2857142857142</v>
      </c>
      <c r="K29" s="222">
        <f t="shared" si="5"/>
        <v>85.94047619047619</v>
      </c>
      <c r="L29" s="440"/>
      <c r="M29" s="223">
        <f>RANK(K29, K$27:$K$41)</f>
        <v>3</v>
      </c>
      <c r="N29" s="445"/>
      <c r="O29" s="445"/>
      <c r="P29" s="221">
        <v>12</v>
      </c>
      <c r="Q29" s="221">
        <v>1364</v>
      </c>
      <c r="R29" s="222">
        <f>Q29/P29</f>
        <v>113.66666666666667</v>
      </c>
      <c r="S29" s="220">
        <f>RANK(R29, $R$27:$R$41)</f>
        <v>3</v>
      </c>
      <c r="T29" s="437"/>
      <c r="U29" s="221">
        <v>12</v>
      </c>
      <c r="V29" s="221">
        <v>1075</v>
      </c>
      <c r="W29" s="222">
        <f>V29/U29</f>
        <v>89.583333333333329</v>
      </c>
      <c r="X29" s="220">
        <f>RANK(W29, $W$27:$W$41)</f>
        <v>3</v>
      </c>
      <c r="Y29" s="437"/>
      <c r="Z29" s="221">
        <v>12</v>
      </c>
      <c r="AA29" s="221">
        <v>1270</v>
      </c>
      <c r="AB29" s="222">
        <f>AA29/Z29</f>
        <v>105.83333333333333</v>
      </c>
      <c r="AC29" s="220">
        <f>RANK(AB29, $AB$27:$AB$29)</f>
        <v>3</v>
      </c>
      <c r="AD29" s="437"/>
      <c r="AE29" s="221">
        <v>12</v>
      </c>
      <c r="AF29" s="221">
        <v>917</v>
      </c>
      <c r="AG29" s="222">
        <f>AF29/AE29</f>
        <v>76.416666666666671</v>
      </c>
      <c r="AH29" s="220">
        <f>RANK(AG29, $AG$27:$AG$29)</f>
        <v>3</v>
      </c>
      <c r="AI29" s="437"/>
      <c r="AJ29" s="221">
        <v>12</v>
      </c>
      <c r="AK29" s="221">
        <v>984</v>
      </c>
      <c r="AL29" s="222">
        <f>AK29/AJ29</f>
        <v>82</v>
      </c>
      <c r="AM29" s="220">
        <f>RANK(AL29, $AL$27:$AL$29)</f>
        <v>3</v>
      </c>
      <c r="AN29" s="437"/>
      <c r="AO29" s="221">
        <v>12</v>
      </c>
      <c r="AP29" s="221">
        <v>637</v>
      </c>
      <c r="AQ29" s="222">
        <f>AP29/AO29</f>
        <v>53.083333333333336</v>
      </c>
      <c r="AR29" s="220">
        <f>RANK(AQ29, $AQ$27:$AQ$41)</f>
        <v>3</v>
      </c>
      <c r="AS29" s="437"/>
      <c r="AT29" s="221">
        <v>12</v>
      </c>
      <c r="AU29" s="221">
        <v>972</v>
      </c>
      <c r="AV29" s="222">
        <f>AU29/AT29</f>
        <v>81</v>
      </c>
      <c r="AW29" s="220">
        <f>RANK(AV29, $AV$27:$AV$41)</f>
        <v>3</v>
      </c>
      <c r="AX29" s="437"/>
    </row>
    <row r="30" spans="2:50">
      <c r="B30" s="438"/>
      <c r="C30" s="220">
        <v>4</v>
      </c>
      <c r="D30" s="220"/>
      <c r="E30" s="221"/>
      <c r="F30" s="221"/>
      <c r="G30" s="222"/>
      <c r="H30" s="440"/>
      <c r="I30" s="221"/>
      <c r="J30" s="221"/>
      <c r="K30" s="222"/>
      <c r="L30" s="440"/>
      <c r="M30" s="223"/>
      <c r="N30" s="445"/>
      <c r="O30" s="445"/>
      <c r="P30" s="221"/>
      <c r="Q30" s="221"/>
      <c r="R30" s="220"/>
      <c r="S30" s="220"/>
      <c r="T30" s="437"/>
      <c r="U30" s="221"/>
      <c r="V30" s="221"/>
      <c r="W30" s="220"/>
      <c r="X30" s="220"/>
      <c r="Y30" s="437"/>
      <c r="Z30" s="221"/>
      <c r="AA30" s="221"/>
      <c r="AB30" s="220"/>
      <c r="AC30" s="220"/>
      <c r="AD30" s="437"/>
      <c r="AE30" s="221"/>
      <c r="AF30" s="221"/>
      <c r="AG30" s="220"/>
      <c r="AH30" s="220"/>
      <c r="AI30" s="437"/>
      <c r="AJ30" s="221"/>
      <c r="AK30" s="221"/>
      <c r="AL30" s="220"/>
      <c r="AM30" s="220"/>
      <c r="AN30" s="437"/>
      <c r="AO30" s="221"/>
      <c r="AP30" s="221"/>
      <c r="AQ30" s="220"/>
      <c r="AR30" s="220"/>
      <c r="AS30" s="437"/>
      <c r="AT30" s="221"/>
      <c r="AU30" s="221"/>
      <c r="AV30" s="220"/>
      <c r="AW30" s="220"/>
      <c r="AX30" s="437"/>
    </row>
    <row r="31" spans="2:50">
      <c r="B31" s="438"/>
      <c r="C31" s="220">
        <v>5</v>
      </c>
      <c r="D31" s="220"/>
      <c r="E31" s="221"/>
      <c r="F31" s="221"/>
      <c r="G31" s="222"/>
      <c r="H31" s="440"/>
      <c r="I31" s="221"/>
      <c r="J31" s="221"/>
      <c r="K31" s="222"/>
      <c r="L31" s="440"/>
      <c r="M31" s="223"/>
      <c r="N31" s="445"/>
      <c r="O31" s="445"/>
      <c r="P31" s="221"/>
      <c r="Q31" s="221"/>
      <c r="R31" s="220"/>
      <c r="S31" s="220"/>
      <c r="T31" s="437"/>
      <c r="U31" s="221"/>
      <c r="V31" s="221"/>
      <c r="W31" s="220"/>
      <c r="X31" s="220"/>
      <c r="Y31" s="437"/>
      <c r="Z31" s="221"/>
      <c r="AA31" s="221"/>
      <c r="AB31" s="220"/>
      <c r="AC31" s="220"/>
      <c r="AD31" s="437"/>
      <c r="AE31" s="221"/>
      <c r="AF31" s="221"/>
      <c r="AG31" s="220"/>
      <c r="AH31" s="220"/>
      <c r="AI31" s="437"/>
      <c r="AJ31" s="221"/>
      <c r="AK31" s="221"/>
      <c r="AL31" s="220"/>
      <c r="AM31" s="220"/>
      <c r="AN31" s="437"/>
      <c r="AO31" s="221"/>
      <c r="AP31" s="221"/>
      <c r="AQ31" s="220"/>
      <c r="AR31" s="220"/>
      <c r="AS31" s="437"/>
      <c r="AT31" s="221"/>
      <c r="AU31" s="221"/>
      <c r="AV31" s="220"/>
      <c r="AW31" s="220"/>
      <c r="AX31" s="437"/>
    </row>
    <row r="32" spans="2:50">
      <c r="B32" s="438"/>
      <c r="C32" s="220">
        <v>6</v>
      </c>
      <c r="D32" s="220"/>
      <c r="E32" s="221"/>
      <c r="F32" s="221"/>
      <c r="G32" s="222"/>
      <c r="H32" s="440"/>
      <c r="I32" s="221"/>
      <c r="J32" s="221"/>
      <c r="K32" s="222"/>
      <c r="L32" s="440"/>
      <c r="M32" s="223"/>
      <c r="N32" s="445"/>
      <c r="O32" s="445"/>
      <c r="P32" s="221"/>
      <c r="Q32" s="221"/>
      <c r="R32" s="220"/>
      <c r="S32" s="220"/>
      <c r="T32" s="437"/>
      <c r="U32" s="221"/>
      <c r="V32" s="221"/>
      <c r="W32" s="220"/>
      <c r="X32" s="220"/>
      <c r="Y32" s="437"/>
      <c r="Z32" s="221"/>
      <c r="AA32" s="221"/>
      <c r="AB32" s="220"/>
      <c r="AC32" s="220"/>
      <c r="AD32" s="437"/>
      <c r="AE32" s="221"/>
      <c r="AF32" s="221"/>
      <c r="AG32" s="220"/>
      <c r="AH32" s="220"/>
      <c r="AI32" s="437"/>
      <c r="AJ32" s="221"/>
      <c r="AK32" s="221"/>
      <c r="AL32" s="220"/>
      <c r="AM32" s="220"/>
      <c r="AN32" s="437"/>
      <c r="AO32" s="221"/>
      <c r="AP32" s="221"/>
      <c r="AQ32" s="220"/>
      <c r="AR32" s="220"/>
      <c r="AS32" s="437"/>
      <c r="AT32" s="221"/>
      <c r="AU32" s="221"/>
      <c r="AV32" s="220"/>
      <c r="AW32" s="220"/>
      <c r="AX32" s="437"/>
    </row>
    <row r="33" spans="2:50">
      <c r="B33" s="438"/>
      <c r="C33" s="220">
        <v>7</v>
      </c>
      <c r="D33" s="220"/>
      <c r="E33" s="221"/>
      <c r="F33" s="221"/>
      <c r="G33" s="222"/>
      <c r="H33" s="440"/>
      <c r="I33" s="221"/>
      <c r="J33" s="221"/>
      <c r="K33" s="222"/>
      <c r="L33" s="440"/>
      <c r="M33" s="223"/>
      <c r="N33" s="445"/>
      <c r="O33" s="445"/>
      <c r="P33" s="221"/>
      <c r="Q33" s="221"/>
      <c r="R33" s="220"/>
      <c r="S33" s="220"/>
      <c r="T33" s="437"/>
      <c r="U33" s="221"/>
      <c r="V33" s="221"/>
      <c r="W33" s="220"/>
      <c r="X33" s="220"/>
      <c r="Y33" s="437"/>
      <c r="Z33" s="221"/>
      <c r="AA33" s="221"/>
      <c r="AB33" s="220"/>
      <c r="AC33" s="220"/>
      <c r="AD33" s="437"/>
      <c r="AE33" s="221"/>
      <c r="AF33" s="221"/>
      <c r="AG33" s="220"/>
      <c r="AH33" s="220"/>
      <c r="AI33" s="437"/>
      <c r="AJ33" s="221"/>
      <c r="AK33" s="221"/>
      <c r="AL33" s="220"/>
      <c r="AM33" s="220"/>
      <c r="AN33" s="437"/>
      <c r="AO33" s="221"/>
      <c r="AP33" s="221"/>
      <c r="AQ33" s="220"/>
      <c r="AR33" s="220"/>
      <c r="AS33" s="437"/>
      <c r="AT33" s="221"/>
      <c r="AU33" s="221"/>
      <c r="AV33" s="220"/>
      <c r="AW33" s="220"/>
      <c r="AX33" s="437"/>
    </row>
    <row r="34" spans="2:50">
      <c r="B34" s="438"/>
      <c r="C34" s="220">
        <v>8</v>
      </c>
      <c r="D34" s="220"/>
      <c r="E34" s="220"/>
      <c r="F34" s="220"/>
      <c r="G34" s="220"/>
      <c r="H34" s="440"/>
      <c r="I34" s="221"/>
      <c r="J34" s="221"/>
      <c r="K34" s="222"/>
      <c r="L34" s="440"/>
      <c r="M34" s="223"/>
      <c r="N34" s="445"/>
      <c r="O34" s="445"/>
      <c r="P34" s="221"/>
      <c r="Q34" s="221"/>
      <c r="R34" s="220"/>
      <c r="S34" s="220"/>
      <c r="T34" s="437"/>
      <c r="U34" s="221"/>
      <c r="V34" s="221"/>
      <c r="W34" s="220"/>
      <c r="X34" s="220"/>
      <c r="Y34" s="437"/>
      <c r="Z34" s="221"/>
      <c r="AA34" s="221"/>
      <c r="AB34" s="220"/>
      <c r="AC34" s="220"/>
      <c r="AD34" s="437"/>
      <c r="AE34" s="221"/>
      <c r="AF34" s="221"/>
      <c r="AG34" s="220"/>
      <c r="AH34" s="220"/>
      <c r="AI34" s="437"/>
      <c r="AJ34" s="221"/>
      <c r="AK34" s="221"/>
      <c r="AL34" s="220"/>
      <c r="AM34" s="220"/>
      <c r="AN34" s="437"/>
      <c r="AO34" s="221"/>
      <c r="AP34" s="221"/>
      <c r="AQ34" s="220"/>
      <c r="AR34" s="220"/>
      <c r="AS34" s="437"/>
      <c r="AT34" s="221"/>
      <c r="AU34" s="221"/>
      <c r="AV34" s="220"/>
      <c r="AW34" s="220"/>
      <c r="AX34" s="437"/>
    </row>
    <row r="35" spans="2:50">
      <c r="B35" s="438"/>
      <c r="C35" s="220">
        <v>9</v>
      </c>
      <c r="D35" s="220"/>
      <c r="E35" s="220"/>
      <c r="F35" s="220"/>
      <c r="G35" s="220"/>
      <c r="H35" s="440"/>
      <c r="I35" s="221"/>
      <c r="J35" s="221"/>
      <c r="K35" s="222"/>
      <c r="L35" s="440"/>
      <c r="M35" s="223"/>
      <c r="N35" s="445"/>
      <c r="O35" s="445"/>
      <c r="P35" s="221"/>
      <c r="Q35" s="221"/>
      <c r="R35" s="220"/>
      <c r="S35" s="220"/>
      <c r="T35" s="437"/>
      <c r="U35" s="221"/>
      <c r="V35" s="221"/>
      <c r="W35" s="220"/>
      <c r="X35" s="220"/>
      <c r="Y35" s="437"/>
      <c r="Z35" s="221"/>
      <c r="AA35" s="221"/>
      <c r="AB35" s="220"/>
      <c r="AC35" s="220"/>
      <c r="AD35" s="437"/>
      <c r="AE35" s="221"/>
      <c r="AF35" s="221"/>
      <c r="AG35" s="220"/>
      <c r="AH35" s="220"/>
      <c r="AI35" s="437"/>
      <c r="AJ35" s="221"/>
      <c r="AK35" s="221"/>
      <c r="AL35" s="220"/>
      <c r="AM35" s="220"/>
      <c r="AN35" s="437"/>
      <c r="AO35" s="221"/>
      <c r="AP35" s="221"/>
      <c r="AQ35" s="220"/>
      <c r="AR35" s="220"/>
      <c r="AS35" s="437"/>
      <c r="AT35" s="221"/>
      <c r="AU35" s="221"/>
      <c r="AV35" s="220"/>
      <c r="AW35" s="220"/>
      <c r="AX35" s="437"/>
    </row>
    <row r="36" spans="2:50">
      <c r="B36" s="438"/>
      <c r="C36" s="220">
        <v>10</v>
      </c>
      <c r="D36" s="220"/>
      <c r="E36" s="220"/>
      <c r="F36" s="220"/>
      <c r="G36" s="220"/>
      <c r="H36" s="440"/>
      <c r="I36" s="221"/>
      <c r="J36" s="221"/>
      <c r="K36" s="222"/>
      <c r="L36" s="440"/>
      <c r="M36" s="223"/>
      <c r="N36" s="445"/>
      <c r="O36" s="445"/>
      <c r="P36" s="221"/>
      <c r="Q36" s="221"/>
      <c r="R36" s="220"/>
      <c r="S36" s="220"/>
      <c r="T36" s="437"/>
      <c r="U36" s="221"/>
      <c r="V36" s="221"/>
      <c r="W36" s="220"/>
      <c r="X36" s="220"/>
      <c r="Y36" s="437"/>
      <c r="Z36" s="221"/>
      <c r="AA36" s="221"/>
      <c r="AB36" s="220"/>
      <c r="AC36" s="220"/>
      <c r="AD36" s="437"/>
      <c r="AE36" s="221"/>
      <c r="AF36" s="221"/>
      <c r="AG36" s="220"/>
      <c r="AH36" s="220"/>
      <c r="AI36" s="437"/>
      <c r="AJ36" s="221"/>
      <c r="AK36" s="221"/>
      <c r="AL36" s="220"/>
      <c r="AM36" s="220"/>
      <c r="AN36" s="437"/>
      <c r="AO36" s="221"/>
      <c r="AP36" s="221"/>
      <c r="AQ36" s="220"/>
      <c r="AR36" s="220"/>
      <c r="AS36" s="437"/>
      <c r="AT36" s="221"/>
      <c r="AU36" s="221"/>
      <c r="AV36" s="220"/>
      <c r="AW36" s="220"/>
      <c r="AX36" s="437"/>
    </row>
    <row r="37" spans="2:50">
      <c r="B37" s="438"/>
      <c r="C37" s="220">
        <v>11</v>
      </c>
      <c r="D37" s="220"/>
      <c r="E37" s="220"/>
      <c r="F37" s="220"/>
      <c r="G37" s="220"/>
      <c r="H37" s="440"/>
      <c r="I37" s="221"/>
      <c r="J37" s="221"/>
      <c r="K37" s="222"/>
      <c r="L37" s="440"/>
      <c r="M37" s="223"/>
      <c r="N37" s="445"/>
      <c r="O37" s="445"/>
      <c r="P37" s="220"/>
      <c r="Q37" s="220"/>
      <c r="R37" s="220"/>
      <c r="S37" s="220"/>
      <c r="T37" s="437"/>
      <c r="U37" s="220"/>
      <c r="V37" s="220"/>
      <c r="W37" s="220"/>
      <c r="X37" s="220"/>
      <c r="Y37" s="437"/>
      <c r="Z37" s="220"/>
      <c r="AA37" s="220"/>
      <c r="AB37" s="220"/>
      <c r="AC37" s="220"/>
      <c r="AD37" s="437"/>
      <c r="AE37" s="220"/>
      <c r="AF37" s="220"/>
      <c r="AG37" s="220"/>
      <c r="AH37" s="220"/>
      <c r="AI37" s="437"/>
      <c r="AJ37" s="220"/>
      <c r="AK37" s="220"/>
      <c r="AL37" s="220"/>
      <c r="AM37" s="220"/>
      <c r="AN37" s="437"/>
      <c r="AO37" s="220"/>
      <c r="AP37" s="220"/>
      <c r="AQ37" s="220"/>
      <c r="AR37" s="220"/>
      <c r="AS37" s="437"/>
      <c r="AT37" s="220"/>
      <c r="AU37" s="220"/>
      <c r="AV37" s="220"/>
      <c r="AW37" s="220"/>
      <c r="AX37" s="437"/>
    </row>
    <row r="38" spans="2:50">
      <c r="B38" s="438"/>
      <c r="C38" s="220">
        <v>12</v>
      </c>
      <c r="D38" s="220"/>
      <c r="E38" s="220"/>
      <c r="F38" s="220"/>
      <c r="G38" s="220"/>
      <c r="H38" s="440"/>
      <c r="I38" s="221"/>
      <c r="J38" s="221"/>
      <c r="K38" s="222"/>
      <c r="L38" s="440"/>
      <c r="M38" s="223"/>
      <c r="N38" s="445"/>
      <c r="O38" s="445"/>
      <c r="P38" s="220"/>
      <c r="Q38" s="220"/>
      <c r="R38" s="220"/>
      <c r="S38" s="220"/>
      <c r="T38" s="437"/>
      <c r="U38" s="220"/>
      <c r="V38" s="220"/>
      <c r="W38" s="220"/>
      <c r="X38" s="220"/>
      <c r="Y38" s="437"/>
      <c r="Z38" s="220"/>
      <c r="AA38" s="220"/>
      <c r="AB38" s="220"/>
      <c r="AC38" s="220"/>
      <c r="AD38" s="437"/>
      <c r="AE38" s="220"/>
      <c r="AF38" s="220"/>
      <c r="AG38" s="220"/>
      <c r="AH38" s="220"/>
      <c r="AI38" s="437"/>
      <c r="AJ38" s="220"/>
      <c r="AK38" s="220"/>
      <c r="AL38" s="220"/>
      <c r="AM38" s="220"/>
      <c r="AN38" s="437"/>
      <c r="AO38" s="220"/>
      <c r="AP38" s="220"/>
      <c r="AQ38" s="220"/>
      <c r="AR38" s="220"/>
      <c r="AS38" s="437"/>
      <c r="AT38" s="220"/>
      <c r="AU38" s="220"/>
      <c r="AV38" s="220"/>
      <c r="AW38" s="220"/>
      <c r="AX38" s="437"/>
    </row>
    <row r="39" spans="2:50">
      <c r="B39" s="438"/>
      <c r="C39" s="220">
        <v>13</v>
      </c>
      <c r="D39" s="220"/>
      <c r="E39" s="220"/>
      <c r="F39" s="220"/>
      <c r="G39" s="220"/>
      <c r="H39" s="440"/>
      <c r="I39" s="221"/>
      <c r="J39" s="221"/>
      <c r="K39" s="222"/>
      <c r="L39" s="440"/>
      <c r="M39" s="223"/>
      <c r="N39" s="445"/>
      <c r="O39" s="445"/>
      <c r="P39" s="220"/>
      <c r="Q39" s="220"/>
      <c r="R39" s="220"/>
      <c r="S39" s="220"/>
      <c r="T39" s="437"/>
      <c r="U39" s="220"/>
      <c r="V39" s="220"/>
      <c r="W39" s="220"/>
      <c r="X39" s="220"/>
      <c r="Y39" s="437"/>
      <c r="Z39" s="220"/>
      <c r="AA39" s="220"/>
      <c r="AB39" s="220"/>
      <c r="AC39" s="220"/>
      <c r="AD39" s="437"/>
      <c r="AE39" s="220"/>
      <c r="AF39" s="220"/>
      <c r="AG39" s="220"/>
      <c r="AH39" s="220"/>
      <c r="AI39" s="437"/>
      <c r="AJ39" s="220"/>
      <c r="AK39" s="220"/>
      <c r="AL39" s="220"/>
      <c r="AM39" s="220"/>
      <c r="AN39" s="437"/>
      <c r="AO39" s="220"/>
      <c r="AP39" s="220"/>
      <c r="AQ39" s="220"/>
      <c r="AR39" s="220"/>
      <c r="AS39" s="437"/>
      <c r="AT39" s="220"/>
      <c r="AU39" s="220"/>
      <c r="AV39" s="220"/>
      <c r="AW39" s="220"/>
      <c r="AX39" s="437"/>
    </row>
    <row r="40" spans="2:50">
      <c r="B40" s="438"/>
      <c r="C40" s="220">
        <v>14</v>
      </c>
      <c r="D40" s="220"/>
      <c r="E40" s="220"/>
      <c r="F40" s="220"/>
      <c r="G40" s="220"/>
      <c r="H40" s="440"/>
      <c r="I40" s="221"/>
      <c r="J40" s="221"/>
      <c r="K40" s="222"/>
      <c r="L40" s="440"/>
      <c r="M40" s="223"/>
      <c r="N40" s="445"/>
      <c r="O40" s="445"/>
      <c r="P40" s="220"/>
      <c r="Q40" s="220"/>
      <c r="R40" s="220"/>
      <c r="S40" s="220"/>
      <c r="T40" s="437"/>
      <c r="U40" s="220"/>
      <c r="V40" s="220"/>
      <c r="W40" s="220"/>
      <c r="X40" s="220"/>
      <c r="Y40" s="437"/>
      <c r="Z40" s="220"/>
      <c r="AA40" s="220"/>
      <c r="AB40" s="220"/>
      <c r="AC40" s="220"/>
      <c r="AD40" s="437"/>
      <c r="AE40" s="220"/>
      <c r="AF40" s="220"/>
      <c r="AG40" s="220"/>
      <c r="AH40" s="220"/>
      <c r="AI40" s="437"/>
      <c r="AJ40" s="220"/>
      <c r="AK40" s="220"/>
      <c r="AL40" s="220"/>
      <c r="AM40" s="220"/>
      <c r="AN40" s="437"/>
      <c r="AO40" s="220"/>
      <c r="AP40" s="220"/>
      <c r="AQ40" s="220"/>
      <c r="AR40" s="220"/>
      <c r="AS40" s="437"/>
      <c r="AT40" s="220"/>
      <c r="AU40" s="220"/>
      <c r="AV40" s="220"/>
      <c r="AW40" s="220"/>
      <c r="AX40" s="437"/>
    </row>
    <row r="41" spans="2:50">
      <c r="B41" s="438"/>
      <c r="C41" s="220">
        <v>15</v>
      </c>
      <c r="D41" s="220"/>
      <c r="E41" s="220"/>
      <c r="F41" s="220"/>
      <c r="G41" s="220"/>
      <c r="H41" s="441"/>
      <c r="I41" s="221"/>
      <c r="J41" s="221"/>
      <c r="K41" s="222"/>
      <c r="L41" s="441"/>
      <c r="M41" s="221"/>
      <c r="N41" s="445"/>
      <c r="O41" s="445"/>
      <c r="P41" s="220"/>
      <c r="Q41" s="220"/>
      <c r="R41" s="220"/>
      <c r="S41" s="220"/>
      <c r="T41" s="437"/>
      <c r="U41" s="220"/>
      <c r="V41" s="220"/>
      <c r="W41" s="220"/>
      <c r="X41" s="220"/>
      <c r="Y41" s="437"/>
      <c r="Z41" s="220"/>
      <c r="AA41" s="220"/>
      <c r="AB41" s="220"/>
      <c r="AC41" s="220"/>
      <c r="AD41" s="437"/>
      <c r="AE41" s="220"/>
      <c r="AF41" s="220"/>
      <c r="AG41" s="220"/>
      <c r="AH41" s="220"/>
      <c r="AI41" s="437"/>
      <c r="AJ41" s="220"/>
      <c r="AK41" s="220"/>
      <c r="AL41" s="220"/>
      <c r="AM41" s="220"/>
      <c r="AN41" s="437"/>
      <c r="AO41" s="220"/>
      <c r="AP41" s="220"/>
      <c r="AQ41" s="220"/>
      <c r="AR41" s="220"/>
      <c r="AS41" s="437"/>
      <c r="AT41" s="220"/>
      <c r="AU41" s="220"/>
      <c r="AV41" s="220"/>
      <c r="AW41" s="220"/>
      <c r="AX41" s="437"/>
    </row>
    <row r="42" spans="2:50" ht="15.5">
      <c r="B42" s="457" t="s">
        <v>44</v>
      </c>
      <c r="C42" s="458"/>
      <c r="D42" s="458"/>
      <c r="E42" s="458"/>
      <c r="F42" s="458"/>
      <c r="G42" s="458"/>
      <c r="H42" s="458"/>
      <c r="I42" s="225"/>
      <c r="J42" s="214"/>
      <c r="K42" s="225"/>
      <c r="L42" s="225"/>
      <c r="M42" s="215"/>
      <c r="N42" s="450" t="s">
        <v>45</v>
      </c>
      <c r="O42" s="450" t="s">
        <v>3</v>
      </c>
      <c r="P42" s="453">
        <v>46000</v>
      </c>
      <c r="Q42" s="438"/>
      <c r="R42" s="438"/>
      <c r="S42" s="438"/>
      <c r="T42" s="438"/>
      <c r="U42" s="453">
        <v>46001</v>
      </c>
      <c r="V42" s="438"/>
      <c r="W42" s="438"/>
      <c r="X42" s="438"/>
      <c r="Y42" s="438"/>
      <c r="Z42" s="453">
        <v>46002</v>
      </c>
      <c r="AA42" s="438"/>
      <c r="AB42" s="438"/>
      <c r="AC42" s="438"/>
      <c r="AD42" s="438"/>
      <c r="AE42" s="453">
        <v>46003</v>
      </c>
      <c r="AF42" s="438"/>
      <c r="AG42" s="438"/>
      <c r="AH42" s="438"/>
      <c r="AI42" s="438"/>
      <c r="AJ42" s="453">
        <v>46004</v>
      </c>
      <c r="AK42" s="438"/>
      <c r="AL42" s="438"/>
      <c r="AM42" s="438"/>
      <c r="AN42" s="438"/>
      <c r="AO42" s="453">
        <v>46005</v>
      </c>
      <c r="AP42" s="438"/>
      <c r="AQ42" s="438"/>
      <c r="AR42" s="438"/>
      <c r="AS42" s="438"/>
      <c r="AT42" s="453">
        <v>46006</v>
      </c>
      <c r="AU42" s="438"/>
      <c r="AV42" s="438"/>
      <c r="AW42" s="438"/>
      <c r="AX42" s="438"/>
    </row>
    <row r="43" spans="2:50" ht="15.5">
      <c r="B43" s="456"/>
      <c r="C43" s="456"/>
      <c r="D43" s="456"/>
      <c r="E43" s="456"/>
      <c r="F43" s="456"/>
      <c r="G43" s="456"/>
      <c r="H43" s="456"/>
      <c r="I43" s="216"/>
      <c r="J43" s="216"/>
      <c r="K43" s="216"/>
      <c r="L43" s="216"/>
      <c r="M43" s="217"/>
      <c r="N43" s="452"/>
      <c r="O43" s="452"/>
      <c r="P43" s="453" t="s">
        <v>15</v>
      </c>
      <c r="Q43" s="438"/>
      <c r="R43" s="438"/>
      <c r="S43" s="438"/>
      <c r="T43" s="438"/>
      <c r="U43" s="453" t="s">
        <v>16</v>
      </c>
      <c r="V43" s="438"/>
      <c r="W43" s="438"/>
      <c r="X43" s="438"/>
      <c r="Y43" s="438"/>
      <c r="Z43" s="453" t="s">
        <v>17</v>
      </c>
      <c r="AA43" s="438"/>
      <c r="AB43" s="438"/>
      <c r="AC43" s="438"/>
      <c r="AD43" s="438"/>
      <c r="AE43" s="453" t="s">
        <v>18</v>
      </c>
      <c r="AF43" s="438"/>
      <c r="AG43" s="438"/>
      <c r="AH43" s="438"/>
      <c r="AI43" s="438"/>
      <c r="AJ43" s="453" t="s">
        <v>19</v>
      </c>
      <c r="AK43" s="438"/>
      <c r="AL43" s="438"/>
      <c r="AM43" s="438"/>
      <c r="AN43" s="438"/>
      <c r="AO43" s="453" t="s">
        <v>10</v>
      </c>
      <c r="AP43" s="438"/>
      <c r="AQ43" s="438"/>
      <c r="AR43" s="438"/>
      <c r="AS43" s="438"/>
      <c r="AT43" s="453" t="s">
        <v>14</v>
      </c>
      <c r="AU43" s="438"/>
      <c r="AV43" s="438"/>
      <c r="AW43" s="438"/>
      <c r="AX43" s="438"/>
    </row>
    <row r="44" spans="2:50">
      <c r="B44" s="445" t="s">
        <v>46</v>
      </c>
      <c r="C44" s="445" t="s">
        <v>47</v>
      </c>
      <c r="D44" s="445"/>
      <c r="E44" s="445" t="s">
        <v>48</v>
      </c>
      <c r="F44" s="445"/>
      <c r="G44" s="445"/>
      <c r="H44" s="447" t="s">
        <v>49</v>
      </c>
      <c r="I44" s="445" t="s">
        <v>50</v>
      </c>
      <c r="J44" s="445"/>
      <c r="K44" s="445"/>
      <c r="L44" s="447" t="s">
        <v>49</v>
      </c>
      <c r="M44" s="450" t="s">
        <v>51</v>
      </c>
      <c r="N44" s="445"/>
      <c r="O44" s="445" t="s">
        <v>52</v>
      </c>
      <c r="P44" s="442" t="s">
        <v>53</v>
      </c>
      <c r="Q44" s="443"/>
      <c r="R44" s="443"/>
      <c r="S44" s="444"/>
      <c r="T44" s="445" t="s">
        <v>49</v>
      </c>
      <c r="U44" s="442" t="s">
        <v>53</v>
      </c>
      <c r="V44" s="443"/>
      <c r="W44" s="443"/>
      <c r="X44" s="444"/>
      <c r="Y44" s="445" t="s">
        <v>49</v>
      </c>
      <c r="Z44" s="442" t="s">
        <v>53</v>
      </c>
      <c r="AA44" s="443"/>
      <c r="AB44" s="443"/>
      <c r="AC44" s="444"/>
      <c r="AD44" s="445" t="s">
        <v>49</v>
      </c>
      <c r="AE44" s="442" t="s">
        <v>53</v>
      </c>
      <c r="AF44" s="443"/>
      <c r="AG44" s="443"/>
      <c r="AH44" s="444"/>
      <c r="AI44" s="445" t="s">
        <v>49</v>
      </c>
      <c r="AJ44" s="442" t="s">
        <v>53</v>
      </c>
      <c r="AK44" s="443"/>
      <c r="AL44" s="443"/>
      <c r="AM44" s="444"/>
      <c r="AN44" s="445" t="s">
        <v>49</v>
      </c>
      <c r="AO44" s="442" t="s">
        <v>53</v>
      </c>
      <c r="AP44" s="443"/>
      <c r="AQ44" s="443"/>
      <c r="AR44" s="444"/>
      <c r="AS44" s="445" t="s">
        <v>49</v>
      </c>
      <c r="AT44" s="442" t="s">
        <v>53</v>
      </c>
      <c r="AU44" s="443"/>
      <c r="AV44" s="443"/>
      <c r="AW44" s="444"/>
      <c r="AX44" s="445" t="s">
        <v>49</v>
      </c>
    </row>
    <row r="45" spans="2:50">
      <c r="B45" s="445"/>
      <c r="C45" s="445"/>
      <c r="D45" s="445"/>
      <c r="E45" s="445" t="s">
        <v>54</v>
      </c>
      <c r="F45" s="445"/>
      <c r="G45" s="445"/>
      <c r="H45" s="448"/>
      <c r="I45" s="445" t="s">
        <v>54</v>
      </c>
      <c r="J45" s="445"/>
      <c r="K45" s="445"/>
      <c r="L45" s="448"/>
      <c r="M45" s="451"/>
      <c r="N45" s="445"/>
      <c r="O45" s="445"/>
      <c r="P45" s="442" t="s">
        <v>55</v>
      </c>
      <c r="Q45" s="443"/>
      <c r="R45" s="443"/>
      <c r="S45" s="444"/>
      <c r="T45" s="445"/>
      <c r="U45" s="442" t="s">
        <v>55</v>
      </c>
      <c r="V45" s="443"/>
      <c r="W45" s="443"/>
      <c r="X45" s="444"/>
      <c r="Y45" s="445"/>
      <c r="Z45" s="442" t="s">
        <v>55</v>
      </c>
      <c r="AA45" s="443"/>
      <c r="AB45" s="443"/>
      <c r="AC45" s="444"/>
      <c r="AD45" s="445"/>
      <c r="AE45" s="442" t="s">
        <v>55</v>
      </c>
      <c r="AF45" s="443"/>
      <c r="AG45" s="443"/>
      <c r="AH45" s="444"/>
      <c r="AI45" s="445"/>
      <c r="AJ45" s="442" t="s">
        <v>55</v>
      </c>
      <c r="AK45" s="443"/>
      <c r="AL45" s="443"/>
      <c r="AM45" s="444"/>
      <c r="AN45" s="445"/>
      <c r="AO45" s="442" t="s">
        <v>55</v>
      </c>
      <c r="AP45" s="443"/>
      <c r="AQ45" s="443"/>
      <c r="AR45" s="444"/>
      <c r="AS45" s="445"/>
      <c r="AT45" s="442" t="s">
        <v>55</v>
      </c>
      <c r="AU45" s="443"/>
      <c r="AV45" s="443"/>
      <c r="AW45" s="444"/>
      <c r="AX45" s="445"/>
    </row>
    <row r="46" spans="2:50">
      <c r="B46" s="445"/>
      <c r="C46" s="445"/>
      <c r="D46" s="445"/>
      <c r="E46" s="219" t="s">
        <v>56</v>
      </c>
      <c r="F46" s="219" t="s">
        <v>57</v>
      </c>
      <c r="G46" s="219" t="s">
        <v>58</v>
      </c>
      <c r="H46" s="449"/>
      <c r="I46" s="219" t="s">
        <v>56</v>
      </c>
      <c r="J46" s="219" t="s">
        <v>57</v>
      </c>
      <c r="K46" s="219" t="s">
        <v>58</v>
      </c>
      <c r="L46" s="449"/>
      <c r="M46" s="452"/>
      <c r="N46" s="445"/>
      <c r="O46" s="445"/>
      <c r="P46" s="219" t="s">
        <v>56</v>
      </c>
      <c r="Q46" s="219" t="s">
        <v>57</v>
      </c>
      <c r="R46" s="219" t="s">
        <v>58</v>
      </c>
      <c r="S46" s="219" t="s">
        <v>51</v>
      </c>
      <c r="T46" s="445"/>
      <c r="U46" s="219" t="s">
        <v>56</v>
      </c>
      <c r="V46" s="219" t="s">
        <v>57</v>
      </c>
      <c r="W46" s="219" t="s">
        <v>58</v>
      </c>
      <c r="X46" s="219" t="s">
        <v>51</v>
      </c>
      <c r="Y46" s="445"/>
      <c r="Z46" s="219" t="s">
        <v>56</v>
      </c>
      <c r="AA46" s="219" t="s">
        <v>57</v>
      </c>
      <c r="AB46" s="219" t="s">
        <v>58</v>
      </c>
      <c r="AC46" s="219" t="s">
        <v>51</v>
      </c>
      <c r="AD46" s="445"/>
      <c r="AE46" s="219" t="s">
        <v>56</v>
      </c>
      <c r="AF46" s="219" t="s">
        <v>57</v>
      </c>
      <c r="AG46" s="219" t="s">
        <v>58</v>
      </c>
      <c r="AH46" s="219" t="s">
        <v>51</v>
      </c>
      <c r="AI46" s="445"/>
      <c r="AJ46" s="219" t="s">
        <v>56</v>
      </c>
      <c r="AK46" s="219" t="s">
        <v>57</v>
      </c>
      <c r="AL46" s="219" t="s">
        <v>58</v>
      </c>
      <c r="AM46" s="219" t="s">
        <v>51</v>
      </c>
      <c r="AN46" s="445"/>
      <c r="AO46" s="219" t="s">
        <v>56</v>
      </c>
      <c r="AP46" s="219" t="s">
        <v>57</v>
      </c>
      <c r="AQ46" s="219" t="s">
        <v>58</v>
      </c>
      <c r="AR46" s="219" t="s">
        <v>51</v>
      </c>
      <c r="AS46" s="445"/>
      <c r="AT46" s="219" t="s">
        <v>56</v>
      </c>
      <c r="AU46" s="219" t="s">
        <v>57</v>
      </c>
      <c r="AV46" s="219" t="s">
        <v>58</v>
      </c>
      <c r="AW46" s="219" t="s">
        <v>51</v>
      </c>
      <c r="AX46" s="445"/>
    </row>
    <row r="47" spans="2:50">
      <c r="B47" s="445" t="s">
        <v>35</v>
      </c>
      <c r="C47" s="220">
        <v>1</v>
      </c>
      <c r="D47" s="220" t="s">
        <v>61</v>
      </c>
      <c r="E47" s="221">
        <f>VLOOKUP(D47,'11產線配置圖'!$A$2:$C$30,2,0)</f>
        <v>13</v>
      </c>
      <c r="F47" s="221">
        <f>VLOOKUP(D47,'11產線配置圖'!$A$2:$C$30,3,0)</f>
        <v>1565</v>
      </c>
      <c r="G47" s="222">
        <f>F47/E47</f>
        <v>120.38461538461539</v>
      </c>
      <c r="H47" s="439">
        <f>AVERAGE(G47:G61)</f>
        <v>127.07264957264958</v>
      </c>
      <c r="I47" s="221">
        <f>AVERAGE(P47,U47,Z47,AE47,AJ47,AO47,AT47)</f>
        <v>13</v>
      </c>
      <c r="J47" s="221">
        <f>AVERAGE(Q47,V47,AA47,AF47,AK47,AP47,AU47)</f>
        <v>1494</v>
      </c>
      <c r="K47" s="222">
        <f>AVERAGE(R47,W47,AB47,AG47,AL47,AQ47,AV47)</f>
        <v>114.92307692307693</v>
      </c>
      <c r="L47" s="439">
        <f>IFERROR(AVERAGE(K47:K61),"-")</f>
        <v>112.14181929181932</v>
      </c>
      <c r="M47" s="221">
        <f>RANK(K47, K$47:$K$61)</f>
        <v>2</v>
      </c>
      <c r="N47" s="445"/>
      <c r="O47" s="445"/>
      <c r="P47" s="221">
        <v>13</v>
      </c>
      <c r="Q47" s="221">
        <v>1471</v>
      </c>
      <c r="R47" s="222">
        <f>Q47/P47</f>
        <v>113.15384615384616</v>
      </c>
      <c r="S47" s="220">
        <f>RANK(R47, $R$47:$R$49)</f>
        <v>2</v>
      </c>
      <c r="T47" s="437">
        <f>AVERAGE(R47:R61)</f>
        <v>116.16794871794872</v>
      </c>
      <c r="U47" s="221">
        <v>13</v>
      </c>
      <c r="V47" s="221">
        <v>1556</v>
      </c>
      <c r="W47" s="222">
        <f>V47/U47</f>
        <v>119.69230769230769</v>
      </c>
      <c r="X47" s="220">
        <f>RANK(W47, $W$47:$W$49)</f>
        <v>3</v>
      </c>
      <c r="Y47" s="437">
        <f>AVERAGE(W47:W61)</f>
        <v>120.78632478632478</v>
      </c>
      <c r="Z47" s="221">
        <v>13</v>
      </c>
      <c r="AA47" s="221">
        <v>1447</v>
      </c>
      <c r="AB47" s="222">
        <f>AA47/Z47</f>
        <v>111.30769230769231</v>
      </c>
      <c r="AC47" s="220">
        <f>RANK(AB47, $AB$47:$AB$49)</f>
        <v>1</v>
      </c>
      <c r="AD47" s="437">
        <f>AVERAGE(AB47:AB61)</f>
        <v>92.102564102564102</v>
      </c>
      <c r="AE47" s="221">
        <v>13</v>
      </c>
      <c r="AF47" s="221">
        <v>1433</v>
      </c>
      <c r="AG47" s="222">
        <f>AF47/AE47</f>
        <v>110.23076923076923</v>
      </c>
      <c r="AH47" s="220">
        <f>RANK(AG47,$AG$47:$AG$49)</f>
        <v>2</v>
      </c>
      <c r="AI47" s="437">
        <f>AVERAGE(AG47:AG61)</f>
        <v>105.74358974358974</v>
      </c>
      <c r="AJ47" s="221">
        <v>13</v>
      </c>
      <c r="AK47" s="221">
        <v>1542</v>
      </c>
      <c r="AL47" s="222">
        <f>AK47/AJ47</f>
        <v>118.61538461538461</v>
      </c>
      <c r="AM47" s="220">
        <f>RANK(AL47, $AL$47:$AL$49)</f>
        <v>2</v>
      </c>
      <c r="AN47" s="437">
        <f>AVERAGE(AL47:AL61)</f>
        <v>119.17735042735042</v>
      </c>
      <c r="AO47" s="221">
        <v>13</v>
      </c>
      <c r="AP47" s="221">
        <v>1543</v>
      </c>
      <c r="AQ47" s="222">
        <f>AP47/AO47</f>
        <v>118.69230769230769</v>
      </c>
      <c r="AR47" s="220">
        <f>RANK(AQ47,$AQ$47:$AQ$49)</f>
        <v>2</v>
      </c>
      <c r="AS47" s="437">
        <f>AVERAGE(AQ47:AQ61)</f>
        <v>114.3974358974359</v>
      </c>
      <c r="AT47" s="221">
        <v>13</v>
      </c>
      <c r="AU47" s="221">
        <v>1466</v>
      </c>
      <c r="AV47" s="222">
        <f>AU47/AT47</f>
        <v>112.76923076923077</v>
      </c>
      <c r="AW47" s="220">
        <f>RANK(AV47,$AV$47:$AV$49)</f>
        <v>2</v>
      </c>
      <c r="AX47" s="437">
        <f>AVERAGE(AV47:AV61)</f>
        <v>116.61752136752136</v>
      </c>
    </row>
    <row r="48" spans="2:50">
      <c r="B48" s="438"/>
      <c r="C48" s="220">
        <v>2</v>
      </c>
      <c r="D48" s="220" t="s">
        <v>62</v>
      </c>
      <c r="E48" s="221">
        <f>VLOOKUP(D48,'11產線配置圖'!$A$2:$C$30,2,0)</f>
        <v>12</v>
      </c>
      <c r="F48" s="221">
        <f>VLOOKUP(D48,'11產線配置圖'!$A$2:$C$30,3,0)</f>
        <v>1565</v>
      </c>
      <c r="G48" s="222">
        <f>F48/E48</f>
        <v>130.41666666666666</v>
      </c>
      <c r="H48" s="440"/>
      <c r="I48" s="221">
        <f t="shared" ref="I48:K49" si="6">AVERAGE(P48,U48,Z48,AE48,AJ48,AO48,AT48)</f>
        <v>12</v>
      </c>
      <c r="J48" s="221">
        <f t="shared" si="6"/>
        <v>1466.8571428571429</v>
      </c>
      <c r="K48" s="222">
        <f t="shared" si="6"/>
        <v>122.23809523809526</v>
      </c>
      <c r="L48" s="440"/>
      <c r="M48" s="221">
        <f>RANK(K48, K$47:$K$61)</f>
        <v>1</v>
      </c>
      <c r="N48" s="445"/>
      <c r="O48" s="445"/>
      <c r="P48" s="221">
        <v>12</v>
      </c>
      <c r="Q48" s="221">
        <v>1527</v>
      </c>
      <c r="R48" s="222">
        <f>Q48/P48</f>
        <v>127.25</v>
      </c>
      <c r="S48" s="220">
        <f>RANK(R48, $R$47:$R$49)</f>
        <v>1</v>
      </c>
      <c r="T48" s="437"/>
      <c r="U48" s="221">
        <v>12</v>
      </c>
      <c r="V48" s="221">
        <v>1440</v>
      </c>
      <c r="W48" s="222">
        <f>V48/U48</f>
        <v>120</v>
      </c>
      <c r="X48" s="220">
        <f>RANK(W48, $W$47:$W$49)</f>
        <v>2</v>
      </c>
      <c r="Y48" s="437"/>
      <c r="Z48" s="221">
        <v>12</v>
      </c>
      <c r="AA48" s="221">
        <v>1272</v>
      </c>
      <c r="AB48" s="222">
        <f>AA48/Z48</f>
        <v>106</v>
      </c>
      <c r="AC48" s="220">
        <f>RANK(AB48, $AB$47:$AB$49)</f>
        <v>2</v>
      </c>
      <c r="AD48" s="437"/>
      <c r="AE48" s="221">
        <v>12</v>
      </c>
      <c r="AF48" s="221">
        <v>1509</v>
      </c>
      <c r="AG48" s="222">
        <f>AF48/AE48</f>
        <v>125.75</v>
      </c>
      <c r="AH48" s="220">
        <f>RANK(AG48,$AG$47:$AG$49)</f>
        <v>1</v>
      </c>
      <c r="AI48" s="437"/>
      <c r="AJ48" s="221">
        <v>12</v>
      </c>
      <c r="AK48" s="221">
        <v>1479</v>
      </c>
      <c r="AL48" s="222">
        <f>AK48/AJ48</f>
        <v>123.25</v>
      </c>
      <c r="AM48" s="220">
        <f>RANK(AL48, $AL$47:$AL$49)</f>
        <v>1</v>
      </c>
      <c r="AN48" s="437"/>
      <c r="AO48" s="221">
        <v>12</v>
      </c>
      <c r="AP48" s="221">
        <v>1501</v>
      </c>
      <c r="AQ48" s="222">
        <f>AP48/AO48</f>
        <v>125.08333333333333</v>
      </c>
      <c r="AR48" s="220">
        <f>RANK(AQ48,$AQ$47:$AQ$49)</f>
        <v>1</v>
      </c>
      <c r="AS48" s="437"/>
      <c r="AT48" s="221">
        <v>12</v>
      </c>
      <c r="AU48" s="221">
        <v>1540</v>
      </c>
      <c r="AV48" s="222">
        <f>AU48/AT48</f>
        <v>128.33333333333334</v>
      </c>
      <c r="AW48" s="220">
        <f>RANK(AV48,$AV$47:$AV$49)</f>
        <v>1</v>
      </c>
      <c r="AX48" s="437"/>
    </row>
    <row r="49" spans="2:50">
      <c r="B49" s="438"/>
      <c r="C49" s="220">
        <v>3</v>
      </c>
      <c r="D49" s="220" t="s">
        <v>63</v>
      </c>
      <c r="E49" s="221">
        <f>VLOOKUP(D49,'11產線配置圖'!$A$2:$C$30,2,0)</f>
        <v>12</v>
      </c>
      <c r="F49" s="221">
        <f>VLOOKUP(D49,'11產線配置圖'!$A$2:$C$30,3,0)</f>
        <v>1565</v>
      </c>
      <c r="G49" s="222">
        <f>F49/E49</f>
        <v>130.41666666666666</v>
      </c>
      <c r="H49" s="440"/>
      <c r="I49" s="221">
        <f t="shared" si="6"/>
        <v>11.714285714285714</v>
      </c>
      <c r="J49" s="221">
        <f t="shared" si="6"/>
        <v>1160.2857142857142</v>
      </c>
      <c r="K49" s="222">
        <f t="shared" si="6"/>
        <v>99.26428571428572</v>
      </c>
      <c r="L49" s="440"/>
      <c r="M49" s="221">
        <f>RANK(K49, K$47:$K$61)</f>
        <v>3</v>
      </c>
      <c r="N49" s="445"/>
      <c r="O49" s="445"/>
      <c r="P49" s="221">
        <v>10</v>
      </c>
      <c r="Q49" s="221">
        <v>1081</v>
      </c>
      <c r="R49" s="222">
        <f>Q49/P49</f>
        <v>108.1</v>
      </c>
      <c r="S49" s="220">
        <f>RANK(R49, $R$47:$R$49)</f>
        <v>3</v>
      </c>
      <c r="T49" s="437"/>
      <c r="U49" s="221">
        <v>12</v>
      </c>
      <c r="V49" s="221">
        <v>1472</v>
      </c>
      <c r="W49" s="222">
        <f>V49/U49</f>
        <v>122.66666666666667</v>
      </c>
      <c r="X49" s="220">
        <f>RANK(W49, $W$47:$W$49)</f>
        <v>1</v>
      </c>
      <c r="Y49" s="437"/>
      <c r="Z49" s="221">
        <v>12</v>
      </c>
      <c r="AA49" s="221">
        <v>708</v>
      </c>
      <c r="AB49" s="222">
        <f>AA49/Z49</f>
        <v>59</v>
      </c>
      <c r="AC49" s="220">
        <f>RANK(AB49, $AB$47:$AB$49)</f>
        <v>3</v>
      </c>
      <c r="AD49" s="437"/>
      <c r="AE49" s="221">
        <v>12</v>
      </c>
      <c r="AF49" s="221">
        <v>975</v>
      </c>
      <c r="AG49" s="222">
        <f>AF49/AE49</f>
        <v>81.25</v>
      </c>
      <c r="AH49" s="220">
        <f>RANK(AG49,$AG$47:$AG$49)</f>
        <v>3</v>
      </c>
      <c r="AI49" s="437"/>
      <c r="AJ49" s="221">
        <v>12</v>
      </c>
      <c r="AK49" s="221">
        <v>1388</v>
      </c>
      <c r="AL49" s="222">
        <f>AK49/AJ49</f>
        <v>115.66666666666667</v>
      </c>
      <c r="AM49" s="220">
        <f>RANK(AL49, $AL$47:$AL$49)</f>
        <v>3</v>
      </c>
      <c r="AN49" s="437"/>
      <c r="AO49" s="221">
        <v>12</v>
      </c>
      <c r="AP49" s="221">
        <v>1193</v>
      </c>
      <c r="AQ49" s="222">
        <f>AP49/AO49</f>
        <v>99.416666666666671</v>
      </c>
      <c r="AR49" s="220">
        <f>RANK(AQ49,$AQ$47:$AQ$49)</f>
        <v>3</v>
      </c>
      <c r="AS49" s="437"/>
      <c r="AT49" s="221">
        <v>12</v>
      </c>
      <c r="AU49" s="221">
        <v>1305</v>
      </c>
      <c r="AV49" s="222">
        <f>AU49/AT49</f>
        <v>108.75</v>
      </c>
      <c r="AW49" s="220">
        <f>RANK(AV49,$AV$47:$AV$49)</f>
        <v>3</v>
      </c>
      <c r="AX49" s="437"/>
    </row>
    <row r="50" spans="2:50">
      <c r="B50" s="438"/>
      <c r="C50" s="220">
        <v>4</v>
      </c>
      <c r="D50" s="220"/>
      <c r="E50" s="221"/>
      <c r="F50" s="221"/>
      <c r="G50" s="222"/>
      <c r="H50" s="440"/>
      <c r="I50" s="221"/>
      <c r="J50" s="221"/>
      <c r="K50" s="222"/>
      <c r="L50" s="440"/>
      <c r="M50" s="221"/>
      <c r="N50" s="445"/>
      <c r="O50" s="445"/>
      <c r="P50" s="221"/>
      <c r="Q50" s="221"/>
      <c r="R50" s="220"/>
      <c r="S50" s="220"/>
      <c r="T50" s="437"/>
      <c r="U50" s="221"/>
      <c r="V50" s="221"/>
      <c r="W50" s="220"/>
      <c r="X50" s="220"/>
      <c r="Y50" s="437"/>
      <c r="Z50" s="221"/>
      <c r="AA50" s="221"/>
      <c r="AB50" s="220"/>
      <c r="AC50" s="220"/>
      <c r="AD50" s="437"/>
      <c r="AE50" s="221"/>
      <c r="AF50" s="221"/>
      <c r="AG50" s="220"/>
      <c r="AH50" s="220"/>
      <c r="AI50" s="437"/>
      <c r="AJ50" s="221"/>
      <c r="AK50" s="221"/>
      <c r="AL50" s="220"/>
      <c r="AM50" s="220"/>
      <c r="AN50" s="437"/>
      <c r="AO50" s="221"/>
      <c r="AP50" s="221"/>
      <c r="AQ50" s="220"/>
      <c r="AR50" s="220"/>
      <c r="AS50" s="437"/>
      <c r="AT50" s="221"/>
      <c r="AU50" s="221"/>
      <c r="AV50" s="220"/>
      <c r="AW50" s="220"/>
      <c r="AX50" s="437"/>
    </row>
    <row r="51" spans="2:50">
      <c r="B51" s="438"/>
      <c r="C51" s="220">
        <v>5</v>
      </c>
      <c r="D51" s="220"/>
      <c r="E51" s="221"/>
      <c r="F51" s="221"/>
      <c r="G51" s="222"/>
      <c r="H51" s="440"/>
      <c r="I51" s="221"/>
      <c r="J51" s="221"/>
      <c r="K51" s="222"/>
      <c r="L51" s="440"/>
      <c r="M51" s="221"/>
      <c r="N51" s="445"/>
      <c r="O51" s="445"/>
      <c r="P51" s="221"/>
      <c r="Q51" s="221"/>
      <c r="R51" s="220"/>
      <c r="S51" s="220"/>
      <c r="T51" s="437"/>
      <c r="U51" s="221"/>
      <c r="V51" s="221"/>
      <c r="W51" s="220"/>
      <c r="X51" s="220"/>
      <c r="Y51" s="437"/>
      <c r="Z51" s="221"/>
      <c r="AA51" s="221"/>
      <c r="AB51" s="220"/>
      <c r="AC51" s="220"/>
      <c r="AD51" s="437"/>
      <c r="AE51" s="221"/>
      <c r="AF51" s="221"/>
      <c r="AG51" s="220"/>
      <c r="AH51" s="220"/>
      <c r="AI51" s="437"/>
      <c r="AJ51" s="221"/>
      <c r="AK51" s="221"/>
      <c r="AL51" s="220"/>
      <c r="AM51" s="220"/>
      <c r="AN51" s="437"/>
      <c r="AO51" s="221"/>
      <c r="AP51" s="221"/>
      <c r="AQ51" s="220"/>
      <c r="AR51" s="220"/>
      <c r="AS51" s="437"/>
      <c r="AT51" s="221"/>
      <c r="AU51" s="221"/>
      <c r="AV51" s="220"/>
      <c r="AW51" s="220"/>
      <c r="AX51" s="437"/>
    </row>
    <row r="52" spans="2:50">
      <c r="B52" s="438"/>
      <c r="C52" s="220">
        <v>6</v>
      </c>
      <c r="D52" s="220"/>
      <c r="E52" s="221"/>
      <c r="F52" s="221"/>
      <c r="G52" s="222"/>
      <c r="H52" s="440"/>
      <c r="I52" s="221"/>
      <c r="J52" s="221"/>
      <c r="K52" s="222"/>
      <c r="L52" s="440"/>
      <c r="M52" s="221"/>
      <c r="N52" s="445"/>
      <c r="O52" s="445"/>
      <c r="P52" s="221"/>
      <c r="Q52" s="221"/>
      <c r="R52" s="220"/>
      <c r="S52" s="220"/>
      <c r="T52" s="437"/>
      <c r="U52" s="221"/>
      <c r="V52" s="221"/>
      <c r="W52" s="220"/>
      <c r="X52" s="220"/>
      <c r="Y52" s="437"/>
      <c r="Z52" s="221"/>
      <c r="AA52" s="221"/>
      <c r="AB52" s="220"/>
      <c r="AC52" s="220"/>
      <c r="AD52" s="437"/>
      <c r="AE52" s="221"/>
      <c r="AF52" s="221"/>
      <c r="AG52" s="220"/>
      <c r="AH52" s="220"/>
      <c r="AI52" s="437"/>
      <c r="AJ52" s="221"/>
      <c r="AK52" s="221"/>
      <c r="AL52" s="220"/>
      <c r="AM52" s="220"/>
      <c r="AN52" s="437"/>
      <c r="AO52" s="221"/>
      <c r="AP52" s="221"/>
      <c r="AQ52" s="220"/>
      <c r="AR52" s="220"/>
      <c r="AS52" s="437"/>
      <c r="AT52" s="221"/>
      <c r="AU52" s="221"/>
      <c r="AV52" s="220"/>
      <c r="AW52" s="220"/>
      <c r="AX52" s="437"/>
    </row>
    <row r="53" spans="2:50">
      <c r="B53" s="438"/>
      <c r="C53" s="220">
        <v>7</v>
      </c>
      <c r="D53" s="220"/>
      <c r="E53" s="221"/>
      <c r="F53" s="221"/>
      <c r="G53" s="222"/>
      <c r="H53" s="440"/>
      <c r="I53" s="221"/>
      <c r="J53" s="221"/>
      <c r="K53" s="222"/>
      <c r="L53" s="440"/>
      <c r="M53" s="221"/>
      <c r="N53" s="445"/>
      <c r="O53" s="445"/>
      <c r="P53" s="221"/>
      <c r="Q53" s="221"/>
      <c r="R53" s="220"/>
      <c r="S53" s="220"/>
      <c r="T53" s="437"/>
      <c r="U53" s="221"/>
      <c r="V53" s="221"/>
      <c r="W53" s="220"/>
      <c r="X53" s="220"/>
      <c r="Y53" s="437"/>
      <c r="Z53" s="221"/>
      <c r="AA53" s="221"/>
      <c r="AB53" s="220"/>
      <c r="AC53" s="220"/>
      <c r="AD53" s="437"/>
      <c r="AE53" s="221"/>
      <c r="AF53" s="221"/>
      <c r="AG53" s="220"/>
      <c r="AH53" s="220"/>
      <c r="AI53" s="437"/>
      <c r="AJ53" s="221"/>
      <c r="AK53" s="221"/>
      <c r="AL53" s="220"/>
      <c r="AM53" s="220"/>
      <c r="AN53" s="437"/>
      <c r="AO53" s="221"/>
      <c r="AP53" s="221"/>
      <c r="AQ53" s="220"/>
      <c r="AR53" s="220"/>
      <c r="AS53" s="437"/>
      <c r="AT53" s="221"/>
      <c r="AU53" s="221"/>
      <c r="AV53" s="220"/>
      <c r="AW53" s="220"/>
      <c r="AX53" s="437"/>
    </row>
    <row r="54" spans="2:50">
      <c r="B54" s="438"/>
      <c r="C54" s="220">
        <v>8</v>
      </c>
      <c r="D54" s="220"/>
      <c r="E54" s="220"/>
      <c r="F54" s="220"/>
      <c r="G54" s="220"/>
      <c r="H54" s="440"/>
      <c r="I54" s="221"/>
      <c r="J54" s="221"/>
      <c r="K54" s="222"/>
      <c r="L54" s="440"/>
      <c r="M54" s="221"/>
      <c r="N54" s="445"/>
      <c r="O54" s="445"/>
      <c r="P54" s="221"/>
      <c r="Q54" s="221"/>
      <c r="R54" s="220"/>
      <c r="S54" s="220"/>
      <c r="T54" s="437"/>
      <c r="U54" s="221"/>
      <c r="V54" s="221"/>
      <c r="W54" s="220"/>
      <c r="X54" s="220"/>
      <c r="Y54" s="437"/>
      <c r="Z54" s="221"/>
      <c r="AA54" s="221"/>
      <c r="AB54" s="220"/>
      <c r="AC54" s="220"/>
      <c r="AD54" s="437"/>
      <c r="AE54" s="221"/>
      <c r="AF54" s="221"/>
      <c r="AG54" s="220"/>
      <c r="AH54" s="220"/>
      <c r="AI54" s="437"/>
      <c r="AJ54" s="221"/>
      <c r="AK54" s="221"/>
      <c r="AL54" s="220"/>
      <c r="AM54" s="220"/>
      <c r="AN54" s="437"/>
      <c r="AO54" s="221"/>
      <c r="AP54" s="221"/>
      <c r="AQ54" s="220"/>
      <c r="AR54" s="220"/>
      <c r="AS54" s="437"/>
      <c r="AT54" s="221"/>
      <c r="AU54" s="221"/>
      <c r="AV54" s="220"/>
      <c r="AW54" s="220"/>
      <c r="AX54" s="437"/>
    </row>
    <row r="55" spans="2:50">
      <c r="B55" s="438"/>
      <c r="C55" s="220">
        <v>9</v>
      </c>
      <c r="D55" s="220"/>
      <c r="E55" s="220"/>
      <c r="F55" s="220"/>
      <c r="G55" s="220"/>
      <c r="H55" s="440"/>
      <c r="I55" s="221"/>
      <c r="J55" s="221"/>
      <c r="K55" s="222"/>
      <c r="L55" s="440"/>
      <c r="M55" s="221"/>
      <c r="N55" s="445"/>
      <c r="O55" s="445"/>
      <c r="P55" s="221"/>
      <c r="Q55" s="221"/>
      <c r="R55" s="220"/>
      <c r="S55" s="220"/>
      <c r="T55" s="437"/>
      <c r="U55" s="221"/>
      <c r="V55" s="221"/>
      <c r="W55" s="220"/>
      <c r="X55" s="220"/>
      <c r="Y55" s="437"/>
      <c r="Z55" s="221"/>
      <c r="AA55" s="221"/>
      <c r="AB55" s="220"/>
      <c r="AC55" s="220"/>
      <c r="AD55" s="437"/>
      <c r="AE55" s="221"/>
      <c r="AF55" s="221"/>
      <c r="AG55" s="220"/>
      <c r="AH55" s="220"/>
      <c r="AI55" s="437"/>
      <c r="AJ55" s="221"/>
      <c r="AK55" s="221"/>
      <c r="AL55" s="220"/>
      <c r="AM55" s="220"/>
      <c r="AN55" s="437"/>
      <c r="AO55" s="221"/>
      <c r="AP55" s="221"/>
      <c r="AQ55" s="220"/>
      <c r="AR55" s="220"/>
      <c r="AS55" s="437"/>
      <c r="AT55" s="221"/>
      <c r="AU55" s="221"/>
      <c r="AV55" s="220"/>
      <c r="AW55" s="220"/>
      <c r="AX55" s="437"/>
    </row>
    <row r="56" spans="2:50">
      <c r="B56" s="438"/>
      <c r="C56" s="220">
        <v>10</v>
      </c>
      <c r="D56" s="220"/>
      <c r="E56" s="220"/>
      <c r="F56" s="220"/>
      <c r="G56" s="220"/>
      <c r="H56" s="440"/>
      <c r="I56" s="221"/>
      <c r="J56" s="221"/>
      <c r="K56" s="222"/>
      <c r="L56" s="440"/>
      <c r="M56" s="221"/>
      <c r="N56" s="445"/>
      <c r="O56" s="445"/>
      <c r="P56" s="221"/>
      <c r="Q56" s="221"/>
      <c r="R56" s="220"/>
      <c r="S56" s="220"/>
      <c r="T56" s="437"/>
      <c r="U56" s="221"/>
      <c r="V56" s="221"/>
      <c r="W56" s="220"/>
      <c r="X56" s="220"/>
      <c r="Y56" s="437"/>
      <c r="Z56" s="221"/>
      <c r="AA56" s="221"/>
      <c r="AB56" s="220"/>
      <c r="AC56" s="220"/>
      <c r="AD56" s="437"/>
      <c r="AE56" s="221"/>
      <c r="AF56" s="221"/>
      <c r="AG56" s="220"/>
      <c r="AH56" s="220"/>
      <c r="AI56" s="437"/>
      <c r="AJ56" s="221"/>
      <c r="AK56" s="221"/>
      <c r="AL56" s="220"/>
      <c r="AM56" s="220"/>
      <c r="AN56" s="437"/>
      <c r="AO56" s="221"/>
      <c r="AP56" s="221"/>
      <c r="AQ56" s="220"/>
      <c r="AR56" s="220"/>
      <c r="AS56" s="437"/>
      <c r="AT56" s="221"/>
      <c r="AU56" s="221"/>
      <c r="AV56" s="220"/>
      <c r="AW56" s="220"/>
      <c r="AX56" s="437"/>
    </row>
    <row r="57" spans="2:50">
      <c r="B57" s="438"/>
      <c r="C57" s="220">
        <v>11</v>
      </c>
      <c r="D57" s="220"/>
      <c r="E57" s="220"/>
      <c r="F57" s="220"/>
      <c r="G57" s="220"/>
      <c r="H57" s="440"/>
      <c r="I57" s="221"/>
      <c r="J57" s="221"/>
      <c r="K57" s="222"/>
      <c r="L57" s="440"/>
      <c r="M57" s="221"/>
      <c r="N57" s="445"/>
      <c r="O57" s="445"/>
      <c r="P57" s="220"/>
      <c r="Q57" s="220"/>
      <c r="R57" s="220"/>
      <c r="S57" s="220"/>
      <c r="T57" s="437"/>
      <c r="U57" s="220"/>
      <c r="V57" s="220"/>
      <c r="W57" s="220"/>
      <c r="X57" s="220"/>
      <c r="Y57" s="437"/>
      <c r="Z57" s="220"/>
      <c r="AA57" s="220"/>
      <c r="AB57" s="220"/>
      <c r="AC57" s="220"/>
      <c r="AD57" s="437"/>
      <c r="AE57" s="220"/>
      <c r="AF57" s="220"/>
      <c r="AG57" s="220"/>
      <c r="AH57" s="220"/>
      <c r="AI57" s="437"/>
      <c r="AJ57" s="220"/>
      <c r="AK57" s="220"/>
      <c r="AL57" s="220"/>
      <c r="AM57" s="220"/>
      <c r="AN57" s="437"/>
      <c r="AO57" s="220"/>
      <c r="AP57" s="220"/>
      <c r="AQ57" s="220"/>
      <c r="AR57" s="220"/>
      <c r="AS57" s="437"/>
      <c r="AT57" s="220"/>
      <c r="AU57" s="220"/>
      <c r="AV57" s="220"/>
      <c r="AW57" s="220"/>
      <c r="AX57" s="437"/>
    </row>
    <row r="58" spans="2:50">
      <c r="B58" s="438"/>
      <c r="C58" s="220">
        <v>12</v>
      </c>
      <c r="D58" s="220"/>
      <c r="E58" s="220"/>
      <c r="F58" s="220"/>
      <c r="G58" s="220"/>
      <c r="H58" s="440"/>
      <c r="I58" s="221"/>
      <c r="J58" s="221"/>
      <c r="K58" s="222"/>
      <c r="L58" s="440"/>
      <c r="M58" s="221"/>
      <c r="N58" s="445"/>
      <c r="O58" s="445"/>
      <c r="P58" s="220"/>
      <c r="Q58" s="220"/>
      <c r="R58" s="220"/>
      <c r="S58" s="220"/>
      <c r="T58" s="437"/>
      <c r="U58" s="220"/>
      <c r="V58" s="220"/>
      <c r="W58" s="220"/>
      <c r="X58" s="220"/>
      <c r="Y58" s="437"/>
      <c r="Z58" s="220"/>
      <c r="AA58" s="220"/>
      <c r="AB58" s="220"/>
      <c r="AC58" s="220"/>
      <c r="AD58" s="437"/>
      <c r="AE58" s="220"/>
      <c r="AF58" s="220"/>
      <c r="AG58" s="220"/>
      <c r="AH58" s="220"/>
      <c r="AI58" s="437"/>
      <c r="AJ58" s="220"/>
      <c r="AK58" s="220"/>
      <c r="AL58" s="220"/>
      <c r="AM58" s="220"/>
      <c r="AN58" s="437"/>
      <c r="AO58" s="220"/>
      <c r="AP58" s="220"/>
      <c r="AQ58" s="220"/>
      <c r="AR58" s="220"/>
      <c r="AS58" s="437"/>
      <c r="AT58" s="220"/>
      <c r="AU58" s="220"/>
      <c r="AV58" s="220"/>
      <c r="AW58" s="220"/>
      <c r="AX58" s="437"/>
    </row>
    <row r="59" spans="2:50">
      <c r="B59" s="438"/>
      <c r="C59" s="220">
        <v>13</v>
      </c>
      <c r="D59" s="220"/>
      <c r="E59" s="220"/>
      <c r="F59" s="220"/>
      <c r="G59" s="220"/>
      <c r="H59" s="440"/>
      <c r="I59" s="221"/>
      <c r="J59" s="221"/>
      <c r="K59" s="222"/>
      <c r="L59" s="440"/>
      <c r="M59" s="221"/>
      <c r="N59" s="445"/>
      <c r="O59" s="445"/>
      <c r="P59" s="220"/>
      <c r="Q59" s="220"/>
      <c r="R59" s="220"/>
      <c r="S59" s="220"/>
      <c r="T59" s="437"/>
      <c r="U59" s="220"/>
      <c r="V59" s="220"/>
      <c r="W59" s="220"/>
      <c r="X59" s="220"/>
      <c r="Y59" s="437"/>
      <c r="Z59" s="220"/>
      <c r="AA59" s="220"/>
      <c r="AB59" s="220"/>
      <c r="AC59" s="220"/>
      <c r="AD59" s="437"/>
      <c r="AE59" s="220"/>
      <c r="AF59" s="220"/>
      <c r="AG59" s="220"/>
      <c r="AH59" s="220"/>
      <c r="AI59" s="437"/>
      <c r="AJ59" s="220"/>
      <c r="AK59" s="220"/>
      <c r="AL59" s="220"/>
      <c r="AM59" s="220"/>
      <c r="AN59" s="437"/>
      <c r="AO59" s="220"/>
      <c r="AP59" s="220"/>
      <c r="AQ59" s="220"/>
      <c r="AR59" s="220"/>
      <c r="AS59" s="437"/>
      <c r="AT59" s="220"/>
      <c r="AU59" s="220"/>
      <c r="AV59" s="220"/>
      <c r="AW59" s="220"/>
      <c r="AX59" s="437"/>
    </row>
    <row r="60" spans="2:50">
      <c r="B60" s="438"/>
      <c r="C60" s="220">
        <v>14</v>
      </c>
      <c r="D60" s="220"/>
      <c r="E60" s="220"/>
      <c r="F60" s="220"/>
      <c r="G60" s="220"/>
      <c r="H60" s="440"/>
      <c r="I60" s="221"/>
      <c r="J60" s="221"/>
      <c r="K60" s="222"/>
      <c r="L60" s="440"/>
      <c r="M60" s="221"/>
      <c r="N60" s="445"/>
      <c r="O60" s="445"/>
      <c r="P60" s="220"/>
      <c r="Q60" s="220"/>
      <c r="R60" s="220"/>
      <c r="S60" s="220"/>
      <c r="T60" s="437"/>
      <c r="U60" s="220"/>
      <c r="V60" s="220"/>
      <c r="W60" s="220"/>
      <c r="X60" s="220"/>
      <c r="Y60" s="437"/>
      <c r="Z60" s="220"/>
      <c r="AA60" s="220"/>
      <c r="AB60" s="220"/>
      <c r="AC60" s="220"/>
      <c r="AD60" s="437"/>
      <c r="AE60" s="220"/>
      <c r="AF60" s="220"/>
      <c r="AG60" s="220"/>
      <c r="AH60" s="220"/>
      <c r="AI60" s="437"/>
      <c r="AJ60" s="220"/>
      <c r="AK60" s="220"/>
      <c r="AL60" s="220"/>
      <c r="AM60" s="220"/>
      <c r="AN60" s="437"/>
      <c r="AO60" s="220"/>
      <c r="AP60" s="220"/>
      <c r="AQ60" s="220"/>
      <c r="AR60" s="220"/>
      <c r="AS60" s="437"/>
      <c r="AT60" s="220"/>
      <c r="AU60" s="220"/>
      <c r="AV60" s="220"/>
      <c r="AW60" s="220"/>
      <c r="AX60" s="437"/>
    </row>
    <row r="61" spans="2:50">
      <c r="B61" s="438"/>
      <c r="C61" s="220">
        <v>15</v>
      </c>
      <c r="D61" s="220"/>
      <c r="E61" s="220"/>
      <c r="F61" s="220"/>
      <c r="G61" s="220"/>
      <c r="H61" s="441"/>
      <c r="I61" s="221"/>
      <c r="J61" s="221"/>
      <c r="K61" s="222"/>
      <c r="L61" s="441"/>
      <c r="M61" s="221"/>
      <c r="N61" s="445"/>
      <c r="O61" s="445"/>
      <c r="P61" s="220"/>
      <c r="Q61" s="220"/>
      <c r="R61" s="220"/>
      <c r="S61" s="220"/>
      <c r="T61" s="437"/>
      <c r="U61" s="220"/>
      <c r="V61" s="220"/>
      <c r="W61" s="220"/>
      <c r="X61" s="220"/>
      <c r="Y61" s="437"/>
      <c r="Z61" s="220"/>
      <c r="AA61" s="220"/>
      <c r="AB61" s="220"/>
      <c r="AC61" s="220"/>
      <c r="AD61" s="437"/>
      <c r="AE61" s="220"/>
      <c r="AF61" s="220"/>
      <c r="AG61" s="220"/>
      <c r="AH61" s="220"/>
      <c r="AI61" s="437"/>
      <c r="AJ61" s="220"/>
      <c r="AK61" s="220"/>
      <c r="AL61" s="220"/>
      <c r="AM61" s="220"/>
      <c r="AN61" s="437"/>
      <c r="AO61" s="220"/>
      <c r="AP61" s="220"/>
      <c r="AQ61" s="220"/>
      <c r="AR61" s="220"/>
      <c r="AS61" s="437"/>
      <c r="AT61" s="220"/>
      <c r="AU61" s="220"/>
      <c r="AV61" s="220"/>
      <c r="AW61" s="220"/>
      <c r="AX61" s="437"/>
    </row>
    <row r="62" spans="2:50" ht="15.5">
      <c r="B62" s="459" t="s">
        <v>44</v>
      </c>
      <c r="C62" s="455"/>
      <c r="D62" s="455"/>
      <c r="E62" s="455"/>
      <c r="F62" s="455"/>
      <c r="G62" s="455"/>
      <c r="H62" s="455"/>
      <c r="I62" s="225"/>
      <c r="J62" s="225"/>
      <c r="K62" s="225"/>
      <c r="L62" s="225"/>
      <c r="M62" s="226"/>
      <c r="N62" s="450" t="s">
        <v>45</v>
      </c>
      <c r="O62" s="450" t="s">
        <v>3</v>
      </c>
      <c r="P62" s="453">
        <v>46007</v>
      </c>
      <c r="Q62" s="438"/>
      <c r="R62" s="438"/>
      <c r="S62" s="438"/>
      <c r="T62" s="438"/>
      <c r="U62" s="453">
        <v>46008</v>
      </c>
      <c r="V62" s="438"/>
      <c r="W62" s="438"/>
      <c r="X62" s="438"/>
      <c r="Y62" s="438"/>
      <c r="Z62" s="453">
        <v>46009</v>
      </c>
      <c r="AA62" s="438"/>
      <c r="AB62" s="438"/>
      <c r="AC62" s="438"/>
      <c r="AD62" s="438"/>
      <c r="AE62" s="453">
        <v>46010</v>
      </c>
      <c r="AF62" s="438"/>
      <c r="AG62" s="438"/>
      <c r="AH62" s="438"/>
      <c r="AI62" s="438"/>
      <c r="AJ62" s="453">
        <v>46011</v>
      </c>
      <c r="AK62" s="438"/>
      <c r="AL62" s="438"/>
      <c r="AM62" s="438"/>
      <c r="AN62" s="438"/>
      <c r="AO62" s="453">
        <v>46012</v>
      </c>
      <c r="AP62" s="438"/>
      <c r="AQ62" s="438"/>
      <c r="AR62" s="438"/>
      <c r="AS62" s="438"/>
      <c r="AT62" s="453">
        <v>46013</v>
      </c>
      <c r="AU62" s="438"/>
      <c r="AV62" s="438"/>
      <c r="AW62" s="438"/>
      <c r="AX62" s="438"/>
    </row>
    <row r="63" spans="2:50" ht="15.5">
      <c r="B63" s="456"/>
      <c r="C63" s="456"/>
      <c r="D63" s="456"/>
      <c r="E63" s="456"/>
      <c r="F63" s="456"/>
      <c r="G63" s="456"/>
      <c r="H63" s="456"/>
      <c r="I63" s="216"/>
      <c r="J63" s="216"/>
      <c r="K63" s="216"/>
      <c r="L63" s="216"/>
      <c r="M63" s="217"/>
      <c r="N63" s="452"/>
      <c r="O63" s="452"/>
      <c r="P63" s="453" t="s">
        <v>15</v>
      </c>
      <c r="Q63" s="438"/>
      <c r="R63" s="438"/>
      <c r="S63" s="438"/>
      <c r="T63" s="438"/>
      <c r="U63" s="453" t="s">
        <v>16</v>
      </c>
      <c r="V63" s="438"/>
      <c r="W63" s="438"/>
      <c r="X63" s="438"/>
      <c r="Y63" s="438"/>
      <c r="Z63" s="453" t="s">
        <v>17</v>
      </c>
      <c r="AA63" s="438"/>
      <c r="AB63" s="438"/>
      <c r="AC63" s="438"/>
      <c r="AD63" s="438"/>
      <c r="AE63" s="453" t="s">
        <v>18</v>
      </c>
      <c r="AF63" s="438"/>
      <c r="AG63" s="438"/>
      <c r="AH63" s="438"/>
      <c r="AI63" s="438"/>
      <c r="AJ63" s="453" t="s">
        <v>19</v>
      </c>
      <c r="AK63" s="438"/>
      <c r="AL63" s="438"/>
      <c r="AM63" s="438"/>
      <c r="AN63" s="438"/>
      <c r="AO63" s="453" t="s">
        <v>10</v>
      </c>
      <c r="AP63" s="438"/>
      <c r="AQ63" s="438"/>
      <c r="AR63" s="438"/>
      <c r="AS63" s="438"/>
      <c r="AT63" s="453" t="s">
        <v>14</v>
      </c>
      <c r="AU63" s="438"/>
      <c r="AV63" s="438"/>
      <c r="AW63" s="438"/>
      <c r="AX63" s="438"/>
    </row>
    <row r="64" spans="2:50">
      <c r="B64" s="445" t="s">
        <v>46</v>
      </c>
      <c r="C64" s="445" t="s">
        <v>47</v>
      </c>
      <c r="D64" s="445"/>
      <c r="E64" s="445" t="s">
        <v>48</v>
      </c>
      <c r="F64" s="445"/>
      <c r="G64" s="445"/>
      <c r="H64" s="447" t="s">
        <v>49</v>
      </c>
      <c r="I64" s="445" t="s">
        <v>50</v>
      </c>
      <c r="J64" s="445"/>
      <c r="K64" s="445"/>
      <c r="L64" s="447" t="s">
        <v>49</v>
      </c>
      <c r="M64" s="450" t="s">
        <v>51</v>
      </c>
      <c r="N64" s="445"/>
      <c r="O64" s="445" t="s">
        <v>52</v>
      </c>
      <c r="P64" s="442" t="s">
        <v>53</v>
      </c>
      <c r="Q64" s="443"/>
      <c r="R64" s="443"/>
      <c r="S64" s="444"/>
      <c r="T64" s="445" t="s">
        <v>49</v>
      </c>
      <c r="U64" s="442" t="s">
        <v>53</v>
      </c>
      <c r="V64" s="443"/>
      <c r="W64" s="443"/>
      <c r="X64" s="444"/>
      <c r="Y64" s="445" t="s">
        <v>49</v>
      </c>
      <c r="Z64" s="442" t="s">
        <v>53</v>
      </c>
      <c r="AA64" s="443"/>
      <c r="AB64" s="443"/>
      <c r="AC64" s="444"/>
      <c r="AD64" s="445" t="s">
        <v>49</v>
      </c>
      <c r="AE64" s="442" t="s">
        <v>53</v>
      </c>
      <c r="AF64" s="443"/>
      <c r="AG64" s="443"/>
      <c r="AH64" s="444"/>
      <c r="AI64" s="445" t="s">
        <v>49</v>
      </c>
      <c r="AJ64" s="442" t="s">
        <v>53</v>
      </c>
      <c r="AK64" s="443"/>
      <c r="AL64" s="443"/>
      <c r="AM64" s="444"/>
      <c r="AN64" s="445" t="s">
        <v>49</v>
      </c>
      <c r="AO64" s="442" t="s">
        <v>53</v>
      </c>
      <c r="AP64" s="443"/>
      <c r="AQ64" s="443"/>
      <c r="AR64" s="444"/>
      <c r="AS64" s="445" t="s">
        <v>49</v>
      </c>
      <c r="AT64" s="442" t="s">
        <v>53</v>
      </c>
      <c r="AU64" s="443"/>
      <c r="AV64" s="443"/>
      <c r="AW64" s="444"/>
      <c r="AX64" s="445" t="s">
        <v>49</v>
      </c>
    </row>
    <row r="65" spans="2:50">
      <c r="B65" s="445"/>
      <c r="C65" s="445"/>
      <c r="D65" s="445"/>
      <c r="E65" s="445" t="s">
        <v>54</v>
      </c>
      <c r="F65" s="445"/>
      <c r="G65" s="445"/>
      <c r="H65" s="448"/>
      <c r="I65" s="445" t="s">
        <v>54</v>
      </c>
      <c r="J65" s="445"/>
      <c r="K65" s="445"/>
      <c r="L65" s="448"/>
      <c r="M65" s="451"/>
      <c r="N65" s="445"/>
      <c r="O65" s="445"/>
      <c r="P65" s="442" t="s">
        <v>55</v>
      </c>
      <c r="Q65" s="443"/>
      <c r="R65" s="443"/>
      <c r="S65" s="444"/>
      <c r="T65" s="445"/>
      <c r="U65" s="442" t="s">
        <v>55</v>
      </c>
      <c r="V65" s="443"/>
      <c r="W65" s="443"/>
      <c r="X65" s="444"/>
      <c r="Y65" s="445"/>
      <c r="Z65" s="442" t="s">
        <v>55</v>
      </c>
      <c r="AA65" s="443"/>
      <c r="AB65" s="443"/>
      <c r="AC65" s="444"/>
      <c r="AD65" s="445"/>
      <c r="AE65" s="442" t="s">
        <v>55</v>
      </c>
      <c r="AF65" s="443"/>
      <c r="AG65" s="443"/>
      <c r="AH65" s="444"/>
      <c r="AI65" s="445"/>
      <c r="AJ65" s="442" t="s">
        <v>55</v>
      </c>
      <c r="AK65" s="443"/>
      <c r="AL65" s="443"/>
      <c r="AM65" s="444"/>
      <c r="AN65" s="445"/>
      <c r="AO65" s="442" t="s">
        <v>55</v>
      </c>
      <c r="AP65" s="443"/>
      <c r="AQ65" s="443"/>
      <c r="AR65" s="444"/>
      <c r="AS65" s="445"/>
      <c r="AT65" s="442" t="s">
        <v>55</v>
      </c>
      <c r="AU65" s="443"/>
      <c r="AV65" s="443"/>
      <c r="AW65" s="444"/>
      <c r="AX65" s="445"/>
    </row>
    <row r="66" spans="2:50">
      <c r="B66" s="445"/>
      <c r="C66" s="445"/>
      <c r="D66" s="445"/>
      <c r="E66" s="219" t="s">
        <v>56</v>
      </c>
      <c r="F66" s="219" t="s">
        <v>57</v>
      </c>
      <c r="G66" s="219" t="s">
        <v>58</v>
      </c>
      <c r="H66" s="449"/>
      <c r="I66" s="219" t="s">
        <v>56</v>
      </c>
      <c r="J66" s="219" t="s">
        <v>57</v>
      </c>
      <c r="K66" s="219" t="s">
        <v>58</v>
      </c>
      <c r="L66" s="449"/>
      <c r="M66" s="452"/>
      <c r="N66" s="445"/>
      <c r="O66" s="445"/>
      <c r="P66" s="219" t="s">
        <v>56</v>
      </c>
      <c r="Q66" s="219" t="s">
        <v>57</v>
      </c>
      <c r="R66" s="219" t="s">
        <v>58</v>
      </c>
      <c r="S66" s="219" t="s">
        <v>51</v>
      </c>
      <c r="T66" s="445"/>
      <c r="U66" s="219" t="s">
        <v>56</v>
      </c>
      <c r="V66" s="219" t="s">
        <v>57</v>
      </c>
      <c r="W66" s="219" t="s">
        <v>58</v>
      </c>
      <c r="X66" s="219" t="s">
        <v>51</v>
      </c>
      <c r="Y66" s="445"/>
      <c r="Z66" s="219" t="s">
        <v>56</v>
      </c>
      <c r="AA66" s="219" t="s">
        <v>57</v>
      </c>
      <c r="AB66" s="219" t="s">
        <v>58</v>
      </c>
      <c r="AC66" s="219" t="s">
        <v>51</v>
      </c>
      <c r="AD66" s="445"/>
      <c r="AE66" s="219" t="s">
        <v>56</v>
      </c>
      <c r="AF66" s="219" t="s">
        <v>57</v>
      </c>
      <c r="AG66" s="219" t="s">
        <v>58</v>
      </c>
      <c r="AH66" s="219" t="s">
        <v>51</v>
      </c>
      <c r="AI66" s="445"/>
      <c r="AJ66" s="219" t="s">
        <v>56</v>
      </c>
      <c r="AK66" s="219" t="s">
        <v>57</v>
      </c>
      <c r="AL66" s="219" t="s">
        <v>58</v>
      </c>
      <c r="AM66" s="219" t="s">
        <v>51</v>
      </c>
      <c r="AN66" s="445"/>
      <c r="AO66" s="219" t="s">
        <v>56</v>
      </c>
      <c r="AP66" s="219" t="s">
        <v>57</v>
      </c>
      <c r="AQ66" s="219" t="s">
        <v>58</v>
      </c>
      <c r="AR66" s="219" t="s">
        <v>51</v>
      </c>
      <c r="AS66" s="445"/>
      <c r="AT66" s="219" t="s">
        <v>56</v>
      </c>
      <c r="AU66" s="219" t="s">
        <v>57</v>
      </c>
      <c r="AV66" s="219" t="s">
        <v>58</v>
      </c>
      <c r="AW66" s="219" t="s">
        <v>51</v>
      </c>
      <c r="AX66" s="445"/>
    </row>
    <row r="67" spans="2:50">
      <c r="B67" s="445" t="s">
        <v>35</v>
      </c>
      <c r="C67" s="220">
        <v>1</v>
      </c>
      <c r="D67" s="220" t="s">
        <v>61</v>
      </c>
      <c r="E67" s="221">
        <f>VLOOKUP(D67,'11產線配置圖'!$A$2:$C$30,2,0)</f>
        <v>13</v>
      </c>
      <c r="F67" s="221">
        <f>VLOOKUP(D67,'11產線配置圖'!$A$2:$C$30,3,0)</f>
        <v>1565</v>
      </c>
      <c r="G67" s="222">
        <f>F67/E67</f>
        <v>120.38461538461539</v>
      </c>
      <c r="H67" s="439">
        <f>AVERAGE(G67:G81)</f>
        <v>127.07264957264958</v>
      </c>
      <c r="I67" s="221">
        <f>AVERAGE(P67,U67,Z66,AE67,AJ67,AO67,AT67)</f>
        <v>13</v>
      </c>
      <c r="J67" s="221">
        <f t="shared" ref="J67:K69" si="7">AVERAGE(Q67,V67,AA67,AF67,AK67,AP67,AU67)</f>
        <v>1495.2857142857142</v>
      </c>
      <c r="K67" s="222">
        <f t="shared" si="7"/>
        <v>115.02197802197803</v>
      </c>
      <c r="L67" s="439">
        <f>IFERROR(AVERAGE(K67:K81),"-")</f>
        <v>112.78083028083029</v>
      </c>
      <c r="M67" s="221">
        <f>RANK(K67, K$67:$K$81)</f>
        <v>2</v>
      </c>
      <c r="N67" s="445"/>
      <c r="O67" s="445"/>
      <c r="P67" s="221">
        <v>13</v>
      </c>
      <c r="Q67" s="221">
        <v>1535</v>
      </c>
      <c r="R67" s="222">
        <f>Q67/P67</f>
        <v>118.07692307692308</v>
      </c>
      <c r="S67" s="220">
        <f>RANK(R67,$R$67:$R$81)</f>
        <v>2</v>
      </c>
      <c r="T67" s="437">
        <f>AVERAGE(R67:R81)</f>
        <v>118.33119658119658</v>
      </c>
      <c r="U67" s="221">
        <v>13</v>
      </c>
      <c r="V67" s="221">
        <v>1385</v>
      </c>
      <c r="W67" s="222">
        <f>V67/U67</f>
        <v>106.53846153846153</v>
      </c>
      <c r="X67" s="220">
        <f>RANK(W67,$W$67:$W$81)</f>
        <v>2</v>
      </c>
      <c r="Y67" s="437">
        <f>AVERAGE(W67:W81)</f>
        <v>104.76282051282051</v>
      </c>
      <c r="Z67" s="221">
        <v>13</v>
      </c>
      <c r="AA67" s="221">
        <v>1554</v>
      </c>
      <c r="AB67" s="222">
        <f>AA67/Z67</f>
        <v>119.53846153846153</v>
      </c>
      <c r="AC67" s="220">
        <f>RANK(AB67, $AB$67:$AB$69)</f>
        <v>1</v>
      </c>
      <c r="AD67" s="437">
        <f>AVERAGE(AB67:AB81)</f>
        <v>109.56837606837605</v>
      </c>
      <c r="AE67" s="221">
        <v>13</v>
      </c>
      <c r="AF67" s="221">
        <v>1545</v>
      </c>
      <c r="AG67" s="222">
        <f>AF67/AE67</f>
        <v>118.84615384615384</v>
      </c>
      <c r="AH67" s="220">
        <f>RANK(AG67, $AG$67:$AG$69)</f>
        <v>2</v>
      </c>
      <c r="AI67" s="437">
        <f>AVERAGE(AG67:AG81)</f>
        <v>111.5042735042735</v>
      </c>
      <c r="AJ67" s="221">
        <v>13</v>
      </c>
      <c r="AK67" s="221">
        <v>1465</v>
      </c>
      <c r="AL67" s="222">
        <f>AK67/AJ67</f>
        <v>112.69230769230769</v>
      </c>
      <c r="AM67" s="220">
        <f>RANK(AL67, $AL$67:$AL$69)</f>
        <v>1</v>
      </c>
      <c r="AN67" s="437">
        <f>AVERAGE(AL67:AL81)</f>
        <v>110.03418803418803</v>
      </c>
      <c r="AO67" s="221">
        <v>13</v>
      </c>
      <c r="AP67" s="221">
        <v>1443</v>
      </c>
      <c r="AQ67" s="222">
        <f>AP67/AO67</f>
        <v>111</v>
      </c>
      <c r="AR67" s="220">
        <f>RANK(AQ67, $AQ$67:$AQ$69)</f>
        <v>3</v>
      </c>
      <c r="AS67" s="437">
        <f>AVERAGE(AQ67:AQ81)</f>
        <v>119.5</v>
      </c>
      <c r="AT67" s="221">
        <v>13</v>
      </c>
      <c r="AU67" s="221">
        <v>1540</v>
      </c>
      <c r="AV67" s="222">
        <f>AU67/AT67</f>
        <v>118.46153846153847</v>
      </c>
      <c r="AW67" s="220">
        <f>RANK(AV67, $AV$67:$AV$69)</f>
        <v>1</v>
      </c>
      <c r="AX67" s="437">
        <f>AVERAGE(AV67:AV81)</f>
        <v>115.76495726495727</v>
      </c>
    </row>
    <row r="68" spans="2:50">
      <c r="B68" s="438"/>
      <c r="C68" s="220">
        <v>2</v>
      </c>
      <c r="D68" s="220" t="s">
        <v>62</v>
      </c>
      <c r="E68" s="221">
        <f>VLOOKUP(D68,'11產線配置圖'!$A$2:$C$30,2,0)</f>
        <v>12</v>
      </c>
      <c r="F68" s="221">
        <f>VLOOKUP(D68,'11產線配置圖'!$A$2:$C$30,3,0)</f>
        <v>1565</v>
      </c>
      <c r="G68" s="222">
        <f>F68/E68</f>
        <v>130.41666666666666</v>
      </c>
      <c r="H68" s="440"/>
      <c r="I68" s="221">
        <f>AVERAGE(P68,U68,Z67,AE68,AJ68,AO68,AT68)</f>
        <v>12.285714285714286</v>
      </c>
      <c r="J68" s="221">
        <f t="shared" si="7"/>
        <v>1420.7142857142858</v>
      </c>
      <c r="K68" s="222">
        <f t="shared" si="7"/>
        <v>117.11813186813188</v>
      </c>
      <c r="L68" s="440"/>
      <c r="M68" s="221">
        <f>RANK(K68, K$67:$K$81)</f>
        <v>1</v>
      </c>
      <c r="N68" s="445"/>
      <c r="O68" s="445"/>
      <c r="P68" s="221">
        <v>12</v>
      </c>
      <c r="Q68" s="221">
        <v>1387</v>
      </c>
      <c r="R68" s="222">
        <f>Q68/P68</f>
        <v>115.58333333333333</v>
      </c>
      <c r="S68" s="220">
        <f>RANK(R68,$R$67:$R$81)</f>
        <v>3</v>
      </c>
      <c r="T68" s="437"/>
      <c r="U68" s="221">
        <v>12</v>
      </c>
      <c r="V68" s="221">
        <v>1368</v>
      </c>
      <c r="W68" s="222">
        <f>V68/U68</f>
        <v>114</v>
      </c>
      <c r="X68" s="220">
        <f>RANK(W68,$W$67:$W$81)</f>
        <v>1</v>
      </c>
      <c r="Y68" s="437"/>
      <c r="Z68" s="221">
        <v>12</v>
      </c>
      <c r="AA68" s="221">
        <v>1415</v>
      </c>
      <c r="AB68" s="222">
        <f>AA68/Z68</f>
        <v>117.91666666666667</v>
      </c>
      <c r="AC68" s="220">
        <f>RANK(AB68, $AB$67:$AB$69)</f>
        <v>2</v>
      </c>
      <c r="AD68" s="437"/>
      <c r="AE68" s="221">
        <v>12</v>
      </c>
      <c r="AF68" s="221">
        <v>1561</v>
      </c>
      <c r="AG68" s="222">
        <f>AF68/AE68</f>
        <v>130.08333333333334</v>
      </c>
      <c r="AH68" s="220">
        <f>RANK(AG68, $AG$67:$AG$69)</f>
        <v>1</v>
      </c>
      <c r="AI68" s="437"/>
      <c r="AJ68" s="221">
        <v>13</v>
      </c>
      <c r="AK68" s="221">
        <v>1392</v>
      </c>
      <c r="AL68" s="222">
        <f>AK68/AJ68</f>
        <v>107.07692307692308</v>
      </c>
      <c r="AM68" s="220">
        <f>RANK(AL68, $AL$67:$AL$69)</f>
        <v>3</v>
      </c>
      <c r="AN68" s="437"/>
      <c r="AO68" s="221">
        <v>12</v>
      </c>
      <c r="AP68" s="221">
        <v>1444</v>
      </c>
      <c r="AQ68" s="222">
        <f>AP68/AO68</f>
        <v>120.33333333333333</v>
      </c>
      <c r="AR68" s="220">
        <f>RANK(AQ68, $AQ$67:$AQ$69)</f>
        <v>2</v>
      </c>
      <c r="AS68" s="437"/>
      <c r="AT68" s="221">
        <v>12</v>
      </c>
      <c r="AU68" s="221">
        <v>1378</v>
      </c>
      <c r="AV68" s="222">
        <f>AU68/AT68</f>
        <v>114.83333333333333</v>
      </c>
      <c r="AW68" s="220">
        <f>RANK(AV68, $AV$67:$AV$69)</f>
        <v>2</v>
      </c>
      <c r="AX68" s="437"/>
    </row>
    <row r="69" spans="2:50">
      <c r="B69" s="438"/>
      <c r="C69" s="220">
        <v>3</v>
      </c>
      <c r="D69" s="220" t="s">
        <v>63</v>
      </c>
      <c r="E69" s="221">
        <f>VLOOKUP(D69,'11產線配置圖'!$A$2:$C$30,2,0)</f>
        <v>12</v>
      </c>
      <c r="F69" s="221">
        <f>VLOOKUP(D69,'11產線配置圖'!$A$2:$C$30,3,0)</f>
        <v>1565</v>
      </c>
      <c r="G69" s="222">
        <f>F69/E69</f>
        <v>130.41666666666666</v>
      </c>
      <c r="H69" s="440"/>
      <c r="I69" s="221">
        <f>AVERAGE(P69,U69,Z69,AE69,AJ69,AO69,AT69)</f>
        <v>12</v>
      </c>
      <c r="J69" s="221">
        <f t="shared" si="7"/>
        <v>1274.4285714285713</v>
      </c>
      <c r="K69" s="222">
        <f t="shared" si="7"/>
        <v>106.20238095238095</v>
      </c>
      <c r="L69" s="440"/>
      <c r="M69" s="221">
        <f>RANK(K69, K$67:$K$81)</f>
        <v>3</v>
      </c>
      <c r="N69" s="445"/>
      <c r="O69" s="445"/>
      <c r="P69" s="221">
        <v>12</v>
      </c>
      <c r="Q69" s="221">
        <v>1456</v>
      </c>
      <c r="R69" s="222">
        <f>Q69/P69</f>
        <v>121.33333333333333</v>
      </c>
      <c r="S69" s="220">
        <f>RANK(R69,$R$67:$R$81)</f>
        <v>1</v>
      </c>
      <c r="T69" s="437"/>
      <c r="U69" s="221">
        <v>12</v>
      </c>
      <c r="V69" s="221">
        <v>1125</v>
      </c>
      <c r="W69" s="222">
        <f>V69/U69</f>
        <v>93.75</v>
      </c>
      <c r="X69" s="220">
        <f>RANK(W69,$W$67:$W$81)</f>
        <v>3</v>
      </c>
      <c r="Y69" s="437"/>
      <c r="Z69" s="221">
        <v>12</v>
      </c>
      <c r="AA69" s="221">
        <v>1095</v>
      </c>
      <c r="AB69" s="222">
        <f>AA69/Z69</f>
        <v>91.25</v>
      </c>
      <c r="AC69" s="220">
        <f>RANK(AB69, $AB$67:$AB$69)</f>
        <v>3</v>
      </c>
      <c r="AD69" s="437"/>
      <c r="AE69" s="221">
        <v>12</v>
      </c>
      <c r="AF69" s="221">
        <v>1027</v>
      </c>
      <c r="AG69" s="222">
        <f>AF69/AE69</f>
        <v>85.583333333333329</v>
      </c>
      <c r="AH69" s="220">
        <f>RANK(AG69, $AG$67:$AG$69)</f>
        <v>3</v>
      </c>
      <c r="AI69" s="437"/>
      <c r="AJ69" s="221">
        <v>12</v>
      </c>
      <c r="AK69" s="221">
        <v>1324</v>
      </c>
      <c r="AL69" s="222">
        <f>AK69/AJ69</f>
        <v>110.33333333333333</v>
      </c>
      <c r="AM69" s="220">
        <f>RANK(AL69, $AL$67:$AL$69)</f>
        <v>2</v>
      </c>
      <c r="AN69" s="437"/>
      <c r="AO69" s="221">
        <v>12</v>
      </c>
      <c r="AP69" s="221">
        <v>1526</v>
      </c>
      <c r="AQ69" s="222">
        <f>AP69/AO69</f>
        <v>127.16666666666667</v>
      </c>
      <c r="AR69" s="220">
        <f>RANK(AQ69, $AQ$67:$AQ$69)</f>
        <v>1</v>
      </c>
      <c r="AS69" s="437"/>
      <c r="AT69" s="221">
        <v>12</v>
      </c>
      <c r="AU69" s="221">
        <v>1368</v>
      </c>
      <c r="AV69" s="222">
        <f>AU69/AT69</f>
        <v>114</v>
      </c>
      <c r="AW69" s="220">
        <f>RANK(AV69, $AV$67:$AV$69)</f>
        <v>3</v>
      </c>
      <c r="AX69" s="437"/>
    </row>
    <row r="70" spans="2:50">
      <c r="B70" s="438"/>
      <c r="C70" s="220">
        <v>4</v>
      </c>
      <c r="D70" s="220"/>
      <c r="E70" s="221"/>
      <c r="F70" s="221"/>
      <c r="G70" s="222"/>
      <c r="H70" s="440"/>
      <c r="I70" s="221"/>
      <c r="J70" s="221"/>
      <c r="K70" s="222"/>
      <c r="L70" s="440"/>
      <c r="M70" s="221"/>
      <c r="N70" s="445"/>
      <c r="O70" s="445"/>
      <c r="P70" s="221"/>
      <c r="Q70" s="221"/>
      <c r="R70" s="220"/>
      <c r="S70" s="220"/>
      <c r="T70" s="437"/>
      <c r="U70" s="221"/>
      <c r="V70" s="221"/>
      <c r="W70" s="220"/>
      <c r="X70" s="220"/>
      <c r="Y70" s="437"/>
      <c r="Z70" s="221"/>
      <c r="AA70" s="221"/>
      <c r="AB70" s="220"/>
      <c r="AC70" s="220"/>
      <c r="AD70" s="437"/>
      <c r="AE70" s="221"/>
      <c r="AF70" s="221"/>
      <c r="AG70" s="220"/>
      <c r="AH70" s="220"/>
      <c r="AI70" s="437"/>
      <c r="AJ70" s="221"/>
      <c r="AK70" s="221"/>
      <c r="AL70" s="220"/>
      <c r="AM70" s="220"/>
      <c r="AN70" s="437"/>
      <c r="AO70" s="221"/>
      <c r="AP70" s="221"/>
      <c r="AQ70" s="220"/>
      <c r="AR70" s="220"/>
      <c r="AS70" s="437"/>
      <c r="AT70" s="221"/>
      <c r="AU70" s="221"/>
      <c r="AV70" s="220"/>
      <c r="AW70" s="220"/>
      <c r="AX70" s="437"/>
    </row>
    <row r="71" spans="2:50">
      <c r="B71" s="438"/>
      <c r="C71" s="220">
        <v>5</v>
      </c>
      <c r="D71" s="220"/>
      <c r="E71" s="221"/>
      <c r="F71" s="221"/>
      <c r="G71" s="222"/>
      <c r="H71" s="440"/>
      <c r="I71" s="221"/>
      <c r="J71" s="221"/>
      <c r="K71" s="222"/>
      <c r="L71" s="440"/>
      <c r="M71" s="221"/>
      <c r="N71" s="445"/>
      <c r="O71" s="445"/>
      <c r="P71" s="221"/>
      <c r="Q71" s="221"/>
      <c r="R71" s="220"/>
      <c r="S71" s="220"/>
      <c r="T71" s="437"/>
      <c r="U71" s="221"/>
      <c r="V71" s="221"/>
      <c r="W71" s="220"/>
      <c r="X71" s="220"/>
      <c r="Y71" s="437"/>
      <c r="Z71" s="221"/>
      <c r="AA71" s="221"/>
      <c r="AB71" s="220"/>
      <c r="AC71" s="220"/>
      <c r="AD71" s="437"/>
      <c r="AE71" s="221"/>
      <c r="AF71" s="221"/>
      <c r="AG71" s="220"/>
      <c r="AH71" s="220"/>
      <c r="AI71" s="437"/>
      <c r="AJ71" s="221"/>
      <c r="AK71" s="221"/>
      <c r="AL71" s="220"/>
      <c r="AM71" s="220"/>
      <c r="AN71" s="437"/>
      <c r="AO71" s="221"/>
      <c r="AP71" s="221"/>
      <c r="AQ71" s="220"/>
      <c r="AR71" s="220"/>
      <c r="AS71" s="437"/>
      <c r="AT71" s="221"/>
      <c r="AU71" s="221"/>
      <c r="AV71" s="220"/>
      <c r="AW71" s="220"/>
      <c r="AX71" s="437"/>
    </row>
    <row r="72" spans="2:50">
      <c r="B72" s="438"/>
      <c r="C72" s="220">
        <v>6</v>
      </c>
      <c r="D72" s="220"/>
      <c r="E72" s="221"/>
      <c r="F72" s="221"/>
      <c r="G72" s="222"/>
      <c r="H72" s="440"/>
      <c r="I72" s="221"/>
      <c r="J72" s="221"/>
      <c r="K72" s="222"/>
      <c r="L72" s="440"/>
      <c r="M72" s="221"/>
      <c r="N72" s="445"/>
      <c r="O72" s="445"/>
      <c r="P72" s="221"/>
      <c r="Q72" s="221"/>
      <c r="R72" s="220"/>
      <c r="S72" s="220"/>
      <c r="T72" s="437"/>
      <c r="U72" s="221"/>
      <c r="V72" s="221"/>
      <c r="W72" s="220"/>
      <c r="X72" s="220"/>
      <c r="Y72" s="437"/>
      <c r="Z72" s="221"/>
      <c r="AA72" s="221"/>
      <c r="AB72" s="220"/>
      <c r="AC72" s="220"/>
      <c r="AD72" s="437"/>
      <c r="AE72" s="221"/>
      <c r="AF72" s="221"/>
      <c r="AG72" s="220"/>
      <c r="AH72" s="220"/>
      <c r="AI72" s="437"/>
      <c r="AJ72" s="221"/>
      <c r="AK72" s="221"/>
      <c r="AL72" s="220"/>
      <c r="AM72" s="220"/>
      <c r="AN72" s="437"/>
      <c r="AO72" s="221"/>
      <c r="AP72" s="221"/>
      <c r="AQ72" s="220"/>
      <c r="AR72" s="220"/>
      <c r="AS72" s="437"/>
      <c r="AT72" s="221"/>
      <c r="AU72" s="221"/>
      <c r="AV72" s="220"/>
      <c r="AW72" s="220"/>
      <c r="AX72" s="437"/>
    </row>
    <row r="73" spans="2:50">
      <c r="B73" s="438"/>
      <c r="C73" s="220">
        <v>7</v>
      </c>
      <c r="D73" s="220"/>
      <c r="E73" s="221"/>
      <c r="F73" s="221"/>
      <c r="G73" s="222"/>
      <c r="H73" s="440"/>
      <c r="I73" s="221"/>
      <c r="J73" s="221"/>
      <c r="K73" s="222"/>
      <c r="L73" s="440"/>
      <c r="M73" s="221"/>
      <c r="N73" s="445"/>
      <c r="O73" s="445"/>
      <c r="P73" s="221"/>
      <c r="Q73" s="221"/>
      <c r="R73" s="220"/>
      <c r="S73" s="220"/>
      <c r="T73" s="437"/>
      <c r="U73" s="221"/>
      <c r="V73" s="221"/>
      <c r="W73" s="220"/>
      <c r="X73" s="220"/>
      <c r="Y73" s="437"/>
      <c r="Z73" s="221"/>
      <c r="AA73" s="221"/>
      <c r="AB73" s="220"/>
      <c r="AC73" s="220"/>
      <c r="AD73" s="437"/>
      <c r="AE73" s="221"/>
      <c r="AF73" s="221"/>
      <c r="AG73" s="220"/>
      <c r="AH73" s="220"/>
      <c r="AI73" s="437"/>
      <c r="AJ73" s="221"/>
      <c r="AK73" s="221"/>
      <c r="AL73" s="220"/>
      <c r="AM73" s="220"/>
      <c r="AN73" s="437"/>
      <c r="AO73" s="221"/>
      <c r="AP73" s="221"/>
      <c r="AQ73" s="220"/>
      <c r="AR73" s="220"/>
      <c r="AS73" s="437"/>
      <c r="AT73" s="221"/>
      <c r="AU73" s="221"/>
      <c r="AV73" s="220"/>
      <c r="AW73" s="220"/>
      <c r="AX73" s="437"/>
    </row>
    <row r="74" spans="2:50">
      <c r="B74" s="438"/>
      <c r="C74" s="220">
        <v>8</v>
      </c>
      <c r="D74" s="220"/>
      <c r="E74" s="220"/>
      <c r="F74" s="220"/>
      <c r="G74" s="220"/>
      <c r="H74" s="440"/>
      <c r="I74" s="221"/>
      <c r="J74" s="221"/>
      <c r="K74" s="222"/>
      <c r="L74" s="440"/>
      <c r="M74" s="221"/>
      <c r="N74" s="445"/>
      <c r="O74" s="445"/>
      <c r="P74" s="221"/>
      <c r="Q74" s="221"/>
      <c r="R74" s="220"/>
      <c r="S74" s="220"/>
      <c r="T74" s="437"/>
      <c r="U74" s="221"/>
      <c r="V74" s="221"/>
      <c r="W74" s="220"/>
      <c r="X74" s="220"/>
      <c r="Y74" s="437"/>
      <c r="Z74" s="221"/>
      <c r="AA74" s="221"/>
      <c r="AB74" s="220"/>
      <c r="AC74" s="220"/>
      <c r="AD74" s="437"/>
      <c r="AE74" s="221"/>
      <c r="AF74" s="221"/>
      <c r="AG74" s="220"/>
      <c r="AH74" s="220"/>
      <c r="AI74" s="437"/>
      <c r="AJ74" s="221"/>
      <c r="AK74" s="221"/>
      <c r="AL74" s="220"/>
      <c r="AM74" s="220"/>
      <c r="AN74" s="437"/>
      <c r="AO74" s="221"/>
      <c r="AP74" s="221"/>
      <c r="AQ74" s="220"/>
      <c r="AR74" s="220"/>
      <c r="AS74" s="437"/>
      <c r="AT74" s="221"/>
      <c r="AU74" s="221"/>
      <c r="AV74" s="220"/>
      <c r="AW74" s="220"/>
      <c r="AX74" s="437"/>
    </row>
    <row r="75" spans="2:50">
      <c r="B75" s="438"/>
      <c r="C75" s="220">
        <v>9</v>
      </c>
      <c r="D75" s="220"/>
      <c r="E75" s="220"/>
      <c r="F75" s="220"/>
      <c r="G75" s="220"/>
      <c r="H75" s="440"/>
      <c r="I75" s="221"/>
      <c r="J75" s="221"/>
      <c r="K75" s="222"/>
      <c r="L75" s="440"/>
      <c r="M75" s="221"/>
      <c r="N75" s="445"/>
      <c r="O75" s="445"/>
      <c r="P75" s="221"/>
      <c r="Q75" s="221"/>
      <c r="R75" s="220"/>
      <c r="S75" s="220"/>
      <c r="T75" s="437"/>
      <c r="U75" s="221"/>
      <c r="V75" s="221"/>
      <c r="W75" s="220"/>
      <c r="X75" s="220"/>
      <c r="Y75" s="437"/>
      <c r="Z75" s="221"/>
      <c r="AA75" s="221"/>
      <c r="AB75" s="220"/>
      <c r="AC75" s="220"/>
      <c r="AD75" s="437"/>
      <c r="AE75" s="221"/>
      <c r="AF75" s="221"/>
      <c r="AG75" s="220"/>
      <c r="AH75" s="220"/>
      <c r="AI75" s="437"/>
      <c r="AJ75" s="221"/>
      <c r="AK75" s="221"/>
      <c r="AL75" s="220"/>
      <c r="AM75" s="220"/>
      <c r="AN75" s="437"/>
      <c r="AO75" s="221"/>
      <c r="AP75" s="221"/>
      <c r="AQ75" s="220"/>
      <c r="AR75" s="220"/>
      <c r="AS75" s="437"/>
      <c r="AT75" s="221"/>
      <c r="AU75" s="221"/>
      <c r="AV75" s="220"/>
      <c r="AW75" s="220"/>
      <c r="AX75" s="437"/>
    </row>
    <row r="76" spans="2:50">
      <c r="B76" s="438"/>
      <c r="C76" s="220">
        <v>10</v>
      </c>
      <c r="D76" s="220"/>
      <c r="E76" s="220"/>
      <c r="F76" s="220"/>
      <c r="G76" s="220"/>
      <c r="H76" s="440"/>
      <c r="I76" s="221"/>
      <c r="J76" s="221"/>
      <c r="K76" s="222"/>
      <c r="L76" s="440"/>
      <c r="M76" s="221"/>
      <c r="N76" s="445"/>
      <c r="O76" s="445"/>
      <c r="P76" s="221"/>
      <c r="Q76" s="221"/>
      <c r="R76" s="220"/>
      <c r="S76" s="220"/>
      <c r="T76" s="437"/>
      <c r="U76" s="221"/>
      <c r="V76" s="221"/>
      <c r="W76" s="220"/>
      <c r="X76" s="220"/>
      <c r="Y76" s="437"/>
      <c r="Z76" s="221"/>
      <c r="AA76" s="221"/>
      <c r="AB76" s="220"/>
      <c r="AC76" s="220"/>
      <c r="AD76" s="437"/>
      <c r="AE76" s="221"/>
      <c r="AF76" s="221"/>
      <c r="AG76" s="220"/>
      <c r="AH76" s="220"/>
      <c r="AI76" s="437"/>
      <c r="AJ76" s="221"/>
      <c r="AK76" s="221"/>
      <c r="AL76" s="220"/>
      <c r="AM76" s="220"/>
      <c r="AN76" s="437"/>
      <c r="AO76" s="221"/>
      <c r="AP76" s="221"/>
      <c r="AQ76" s="220"/>
      <c r="AR76" s="220"/>
      <c r="AS76" s="437"/>
      <c r="AT76" s="221"/>
      <c r="AU76" s="221"/>
      <c r="AV76" s="220"/>
      <c r="AW76" s="220"/>
      <c r="AX76" s="437"/>
    </row>
    <row r="77" spans="2:50">
      <c r="B77" s="438"/>
      <c r="C77" s="220">
        <v>11</v>
      </c>
      <c r="D77" s="220"/>
      <c r="E77" s="220"/>
      <c r="F77" s="220"/>
      <c r="G77" s="220"/>
      <c r="H77" s="440"/>
      <c r="I77" s="221"/>
      <c r="J77" s="221"/>
      <c r="K77" s="222"/>
      <c r="L77" s="440"/>
      <c r="M77" s="221"/>
      <c r="N77" s="445"/>
      <c r="O77" s="445"/>
      <c r="P77" s="220"/>
      <c r="Q77" s="220"/>
      <c r="R77" s="220"/>
      <c r="S77" s="220"/>
      <c r="T77" s="437"/>
      <c r="U77" s="220"/>
      <c r="V77" s="220"/>
      <c r="W77" s="220"/>
      <c r="X77" s="220"/>
      <c r="Y77" s="437"/>
      <c r="Z77" s="220"/>
      <c r="AA77" s="220"/>
      <c r="AB77" s="220"/>
      <c r="AC77" s="220"/>
      <c r="AD77" s="437"/>
      <c r="AE77" s="220"/>
      <c r="AF77" s="220"/>
      <c r="AG77" s="220"/>
      <c r="AH77" s="220"/>
      <c r="AI77" s="437"/>
      <c r="AJ77" s="220"/>
      <c r="AK77" s="220"/>
      <c r="AL77" s="220"/>
      <c r="AM77" s="220"/>
      <c r="AN77" s="437"/>
      <c r="AO77" s="220"/>
      <c r="AP77" s="220"/>
      <c r="AQ77" s="220"/>
      <c r="AR77" s="220"/>
      <c r="AS77" s="437"/>
      <c r="AT77" s="220"/>
      <c r="AU77" s="220"/>
      <c r="AV77" s="220"/>
      <c r="AW77" s="220"/>
      <c r="AX77" s="437"/>
    </row>
    <row r="78" spans="2:50">
      <c r="B78" s="438"/>
      <c r="C78" s="220">
        <v>12</v>
      </c>
      <c r="D78" s="220"/>
      <c r="E78" s="220"/>
      <c r="F78" s="220"/>
      <c r="G78" s="220"/>
      <c r="H78" s="440"/>
      <c r="I78" s="221"/>
      <c r="J78" s="221"/>
      <c r="K78" s="222"/>
      <c r="L78" s="440"/>
      <c r="M78" s="221"/>
      <c r="N78" s="445"/>
      <c r="O78" s="445"/>
      <c r="P78" s="220"/>
      <c r="Q78" s="220"/>
      <c r="R78" s="220"/>
      <c r="S78" s="220"/>
      <c r="T78" s="437"/>
      <c r="U78" s="220"/>
      <c r="V78" s="220"/>
      <c r="W78" s="220"/>
      <c r="X78" s="220"/>
      <c r="Y78" s="437"/>
      <c r="Z78" s="220"/>
      <c r="AA78" s="220"/>
      <c r="AB78" s="220"/>
      <c r="AC78" s="220"/>
      <c r="AD78" s="437"/>
      <c r="AE78" s="220"/>
      <c r="AF78" s="220"/>
      <c r="AG78" s="220"/>
      <c r="AH78" s="220"/>
      <c r="AI78" s="437"/>
      <c r="AJ78" s="220"/>
      <c r="AK78" s="220"/>
      <c r="AL78" s="220"/>
      <c r="AM78" s="220"/>
      <c r="AN78" s="437"/>
      <c r="AO78" s="220"/>
      <c r="AP78" s="220"/>
      <c r="AQ78" s="220"/>
      <c r="AR78" s="220"/>
      <c r="AS78" s="437"/>
      <c r="AT78" s="220"/>
      <c r="AU78" s="220"/>
      <c r="AV78" s="220"/>
      <c r="AW78" s="220"/>
      <c r="AX78" s="437"/>
    </row>
    <row r="79" spans="2:50">
      <c r="B79" s="438"/>
      <c r="C79" s="220">
        <v>13</v>
      </c>
      <c r="D79" s="220"/>
      <c r="E79" s="220"/>
      <c r="F79" s="220"/>
      <c r="G79" s="220"/>
      <c r="H79" s="440"/>
      <c r="I79" s="221"/>
      <c r="J79" s="221"/>
      <c r="K79" s="222"/>
      <c r="L79" s="440"/>
      <c r="M79" s="221"/>
      <c r="N79" s="445"/>
      <c r="O79" s="445"/>
      <c r="P79" s="220"/>
      <c r="Q79" s="220"/>
      <c r="R79" s="220"/>
      <c r="S79" s="220"/>
      <c r="T79" s="437"/>
      <c r="U79" s="220"/>
      <c r="V79" s="220"/>
      <c r="W79" s="220"/>
      <c r="X79" s="220"/>
      <c r="Y79" s="437"/>
      <c r="Z79" s="220"/>
      <c r="AA79" s="220"/>
      <c r="AB79" s="220"/>
      <c r="AC79" s="220"/>
      <c r="AD79" s="437"/>
      <c r="AE79" s="220"/>
      <c r="AF79" s="220"/>
      <c r="AG79" s="220"/>
      <c r="AH79" s="220"/>
      <c r="AI79" s="437"/>
      <c r="AJ79" s="220"/>
      <c r="AK79" s="220"/>
      <c r="AL79" s="220"/>
      <c r="AM79" s="220"/>
      <c r="AN79" s="437"/>
      <c r="AO79" s="220"/>
      <c r="AP79" s="220"/>
      <c r="AQ79" s="220"/>
      <c r="AR79" s="220"/>
      <c r="AS79" s="437"/>
      <c r="AT79" s="220"/>
      <c r="AU79" s="220"/>
      <c r="AV79" s="220"/>
      <c r="AW79" s="220"/>
      <c r="AX79" s="437"/>
    </row>
    <row r="80" spans="2:50">
      <c r="B80" s="438"/>
      <c r="C80" s="220">
        <v>14</v>
      </c>
      <c r="D80" s="220"/>
      <c r="E80" s="220"/>
      <c r="F80" s="220"/>
      <c r="G80" s="220"/>
      <c r="H80" s="440"/>
      <c r="I80" s="221"/>
      <c r="J80" s="221"/>
      <c r="K80" s="222"/>
      <c r="L80" s="440"/>
      <c r="M80" s="221"/>
      <c r="N80" s="445"/>
      <c r="O80" s="445"/>
      <c r="P80" s="220"/>
      <c r="Q80" s="220"/>
      <c r="R80" s="220"/>
      <c r="S80" s="220"/>
      <c r="T80" s="437"/>
      <c r="U80" s="220"/>
      <c r="V80" s="220"/>
      <c r="W80" s="220"/>
      <c r="X80" s="220"/>
      <c r="Y80" s="437"/>
      <c r="Z80" s="220"/>
      <c r="AA80" s="220"/>
      <c r="AB80" s="220"/>
      <c r="AC80" s="220"/>
      <c r="AD80" s="437"/>
      <c r="AE80" s="220"/>
      <c r="AF80" s="220"/>
      <c r="AG80" s="220"/>
      <c r="AH80" s="220"/>
      <c r="AI80" s="437"/>
      <c r="AJ80" s="220"/>
      <c r="AK80" s="220"/>
      <c r="AL80" s="220"/>
      <c r="AM80" s="220"/>
      <c r="AN80" s="437"/>
      <c r="AO80" s="220"/>
      <c r="AP80" s="220"/>
      <c r="AQ80" s="220"/>
      <c r="AR80" s="220"/>
      <c r="AS80" s="437"/>
      <c r="AT80" s="220"/>
      <c r="AU80" s="220"/>
      <c r="AV80" s="220"/>
      <c r="AW80" s="220"/>
      <c r="AX80" s="437"/>
    </row>
    <row r="81" spans="2:50">
      <c r="B81" s="438"/>
      <c r="C81" s="220">
        <v>15</v>
      </c>
      <c r="D81" s="220"/>
      <c r="E81" s="220"/>
      <c r="F81" s="220"/>
      <c r="G81" s="220"/>
      <c r="H81" s="441"/>
      <c r="I81" s="221"/>
      <c r="J81" s="221"/>
      <c r="K81" s="222"/>
      <c r="L81" s="441"/>
      <c r="M81" s="221"/>
      <c r="N81" s="445"/>
      <c r="O81" s="445"/>
      <c r="P81" s="220"/>
      <c r="Q81" s="220"/>
      <c r="R81" s="220"/>
      <c r="S81" s="220"/>
      <c r="T81" s="437"/>
      <c r="U81" s="220"/>
      <c r="V81" s="220"/>
      <c r="W81" s="220"/>
      <c r="X81" s="220"/>
      <c r="Y81" s="437"/>
      <c r="Z81" s="220"/>
      <c r="AA81" s="220"/>
      <c r="AB81" s="220"/>
      <c r="AC81" s="220"/>
      <c r="AD81" s="437"/>
      <c r="AE81" s="220"/>
      <c r="AF81" s="220"/>
      <c r="AG81" s="220"/>
      <c r="AH81" s="220"/>
      <c r="AI81" s="437"/>
      <c r="AJ81" s="220"/>
      <c r="AK81" s="220"/>
      <c r="AL81" s="220"/>
      <c r="AM81" s="220"/>
      <c r="AN81" s="437"/>
      <c r="AO81" s="220"/>
      <c r="AP81" s="220"/>
      <c r="AQ81" s="220"/>
      <c r="AR81" s="220"/>
      <c r="AS81" s="437"/>
      <c r="AT81" s="220"/>
      <c r="AU81" s="220"/>
      <c r="AV81" s="220"/>
      <c r="AW81" s="220"/>
      <c r="AX81" s="437"/>
    </row>
    <row r="82" spans="2:50" ht="15.5">
      <c r="B82" s="459" t="s">
        <v>44</v>
      </c>
      <c r="C82" s="455"/>
      <c r="D82" s="455"/>
      <c r="E82" s="455"/>
      <c r="F82" s="455"/>
      <c r="G82" s="455"/>
      <c r="H82" s="455"/>
      <c r="I82" s="225"/>
      <c r="J82" s="225"/>
      <c r="K82" s="225"/>
      <c r="L82" s="225"/>
      <c r="M82" s="226"/>
      <c r="N82" s="450" t="s">
        <v>45</v>
      </c>
      <c r="O82" s="450" t="s">
        <v>3</v>
      </c>
      <c r="P82" s="453">
        <v>46014</v>
      </c>
      <c r="Q82" s="438"/>
      <c r="R82" s="438"/>
      <c r="S82" s="438"/>
      <c r="T82" s="438"/>
      <c r="U82" s="453">
        <v>46015</v>
      </c>
      <c r="V82" s="438"/>
      <c r="W82" s="438"/>
      <c r="X82" s="438"/>
      <c r="Y82" s="438"/>
      <c r="Z82" s="453">
        <v>46016</v>
      </c>
      <c r="AA82" s="438"/>
      <c r="AB82" s="438"/>
      <c r="AC82" s="438"/>
      <c r="AD82" s="438"/>
      <c r="AE82" s="453">
        <v>46017</v>
      </c>
      <c r="AF82" s="438"/>
      <c r="AG82" s="438"/>
      <c r="AH82" s="438"/>
      <c r="AI82" s="438"/>
      <c r="AJ82" s="453">
        <v>46018</v>
      </c>
      <c r="AK82" s="438"/>
      <c r="AL82" s="438"/>
      <c r="AM82" s="438"/>
      <c r="AN82" s="438"/>
      <c r="AO82" s="453">
        <v>46019</v>
      </c>
      <c r="AP82" s="438"/>
      <c r="AQ82" s="438"/>
      <c r="AR82" s="438"/>
      <c r="AS82" s="438"/>
      <c r="AT82" s="453">
        <v>46020</v>
      </c>
      <c r="AU82" s="438"/>
      <c r="AV82" s="438"/>
      <c r="AW82" s="438"/>
      <c r="AX82" s="438"/>
    </row>
    <row r="83" spans="2:50" ht="15.5">
      <c r="B83" s="456"/>
      <c r="C83" s="456"/>
      <c r="D83" s="456"/>
      <c r="E83" s="456"/>
      <c r="F83" s="456"/>
      <c r="G83" s="456"/>
      <c r="H83" s="456"/>
      <c r="I83" s="216"/>
      <c r="J83" s="216"/>
      <c r="K83" s="216"/>
      <c r="L83" s="216"/>
      <c r="M83" s="217"/>
      <c r="N83" s="452"/>
      <c r="O83" s="452"/>
      <c r="P83" s="453" t="s">
        <v>15</v>
      </c>
      <c r="Q83" s="438"/>
      <c r="R83" s="438"/>
      <c r="S83" s="438"/>
      <c r="T83" s="438"/>
      <c r="U83" s="453" t="s">
        <v>16</v>
      </c>
      <c r="V83" s="438"/>
      <c r="W83" s="438"/>
      <c r="X83" s="438"/>
      <c r="Y83" s="438"/>
      <c r="Z83" s="453" t="s">
        <v>17</v>
      </c>
      <c r="AA83" s="438"/>
      <c r="AB83" s="438"/>
      <c r="AC83" s="438"/>
      <c r="AD83" s="438"/>
      <c r="AE83" s="453" t="s">
        <v>18</v>
      </c>
      <c r="AF83" s="438"/>
      <c r="AG83" s="438"/>
      <c r="AH83" s="438"/>
      <c r="AI83" s="438"/>
      <c r="AJ83" s="453" t="s">
        <v>19</v>
      </c>
      <c r="AK83" s="438"/>
      <c r="AL83" s="438"/>
      <c r="AM83" s="438"/>
      <c r="AN83" s="438"/>
      <c r="AO83" s="453" t="s">
        <v>10</v>
      </c>
      <c r="AP83" s="438"/>
      <c r="AQ83" s="438"/>
      <c r="AR83" s="438"/>
      <c r="AS83" s="438"/>
      <c r="AT83" s="453" t="s">
        <v>14</v>
      </c>
      <c r="AU83" s="438"/>
      <c r="AV83" s="438"/>
      <c r="AW83" s="438"/>
      <c r="AX83" s="438"/>
    </row>
    <row r="84" spans="2:50">
      <c r="B84" s="445" t="s">
        <v>46</v>
      </c>
      <c r="C84" s="445" t="s">
        <v>47</v>
      </c>
      <c r="D84" s="445"/>
      <c r="E84" s="445" t="s">
        <v>48</v>
      </c>
      <c r="F84" s="445"/>
      <c r="G84" s="445"/>
      <c r="H84" s="447" t="s">
        <v>49</v>
      </c>
      <c r="I84" s="445" t="s">
        <v>50</v>
      </c>
      <c r="J84" s="445"/>
      <c r="K84" s="445"/>
      <c r="L84" s="447" t="s">
        <v>49</v>
      </c>
      <c r="M84" s="450" t="s">
        <v>51</v>
      </c>
      <c r="N84" s="445"/>
      <c r="O84" s="445" t="s">
        <v>52</v>
      </c>
      <c r="P84" s="442" t="s">
        <v>53</v>
      </c>
      <c r="Q84" s="443"/>
      <c r="R84" s="443"/>
      <c r="S84" s="444"/>
      <c r="T84" s="445" t="s">
        <v>49</v>
      </c>
      <c r="U84" s="442" t="s">
        <v>53</v>
      </c>
      <c r="V84" s="443"/>
      <c r="W84" s="443"/>
      <c r="X84" s="444"/>
      <c r="Y84" s="445" t="s">
        <v>49</v>
      </c>
      <c r="Z84" s="442" t="s">
        <v>53</v>
      </c>
      <c r="AA84" s="443"/>
      <c r="AB84" s="443"/>
      <c r="AC84" s="444"/>
      <c r="AD84" s="445" t="s">
        <v>49</v>
      </c>
      <c r="AE84" s="442" t="s">
        <v>53</v>
      </c>
      <c r="AF84" s="443"/>
      <c r="AG84" s="443"/>
      <c r="AH84" s="444"/>
      <c r="AI84" s="445" t="s">
        <v>49</v>
      </c>
      <c r="AJ84" s="442" t="s">
        <v>53</v>
      </c>
      <c r="AK84" s="443"/>
      <c r="AL84" s="443"/>
      <c r="AM84" s="444"/>
      <c r="AN84" s="445" t="s">
        <v>49</v>
      </c>
      <c r="AO84" s="442" t="s">
        <v>53</v>
      </c>
      <c r="AP84" s="443"/>
      <c r="AQ84" s="443"/>
      <c r="AR84" s="444"/>
      <c r="AS84" s="445" t="s">
        <v>49</v>
      </c>
      <c r="AT84" s="442" t="s">
        <v>53</v>
      </c>
      <c r="AU84" s="443"/>
      <c r="AV84" s="443"/>
      <c r="AW84" s="444"/>
      <c r="AX84" s="445" t="s">
        <v>49</v>
      </c>
    </row>
    <row r="85" spans="2:50">
      <c r="B85" s="445"/>
      <c r="C85" s="445"/>
      <c r="D85" s="445"/>
      <c r="E85" s="445" t="s">
        <v>54</v>
      </c>
      <c r="F85" s="445"/>
      <c r="G85" s="445"/>
      <c r="H85" s="448"/>
      <c r="I85" s="445" t="s">
        <v>54</v>
      </c>
      <c r="J85" s="445"/>
      <c r="K85" s="445"/>
      <c r="L85" s="448"/>
      <c r="M85" s="451"/>
      <c r="N85" s="445"/>
      <c r="O85" s="445"/>
      <c r="P85" s="442" t="s">
        <v>55</v>
      </c>
      <c r="Q85" s="443"/>
      <c r="R85" s="443"/>
      <c r="S85" s="444"/>
      <c r="T85" s="445"/>
      <c r="U85" s="442" t="s">
        <v>55</v>
      </c>
      <c r="V85" s="443"/>
      <c r="W85" s="443"/>
      <c r="X85" s="444"/>
      <c r="Y85" s="445"/>
      <c r="Z85" s="442" t="s">
        <v>55</v>
      </c>
      <c r="AA85" s="443"/>
      <c r="AB85" s="443"/>
      <c r="AC85" s="444"/>
      <c r="AD85" s="445"/>
      <c r="AE85" s="442" t="s">
        <v>55</v>
      </c>
      <c r="AF85" s="443"/>
      <c r="AG85" s="443"/>
      <c r="AH85" s="444"/>
      <c r="AI85" s="445"/>
      <c r="AJ85" s="442" t="s">
        <v>55</v>
      </c>
      <c r="AK85" s="443"/>
      <c r="AL85" s="443"/>
      <c r="AM85" s="444"/>
      <c r="AN85" s="445"/>
      <c r="AO85" s="442" t="s">
        <v>55</v>
      </c>
      <c r="AP85" s="443"/>
      <c r="AQ85" s="443"/>
      <c r="AR85" s="444"/>
      <c r="AS85" s="445"/>
      <c r="AT85" s="442" t="s">
        <v>55</v>
      </c>
      <c r="AU85" s="443"/>
      <c r="AV85" s="443"/>
      <c r="AW85" s="444"/>
      <c r="AX85" s="445"/>
    </row>
    <row r="86" spans="2:50">
      <c r="B86" s="445"/>
      <c r="C86" s="445"/>
      <c r="D86" s="445"/>
      <c r="E86" s="219" t="s">
        <v>56</v>
      </c>
      <c r="F86" s="219" t="s">
        <v>57</v>
      </c>
      <c r="G86" s="219" t="s">
        <v>58</v>
      </c>
      <c r="H86" s="449"/>
      <c r="I86" s="219" t="s">
        <v>56</v>
      </c>
      <c r="J86" s="219" t="s">
        <v>57</v>
      </c>
      <c r="K86" s="219" t="s">
        <v>58</v>
      </c>
      <c r="L86" s="449"/>
      <c r="M86" s="452"/>
      <c r="N86" s="445"/>
      <c r="O86" s="445"/>
      <c r="P86" s="219" t="s">
        <v>56</v>
      </c>
      <c r="Q86" s="219" t="s">
        <v>57</v>
      </c>
      <c r="R86" s="219" t="s">
        <v>58</v>
      </c>
      <c r="S86" s="219" t="s">
        <v>51</v>
      </c>
      <c r="T86" s="445"/>
      <c r="U86" s="219" t="s">
        <v>56</v>
      </c>
      <c r="V86" s="219" t="s">
        <v>57</v>
      </c>
      <c r="W86" s="219" t="s">
        <v>58</v>
      </c>
      <c r="X86" s="219" t="s">
        <v>51</v>
      </c>
      <c r="Y86" s="445"/>
      <c r="Z86" s="219" t="s">
        <v>56</v>
      </c>
      <c r="AA86" s="219" t="s">
        <v>57</v>
      </c>
      <c r="AB86" s="219" t="s">
        <v>58</v>
      </c>
      <c r="AC86" s="219" t="s">
        <v>51</v>
      </c>
      <c r="AD86" s="445"/>
      <c r="AE86" s="219" t="s">
        <v>56</v>
      </c>
      <c r="AF86" s="219" t="s">
        <v>57</v>
      </c>
      <c r="AG86" s="219" t="s">
        <v>58</v>
      </c>
      <c r="AH86" s="219" t="s">
        <v>51</v>
      </c>
      <c r="AI86" s="445"/>
      <c r="AJ86" s="219" t="s">
        <v>56</v>
      </c>
      <c r="AK86" s="219" t="s">
        <v>57</v>
      </c>
      <c r="AL86" s="219" t="s">
        <v>58</v>
      </c>
      <c r="AM86" s="219" t="s">
        <v>51</v>
      </c>
      <c r="AN86" s="445"/>
      <c r="AO86" s="219" t="s">
        <v>56</v>
      </c>
      <c r="AP86" s="219" t="s">
        <v>57</v>
      </c>
      <c r="AQ86" s="219" t="s">
        <v>58</v>
      </c>
      <c r="AR86" s="219" t="s">
        <v>51</v>
      </c>
      <c r="AS86" s="445"/>
      <c r="AT86" s="219" t="s">
        <v>56</v>
      </c>
      <c r="AU86" s="219" t="s">
        <v>57</v>
      </c>
      <c r="AV86" s="219" t="s">
        <v>58</v>
      </c>
      <c r="AW86" s="219" t="s">
        <v>51</v>
      </c>
      <c r="AX86" s="445"/>
    </row>
    <row r="87" spans="2:50">
      <c r="B87" s="445" t="s">
        <v>35</v>
      </c>
      <c r="C87" s="220">
        <v>1</v>
      </c>
      <c r="D87" s="220" t="s">
        <v>61</v>
      </c>
      <c r="E87" s="221">
        <f>VLOOKUP(D87,'11產線配置圖'!$A$2:$C$30,2,0)</f>
        <v>13</v>
      </c>
      <c r="F87" s="221">
        <f>VLOOKUP(D87,'11產線配置圖'!$A$2:$C$30,3,0)</f>
        <v>1565</v>
      </c>
      <c r="G87" s="222">
        <f>F87/E87</f>
        <v>120.38461538461539</v>
      </c>
      <c r="H87" s="439">
        <f>AVERAGE(G87:G101)</f>
        <v>127.07264957264958</v>
      </c>
      <c r="I87" s="221">
        <f>AVERAGE(P87,U87,Z87,AE87,AJ87,AO87,AT87)</f>
        <v>12.571428571428571</v>
      </c>
      <c r="J87" s="221">
        <f>AVERAGE(Q87,V87,AA87,AF87,AK87,AP87,AU87)</f>
        <v>1501.8571428571429</v>
      </c>
      <c r="K87" s="222">
        <f>AVERAGE(R87,W87,AB87,AG87,AL87,AQ87,AV87)</f>
        <v>119.71162171162169</v>
      </c>
      <c r="L87" s="439">
        <f>IFERROR(AVERAGE(K87:K101),"-")</f>
        <v>111.599111999112</v>
      </c>
      <c r="M87" s="221">
        <f>RANK(K87, K$87:$K$101)</f>
        <v>1</v>
      </c>
      <c r="N87" s="445"/>
      <c r="O87" s="445"/>
      <c r="P87" s="221">
        <v>13</v>
      </c>
      <c r="Q87" s="221">
        <v>1563</v>
      </c>
      <c r="R87" s="222">
        <f>Q87/P87</f>
        <v>120.23076923076923</v>
      </c>
      <c r="S87" s="220">
        <f>RANK(R87,$R$87:$R$101)</f>
        <v>1</v>
      </c>
      <c r="T87" s="437">
        <f>AVERAGE(R87:R101)</f>
        <v>107.88247863247864</v>
      </c>
      <c r="U87" s="221">
        <v>13</v>
      </c>
      <c r="V87" s="221">
        <v>1543</v>
      </c>
      <c r="W87" s="222">
        <f>V87/U87</f>
        <v>118.69230769230769</v>
      </c>
      <c r="X87" s="220">
        <f>RANK(W87,$W$87:$W$90)</f>
        <v>2</v>
      </c>
      <c r="Y87" s="437">
        <f>AVERAGE(W87:W101)</f>
        <v>117.53632478632478</v>
      </c>
      <c r="Z87" s="221">
        <v>13</v>
      </c>
      <c r="AA87" s="221">
        <v>1495</v>
      </c>
      <c r="AB87" s="222">
        <f>AA87/Z87</f>
        <v>115</v>
      </c>
      <c r="AC87" s="220">
        <f>RANK(AB87,$AB$87:$AB$101)</f>
        <v>1</v>
      </c>
      <c r="AD87" s="437">
        <f>AVERAGE(AB87:AB101)</f>
        <v>109.52777777777777</v>
      </c>
      <c r="AE87" s="221">
        <v>11</v>
      </c>
      <c r="AF87" s="221">
        <v>1447</v>
      </c>
      <c r="AG87" s="222">
        <f>AF87/AE87</f>
        <v>131.54545454545453</v>
      </c>
      <c r="AH87" s="220">
        <f>RANK(AG87,$AG$87:$AG$101)</f>
        <v>2</v>
      </c>
      <c r="AI87" s="437">
        <f>AVERAGE(AG87:AG101)</f>
        <v>127.04848484848485</v>
      </c>
      <c r="AJ87" s="221">
        <v>13</v>
      </c>
      <c r="AK87" s="221">
        <v>1501</v>
      </c>
      <c r="AL87" s="222">
        <f>AK87/AJ87</f>
        <v>115.46153846153847</v>
      </c>
      <c r="AM87" s="220">
        <f>RANK(AL87,$AL$87:$AL$90)</f>
        <v>1</v>
      </c>
      <c r="AN87" s="437">
        <f>AVERAGE(AL87:AL101)</f>
        <v>98.487179487179489</v>
      </c>
      <c r="AO87" s="221">
        <v>12</v>
      </c>
      <c r="AP87" s="221">
        <v>1412</v>
      </c>
      <c r="AQ87" s="222">
        <f>AP87/AO87</f>
        <v>117.66666666666667</v>
      </c>
      <c r="AR87" s="220">
        <f>RANK(AQ87,$AQ$87:$AQ$101)</f>
        <v>2</v>
      </c>
      <c r="AS87" s="437">
        <f>AVERAGE(AQ87:AQ101)</f>
        <v>115.69444444444446</v>
      </c>
      <c r="AT87" s="220">
        <v>13</v>
      </c>
      <c r="AU87" s="220">
        <v>1552</v>
      </c>
      <c r="AV87" s="222">
        <f>AU87/AT87</f>
        <v>119.38461538461539</v>
      </c>
      <c r="AW87" s="220">
        <f>RANK(AV87,$AV$87:$AV$101)</f>
        <v>1</v>
      </c>
      <c r="AX87" s="437">
        <f>AVERAGE(AV87:AV101)</f>
        <v>105.01709401709401</v>
      </c>
    </row>
    <row r="88" spans="2:50">
      <c r="B88" s="438"/>
      <c r="C88" s="220">
        <v>2</v>
      </c>
      <c r="D88" s="220" t="s">
        <v>62</v>
      </c>
      <c r="E88" s="221">
        <f>VLOOKUP(D88,'11產線配置圖'!$A$2:$C$30,2,0)</f>
        <v>12</v>
      </c>
      <c r="F88" s="221">
        <f>VLOOKUP(D88,'11產線配置圖'!$A$2:$C$30,3,0)</f>
        <v>1565</v>
      </c>
      <c r="G88" s="222">
        <f>F88/E88</f>
        <v>130.41666666666666</v>
      </c>
      <c r="H88" s="440"/>
      <c r="I88" s="221">
        <f t="shared" ref="I88:K89" si="8">AVERAGE(P88,U88,Z88,AE88,AJ88,AO88,AT88)</f>
        <v>11.714285714285714</v>
      </c>
      <c r="J88" s="221">
        <f t="shared" si="8"/>
        <v>1282</v>
      </c>
      <c r="K88" s="222">
        <f t="shared" si="8"/>
        <v>110.21190476190476</v>
      </c>
      <c r="L88" s="440"/>
      <c r="M88" s="221">
        <f>RANK(K88, K$87:$K$101)</f>
        <v>2</v>
      </c>
      <c r="N88" s="445"/>
      <c r="O88" s="445"/>
      <c r="P88" s="221">
        <v>12</v>
      </c>
      <c r="Q88" s="221">
        <v>1350</v>
      </c>
      <c r="R88" s="222">
        <f>Q88/P88</f>
        <v>112.5</v>
      </c>
      <c r="S88" s="220">
        <f>RANK(R88,$R$87:$R$101)</f>
        <v>2</v>
      </c>
      <c r="T88" s="437"/>
      <c r="U88" s="221">
        <v>12</v>
      </c>
      <c r="V88" s="221">
        <v>1259</v>
      </c>
      <c r="W88" s="222">
        <f>V88/U88</f>
        <v>104.91666666666667</v>
      </c>
      <c r="X88" s="220">
        <f>RANK(W88,$W$87:$W$90)</f>
        <v>3</v>
      </c>
      <c r="Y88" s="437"/>
      <c r="Z88" s="221">
        <v>12</v>
      </c>
      <c r="AA88" s="221">
        <v>1219</v>
      </c>
      <c r="AB88" s="222">
        <f>AA88/Z88</f>
        <v>101.58333333333333</v>
      </c>
      <c r="AC88" s="220">
        <f>RANK(AB88,$AB$87:$AB$101)</f>
        <v>3</v>
      </c>
      <c r="AD88" s="437"/>
      <c r="AE88" s="221">
        <v>10</v>
      </c>
      <c r="AF88" s="221">
        <v>1419</v>
      </c>
      <c r="AG88" s="222">
        <f>AF88/AE88</f>
        <v>141.9</v>
      </c>
      <c r="AH88" s="220">
        <f>RANK(AG88,$AG$87:$AG$101)</f>
        <v>1</v>
      </c>
      <c r="AI88" s="437"/>
      <c r="AJ88" s="221">
        <v>12</v>
      </c>
      <c r="AK88" s="221">
        <v>1132</v>
      </c>
      <c r="AL88" s="222">
        <f>AK88/AJ88</f>
        <v>94.333333333333329</v>
      </c>
      <c r="AM88" s="220">
        <f>RANK(AL88,$AL$87:$AL$90)</f>
        <v>2</v>
      </c>
      <c r="AN88" s="437"/>
      <c r="AO88" s="221">
        <v>12</v>
      </c>
      <c r="AP88" s="221">
        <v>1316</v>
      </c>
      <c r="AQ88" s="222">
        <f>AP88/AO88</f>
        <v>109.66666666666667</v>
      </c>
      <c r="AR88" s="220">
        <f>RANK(AQ88,$AQ$87:$AQ$101)</f>
        <v>3</v>
      </c>
      <c r="AS88" s="437"/>
      <c r="AT88" s="220">
        <v>12</v>
      </c>
      <c r="AU88" s="220">
        <v>1279</v>
      </c>
      <c r="AV88" s="222">
        <f>AU88/AT88</f>
        <v>106.58333333333333</v>
      </c>
      <c r="AW88" s="220">
        <f>RANK(AV88,$AV$87:$AV$101)</f>
        <v>2</v>
      </c>
      <c r="AX88" s="437"/>
    </row>
    <row r="89" spans="2:50">
      <c r="B89" s="438"/>
      <c r="C89" s="220">
        <v>3</v>
      </c>
      <c r="D89" s="220" t="s">
        <v>63</v>
      </c>
      <c r="E89" s="221">
        <f>VLOOKUP(D89,'11產線配置圖'!$A$2:$C$30,2,0)</f>
        <v>12</v>
      </c>
      <c r="F89" s="221">
        <f>VLOOKUP(D89,'11產線配置圖'!$A$2:$C$30,3,0)</f>
        <v>1565</v>
      </c>
      <c r="G89" s="222">
        <f>F89/E89</f>
        <v>130.41666666666666</v>
      </c>
      <c r="H89" s="440"/>
      <c r="I89" s="221">
        <f t="shared" si="8"/>
        <v>11.714285714285714</v>
      </c>
      <c r="J89" s="221">
        <f t="shared" si="8"/>
        <v>1227.7142857142858</v>
      </c>
      <c r="K89" s="222">
        <f t="shared" si="8"/>
        <v>104.87380952380953</v>
      </c>
      <c r="L89" s="440"/>
      <c r="M89" s="221">
        <f>RANK(K89, K$87:$K$101)</f>
        <v>3</v>
      </c>
      <c r="N89" s="445"/>
      <c r="O89" s="445"/>
      <c r="P89" s="221">
        <v>12</v>
      </c>
      <c r="Q89" s="221">
        <v>1091</v>
      </c>
      <c r="R89" s="222">
        <f>Q89/P89</f>
        <v>90.916666666666671</v>
      </c>
      <c r="S89" s="220">
        <f>RANK(R89,$R$87:$R$101)</f>
        <v>3</v>
      </c>
      <c r="T89" s="437"/>
      <c r="U89" s="221">
        <v>12</v>
      </c>
      <c r="V89" s="221">
        <v>1548</v>
      </c>
      <c r="W89" s="222">
        <f>V89/U89</f>
        <v>129</v>
      </c>
      <c r="X89" s="220">
        <f>RANK(W89,$W$87:$W$90)</f>
        <v>1</v>
      </c>
      <c r="Y89" s="437"/>
      <c r="Z89" s="221">
        <v>12</v>
      </c>
      <c r="AA89" s="221">
        <v>1344</v>
      </c>
      <c r="AB89" s="222">
        <f>AA89/Z89</f>
        <v>112</v>
      </c>
      <c r="AC89" s="220">
        <f>RANK(AB89,$AB$87:$AB$101)</f>
        <v>2</v>
      </c>
      <c r="AD89" s="437"/>
      <c r="AE89" s="221">
        <v>10</v>
      </c>
      <c r="AF89" s="221">
        <v>1077</v>
      </c>
      <c r="AG89" s="222">
        <f>AF89/AE89</f>
        <v>107.7</v>
      </c>
      <c r="AH89" s="220">
        <f>RANK(AG89,$AG$87:$AG$101)</f>
        <v>3</v>
      </c>
      <c r="AI89" s="437"/>
      <c r="AJ89" s="221">
        <v>12</v>
      </c>
      <c r="AK89" s="221">
        <v>1028</v>
      </c>
      <c r="AL89" s="222">
        <f>AK89/AJ89</f>
        <v>85.666666666666671</v>
      </c>
      <c r="AM89" s="220">
        <f>RANK(AL89,$AL$87:$AL$90)</f>
        <v>3</v>
      </c>
      <c r="AN89" s="437"/>
      <c r="AO89" s="221">
        <v>12</v>
      </c>
      <c r="AP89" s="221">
        <v>1437</v>
      </c>
      <c r="AQ89" s="222">
        <f>AP89/AO89</f>
        <v>119.75</v>
      </c>
      <c r="AR89" s="220">
        <f>RANK(AQ89,$AQ$87:$AQ$101)</f>
        <v>1</v>
      </c>
      <c r="AS89" s="437"/>
      <c r="AT89" s="220">
        <v>12</v>
      </c>
      <c r="AU89" s="220">
        <v>1069</v>
      </c>
      <c r="AV89" s="222">
        <f>AU89/AT89</f>
        <v>89.083333333333329</v>
      </c>
      <c r="AW89" s="220">
        <f>RANK(AV89,$AV$87:$AV$101)</f>
        <v>3</v>
      </c>
      <c r="AX89" s="437"/>
    </row>
    <row r="90" spans="2:50">
      <c r="B90" s="438"/>
      <c r="C90" s="220">
        <v>4</v>
      </c>
      <c r="D90" s="220"/>
      <c r="E90" s="221"/>
      <c r="F90" s="221"/>
      <c r="G90" s="222"/>
      <c r="H90" s="440"/>
      <c r="I90" s="221"/>
      <c r="J90" s="221"/>
      <c r="K90" s="222"/>
      <c r="L90" s="440"/>
      <c r="M90" s="221"/>
      <c r="N90" s="445"/>
      <c r="O90" s="445"/>
      <c r="P90" s="221"/>
      <c r="Q90" s="221"/>
      <c r="R90" s="222"/>
      <c r="S90" s="220"/>
      <c r="T90" s="437"/>
      <c r="U90" s="221"/>
      <c r="V90" s="221"/>
      <c r="W90" s="222"/>
      <c r="X90" s="220"/>
      <c r="Y90" s="437"/>
      <c r="Z90" s="221"/>
      <c r="AA90" s="221"/>
      <c r="AB90" s="222"/>
      <c r="AC90" s="220"/>
      <c r="AD90" s="437"/>
      <c r="AE90" s="221"/>
      <c r="AF90" s="221"/>
      <c r="AG90" s="222"/>
      <c r="AH90" s="220"/>
      <c r="AI90" s="437"/>
      <c r="AJ90" s="221"/>
      <c r="AK90" s="221"/>
      <c r="AL90" s="222"/>
      <c r="AM90" s="220"/>
      <c r="AN90" s="437"/>
      <c r="AO90" s="220"/>
      <c r="AP90" s="220"/>
      <c r="AQ90" s="220"/>
      <c r="AR90" s="220"/>
      <c r="AS90" s="437"/>
      <c r="AT90" s="220"/>
      <c r="AU90" s="220"/>
      <c r="AV90" s="220"/>
      <c r="AW90" s="220"/>
      <c r="AX90" s="437"/>
    </row>
    <row r="91" spans="2:50">
      <c r="B91" s="438"/>
      <c r="C91" s="220">
        <v>5</v>
      </c>
      <c r="D91" s="220"/>
      <c r="E91" s="221"/>
      <c r="F91" s="221"/>
      <c r="G91" s="222"/>
      <c r="H91" s="440"/>
      <c r="I91" s="221"/>
      <c r="J91" s="221"/>
      <c r="K91" s="222"/>
      <c r="L91" s="440"/>
      <c r="M91" s="221"/>
      <c r="N91" s="445"/>
      <c r="O91" s="445"/>
      <c r="P91" s="221"/>
      <c r="Q91" s="221"/>
      <c r="R91" s="220"/>
      <c r="S91" s="220"/>
      <c r="T91" s="437"/>
      <c r="U91" s="221"/>
      <c r="V91" s="221"/>
      <c r="W91" s="220"/>
      <c r="X91" s="220"/>
      <c r="Y91" s="437"/>
      <c r="Z91" s="221"/>
      <c r="AA91" s="221"/>
      <c r="AB91" s="220"/>
      <c r="AC91" s="220"/>
      <c r="AD91" s="437"/>
      <c r="AE91" s="221"/>
      <c r="AF91" s="221"/>
      <c r="AG91" s="220"/>
      <c r="AH91" s="220"/>
      <c r="AI91" s="437"/>
      <c r="AJ91" s="221"/>
      <c r="AK91" s="221"/>
      <c r="AL91" s="220"/>
      <c r="AM91" s="220"/>
      <c r="AN91" s="437"/>
      <c r="AO91" s="220"/>
      <c r="AP91" s="220"/>
      <c r="AQ91" s="220"/>
      <c r="AR91" s="220"/>
      <c r="AS91" s="437"/>
      <c r="AT91" s="220"/>
      <c r="AU91" s="220"/>
      <c r="AV91" s="220"/>
      <c r="AW91" s="220"/>
      <c r="AX91" s="437"/>
    </row>
    <row r="92" spans="2:50">
      <c r="B92" s="438"/>
      <c r="C92" s="220">
        <v>6</v>
      </c>
      <c r="D92" s="220"/>
      <c r="E92" s="221"/>
      <c r="F92" s="221"/>
      <c r="G92" s="222"/>
      <c r="H92" s="440"/>
      <c r="I92" s="221"/>
      <c r="J92" s="221"/>
      <c r="K92" s="222"/>
      <c r="L92" s="440"/>
      <c r="M92" s="221"/>
      <c r="N92" s="445"/>
      <c r="O92" s="445"/>
      <c r="P92" s="220"/>
      <c r="Q92" s="220"/>
      <c r="R92" s="220"/>
      <c r="S92" s="220"/>
      <c r="T92" s="437"/>
      <c r="U92" s="220"/>
      <c r="V92" s="220"/>
      <c r="W92" s="220"/>
      <c r="X92" s="220"/>
      <c r="Y92" s="437"/>
      <c r="Z92" s="220"/>
      <c r="AA92" s="220"/>
      <c r="AB92" s="220"/>
      <c r="AC92" s="220"/>
      <c r="AD92" s="437"/>
      <c r="AE92" s="220"/>
      <c r="AF92" s="220"/>
      <c r="AG92" s="220"/>
      <c r="AH92" s="220"/>
      <c r="AI92" s="437"/>
      <c r="AJ92" s="220"/>
      <c r="AK92" s="220"/>
      <c r="AL92" s="220"/>
      <c r="AM92" s="220"/>
      <c r="AN92" s="437"/>
      <c r="AO92" s="220"/>
      <c r="AP92" s="220"/>
      <c r="AQ92" s="220"/>
      <c r="AR92" s="220"/>
      <c r="AS92" s="437"/>
      <c r="AT92" s="220"/>
      <c r="AU92" s="220"/>
      <c r="AV92" s="220"/>
      <c r="AW92" s="220"/>
      <c r="AX92" s="437"/>
    </row>
    <row r="93" spans="2:50">
      <c r="B93" s="438"/>
      <c r="C93" s="220">
        <v>7</v>
      </c>
      <c r="D93" s="220"/>
      <c r="E93" s="221"/>
      <c r="F93" s="221"/>
      <c r="G93" s="222"/>
      <c r="H93" s="440"/>
      <c r="I93" s="221"/>
      <c r="J93" s="221"/>
      <c r="K93" s="222"/>
      <c r="L93" s="440"/>
      <c r="M93" s="221"/>
      <c r="N93" s="445"/>
      <c r="O93" s="445"/>
      <c r="P93" s="220"/>
      <c r="Q93" s="220"/>
      <c r="R93" s="220"/>
      <c r="S93" s="220"/>
      <c r="T93" s="437"/>
      <c r="U93" s="220"/>
      <c r="V93" s="220"/>
      <c r="W93" s="220"/>
      <c r="X93" s="220"/>
      <c r="Y93" s="437"/>
      <c r="Z93" s="220"/>
      <c r="AA93" s="220"/>
      <c r="AB93" s="220"/>
      <c r="AC93" s="220"/>
      <c r="AD93" s="437"/>
      <c r="AE93" s="220"/>
      <c r="AF93" s="220"/>
      <c r="AG93" s="220"/>
      <c r="AH93" s="220"/>
      <c r="AI93" s="437"/>
      <c r="AJ93" s="220"/>
      <c r="AK93" s="220"/>
      <c r="AL93" s="220"/>
      <c r="AM93" s="220"/>
      <c r="AN93" s="437"/>
      <c r="AO93" s="220"/>
      <c r="AP93" s="220"/>
      <c r="AQ93" s="220"/>
      <c r="AR93" s="220"/>
      <c r="AS93" s="437"/>
      <c r="AT93" s="220"/>
      <c r="AU93" s="220"/>
      <c r="AV93" s="220"/>
      <c r="AW93" s="220"/>
      <c r="AX93" s="437"/>
    </row>
    <row r="94" spans="2:50">
      <c r="B94" s="438"/>
      <c r="C94" s="220">
        <v>8</v>
      </c>
      <c r="D94" s="220"/>
      <c r="E94" s="220"/>
      <c r="F94" s="220"/>
      <c r="G94" s="220"/>
      <c r="H94" s="440"/>
      <c r="I94" s="221"/>
      <c r="J94" s="221"/>
      <c r="K94" s="222"/>
      <c r="L94" s="440"/>
      <c r="M94" s="221"/>
      <c r="N94" s="445"/>
      <c r="O94" s="445"/>
      <c r="P94" s="220"/>
      <c r="Q94" s="220"/>
      <c r="R94" s="220"/>
      <c r="S94" s="220"/>
      <c r="T94" s="437"/>
      <c r="U94" s="220"/>
      <c r="V94" s="220"/>
      <c r="W94" s="220"/>
      <c r="X94" s="220"/>
      <c r="Y94" s="437"/>
      <c r="Z94" s="220"/>
      <c r="AA94" s="220"/>
      <c r="AB94" s="220"/>
      <c r="AC94" s="220"/>
      <c r="AD94" s="437"/>
      <c r="AE94" s="220"/>
      <c r="AF94" s="220"/>
      <c r="AG94" s="220"/>
      <c r="AH94" s="220"/>
      <c r="AI94" s="437"/>
      <c r="AJ94" s="220"/>
      <c r="AK94" s="220"/>
      <c r="AL94" s="220"/>
      <c r="AM94" s="220"/>
      <c r="AN94" s="437"/>
      <c r="AO94" s="220"/>
      <c r="AP94" s="220"/>
      <c r="AQ94" s="220"/>
      <c r="AR94" s="220"/>
      <c r="AS94" s="437"/>
      <c r="AT94" s="220"/>
      <c r="AU94" s="220"/>
      <c r="AV94" s="220"/>
      <c r="AW94" s="220"/>
      <c r="AX94" s="437"/>
    </row>
    <row r="95" spans="2:50">
      <c r="B95" s="438"/>
      <c r="C95" s="220">
        <v>9</v>
      </c>
      <c r="D95" s="220"/>
      <c r="E95" s="220"/>
      <c r="F95" s="220"/>
      <c r="G95" s="220"/>
      <c r="H95" s="440"/>
      <c r="I95" s="221"/>
      <c r="J95" s="221"/>
      <c r="K95" s="222"/>
      <c r="L95" s="440"/>
      <c r="M95" s="221"/>
      <c r="N95" s="445"/>
      <c r="O95" s="445"/>
      <c r="P95" s="220"/>
      <c r="Q95" s="220"/>
      <c r="R95" s="220"/>
      <c r="S95" s="220"/>
      <c r="T95" s="437"/>
      <c r="U95" s="220"/>
      <c r="V95" s="220"/>
      <c r="W95" s="220"/>
      <c r="X95" s="220"/>
      <c r="Y95" s="437"/>
      <c r="Z95" s="220"/>
      <c r="AA95" s="220"/>
      <c r="AB95" s="220"/>
      <c r="AC95" s="220"/>
      <c r="AD95" s="437"/>
      <c r="AE95" s="220"/>
      <c r="AF95" s="220"/>
      <c r="AG95" s="220"/>
      <c r="AH95" s="220"/>
      <c r="AI95" s="437"/>
      <c r="AJ95" s="220"/>
      <c r="AK95" s="220"/>
      <c r="AL95" s="220"/>
      <c r="AM95" s="220"/>
      <c r="AN95" s="437"/>
      <c r="AO95" s="220"/>
      <c r="AP95" s="220"/>
      <c r="AQ95" s="220"/>
      <c r="AR95" s="220"/>
      <c r="AS95" s="437"/>
      <c r="AT95" s="220"/>
      <c r="AU95" s="220"/>
      <c r="AV95" s="220"/>
      <c r="AW95" s="220"/>
      <c r="AX95" s="437"/>
    </row>
    <row r="96" spans="2:50">
      <c r="B96" s="438"/>
      <c r="C96" s="220">
        <v>10</v>
      </c>
      <c r="D96" s="220"/>
      <c r="E96" s="220"/>
      <c r="F96" s="220"/>
      <c r="G96" s="220"/>
      <c r="H96" s="440"/>
      <c r="I96" s="221"/>
      <c r="J96" s="221"/>
      <c r="K96" s="222"/>
      <c r="L96" s="440"/>
      <c r="M96" s="221"/>
      <c r="N96" s="445"/>
      <c r="O96" s="445"/>
      <c r="P96" s="220"/>
      <c r="Q96" s="220"/>
      <c r="R96" s="220"/>
      <c r="S96" s="220"/>
      <c r="T96" s="437"/>
      <c r="U96" s="220"/>
      <c r="V96" s="220"/>
      <c r="W96" s="220"/>
      <c r="X96" s="220"/>
      <c r="Y96" s="437"/>
      <c r="Z96" s="220"/>
      <c r="AA96" s="220"/>
      <c r="AB96" s="220"/>
      <c r="AC96" s="220"/>
      <c r="AD96" s="437"/>
      <c r="AE96" s="220"/>
      <c r="AF96" s="220"/>
      <c r="AG96" s="220"/>
      <c r="AH96" s="220"/>
      <c r="AI96" s="437"/>
      <c r="AJ96" s="220"/>
      <c r="AK96" s="220"/>
      <c r="AL96" s="220"/>
      <c r="AM96" s="220"/>
      <c r="AN96" s="437"/>
      <c r="AO96" s="220"/>
      <c r="AP96" s="220"/>
      <c r="AQ96" s="220"/>
      <c r="AR96" s="220"/>
      <c r="AS96" s="437"/>
      <c r="AT96" s="220"/>
      <c r="AU96" s="220"/>
      <c r="AV96" s="220"/>
      <c r="AW96" s="220"/>
      <c r="AX96" s="437"/>
    </row>
    <row r="97" spans="2:50">
      <c r="B97" s="438"/>
      <c r="C97" s="220">
        <v>11</v>
      </c>
      <c r="D97" s="220"/>
      <c r="E97" s="220"/>
      <c r="F97" s="220"/>
      <c r="G97" s="220"/>
      <c r="H97" s="440"/>
      <c r="I97" s="221"/>
      <c r="J97" s="221"/>
      <c r="K97" s="222"/>
      <c r="L97" s="440"/>
      <c r="M97" s="221"/>
      <c r="N97" s="445"/>
      <c r="O97" s="445"/>
      <c r="P97" s="220"/>
      <c r="Q97" s="220"/>
      <c r="R97" s="220"/>
      <c r="S97" s="220"/>
      <c r="T97" s="437"/>
      <c r="U97" s="220"/>
      <c r="V97" s="220"/>
      <c r="W97" s="220"/>
      <c r="X97" s="220"/>
      <c r="Y97" s="437"/>
      <c r="Z97" s="220"/>
      <c r="AA97" s="220"/>
      <c r="AB97" s="220"/>
      <c r="AC97" s="220"/>
      <c r="AD97" s="437"/>
      <c r="AE97" s="220"/>
      <c r="AF97" s="220"/>
      <c r="AG97" s="220"/>
      <c r="AH97" s="220"/>
      <c r="AI97" s="437"/>
      <c r="AJ97" s="220"/>
      <c r="AK97" s="220"/>
      <c r="AL97" s="220"/>
      <c r="AM97" s="220"/>
      <c r="AN97" s="437"/>
      <c r="AO97" s="220"/>
      <c r="AP97" s="220"/>
      <c r="AQ97" s="220"/>
      <c r="AR97" s="220"/>
      <c r="AS97" s="437"/>
      <c r="AT97" s="220"/>
      <c r="AU97" s="220"/>
      <c r="AV97" s="220"/>
      <c r="AW97" s="220"/>
      <c r="AX97" s="437"/>
    </row>
    <row r="98" spans="2:50">
      <c r="B98" s="438"/>
      <c r="C98" s="220">
        <v>12</v>
      </c>
      <c r="D98" s="220"/>
      <c r="E98" s="220"/>
      <c r="F98" s="220"/>
      <c r="G98" s="220"/>
      <c r="H98" s="440"/>
      <c r="I98" s="221"/>
      <c r="J98" s="221"/>
      <c r="K98" s="222"/>
      <c r="L98" s="440"/>
      <c r="M98" s="221"/>
      <c r="N98" s="445"/>
      <c r="O98" s="445"/>
      <c r="P98" s="220"/>
      <c r="Q98" s="220"/>
      <c r="R98" s="220"/>
      <c r="S98" s="220"/>
      <c r="T98" s="437"/>
      <c r="U98" s="220"/>
      <c r="V98" s="220"/>
      <c r="W98" s="220"/>
      <c r="X98" s="220"/>
      <c r="Y98" s="437"/>
      <c r="Z98" s="220"/>
      <c r="AA98" s="220"/>
      <c r="AB98" s="220"/>
      <c r="AC98" s="220"/>
      <c r="AD98" s="437"/>
      <c r="AE98" s="220"/>
      <c r="AF98" s="220"/>
      <c r="AG98" s="220"/>
      <c r="AH98" s="220"/>
      <c r="AI98" s="437"/>
      <c r="AJ98" s="220"/>
      <c r="AK98" s="220"/>
      <c r="AL98" s="220"/>
      <c r="AM98" s="220"/>
      <c r="AN98" s="437"/>
      <c r="AO98" s="220"/>
      <c r="AP98" s="220"/>
      <c r="AQ98" s="220"/>
      <c r="AR98" s="220"/>
      <c r="AS98" s="437"/>
      <c r="AT98" s="220"/>
      <c r="AU98" s="220"/>
      <c r="AV98" s="220"/>
      <c r="AW98" s="220"/>
      <c r="AX98" s="437"/>
    </row>
    <row r="99" spans="2:50">
      <c r="B99" s="438"/>
      <c r="C99" s="220">
        <v>13</v>
      </c>
      <c r="D99" s="220"/>
      <c r="E99" s="220"/>
      <c r="F99" s="220"/>
      <c r="G99" s="220"/>
      <c r="H99" s="440"/>
      <c r="I99" s="221"/>
      <c r="J99" s="221"/>
      <c r="K99" s="222"/>
      <c r="L99" s="440"/>
      <c r="M99" s="221"/>
      <c r="N99" s="445"/>
      <c r="O99" s="445"/>
      <c r="P99" s="220"/>
      <c r="Q99" s="220"/>
      <c r="R99" s="220"/>
      <c r="S99" s="220"/>
      <c r="T99" s="437"/>
      <c r="U99" s="220"/>
      <c r="V99" s="220"/>
      <c r="W99" s="220"/>
      <c r="X99" s="220"/>
      <c r="Y99" s="437"/>
      <c r="Z99" s="220"/>
      <c r="AA99" s="220"/>
      <c r="AB99" s="220"/>
      <c r="AC99" s="220"/>
      <c r="AD99" s="437"/>
      <c r="AE99" s="220"/>
      <c r="AF99" s="220"/>
      <c r="AG99" s="220"/>
      <c r="AH99" s="220"/>
      <c r="AI99" s="437"/>
      <c r="AJ99" s="220"/>
      <c r="AK99" s="220"/>
      <c r="AL99" s="220"/>
      <c r="AM99" s="220"/>
      <c r="AN99" s="437"/>
      <c r="AO99" s="220"/>
      <c r="AP99" s="220"/>
      <c r="AQ99" s="220"/>
      <c r="AR99" s="220"/>
      <c r="AS99" s="437"/>
      <c r="AT99" s="220"/>
      <c r="AU99" s="220"/>
      <c r="AV99" s="220"/>
      <c r="AW99" s="220"/>
      <c r="AX99" s="437"/>
    </row>
    <row r="100" spans="2:50">
      <c r="B100" s="438"/>
      <c r="C100" s="220">
        <v>14</v>
      </c>
      <c r="D100" s="220"/>
      <c r="E100" s="220"/>
      <c r="F100" s="220"/>
      <c r="G100" s="220"/>
      <c r="H100" s="440"/>
      <c r="I100" s="221"/>
      <c r="J100" s="221"/>
      <c r="K100" s="222"/>
      <c r="L100" s="440"/>
      <c r="M100" s="221"/>
      <c r="N100" s="445"/>
      <c r="O100" s="445"/>
      <c r="P100" s="220"/>
      <c r="Q100" s="220"/>
      <c r="R100" s="220"/>
      <c r="S100" s="220"/>
      <c r="T100" s="437"/>
      <c r="U100" s="220"/>
      <c r="V100" s="220"/>
      <c r="W100" s="220"/>
      <c r="X100" s="220"/>
      <c r="Y100" s="437"/>
      <c r="Z100" s="220"/>
      <c r="AA100" s="220"/>
      <c r="AB100" s="220"/>
      <c r="AC100" s="220"/>
      <c r="AD100" s="437"/>
      <c r="AE100" s="220"/>
      <c r="AF100" s="220"/>
      <c r="AG100" s="220"/>
      <c r="AH100" s="220"/>
      <c r="AI100" s="437"/>
      <c r="AJ100" s="220"/>
      <c r="AK100" s="220"/>
      <c r="AL100" s="220"/>
      <c r="AM100" s="220"/>
      <c r="AN100" s="437"/>
      <c r="AO100" s="220"/>
      <c r="AP100" s="220"/>
      <c r="AQ100" s="220"/>
      <c r="AR100" s="220"/>
      <c r="AS100" s="437"/>
      <c r="AT100" s="220"/>
      <c r="AU100" s="220"/>
      <c r="AV100" s="220"/>
      <c r="AW100" s="220"/>
      <c r="AX100" s="437"/>
    </row>
    <row r="101" spans="2:50">
      <c r="B101" s="438"/>
      <c r="C101" s="220">
        <v>15</v>
      </c>
      <c r="D101" s="220"/>
      <c r="E101" s="220"/>
      <c r="F101" s="220"/>
      <c r="G101" s="220"/>
      <c r="H101" s="441"/>
      <c r="I101" s="221"/>
      <c r="J101" s="221"/>
      <c r="K101" s="222"/>
      <c r="L101" s="441"/>
      <c r="M101" s="221"/>
      <c r="N101" s="445"/>
      <c r="O101" s="445"/>
      <c r="P101" s="220"/>
      <c r="Q101" s="220"/>
      <c r="R101" s="220"/>
      <c r="S101" s="220"/>
      <c r="T101" s="437"/>
      <c r="U101" s="220"/>
      <c r="V101" s="220"/>
      <c r="W101" s="220"/>
      <c r="X101" s="220"/>
      <c r="Y101" s="437"/>
      <c r="Z101" s="220"/>
      <c r="AA101" s="220"/>
      <c r="AB101" s="220"/>
      <c r="AC101" s="220"/>
      <c r="AD101" s="437"/>
      <c r="AE101" s="220"/>
      <c r="AF101" s="220"/>
      <c r="AG101" s="220"/>
      <c r="AH101" s="220"/>
      <c r="AI101" s="437"/>
      <c r="AJ101" s="220"/>
      <c r="AK101" s="220"/>
      <c r="AL101" s="220"/>
      <c r="AM101" s="220"/>
      <c r="AN101" s="437"/>
      <c r="AO101" s="220"/>
      <c r="AP101" s="220"/>
      <c r="AQ101" s="220"/>
      <c r="AR101" s="220"/>
      <c r="AS101" s="437"/>
      <c r="AT101" s="220"/>
      <c r="AU101" s="220"/>
      <c r="AV101" s="220"/>
      <c r="AW101" s="220"/>
      <c r="AX101" s="437"/>
    </row>
    <row r="102" spans="2:50" ht="15.5">
      <c r="B102" s="459" t="s">
        <v>44</v>
      </c>
      <c r="C102" s="455"/>
      <c r="D102" s="455"/>
      <c r="E102" s="455"/>
      <c r="F102" s="455"/>
      <c r="G102" s="455"/>
      <c r="H102" s="455"/>
      <c r="I102" s="214"/>
      <c r="J102" s="214"/>
      <c r="K102" s="214"/>
      <c r="L102" s="214"/>
      <c r="M102" s="215"/>
      <c r="N102" s="450" t="s">
        <v>45</v>
      </c>
      <c r="O102" s="450" t="s">
        <v>3</v>
      </c>
      <c r="P102" s="453">
        <v>46021</v>
      </c>
      <c r="Q102" s="438"/>
      <c r="R102" s="438"/>
      <c r="S102" s="438"/>
      <c r="T102" s="438"/>
      <c r="U102" s="453">
        <v>46022</v>
      </c>
      <c r="V102" s="438"/>
      <c r="W102" s="438"/>
      <c r="X102" s="438"/>
      <c r="Y102" s="438"/>
      <c r="Z102" s="453"/>
      <c r="AA102" s="438"/>
      <c r="AB102" s="438"/>
      <c r="AC102" s="438"/>
      <c r="AD102" s="438"/>
      <c r="AE102" s="453"/>
      <c r="AF102" s="438"/>
      <c r="AG102" s="438"/>
      <c r="AH102" s="438"/>
      <c r="AI102" s="438"/>
      <c r="AJ102" s="453"/>
      <c r="AK102" s="438"/>
      <c r="AL102" s="438"/>
      <c r="AM102" s="438"/>
      <c r="AN102" s="438"/>
      <c r="AO102" s="453"/>
      <c r="AP102" s="438"/>
      <c r="AQ102" s="438"/>
      <c r="AR102" s="438"/>
      <c r="AS102" s="438"/>
      <c r="AT102" s="453"/>
      <c r="AU102" s="438"/>
      <c r="AV102" s="438"/>
      <c r="AW102" s="438"/>
      <c r="AX102" s="438"/>
    </row>
    <row r="103" spans="2:50" ht="15.5">
      <c r="B103" s="456"/>
      <c r="C103" s="456"/>
      <c r="D103" s="456"/>
      <c r="E103" s="456"/>
      <c r="F103" s="456"/>
      <c r="G103" s="456"/>
      <c r="H103" s="456"/>
      <c r="I103" s="216"/>
      <c r="J103" s="216"/>
      <c r="K103" s="216"/>
      <c r="L103" s="216"/>
      <c r="M103" s="217"/>
      <c r="N103" s="452"/>
      <c r="O103" s="452"/>
      <c r="P103" s="453" t="s">
        <v>15</v>
      </c>
      <c r="Q103" s="438"/>
      <c r="R103" s="438"/>
      <c r="S103" s="438"/>
      <c r="T103" s="438"/>
      <c r="U103" s="453" t="s">
        <v>16</v>
      </c>
      <c r="V103" s="438"/>
      <c r="W103" s="438"/>
      <c r="X103" s="438"/>
      <c r="Y103" s="438"/>
      <c r="Z103" s="453" t="s">
        <v>17</v>
      </c>
      <c r="AA103" s="438"/>
      <c r="AB103" s="438"/>
      <c r="AC103" s="438"/>
      <c r="AD103" s="438"/>
      <c r="AE103" s="453" t="s">
        <v>18</v>
      </c>
      <c r="AF103" s="438"/>
      <c r="AG103" s="438"/>
      <c r="AH103" s="438"/>
      <c r="AI103" s="438"/>
      <c r="AJ103" s="453" t="s">
        <v>19</v>
      </c>
      <c r="AK103" s="438"/>
      <c r="AL103" s="438"/>
      <c r="AM103" s="438"/>
      <c r="AN103" s="438"/>
      <c r="AO103" s="453" t="s">
        <v>10</v>
      </c>
      <c r="AP103" s="438"/>
      <c r="AQ103" s="438"/>
      <c r="AR103" s="438"/>
      <c r="AS103" s="438"/>
      <c r="AT103" s="453" t="s">
        <v>14</v>
      </c>
      <c r="AU103" s="438"/>
      <c r="AV103" s="438"/>
      <c r="AW103" s="438"/>
      <c r="AX103" s="438"/>
    </row>
    <row r="104" spans="2:50">
      <c r="B104" s="445" t="s">
        <v>46</v>
      </c>
      <c r="C104" s="445" t="s">
        <v>47</v>
      </c>
      <c r="D104" s="445"/>
      <c r="E104" s="445" t="s">
        <v>48</v>
      </c>
      <c r="F104" s="445"/>
      <c r="G104" s="445"/>
      <c r="H104" s="447" t="s">
        <v>49</v>
      </c>
      <c r="I104" s="445" t="s">
        <v>50</v>
      </c>
      <c r="J104" s="445"/>
      <c r="K104" s="445"/>
      <c r="L104" s="447" t="s">
        <v>49</v>
      </c>
      <c r="M104" s="450" t="s">
        <v>51</v>
      </c>
      <c r="N104" s="445"/>
      <c r="O104" s="445" t="s">
        <v>52</v>
      </c>
      <c r="P104" s="442" t="s">
        <v>53</v>
      </c>
      <c r="Q104" s="443"/>
      <c r="R104" s="443"/>
      <c r="S104" s="444"/>
      <c r="T104" s="445" t="s">
        <v>49</v>
      </c>
      <c r="U104" s="442" t="s">
        <v>53</v>
      </c>
      <c r="V104" s="443"/>
      <c r="W104" s="443"/>
      <c r="X104" s="444"/>
      <c r="Y104" s="445" t="s">
        <v>49</v>
      </c>
      <c r="Z104" s="442" t="s">
        <v>53</v>
      </c>
      <c r="AA104" s="443"/>
      <c r="AB104" s="443"/>
      <c r="AC104" s="444"/>
      <c r="AD104" s="445" t="s">
        <v>49</v>
      </c>
      <c r="AE104" s="442" t="s">
        <v>53</v>
      </c>
      <c r="AF104" s="443"/>
      <c r="AG104" s="443"/>
      <c r="AH104" s="444"/>
      <c r="AI104" s="445" t="s">
        <v>49</v>
      </c>
      <c r="AJ104" s="442" t="s">
        <v>53</v>
      </c>
      <c r="AK104" s="443"/>
      <c r="AL104" s="443"/>
      <c r="AM104" s="444"/>
      <c r="AN104" s="445" t="s">
        <v>49</v>
      </c>
      <c r="AO104" s="442" t="s">
        <v>53</v>
      </c>
      <c r="AP104" s="443"/>
      <c r="AQ104" s="443"/>
      <c r="AR104" s="444"/>
      <c r="AS104" s="445" t="s">
        <v>49</v>
      </c>
      <c r="AT104" s="442" t="s">
        <v>53</v>
      </c>
      <c r="AU104" s="443"/>
      <c r="AV104" s="443"/>
      <c r="AW104" s="444"/>
      <c r="AX104" s="445" t="s">
        <v>49</v>
      </c>
    </row>
    <row r="105" spans="2:50">
      <c r="B105" s="445"/>
      <c r="C105" s="445"/>
      <c r="D105" s="445"/>
      <c r="E105" s="445" t="s">
        <v>54</v>
      </c>
      <c r="F105" s="445"/>
      <c r="G105" s="445"/>
      <c r="H105" s="448"/>
      <c r="I105" s="445" t="s">
        <v>54</v>
      </c>
      <c r="J105" s="445"/>
      <c r="K105" s="445"/>
      <c r="L105" s="448"/>
      <c r="M105" s="451"/>
      <c r="N105" s="445"/>
      <c r="O105" s="445"/>
      <c r="P105" s="442" t="s">
        <v>55</v>
      </c>
      <c r="Q105" s="443"/>
      <c r="R105" s="443"/>
      <c r="S105" s="444"/>
      <c r="T105" s="445"/>
      <c r="U105" s="442" t="s">
        <v>55</v>
      </c>
      <c r="V105" s="443"/>
      <c r="W105" s="443"/>
      <c r="X105" s="444"/>
      <c r="Y105" s="445"/>
      <c r="Z105" s="442" t="s">
        <v>55</v>
      </c>
      <c r="AA105" s="443"/>
      <c r="AB105" s="443"/>
      <c r="AC105" s="444"/>
      <c r="AD105" s="445"/>
      <c r="AE105" s="442" t="s">
        <v>55</v>
      </c>
      <c r="AF105" s="443"/>
      <c r="AG105" s="443"/>
      <c r="AH105" s="444"/>
      <c r="AI105" s="445"/>
      <c r="AJ105" s="442" t="s">
        <v>55</v>
      </c>
      <c r="AK105" s="443"/>
      <c r="AL105" s="443"/>
      <c r="AM105" s="444"/>
      <c r="AN105" s="445"/>
      <c r="AO105" s="442" t="s">
        <v>55</v>
      </c>
      <c r="AP105" s="443"/>
      <c r="AQ105" s="443"/>
      <c r="AR105" s="444"/>
      <c r="AS105" s="445"/>
      <c r="AT105" s="442" t="s">
        <v>55</v>
      </c>
      <c r="AU105" s="443"/>
      <c r="AV105" s="443"/>
      <c r="AW105" s="444"/>
      <c r="AX105" s="445"/>
    </row>
    <row r="106" spans="2:50">
      <c r="B106" s="445"/>
      <c r="C106" s="445"/>
      <c r="D106" s="445"/>
      <c r="E106" s="219" t="s">
        <v>56</v>
      </c>
      <c r="F106" s="219" t="s">
        <v>57</v>
      </c>
      <c r="G106" s="219" t="s">
        <v>58</v>
      </c>
      <c r="H106" s="449"/>
      <c r="I106" s="219" t="s">
        <v>56</v>
      </c>
      <c r="J106" s="219" t="s">
        <v>57</v>
      </c>
      <c r="K106" s="219" t="s">
        <v>58</v>
      </c>
      <c r="L106" s="449"/>
      <c r="M106" s="452"/>
      <c r="N106" s="445"/>
      <c r="O106" s="445"/>
      <c r="P106" s="219" t="s">
        <v>56</v>
      </c>
      <c r="Q106" s="219" t="s">
        <v>57</v>
      </c>
      <c r="R106" s="219" t="s">
        <v>58</v>
      </c>
      <c r="S106" s="219" t="s">
        <v>51</v>
      </c>
      <c r="T106" s="445"/>
      <c r="U106" s="219" t="s">
        <v>56</v>
      </c>
      <c r="V106" s="219" t="s">
        <v>57</v>
      </c>
      <c r="W106" s="219" t="s">
        <v>58</v>
      </c>
      <c r="X106" s="219" t="s">
        <v>51</v>
      </c>
      <c r="Y106" s="445"/>
      <c r="Z106" s="219" t="s">
        <v>56</v>
      </c>
      <c r="AA106" s="219" t="s">
        <v>57</v>
      </c>
      <c r="AB106" s="219" t="s">
        <v>58</v>
      </c>
      <c r="AC106" s="219" t="s">
        <v>51</v>
      </c>
      <c r="AD106" s="445"/>
      <c r="AE106" s="219" t="s">
        <v>56</v>
      </c>
      <c r="AF106" s="219" t="s">
        <v>57</v>
      </c>
      <c r="AG106" s="219" t="s">
        <v>58</v>
      </c>
      <c r="AH106" s="219" t="s">
        <v>51</v>
      </c>
      <c r="AI106" s="445"/>
      <c r="AJ106" s="219" t="s">
        <v>56</v>
      </c>
      <c r="AK106" s="219" t="s">
        <v>57</v>
      </c>
      <c r="AL106" s="219" t="s">
        <v>58</v>
      </c>
      <c r="AM106" s="219" t="s">
        <v>51</v>
      </c>
      <c r="AN106" s="445"/>
      <c r="AO106" s="219" t="s">
        <v>56</v>
      </c>
      <c r="AP106" s="219" t="s">
        <v>57</v>
      </c>
      <c r="AQ106" s="219" t="s">
        <v>58</v>
      </c>
      <c r="AR106" s="219" t="s">
        <v>51</v>
      </c>
      <c r="AS106" s="445"/>
      <c r="AT106" s="219" t="s">
        <v>56</v>
      </c>
      <c r="AU106" s="219" t="s">
        <v>57</v>
      </c>
      <c r="AV106" s="219" t="s">
        <v>58</v>
      </c>
      <c r="AW106" s="219" t="s">
        <v>51</v>
      </c>
      <c r="AX106" s="445"/>
    </row>
    <row r="107" spans="2:50">
      <c r="B107" s="445" t="s">
        <v>35</v>
      </c>
      <c r="C107" s="220">
        <v>1</v>
      </c>
      <c r="D107" s="220" t="s">
        <v>61</v>
      </c>
      <c r="E107" s="221">
        <f>VLOOKUP(D107,'11產線配置圖'!$A$2:$C$30,2,0)</f>
        <v>13</v>
      </c>
      <c r="F107" s="221">
        <f>VLOOKUP(D107,'11產線配置圖'!$A$2:$C$30,3,0)</f>
        <v>1565</v>
      </c>
      <c r="G107" s="222">
        <f>F107/E107</f>
        <v>120.38461538461539</v>
      </c>
      <c r="H107" s="439">
        <f>AVERAGE(G107:G121)</f>
        <v>127.07264957264958</v>
      </c>
      <c r="I107" s="221" t="e">
        <f t="shared" ref="I107:J109" si="9">AVERAGE(P107,U107,Z107,AE107,AJ107,AO107,AT107)</f>
        <v>#DIV/0!</v>
      </c>
      <c r="J107" s="221" t="e">
        <f t="shared" si="9"/>
        <v>#DIV/0!</v>
      </c>
      <c r="K107" s="222" t="e">
        <f>AVERAGE(AG107,AL107,AQ107,AV107)</f>
        <v>#DIV/0!</v>
      </c>
      <c r="L107" s="439" t="str">
        <f>IFERROR(AVERAGE(K107:K121),"-")</f>
        <v>-</v>
      </c>
      <c r="M107" s="223" t="e">
        <f>RANK(K107, K$7:$K$21)</f>
        <v>#DIV/0!</v>
      </c>
      <c r="N107" s="445"/>
      <c r="O107" s="445"/>
      <c r="P107" s="221"/>
      <c r="Q107" s="221"/>
      <c r="R107" s="222" t="e">
        <f>Q107/P107</f>
        <v>#DIV/0!</v>
      </c>
      <c r="S107" s="220" t="e">
        <f>RANK(R107, R$7:R$21)</f>
        <v>#DIV/0!</v>
      </c>
      <c r="T107" s="437" t="e">
        <f>AVERAGE(R107:R121)</f>
        <v>#DIV/0!</v>
      </c>
      <c r="U107" s="221"/>
      <c r="V107" s="221"/>
      <c r="W107" s="222" t="e">
        <f>V107/U107</f>
        <v>#DIV/0!</v>
      </c>
      <c r="X107" s="220" t="e">
        <f>RANK(W107, W$7:W$21)</f>
        <v>#DIV/0!</v>
      </c>
      <c r="Y107" s="437" t="e">
        <f>AVERAGE(W107:W121)</f>
        <v>#DIV/0!</v>
      </c>
      <c r="Z107" s="220"/>
      <c r="AA107" s="221"/>
      <c r="AB107" s="222" t="e">
        <f>AA107/Z107</f>
        <v>#DIV/0!</v>
      </c>
      <c r="AC107" s="220" t="e">
        <f>RANK(AB107, AB$7:AB$21)</f>
        <v>#DIV/0!</v>
      </c>
      <c r="AD107" s="437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 AG$7:AG$21)</f>
        <v>#DIV/0!</v>
      </c>
      <c r="AI107" s="437" t="e">
        <f>AVERAGE(AG107:AG121)</f>
        <v>#DIV/0!</v>
      </c>
      <c r="AJ107" s="221"/>
      <c r="AK107" s="221"/>
      <c r="AL107" s="222" t="e">
        <f>AK107/AJ107</f>
        <v>#DIV/0!</v>
      </c>
      <c r="AM107" s="220" t="e">
        <f>RANK(AL107, AL$7:AL$21)</f>
        <v>#DIV/0!</v>
      </c>
      <c r="AN107" s="437" t="e">
        <f>AVERAGE(AL107:AL121)</f>
        <v>#DIV/0!</v>
      </c>
      <c r="AO107" s="221"/>
      <c r="AP107" s="221"/>
      <c r="AQ107" s="222" t="e">
        <f>AP107/AO107</f>
        <v>#DIV/0!</v>
      </c>
      <c r="AR107" s="220" t="e">
        <f>RANK(AQ107, AQ$7:AQ$21)</f>
        <v>#DIV/0!</v>
      </c>
      <c r="AS107" s="437" t="e">
        <f>AVERAGE(AQ107:AQ121)</f>
        <v>#DIV/0!</v>
      </c>
      <c r="AT107" s="221"/>
      <c r="AU107" s="221"/>
      <c r="AV107" s="222" t="e">
        <f>AU107/AT107</f>
        <v>#DIV/0!</v>
      </c>
      <c r="AW107" s="220" t="e">
        <f>RANK(AV107, AV$7:AV$21)</f>
        <v>#DIV/0!</v>
      </c>
      <c r="AX107" s="437" t="e">
        <f>AVERAGE(AV107:AV121)</f>
        <v>#DIV/0!</v>
      </c>
    </row>
    <row r="108" spans="2:50">
      <c r="B108" s="438"/>
      <c r="C108" s="220">
        <v>2</v>
      </c>
      <c r="D108" s="220" t="s">
        <v>62</v>
      </c>
      <c r="E108" s="221">
        <f>VLOOKUP(D108,'11產線配置圖'!$A$2:$C$30,2,0)</f>
        <v>12</v>
      </c>
      <c r="F108" s="221">
        <f>VLOOKUP(D108,'11產線配置圖'!$A$2:$C$30,3,0)</f>
        <v>1565</v>
      </c>
      <c r="G108" s="222">
        <f>F108/E108</f>
        <v>130.41666666666666</v>
      </c>
      <c r="H108" s="440"/>
      <c r="I108" s="221" t="e">
        <f t="shared" si="9"/>
        <v>#DIV/0!</v>
      </c>
      <c r="J108" s="221" t="e">
        <f t="shared" si="9"/>
        <v>#DIV/0!</v>
      </c>
      <c r="K108" s="222" t="e">
        <f>AVERAGE(AG108,AL108,AQ108,AV108)</f>
        <v>#DIV/0!</v>
      </c>
      <c r="L108" s="440"/>
      <c r="M108" s="223" t="e">
        <f>RANK(K108, K$7:$K$21)</f>
        <v>#DIV/0!</v>
      </c>
      <c r="N108" s="445"/>
      <c r="O108" s="445"/>
      <c r="P108" s="221"/>
      <c r="Q108" s="221"/>
      <c r="R108" s="222" t="e">
        <f t="shared" ref="R108:R113" si="10">Q108/P108</f>
        <v>#DIV/0!</v>
      </c>
      <c r="S108" s="220" t="e">
        <f t="shared" ref="S108:S113" si="11">RANK(R108, R$7:R$21)</f>
        <v>#DIV/0!</v>
      </c>
      <c r="T108" s="437"/>
      <c r="U108" s="221"/>
      <c r="V108" s="221"/>
      <c r="W108" s="222" t="e">
        <f t="shared" ref="W108:W113" si="12">V108/U108</f>
        <v>#DIV/0!</v>
      </c>
      <c r="X108" s="220" t="e">
        <f t="shared" ref="X108:X113" si="13">RANK(W108, W$7:W$21)</f>
        <v>#DIV/0!</v>
      </c>
      <c r="Y108" s="437"/>
      <c r="Z108" s="220"/>
      <c r="AA108" s="221"/>
      <c r="AB108" s="222" t="e">
        <f t="shared" ref="AB108:AB113" si="14">AA108/Z108</f>
        <v>#DIV/0!</v>
      </c>
      <c r="AC108" s="220" t="e">
        <f t="shared" ref="AC108:AC113" si="15">RANK(AB108, AB$7:AB$21)</f>
        <v>#DIV/0!</v>
      </c>
      <c r="AD108" s="437"/>
      <c r="AE108" s="221"/>
      <c r="AF108" s="221"/>
      <c r="AG108" s="222" t="e">
        <f>AF108/AE108</f>
        <v>#DIV/0!</v>
      </c>
      <c r="AH108" s="220" t="e">
        <f>RANK(AG108, AG$7:AG$21)</f>
        <v>#DIV/0!</v>
      </c>
      <c r="AI108" s="437"/>
      <c r="AJ108" s="221"/>
      <c r="AK108" s="221"/>
      <c r="AL108" s="222" t="e">
        <f>AK108/AJ108</f>
        <v>#DIV/0!</v>
      </c>
      <c r="AM108" s="220" t="e">
        <f>RANK(AL108, AL$7:AL$21)</f>
        <v>#DIV/0!</v>
      </c>
      <c r="AN108" s="437"/>
      <c r="AO108" s="221"/>
      <c r="AP108" s="221"/>
      <c r="AQ108" s="222" t="e">
        <f>AP108/AO108</f>
        <v>#DIV/0!</v>
      </c>
      <c r="AR108" s="220" t="e">
        <f>RANK(AQ108, AQ$7:AQ$21)</f>
        <v>#DIV/0!</v>
      </c>
      <c r="AS108" s="437"/>
      <c r="AT108" s="221"/>
      <c r="AU108" s="221"/>
      <c r="AV108" s="222" t="e">
        <f>AU108/AT108</f>
        <v>#DIV/0!</v>
      </c>
      <c r="AW108" s="220" t="e">
        <f>RANK(AV108, AV$7:AV$21)</f>
        <v>#DIV/0!</v>
      </c>
      <c r="AX108" s="437"/>
    </row>
    <row r="109" spans="2:50">
      <c r="B109" s="438"/>
      <c r="C109" s="220">
        <v>3</v>
      </c>
      <c r="D109" s="220" t="s">
        <v>63</v>
      </c>
      <c r="E109" s="221">
        <f>VLOOKUP(D109,'11產線配置圖'!$A$2:$C$30,2,0)</f>
        <v>12</v>
      </c>
      <c r="F109" s="221">
        <f>VLOOKUP(D109,'11產線配置圖'!$A$2:$C$30,3,0)</f>
        <v>1565</v>
      </c>
      <c r="G109" s="222">
        <f>F109/E109</f>
        <v>130.41666666666666</v>
      </c>
      <c r="H109" s="440"/>
      <c r="I109" s="221" t="e">
        <f t="shared" si="9"/>
        <v>#DIV/0!</v>
      </c>
      <c r="J109" s="221" t="e">
        <f t="shared" si="9"/>
        <v>#DIV/0!</v>
      </c>
      <c r="K109" s="222" t="e">
        <f>AVERAGE(AG109,AL109,AQ109,AV109)</f>
        <v>#DIV/0!</v>
      </c>
      <c r="L109" s="440"/>
      <c r="M109" s="223" t="e">
        <f>RANK(K109, K$7:$K$21)</f>
        <v>#DIV/0!</v>
      </c>
      <c r="N109" s="445"/>
      <c r="O109" s="445"/>
      <c r="P109" s="221"/>
      <c r="Q109" s="221"/>
      <c r="R109" s="222" t="e">
        <f t="shared" si="10"/>
        <v>#DIV/0!</v>
      </c>
      <c r="S109" s="220" t="e">
        <f t="shared" si="11"/>
        <v>#DIV/0!</v>
      </c>
      <c r="T109" s="437"/>
      <c r="U109" s="221"/>
      <c r="V109" s="221"/>
      <c r="W109" s="222" t="e">
        <f t="shared" si="12"/>
        <v>#DIV/0!</v>
      </c>
      <c r="X109" s="220" t="e">
        <f t="shared" si="13"/>
        <v>#DIV/0!</v>
      </c>
      <c r="Y109" s="437"/>
      <c r="Z109" s="220"/>
      <c r="AA109" s="221"/>
      <c r="AB109" s="222" t="e">
        <f t="shared" si="14"/>
        <v>#DIV/0!</v>
      </c>
      <c r="AC109" s="220" t="e">
        <f t="shared" si="15"/>
        <v>#DIV/0!</v>
      </c>
      <c r="AD109" s="437"/>
      <c r="AE109" s="221"/>
      <c r="AF109" s="221"/>
      <c r="AG109" s="222" t="e">
        <f>AF109/AE109</f>
        <v>#DIV/0!</v>
      </c>
      <c r="AH109" s="220" t="e">
        <f>RANK(AG109, AG$7:AG$21)</f>
        <v>#DIV/0!</v>
      </c>
      <c r="AI109" s="437"/>
      <c r="AJ109" s="221"/>
      <c r="AK109" s="221"/>
      <c r="AL109" s="222" t="e">
        <f>AK109/AJ109</f>
        <v>#DIV/0!</v>
      </c>
      <c r="AM109" s="220" t="e">
        <f>RANK(AL109, AL$7:AL$21)</f>
        <v>#DIV/0!</v>
      </c>
      <c r="AN109" s="437"/>
      <c r="AO109" s="221"/>
      <c r="AP109" s="221"/>
      <c r="AQ109" s="222" t="e">
        <f>AP109/AO109</f>
        <v>#DIV/0!</v>
      </c>
      <c r="AR109" s="220" t="e">
        <f>RANK(AQ109, AQ$7:AQ$21)</f>
        <v>#DIV/0!</v>
      </c>
      <c r="AS109" s="437"/>
      <c r="AT109" s="221"/>
      <c r="AU109" s="221"/>
      <c r="AV109" s="222" t="e">
        <f>AU109/AT109</f>
        <v>#DIV/0!</v>
      </c>
      <c r="AW109" s="220" t="e">
        <f>RANK(AV109, AV$7:AV$21)</f>
        <v>#DIV/0!</v>
      </c>
      <c r="AX109" s="437"/>
    </row>
    <row r="110" spans="2:50">
      <c r="B110" s="438"/>
      <c r="C110" s="220">
        <v>4</v>
      </c>
      <c r="D110" s="220"/>
      <c r="E110" s="221"/>
      <c r="F110" s="221"/>
      <c r="G110" s="222"/>
      <c r="H110" s="440"/>
      <c r="I110" s="221"/>
      <c r="J110" s="221"/>
      <c r="K110" s="222"/>
      <c r="L110" s="440"/>
      <c r="M110" s="223" t="e">
        <f>RANK(K110, K$7:$K$21)</f>
        <v>#N/A</v>
      </c>
      <c r="N110" s="445"/>
      <c r="O110" s="445"/>
      <c r="P110" s="221"/>
      <c r="Q110" s="221"/>
      <c r="R110" s="222" t="e">
        <f t="shared" si="10"/>
        <v>#DIV/0!</v>
      </c>
      <c r="S110" s="220" t="e">
        <f t="shared" si="11"/>
        <v>#DIV/0!</v>
      </c>
      <c r="T110" s="437"/>
      <c r="U110" s="221"/>
      <c r="V110" s="221"/>
      <c r="W110" s="222" t="e">
        <f t="shared" si="12"/>
        <v>#DIV/0!</v>
      </c>
      <c r="X110" s="220" t="e">
        <f t="shared" si="13"/>
        <v>#DIV/0!</v>
      </c>
      <c r="Y110" s="437"/>
      <c r="Z110" s="220"/>
      <c r="AA110" s="221"/>
      <c r="AB110" s="222" t="e">
        <f t="shared" si="14"/>
        <v>#DIV/0!</v>
      </c>
      <c r="AC110" s="220" t="e">
        <f t="shared" si="15"/>
        <v>#DIV/0!</v>
      </c>
      <c r="AD110" s="437"/>
      <c r="AE110" s="221"/>
      <c r="AF110" s="221"/>
      <c r="AG110" s="222"/>
      <c r="AH110" s="220"/>
      <c r="AI110" s="437"/>
      <c r="AJ110" s="221"/>
      <c r="AK110" s="221"/>
      <c r="AL110" s="222"/>
      <c r="AM110" s="220"/>
      <c r="AN110" s="437"/>
      <c r="AO110" s="221"/>
      <c r="AP110" s="221"/>
      <c r="AQ110" s="222"/>
      <c r="AR110" s="220"/>
      <c r="AS110" s="437"/>
      <c r="AT110" s="221"/>
      <c r="AU110" s="221"/>
      <c r="AV110" s="222"/>
      <c r="AW110" s="220"/>
      <c r="AX110" s="437"/>
    </row>
    <row r="111" spans="2:50">
      <c r="B111" s="438"/>
      <c r="C111" s="220">
        <v>5</v>
      </c>
      <c r="D111" s="220"/>
      <c r="E111" s="221"/>
      <c r="F111" s="221"/>
      <c r="G111" s="222"/>
      <c r="H111" s="440"/>
      <c r="I111" s="221"/>
      <c r="J111" s="221"/>
      <c r="K111" s="222"/>
      <c r="L111" s="440"/>
      <c r="M111" s="223" t="e">
        <f>RANK(K111, K$7:$K$21)</f>
        <v>#N/A</v>
      </c>
      <c r="N111" s="445"/>
      <c r="O111" s="445"/>
      <c r="P111" s="221"/>
      <c r="Q111" s="221"/>
      <c r="R111" s="222" t="e">
        <f t="shared" si="10"/>
        <v>#DIV/0!</v>
      </c>
      <c r="S111" s="220" t="e">
        <f t="shared" si="11"/>
        <v>#DIV/0!</v>
      </c>
      <c r="T111" s="437"/>
      <c r="U111" s="221"/>
      <c r="V111" s="221"/>
      <c r="W111" s="222" t="e">
        <f t="shared" si="12"/>
        <v>#DIV/0!</v>
      </c>
      <c r="X111" s="220" t="e">
        <f t="shared" si="13"/>
        <v>#DIV/0!</v>
      </c>
      <c r="Y111" s="437"/>
      <c r="Z111" s="220"/>
      <c r="AA111" s="221"/>
      <c r="AB111" s="222" t="e">
        <f t="shared" si="14"/>
        <v>#DIV/0!</v>
      </c>
      <c r="AC111" s="220" t="e">
        <f t="shared" si="15"/>
        <v>#DIV/0!</v>
      </c>
      <c r="AD111" s="437"/>
      <c r="AE111" s="221"/>
      <c r="AF111" s="221"/>
      <c r="AG111" s="222"/>
      <c r="AH111" s="220"/>
      <c r="AI111" s="437"/>
      <c r="AJ111" s="221"/>
      <c r="AK111" s="221"/>
      <c r="AL111" s="222"/>
      <c r="AM111" s="220"/>
      <c r="AN111" s="437"/>
      <c r="AO111" s="221"/>
      <c r="AP111" s="221"/>
      <c r="AQ111" s="222"/>
      <c r="AR111" s="220"/>
      <c r="AS111" s="437"/>
      <c r="AT111" s="221"/>
      <c r="AU111" s="221"/>
      <c r="AV111" s="222"/>
      <c r="AW111" s="220"/>
      <c r="AX111" s="437"/>
    </row>
    <row r="112" spans="2:50">
      <c r="B112" s="438"/>
      <c r="C112" s="220">
        <v>6</v>
      </c>
      <c r="D112" s="220"/>
      <c r="E112" s="221"/>
      <c r="F112" s="221"/>
      <c r="G112" s="222"/>
      <c r="H112" s="440"/>
      <c r="I112" s="221"/>
      <c r="J112" s="221"/>
      <c r="K112" s="222"/>
      <c r="L112" s="440"/>
      <c r="M112" s="223" t="e">
        <f>RANK(K112, K$7:$K$21)</f>
        <v>#N/A</v>
      </c>
      <c r="N112" s="445"/>
      <c r="O112" s="445"/>
      <c r="P112" s="221"/>
      <c r="Q112" s="221"/>
      <c r="R112" s="222" t="e">
        <f t="shared" si="10"/>
        <v>#DIV/0!</v>
      </c>
      <c r="S112" s="220" t="e">
        <f t="shared" si="11"/>
        <v>#DIV/0!</v>
      </c>
      <c r="T112" s="437"/>
      <c r="U112" s="221"/>
      <c r="V112" s="221"/>
      <c r="W112" s="222" t="e">
        <f t="shared" si="12"/>
        <v>#DIV/0!</v>
      </c>
      <c r="X112" s="220" t="e">
        <f t="shared" si="13"/>
        <v>#DIV/0!</v>
      </c>
      <c r="Y112" s="437"/>
      <c r="Z112" s="220"/>
      <c r="AA112" s="221"/>
      <c r="AB112" s="222" t="e">
        <f t="shared" si="14"/>
        <v>#DIV/0!</v>
      </c>
      <c r="AC112" s="220" t="e">
        <f t="shared" si="15"/>
        <v>#DIV/0!</v>
      </c>
      <c r="AD112" s="437"/>
      <c r="AE112" s="221"/>
      <c r="AF112" s="221"/>
      <c r="AG112" s="222"/>
      <c r="AH112" s="220"/>
      <c r="AI112" s="437"/>
      <c r="AJ112" s="221"/>
      <c r="AK112" s="221"/>
      <c r="AL112" s="222"/>
      <c r="AM112" s="220"/>
      <c r="AN112" s="437"/>
      <c r="AO112" s="221"/>
      <c r="AP112" s="221"/>
      <c r="AQ112" s="222"/>
      <c r="AR112" s="220"/>
      <c r="AS112" s="437"/>
      <c r="AT112" s="221"/>
      <c r="AU112" s="221"/>
      <c r="AV112" s="222"/>
      <c r="AW112" s="220"/>
      <c r="AX112" s="437"/>
    </row>
    <row r="113" spans="2:50">
      <c r="B113" s="438"/>
      <c r="C113" s="220">
        <v>7</v>
      </c>
      <c r="D113" s="220"/>
      <c r="E113" s="221"/>
      <c r="F113" s="221"/>
      <c r="G113" s="222"/>
      <c r="H113" s="440"/>
      <c r="I113" s="221"/>
      <c r="J113" s="221"/>
      <c r="K113" s="222"/>
      <c r="L113" s="440"/>
      <c r="M113" s="223" t="e">
        <f>RANK(K113, K$7:$K$21)</f>
        <v>#N/A</v>
      </c>
      <c r="N113" s="445"/>
      <c r="O113" s="445"/>
      <c r="P113" s="221"/>
      <c r="Q113" s="221"/>
      <c r="R113" s="222" t="e">
        <f t="shared" si="10"/>
        <v>#DIV/0!</v>
      </c>
      <c r="S113" s="220" t="e">
        <f t="shared" si="11"/>
        <v>#DIV/0!</v>
      </c>
      <c r="T113" s="437"/>
      <c r="U113" s="221"/>
      <c r="V113" s="221"/>
      <c r="W113" s="222" t="e">
        <f t="shared" si="12"/>
        <v>#DIV/0!</v>
      </c>
      <c r="X113" s="220" t="e">
        <f t="shared" si="13"/>
        <v>#DIV/0!</v>
      </c>
      <c r="Y113" s="437"/>
      <c r="Z113" s="220"/>
      <c r="AA113" s="221"/>
      <c r="AB113" s="222" t="e">
        <f t="shared" si="14"/>
        <v>#DIV/0!</v>
      </c>
      <c r="AC113" s="220" t="e">
        <f t="shared" si="15"/>
        <v>#DIV/0!</v>
      </c>
      <c r="AD113" s="437"/>
      <c r="AE113" s="221"/>
      <c r="AF113" s="221"/>
      <c r="AG113" s="222"/>
      <c r="AH113" s="220"/>
      <c r="AI113" s="437"/>
      <c r="AJ113" s="221"/>
      <c r="AK113" s="221"/>
      <c r="AL113" s="222"/>
      <c r="AM113" s="220"/>
      <c r="AN113" s="437"/>
      <c r="AO113" s="221"/>
      <c r="AP113" s="221"/>
      <c r="AQ113" s="222"/>
      <c r="AR113" s="220"/>
      <c r="AS113" s="437"/>
      <c r="AT113" s="221"/>
      <c r="AU113" s="221"/>
      <c r="AV113" s="222"/>
      <c r="AW113" s="220"/>
      <c r="AX113" s="437"/>
    </row>
    <row r="114" spans="2:50">
      <c r="B114" s="438"/>
      <c r="C114" s="220">
        <v>8</v>
      </c>
      <c r="D114" s="220"/>
      <c r="E114" s="221"/>
      <c r="F114" s="221"/>
      <c r="G114" s="222"/>
      <c r="H114" s="440"/>
      <c r="I114" s="221"/>
      <c r="J114" s="221"/>
      <c r="K114" s="222"/>
      <c r="L114" s="440"/>
      <c r="M114" s="223" t="e">
        <f>RANK(K114, K$7:$K$21)</f>
        <v>#N/A</v>
      </c>
      <c r="N114" s="445"/>
      <c r="O114" s="445"/>
      <c r="P114" s="221"/>
      <c r="Q114" s="221"/>
      <c r="R114" s="222"/>
      <c r="S114" s="220"/>
      <c r="T114" s="437"/>
      <c r="U114" s="221"/>
      <c r="V114" s="221"/>
      <c r="W114" s="222"/>
      <c r="X114" s="220"/>
      <c r="Y114" s="437"/>
      <c r="Z114" s="220"/>
      <c r="AA114" s="221"/>
      <c r="AB114" s="222"/>
      <c r="AC114" s="220"/>
      <c r="AD114" s="437"/>
      <c r="AE114" s="221"/>
      <c r="AF114" s="221"/>
      <c r="AG114" s="222"/>
      <c r="AH114" s="220"/>
      <c r="AI114" s="437"/>
      <c r="AJ114" s="221"/>
      <c r="AK114" s="221"/>
      <c r="AL114" s="222"/>
      <c r="AM114" s="220"/>
      <c r="AN114" s="437"/>
      <c r="AO114" s="221"/>
      <c r="AP114" s="221"/>
      <c r="AQ114" s="222"/>
      <c r="AR114" s="220"/>
      <c r="AS114" s="437"/>
      <c r="AT114" s="221"/>
      <c r="AU114" s="221"/>
      <c r="AV114" s="222"/>
      <c r="AW114" s="220"/>
      <c r="AX114" s="437"/>
    </row>
    <row r="115" spans="2:50">
      <c r="B115" s="438"/>
      <c r="C115" s="220">
        <v>9</v>
      </c>
      <c r="D115" s="220"/>
      <c r="E115" s="221"/>
      <c r="F115" s="221"/>
      <c r="G115" s="222"/>
      <c r="H115" s="440"/>
      <c r="I115" s="221"/>
      <c r="J115" s="221"/>
      <c r="K115" s="222"/>
      <c r="L115" s="440"/>
      <c r="M115" s="223" t="e">
        <f>RANK(K115, K$7:$K$21)</f>
        <v>#N/A</v>
      </c>
      <c r="N115" s="445"/>
      <c r="O115" s="445"/>
      <c r="P115" s="221"/>
      <c r="Q115" s="221"/>
      <c r="R115" s="222"/>
      <c r="S115" s="220"/>
      <c r="T115" s="437"/>
      <c r="U115" s="221"/>
      <c r="V115" s="221"/>
      <c r="W115" s="222"/>
      <c r="X115" s="220"/>
      <c r="Y115" s="437"/>
      <c r="Z115" s="220"/>
      <c r="AA115" s="221"/>
      <c r="AB115" s="222"/>
      <c r="AC115" s="220"/>
      <c r="AD115" s="437"/>
      <c r="AE115" s="221"/>
      <c r="AF115" s="221"/>
      <c r="AG115" s="222"/>
      <c r="AH115" s="220"/>
      <c r="AI115" s="437"/>
      <c r="AJ115" s="221"/>
      <c r="AK115" s="221"/>
      <c r="AL115" s="222"/>
      <c r="AM115" s="220"/>
      <c r="AN115" s="437"/>
      <c r="AO115" s="221"/>
      <c r="AP115" s="221"/>
      <c r="AQ115" s="222"/>
      <c r="AR115" s="220"/>
      <c r="AS115" s="437"/>
      <c r="AT115" s="221"/>
      <c r="AU115" s="221"/>
      <c r="AV115" s="222"/>
      <c r="AW115" s="220"/>
      <c r="AX115" s="437"/>
    </row>
    <row r="116" spans="2:50">
      <c r="B116" s="438"/>
      <c r="C116" s="220">
        <v>10</v>
      </c>
      <c r="D116" s="220"/>
      <c r="E116" s="221"/>
      <c r="F116" s="221"/>
      <c r="G116" s="222"/>
      <c r="H116" s="440"/>
      <c r="I116" s="221"/>
      <c r="J116" s="221"/>
      <c r="K116" s="222"/>
      <c r="L116" s="440"/>
      <c r="M116" s="223" t="e">
        <f>RANK(K116, K$7:$K$21)</f>
        <v>#N/A</v>
      </c>
      <c r="N116" s="445"/>
      <c r="O116" s="445"/>
      <c r="P116" s="221"/>
      <c r="Q116" s="221"/>
      <c r="R116" s="222"/>
      <c r="S116" s="220"/>
      <c r="T116" s="437"/>
      <c r="U116" s="221"/>
      <c r="V116" s="221"/>
      <c r="W116" s="222"/>
      <c r="X116" s="220"/>
      <c r="Y116" s="437"/>
      <c r="Z116" s="220"/>
      <c r="AA116" s="221"/>
      <c r="AB116" s="222"/>
      <c r="AC116" s="220"/>
      <c r="AD116" s="437"/>
      <c r="AE116" s="221"/>
      <c r="AF116" s="221"/>
      <c r="AG116" s="222"/>
      <c r="AH116" s="220"/>
      <c r="AI116" s="437"/>
      <c r="AJ116" s="221"/>
      <c r="AK116" s="221"/>
      <c r="AL116" s="222"/>
      <c r="AM116" s="220"/>
      <c r="AN116" s="437"/>
      <c r="AO116" s="221"/>
      <c r="AP116" s="221"/>
      <c r="AQ116" s="222"/>
      <c r="AR116" s="220"/>
      <c r="AS116" s="437"/>
      <c r="AT116" s="221"/>
      <c r="AU116" s="221"/>
      <c r="AV116" s="222"/>
      <c r="AW116" s="220"/>
      <c r="AX116" s="437"/>
    </row>
    <row r="117" spans="2:50">
      <c r="B117" s="438"/>
      <c r="C117" s="220">
        <v>11</v>
      </c>
      <c r="D117" s="220"/>
      <c r="E117" s="221"/>
      <c r="F117" s="221"/>
      <c r="G117" s="222"/>
      <c r="H117" s="440"/>
      <c r="I117" s="221"/>
      <c r="J117" s="221"/>
      <c r="K117" s="222"/>
      <c r="L117" s="440"/>
      <c r="M117" s="223" t="e">
        <f>RANK(K117, K$7:$K$21)</f>
        <v>#N/A</v>
      </c>
      <c r="N117" s="445"/>
      <c r="O117" s="445"/>
      <c r="P117" s="220"/>
      <c r="Q117" s="220"/>
      <c r="R117" s="222"/>
      <c r="S117" s="220"/>
      <c r="T117" s="437"/>
      <c r="U117" s="220"/>
      <c r="V117" s="220"/>
      <c r="W117" s="222"/>
      <c r="X117" s="220"/>
      <c r="Y117" s="437"/>
      <c r="Z117" s="220"/>
      <c r="AA117" s="220"/>
      <c r="AB117" s="222"/>
      <c r="AC117" s="220"/>
      <c r="AD117" s="437"/>
      <c r="AE117" s="220"/>
      <c r="AF117" s="220"/>
      <c r="AG117" s="222"/>
      <c r="AH117" s="220"/>
      <c r="AI117" s="437"/>
      <c r="AJ117" s="220"/>
      <c r="AK117" s="220"/>
      <c r="AL117" s="220"/>
      <c r="AM117" s="220"/>
      <c r="AN117" s="437"/>
      <c r="AO117" s="220"/>
      <c r="AP117" s="220"/>
      <c r="AQ117" s="222"/>
      <c r="AR117" s="220"/>
      <c r="AS117" s="437"/>
      <c r="AT117" s="220"/>
      <c r="AU117" s="220"/>
      <c r="AV117" s="222"/>
      <c r="AW117" s="220"/>
      <c r="AX117" s="437"/>
    </row>
    <row r="118" spans="2:50">
      <c r="B118" s="438"/>
      <c r="C118" s="220">
        <v>12</v>
      </c>
      <c r="D118" s="220"/>
      <c r="E118" s="221"/>
      <c r="F118" s="221"/>
      <c r="G118" s="222"/>
      <c r="H118" s="440"/>
      <c r="I118" s="221"/>
      <c r="J118" s="221"/>
      <c r="K118" s="222"/>
      <c r="L118" s="440"/>
      <c r="M118" s="223" t="e">
        <f>RANK(K118, K$7:$K$21)</f>
        <v>#N/A</v>
      </c>
      <c r="N118" s="445"/>
      <c r="O118" s="445"/>
      <c r="P118" s="220"/>
      <c r="Q118" s="220"/>
      <c r="R118" s="222"/>
      <c r="S118" s="220"/>
      <c r="T118" s="437"/>
      <c r="U118" s="220"/>
      <c r="V118" s="220"/>
      <c r="W118" s="222"/>
      <c r="X118" s="220"/>
      <c r="Y118" s="437"/>
      <c r="Z118" s="220"/>
      <c r="AA118" s="220"/>
      <c r="AB118" s="222"/>
      <c r="AC118" s="220"/>
      <c r="AD118" s="437"/>
      <c r="AE118" s="220"/>
      <c r="AF118" s="220"/>
      <c r="AG118" s="222"/>
      <c r="AH118" s="220"/>
      <c r="AI118" s="437"/>
      <c r="AJ118" s="220"/>
      <c r="AK118" s="220"/>
      <c r="AL118" s="220"/>
      <c r="AM118" s="220"/>
      <c r="AN118" s="437"/>
      <c r="AO118" s="220"/>
      <c r="AP118" s="220"/>
      <c r="AQ118" s="222"/>
      <c r="AR118" s="220"/>
      <c r="AS118" s="437"/>
      <c r="AT118" s="220"/>
      <c r="AU118" s="220"/>
      <c r="AV118" s="222"/>
      <c r="AW118" s="220"/>
      <c r="AX118" s="437"/>
    </row>
    <row r="119" spans="2:50">
      <c r="B119" s="438"/>
      <c r="C119" s="220">
        <v>13</v>
      </c>
      <c r="D119" s="220"/>
      <c r="E119" s="221"/>
      <c r="F119" s="221"/>
      <c r="G119" s="222"/>
      <c r="H119" s="440"/>
      <c r="I119" s="221"/>
      <c r="J119" s="221"/>
      <c r="K119" s="222"/>
      <c r="L119" s="440"/>
      <c r="M119" s="223" t="e">
        <f>RANK(K119, K$7:$K$21)</f>
        <v>#N/A</v>
      </c>
      <c r="N119" s="445"/>
      <c r="O119" s="445"/>
      <c r="P119" s="220"/>
      <c r="Q119" s="220"/>
      <c r="R119" s="222"/>
      <c r="S119" s="220"/>
      <c r="T119" s="437"/>
      <c r="U119" s="220"/>
      <c r="V119" s="220"/>
      <c r="W119" s="222"/>
      <c r="X119" s="220"/>
      <c r="Y119" s="437"/>
      <c r="Z119" s="220"/>
      <c r="AA119" s="220"/>
      <c r="AB119" s="222"/>
      <c r="AC119" s="220"/>
      <c r="AD119" s="437"/>
      <c r="AE119" s="220"/>
      <c r="AF119" s="220"/>
      <c r="AG119" s="222"/>
      <c r="AH119" s="220"/>
      <c r="AI119" s="437"/>
      <c r="AJ119" s="220"/>
      <c r="AK119" s="220"/>
      <c r="AL119" s="220"/>
      <c r="AM119" s="220"/>
      <c r="AN119" s="437"/>
      <c r="AO119" s="220"/>
      <c r="AP119" s="220"/>
      <c r="AQ119" s="222"/>
      <c r="AR119" s="220"/>
      <c r="AS119" s="437"/>
      <c r="AT119" s="220"/>
      <c r="AU119" s="220"/>
      <c r="AV119" s="222"/>
      <c r="AW119" s="220"/>
      <c r="AX119" s="437"/>
    </row>
    <row r="120" spans="2:50">
      <c r="B120" s="438"/>
      <c r="C120" s="220">
        <v>14</v>
      </c>
      <c r="D120" s="220"/>
      <c r="E120" s="221"/>
      <c r="F120" s="221"/>
      <c r="G120" s="222"/>
      <c r="H120" s="440"/>
      <c r="I120" s="221"/>
      <c r="J120" s="221"/>
      <c r="K120" s="222"/>
      <c r="L120" s="440"/>
      <c r="M120" s="223" t="e">
        <f>RANK(K120, K$7:$K$21)</f>
        <v>#N/A</v>
      </c>
      <c r="N120" s="445"/>
      <c r="O120" s="445"/>
      <c r="P120" s="220"/>
      <c r="Q120" s="220"/>
      <c r="R120" s="222"/>
      <c r="S120" s="220"/>
      <c r="T120" s="437"/>
      <c r="U120" s="220"/>
      <c r="V120" s="220"/>
      <c r="W120" s="222"/>
      <c r="X120" s="220"/>
      <c r="Y120" s="437"/>
      <c r="Z120" s="220"/>
      <c r="AA120" s="220"/>
      <c r="AB120" s="222"/>
      <c r="AC120" s="220"/>
      <c r="AD120" s="437"/>
      <c r="AE120" s="220"/>
      <c r="AF120" s="220"/>
      <c r="AG120" s="222"/>
      <c r="AH120" s="220"/>
      <c r="AI120" s="437"/>
      <c r="AJ120" s="220"/>
      <c r="AK120" s="220"/>
      <c r="AL120" s="220"/>
      <c r="AM120" s="220"/>
      <c r="AN120" s="437"/>
      <c r="AO120" s="220"/>
      <c r="AP120" s="220"/>
      <c r="AQ120" s="222"/>
      <c r="AR120" s="220"/>
      <c r="AS120" s="437"/>
      <c r="AT120" s="220"/>
      <c r="AU120" s="220"/>
      <c r="AV120" s="222"/>
      <c r="AW120" s="220"/>
      <c r="AX120" s="437"/>
    </row>
    <row r="121" spans="2:50">
      <c r="B121" s="438"/>
      <c r="C121" s="220">
        <v>15</v>
      </c>
      <c r="D121" s="220"/>
      <c r="E121" s="221"/>
      <c r="F121" s="221"/>
      <c r="G121" s="222"/>
      <c r="H121" s="441"/>
      <c r="I121" s="221"/>
      <c r="J121" s="221"/>
      <c r="K121" s="222"/>
      <c r="L121" s="441"/>
      <c r="M121" s="221" t="e">
        <f>RANK(K121, K$7:$K$21)</f>
        <v>#N/A</v>
      </c>
      <c r="N121" s="445"/>
      <c r="O121" s="445"/>
      <c r="P121" s="220"/>
      <c r="Q121" s="220"/>
      <c r="R121" s="222"/>
      <c r="S121" s="220"/>
      <c r="T121" s="437"/>
      <c r="U121" s="220"/>
      <c r="V121" s="220"/>
      <c r="W121" s="222"/>
      <c r="X121" s="220"/>
      <c r="Y121" s="437"/>
      <c r="Z121" s="220"/>
      <c r="AA121" s="220"/>
      <c r="AB121" s="222"/>
      <c r="AC121" s="220"/>
      <c r="AD121" s="437"/>
      <c r="AE121" s="220"/>
      <c r="AF121" s="220"/>
      <c r="AG121" s="222"/>
      <c r="AH121" s="220"/>
      <c r="AI121" s="437"/>
      <c r="AJ121" s="220"/>
      <c r="AK121" s="220"/>
      <c r="AL121" s="220"/>
      <c r="AM121" s="220"/>
      <c r="AN121" s="437"/>
      <c r="AO121" s="220"/>
      <c r="AP121" s="220"/>
      <c r="AQ121" s="222"/>
      <c r="AR121" s="220"/>
      <c r="AS121" s="437"/>
      <c r="AT121" s="220"/>
      <c r="AU121" s="220"/>
      <c r="AV121" s="222"/>
      <c r="AW121" s="220"/>
      <c r="AX121" s="437"/>
    </row>
  </sheetData>
  <mergeCells count="354"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AO83:AS83"/>
    <mergeCell ref="U83:Y83"/>
    <mergeCell ref="Z83:AD83"/>
    <mergeCell ref="AE83:AI83"/>
    <mergeCell ref="AJ83:AN83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O82:AS82"/>
    <mergeCell ref="U85:X85"/>
    <mergeCell ref="P82:T82"/>
    <mergeCell ref="B67:B81"/>
    <mergeCell ref="H67:H81"/>
    <mergeCell ref="B64:B66"/>
    <mergeCell ref="C64:D66"/>
    <mergeCell ref="L67:L81"/>
    <mergeCell ref="P83:T83"/>
    <mergeCell ref="Y87:Y101"/>
    <mergeCell ref="AJ84:AM84"/>
    <mergeCell ref="Y84:Y86"/>
    <mergeCell ref="AD87:AD101"/>
    <mergeCell ref="AI87:AI101"/>
    <mergeCell ref="E85:G85"/>
    <mergeCell ref="I85:K85"/>
    <mergeCell ref="P85:S85"/>
    <mergeCell ref="M84:M86"/>
    <mergeCell ref="N84:N101"/>
    <mergeCell ref="O84:O101"/>
    <mergeCell ref="H87:H101"/>
    <mergeCell ref="L87:L101"/>
    <mergeCell ref="T87:T101"/>
    <mergeCell ref="P84:S84"/>
    <mergeCell ref="B87:B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D67:AD81"/>
    <mergeCell ref="AI67:AI81"/>
    <mergeCell ref="H64:H66"/>
    <mergeCell ref="U82:Y82"/>
    <mergeCell ref="Z82:AD82"/>
    <mergeCell ref="AE82:AI82"/>
    <mergeCell ref="AJ82:AN82"/>
    <mergeCell ref="T67:T81"/>
    <mergeCell ref="B82:H83"/>
    <mergeCell ref="N82:N83"/>
    <mergeCell ref="O82:O83"/>
    <mergeCell ref="AO65:AR65"/>
    <mergeCell ref="AT65:AW65"/>
    <mergeCell ref="AS64:AS66"/>
    <mergeCell ref="AT64:AW64"/>
    <mergeCell ref="AN64:AN66"/>
    <mergeCell ref="AO64:AR64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E45:G45"/>
    <mergeCell ref="I45:K45"/>
    <mergeCell ref="P45:S45"/>
    <mergeCell ref="Z63:AD63"/>
    <mergeCell ref="AE63:AI63"/>
    <mergeCell ref="N62:N63"/>
    <mergeCell ref="O62:O63"/>
    <mergeCell ref="P62:T62"/>
    <mergeCell ref="M44:M46"/>
    <mergeCell ref="N44:N61"/>
    <mergeCell ref="T47:T61"/>
    <mergeCell ref="B62:H63"/>
    <mergeCell ref="E64:G64"/>
    <mergeCell ref="AJ65:AM65"/>
    <mergeCell ref="U62:Y62"/>
    <mergeCell ref="Y47:Y61"/>
    <mergeCell ref="T27:T41"/>
    <mergeCell ref="Y27:Y41"/>
    <mergeCell ref="AD47:AD61"/>
    <mergeCell ref="AI47:AI61"/>
    <mergeCell ref="AJ44:AM44"/>
    <mergeCell ref="AE45:AH45"/>
    <mergeCell ref="AJ45:AM45"/>
    <mergeCell ref="AD44:AD46"/>
    <mergeCell ref="U45:X45"/>
    <mergeCell ref="Z45:AC45"/>
    <mergeCell ref="Y44:Y46"/>
    <mergeCell ref="Z44:AC44"/>
    <mergeCell ref="P63:T63"/>
    <mergeCell ref="U63:Y63"/>
    <mergeCell ref="B44:B46"/>
    <mergeCell ref="C44:D46"/>
    <mergeCell ref="O44:O61"/>
    <mergeCell ref="P44:S44"/>
    <mergeCell ref="T44:T46"/>
    <mergeCell ref="U44:X44"/>
    <mergeCell ref="E44:G44"/>
    <mergeCell ref="H44:H46"/>
    <mergeCell ref="I44:K44"/>
    <mergeCell ref="L44:L46"/>
    <mergeCell ref="B47:B61"/>
    <mergeCell ref="H47:H61"/>
    <mergeCell ref="L47:L61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AN47:AN61"/>
    <mergeCell ref="AE44:AH44"/>
    <mergeCell ref="AI44:AI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AN27:AN41"/>
    <mergeCell ref="N24:N41"/>
    <mergeCell ref="O24:O41"/>
    <mergeCell ref="Z43:AD43"/>
    <mergeCell ref="E24:G24"/>
    <mergeCell ref="H24:H26"/>
    <mergeCell ref="Y24:Y26"/>
    <mergeCell ref="Z24:AC24"/>
    <mergeCell ref="AS27:AS41"/>
    <mergeCell ref="B27:B41"/>
    <mergeCell ref="B24:B26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AN24:AN26"/>
    <mergeCell ref="P24:S24"/>
    <mergeCell ref="T24:T26"/>
    <mergeCell ref="AD27:AD41"/>
    <mergeCell ref="AI27:AI41"/>
    <mergeCell ref="AT22:AX22"/>
    <mergeCell ref="P23:T23"/>
    <mergeCell ref="U23:Y23"/>
    <mergeCell ref="Z23:AD23"/>
    <mergeCell ref="AE23:AI23"/>
    <mergeCell ref="AJ23:AN23"/>
    <mergeCell ref="I24:K24"/>
    <mergeCell ref="L24:L26"/>
    <mergeCell ref="AT23:AX23"/>
    <mergeCell ref="AO25:AR25"/>
    <mergeCell ref="AT25:AW25"/>
    <mergeCell ref="AO24:AR24"/>
    <mergeCell ref="AS24:AS26"/>
    <mergeCell ref="AT24:AW24"/>
    <mergeCell ref="M24:M26"/>
    <mergeCell ref="U24:X24"/>
    <mergeCell ref="AD24:AD26"/>
    <mergeCell ref="B2:H3"/>
    <mergeCell ref="N2:N3"/>
    <mergeCell ref="O2:O3"/>
    <mergeCell ref="AE2:AI2"/>
    <mergeCell ref="AJ2:AN2"/>
    <mergeCell ref="AO23:AS2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4:B6"/>
    <mergeCell ref="C4:D6"/>
    <mergeCell ref="E4:G4"/>
    <mergeCell ref="AO4:AR4"/>
    <mergeCell ref="U4:X4"/>
    <mergeCell ref="O4:O21"/>
    <mergeCell ref="Y4:Y6"/>
    <mergeCell ref="Z4:AC4"/>
    <mergeCell ref="AD4:AD6"/>
    <mergeCell ref="M4:M6"/>
    <mergeCell ref="N4:N21"/>
    <mergeCell ref="B7:B21"/>
    <mergeCell ref="H7:H21"/>
    <mergeCell ref="L7:L21"/>
    <mergeCell ref="H4:H6"/>
    <mergeCell ref="I4:K4"/>
    <mergeCell ref="L4:L6"/>
    <mergeCell ref="T7:T21"/>
    <mergeCell ref="Y7:Y21"/>
    <mergeCell ref="AD7:AD21"/>
    <mergeCell ref="AI7:AI21"/>
    <mergeCell ref="AN7:AN21"/>
    <mergeCell ref="AJ103:AN103"/>
    <mergeCell ref="AO103:AS103"/>
    <mergeCell ref="AT103:AX103"/>
    <mergeCell ref="Z102:AD102"/>
    <mergeCell ref="AE102:AI102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AS7:AS21"/>
    <mergeCell ref="H27:H41"/>
    <mergeCell ref="L27:L41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T5:AW5"/>
    <mergeCell ref="AN4:AN6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AJ102:AN102"/>
    <mergeCell ref="AO102:AS102"/>
    <mergeCell ref="AT102:AX102"/>
    <mergeCell ref="Z103:AD103"/>
    <mergeCell ref="AE103:AI103"/>
    <mergeCell ref="AX7:AX21"/>
    <mergeCell ref="B102:H103"/>
    <mergeCell ref="N102:N103"/>
    <mergeCell ref="O102:O103"/>
    <mergeCell ref="P102:T102"/>
    <mergeCell ref="U102:Y102"/>
    <mergeCell ref="P103:T103"/>
    <mergeCell ref="U103:Y103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E104:AH104"/>
    <mergeCell ref="AI104:AI106"/>
    <mergeCell ref="AJ104:AM104"/>
    <mergeCell ref="AN104:AN106"/>
    <mergeCell ref="P104:S104"/>
    <mergeCell ref="AO104:AR104"/>
    <mergeCell ref="T104:T106"/>
    <mergeCell ref="U104:X104"/>
    <mergeCell ref="Y104:Y106"/>
    <mergeCell ref="Z104:AC104"/>
    <mergeCell ref="AD104:AD106"/>
    <mergeCell ref="AS104:AS106"/>
    <mergeCell ref="AT104:AW104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B11" sqref="B11"/>
    </sheetView>
  </sheetViews>
  <sheetFormatPr defaultColWidth="12.54296875" defaultRowHeight="15.75" customHeight="1"/>
  <cols>
    <col min="1" max="1" width="7.54296875" style="161" customWidth="1"/>
    <col min="2" max="2" width="14.81640625" style="161" customWidth="1"/>
    <col min="3" max="3" width="12.81640625" style="161" customWidth="1"/>
    <col min="4" max="4" width="2.54296875" style="161" customWidth="1"/>
    <col min="5" max="5" width="7.54296875" style="161" customWidth="1"/>
    <col min="6" max="6" width="12.81640625" style="161" customWidth="1"/>
    <col min="7" max="7" width="9.453125" style="161" customWidth="1"/>
    <col min="8" max="8" width="12.81640625" style="161" customWidth="1"/>
    <col min="9" max="9" width="9.453125" style="161" customWidth="1"/>
    <col min="10" max="10" width="12.81640625" style="161" customWidth="1"/>
    <col min="11" max="11" width="9.453125" style="161" customWidth="1"/>
    <col min="12" max="12" width="12.81640625" style="161" customWidth="1"/>
    <col min="13" max="13" width="9.453125" style="161" customWidth="1"/>
    <col min="14" max="20" width="12.54296875" style="161" customWidth="1"/>
    <col min="21" max="16384" width="12.54296875" style="161"/>
  </cols>
  <sheetData>
    <row r="1" spans="1:13" ht="15.75" customHeight="1">
      <c r="A1" s="391" t="s">
        <v>64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</row>
    <row r="2" spans="1:13" s="162" customFormat="1" ht="15.75" customHeight="1">
      <c r="A2" s="391"/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</row>
    <row r="3" spans="1:13" ht="15.75" customHeight="1">
      <c r="A3" s="494" t="s">
        <v>94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</row>
    <row r="4" spans="1:13" s="162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</row>
    <row r="5" spans="1:13" ht="15.75" customHeight="1">
      <c r="A5" s="355" t="s">
        <v>95</v>
      </c>
      <c r="B5" s="356">
        <v>16420357</v>
      </c>
      <c r="C5" s="357"/>
      <c r="D5" s="357"/>
      <c r="E5" s="512" t="s">
        <v>96</v>
      </c>
      <c r="F5" s="512"/>
      <c r="G5" s="512"/>
      <c r="H5" s="512"/>
      <c r="I5" s="512"/>
      <c r="J5" s="512"/>
      <c r="K5" s="512"/>
      <c r="L5" s="512"/>
      <c r="M5" s="513"/>
    </row>
    <row r="6" spans="1:13" ht="15.75" customHeight="1">
      <c r="A6" s="514" t="s">
        <v>97</v>
      </c>
      <c r="B6" s="515" t="s">
        <v>98</v>
      </c>
      <c r="C6" s="515"/>
      <c r="D6" s="516"/>
      <c r="E6" s="519" t="s">
        <v>97</v>
      </c>
      <c r="F6" s="496">
        <v>1</v>
      </c>
      <c r="G6" s="496"/>
      <c r="H6" s="496">
        <v>2</v>
      </c>
      <c r="I6" s="496"/>
      <c r="J6" s="496">
        <v>3</v>
      </c>
      <c r="K6" s="496"/>
      <c r="L6" s="496">
        <v>4</v>
      </c>
      <c r="M6" s="520"/>
    </row>
    <row r="7" spans="1:13" ht="31.4" customHeight="1">
      <c r="A7" s="514"/>
      <c r="B7" s="515"/>
      <c r="C7" s="515"/>
      <c r="D7" s="517"/>
      <c r="E7" s="519"/>
      <c r="F7" s="523" t="s">
        <v>99</v>
      </c>
      <c r="G7" s="523"/>
      <c r="H7" s="523" t="s">
        <v>100</v>
      </c>
      <c r="I7" s="523"/>
      <c r="J7" s="523" t="s">
        <v>101</v>
      </c>
      <c r="K7" s="523"/>
      <c r="L7" s="526" t="s">
        <v>102</v>
      </c>
      <c r="M7" s="527"/>
    </row>
    <row r="8" spans="1:13" ht="15.75" customHeight="1">
      <c r="A8" s="514"/>
      <c r="B8" s="353" t="s">
        <v>103</v>
      </c>
      <c r="C8" s="353" t="s">
        <v>104</v>
      </c>
      <c r="D8" s="517"/>
      <c r="E8" s="519"/>
      <c r="F8" s="353" t="s">
        <v>103</v>
      </c>
      <c r="G8" s="353" t="s">
        <v>104</v>
      </c>
      <c r="H8" s="353" t="s">
        <v>103</v>
      </c>
      <c r="I8" s="353" t="s">
        <v>104</v>
      </c>
      <c r="J8" s="353" t="s">
        <v>103</v>
      </c>
      <c r="K8" s="353" t="s">
        <v>104</v>
      </c>
      <c r="L8" s="353" t="s">
        <v>103</v>
      </c>
      <c r="M8" s="358" t="s">
        <v>104</v>
      </c>
    </row>
    <row r="9" spans="1:13" ht="19.399999999999999" customHeight="1">
      <c r="A9" s="359" t="s">
        <v>105</v>
      </c>
      <c r="B9" s="164">
        <v>123143</v>
      </c>
      <c r="C9" s="165">
        <f>B9/$B$5</f>
        <v>7.4994106400975329E-3</v>
      </c>
      <c r="D9" s="517"/>
      <c r="E9" s="163" t="s">
        <v>105</v>
      </c>
      <c r="F9" s="166">
        <f>'報廢－原因別分析 (週)'!AB8</f>
        <v>75486.2</v>
      </c>
      <c r="G9" s="167">
        <f>'報廢－原因別分析 (週)'!AB9</f>
        <v>0.75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3232.1000000000004</v>
      </c>
      <c r="M9" s="360">
        <f ca="1">'報廢－原因別分析 (週)'!AE9</f>
        <v>0.1</v>
      </c>
    </row>
    <row r="10" spans="1:13" ht="19.399999999999999" customHeight="1">
      <c r="A10" s="361" t="s">
        <v>106</v>
      </c>
      <c r="B10" s="169">
        <v>46481</v>
      </c>
      <c r="C10" s="165">
        <f>B10/$B$5</f>
        <v>2.8306936323004425E-3</v>
      </c>
      <c r="D10" s="517"/>
      <c r="E10" s="168" t="s">
        <v>106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33249.1</v>
      </c>
      <c r="M10" s="360">
        <f ca="1">'超用－原因別分析 (週) '!AE9</f>
        <v>0.95</v>
      </c>
    </row>
    <row r="11" spans="1:13" ht="15.75" customHeight="1">
      <c r="A11" s="362"/>
      <c r="D11" s="517"/>
      <c r="E11" s="519" t="s">
        <v>97</v>
      </c>
      <c r="F11" s="496">
        <v>5</v>
      </c>
      <c r="G11" s="496"/>
      <c r="H11" s="496">
        <v>6</v>
      </c>
      <c r="I11" s="496"/>
      <c r="J11" s="496">
        <v>7</v>
      </c>
      <c r="K11" s="496"/>
      <c r="L11" s="521">
        <v>8</v>
      </c>
      <c r="M11" s="522"/>
    </row>
    <row r="12" spans="1:13" ht="31.4" customHeight="1">
      <c r="A12" s="362"/>
      <c r="D12" s="517"/>
      <c r="E12" s="519"/>
      <c r="F12" s="523" t="s">
        <v>107</v>
      </c>
      <c r="G12" s="523"/>
      <c r="H12" s="523" t="s">
        <v>108</v>
      </c>
      <c r="I12" s="523"/>
      <c r="J12" s="523" t="s">
        <v>109</v>
      </c>
      <c r="K12" s="523"/>
      <c r="L12" s="524" t="s">
        <v>110</v>
      </c>
      <c r="M12" s="525"/>
    </row>
    <row r="13" spans="1:13" ht="15.75" customHeight="1">
      <c r="A13" s="362"/>
      <c r="D13" s="517"/>
      <c r="E13" s="519"/>
      <c r="F13" s="353" t="s">
        <v>103</v>
      </c>
      <c r="G13" s="353" t="s">
        <v>104</v>
      </c>
      <c r="H13" s="353" t="s">
        <v>103</v>
      </c>
      <c r="I13" s="353" t="s">
        <v>104</v>
      </c>
      <c r="J13" s="353" t="s">
        <v>103</v>
      </c>
      <c r="K13" s="353" t="s">
        <v>104</v>
      </c>
      <c r="L13" s="353" t="s">
        <v>103</v>
      </c>
      <c r="M13" s="358" t="s">
        <v>104</v>
      </c>
    </row>
    <row r="14" spans="1:13" ht="19.399999999999999" customHeight="1">
      <c r="A14" s="362"/>
      <c r="D14" s="517"/>
      <c r="E14" s="163" t="s">
        <v>105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38162.400000000001</v>
      </c>
      <c r="K14" s="167">
        <f ca="1">'報廢－原因別分析 (週)'!AH9</f>
        <v>0.15</v>
      </c>
      <c r="L14" s="166">
        <f ca="1">'報廢－原因別分析 (週)'!AI8</f>
        <v>0</v>
      </c>
      <c r="M14" s="360">
        <f ca="1">'報廢－原因別分析 (週)'!AI9</f>
        <v>0</v>
      </c>
    </row>
    <row r="15" spans="1:13" ht="19.399999999999999" customHeight="1">
      <c r="A15" s="363"/>
      <c r="B15" s="364"/>
      <c r="C15" s="364"/>
      <c r="D15" s="518"/>
      <c r="E15" s="365" t="s">
        <v>106</v>
      </c>
      <c r="F15" s="366">
        <f>'超用－原因別分析 (週) '!AF8</f>
        <v>0</v>
      </c>
      <c r="G15" s="367">
        <f ca="1">'超用－原因別分析 (週) '!AF9</f>
        <v>0</v>
      </c>
      <c r="H15" s="366">
        <f>'超用－原因別分析 (週) '!AG8</f>
        <v>1366.3</v>
      </c>
      <c r="I15" s="367">
        <f ca="1">'超用－原因別分析 (週) '!AG9</f>
        <v>0.05</v>
      </c>
      <c r="J15" s="366">
        <f>'超用－原因別分析 (週) '!AH8</f>
        <v>0</v>
      </c>
      <c r="K15" s="367">
        <f ca="1">'超用－原因別分析 (週) '!AH9</f>
        <v>0</v>
      </c>
      <c r="L15" s="366">
        <f>'超用－原因別分析 (週) '!AI8</f>
        <v>0</v>
      </c>
      <c r="M15" s="368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K19" sqref="K19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4" width="12.54296875" style="122" customWidth="1"/>
    <col min="25" max="16384" width="12.54296875" style="122"/>
  </cols>
  <sheetData>
    <row r="1" spans="1:17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ht="15.75" customHeight="1">
      <c r="A3" s="529" t="s">
        <v>111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7" s="123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7" ht="15.75" customHeight="1">
      <c r="A5" s="428" t="s">
        <v>112</v>
      </c>
      <c r="B5" s="533">
        <v>1</v>
      </c>
      <c r="C5" s="533"/>
      <c r="D5" s="533">
        <v>2</v>
      </c>
      <c r="E5" s="533"/>
      <c r="F5" s="533">
        <v>3</v>
      </c>
      <c r="G5" s="533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1">
        <v>8</v>
      </c>
      <c r="Q5" s="531"/>
    </row>
    <row r="6" spans="1:17" ht="15.75" customHeight="1">
      <c r="A6" s="428"/>
      <c r="B6" s="534" t="s">
        <v>99</v>
      </c>
      <c r="C6" s="534"/>
      <c r="D6" s="534" t="s">
        <v>113</v>
      </c>
      <c r="E6" s="534"/>
      <c r="F6" s="534" t="s">
        <v>101</v>
      </c>
      <c r="G6" s="534"/>
      <c r="H6" s="532" t="s">
        <v>102</v>
      </c>
      <c r="I6" s="428"/>
      <c r="J6" s="428" t="s">
        <v>107</v>
      </c>
      <c r="K6" s="428"/>
      <c r="L6" s="428" t="s">
        <v>108</v>
      </c>
      <c r="M6" s="428"/>
      <c r="N6" s="428" t="s">
        <v>109</v>
      </c>
      <c r="O6" s="428"/>
      <c r="P6" s="532" t="s">
        <v>114</v>
      </c>
      <c r="Q6" s="428"/>
    </row>
    <row r="8" spans="1:17" s="124" customFormat="1" ht="15.75" customHeight="1">
      <c r="A8" s="531" t="s">
        <v>112</v>
      </c>
      <c r="B8" s="531"/>
      <c r="C8" s="130" t="s">
        <v>51</v>
      </c>
      <c r="D8" s="548" t="s">
        <v>68</v>
      </c>
      <c r="E8" s="549"/>
      <c r="F8" s="550"/>
      <c r="G8" s="131" t="s">
        <v>115</v>
      </c>
      <c r="H8" s="132"/>
      <c r="I8" s="130"/>
      <c r="J8" s="133" t="s">
        <v>116</v>
      </c>
      <c r="K8" s="133" t="s">
        <v>117</v>
      </c>
      <c r="L8" s="133" t="s">
        <v>118</v>
      </c>
      <c r="M8" s="133" t="s">
        <v>103</v>
      </c>
      <c r="N8" s="133" t="s">
        <v>119</v>
      </c>
      <c r="O8" s="544" t="s">
        <v>72</v>
      </c>
      <c r="P8" s="545"/>
    </row>
    <row r="9" spans="1:17" ht="15.75" customHeight="1">
      <c r="A9" s="531">
        <v>1</v>
      </c>
      <c r="B9" s="547" t="s">
        <v>99</v>
      </c>
      <c r="C9" s="134">
        <v>1</v>
      </c>
      <c r="D9" s="541" t="s">
        <v>405</v>
      </c>
      <c r="E9" s="542"/>
      <c r="F9" s="543"/>
      <c r="G9" s="541" t="s">
        <v>404</v>
      </c>
      <c r="H9" s="542"/>
      <c r="I9" s="543"/>
      <c r="J9" s="135">
        <v>138.6</v>
      </c>
      <c r="K9" s="136">
        <v>0.106</v>
      </c>
      <c r="L9" s="135">
        <v>212.2</v>
      </c>
      <c r="M9" s="199">
        <f>L9*J9</f>
        <v>29410.92</v>
      </c>
      <c r="N9" s="387"/>
      <c r="O9" s="541" t="s">
        <v>121</v>
      </c>
      <c r="P9" s="546"/>
    </row>
    <row r="10" spans="1:17" ht="15.75" customHeight="1">
      <c r="A10" s="531"/>
      <c r="B10" s="547"/>
      <c r="C10" s="134">
        <v>2</v>
      </c>
      <c r="D10" s="541" t="s">
        <v>407</v>
      </c>
      <c r="E10" s="542"/>
      <c r="F10" s="543"/>
      <c r="G10" s="541" t="s">
        <v>406</v>
      </c>
      <c r="H10" s="542"/>
      <c r="I10" s="543"/>
      <c r="J10" s="135">
        <v>156.69999999999999</v>
      </c>
      <c r="K10" s="136">
        <v>1.7000000000000001E-2</v>
      </c>
      <c r="L10" s="135">
        <v>68.5</v>
      </c>
      <c r="M10" s="199">
        <f>L10*J10</f>
        <v>10733.949999999999</v>
      </c>
      <c r="N10" s="387"/>
      <c r="O10" s="541" t="s">
        <v>121</v>
      </c>
      <c r="P10" s="546"/>
    </row>
    <row r="11" spans="1:17" ht="15.75" customHeight="1">
      <c r="A11" s="531"/>
      <c r="B11" s="547"/>
      <c r="C11" s="134">
        <v>3</v>
      </c>
      <c r="D11" s="541" t="s">
        <v>411</v>
      </c>
      <c r="E11" s="542"/>
      <c r="F11" s="543"/>
      <c r="G11" s="541" t="s">
        <v>409</v>
      </c>
      <c r="H11" s="542"/>
      <c r="I11" s="543"/>
      <c r="J11" s="135">
        <v>69.099999999999994</v>
      </c>
      <c r="K11" s="136">
        <v>0.124</v>
      </c>
      <c r="L11" s="135">
        <v>151.4</v>
      </c>
      <c r="M11" s="199">
        <f>L11*J11</f>
        <v>10461.74</v>
      </c>
      <c r="N11" s="387"/>
      <c r="O11" s="541" t="s">
        <v>121</v>
      </c>
      <c r="P11" s="546"/>
    </row>
    <row r="12" spans="1:17" ht="15.75" customHeight="1">
      <c r="A12" s="531"/>
      <c r="B12" s="547"/>
      <c r="C12" s="134">
        <v>4</v>
      </c>
      <c r="D12" s="541" t="s">
        <v>413</v>
      </c>
      <c r="E12" s="542"/>
      <c r="F12" s="543"/>
      <c r="G12" s="553" t="s">
        <v>412</v>
      </c>
      <c r="H12" s="542"/>
      <c r="I12" s="543"/>
      <c r="J12" s="135">
        <v>132.5</v>
      </c>
      <c r="K12" s="136">
        <v>2.5999999999999999E-2</v>
      </c>
      <c r="L12" s="135">
        <v>65.3</v>
      </c>
      <c r="M12" s="199">
        <f>L12*J12</f>
        <v>8652.25</v>
      </c>
      <c r="N12" s="387"/>
      <c r="O12" s="541" t="s">
        <v>121</v>
      </c>
      <c r="P12" s="546"/>
    </row>
    <row r="13" spans="1:17" ht="15.75" customHeight="1">
      <c r="A13" s="531"/>
      <c r="B13" s="547"/>
      <c r="C13" s="140">
        <v>5</v>
      </c>
      <c r="D13" s="538" t="s">
        <v>61</v>
      </c>
      <c r="E13" s="539"/>
      <c r="F13" s="540"/>
      <c r="G13" s="538" t="s">
        <v>414</v>
      </c>
      <c r="H13" s="539"/>
      <c r="I13" s="540"/>
      <c r="J13" s="141">
        <v>153.80000000000001</v>
      </c>
      <c r="K13" s="142">
        <v>2.3E-2</v>
      </c>
      <c r="L13" s="141">
        <v>51</v>
      </c>
      <c r="M13" s="200">
        <f>L13*J13</f>
        <v>7843.8</v>
      </c>
      <c r="N13" s="387"/>
      <c r="O13" s="541" t="s">
        <v>121</v>
      </c>
      <c r="P13" s="546"/>
    </row>
    <row r="14" spans="1:17" ht="15.75" customHeight="1">
      <c r="A14" s="531"/>
      <c r="B14" s="547"/>
      <c r="C14" s="551"/>
      <c r="D14" s="551"/>
      <c r="E14" s="551"/>
      <c r="F14" s="551"/>
      <c r="G14" s="551"/>
      <c r="H14" s="551"/>
      <c r="I14" s="552"/>
      <c r="J14" s="146" t="s">
        <v>124</v>
      </c>
      <c r="K14" s="147" t="e">
        <f>M14/#REF!</f>
        <v>#REF!</v>
      </c>
      <c r="L14" s="146" t="s">
        <v>125</v>
      </c>
      <c r="M14" s="148">
        <f>SUM(M9:M13)</f>
        <v>67102.659999999989</v>
      </c>
      <c r="N14" s="535"/>
      <c r="O14" s="536"/>
      <c r="P14" s="537"/>
    </row>
    <row r="16" spans="1:17" ht="15.75" customHeight="1">
      <c r="A16" s="531" t="s">
        <v>112</v>
      </c>
      <c r="B16" s="531"/>
      <c r="C16" s="130" t="s">
        <v>51</v>
      </c>
      <c r="D16" s="548" t="s">
        <v>68</v>
      </c>
      <c r="E16" s="549"/>
      <c r="F16" s="550"/>
      <c r="G16" s="131" t="s">
        <v>115</v>
      </c>
      <c r="H16" s="132"/>
      <c r="I16" s="130"/>
      <c r="J16" s="133" t="s">
        <v>116</v>
      </c>
      <c r="K16" s="133" t="s">
        <v>117</v>
      </c>
      <c r="L16" s="133" t="s">
        <v>118</v>
      </c>
      <c r="M16" s="133" t="s">
        <v>103</v>
      </c>
      <c r="N16" s="133" t="s">
        <v>119</v>
      </c>
      <c r="O16" s="544" t="s">
        <v>72</v>
      </c>
      <c r="P16" s="545"/>
    </row>
    <row r="17" spans="1:16" ht="15.75" customHeight="1">
      <c r="A17" s="531">
        <v>2</v>
      </c>
      <c r="B17" s="547" t="s">
        <v>126</v>
      </c>
      <c r="C17" s="134">
        <v>1</v>
      </c>
      <c r="D17" s="541"/>
      <c r="E17" s="542"/>
      <c r="F17" s="543"/>
      <c r="G17" s="541"/>
      <c r="H17" s="542"/>
      <c r="I17" s="543"/>
      <c r="J17" s="135"/>
      <c r="K17" s="136"/>
      <c r="L17" s="135"/>
      <c r="M17" s="199">
        <f>J17*L17</f>
        <v>0</v>
      </c>
      <c r="N17" s="233"/>
      <c r="O17" s="541"/>
      <c r="P17" s="546"/>
    </row>
    <row r="18" spans="1:16" ht="15.75" customHeight="1">
      <c r="A18" s="531"/>
      <c r="B18" s="547"/>
      <c r="C18" s="134">
        <v>2</v>
      </c>
      <c r="D18" s="541"/>
      <c r="E18" s="542"/>
      <c r="F18" s="543"/>
      <c r="G18" s="541"/>
      <c r="H18" s="542"/>
      <c r="I18" s="543"/>
      <c r="J18" s="135"/>
      <c r="K18" s="136"/>
      <c r="L18" s="135"/>
      <c r="M18" s="199">
        <f t="shared" ref="M18:M21" si="0">J18*L18</f>
        <v>0</v>
      </c>
      <c r="N18" s="233"/>
      <c r="O18" s="555"/>
      <c r="P18" s="556"/>
    </row>
    <row r="19" spans="1:16" ht="15.75" customHeight="1">
      <c r="A19" s="531"/>
      <c r="B19" s="547"/>
      <c r="C19" s="134">
        <v>3</v>
      </c>
      <c r="D19" s="541"/>
      <c r="E19" s="542"/>
      <c r="F19" s="543"/>
      <c r="G19" s="553"/>
      <c r="H19" s="542"/>
      <c r="I19" s="543"/>
      <c r="J19" s="135"/>
      <c r="K19" s="136"/>
      <c r="L19" s="135"/>
      <c r="M19" s="199">
        <f t="shared" si="0"/>
        <v>0</v>
      </c>
      <c r="N19" s="233"/>
      <c r="O19" s="541"/>
      <c r="P19" s="546"/>
    </row>
    <row r="20" spans="1:16" ht="15.75" customHeight="1">
      <c r="A20" s="531"/>
      <c r="B20" s="547"/>
      <c r="C20" s="134">
        <v>4</v>
      </c>
      <c r="D20" s="541"/>
      <c r="E20" s="542"/>
      <c r="F20" s="543"/>
      <c r="G20" s="553"/>
      <c r="H20" s="542"/>
      <c r="I20" s="543"/>
      <c r="J20" s="135"/>
      <c r="K20" s="136"/>
      <c r="L20" s="135"/>
      <c r="M20" s="199">
        <f t="shared" si="0"/>
        <v>0</v>
      </c>
      <c r="N20" s="233"/>
      <c r="O20" s="541"/>
      <c r="P20" s="546"/>
    </row>
    <row r="21" spans="1:16" ht="15.75" customHeight="1">
      <c r="A21" s="531"/>
      <c r="B21" s="547"/>
      <c r="C21" s="140">
        <v>5</v>
      </c>
      <c r="D21" s="538"/>
      <c r="E21" s="539"/>
      <c r="F21" s="540"/>
      <c r="G21" s="538"/>
      <c r="H21" s="539"/>
      <c r="I21" s="540"/>
      <c r="J21" s="141"/>
      <c r="K21" s="142"/>
      <c r="L21" s="141"/>
      <c r="M21" s="199">
        <f t="shared" si="0"/>
        <v>0</v>
      </c>
      <c r="N21" s="233"/>
      <c r="O21" s="541"/>
      <c r="P21" s="546"/>
    </row>
    <row r="22" spans="1:16" ht="15.75" customHeight="1">
      <c r="A22" s="531"/>
      <c r="B22" s="547"/>
      <c r="C22" s="551"/>
      <c r="D22" s="551"/>
      <c r="E22" s="551"/>
      <c r="F22" s="551"/>
      <c r="G22" s="551"/>
      <c r="H22" s="551"/>
      <c r="I22" s="552"/>
      <c r="J22" s="146" t="s">
        <v>124</v>
      </c>
      <c r="K22" s="147" t="e">
        <f>M22/#REF!</f>
        <v>#REF!</v>
      </c>
      <c r="L22" s="146" t="s">
        <v>125</v>
      </c>
      <c r="M22" s="232">
        <f>SUM(M17:M21)</f>
        <v>0</v>
      </c>
      <c r="N22" s="535"/>
      <c r="O22" s="536"/>
      <c r="P22" s="537"/>
    </row>
    <row r="24" spans="1:16" ht="15.75" customHeight="1">
      <c r="A24" s="531" t="s">
        <v>112</v>
      </c>
      <c r="B24" s="531"/>
      <c r="C24" s="130" t="s">
        <v>51</v>
      </c>
      <c r="D24" s="548" t="s">
        <v>68</v>
      </c>
      <c r="E24" s="549"/>
      <c r="F24" s="550"/>
      <c r="G24" s="131" t="s">
        <v>115</v>
      </c>
      <c r="H24" s="132"/>
      <c r="I24" s="130"/>
      <c r="J24" s="133" t="s">
        <v>116</v>
      </c>
      <c r="K24" s="133" t="s">
        <v>117</v>
      </c>
      <c r="L24" s="133" t="s">
        <v>118</v>
      </c>
      <c r="M24" s="133" t="s">
        <v>103</v>
      </c>
      <c r="N24" s="133" t="s">
        <v>71</v>
      </c>
      <c r="O24" s="544" t="s">
        <v>72</v>
      </c>
      <c r="P24" s="545"/>
    </row>
    <row r="25" spans="1:16" ht="15.75" customHeight="1">
      <c r="A25" s="531">
        <v>3</v>
      </c>
      <c r="B25" s="547" t="s">
        <v>101</v>
      </c>
      <c r="C25" s="134">
        <v>1</v>
      </c>
      <c r="D25" s="541"/>
      <c r="E25" s="542"/>
      <c r="F25" s="543"/>
      <c r="G25" s="541"/>
      <c r="H25" s="542"/>
      <c r="I25" s="543"/>
      <c r="J25" s="135"/>
      <c r="K25" s="136"/>
      <c r="L25" s="135"/>
      <c r="M25" s="137">
        <f>L25*J25</f>
        <v>0</v>
      </c>
      <c r="N25" s="135"/>
      <c r="O25" s="541"/>
      <c r="P25" s="546"/>
    </row>
    <row r="26" spans="1:16" ht="15.75" customHeight="1">
      <c r="A26" s="531"/>
      <c r="B26" s="547"/>
      <c r="C26" s="134">
        <v>2</v>
      </c>
      <c r="D26" s="541"/>
      <c r="E26" s="542"/>
      <c r="F26" s="543"/>
      <c r="G26" s="541"/>
      <c r="H26" s="542"/>
      <c r="I26" s="543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1"/>
      <c r="B27" s="547"/>
      <c r="C27" s="134">
        <v>3</v>
      </c>
      <c r="D27" s="553"/>
      <c r="E27" s="542"/>
      <c r="F27" s="543"/>
      <c r="G27" s="553"/>
      <c r="H27" s="542"/>
      <c r="I27" s="543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1"/>
      <c r="B28" s="547"/>
      <c r="C28" s="134">
        <v>4</v>
      </c>
      <c r="D28" s="553"/>
      <c r="E28" s="542"/>
      <c r="F28" s="543"/>
      <c r="G28" s="553"/>
      <c r="H28" s="542"/>
      <c r="I28" s="543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1"/>
      <c r="B29" s="547"/>
      <c r="C29" s="140">
        <v>5</v>
      </c>
      <c r="D29" s="554"/>
      <c r="E29" s="539"/>
      <c r="F29" s="540"/>
      <c r="G29" s="554"/>
      <c r="H29" s="539"/>
      <c r="I29" s="540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1"/>
      <c r="B30" s="547"/>
      <c r="C30" s="551"/>
      <c r="D30" s="551"/>
      <c r="E30" s="551"/>
      <c r="F30" s="551"/>
      <c r="G30" s="551"/>
      <c r="H30" s="551"/>
      <c r="I30" s="552"/>
      <c r="J30" s="146" t="s">
        <v>124</v>
      </c>
      <c r="K30" s="147" t="e">
        <f>M30/#REF!</f>
        <v>#REF!</v>
      </c>
      <c r="L30" s="146" t="s">
        <v>125</v>
      </c>
      <c r="M30" s="148">
        <f>SUM(M25:M29)</f>
        <v>0</v>
      </c>
      <c r="N30" s="535"/>
      <c r="O30" s="536"/>
      <c r="P30" s="537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G28" sqref="G28:I28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4" width="12.54296875" style="2" customWidth="1"/>
    <col min="25" max="16384" width="12.54296875" style="2"/>
  </cols>
  <sheetData>
    <row r="1" spans="1:17" s="122" customFormat="1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s="122" customFormat="1" ht="15.75" customHeight="1">
      <c r="A3" s="529" t="s">
        <v>111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7" s="123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7" s="122" customFormat="1" ht="15.75" customHeight="1">
      <c r="A5" s="428" t="s">
        <v>112</v>
      </c>
      <c r="B5" s="531">
        <v>1</v>
      </c>
      <c r="C5" s="531"/>
      <c r="D5" s="531">
        <v>2</v>
      </c>
      <c r="E5" s="531"/>
      <c r="F5" s="531">
        <v>3</v>
      </c>
      <c r="G5" s="531"/>
      <c r="H5" s="533">
        <v>4</v>
      </c>
      <c r="I5" s="533"/>
      <c r="J5" s="533">
        <v>5</v>
      </c>
      <c r="K5" s="533"/>
      <c r="L5" s="533">
        <v>6</v>
      </c>
      <c r="M5" s="533"/>
      <c r="N5" s="533">
        <v>7</v>
      </c>
      <c r="O5" s="533"/>
      <c r="P5" s="531">
        <v>8</v>
      </c>
      <c r="Q5" s="531"/>
    </row>
    <row r="6" spans="1:17" s="122" customFormat="1" ht="15.75" customHeight="1">
      <c r="A6" s="428"/>
      <c r="B6" s="428" t="s">
        <v>99</v>
      </c>
      <c r="C6" s="428"/>
      <c r="D6" s="428" t="s">
        <v>113</v>
      </c>
      <c r="E6" s="428"/>
      <c r="F6" s="428" t="s">
        <v>101</v>
      </c>
      <c r="G6" s="428"/>
      <c r="H6" s="557" t="s">
        <v>102</v>
      </c>
      <c r="I6" s="534"/>
      <c r="J6" s="534" t="s">
        <v>107</v>
      </c>
      <c r="K6" s="534"/>
      <c r="L6" s="534" t="s">
        <v>108</v>
      </c>
      <c r="M6" s="534"/>
      <c r="N6" s="534" t="s">
        <v>109</v>
      </c>
      <c r="O6" s="534"/>
      <c r="P6" s="532" t="s">
        <v>114</v>
      </c>
      <c r="Q6" s="428"/>
    </row>
    <row r="7" spans="1:17" s="122" customFormat="1" ht="15.75" customHeight="1">
      <c r="B7" s="149"/>
      <c r="C7" s="128"/>
    </row>
    <row r="8" spans="1:17" s="112" customFormat="1" ht="15.75" customHeight="1">
      <c r="A8" s="558" t="s">
        <v>112</v>
      </c>
      <c r="B8" s="559"/>
      <c r="C8" s="119" t="s">
        <v>51</v>
      </c>
      <c r="D8" s="560" t="s">
        <v>68</v>
      </c>
      <c r="E8" s="561"/>
      <c r="F8" s="562"/>
      <c r="G8" s="117" t="s">
        <v>115</v>
      </c>
      <c r="H8" s="118"/>
      <c r="I8" s="119"/>
      <c r="J8" s="116" t="s">
        <v>116</v>
      </c>
      <c r="K8" s="116" t="s">
        <v>117</v>
      </c>
      <c r="L8" s="116" t="s">
        <v>118</v>
      </c>
      <c r="M8" s="120" t="s">
        <v>103</v>
      </c>
      <c r="N8" s="120" t="s">
        <v>119</v>
      </c>
      <c r="O8" s="563" t="s">
        <v>72</v>
      </c>
      <c r="P8" s="564"/>
    </row>
    <row r="9" spans="1:17" ht="15.75" customHeight="1">
      <c r="A9" s="559">
        <v>4</v>
      </c>
      <c r="B9" s="565" t="s">
        <v>102</v>
      </c>
      <c r="C9" s="114">
        <v>1</v>
      </c>
      <c r="D9" s="538" t="s">
        <v>405</v>
      </c>
      <c r="E9" s="567"/>
      <c r="F9" s="568"/>
      <c r="G9" s="541" t="s">
        <v>415</v>
      </c>
      <c r="H9" s="569"/>
      <c r="I9" s="570"/>
      <c r="J9" s="4">
        <v>66.599999999999994</v>
      </c>
      <c r="K9" s="14">
        <v>8.0000000000000002E-3</v>
      </c>
      <c r="L9" s="4">
        <v>33.4</v>
      </c>
      <c r="M9" s="202">
        <f>L9*J9</f>
        <v>2224.4399999999996</v>
      </c>
      <c r="N9" s="230"/>
      <c r="O9" s="575" t="s">
        <v>128</v>
      </c>
      <c r="P9" s="576"/>
    </row>
    <row r="10" spans="1:17" ht="15.75" customHeight="1">
      <c r="A10" s="559"/>
      <c r="B10" s="566"/>
      <c r="C10" s="114">
        <v>2</v>
      </c>
      <c r="D10" s="538" t="s">
        <v>417</v>
      </c>
      <c r="E10" s="567"/>
      <c r="F10" s="568"/>
      <c r="G10" s="571" t="s">
        <v>416</v>
      </c>
      <c r="H10" s="569"/>
      <c r="I10" s="570"/>
      <c r="J10" s="4">
        <v>89</v>
      </c>
      <c r="K10" s="14">
        <v>1.2E-2</v>
      </c>
      <c r="L10" s="4">
        <v>11.3</v>
      </c>
      <c r="M10" s="202">
        <f>L10*J10</f>
        <v>1005.7</v>
      </c>
      <c r="N10" s="230"/>
      <c r="O10" s="575" t="s">
        <v>129</v>
      </c>
      <c r="P10" s="576"/>
    </row>
    <row r="11" spans="1:17" ht="15.75" customHeight="1">
      <c r="A11" s="559"/>
      <c r="B11" s="566"/>
      <c r="C11" s="114">
        <v>3</v>
      </c>
      <c r="D11" s="571"/>
      <c r="E11" s="569"/>
      <c r="F11" s="570"/>
      <c r="G11" s="571"/>
      <c r="H11" s="569"/>
      <c r="I11" s="570"/>
      <c r="J11" s="4"/>
      <c r="K11" s="14"/>
      <c r="L11" s="4"/>
      <c r="M11" s="202">
        <f>L11*J11</f>
        <v>0</v>
      </c>
      <c r="N11" s="230"/>
      <c r="O11" s="575" t="s">
        <v>128</v>
      </c>
      <c r="P11" s="576"/>
    </row>
    <row r="12" spans="1:17" ht="15.75" customHeight="1">
      <c r="A12" s="559"/>
      <c r="B12" s="566"/>
      <c r="C12" s="114">
        <v>4</v>
      </c>
      <c r="D12" s="571"/>
      <c r="E12" s="569"/>
      <c r="F12" s="570"/>
      <c r="G12" s="541"/>
      <c r="H12" s="569"/>
      <c r="I12" s="570"/>
      <c r="J12" s="4"/>
      <c r="K12" s="14"/>
      <c r="L12" s="4"/>
      <c r="M12" s="202">
        <f>L12*J12</f>
        <v>0</v>
      </c>
      <c r="N12" s="230"/>
      <c r="O12" s="575" t="s">
        <v>128</v>
      </c>
      <c r="P12" s="576"/>
    </row>
    <row r="13" spans="1:17" ht="15.75" customHeight="1">
      <c r="A13" s="559"/>
      <c r="B13" s="566"/>
      <c r="C13" s="115">
        <v>5</v>
      </c>
      <c r="D13" s="538"/>
      <c r="E13" s="567"/>
      <c r="F13" s="568"/>
      <c r="G13" s="538"/>
      <c r="H13" s="567"/>
      <c r="I13" s="568"/>
      <c r="J13" s="27"/>
      <c r="K13" s="30"/>
      <c r="L13" s="27"/>
      <c r="M13" s="202">
        <f>L13*J13</f>
        <v>0</v>
      </c>
      <c r="N13" s="230"/>
      <c r="O13" s="575" t="s">
        <v>128</v>
      </c>
      <c r="P13" s="576"/>
    </row>
    <row r="14" spans="1:17" ht="15.75" customHeight="1">
      <c r="A14" s="559"/>
      <c r="B14" s="566"/>
      <c r="C14" s="577"/>
      <c r="D14" s="577"/>
      <c r="E14" s="577"/>
      <c r="F14" s="577"/>
      <c r="G14" s="577"/>
      <c r="H14" s="577"/>
      <c r="I14" s="578"/>
      <c r="J14" s="121" t="s">
        <v>124</v>
      </c>
      <c r="K14" s="147" t="e">
        <f>M14/#REF!</f>
        <v>#REF!</v>
      </c>
      <c r="L14" s="121" t="s">
        <v>125</v>
      </c>
      <c r="M14" s="34">
        <v>0</v>
      </c>
      <c r="N14" s="572"/>
      <c r="O14" s="573"/>
      <c r="P14" s="574"/>
    </row>
    <row r="16" spans="1:17" ht="15.75" customHeight="1">
      <c r="A16" s="558" t="s">
        <v>112</v>
      </c>
      <c r="B16" s="559"/>
      <c r="C16" s="119" t="s">
        <v>51</v>
      </c>
      <c r="D16" s="560" t="s">
        <v>68</v>
      </c>
      <c r="E16" s="561"/>
      <c r="F16" s="562"/>
      <c r="G16" s="117" t="s">
        <v>115</v>
      </c>
      <c r="H16" s="118"/>
      <c r="I16" s="119"/>
      <c r="J16" s="116" t="s">
        <v>116</v>
      </c>
      <c r="K16" s="116" t="s">
        <v>117</v>
      </c>
      <c r="L16" s="116" t="s">
        <v>118</v>
      </c>
      <c r="M16" s="120" t="s">
        <v>103</v>
      </c>
      <c r="N16" s="120" t="s">
        <v>119</v>
      </c>
      <c r="O16" s="563" t="s">
        <v>72</v>
      </c>
      <c r="P16" s="564"/>
    </row>
    <row r="17" spans="1:16" ht="15.75" customHeight="1">
      <c r="A17" s="559">
        <v>5</v>
      </c>
      <c r="B17" s="565" t="s">
        <v>107</v>
      </c>
      <c r="C17" s="114">
        <v>1</v>
      </c>
      <c r="D17" s="538"/>
      <c r="E17" s="567"/>
      <c r="F17" s="568"/>
      <c r="G17" s="541"/>
      <c r="H17" s="569"/>
      <c r="I17" s="570"/>
      <c r="J17" s="4"/>
      <c r="K17" s="14"/>
      <c r="L17" s="4"/>
      <c r="M17" s="202">
        <f>L17*J17</f>
        <v>0</v>
      </c>
      <c r="N17" s="4"/>
      <c r="O17" s="575"/>
      <c r="P17" s="576"/>
    </row>
    <row r="18" spans="1:16" ht="15.75" customHeight="1">
      <c r="A18" s="559"/>
      <c r="B18" s="566"/>
      <c r="C18" s="114">
        <v>2</v>
      </c>
      <c r="D18" s="538"/>
      <c r="E18" s="567"/>
      <c r="F18" s="568"/>
      <c r="G18" s="571"/>
      <c r="H18" s="569"/>
      <c r="I18" s="570"/>
      <c r="J18" s="4"/>
      <c r="K18" s="14"/>
      <c r="L18" s="4"/>
      <c r="M18" s="202">
        <f>L18*J18</f>
        <v>0</v>
      </c>
      <c r="N18" s="4"/>
      <c r="O18" s="575"/>
      <c r="P18" s="576"/>
    </row>
    <row r="19" spans="1:16" ht="15.75" customHeight="1">
      <c r="A19" s="559"/>
      <c r="B19" s="566"/>
      <c r="C19" s="114">
        <v>3</v>
      </c>
      <c r="D19" s="571"/>
      <c r="E19" s="569"/>
      <c r="F19" s="570"/>
      <c r="G19" s="571"/>
      <c r="H19" s="569"/>
      <c r="I19" s="570"/>
      <c r="J19" s="4"/>
      <c r="K19" s="14"/>
      <c r="L19" s="4"/>
      <c r="M19" s="202">
        <f>L19*J19</f>
        <v>0</v>
      </c>
      <c r="N19" s="4"/>
      <c r="O19" s="575"/>
      <c r="P19" s="576"/>
    </row>
    <row r="20" spans="1:16" ht="15.75" customHeight="1">
      <c r="A20" s="559"/>
      <c r="B20" s="566"/>
      <c r="C20" s="114">
        <v>4</v>
      </c>
      <c r="D20" s="571"/>
      <c r="E20" s="569"/>
      <c r="F20" s="570"/>
      <c r="G20" s="541"/>
      <c r="H20" s="569"/>
      <c r="I20" s="570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59"/>
      <c r="B21" s="566"/>
      <c r="C21" s="115">
        <v>5</v>
      </c>
      <c r="D21" s="538"/>
      <c r="E21" s="567"/>
      <c r="F21" s="568"/>
      <c r="G21" s="538"/>
      <c r="H21" s="567"/>
      <c r="I21" s="568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59"/>
      <c r="B22" s="566"/>
      <c r="C22" s="577"/>
      <c r="D22" s="577"/>
      <c r="E22" s="577"/>
      <c r="F22" s="577"/>
      <c r="G22" s="577"/>
      <c r="H22" s="577"/>
      <c r="I22" s="578"/>
      <c r="J22" s="121" t="s">
        <v>124</v>
      </c>
      <c r="K22" s="147" t="e">
        <f>M22/#REF!</f>
        <v>#REF!</v>
      </c>
      <c r="L22" s="121" t="s">
        <v>125</v>
      </c>
      <c r="M22" s="34">
        <v>0</v>
      </c>
      <c r="N22" s="572"/>
      <c r="O22" s="573"/>
      <c r="P22" s="574"/>
    </row>
    <row r="24" spans="1:16" ht="15.75" customHeight="1">
      <c r="A24" s="558" t="s">
        <v>112</v>
      </c>
      <c r="B24" s="559"/>
      <c r="C24" s="119" t="s">
        <v>51</v>
      </c>
      <c r="D24" s="560" t="s">
        <v>68</v>
      </c>
      <c r="E24" s="561"/>
      <c r="F24" s="562"/>
      <c r="G24" s="117" t="s">
        <v>115</v>
      </c>
      <c r="H24" s="118"/>
      <c r="I24" s="119"/>
      <c r="J24" s="116" t="s">
        <v>116</v>
      </c>
      <c r="K24" s="116" t="s">
        <v>117</v>
      </c>
      <c r="L24" s="116" t="s">
        <v>118</v>
      </c>
      <c r="M24" s="120" t="s">
        <v>103</v>
      </c>
      <c r="N24" s="120" t="s">
        <v>71</v>
      </c>
      <c r="O24" s="563" t="s">
        <v>72</v>
      </c>
      <c r="P24" s="564"/>
    </row>
    <row r="25" spans="1:16" ht="15.75" customHeight="1">
      <c r="A25" s="559">
        <v>6</v>
      </c>
      <c r="B25" s="565" t="s">
        <v>108</v>
      </c>
      <c r="C25" s="114">
        <v>1</v>
      </c>
      <c r="D25" s="538"/>
      <c r="E25" s="567"/>
      <c r="F25" s="568"/>
      <c r="G25" s="541"/>
      <c r="H25" s="569"/>
      <c r="I25" s="570"/>
      <c r="J25" s="4"/>
      <c r="K25" s="14"/>
      <c r="L25" s="4"/>
      <c r="M25" s="202">
        <f>L25*J25</f>
        <v>0</v>
      </c>
      <c r="N25" s="230"/>
      <c r="O25" s="541"/>
      <c r="P25" s="546"/>
    </row>
    <row r="26" spans="1:16" ht="15.75" customHeight="1">
      <c r="A26" s="559"/>
      <c r="B26" s="566"/>
      <c r="C26" s="114">
        <v>2</v>
      </c>
      <c r="D26" s="538"/>
      <c r="E26" s="567"/>
      <c r="F26" s="568"/>
      <c r="G26" s="571"/>
      <c r="H26" s="569"/>
      <c r="I26" s="570"/>
      <c r="J26" s="4"/>
      <c r="K26" s="14"/>
      <c r="L26" s="4"/>
      <c r="M26" s="199"/>
      <c r="N26" s="230"/>
      <c r="O26" s="541"/>
      <c r="P26" s="546"/>
    </row>
    <row r="27" spans="1:16" ht="15.75" customHeight="1">
      <c r="A27" s="559"/>
      <c r="B27" s="566"/>
      <c r="C27" s="114">
        <v>3</v>
      </c>
      <c r="D27" s="571"/>
      <c r="E27" s="569"/>
      <c r="F27" s="570"/>
      <c r="G27" s="571"/>
      <c r="H27" s="569"/>
      <c r="I27" s="570"/>
      <c r="J27" s="4"/>
      <c r="K27" s="14"/>
      <c r="L27" s="4"/>
      <c r="M27" s="199"/>
      <c r="N27" s="230"/>
      <c r="O27" s="541"/>
      <c r="P27" s="546"/>
    </row>
    <row r="28" spans="1:16" ht="15.75" customHeight="1">
      <c r="A28" s="559"/>
      <c r="B28" s="566"/>
      <c r="C28" s="114">
        <v>4</v>
      </c>
      <c r="D28" s="571"/>
      <c r="E28" s="569"/>
      <c r="F28" s="570"/>
      <c r="G28" s="541"/>
      <c r="H28" s="569"/>
      <c r="I28" s="570"/>
      <c r="J28" s="4"/>
      <c r="K28" s="14"/>
      <c r="L28" s="4"/>
      <c r="M28" s="201"/>
      <c r="N28" s="230"/>
      <c r="O28" s="575"/>
      <c r="P28" s="581"/>
    </row>
    <row r="29" spans="1:16" ht="15.75" customHeight="1">
      <c r="A29" s="559"/>
      <c r="B29" s="566"/>
      <c r="C29" s="115">
        <v>5</v>
      </c>
      <c r="D29" s="538"/>
      <c r="E29" s="567"/>
      <c r="F29" s="568"/>
      <c r="G29" s="538"/>
      <c r="H29" s="567"/>
      <c r="I29" s="568"/>
      <c r="J29" s="27"/>
      <c r="K29" s="30"/>
      <c r="L29" s="27"/>
      <c r="M29" s="202"/>
      <c r="N29" s="230"/>
      <c r="O29" s="582"/>
      <c r="P29" s="576"/>
    </row>
    <row r="30" spans="1:16" ht="15.75" customHeight="1">
      <c r="A30" s="559"/>
      <c r="B30" s="566"/>
      <c r="C30" s="577"/>
      <c r="D30" s="577"/>
      <c r="E30" s="577"/>
      <c r="F30" s="577"/>
      <c r="G30" s="577"/>
      <c r="H30" s="577"/>
      <c r="I30" s="578"/>
      <c r="J30" s="121" t="s">
        <v>124</v>
      </c>
      <c r="K30" s="147" t="e">
        <f>M30/#REF!</f>
        <v>#REF!</v>
      </c>
      <c r="L30" s="121" t="s">
        <v>125</v>
      </c>
      <c r="M30" s="34">
        <v>0</v>
      </c>
      <c r="N30" s="572"/>
      <c r="O30" s="573"/>
      <c r="P30" s="574"/>
    </row>
    <row r="32" spans="1:16" ht="15.75" customHeight="1">
      <c r="A32" s="558" t="s">
        <v>112</v>
      </c>
      <c r="B32" s="559"/>
      <c r="C32" s="119" t="s">
        <v>51</v>
      </c>
      <c r="D32" s="560" t="s">
        <v>68</v>
      </c>
      <c r="E32" s="561"/>
      <c r="F32" s="562"/>
      <c r="G32" s="117" t="s">
        <v>115</v>
      </c>
      <c r="H32" s="118"/>
      <c r="I32" s="119"/>
      <c r="J32" s="116" t="s">
        <v>116</v>
      </c>
      <c r="K32" s="116" t="s">
        <v>117</v>
      </c>
      <c r="L32" s="116" t="s">
        <v>118</v>
      </c>
      <c r="M32" s="120" t="s">
        <v>103</v>
      </c>
      <c r="N32" s="120" t="s">
        <v>71</v>
      </c>
      <c r="O32" s="563" t="s">
        <v>72</v>
      </c>
      <c r="P32" s="564"/>
    </row>
    <row r="33" spans="1:16" ht="15.75" customHeight="1">
      <c r="A33" s="559">
        <v>7</v>
      </c>
      <c r="B33" s="565" t="s">
        <v>101</v>
      </c>
      <c r="C33" s="114">
        <v>1</v>
      </c>
      <c r="D33" s="579"/>
      <c r="E33" s="569"/>
      <c r="F33" s="570"/>
      <c r="G33" s="579"/>
      <c r="H33" s="569"/>
      <c r="I33" s="57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59"/>
      <c r="B34" s="566"/>
      <c r="C34" s="114">
        <v>2</v>
      </c>
      <c r="D34" s="579"/>
      <c r="E34" s="569"/>
      <c r="F34" s="570"/>
      <c r="G34" s="579"/>
      <c r="H34" s="569"/>
      <c r="I34" s="57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59"/>
      <c r="B35" s="566"/>
      <c r="C35" s="114">
        <v>3</v>
      </c>
      <c r="D35" s="579"/>
      <c r="E35" s="569"/>
      <c r="F35" s="570"/>
      <c r="G35" s="579"/>
      <c r="H35" s="569"/>
      <c r="I35" s="57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59"/>
      <c r="B36" s="566"/>
      <c r="C36" s="114">
        <v>4</v>
      </c>
      <c r="D36" s="579"/>
      <c r="E36" s="569"/>
      <c r="F36" s="570"/>
      <c r="G36" s="579"/>
      <c r="H36" s="569"/>
      <c r="I36" s="570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59"/>
      <c r="B37" s="566"/>
      <c r="C37" s="115">
        <v>5</v>
      </c>
      <c r="D37" s="580"/>
      <c r="E37" s="567"/>
      <c r="F37" s="568"/>
      <c r="G37" s="580"/>
      <c r="H37" s="567"/>
      <c r="I37" s="56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59"/>
      <c r="B38" s="566"/>
      <c r="C38" s="577"/>
      <c r="D38" s="577"/>
      <c r="E38" s="577"/>
      <c r="F38" s="577"/>
      <c r="G38" s="577"/>
      <c r="H38" s="577"/>
      <c r="I38" s="578"/>
      <c r="J38" s="121" t="s">
        <v>124</v>
      </c>
      <c r="K38" s="147" t="e">
        <f>M38/#REF!</f>
        <v>#REF!</v>
      </c>
      <c r="L38" s="121" t="s">
        <v>125</v>
      </c>
      <c r="M38" s="34">
        <v>0</v>
      </c>
      <c r="N38" s="572"/>
      <c r="O38" s="573"/>
      <c r="P38" s="574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34" sqref="G34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4" width="12.54296875" style="122" customWidth="1"/>
    <col min="25" max="16384" width="12.54296875" style="122"/>
  </cols>
  <sheetData>
    <row r="1" spans="1:17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ht="15.75" customHeight="1">
      <c r="A3" s="529" t="s">
        <v>133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7" s="123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7" ht="15.75" customHeight="1">
      <c r="A5" s="428" t="s">
        <v>112</v>
      </c>
      <c r="B5" s="533">
        <v>1</v>
      </c>
      <c r="C5" s="533"/>
      <c r="D5" s="533">
        <v>2</v>
      </c>
      <c r="E5" s="533"/>
      <c r="F5" s="533">
        <v>3</v>
      </c>
      <c r="G5" s="533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1">
        <v>8</v>
      </c>
      <c r="Q5" s="531"/>
    </row>
    <row r="6" spans="1:17" ht="15.75" customHeight="1">
      <c r="A6" s="428"/>
      <c r="B6" s="534" t="s">
        <v>99</v>
      </c>
      <c r="C6" s="534"/>
      <c r="D6" s="534" t="s">
        <v>113</v>
      </c>
      <c r="E6" s="534"/>
      <c r="F6" s="534" t="s">
        <v>101</v>
      </c>
      <c r="G6" s="534"/>
      <c r="H6" s="532" t="s">
        <v>102</v>
      </c>
      <c r="I6" s="532"/>
      <c r="J6" s="428" t="s">
        <v>107</v>
      </c>
      <c r="K6" s="428"/>
      <c r="L6" s="428" t="s">
        <v>108</v>
      </c>
      <c r="M6" s="428"/>
      <c r="N6" s="428" t="s">
        <v>109</v>
      </c>
      <c r="O6" s="428"/>
      <c r="P6" s="532" t="s">
        <v>114</v>
      </c>
      <c r="Q6" s="428"/>
    </row>
    <row r="8" spans="1:17" s="124" customFormat="1" ht="15.75" customHeight="1">
      <c r="A8" s="531" t="s">
        <v>112</v>
      </c>
      <c r="B8" s="531"/>
      <c r="C8" s="130" t="s">
        <v>51</v>
      </c>
      <c r="D8" s="548" t="s">
        <v>68</v>
      </c>
      <c r="E8" s="549"/>
      <c r="F8" s="550"/>
      <c r="G8" s="131" t="s">
        <v>115</v>
      </c>
      <c r="H8" s="132"/>
      <c r="I8" s="130"/>
      <c r="J8" s="133" t="s">
        <v>116</v>
      </c>
      <c r="K8" s="330" t="s">
        <v>134</v>
      </c>
      <c r="L8" s="133" t="s">
        <v>118</v>
      </c>
      <c r="M8" s="133" t="s">
        <v>103</v>
      </c>
      <c r="N8" s="133" t="s">
        <v>119</v>
      </c>
      <c r="O8" s="544" t="s">
        <v>72</v>
      </c>
      <c r="P8" s="545"/>
    </row>
    <row r="9" spans="1:17" ht="15.75" customHeight="1">
      <c r="A9" s="531">
        <v>1</v>
      </c>
      <c r="B9" s="547" t="s">
        <v>99</v>
      </c>
      <c r="C9" s="134">
        <v>1</v>
      </c>
      <c r="D9" s="553"/>
      <c r="E9" s="542"/>
      <c r="F9" s="543"/>
      <c r="G9" s="553"/>
      <c r="H9" s="542"/>
      <c r="I9" s="543"/>
      <c r="J9" s="135"/>
      <c r="K9" s="136"/>
      <c r="L9" s="135"/>
      <c r="M9" s="199">
        <f>L9*J9</f>
        <v>0</v>
      </c>
      <c r="N9" s="135"/>
      <c r="O9" s="541"/>
      <c r="P9" s="546"/>
    </row>
    <row r="10" spans="1:17" ht="15.75" customHeight="1">
      <c r="A10" s="531"/>
      <c r="B10" s="547"/>
      <c r="C10" s="134">
        <v>2</v>
      </c>
      <c r="D10" s="553"/>
      <c r="E10" s="542"/>
      <c r="F10" s="543"/>
      <c r="G10" s="553"/>
      <c r="H10" s="542"/>
      <c r="I10" s="543"/>
      <c r="J10" s="135"/>
      <c r="K10" s="136"/>
      <c r="L10" s="135"/>
      <c r="M10" s="199">
        <f>L10*J10</f>
        <v>0</v>
      </c>
      <c r="N10" s="135"/>
      <c r="O10" s="541"/>
      <c r="P10" s="546"/>
    </row>
    <row r="11" spans="1:17" ht="15.75" customHeight="1">
      <c r="A11" s="531"/>
      <c r="B11" s="547"/>
      <c r="C11" s="134">
        <v>3</v>
      </c>
      <c r="D11" s="541"/>
      <c r="E11" s="542"/>
      <c r="F11" s="543"/>
      <c r="G11" s="553"/>
      <c r="H11" s="542"/>
      <c r="I11" s="543"/>
      <c r="J11" s="135"/>
      <c r="K11" s="136"/>
      <c r="L11" s="135"/>
      <c r="M11" s="199">
        <f>L11*J11</f>
        <v>0</v>
      </c>
      <c r="N11" s="135"/>
      <c r="O11" s="541"/>
      <c r="P11" s="546"/>
    </row>
    <row r="12" spans="1:17" ht="15.75" customHeight="1">
      <c r="A12" s="531"/>
      <c r="B12" s="547"/>
      <c r="C12" s="134">
        <v>4</v>
      </c>
      <c r="D12" s="553"/>
      <c r="E12" s="542"/>
      <c r="F12" s="543"/>
      <c r="G12" s="553"/>
      <c r="H12" s="542"/>
      <c r="I12" s="543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1"/>
      <c r="B13" s="547"/>
      <c r="C13" s="140">
        <v>5</v>
      </c>
      <c r="D13" s="554"/>
      <c r="E13" s="539"/>
      <c r="F13" s="540"/>
      <c r="G13" s="554"/>
      <c r="H13" s="539"/>
      <c r="I13" s="540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1"/>
      <c r="B14" s="547"/>
      <c r="C14" s="551"/>
      <c r="D14" s="551"/>
      <c r="E14" s="551"/>
      <c r="F14" s="551"/>
      <c r="G14" s="551"/>
      <c r="H14" s="551"/>
      <c r="I14" s="552"/>
      <c r="J14" s="146" t="s">
        <v>124</v>
      </c>
      <c r="K14" s="147" t="e">
        <f>M14/#REF!</f>
        <v>#REF!</v>
      </c>
      <c r="L14" s="146" t="s">
        <v>125</v>
      </c>
      <c r="M14" s="148">
        <f>SUM(M9:M13)</f>
        <v>0</v>
      </c>
      <c r="N14" s="535"/>
      <c r="O14" s="536"/>
      <c r="P14" s="537"/>
    </row>
    <row r="16" spans="1:17" ht="15.75" customHeight="1">
      <c r="A16" s="531" t="s">
        <v>112</v>
      </c>
      <c r="B16" s="531"/>
      <c r="C16" s="130" t="s">
        <v>51</v>
      </c>
      <c r="D16" s="548" t="s">
        <v>68</v>
      </c>
      <c r="E16" s="549"/>
      <c r="F16" s="550"/>
      <c r="G16" s="131" t="s">
        <v>115</v>
      </c>
      <c r="H16" s="132"/>
      <c r="I16" s="130"/>
      <c r="J16" s="133" t="s">
        <v>116</v>
      </c>
      <c r="K16" s="330" t="s">
        <v>134</v>
      </c>
      <c r="L16" s="133" t="s">
        <v>118</v>
      </c>
      <c r="M16" s="133" t="s">
        <v>103</v>
      </c>
      <c r="N16" s="133" t="s">
        <v>119</v>
      </c>
      <c r="O16" s="544" t="s">
        <v>72</v>
      </c>
      <c r="P16" s="545"/>
    </row>
    <row r="17" spans="1:16" ht="15.75" customHeight="1">
      <c r="A17" s="531">
        <v>2</v>
      </c>
      <c r="B17" s="547" t="s">
        <v>126</v>
      </c>
      <c r="C17" s="134">
        <v>1</v>
      </c>
      <c r="D17" s="541"/>
      <c r="E17" s="542"/>
      <c r="F17" s="543"/>
      <c r="G17" s="553"/>
      <c r="H17" s="542"/>
      <c r="I17" s="543"/>
      <c r="J17" s="135"/>
      <c r="K17" s="136"/>
      <c r="L17" s="135"/>
      <c r="M17" s="199"/>
      <c r="N17" s="233"/>
      <c r="O17" s="555"/>
      <c r="P17" s="556"/>
    </row>
    <row r="18" spans="1:16" ht="15.75" customHeight="1">
      <c r="A18" s="531"/>
      <c r="B18" s="547"/>
      <c r="C18" s="134">
        <v>2</v>
      </c>
      <c r="D18" s="541"/>
      <c r="E18" s="542"/>
      <c r="F18" s="543"/>
      <c r="G18" s="541"/>
      <c r="H18" s="542"/>
      <c r="I18" s="543"/>
      <c r="J18" s="135"/>
      <c r="K18" s="136"/>
      <c r="L18" s="135"/>
      <c r="M18" s="199"/>
      <c r="N18" s="233"/>
      <c r="O18" s="555"/>
      <c r="P18" s="556"/>
    </row>
    <row r="19" spans="1:16" ht="15.75" customHeight="1">
      <c r="A19" s="531"/>
      <c r="B19" s="547"/>
      <c r="C19" s="134">
        <v>3</v>
      </c>
      <c r="D19" s="583"/>
      <c r="E19" s="542"/>
      <c r="F19" s="543"/>
      <c r="G19" s="553"/>
      <c r="H19" s="542"/>
      <c r="I19" s="543"/>
      <c r="J19" s="135"/>
      <c r="K19" s="136"/>
      <c r="L19" s="135"/>
      <c r="M19" s="199"/>
      <c r="N19" s="233"/>
      <c r="O19" s="555"/>
      <c r="P19" s="556"/>
    </row>
    <row r="20" spans="1:16" ht="15.75" customHeight="1">
      <c r="A20" s="531"/>
      <c r="B20" s="547"/>
      <c r="C20" s="134">
        <v>4</v>
      </c>
      <c r="D20" s="583"/>
      <c r="E20" s="542"/>
      <c r="F20" s="543"/>
      <c r="G20" s="553"/>
      <c r="H20" s="542"/>
      <c r="I20" s="543"/>
      <c r="J20" s="135"/>
      <c r="K20" s="136"/>
      <c r="L20" s="135"/>
      <c r="M20" s="199"/>
      <c r="N20" s="233"/>
      <c r="O20" s="555"/>
      <c r="P20" s="556"/>
    </row>
    <row r="21" spans="1:16" ht="15.75" customHeight="1">
      <c r="A21" s="531"/>
      <c r="B21" s="547"/>
      <c r="C21" s="140">
        <v>5</v>
      </c>
      <c r="D21" s="553"/>
      <c r="E21" s="542"/>
      <c r="F21" s="543"/>
      <c r="G21" s="553"/>
      <c r="H21" s="542"/>
      <c r="I21" s="543"/>
      <c r="J21" s="135"/>
      <c r="K21" s="136"/>
      <c r="L21" s="135"/>
      <c r="M21" s="199"/>
      <c r="N21" s="233"/>
      <c r="O21" s="555"/>
      <c r="P21" s="556"/>
    </row>
    <row r="22" spans="1:16" ht="15.75" customHeight="1">
      <c r="A22" s="531"/>
      <c r="B22" s="547"/>
      <c r="C22" s="551"/>
      <c r="D22" s="551"/>
      <c r="E22" s="551"/>
      <c r="F22" s="551"/>
      <c r="G22" s="551"/>
      <c r="H22" s="551"/>
      <c r="I22" s="552"/>
      <c r="J22" s="146" t="s">
        <v>124</v>
      </c>
      <c r="K22" s="147" t="e">
        <f>M22/#REF!</f>
        <v>#REF!</v>
      </c>
      <c r="L22" s="146" t="s">
        <v>125</v>
      </c>
      <c r="M22" s="232">
        <f>SUM(M17:M21)</f>
        <v>0</v>
      </c>
      <c r="N22" s="535"/>
      <c r="O22" s="536"/>
      <c r="P22" s="537"/>
    </row>
    <row r="24" spans="1:16" ht="15.75" customHeight="1">
      <c r="A24" s="531" t="s">
        <v>112</v>
      </c>
      <c r="B24" s="531"/>
      <c r="C24" s="130" t="s">
        <v>51</v>
      </c>
      <c r="D24" s="548" t="s">
        <v>68</v>
      </c>
      <c r="E24" s="549"/>
      <c r="F24" s="550"/>
      <c r="G24" s="131" t="s">
        <v>115</v>
      </c>
      <c r="H24" s="132"/>
      <c r="I24" s="130"/>
      <c r="J24" s="133" t="s">
        <v>116</v>
      </c>
      <c r="K24" s="330" t="s">
        <v>134</v>
      </c>
      <c r="L24" s="133" t="s">
        <v>118</v>
      </c>
      <c r="M24" s="133" t="s">
        <v>103</v>
      </c>
      <c r="N24" s="133" t="s">
        <v>71</v>
      </c>
      <c r="O24" s="544" t="s">
        <v>72</v>
      </c>
      <c r="P24" s="545"/>
    </row>
    <row r="25" spans="1:16" ht="15.75" customHeight="1">
      <c r="A25" s="531">
        <v>3</v>
      </c>
      <c r="B25" s="547" t="s">
        <v>101</v>
      </c>
      <c r="C25" s="134">
        <v>1</v>
      </c>
      <c r="D25" s="553"/>
      <c r="E25" s="542"/>
      <c r="F25" s="543"/>
      <c r="G25" s="553"/>
      <c r="H25" s="542"/>
      <c r="I25" s="543"/>
      <c r="J25" s="135"/>
      <c r="K25" s="136"/>
      <c r="L25" s="135"/>
      <c r="M25" s="137">
        <f>L25*J25</f>
        <v>0</v>
      </c>
      <c r="N25" s="135"/>
      <c r="O25" s="555"/>
      <c r="P25" s="556"/>
    </row>
    <row r="26" spans="1:16" ht="15.75" customHeight="1">
      <c r="A26" s="531"/>
      <c r="B26" s="547"/>
      <c r="C26" s="134">
        <v>2</v>
      </c>
      <c r="D26" s="553"/>
      <c r="E26" s="542"/>
      <c r="F26" s="543"/>
      <c r="G26" s="553"/>
      <c r="H26" s="542"/>
      <c r="I26" s="543"/>
      <c r="J26" s="135"/>
      <c r="K26" s="136"/>
      <c r="L26" s="135"/>
      <c r="M26" s="137">
        <f>L26*J26</f>
        <v>0</v>
      </c>
      <c r="N26" s="135"/>
      <c r="O26" s="555"/>
      <c r="P26" s="556"/>
    </row>
    <row r="27" spans="1:16" ht="15.75" customHeight="1">
      <c r="A27" s="531"/>
      <c r="B27" s="547"/>
      <c r="C27" s="134">
        <v>3</v>
      </c>
      <c r="D27" s="553"/>
      <c r="E27" s="542"/>
      <c r="F27" s="543"/>
      <c r="G27" s="553"/>
      <c r="H27" s="542"/>
      <c r="I27" s="543"/>
      <c r="J27" s="135"/>
      <c r="K27" s="136"/>
      <c r="L27" s="135"/>
      <c r="M27" s="137">
        <f>L27*J27</f>
        <v>0</v>
      </c>
      <c r="N27" s="135"/>
      <c r="O27" s="555"/>
      <c r="P27" s="556"/>
    </row>
    <row r="28" spans="1:16" ht="15.75" customHeight="1">
      <c r="A28" s="531"/>
      <c r="B28" s="547"/>
      <c r="C28" s="134">
        <v>4</v>
      </c>
      <c r="D28" s="553"/>
      <c r="E28" s="542"/>
      <c r="F28" s="543"/>
      <c r="G28" s="553"/>
      <c r="H28" s="542"/>
      <c r="I28" s="543"/>
      <c r="J28" s="135"/>
      <c r="K28" s="136"/>
      <c r="L28" s="135"/>
      <c r="M28" s="137">
        <f>L28*J28</f>
        <v>0</v>
      </c>
      <c r="N28" s="135"/>
      <c r="O28" s="555"/>
      <c r="P28" s="556"/>
    </row>
    <row r="29" spans="1:16" ht="15.75" customHeight="1">
      <c r="A29" s="531"/>
      <c r="B29" s="547"/>
      <c r="C29" s="140">
        <v>5</v>
      </c>
      <c r="D29" s="554"/>
      <c r="E29" s="539"/>
      <c r="F29" s="540"/>
      <c r="G29" s="554"/>
      <c r="H29" s="539"/>
      <c r="I29" s="540"/>
      <c r="J29" s="141"/>
      <c r="K29" s="142"/>
      <c r="L29" s="141"/>
      <c r="M29" s="143">
        <f>L29*J29</f>
        <v>0</v>
      </c>
      <c r="N29" s="135"/>
      <c r="O29" s="555"/>
      <c r="P29" s="556"/>
    </row>
    <row r="30" spans="1:16" ht="15.75" customHeight="1">
      <c r="A30" s="531"/>
      <c r="B30" s="547"/>
      <c r="C30" s="551"/>
      <c r="D30" s="551"/>
      <c r="E30" s="551"/>
      <c r="F30" s="551"/>
      <c r="G30" s="551"/>
      <c r="H30" s="551"/>
      <c r="I30" s="552"/>
      <c r="J30" s="146" t="s">
        <v>124</v>
      </c>
      <c r="K30" s="147" t="e">
        <f>M30/#REF!</f>
        <v>#REF!</v>
      </c>
      <c r="L30" s="146" t="s">
        <v>125</v>
      </c>
      <c r="M30" s="148">
        <f>SUM(M25:M29)</f>
        <v>0</v>
      </c>
      <c r="N30" s="535"/>
      <c r="O30" s="536"/>
      <c r="P30" s="537"/>
    </row>
  </sheetData>
  <mergeCells count="83">
    <mergeCell ref="O25:P25"/>
    <mergeCell ref="O26:P2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M25" sqref="M25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4" width="12.54296875" style="2" customWidth="1"/>
    <col min="25" max="16384" width="12.54296875" style="2"/>
  </cols>
  <sheetData>
    <row r="1" spans="1:17" s="122" customFormat="1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s="122" customFormat="1" ht="15.75" customHeight="1">
      <c r="A3" s="529" t="s">
        <v>135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23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s="122" customFormat="1" ht="15.75" customHeight="1">
      <c r="A5" s="428" t="s">
        <v>112</v>
      </c>
      <c r="B5" s="531">
        <v>1</v>
      </c>
      <c r="C5" s="531"/>
      <c r="D5" s="531">
        <v>2</v>
      </c>
      <c r="E5" s="531"/>
      <c r="F5" s="531">
        <v>3</v>
      </c>
      <c r="G5" s="531"/>
      <c r="H5" s="533">
        <v>4</v>
      </c>
      <c r="I5" s="533"/>
      <c r="J5" s="533">
        <v>5</v>
      </c>
      <c r="K5" s="533"/>
      <c r="L5" s="533">
        <v>6</v>
      </c>
      <c r="M5" s="533"/>
      <c r="N5" s="533">
        <v>7</v>
      </c>
      <c r="O5" s="533"/>
      <c r="P5" s="531">
        <v>8</v>
      </c>
      <c r="Q5" s="531"/>
    </row>
    <row r="6" spans="1:17" s="122" customFormat="1" ht="15.75" customHeight="1">
      <c r="A6" s="428"/>
      <c r="B6" s="428" t="s">
        <v>99</v>
      </c>
      <c r="C6" s="428"/>
      <c r="D6" s="428" t="s">
        <v>113</v>
      </c>
      <c r="E6" s="428"/>
      <c r="F6" s="428" t="s">
        <v>101</v>
      </c>
      <c r="G6" s="428"/>
      <c r="H6" s="534" t="s">
        <v>102</v>
      </c>
      <c r="I6" s="534"/>
      <c r="J6" s="534" t="s">
        <v>107</v>
      </c>
      <c r="K6" s="534"/>
      <c r="L6" s="534" t="s">
        <v>108</v>
      </c>
      <c r="M6" s="534"/>
      <c r="N6" s="534" t="s">
        <v>109</v>
      </c>
      <c r="O6" s="534"/>
      <c r="P6" s="532" t="s">
        <v>114</v>
      </c>
      <c r="Q6" s="428"/>
    </row>
    <row r="7" spans="1:17" s="122" customFormat="1" ht="15.75" customHeight="1">
      <c r="B7" s="149"/>
      <c r="C7" s="128"/>
    </row>
    <row r="8" spans="1:17" s="112" customFormat="1" ht="15.75" customHeight="1">
      <c r="A8" s="558" t="s">
        <v>112</v>
      </c>
      <c r="B8" s="559"/>
      <c r="C8" s="119" t="s">
        <v>51</v>
      </c>
      <c r="D8" s="560" t="s">
        <v>68</v>
      </c>
      <c r="E8" s="561"/>
      <c r="F8" s="562"/>
      <c r="G8" s="117" t="s">
        <v>115</v>
      </c>
      <c r="H8" s="118"/>
      <c r="I8" s="119"/>
      <c r="J8" s="116" t="s">
        <v>116</v>
      </c>
      <c r="K8" s="116" t="s">
        <v>134</v>
      </c>
      <c r="L8" s="116" t="s">
        <v>118</v>
      </c>
      <c r="M8" s="120" t="s">
        <v>103</v>
      </c>
      <c r="N8" s="120" t="s">
        <v>119</v>
      </c>
      <c r="O8" s="563" t="s">
        <v>72</v>
      </c>
      <c r="P8" s="564"/>
    </row>
    <row r="9" spans="1:17" ht="15.75" customHeight="1">
      <c r="A9" s="559">
        <v>4</v>
      </c>
      <c r="B9" s="565" t="s">
        <v>102</v>
      </c>
      <c r="C9" s="114">
        <v>1</v>
      </c>
      <c r="D9" s="571" t="s">
        <v>138</v>
      </c>
      <c r="E9" s="569"/>
      <c r="F9" s="570"/>
      <c r="G9" s="541" t="s">
        <v>418</v>
      </c>
      <c r="H9" s="569"/>
      <c r="I9" s="570"/>
      <c r="J9" s="4">
        <v>359.1</v>
      </c>
      <c r="K9" s="14">
        <v>6.3E-2</v>
      </c>
      <c r="L9" s="336">
        <v>21.1</v>
      </c>
      <c r="M9" s="202">
        <f>L9*J9</f>
        <v>7577.0100000000011</v>
      </c>
      <c r="N9" s="230"/>
      <c r="O9" s="575" t="s">
        <v>137</v>
      </c>
      <c r="P9" s="576"/>
    </row>
    <row r="10" spans="1:17" ht="15.75" customHeight="1">
      <c r="A10" s="559"/>
      <c r="B10" s="566"/>
      <c r="C10" s="114">
        <v>2</v>
      </c>
      <c r="D10" s="571" t="s">
        <v>138</v>
      </c>
      <c r="E10" s="569"/>
      <c r="F10" s="570"/>
      <c r="G10" s="541" t="s">
        <v>404</v>
      </c>
      <c r="H10" s="569"/>
      <c r="I10" s="570"/>
      <c r="J10" s="4">
        <v>138.6</v>
      </c>
      <c r="K10" s="14">
        <v>1.0999999999999999E-2</v>
      </c>
      <c r="L10" s="4">
        <v>21.6</v>
      </c>
      <c r="M10" s="202">
        <f>L10*J10</f>
        <v>2993.76</v>
      </c>
      <c r="N10" s="230"/>
      <c r="O10" s="575" t="s">
        <v>137</v>
      </c>
      <c r="P10" s="576"/>
    </row>
    <row r="11" spans="1:17" ht="15.75" customHeight="1">
      <c r="A11" s="559"/>
      <c r="B11" s="566"/>
      <c r="C11" s="114">
        <v>3</v>
      </c>
      <c r="D11" s="571" t="s">
        <v>138</v>
      </c>
      <c r="E11" s="569"/>
      <c r="F11" s="570"/>
      <c r="G11" s="541" t="s">
        <v>419</v>
      </c>
      <c r="H11" s="569"/>
      <c r="I11" s="570"/>
      <c r="J11" s="4">
        <v>287.2</v>
      </c>
      <c r="K11" s="14">
        <v>1.7000000000000001E-2</v>
      </c>
      <c r="L11" s="4">
        <v>9.3000000000000007</v>
      </c>
      <c r="M11" s="202">
        <f>L11*J11</f>
        <v>2670.96</v>
      </c>
      <c r="N11" s="230">
        <v>0.45579999999999998</v>
      </c>
      <c r="O11" s="575" t="s">
        <v>137</v>
      </c>
      <c r="P11" s="576"/>
    </row>
    <row r="12" spans="1:17" ht="15.75" customHeight="1">
      <c r="A12" s="559"/>
      <c r="B12" s="566"/>
      <c r="C12" s="114">
        <v>4</v>
      </c>
      <c r="D12" s="571" t="s">
        <v>138</v>
      </c>
      <c r="E12" s="569"/>
      <c r="F12" s="570"/>
      <c r="G12" s="541" t="s">
        <v>415</v>
      </c>
      <c r="H12" s="569"/>
      <c r="I12" s="570"/>
      <c r="J12" s="4">
        <v>66.599999999999994</v>
      </c>
      <c r="K12" s="14">
        <v>8.0000000000000002E-3</v>
      </c>
      <c r="L12" s="336">
        <v>35.6</v>
      </c>
      <c r="M12" s="202">
        <f>L12*J12</f>
        <v>2370.96</v>
      </c>
      <c r="N12" s="230"/>
      <c r="O12" s="575" t="s">
        <v>137</v>
      </c>
      <c r="P12" s="576"/>
    </row>
    <row r="13" spans="1:17" ht="15.75" customHeight="1">
      <c r="A13" s="559"/>
      <c r="B13" s="566"/>
      <c r="C13" s="115">
        <v>5</v>
      </c>
      <c r="D13" s="571" t="s">
        <v>421</v>
      </c>
      <c r="E13" s="569"/>
      <c r="F13" s="570"/>
      <c r="G13" s="541" t="s">
        <v>420</v>
      </c>
      <c r="H13" s="569"/>
      <c r="I13" s="570"/>
      <c r="J13" s="4">
        <v>38.1</v>
      </c>
      <c r="K13" s="14">
        <v>1.4E-2</v>
      </c>
      <c r="L13" s="336">
        <v>50.5</v>
      </c>
      <c r="M13" s="202">
        <f>L13*J13</f>
        <v>1924.0500000000002</v>
      </c>
      <c r="N13" s="230"/>
      <c r="O13" s="575" t="s">
        <v>137</v>
      </c>
      <c r="P13" s="576"/>
    </row>
    <row r="14" spans="1:17" ht="15.75" customHeight="1">
      <c r="A14" s="559"/>
      <c r="B14" s="566"/>
      <c r="C14" s="577"/>
      <c r="D14" s="577"/>
      <c r="E14" s="577"/>
      <c r="F14" s="577"/>
      <c r="G14" s="577"/>
      <c r="H14" s="577"/>
      <c r="I14" s="578"/>
      <c r="J14" s="121" t="s">
        <v>124</v>
      </c>
      <c r="K14" s="147" t="e">
        <f>M14/#REF!</f>
        <v>#REF!</v>
      </c>
      <c r="L14" s="121" t="s">
        <v>125</v>
      </c>
      <c r="M14" s="34">
        <v>0</v>
      </c>
      <c r="N14" s="572"/>
      <c r="O14" s="573"/>
      <c r="P14" s="574"/>
    </row>
    <row r="16" spans="1:17" ht="15.75" customHeight="1">
      <c r="A16" s="558" t="s">
        <v>112</v>
      </c>
      <c r="B16" s="559"/>
      <c r="C16" s="119" t="s">
        <v>51</v>
      </c>
      <c r="D16" s="560" t="s">
        <v>68</v>
      </c>
      <c r="E16" s="561"/>
      <c r="F16" s="562"/>
      <c r="G16" s="117" t="s">
        <v>115</v>
      </c>
      <c r="H16" s="118"/>
      <c r="I16" s="119"/>
      <c r="J16" s="116" t="s">
        <v>116</v>
      </c>
      <c r="K16" s="116" t="s">
        <v>134</v>
      </c>
      <c r="L16" s="116" t="s">
        <v>118</v>
      </c>
      <c r="M16" s="120" t="s">
        <v>103</v>
      </c>
      <c r="N16" s="120" t="s">
        <v>119</v>
      </c>
      <c r="O16" s="563" t="s">
        <v>72</v>
      </c>
      <c r="P16" s="564"/>
    </row>
    <row r="17" spans="1:16" ht="15.75" customHeight="1">
      <c r="A17" s="559">
        <v>5</v>
      </c>
      <c r="B17" s="565" t="s">
        <v>107</v>
      </c>
      <c r="C17" s="114">
        <v>1</v>
      </c>
      <c r="D17" s="571"/>
      <c r="E17" s="569"/>
      <c r="F17" s="570"/>
      <c r="G17" s="541"/>
      <c r="H17" s="569"/>
      <c r="I17" s="570"/>
      <c r="J17" s="4"/>
      <c r="K17" s="14"/>
      <c r="L17" s="336"/>
      <c r="M17" s="201">
        <f>L17*J17</f>
        <v>0</v>
      </c>
      <c r="N17" s="230"/>
      <c r="O17" s="575"/>
      <c r="P17" s="576"/>
    </row>
    <row r="18" spans="1:16" ht="15.75" customHeight="1">
      <c r="A18" s="559"/>
      <c r="B18" s="566"/>
      <c r="C18" s="114">
        <v>2</v>
      </c>
      <c r="D18" s="571"/>
      <c r="E18" s="569"/>
      <c r="F18" s="570"/>
      <c r="G18" s="541"/>
      <c r="H18" s="569"/>
      <c r="I18" s="570"/>
      <c r="J18" s="4"/>
      <c r="K18" s="14"/>
      <c r="L18" s="4"/>
      <c r="M18" s="201">
        <f>L18*J18</f>
        <v>0</v>
      </c>
      <c r="N18" s="4"/>
      <c r="O18" s="575"/>
      <c r="P18" s="576"/>
    </row>
    <row r="19" spans="1:16" ht="15.75" customHeight="1">
      <c r="A19" s="559"/>
      <c r="B19" s="566"/>
      <c r="C19" s="114">
        <v>3</v>
      </c>
      <c r="D19" s="571"/>
      <c r="E19" s="569"/>
      <c r="F19" s="570"/>
      <c r="G19" s="541"/>
      <c r="H19" s="569"/>
      <c r="I19" s="570"/>
      <c r="J19" s="4"/>
      <c r="K19" s="14"/>
      <c r="L19" s="4"/>
      <c r="M19" s="201">
        <f>L19*J19</f>
        <v>0</v>
      </c>
      <c r="N19" s="4"/>
      <c r="O19" s="575"/>
      <c r="P19" s="576"/>
    </row>
    <row r="20" spans="1:16" ht="15.75" customHeight="1">
      <c r="A20" s="559"/>
      <c r="B20" s="566"/>
      <c r="C20" s="114">
        <v>4</v>
      </c>
      <c r="D20" s="571"/>
      <c r="E20" s="569"/>
      <c r="F20" s="570"/>
      <c r="G20" s="541"/>
      <c r="H20" s="569"/>
      <c r="I20" s="570"/>
      <c r="J20" s="4"/>
      <c r="K20" s="14"/>
      <c r="L20" s="336"/>
      <c r="M20" s="201">
        <f>L20*J20</f>
        <v>0</v>
      </c>
      <c r="N20" s="4"/>
      <c r="O20" s="575"/>
      <c r="P20" s="576"/>
    </row>
    <row r="21" spans="1:16" ht="15.75" customHeight="1">
      <c r="A21" s="559"/>
      <c r="B21" s="566"/>
      <c r="C21" s="115">
        <v>5</v>
      </c>
      <c r="D21" s="571"/>
      <c r="E21" s="569"/>
      <c r="F21" s="570"/>
      <c r="G21" s="541"/>
      <c r="H21" s="569"/>
      <c r="I21" s="570"/>
      <c r="J21" s="4"/>
      <c r="K21" s="14"/>
      <c r="L21" s="336"/>
      <c r="M21" s="201">
        <f>L21*J21</f>
        <v>0</v>
      </c>
      <c r="N21" s="4"/>
      <c r="O21" s="575"/>
      <c r="P21" s="576"/>
    </row>
    <row r="22" spans="1:16" ht="15.75" customHeight="1">
      <c r="A22" s="559"/>
      <c r="B22" s="566"/>
      <c r="C22" s="577"/>
      <c r="D22" s="577"/>
      <c r="E22" s="577"/>
      <c r="F22" s="577"/>
      <c r="G22" s="577"/>
      <c r="H22" s="577"/>
      <c r="I22" s="578"/>
      <c r="J22" s="121" t="s">
        <v>124</v>
      </c>
      <c r="K22" s="147" t="e">
        <f>M22/#REF!</f>
        <v>#REF!</v>
      </c>
      <c r="L22" s="121" t="s">
        <v>125</v>
      </c>
      <c r="M22" s="34">
        <v>0</v>
      </c>
      <c r="N22" s="572"/>
      <c r="O22" s="573"/>
      <c r="P22" s="574"/>
    </row>
    <row r="24" spans="1:16" ht="15.75" customHeight="1">
      <c r="A24" s="558" t="s">
        <v>112</v>
      </c>
      <c r="B24" s="559"/>
      <c r="C24" s="119" t="s">
        <v>51</v>
      </c>
      <c r="D24" s="560" t="s">
        <v>68</v>
      </c>
      <c r="E24" s="561"/>
      <c r="F24" s="562"/>
      <c r="G24" s="117" t="s">
        <v>115</v>
      </c>
      <c r="H24" s="118"/>
      <c r="I24" s="119"/>
      <c r="J24" s="116" t="s">
        <v>116</v>
      </c>
      <c r="K24" s="116" t="s">
        <v>134</v>
      </c>
      <c r="L24" s="116" t="s">
        <v>118</v>
      </c>
      <c r="M24" s="120" t="s">
        <v>103</v>
      </c>
      <c r="N24" s="120" t="s">
        <v>71</v>
      </c>
      <c r="O24" s="563" t="s">
        <v>72</v>
      </c>
      <c r="P24" s="564"/>
    </row>
    <row r="25" spans="1:16" ht="15.75" customHeight="1">
      <c r="A25" s="559">
        <v>6</v>
      </c>
      <c r="B25" s="565" t="s">
        <v>108</v>
      </c>
      <c r="C25" s="114">
        <v>1</v>
      </c>
      <c r="D25" s="583" t="s">
        <v>63</v>
      </c>
      <c r="E25" s="569"/>
      <c r="F25" s="570"/>
      <c r="G25" s="571" t="s">
        <v>140</v>
      </c>
      <c r="H25" s="569"/>
      <c r="I25" s="570"/>
      <c r="J25" s="4">
        <v>81.2</v>
      </c>
      <c r="K25" s="14">
        <v>0.13</v>
      </c>
      <c r="L25" s="4">
        <v>16.8</v>
      </c>
      <c r="M25" s="201">
        <f>L25*J25</f>
        <v>1364.16</v>
      </c>
      <c r="N25" s="230">
        <v>0.34145999999999999</v>
      </c>
      <c r="O25" s="541"/>
      <c r="P25" s="546"/>
    </row>
    <row r="26" spans="1:16" ht="15.75" customHeight="1">
      <c r="A26" s="559"/>
      <c r="B26" s="566"/>
      <c r="C26" s="114">
        <v>2</v>
      </c>
      <c r="D26" s="571"/>
      <c r="E26" s="569"/>
      <c r="F26" s="570"/>
      <c r="G26" s="541"/>
      <c r="H26" s="569"/>
      <c r="I26" s="570"/>
      <c r="J26" s="4"/>
      <c r="K26" s="14"/>
      <c r="L26" s="4"/>
      <c r="M26" s="199"/>
      <c r="N26" s="230"/>
      <c r="O26" s="541"/>
      <c r="P26" s="546"/>
    </row>
    <row r="27" spans="1:16" ht="15.75" customHeight="1">
      <c r="A27" s="559"/>
      <c r="B27" s="566"/>
      <c r="C27" s="114">
        <v>3</v>
      </c>
      <c r="D27" s="571"/>
      <c r="E27" s="569"/>
      <c r="F27" s="570"/>
      <c r="G27" s="541"/>
      <c r="H27" s="569"/>
      <c r="I27" s="570"/>
      <c r="J27" s="4"/>
      <c r="K27" s="14"/>
      <c r="L27" s="336"/>
      <c r="M27" s="199"/>
      <c r="N27" s="230"/>
      <c r="O27" s="541"/>
      <c r="P27" s="546"/>
    </row>
    <row r="28" spans="1:16" ht="15.75" customHeight="1">
      <c r="A28" s="559"/>
      <c r="B28" s="566"/>
      <c r="C28" s="114">
        <v>4</v>
      </c>
      <c r="D28" s="571"/>
      <c r="E28" s="569"/>
      <c r="F28" s="570"/>
      <c r="G28" s="541"/>
      <c r="H28" s="569"/>
      <c r="I28" s="570"/>
      <c r="J28" s="4"/>
      <c r="K28" s="14"/>
      <c r="L28" s="336"/>
      <c r="M28" s="201"/>
      <c r="N28" s="230"/>
      <c r="O28" s="575"/>
      <c r="P28" s="581"/>
    </row>
    <row r="29" spans="1:16" ht="15.75" customHeight="1">
      <c r="A29" s="559"/>
      <c r="B29" s="566"/>
      <c r="C29" s="115">
        <v>5</v>
      </c>
      <c r="D29" s="580"/>
      <c r="E29" s="567"/>
      <c r="F29" s="568"/>
      <c r="G29" s="580"/>
      <c r="H29" s="567"/>
      <c r="I29" s="568"/>
      <c r="J29" s="27"/>
      <c r="K29" s="30"/>
      <c r="L29" s="27"/>
      <c r="M29" s="202"/>
      <c r="N29" s="230"/>
      <c r="O29" s="582"/>
      <c r="P29" s="576"/>
    </row>
    <row r="30" spans="1:16" ht="15.75" customHeight="1">
      <c r="A30" s="559"/>
      <c r="B30" s="566"/>
      <c r="C30" s="577"/>
      <c r="D30" s="577"/>
      <c r="E30" s="577"/>
      <c r="F30" s="577"/>
      <c r="G30" s="577"/>
      <c r="H30" s="577"/>
      <c r="I30" s="578"/>
      <c r="J30" s="121" t="s">
        <v>124</v>
      </c>
      <c r="K30" s="147" t="e">
        <f>M30/#REF!</f>
        <v>#REF!</v>
      </c>
      <c r="L30" s="121" t="s">
        <v>125</v>
      </c>
      <c r="M30" s="34">
        <v>0</v>
      </c>
      <c r="N30" s="572"/>
      <c r="O30" s="573"/>
      <c r="P30" s="574"/>
    </row>
    <row r="32" spans="1:16" ht="15.75" customHeight="1">
      <c r="A32" s="558" t="s">
        <v>112</v>
      </c>
      <c r="B32" s="559"/>
      <c r="C32" s="119" t="s">
        <v>51</v>
      </c>
      <c r="D32" s="560" t="s">
        <v>68</v>
      </c>
      <c r="E32" s="561"/>
      <c r="F32" s="562"/>
      <c r="G32" s="117" t="s">
        <v>115</v>
      </c>
      <c r="H32" s="118"/>
      <c r="I32" s="119"/>
      <c r="J32" s="116" t="s">
        <v>116</v>
      </c>
      <c r="K32" s="116" t="s">
        <v>134</v>
      </c>
      <c r="L32" s="116" t="s">
        <v>118</v>
      </c>
      <c r="M32" s="120" t="s">
        <v>103</v>
      </c>
      <c r="N32" s="120" t="s">
        <v>71</v>
      </c>
      <c r="O32" s="563" t="s">
        <v>72</v>
      </c>
      <c r="P32" s="564"/>
    </row>
    <row r="33" spans="1:16" ht="15.75" customHeight="1">
      <c r="A33" s="559">
        <v>7</v>
      </c>
      <c r="B33" s="565" t="s">
        <v>101</v>
      </c>
      <c r="C33" s="114">
        <v>1</v>
      </c>
      <c r="D33" s="579"/>
      <c r="E33" s="569"/>
      <c r="F33" s="570"/>
      <c r="G33" s="579"/>
      <c r="H33" s="569"/>
      <c r="I33" s="57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59"/>
      <c r="B34" s="566"/>
      <c r="C34" s="114">
        <v>2</v>
      </c>
      <c r="D34" s="579"/>
      <c r="E34" s="569"/>
      <c r="F34" s="570"/>
      <c r="G34" s="579"/>
      <c r="H34" s="569"/>
      <c r="I34" s="57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59"/>
      <c r="B35" s="566"/>
      <c r="C35" s="114">
        <v>3</v>
      </c>
      <c r="D35" s="579"/>
      <c r="E35" s="569"/>
      <c r="F35" s="570"/>
      <c r="G35" s="579"/>
      <c r="H35" s="569"/>
      <c r="I35" s="57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59"/>
      <c r="B36" s="566"/>
      <c r="C36" s="114">
        <v>4</v>
      </c>
      <c r="D36" s="579"/>
      <c r="E36" s="569"/>
      <c r="F36" s="570"/>
      <c r="G36" s="579"/>
      <c r="H36" s="569"/>
      <c r="I36" s="570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59"/>
      <c r="B37" s="566"/>
      <c r="C37" s="115">
        <v>5</v>
      </c>
      <c r="D37" s="580"/>
      <c r="E37" s="567"/>
      <c r="F37" s="568"/>
      <c r="G37" s="580"/>
      <c r="H37" s="567"/>
      <c r="I37" s="56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59"/>
      <c r="B38" s="566"/>
      <c r="C38" s="577"/>
      <c r="D38" s="577"/>
      <c r="E38" s="577"/>
      <c r="F38" s="577"/>
      <c r="G38" s="577"/>
      <c r="H38" s="577"/>
      <c r="I38" s="578"/>
      <c r="J38" s="121" t="s">
        <v>124</v>
      </c>
      <c r="K38" s="147" t="e">
        <f>M38/#REF!</f>
        <v>#REF!</v>
      </c>
      <c r="L38" s="121" t="s">
        <v>125</v>
      </c>
      <c r="M38" s="34">
        <v>0</v>
      </c>
      <c r="N38" s="572"/>
      <c r="O38" s="573"/>
      <c r="P38" s="574"/>
    </row>
  </sheetData>
  <mergeCells count="102"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9:A14"/>
    <mergeCell ref="B9:B14"/>
    <mergeCell ref="D9:F9"/>
    <mergeCell ref="G9:I9"/>
    <mergeCell ref="O10:P10"/>
    <mergeCell ref="D11:F11"/>
    <mergeCell ref="G11:I11"/>
    <mergeCell ref="O11:P11"/>
    <mergeCell ref="D12:F12"/>
    <mergeCell ref="G12:I12"/>
    <mergeCell ref="O12:P12"/>
    <mergeCell ref="C14:I14"/>
    <mergeCell ref="N14:P14"/>
    <mergeCell ref="O9:P9"/>
    <mergeCell ref="D10:F10"/>
    <mergeCell ref="G10:I10"/>
    <mergeCell ref="D13:F13"/>
    <mergeCell ref="G13:I13"/>
    <mergeCell ref="O13:P13"/>
    <mergeCell ref="C30:I30"/>
    <mergeCell ref="D16:F16"/>
    <mergeCell ref="O20:P20"/>
    <mergeCell ref="N22:P22"/>
    <mergeCell ref="O16:P16"/>
    <mergeCell ref="O17:P17"/>
    <mergeCell ref="O21:P21"/>
    <mergeCell ref="O18:P18"/>
    <mergeCell ref="O19:P19"/>
    <mergeCell ref="A32:B32"/>
    <mergeCell ref="D32:F32"/>
    <mergeCell ref="O32:P32"/>
    <mergeCell ref="O26:P26"/>
    <mergeCell ref="D27:F27"/>
    <mergeCell ref="G27:I27"/>
    <mergeCell ref="O27:P27"/>
    <mergeCell ref="D28:F28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D19:F19"/>
    <mergeCell ref="G19:I19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G28:I28"/>
    <mergeCell ref="D29:F29"/>
    <mergeCell ref="N30:P30"/>
    <mergeCell ref="O28:P28"/>
    <mergeCell ref="G29:I29"/>
    <mergeCell ref="O29:P29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0" sqref="S30"/>
    </sheetView>
  </sheetViews>
  <sheetFormatPr defaultColWidth="12.54296875" defaultRowHeight="15.75" customHeight="1"/>
  <cols>
    <col min="1" max="1" width="5.453125" style="122" customWidth="1"/>
    <col min="2" max="2" width="7.81640625" style="150" customWidth="1"/>
    <col min="3" max="3" width="4" style="128" customWidth="1"/>
    <col min="4" max="17" width="8.54296875" style="122" customWidth="1"/>
    <col min="18" max="24" width="12.54296875" style="122" customWidth="1"/>
    <col min="25" max="16384" width="12.54296875" style="122"/>
  </cols>
  <sheetData>
    <row r="1" spans="1:17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ht="15.75" customHeight="1">
      <c r="A3" s="529" t="s">
        <v>141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</row>
    <row r="4" spans="1:17" s="123" customFormat="1" ht="15.75" customHeight="1">
      <c r="A4" s="585"/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  <c r="N4" s="585"/>
      <c r="O4" s="585"/>
      <c r="P4" s="585"/>
      <c r="Q4" s="585"/>
    </row>
    <row r="5" spans="1:17" ht="15.75" customHeight="1">
      <c r="A5" s="428" t="s">
        <v>112</v>
      </c>
      <c r="B5" s="531">
        <v>1</v>
      </c>
      <c r="C5" s="531"/>
      <c r="D5" s="531">
        <v>2</v>
      </c>
      <c r="E5" s="531"/>
      <c r="F5" s="531">
        <v>3</v>
      </c>
      <c r="G5" s="531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3">
        <v>8</v>
      </c>
      <c r="Q5" s="533"/>
    </row>
    <row r="6" spans="1:17" ht="15.75" customHeight="1">
      <c r="A6" s="428"/>
      <c r="B6" s="428" t="s">
        <v>99</v>
      </c>
      <c r="C6" s="428"/>
      <c r="D6" s="428" t="s">
        <v>113</v>
      </c>
      <c r="E6" s="428"/>
      <c r="F6" s="428" t="s">
        <v>101</v>
      </c>
      <c r="G6" s="428"/>
      <c r="H6" s="532" t="s">
        <v>102</v>
      </c>
      <c r="I6" s="532"/>
      <c r="J6" s="428" t="s">
        <v>107</v>
      </c>
      <c r="K6" s="428"/>
      <c r="L6" s="428" t="s">
        <v>108</v>
      </c>
      <c r="M6" s="428"/>
      <c r="N6" s="428" t="s">
        <v>109</v>
      </c>
      <c r="O6" s="428"/>
      <c r="P6" s="534" t="s">
        <v>114</v>
      </c>
      <c r="Q6" s="534"/>
    </row>
    <row r="8" spans="1:17" s="124" customFormat="1" ht="15.75" customHeight="1">
      <c r="A8" s="129" t="s">
        <v>112</v>
      </c>
      <c r="B8" s="153" t="s">
        <v>142</v>
      </c>
      <c r="C8" s="586" t="s">
        <v>68</v>
      </c>
      <c r="D8" s="586"/>
      <c r="E8" s="586"/>
      <c r="F8" s="586" t="s">
        <v>115</v>
      </c>
      <c r="G8" s="586"/>
      <c r="H8" s="586"/>
      <c r="I8" s="153" t="s">
        <v>116</v>
      </c>
      <c r="J8" s="154" t="s">
        <v>143</v>
      </c>
      <c r="K8" s="153" t="s">
        <v>50</v>
      </c>
      <c r="L8" s="153" t="s">
        <v>144</v>
      </c>
      <c r="M8" s="589" t="s">
        <v>72</v>
      </c>
      <c r="N8" s="551"/>
      <c r="O8" s="551"/>
      <c r="P8" s="551"/>
      <c r="Q8" s="551"/>
    </row>
    <row r="9" spans="1:17" ht="15.75" customHeight="1">
      <c r="A9" s="586" t="s">
        <v>145</v>
      </c>
      <c r="B9" s="127">
        <v>1</v>
      </c>
      <c r="C9" s="587"/>
      <c r="D9" s="588"/>
      <c r="E9" s="588"/>
      <c r="F9" s="587"/>
      <c r="G9" s="588"/>
      <c r="H9" s="588"/>
      <c r="I9" s="125"/>
      <c r="J9" s="126"/>
      <c r="K9" s="126"/>
      <c r="L9" s="152">
        <f>K9-J9</f>
        <v>0</v>
      </c>
      <c r="M9" s="587"/>
      <c r="N9" s="587"/>
      <c r="O9" s="587"/>
      <c r="P9" s="587"/>
      <c r="Q9" s="587"/>
    </row>
    <row r="10" spans="1:17" ht="15.75" customHeight="1">
      <c r="A10" s="592"/>
      <c r="B10" s="127">
        <v>2</v>
      </c>
      <c r="C10" s="587"/>
      <c r="D10" s="588"/>
      <c r="E10" s="588"/>
      <c r="F10" s="587"/>
      <c r="G10" s="588"/>
      <c r="H10" s="588"/>
      <c r="I10" s="125"/>
      <c r="J10" s="126"/>
      <c r="K10" s="126"/>
      <c r="L10" s="152">
        <f>K10-J10</f>
        <v>0</v>
      </c>
      <c r="M10" s="587"/>
      <c r="N10" s="587"/>
      <c r="O10" s="587"/>
      <c r="P10" s="587"/>
      <c r="Q10" s="587"/>
    </row>
    <row r="11" spans="1:17" ht="15.75" customHeight="1">
      <c r="A11" s="592"/>
      <c r="B11" s="127">
        <v>3</v>
      </c>
      <c r="C11" s="587"/>
      <c r="D11" s="588"/>
      <c r="E11" s="588"/>
      <c r="F11" s="587"/>
      <c r="G11" s="588"/>
      <c r="H11" s="588"/>
      <c r="I11" s="125"/>
      <c r="J11" s="126"/>
      <c r="K11" s="126"/>
      <c r="L11" s="152">
        <f>K11-J11</f>
        <v>0</v>
      </c>
      <c r="M11" s="587"/>
      <c r="N11" s="587"/>
      <c r="O11" s="587"/>
      <c r="P11" s="587"/>
      <c r="Q11" s="587"/>
    </row>
    <row r="12" spans="1:17" ht="15.75" customHeight="1">
      <c r="A12" s="592"/>
      <c r="B12" s="127">
        <v>4</v>
      </c>
      <c r="C12" s="587"/>
      <c r="D12" s="588"/>
      <c r="E12" s="588"/>
      <c r="F12" s="587"/>
      <c r="G12" s="588"/>
      <c r="H12" s="588"/>
      <c r="I12" s="125"/>
      <c r="J12" s="126"/>
      <c r="K12" s="126"/>
      <c r="L12" s="152">
        <f>K12-J12</f>
        <v>0</v>
      </c>
      <c r="M12" s="587"/>
      <c r="N12" s="587"/>
      <c r="O12" s="587"/>
      <c r="P12" s="587"/>
      <c r="Q12" s="587"/>
    </row>
    <row r="13" spans="1:17" ht="15.75" customHeight="1">
      <c r="A13" s="592"/>
      <c r="B13" s="127">
        <v>5</v>
      </c>
      <c r="C13" s="587"/>
      <c r="D13" s="588"/>
      <c r="E13" s="588"/>
      <c r="F13" s="587"/>
      <c r="G13" s="588"/>
      <c r="H13" s="588"/>
      <c r="I13" s="125"/>
      <c r="J13" s="126"/>
      <c r="K13" s="126"/>
      <c r="L13" s="152">
        <f>K13-J13</f>
        <v>0</v>
      </c>
      <c r="M13" s="587"/>
      <c r="N13" s="587"/>
      <c r="O13" s="587"/>
      <c r="P13" s="587"/>
      <c r="Q13" s="587"/>
    </row>
    <row r="14" spans="1:17" ht="15.75" customHeight="1">
      <c r="A14" s="590"/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590"/>
      <c r="O14" s="591"/>
    </row>
    <row r="15" spans="1:17" s="124" customFormat="1" ht="15.75" customHeight="1">
      <c r="A15" s="129" t="s">
        <v>112</v>
      </c>
      <c r="B15" s="129" t="s">
        <v>142</v>
      </c>
      <c r="C15" s="584" t="s">
        <v>68</v>
      </c>
      <c r="D15" s="584"/>
      <c r="E15" s="584"/>
      <c r="F15" s="584" t="s">
        <v>115</v>
      </c>
      <c r="G15" s="584"/>
      <c r="H15" s="584"/>
      <c r="I15" s="129" t="s">
        <v>116</v>
      </c>
      <c r="J15" s="151" t="s">
        <v>143</v>
      </c>
      <c r="K15" s="129" t="s">
        <v>50</v>
      </c>
      <c r="L15" s="129" t="s">
        <v>144</v>
      </c>
      <c r="M15" s="584" t="s">
        <v>72</v>
      </c>
      <c r="N15" s="584"/>
      <c r="O15" s="584"/>
      <c r="P15" s="584"/>
      <c r="Q15" s="584"/>
    </row>
    <row r="16" spans="1:17" ht="15.75" customHeight="1">
      <c r="A16" s="584" t="s">
        <v>146</v>
      </c>
      <c r="B16" s="127">
        <v>1</v>
      </c>
      <c r="C16" s="587"/>
      <c r="D16" s="588"/>
      <c r="E16" s="588"/>
      <c r="F16" s="587"/>
      <c r="G16" s="588"/>
      <c r="H16" s="588"/>
      <c r="I16" s="125"/>
      <c r="J16" s="126"/>
      <c r="K16" s="126"/>
      <c r="L16" s="152">
        <f>K16-J16</f>
        <v>0</v>
      </c>
      <c r="M16" s="587"/>
      <c r="N16" s="587"/>
      <c r="O16" s="587"/>
      <c r="P16" s="587"/>
      <c r="Q16" s="587"/>
    </row>
    <row r="17" spans="1:17" ht="15.75" customHeight="1">
      <c r="A17" s="584"/>
      <c r="B17" s="127">
        <v>2</v>
      </c>
      <c r="C17" s="587"/>
      <c r="D17" s="588"/>
      <c r="E17" s="588"/>
      <c r="F17" s="587"/>
      <c r="G17" s="588"/>
      <c r="H17" s="588"/>
      <c r="I17" s="125"/>
      <c r="J17" s="126"/>
      <c r="K17" s="126"/>
      <c r="L17" s="152">
        <f>K17-J17</f>
        <v>0</v>
      </c>
      <c r="M17" s="587"/>
      <c r="N17" s="587"/>
      <c r="O17" s="587"/>
      <c r="P17" s="587"/>
      <c r="Q17" s="587"/>
    </row>
    <row r="18" spans="1:17" ht="15.75" customHeight="1">
      <c r="A18" s="584"/>
      <c r="B18" s="127">
        <v>3</v>
      </c>
      <c r="C18" s="587"/>
      <c r="D18" s="588"/>
      <c r="E18" s="588"/>
      <c r="F18" s="587"/>
      <c r="G18" s="588"/>
      <c r="H18" s="588"/>
      <c r="I18" s="125"/>
      <c r="J18" s="126"/>
      <c r="K18" s="126"/>
      <c r="L18" s="152">
        <f>K18-J18</f>
        <v>0</v>
      </c>
      <c r="M18" s="587"/>
      <c r="N18" s="587"/>
      <c r="O18" s="587"/>
      <c r="P18" s="587"/>
      <c r="Q18" s="587"/>
    </row>
    <row r="19" spans="1:17" ht="15.75" customHeight="1">
      <c r="A19" s="584"/>
      <c r="B19" s="127">
        <v>4</v>
      </c>
      <c r="C19" s="587"/>
      <c r="D19" s="588"/>
      <c r="E19" s="588"/>
      <c r="F19" s="587"/>
      <c r="G19" s="588"/>
      <c r="H19" s="588"/>
      <c r="I19" s="125"/>
      <c r="J19" s="126"/>
      <c r="K19" s="126"/>
      <c r="L19" s="152">
        <f>K19-J19</f>
        <v>0</v>
      </c>
      <c r="M19" s="587"/>
      <c r="N19" s="587"/>
      <c r="O19" s="587"/>
      <c r="P19" s="587"/>
      <c r="Q19" s="587"/>
    </row>
    <row r="20" spans="1:17" ht="15.75" customHeight="1">
      <c r="A20" s="584"/>
      <c r="B20" s="127">
        <v>5</v>
      </c>
      <c r="C20" s="587"/>
      <c r="D20" s="588"/>
      <c r="E20" s="588"/>
      <c r="F20" s="587"/>
      <c r="G20" s="588"/>
      <c r="H20" s="588"/>
      <c r="I20" s="125"/>
      <c r="J20" s="126"/>
      <c r="K20" s="126"/>
      <c r="L20" s="152">
        <f>K20-J20</f>
        <v>0</v>
      </c>
      <c r="M20" s="587"/>
      <c r="N20" s="587"/>
      <c r="O20" s="587"/>
      <c r="P20" s="587"/>
      <c r="Q20" s="587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tabSelected="1" zoomScale="70" zoomScaleNormal="70"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E7" sqref="E7:E25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3.26953125" style="170" bestFit="1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4.26953125" style="170" customWidth="1"/>
    <col min="20" max="20" width="12.453125" style="170" bestFit="1" customWidth="1"/>
    <col min="21" max="21" width="25.26953125" style="170" bestFit="1" customWidth="1"/>
    <col min="22" max="22" width="26.26953125" style="170" bestFit="1" customWidth="1"/>
    <col min="23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2" width="8.81640625" style="170" customWidth="1"/>
    <col min="43" max="16384" width="8.81640625" style="170"/>
  </cols>
  <sheetData>
    <row r="2" spans="2:35" ht="41.15" customHeight="1">
      <c r="B2" s="607" t="s">
        <v>147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71"/>
      <c r="AB2" s="171"/>
    </row>
    <row r="3" spans="2:35" ht="17.149999999999999" customHeight="1">
      <c r="B3" s="609" t="s">
        <v>148</v>
      </c>
      <c r="C3" s="610"/>
      <c r="D3" s="603" t="s">
        <v>149</v>
      </c>
      <c r="E3" s="603"/>
      <c r="F3" s="603"/>
      <c r="G3" s="603" t="s">
        <v>150</v>
      </c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 t="s">
        <v>151</v>
      </c>
      <c r="U3" s="615" t="s">
        <v>152</v>
      </c>
      <c r="V3" s="600" t="s">
        <v>153</v>
      </c>
      <c r="W3" s="600" t="s">
        <v>154</v>
      </c>
      <c r="X3" s="620" t="s">
        <v>155</v>
      </c>
      <c r="Y3" s="605" t="s">
        <v>156</v>
      </c>
      <c r="AA3" s="603" t="s">
        <v>157</v>
      </c>
      <c r="AB3" s="603"/>
      <c r="AC3" s="603"/>
      <c r="AD3" s="603"/>
      <c r="AE3" s="603"/>
      <c r="AF3" s="603"/>
      <c r="AG3" s="603"/>
      <c r="AH3" s="603"/>
      <c r="AI3" s="603"/>
    </row>
    <row r="4" spans="2:35" ht="17.149999999999999" customHeight="1">
      <c r="B4" s="611"/>
      <c r="C4" s="612"/>
      <c r="D4" s="604" t="s">
        <v>158</v>
      </c>
      <c r="E4" s="603" t="s">
        <v>159</v>
      </c>
      <c r="F4" s="603"/>
      <c r="G4" s="603" t="s">
        <v>160</v>
      </c>
      <c r="H4" s="603"/>
      <c r="I4" s="603"/>
      <c r="J4" s="603"/>
      <c r="K4" s="603"/>
      <c r="L4" s="603"/>
      <c r="M4" s="603"/>
      <c r="N4" s="603"/>
      <c r="O4" s="603" t="s">
        <v>161</v>
      </c>
      <c r="P4" s="603"/>
      <c r="Q4" s="603"/>
      <c r="R4" s="603"/>
      <c r="S4" s="603"/>
      <c r="T4" s="603"/>
      <c r="U4" s="616"/>
      <c r="V4" s="618"/>
      <c r="W4" s="601"/>
      <c r="X4" s="618"/>
      <c r="Y4" s="605"/>
      <c r="AA4" s="603"/>
      <c r="AB4" s="603"/>
      <c r="AC4" s="603"/>
      <c r="AD4" s="603"/>
      <c r="AE4" s="603"/>
      <c r="AF4" s="603"/>
      <c r="AG4" s="603"/>
      <c r="AH4" s="603"/>
      <c r="AI4" s="603"/>
    </row>
    <row r="5" spans="2:35" ht="17.149999999999999" customHeight="1">
      <c r="B5" s="611"/>
      <c r="C5" s="612"/>
      <c r="D5" s="604"/>
      <c r="E5" s="604" t="s">
        <v>162</v>
      </c>
      <c r="F5" s="605" t="s">
        <v>163</v>
      </c>
      <c r="G5" s="606" t="s">
        <v>164</v>
      </c>
      <c r="H5" s="606"/>
      <c r="I5" s="606"/>
      <c r="J5" s="606"/>
      <c r="K5" s="606"/>
      <c r="L5" s="606"/>
      <c r="M5" s="606"/>
      <c r="N5" s="606"/>
      <c r="O5" s="606" t="s">
        <v>105</v>
      </c>
      <c r="P5" s="606"/>
      <c r="Q5" s="606" t="s">
        <v>106</v>
      </c>
      <c r="R5" s="606"/>
      <c r="S5" s="606"/>
      <c r="T5" s="603"/>
      <c r="U5" s="616"/>
      <c r="V5" s="618"/>
      <c r="W5" s="601"/>
      <c r="X5" s="618"/>
      <c r="Y5" s="605"/>
      <c r="AA5" s="603"/>
      <c r="AB5" s="603"/>
      <c r="AC5" s="603"/>
      <c r="AD5" s="603"/>
      <c r="AE5" s="603"/>
      <c r="AF5" s="603"/>
      <c r="AG5" s="603"/>
      <c r="AH5" s="603"/>
      <c r="AI5" s="603"/>
    </row>
    <row r="6" spans="2:35" ht="38.5" customHeight="1">
      <c r="B6" s="613"/>
      <c r="C6" s="614"/>
      <c r="D6" s="604"/>
      <c r="E6" s="604"/>
      <c r="F6" s="605"/>
      <c r="G6" s="238" t="s">
        <v>165</v>
      </c>
      <c r="H6" s="238" t="s">
        <v>166</v>
      </c>
      <c r="I6" s="238" t="s">
        <v>167</v>
      </c>
      <c r="J6" s="238" t="s">
        <v>168</v>
      </c>
      <c r="K6" s="238" t="s">
        <v>169</v>
      </c>
      <c r="L6" s="238" t="s">
        <v>170</v>
      </c>
      <c r="M6" s="238" t="s">
        <v>171</v>
      </c>
      <c r="N6" s="238" t="s">
        <v>172</v>
      </c>
      <c r="O6" s="236" t="s">
        <v>173</v>
      </c>
      <c r="P6" s="236" t="s">
        <v>174</v>
      </c>
      <c r="Q6" s="236" t="s">
        <v>173</v>
      </c>
      <c r="R6" s="236" t="s">
        <v>174</v>
      </c>
      <c r="S6" s="238" t="s">
        <v>175</v>
      </c>
      <c r="T6" s="603"/>
      <c r="U6" s="617"/>
      <c r="V6" s="619"/>
      <c r="W6" s="602"/>
      <c r="X6" s="619"/>
      <c r="Y6" s="605"/>
      <c r="AA6" s="183" t="s">
        <v>176</v>
      </c>
      <c r="AB6" s="183" t="s">
        <v>99</v>
      </c>
      <c r="AC6" s="237" t="s">
        <v>177</v>
      </c>
      <c r="AD6" s="237" t="s">
        <v>101</v>
      </c>
      <c r="AE6" s="237" t="s">
        <v>102</v>
      </c>
      <c r="AF6" s="237" t="s">
        <v>107</v>
      </c>
      <c r="AG6" s="237" t="s">
        <v>108</v>
      </c>
      <c r="AH6" s="237" t="s">
        <v>109</v>
      </c>
      <c r="AI6" s="237" t="s">
        <v>178</v>
      </c>
    </row>
    <row r="7" spans="2:35" s="239" customFormat="1" ht="27" customHeight="1">
      <c r="B7" s="594" t="s">
        <v>403</v>
      </c>
      <c r="C7" s="595"/>
      <c r="D7" s="235">
        <v>1</v>
      </c>
      <c r="E7" s="389" t="s">
        <v>404</v>
      </c>
      <c r="F7" s="371">
        <v>29397.599999999999</v>
      </c>
      <c r="G7" s="371">
        <v>1993.6</v>
      </c>
      <c r="H7" s="371">
        <v>2227.4</v>
      </c>
      <c r="I7" s="240">
        <f>H7/G7</f>
        <v>1.1172752808988764</v>
      </c>
      <c r="J7" s="371">
        <v>0</v>
      </c>
      <c r="K7" s="240">
        <f>J7/G7</f>
        <v>0</v>
      </c>
      <c r="L7" s="371">
        <v>138.6</v>
      </c>
      <c r="M7" s="241">
        <f>(H7+J7)/G7</f>
        <v>1.1172752808988764</v>
      </c>
      <c r="N7" s="372">
        <v>233.8</v>
      </c>
      <c r="O7" s="371">
        <v>212.2</v>
      </c>
      <c r="P7" s="240">
        <f>O7/G7</f>
        <v>0.1064406099518459</v>
      </c>
      <c r="Q7" s="242">
        <f>((H7+J7)-G7)-O7</f>
        <v>21.600000000000193</v>
      </c>
      <c r="R7" s="240">
        <f>Q7/G7</f>
        <v>1.0834670947030596E-2</v>
      </c>
      <c r="S7" s="371">
        <v>2995.9</v>
      </c>
      <c r="T7" s="254" t="s">
        <v>179</v>
      </c>
      <c r="U7" s="254" t="s">
        <v>109</v>
      </c>
      <c r="V7" s="369" t="s">
        <v>180</v>
      </c>
      <c r="W7" s="243" t="s">
        <v>184</v>
      </c>
      <c r="X7" s="244">
        <v>1</v>
      </c>
      <c r="Y7" s="253" t="s">
        <v>405</v>
      </c>
      <c r="Z7" s="245" t="s">
        <v>181</v>
      </c>
      <c r="AA7" s="246">
        <v>20</v>
      </c>
      <c r="AB7" s="247">
        <f>SUMIF($U$7:$U$26,TRIM(AB6),$X$7:$X$26)</f>
        <v>15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2</v>
      </c>
      <c r="AF7" s="247">
        <f t="shared" ca="1" si="0"/>
        <v>0</v>
      </c>
      <c r="AG7" s="247">
        <f t="shared" ca="1" si="0"/>
        <v>0</v>
      </c>
      <c r="AH7" s="247">
        <f t="shared" ca="1" si="0"/>
        <v>3</v>
      </c>
      <c r="AI7" s="247">
        <f t="shared" ca="1" si="0"/>
        <v>0</v>
      </c>
    </row>
    <row r="8" spans="2:35" s="239" customFormat="1" ht="27" customHeight="1">
      <c r="B8" s="596"/>
      <c r="C8" s="597"/>
      <c r="D8" s="235">
        <v>2</v>
      </c>
      <c r="E8" s="389" t="s">
        <v>406</v>
      </c>
      <c r="F8" s="371">
        <v>10731.9</v>
      </c>
      <c r="G8" s="371">
        <v>4124.8</v>
      </c>
      <c r="H8" s="371">
        <v>4193.2</v>
      </c>
      <c r="I8" s="240">
        <f t="shared" ref="I8:I26" si="1">H8/G8</f>
        <v>1.0165826221877423</v>
      </c>
      <c r="J8" s="371">
        <v>0</v>
      </c>
      <c r="K8" s="240">
        <f t="shared" ref="K8:K26" si="2">J8/G8</f>
        <v>0</v>
      </c>
      <c r="L8" s="371">
        <v>156.69999999999999</v>
      </c>
      <c r="M8" s="241">
        <f t="shared" ref="M8:M26" si="3">(H8+J8)/G8</f>
        <v>1.0165826221877423</v>
      </c>
      <c r="N8" s="372">
        <v>68.400000000000006</v>
      </c>
      <c r="O8" s="371">
        <v>68.5</v>
      </c>
      <c r="P8" s="240">
        <f t="shared" ref="P8:P18" si="4">O8/G8</f>
        <v>1.6606865787432118E-2</v>
      </c>
      <c r="Q8" s="242">
        <f t="shared" ref="Q8:Q18" si="5">((H8+J8)-G8)-O8</f>
        <v>-0.1000000000003638</v>
      </c>
      <c r="R8" s="240">
        <f t="shared" ref="R8:R18" si="6">Q8/G8</f>
        <v>-2.424359968977012E-5</v>
      </c>
      <c r="S8" s="371">
        <v>-18.8</v>
      </c>
      <c r="T8" s="254" t="s">
        <v>179</v>
      </c>
      <c r="U8" s="254" t="s">
        <v>99</v>
      </c>
      <c r="V8" s="369" t="s">
        <v>180</v>
      </c>
      <c r="W8" s="243" t="s">
        <v>184</v>
      </c>
      <c r="X8" s="244">
        <v>1</v>
      </c>
      <c r="Y8" s="253" t="s">
        <v>407</v>
      </c>
      <c r="AA8" s="246"/>
      <c r="AB8" s="249">
        <f>SUMIF($U$7:$U$26,TRIM(AB6),$F$7:$F$26)</f>
        <v>75486.2</v>
      </c>
      <c r="AC8" s="249">
        <f>SUMIF($U$7:$U$26,TRIM(AC6),$F$7:$F$26)</f>
        <v>0</v>
      </c>
      <c r="AD8" s="249">
        <f t="shared" ref="AD8:AI8" ca="1" si="7">SUMIF($U$7:$U$176,TRIM(AD6),$F$7:$F$26)</f>
        <v>0</v>
      </c>
      <c r="AE8" s="249">
        <f t="shared" ca="1" si="7"/>
        <v>3232.1000000000004</v>
      </c>
      <c r="AF8" s="249">
        <f t="shared" ca="1" si="7"/>
        <v>0</v>
      </c>
      <c r="AG8" s="249">
        <f t="shared" ca="1" si="7"/>
        <v>0</v>
      </c>
      <c r="AH8" s="249">
        <f t="shared" ca="1" si="7"/>
        <v>38162.400000000001</v>
      </c>
      <c r="AI8" s="249">
        <f t="shared" ca="1" si="7"/>
        <v>0</v>
      </c>
    </row>
    <row r="9" spans="2:35" s="239" customFormat="1" ht="27" customHeight="1">
      <c r="B9" s="596"/>
      <c r="C9" s="597"/>
      <c r="D9" s="235">
        <v>3</v>
      </c>
      <c r="E9" s="390" t="s">
        <v>408</v>
      </c>
      <c r="F9" s="371">
        <v>10461.700000000001</v>
      </c>
      <c r="G9" s="371">
        <v>1219</v>
      </c>
      <c r="H9" s="371">
        <v>1380.4</v>
      </c>
      <c r="I9" s="240">
        <f t="shared" si="1"/>
        <v>1.1324036095159968</v>
      </c>
      <c r="J9" s="371">
        <v>0</v>
      </c>
      <c r="K9" s="240">
        <f t="shared" si="2"/>
        <v>0</v>
      </c>
      <c r="L9" s="371">
        <v>69.099999999999994</v>
      </c>
      <c r="M9" s="241">
        <f t="shared" si="3"/>
        <v>1.1324036095159968</v>
      </c>
      <c r="N9" s="372">
        <v>161.4</v>
      </c>
      <c r="O9" s="371">
        <v>151.4</v>
      </c>
      <c r="P9" s="240">
        <f t="shared" si="4"/>
        <v>0.12420016406890895</v>
      </c>
      <c r="Q9" s="242">
        <f t="shared" si="5"/>
        <v>10.000000000000085</v>
      </c>
      <c r="R9" s="240">
        <f t="shared" si="6"/>
        <v>8.2034454470878461E-3</v>
      </c>
      <c r="S9" s="371">
        <v>690.3</v>
      </c>
      <c r="T9" s="254" t="s">
        <v>179</v>
      </c>
      <c r="U9" s="254" t="s">
        <v>99</v>
      </c>
      <c r="V9" s="369" t="s">
        <v>183</v>
      </c>
      <c r="W9" s="243" t="s">
        <v>184</v>
      </c>
      <c r="X9" s="244">
        <v>1</v>
      </c>
      <c r="Y9" s="337" t="s">
        <v>410</v>
      </c>
      <c r="AB9" s="354">
        <f>AB7/$AA$7</f>
        <v>0.75</v>
      </c>
      <c r="AC9" s="354">
        <f t="shared" ref="AC9:AI9" si="8">AC7/$AA$7</f>
        <v>0</v>
      </c>
      <c r="AD9" s="354">
        <f t="shared" ca="1" si="8"/>
        <v>0</v>
      </c>
      <c r="AE9" s="354">
        <f t="shared" ca="1" si="8"/>
        <v>0.1</v>
      </c>
      <c r="AF9" s="354">
        <f t="shared" ca="1" si="8"/>
        <v>0</v>
      </c>
      <c r="AG9" s="354">
        <f t="shared" ca="1" si="8"/>
        <v>0</v>
      </c>
      <c r="AH9" s="354">
        <f t="shared" ca="1" si="8"/>
        <v>0.15</v>
      </c>
      <c r="AI9" s="354">
        <f t="shared" ca="1" si="8"/>
        <v>0</v>
      </c>
    </row>
    <row r="10" spans="2:35" s="239" customFormat="1" ht="25.5" customHeight="1">
      <c r="B10" s="596"/>
      <c r="C10" s="597"/>
      <c r="D10" s="235">
        <v>4</v>
      </c>
      <c r="E10" s="390" t="s">
        <v>412</v>
      </c>
      <c r="F10" s="371">
        <v>8650.2999999999993</v>
      </c>
      <c r="G10" s="371">
        <v>2554.9</v>
      </c>
      <c r="H10" s="371">
        <v>2627.8</v>
      </c>
      <c r="I10" s="240">
        <f t="shared" si="1"/>
        <v>1.0285334063955536</v>
      </c>
      <c r="J10" s="371">
        <v>0</v>
      </c>
      <c r="K10" s="240">
        <f t="shared" si="2"/>
        <v>0</v>
      </c>
      <c r="L10" s="371">
        <v>132.5</v>
      </c>
      <c r="M10" s="241">
        <f t="shared" si="3"/>
        <v>1.0285334063955536</v>
      </c>
      <c r="N10" s="372">
        <v>72.900000000000006</v>
      </c>
      <c r="O10" s="371">
        <v>65.3</v>
      </c>
      <c r="P10" s="240">
        <f t="shared" si="4"/>
        <v>2.5558730282985633E-2</v>
      </c>
      <c r="Q10" s="242">
        <f t="shared" si="5"/>
        <v>7.6000000000000938</v>
      </c>
      <c r="R10" s="240">
        <f t="shared" si="6"/>
        <v>2.9746761125680433E-3</v>
      </c>
      <c r="S10" s="371">
        <v>1008.1</v>
      </c>
      <c r="T10" s="254" t="s">
        <v>179</v>
      </c>
      <c r="U10" s="254" t="s">
        <v>99</v>
      </c>
      <c r="V10" s="369" t="s">
        <v>180</v>
      </c>
      <c r="W10" s="243" t="s">
        <v>184</v>
      </c>
      <c r="X10" s="244">
        <v>1</v>
      </c>
      <c r="Y10" s="337" t="s">
        <v>413</v>
      </c>
    </row>
    <row r="11" spans="2:35" s="239" customFormat="1" ht="27" customHeight="1">
      <c r="B11" s="596"/>
      <c r="C11" s="597"/>
      <c r="D11" s="235">
        <v>5</v>
      </c>
      <c r="E11" s="389" t="s">
        <v>414</v>
      </c>
      <c r="F11" s="371">
        <v>7834.1</v>
      </c>
      <c r="G11" s="371">
        <v>2194.1999999999998</v>
      </c>
      <c r="H11" s="371">
        <v>2250.5</v>
      </c>
      <c r="I11" s="240">
        <f t="shared" si="1"/>
        <v>1.0256585543706136</v>
      </c>
      <c r="J11" s="371">
        <v>0</v>
      </c>
      <c r="K11" s="240">
        <f t="shared" si="2"/>
        <v>0</v>
      </c>
      <c r="L11" s="371">
        <v>153.80000000000001</v>
      </c>
      <c r="M11" s="241">
        <f t="shared" si="3"/>
        <v>1.0256585543706136</v>
      </c>
      <c r="N11" s="372">
        <v>56.3</v>
      </c>
      <c r="O11" s="371">
        <v>51</v>
      </c>
      <c r="P11" s="240">
        <f t="shared" si="4"/>
        <v>2.3243095433415371E-2</v>
      </c>
      <c r="Q11" s="242">
        <f t="shared" si="5"/>
        <v>5.3000000000001819</v>
      </c>
      <c r="R11" s="240">
        <f t="shared" si="6"/>
        <v>2.4154589371981508E-3</v>
      </c>
      <c r="S11" s="371">
        <v>828.8</v>
      </c>
      <c r="T11" s="254" t="s">
        <v>179</v>
      </c>
      <c r="U11" s="254" t="s">
        <v>99</v>
      </c>
      <c r="V11" s="369" t="s">
        <v>183</v>
      </c>
      <c r="W11" s="243" t="s">
        <v>184</v>
      </c>
      <c r="X11" s="244">
        <v>1</v>
      </c>
      <c r="Y11" s="337" t="s">
        <v>75</v>
      </c>
    </row>
    <row r="12" spans="2:35" s="239" customFormat="1" ht="27" customHeight="1">
      <c r="B12" s="596"/>
      <c r="C12" s="597"/>
      <c r="D12" s="235">
        <v>6</v>
      </c>
      <c r="E12" s="390" t="s">
        <v>187</v>
      </c>
      <c r="F12" s="371">
        <v>7177.2</v>
      </c>
      <c r="G12" s="371">
        <v>918.2</v>
      </c>
      <c r="H12" s="371">
        <v>1003.5</v>
      </c>
      <c r="I12" s="240">
        <f t="shared" si="1"/>
        <v>1.092899150511871</v>
      </c>
      <c r="J12" s="371">
        <v>0</v>
      </c>
      <c r="K12" s="240">
        <f t="shared" si="2"/>
        <v>0</v>
      </c>
      <c r="L12" s="371">
        <v>100</v>
      </c>
      <c r="M12" s="241">
        <f t="shared" si="3"/>
        <v>1.092899150511871</v>
      </c>
      <c r="N12" s="372">
        <v>85.4</v>
      </c>
      <c r="O12" s="371">
        <v>71.8</v>
      </c>
      <c r="P12" s="240">
        <f t="shared" si="4"/>
        <v>7.819647135700282E-2</v>
      </c>
      <c r="Q12" s="242">
        <f t="shared" si="5"/>
        <v>13.499999999999957</v>
      </c>
      <c r="R12" s="240">
        <f t="shared" si="6"/>
        <v>1.4702679154868174E-2</v>
      </c>
      <c r="S12" s="371">
        <v>1360.9</v>
      </c>
      <c r="T12" s="254" t="s">
        <v>179</v>
      </c>
      <c r="U12" s="254" t="s">
        <v>99</v>
      </c>
      <c r="V12" s="369" t="s">
        <v>180</v>
      </c>
      <c r="W12" s="243" t="s">
        <v>184</v>
      </c>
      <c r="X12" s="244">
        <v>1</v>
      </c>
      <c r="Y12" s="253" t="s">
        <v>188</v>
      </c>
    </row>
    <row r="13" spans="2:35" s="239" customFormat="1" ht="27" customHeight="1">
      <c r="B13" s="596"/>
      <c r="C13" s="597"/>
      <c r="D13" s="235">
        <v>7</v>
      </c>
      <c r="E13" s="389" t="s">
        <v>189</v>
      </c>
      <c r="F13" s="371">
        <v>6027.2</v>
      </c>
      <c r="G13" s="371">
        <v>1009.2</v>
      </c>
      <c r="H13" s="371">
        <v>1039.8</v>
      </c>
      <c r="I13" s="240">
        <f t="shared" si="1"/>
        <v>1.030321046373365</v>
      </c>
      <c r="J13" s="371">
        <v>0</v>
      </c>
      <c r="K13" s="240">
        <f t="shared" si="2"/>
        <v>0</v>
      </c>
      <c r="L13" s="371">
        <v>193.2</v>
      </c>
      <c r="M13" s="241">
        <f t="shared" si="3"/>
        <v>1.030321046373365</v>
      </c>
      <c r="N13" s="372">
        <v>30.6</v>
      </c>
      <c r="O13" s="371">
        <v>31.2</v>
      </c>
      <c r="P13" s="240">
        <f t="shared" si="4"/>
        <v>3.0915576694411414E-2</v>
      </c>
      <c r="Q13" s="242">
        <f t="shared" si="5"/>
        <v>-0.60000000000009024</v>
      </c>
      <c r="R13" s="240">
        <f t="shared" si="6"/>
        <v>-5.9453032104646276E-4</v>
      </c>
      <c r="S13" s="371">
        <v>-119.8</v>
      </c>
      <c r="T13" s="254" t="s">
        <v>179</v>
      </c>
      <c r="U13" s="254" t="s">
        <v>99</v>
      </c>
      <c r="V13" s="374" t="s">
        <v>183</v>
      </c>
      <c r="W13" s="243" t="s">
        <v>184</v>
      </c>
      <c r="X13" s="244">
        <v>1</v>
      </c>
      <c r="Y13" s="254" t="s">
        <v>190</v>
      </c>
      <c r="AB13" s="239">
        <v>1</v>
      </c>
      <c r="AC13" s="255" t="s">
        <v>99</v>
      </c>
    </row>
    <row r="14" spans="2:35" s="239" customFormat="1" ht="27" customHeight="1">
      <c r="B14" s="596"/>
      <c r="C14" s="597"/>
      <c r="D14" s="235">
        <v>8</v>
      </c>
      <c r="E14" s="389" t="s">
        <v>191</v>
      </c>
      <c r="F14" s="371">
        <v>5502.4</v>
      </c>
      <c r="G14" s="371">
        <v>1542.4</v>
      </c>
      <c r="H14" s="371">
        <v>1624.9</v>
      </c>
      <c r="I14" s="240">
        <f t="shared" si="1"/>
        <v>1.0534880705394192</v>
      </c>
      <c r="J14" s="371">
        <v>0</v>
      </c>
      <c r="K14" s="240">
        <f t="shared" si="2"/>
        <v>0</v>
      </c>
      <c r="L14" s="371">
        <v>86.7</v>
      </c>
      <c r="M14" s="241">
        <f t="shared" si="3"/>
        <v>1.0534880705394192</v>
      </c>
      <c r="N14" s="372">
        <v>82.5</v>
      </c>
      <c r="O14" s="371">
        <v>63.4</v>
      </c>
      <c r="P14" s="240">
        <f t="shared" si="4"/>
        <v>4.1104771784232365E-2</v>
      </c>
      <c r="Q14" s="242">
        <f t="shared" si="5"/>
        <v>19.100000000000001</v>
      </c>
      <c r="R14" s="240">
        <f t="shared" si="6"/>
        <v>1.2383298755186721E-2</v>
      </c>
      <c r="S14" s="371">
        <v>1648.5</v>
      </c>
      <c r="T14" s="254" t="s">
        <v>179</v>
      </c>
      <c r="U14" s="254" t="s">
        <v>109</v>
      </c>
      <c r="V14" s="369" t="s">
        <v>180</v>
      </c>
      <c r="W14" s="243" t="s">
        <v>184</v>
      </c>
      <c r="X14" s="244">
        <v>1</v>
      </c>
      <c r="Y14" s="253" t="s">
        <v>90</v>
      </c>
      <c r="AB14" s="239">
        <v>2</v>
      </c>
      <c r="AC14" s="255" t="s">
        <v>192</v>
      </c>
    </row>
    <row r="15" spans="2:35" s="239" customFormat="1" ht="27" customHeight="1">
      <c r="B15" s="596"/>
      <c r="C15" s="597"/>
      <c r="D15" s="235">
        <v>9</v>
      </c>
      <c r="E15" s="389" t="s">
        <v>193</v>
      </c>
      <c r="F15" s="371">
        <v>5445</v>
      </c>
      <c r="G15" s="371">
        <v>2519.3000000000002</v>
      </c>
      <c r="H15" s="371">
        <v>2569.5</v>
      </c>
      <c r="I15" s="240">
        <f t="shared" si="1"/>
        <v>1.0199261699678481</v>
      </c>
      <c r="J15" s="371">
        <v>0</v>
      </c>
      <c r="K15" s="240">
        <f t="shared" si="2"/>
        <v>0</v>
      </c>
      <c r="L15" s="371">
        <v>117</v>
      </c>
      <c r="M15" s="241">
        <f t="shared" si="3"/>
        <v>1.0199261699678481</v>
      </c>
      <c r="N15" s="372">
        <v>50.2</v>
      </c>
      <c r="O15" s="371">
        <v>46.6</v>
      </c>
      <c r="P15" s="240">
        <f t="shared" si="4"/>
        <v>1.8497201603620051E-2</v>
      </c>
      <c r="Q15" s="242">
        <f t="shared" si="5"/>
        <v>3.5999999999998167</v>
      </c>
      <c r="R15" s="240">
        <f t="shared" si="6"/>
        <v>1.4289683642280857E-3</v>
      </c>
      <c r="S15" s="371">
        <v>426.8</v>
      </c>
      <c r="T15" s="254" t="s">
        <v>179</v>
      </c>
      <c r="U15" s="254" t="s">
        <v>99</v>
      </c>
      <c r="V15" s="253" t="s">
        <v>183</v>
      </c>
      <c r="W15" s="243" t="s">
        <v>184</v>
      </c>
      <c r="X15" s="244">
        <v>1</v>
      </c>
      <c r="Y15" s="337" t="s">
        <v>78</v>
      </c>
      <c r="AB15" s="239">
        <v>3</v>
      </c>
      <c r="AC15" s="255" t="s">
        <v>101</v>
      </c>
    </row>
    <row r="16" spans="2:35" s="239" customFormat="1" ht="27" customHeight="1">
      <c r="B16" s="596"/>
      <c r="C16" s="597"/>
      <c r="D16" s="235">
        <v>10</v>
      </c>
      <c r="E16" s="389" t="s">
        <v>194</v>
      </c>
      <c r="F16" s="371">
        <v>4088.6</v>
      </c>
      <c r="G16" s="371">
        <v>4219.8999999999996</v>
      </c>
      <c r="H16" s="371">
        <v>4279.1000000000004</v>
      </c>
      <c r="I16" s="240">
        <f t="shared" si="1"/>
        <v>1.0140287684542288</v>
      </c>
      <c r="J16" s="371">
        <v>0</v>
      </c>
      <c r="K16" s="240">
        <f t="shared" si="2"/>
        <v>0</v>
      </c>
      <c r="L16" s="371">
        <v>77.3</v>
      </c>
      <c r="M16" s="241">
        <f t="shared" si="3"/>
        <v>1.0140287684542288</v>
      </c>
      <c r="N16" s="372">
        <v>59.2</v>
      </c>
      <c r="O16" s="371">
        <v>52.9</v>
      </c>
      <c r="P16" s="240">
        <f t="shared" si="4"/>
        <v>1.2535842081565914E-2</v>
      </c>
      <c r="Q16" s="242">
        <f t="shared" si="5"/>
        <v>6.300000000000729</v>
      </c>
      <c r="R16" s="240">
        <f t="shared" si="6"/>
        <v>1.4929263726630323E-3</v>
      </c>
      <c r="S16" s="371">
        <v>488.5</v>
      </c>
      <c r="T16" s="254" t="s">
        <v>179</v>
      </c>
      <c r="U16" s="254" t="s">
        <v>99</v>
      </c>
      <c r="V16" s="253" t="s">
        <v>183</v>
      </c>
      <c r="W16" s="243" t="s">
        <v>184</v>
      </c>
      <c r="X16" s="244">
        <v>1</v>
      </c>
      <c r="Y16" s="253" t="s">
        <v>195</v>
      </c>
      <c r="AB16" s="239">
        <v>4</v>
      </c>
      <c r="AC16" s="255" t="s">
        <v>196</v>
      </c>
    </row>
    <row r="17" spans="2:29" s="239" customFormat="1" ht="27" customHeight="1">
      <c r="B17" s="596"/>
      <c r="C17" s="597"/>
      <c r="D17" s="235">
        <v>11</v>
      </c>
      <c r="E17" s="390" t="s">
        <v>197</v>
      </c>
      <c r="F17" s="371">
        <v>3696.9</v>
      </c>
      <c r="G17" s="371">
        <v>843.3</v>
      </c>
      <c r="H17" s="371">
        <v>899.7</v>
      </c>
      <c r="I17" s="240">
        <f t="shared" si="1"/>
        <v>1.0668801138384918</v>
      </c>
      <c r="J17" s="371">
        <v>11</v>
      </c>
      <c r="K17" s="240">
        <f t="shared" si="2"/>
        <v>1.3043993833748371E-2</v>
      </c>
      <c r="L17" s="371">
        <v>80.3</v>
      </c>
      <c r="M17" s="241">
        <f t="shared" si="3"/>
        <v>1.0799241076722401</v>
      </c>
      <c r="N17" s="372">
        <v>67.400000000000006</v>
      </c>
      <c r="O17" s="371">
        <v>46</v>
      </c>
      <c r="P17" s="240">
        <f t="shared" si="4"/>
        <v>5.4547610577493182E-2</v>
      </c>
      <c r="Q17" s="242">
        <f t="shared" si="5"/>
        <v>21.400000000000091</v>
      </c>
      <c r="R17" s="240">
        <f t="shared" si="6"/>
        <v>2.5376497094746937E-2</v>
      </c>
      <c r="S17" s="371">
        <v>1716.8</v>
      </c>
      <c r="T17" s="254" t="s">
        <v>179</v>
      </c>
      <c r="U17" s="254" t="s">
        <v>99</v>
      </c>
      <c r="V17" s="369" t="s">
        <v>183</v>
      </c>
      <c r="W17" s="243" t="s">
        <v>184</v>
      </c>
      <c r="X17" s="244">
        <v>1</v>
      </c>
      <c r="Y17" s="337" t="s">
        <v>127</v>
      </c>
      <c r="AB17" s="239">
        <v>5</v>
      </c>
      <c r="AC17" s="255" t="s">
        <v>107</v>
      </c>
    </row>
    <row r="18" spans="2:29" s="239" customFormat="1" ht="27" customHeight="1">
      <c r="B18" s="596"/>
      <c r="C18" s="597"/>
      <c r="D18" s="235">
        <v>12</v>
      </c>
      <c r="E18" s="389" t="s">
        <v>122</v>
      </c>
      <c r="F18" s="371">
        <v>3262.4</v>
      </c>
      <c r="G18" s="371">
        <v>1064.7</v>
      </c>
      <c r="H18" s="371">
        <v>1094.7</v>
      </c>
      <c r="I18" s="240">
        <f t="shared" si="1"/>
        <v>1.0281769512538743</v>
      </c>
      <c r="J18" s="371">
        <v>0</v>
      </c>
      <c r="K18" s="240">
        <f t="shared" si="2"/>
        <v>0</v>
      </c>
      <c r="L18" s="371">
        <v>140.6</v>
      </c>
      <c r="M18" s="241">
        <f t="shared" si="3"/>
        <v>1.0281769512538743</v>
      </c>
      <c r="N18" s="372">
        <v>30</v>
      </c>
      <c r="O18" s="371">
        <v>23.2</v>
      </c>
      <c r="P18" s="240">
        <f t="shared" si="4"/>
        <v>2.1790175636329481E-2</v>
      </c>
      <c r="Q18" s="242">
        <f t="shared" si="5"/>
        <v>6.8000000000000007</v>
      </c>
      <c r="R18" s="240">
        <f t="shared" si="6"/>
        <v>6.3867756175448485E-3</v>
      </c>
      <c r="S18" s="371">
        <v>949.5</v>
      </c>
      <c r="T18" s="254" t="s">
        <v>179</v>
      </c>
      <c r="U18" s="254" t="s">
        <v>109</v>
      </c>
      <c r="V18" s="253" t="s">
        <v>183</v>
      </c>
      <c r="W18" s="243" t="s">
        <v>184</v>
      </c>
      <c r="X18" s="244">
        <v>1</v>
      </c>
      <c r="Y18" s="253" t="s">
        <v>76</v>
      </c>
      <c r="AB18" s="239">
        <v>6</v>
      </c>
      <c r="AC18" s="255" t="s">
        <v>108</v>
      </c>
    </row>
    <row r="19" spans="2:29" s="239" customFormat="1" ht="27" customHeight="1">
      <c r="B19" s="596"/>
      <c r="C19" s="597"/>
      <c r="D19" s="235">
        <v>13</v>
      </c>
      <c r="E19" s="389" t="s">
        <v>201</v>
      </c>
      <c r="F19" s="371">
        <v>3077.1</v>
      </c>
      <c r="G19" s="371">
        <v>458.3</v>
      </c>
      <c r="H19" s="371">
        <v>481.4</v>
      </c>
      <c r="I19" s="240">
        <f>H19/G19</f>
        <v>1.0504036657211433</v>
      </c>
      <c r="J19" s="371">
        <v>0</v>
      </c>
      <c r="K19" s="240">
        <f>J19/G19</f>
        <v>0</v>
      </c>
      <c r="L19" s="371">
        <v>162.4</v>
      </c>
      <c r="M19" s="241">
        <f>(H19+J19)/G19</f>
        <v>1.0504036657211433</v>
      </c>
      <c r="N19" s="372">
        <v>23.1</v>
      </c>
      <c r="O19" s="371">
        <v>19</v>
      </c>
      <c r="P19" s="240">
        <f>O19/G19</f>
        <v>4.145756054985817E-2</v>
      </c>
      <c r="Q19" s="242">
        <f>((H19+J19)-G19)-O19</f>
        <v>4.0999999999999659</v>
      </c>
      <c r="R19" s="240">
        <f>Q19/G19</f>
        <v>8.9461051712851104E-3</v>
      </c>
      <c r="S19" s="371">
        <v>677.9</v>
      </c>
      <c r="T19" s="254" t="s">
        <v>179</v>
      </c>
      <c r="U19" s="254" t="s">
        <v>99</v>
      </c>
      <c r="V19" s="253" t="s">
        <v>183</v>
      </c>
      <c r="W19" s="243" t="s">
        <v>184</v>
      </c>
      <c r="X19" s="244">
        <v>1</v>
      </c>
      <c r="Y19" s="253" t="s">
        <v>86</v>
      </c>
      <c r="AB19" s="239">
        <v>7</v>
      </c>
      <c r="AC19" s="255" t="s">
        <v>109</v>
      </c>
    </row>
    <row r="20" spans="2:29" s="239" customFormat="1" ht="27" customHeight="1">
      <c r="B20" s="596"/>
      <c r="C20" s="597"/>
      <c r="D20" s="235">
        <v>14</v>
      </c>
      <c r="E20" s="389" t="s">
        <v>123</v>
      </c>
      <c r="F20" s="371">
        <v>3071.7</v>
      </c>
      <c r="G20" s="371">
        <v>1208.5999999999999</v>
      </c>
      <c r="H20" s="371">
        <v>1232.7</v>
      </c>
      <c r="I20" s="240">
        <f t="shared" si="1"/>
        <v>1.0199404269402617</v>
      </c>
      <c r="J20" s="371">
        <v>0</v>
      </c>
      <c r="K20" s="240">
        <f t="shared" si="2"/>
        <v>0</v>
      </c>
      <c r="L20" s="371">
        <v>125.6</v>
      </c>
      <c r="M20" s="241">
        <f t="shared" si="3"/>
        <v>1.0199404269402617</v>
      </c>
      <c r="N20" s="372">
        <v>24.1</v>
      </c>
      <c r="O20" s="371">
        <v>24.4</v>
      </c>
      <c r="P20" s="240">
        <f t="shared" ref="P20:P21" si="9">O20/G20</f>
        <v>2.018864802250538E-2</v>
      </c>
      <c r="Q20" s="242">
        <f t="shared" ref="Q20:Q21" si="10">((H20+J20)-G20)-O20</f>
        <v>-0.29999999999986215</v>
      </c>
      <c r="R20" s="240">
        <f t="shared" ref="R20:R21" si="11">Q20/G20</f>
        <v>-2.4822108224380456E-4</v>
      </c>
      <c r="S20" s="371">
        <v>-45.2</v>
      </c>
      <c r="T20" s="254" t="s">
        <v>179</v>
      </c>
      <c r="U20" s="254" t="s">
        <v>99</v>
      </c>
      <c r="V20" s="254" t="s">
        <v>183</v>
      </c>
      <c r="W20" s="243" t="s">
        <v>184</v>
      </c>
      <c r="X20" s="244">
        <v>1</v>
      </c>
      <c r="Y20" s="253" t="s">
        <v>84</v>
      </c>
      <c r="AB20" s="239">
        <v>8</v>
      </c>
      <c r="AC20" s="256" t="s">
        <v>202</v>
      </c>
    </row>
    <row r="21" spans="2:29" s="239" customFormat="1" ht="27" customHeight="1">
      <c r="B21" s="596"/>
      <c r="C21" s="597"/>
      <c r="D21" s="235">
        <v>15</v>
      </c>
      <c r="E21" s="389" t="s">
        <v>415</v>
      </c>
      <c r="F21" s="371">
        <v>2226.4</v>
      </c>
      <c r="G21" s="371">
        <v>4430.2</v>
      </c>
      <c r="H21" s="371">
        <v>4430.2</v>
      </c>
      <c r="I21" s="240">
        <f t="shared" si="1"/>
        <v>1</v>
      </c>
      <c r="J21" s="371">
        <v>69</v>
      </c>
      <c r="K21" s="240">
        <f t="shared" si="2"/>
        <v>1.5574917610943073E-2</v>
      </c>
      <c r="L21" s="371">
        <v>66.599999999999994</v>
      </c>
      <c r="M21" s="241">
        <f t="shared" si="3"/>
        <v>1.015574917610943</v>
      </c>
      <c r="N21" s="372">
        <v>69</v>
      </c>
      <c r="O21" s="371">
        <v>33.4</v>
      </c>
      <c r="P21" s="240">
        <f t="shared" si="9"/>
        <v>7.5391630174709949E-3</v>
      </c>
      <c r="Q21" s="242">
        <f t="shared" si="10"/>
        <v>35.6</v>
      </c>
      <c r="R21" s="240">
        <f t="shared" si="11"/>
        <v>8.0357545934720779E-3</v>
      </c>
      <c r="S21" s="371">
        <v>2366.1999999999998</v>
      </c>
      <c r="T21" s="254" t="s">
        <v>198</v>
      </c>
      <c r="U21" s="254" t="s">
        <v>102</v>
      </c>
      <c r="V21" s="253" t="s">
        <v>199</v>
      </c>
      <c r="W21" s="243" t="s">
        <v>200</v>
      </c>
      <c r="X21" s="244">
        <v>1</v>
      </c>
      <c r="Y21" s="253" t="s">
        <v>405</v>
      </c>
      <c r="AC21" s="255"/>
    </row>
    <row r="22" spans="2:29" s="239" customFormat="1" ht="27" customHeight="1">
      <c r="B22" s="596"/>
      <c r="C22" s="597"/>
      <c r="D22" s="235">
        <v>16</v>
      </c>
      <c r="E22" s="389" t="s">
        <v>203</v>
      </c>
      <c r="F22" s="371">
        <v>1800.7</v>
      </c>
      <c r="G22" s="371">
        <v>66</v>
      </c>
      <c r="H22" s="371">
        <v>75.7</v>
      </c>
      <c r="I22" s="240">
        <f t="shared" si="1"/>
        <v>1.146969696969697</v>
      </c>
      <c r="J22" s="371">
        <v>0</v>
      </c>
      <c r="K22" s="240">
        <f t="shared" si="2"/>
        <v>0</v>
      </c>
      <c r="L22" s="371">
        <v>201.2</v>
      </c>
      <c r="M22" s="241">
        <f t="shared" si="3"/>
        <v>1.146969696969697</v>
      </c>
      <c r="N22" s="372">
        <v>9.6999999999999993</v>
      </c>
      <c r="O22" s="371">
        <v>9</v>
      </c>
      <c r="P22" s="240">
        <f t="shared" ref="P22:P26" si="12">O22/G22</f>
        <v>0.13636363636363635</v>
      </c>
      <c r="Q22" s="242">
        <f t="shared" ref="Q22:Q26" si="13">((H22+J22)-G22)-O22</f>
        <v>0.70000000000000284</v>
      </c>
      <c r="R22" s="240">
        <f t="shared" ref="R22:R26" si="14">Q22/G22</f>
        <v>1.0606060606060648E-2</v>
      </c>
      <c r="S22" s="371">
        <v>149.69999999999999</v>
      </c>
      <c r="T22" s="254" t="s">
        <v>179</v>
      </c>
      <c r="U22" s="254" t="s">
        <v>99</v>
      </c>
      <c r="V22" s="254" t="s">
        <v>183</v>
      </c>
      <c r="W22" s="243" t="s">
        <v>184</v>
      </c>
      <c r="X22" s="244">
        <v>1</v>
      </c>
      <c r="Y22" s="253" t="s">
        <v>130</v>
      </c>
      <c r="AC22" s="255"/>
    </row>
    <row r="23" spans="2:29" s="239" customFormat="1" ht="27" customHeight="1">
      <c r="B23" s="596"/>
      <c r="C23" s="597"/>
      <c r="D23" s="235">
        <v>17</v>
      </c>
      <c r="E23" s="389" t="s">
        <v>204</v>
      </c>
      <c r="F23" s="371">
        <v>1481.2</v>
      </c>
      <c r="G23" s="371">
        <v>109.1</v>
      </c>
      <c r="H23" s="371">
        <v>111.2</v>
      </c>
      <c r="I23" s="240">
        <f t="shared" si="1"/>
        <v>1.0192483959670029</v>
      </c>
      <c r="J23" s="371">
        <v>0</v>
      </c>
      <c r="K23" s="240">
        <f t="shared" si="2"/>
        <v>0</v>
      </c>
      <c r="L23" s="371">
        <v>925.8</v>
      </c>
      <c r="M23" s="241">
        <f t="shared" si="3"/>
        <v>1.0192483959670029</v>
      </c>
      <c r="N23" s="372">
        <v>2.1</v>
      </c>
      <c r="O23" s="371">
        <v>1.6</v>
      </c>
      <c r="P23" s="240">
        <f t="shared" si="12"/>
        <v>1.4665444546287812E-2</v>
      </c>
      <c r="Q23" s="242">
        <f t="shared" si="13"/>
        <v>0.50000000000000844</v>
      </c>
      <c r="R23" s="240">
        <f t="shared" si="14"/>
        <v>4.5829514207150184E-3</v>
      </c>
      <c r="S23" s="371">
        <v>458.2</v>
      </c>
      <c r="T23" s="254" t="s">
        <v>179</v>
      </c>
      <c r="U23" s="254" t="s">
        <v>99</v>
      </c>
      <c r="V23" s="253" t="s">
        <v>183</v>
      </c>
      <c r="W23" s="243" t="s">
        <v>184</v>
      </c>
      <c r="X23" s="244">
        <v>1</v>
      </c>
      <c r="Y23" s="253" t="s">
        <v>127</v>
      </c>
      <c r="AB23" s="250">
        <v>1</v>
      </c>
      <c r="AC23" s="255" t="s">
        <v>205</v>
      </c>
    </row>
    <row r="24" spans="2:29" s="239" customFormat="1" ht="27" customHeight="1">
      <c r="B24" s="596"/>
      <c r="C24" s="597"/>
      <c r="D24" s="235">
        <v>18</v>
      </c>
      <c r="E24" s="389" t="s">
        <v>416</v>
      </c>
      <c r="F24" s="371">
        <v>1005.7</v>
      </c>
      <c r="G24" s="371">
        <v>942.3</v>
      </c>
      <c r="H24" s="371">
        <v>971.6</v>
      </c>
      <c r="I24" s="240">
        <f t="shared" si="1"/>
        <v>1.0310941313806643</v>
      </c>
      <c r="J24" s="371">
        <v>0</v>
      </c>
      <c r="K24" s="240">
        <f t="shared" si="2"/>
        <v>0</v>
      </c>
      <c r="L24" s="371">
        <v>89</v>
      </c>
      <c r="M24" s="241">
        <f t="shared" si="3"/>
        <v>1.0310941313806643</v>
      </c>
      <c r="N24" s="372">
        <v>29.4</v>
      </c>
      <c r="O24" s="371">
        <v>11.3</v>
      </c>
      <c r="P24" s="240">
        <f t="shared" si="12"/>
        <v>1.1991934628037781E-2</v>
      </c>
      <c r="Q24" s="242">
        <f t="shared" si="13"/>
        <v>18.000000000000068</v>
      </c>
      <c r="R24" s="240">
        <f t="shared" si="14"/>
        <v>1.9102196752626626E-2</v>
      </c>
      <c r="S24" s="371">
        <v>1606.4</v>
      </c>
      <c r="T24" s="254" t="s">
        <v>198</v>
      </c>
      <c r="U24" s="254" t="s">
        <v>102</v>
      </c>
      <c r="V24" s="253" t="s">
        <v>199</v>
      </c>
      <c r="W24" s="243" t="s">
        <v>200</v>
      </c>
      <c r="X24" s="244">
        <v>1</v>
      </c>
      <c r="Y24" s="253" t="s">
        <v>417</v>
      </c>
      <c r="AB24" s="239">
        <v>2</v>
      </c>
      <c r="AC24" s="255" t="s">
        <v>198</v>
      </c>
    </row>
    <row r="25" spans="2:29" s="239" customFormat="1" ht="27" customHeight="1">
      <c r="B25" s="596"/>
      <c r="C25" s="597"/>
      <c r="D25" s="235">
        <v>19</v>
      </c>
      <c r="E25" s="389" t="s">
        <v>206</v>
      </c>
      <c r="F25" s="371">
        <v>986.6</v>
      </c>
      <c r="G25" s="371">
        <v>28.3</v>
      </c>
      <c r="H25" s="371">
        <v>31.9</v>
      </c>
      <c r="I25" s="240">
        <f t="shared" si="1"/>
        <v>1.127208480565371</v>
      </c>
      <c r="J25" s="371">
        <v>0</v>
      </c>
      <c r="K25" s="240">
        <f t="shared" si="2"/>
        <v>0</v>
      </c>
      <c r="L25" s="371">
        <v>236</v>
      </c>
      <c r="M25" s="241">
        <f t="shared" si="3"/>
        <v>1.127208480565371</v>
      </c>
      <c r="N25" s="372">
        <v>3.6</v>
      </c>
      <c r="O25" s="371">
        <v>4.2</v>
      </c>
      <c r="P25" s="240">
        <f t="shared" si="12"/>
        <v>0.14840989399293286</v>
      </c>
      <c r="Q25" s="242">
        <f t="shared" si="13"/>
        <v>-0.60000000000000231</v>
      </c>
      <c r="R25" s="240">
        <f t="shared" si="14"/>
        <v>-2.1201413427561919E-2</v>
      </c>
      <c r="S25" s="371">
        <v>-128.4</v>
      </c>
      <c r="T25" s="254" t="s">
        <v>179</v>
      </c>
      <c r="U25" s="254" t="s">
        <v>99</v>
      </c>
      <c r="V25" s="369" t="s">
        <v>183</v>
      </c>
      <c r="W25" s="243" t="s">
        <v>184</v>
      </c>
      <c r="X25" s="244">
        <v>1</v>
      </c>
      <c r="Y25" s="253" t="s">
        <v>130</v>
      </c>
      <c r="AB25" s="251">
        <v>3</v>
      </c>
      <c r="AC25" s="255" t="s">
        <v>207</v>
      </c>
    </row>
    <row r="26" spans="2:29" s="239" customFormat="1" ht="27" customHeight="1">
      <c r="B26" s="598"/>
      <c r="C26" s="599"/>
      <c r="D26" s="235">
        <v>20</v>
      </c>
      <c r="E26" s="252" t="s">
        <v>131</v>
      </c>
      <c r="F26" s="371">
        <v>956</v>
      </c>
      <c r="G26" s="371">
        <v>158.69999999999999</v>
      </c>
      <c r="H26" s="371">
        <v>161.80000000000001</v>
      </c>
      <c r="I26" s="240">
        <f t="shared" si="1"/>
        <v>1.019533711405167</v>
      </c>
      <c r="J26" s="371">
        <v>0</v>
      </c>
      <c r="K26" s="240">
        <f t="shared" si="2"/>
        <v>0</v>
      </c>
      <c r="L26" s="371">
        <v>261.89999999999998</v>
      </c>
      <c r="M26" s="241">
        <f t="shared" si="3"/>
        <v>1.019533711405167</v>
      </c>
      <c r="N26" s="372">
        <v>3.1</v>
      </c>
      <c r="O26" s="371">
        <v>3.6</v>
      </c>
      <c r="P26" s="240">
        <f t="shared" si="12"/>
        <v>2.2684310018903593E-2</v>
      </c>
      <c r="Q26" s="242">
        <f t="shared" si="13"/>
        <v>-0.49999999999997735</v>
      </c>
      <c r="R26" s="240">
        <f t="shared" si="14"/>
        <v>-3.1505986137364676E-3</v>
      </c>
      <c r="S26" s="371">
        <v>-132</v>
      </c>
      <c r="T26" s="254" t="s">
        <v>179</v>
      </c>
      <c r="U26" s="254" t="s">
        <v>99</v>
      </c>
      <c r="V26" s="369" t="s">
        <v>183</v>
      </c>
      <c r="W26" s="243" t="s">
        <v>184</v>
      </c>
      <c r="X26" s="244">
        <v>1</v>
      </c>
      <c r="Y26" s="253" t="s">
        <v>78</v>
      </c>
      <c r="AB26" s="251">
        <v>4</v>
      </c>
      <c r="AC26" s="255" t="s">
        <v>179</v>
      </c>
    </row>
    <row r="27" spans="2:29" ht="29.5" customHeight="1">
      <c r="C27" s="593"/>
      <c r="AB27" s="239">
        <v>5</v>
      </c>
      <c r="AC27" s="255" t="s">
        <v>208</v>
      </c>
    </row>
    <row r="28" spans="2:29">
      <c r="C28" s="593"/>
    </row>
    <row r="29" spans="2:29">
      <c r="C29" s="593"/>
    </row>
    <row r="30" spans="2:29">
      <c r="C30" s="593"/>
    </row>
    <row r="31" spans="2:29">
      <c r="C31" s="593"/>
    </row>
    <row r="32" spans="2:29">
      <c r="C32" s="593"/>
    </row>
    <row r="33" spans="3:3">
      <c r="C33" s="593"/>
    </row>
    <row r="34" spans="3:3">
      <c r="C34" s="593"/>
    </row>
    <row r="35" spans="3:3">
      <c r="C35" s="593"/>
    </row>
    <row r="36" spans="3:3">
      <c r="C36" s="593"/>
    </row>
    <row r="67" ht="14.15" customHeight="1"/>
    <row r="77" ht="14.15" customHeight="1"/>
    <row r="87" ht="14.15" customHeight="1"/>
    <row r="112" spans="26:26">
      <c r="Z112" s="172" t="s">
        <v>174</v>
      </c>
    </row>
    <row r="113" spans="26:26">
      <c r="Z113" s="239" t="s">
        <v>103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E7" sqref="E7:E26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2.7265625" style="170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3.81640625" style="170" customWidth="1"/>
    <col min="20" max="20" width="12.453125" style="170" bestFit="1" customWidth="1"/>
    <col min="21" max="21" width="25.26953125" style="170" bestFit="1" customWidth="1"/>
    <col min="22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2" width="8.81640625" style="170" customWidth="1"/>
    <col min="43" max="16384" width="8.81640625" style="170"/>
  </cols>
  <sheetData>
    <row r="2" spans="2:35" ht="41.15" customHeight="1">
      <c r="B2" s="607" t="s">
        <v>209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71"/>
      <c r="AB2" s="171"/>
    </row>
    <row r="3" spans="2:35" ht="17.149999999999999" customHeight="1">
      <c r="B3" s="609" t="s">
        <v>148</v>
      </c>
      <c r="C3" s="610"/>
      <c r="D3" s="603" t="s">
        <v>149</v>
      </c>
      <c r="E3" s="603"/>
      <c r="F3" s="603"/>
      <c r="G3" s="603" t="s">
        <v>150</v>
      </c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 t="s">
        <v>151</v>
      </c>
      <c r="U3" s="615" t="s">
        <v>152</v>
      </c>
      <c r="V3" s="600" t="s">
        <v>153</v>
      </c>
      <c r="W3" s="600" t="s">
        <v>154</v>
      </c>
      <c r="X3" s="620" t="s">
        <v>155</v>
      </c>
      <c r="Y3" s="605" t="s">
        <v>156</v>
      </c>
      <c r="AA3" s="603" t="s">
        <v>157</v>
      </c>
      <c r="AB3" s="603"/>
      <c r="AC3" s="603"/>
      <c r="AD3" s="603"/>
      <c r="AE3" s="603"/>
      <c r="AF3" s="603"/>
      <c r="AG3" s="603"/>
      <c r="AH3" s="603"/>
      <c r="AI3" s="603"/>
    </row>
    <row r="4" spans="2:35" ht="17.149999999999999" customHeight="1">
      <c r="B4" s="611"/>
      <c r="C4" s="612"/>
      <c r="D4" s="604" t="s">
        <v>158</v>
      </c>
      <c r="E4" s="603" t="s">
        <v>159</v>
      </c>
      <c r="F4" s="603"/>
      <c r="G4" s="603" t="s">
        <v>160</v>
      </c>
      <c r="H4" s="603"/>
      <c r="I4" s="603"/>
      <c r="J4" s="603"/>
      <c r="K4" s="603"/>
      <c r="L4" s="603"/>
      <c r="M4" s="603"/>
      <c r="N4" s="603"/>
      <c r="O4" s="603" t="s">
        <v>161</v>
      </c>
      <c r="P4" s="603"/>
      <c r="Q4" s="603"/>
      <c r="R4" s="603"/>
      <c r="S4" s="603"/>
      <c r="T4" s="603"/>
      <c r="U4" s="616"/>
      <c r="V4" s="618"/>
      <c r="W4" s="601"/>
      <c r="X4" s="618"/>
      <c r="Y4" s="605"/>
      <c r="AA4" s="603"/>
      <c r="AB4" s="603"/>
      <c r="AC4" s="603"/>
      <c r="AD4" s="603"/>
      <c r="AE4" s="603"/>
      <c r="AF4" s="603"/>
      <c r="AG4" s="603"/>
      <c r="AH4" s="603"/>
      <c r="AI4" s="603"/>
    </row>
    <row r="5" spans="2:35" ht="17.149999999999999" customHeight="1">
      <c r="B5" s="611"/>
      <c r="C5" s="612"/>
      <c r="D5" s="604"/>
      <c r="E5" s="604" t="s">
        <v>162</v>
      </c>
      <c r="F5" s="605" t="s">
        <v>210</v>
      </c>
      <c r="G5" s="606" t="s">
        <v>164</v>
      </c>
      <c r="H5" s="606"/>
      <c r="I5" s="606"/>
      <c r="J5" s="606"/>
      <c r="K5" s="606"/>
      <c r="L5" s="606"/>
      <c r="M5" s="606"/>
      <c r="N5" s="606"/>
      <c r="O5" s="621" t="s">
        <v>105</v>
      </c>
      <c r="P5" s="606"/>
      <c r="Q5" s="622" t="s">
        <v>106</v>
      </c>
      <c r="R5" s="606"/>
      <c r="S5" s="606"/>
      <c r="T5" s="603"/>
      <c r="U5" s="616"/>
      <c r="V5" s="618"/>
      <c r="W5" s="601"/>
      <c r="X5" s="618"/>
      <c r="Y5" s="605"/>
      <c r="AA5" s="603"/>
      <c r="AB5" s="603"/>
      <c r="AC5" s="603"/>
      <c r="AD5" s="603"/>
      <c r="AE5" s="603"/>
      <c r="AF5" s="603"/>
      <c r="AG5" s="603"/>
      <c r="AH5" s="603"/>
      <c r="AI5" s="603"/>
    </row>
    <row r="6" spans="2:35" ht="38.5" customHeight="1">
      <c r="B6" s="613"/>
      <c r="C6" s="614"/>
      <c r="D6" s="604"/>
      <c r="E6" s="604"/>
      <c r="F6" s="605"/>
      <c r="G6" s="238" t="s">
        <v>165</v>
      </c>
      <c r="H6" s="238" t="s">
        <v>166</v>
      </c>
      <c r="I6" s="238" t="s">
        <v>167</v>
      </c>
      <c r="J6" s="238" t="s">
        <v>168</v>
      </c>
      <c r="K6" s="238" t="s">
        <v>169</v>
      </c>
      <c r="L6" s="238" t="s">
        <v>170</v>
      </c>
      <c r="M6" s="238" t="s">
        <v>171</v>
      </c>
      <c r="N6" s="238" t="s">
        <v>172</v>
      </c>
      <c r="O6" s="236" t="s">
        <v>173</v>
      </c>
      <c r="P6" s="236" t="s">
        <v>174</v>
      </c>
      <c r="Q6" s="236" t="s">
        <v>173</v>
      </c>
      <c r="R6" s="236" t="s">
        <v>174</v>
      </c>
      <c r="S6" s="238" t="s">
        <v>175</v>
      </c>
      <c r="T6" s="603"/>
      <c r="U6" s="617"/>
      <c r="V6" s="619"/>
      <c r="W6" s="602"/>
      <c r="X6" s="619"/>
      <c r="Y6" s="605"/>
      <c r="AA6" s="183" t="s">
        <v>176</v>
      </c>
      <c r="AB6" s="183" t="s">
        <v>99</v>
      </c>
      <c r="AC6" s="237" t="s">
        <v>177</v>
      </c>
      <c r="AD6" s="237" t="s">
        <v>101</v>
      </c>
      <c r="AE6" s="237" t="s">
        <v>102</v>
      </c>
      <c r="AF6" s="237" t="s">
        <v>107</v>
      </c>
      <c r="AG6" s="237" t="s">
        <v>108</v>
      </c>
      <c r="AH6" s="237" t="s">
        <v>109</v>
      </c>
      <c r="AI6" s="237" t="s">
        <v>178</v>
      </c>
    </row>
    <row r="7" spans="2:35" s="239" customFormat="1" ht="27" customHeight="1">
      <c r="B7" s="594" t="s">
        <v>403</v>
      </c>
      <c r="C7" s="595"/>
      <c r="D7" s="235">
        <v>1</v>
      </c>
      <c r="E7" s="389" t="s">
        <v>418</v>
      </c>
      <c r="F7" s="371">
        <v>736.1</v>
      </c>
      <c r="G7" s="371">
        <v>332.3</v>
      </c>
      <c r="H7" s="371">
        <v>355.4</v>
      </c>
      <c r="I7" s="240">
        <f>H7/G7</f>
        <v>1.0695154980439361</v>
      </c>
      <c r="J7" s="371">
        <v>0</v>
      </c>
      <c r="K7" s="240">
        <f>J7/G7</f>
        <v>0</v>
      </c>
      <c r="L7" s="371">
        <v>359.1</v>
      </c>
      <c r="M7" s="241">
        <f>(H7+J7)/G7</f>
        <v>1.0695154980439361</v>
      </c>
      <c r="N7" s="372">
        <v>23.2</v>
      </c>
      <c r="O7" s="371">
        <v>2</v>
      </c>
      <c r="P7" s="240">
        <f>O7/G7</f>
        <v>6.0186578393018357E-3</v>
      </c>
      <c r="Q7" s="242">
        <f>((H7+J7)-G7)-O7</f>
        <v>21.099999999999966</v>
      </c>
      <c r="R7" s="240">
        <f>Q7/G7</f>
        <v>6.3496840204634267E-2</v>
      </c>
      <c r="S7" s="371">
        <v>7588.9</v>
      </c>
      <c r="T7" s="248" t="s">
        <v>198</v>
      </c>
      <c r="U7" s="243" t="s">
        <v>102</v>
      </c>
      <c r="V7" s="243" t="s">
        <v>106</v>
      </c>
      <c r="W7" s="244" t="s">
        <v>200</v>
      </c>
      <c r="X7" s="244">
        <v>1</v>
      </c>
      <c r="Y7" s="253" t="s">
        <v>138</v>
      </c>
      <c r="Z7" s="245" t="s">
        <v>181</v>
      </c>
      <c r="AA7" s="246">
        <v>20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19</v>
      </c>
      <c r="AF7" s="247">
        <f t="shared" ca="1" si="0"/>
        <v>0</v>
      </c>
      <c r="AG7" s="247">
        <f t="shared" ca="1" si="0"/>
        <v>1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596"/>
      <c r="C8" s="597"/>
      <c r="D8" s="235">
        <v>2</v>
      </c>
      <c r="E8" s="389" t="s">
        <v>404</v>
      </c>
      <c r="F8" s="371">
        <v>29397.599999999999</v>
      </c>
      <c r="G8" s="371">
        <v>1993.6</v>
      </c>
      <c r="H8" s="371">
        <v>2227.4</v>
      </c>
      <c r="I8" s="240">
        <f t="shared" ref="I8:I26" si="1">H8/G8</f>
        <v>1.1172752808988764</v>
      </c>
      <c r="J8" s="371">
        <v>0</v>
      </c>
      <c r="K8" s="240">
        <f t="shared" ref="K8:K26" si="2">J8/G8</f>
        <v>0</v>
      </c>
      <c r="L8" s="371">
        <v>138.6</v>
      </c>
      <c r="M8" s="241">
        <f t="shared" ref="M8:M26" si="3">(H8+J8)/G8</f>
        <v>1.1172752808988764</v>
      </c>
      <c r="N8" s="372">
        <v>233.8</v>
      </c>
      <c r="O8" s="371">
        <v>212.2</v>
      </c>
      <c r="P8" s="240">
        <f t="shared" ref="P8:P19" si="4">O8/G8</f>
        <v>0.1064406099518459</v>
      </c>
      <c r="Q8" s="242">
        <f t="shared" ref="Q8:Q19" si="5">((H8+J8)-G8)-O8</f>
        <v>21.600000000000193</v>
      </c>
      <c r="R8" s="240">
        <f t="shared" ref="R8:R19" si="6">Q8/G8</f>
        <v>1.0834670947030596E-2</v>
      </c>
      <c r="S8" s="371">
        <v>2995.9</v>
      </c>
      <c r="T8" s="248" t="s">
        <v>198</v>
      </c>
      <c r="U8" s="243" t="s">
        <v>102</v>
      </c>
      <c r="V8" s="243" t="s">
        <v>106</v>
      </c>
      <c r="W8" s="244" t="s">
        <v>200</v>
      </c>
      <c r="X8" s="244">
        <v>1</v>
      </c>
      <c r="Y8" s="253" t="s">
        <v>138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0</v>
      </c>
      <c r="AE8" s="249">
        <f t="shared" si="7"/>
        <v>33249.1</v>
      </c>
      <c r="AF8" s="249">
        <f t="shared" si="7"/>
        <v>0</v>
      </c>
      <c r="AG8" s="249">
        <f t="shared" si="7"/>
        <v>1366.3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596"/>
      <c r="C9" s="597"/>
      <c r="D9" s="235">
        <v>3</v>
      </c>
      <c r="E9" s="389" t="s">
        <v>419</v>
      </c>
      <c r="F9" s="371">
        <v>71.8</v>
      </c>
      <c r="G9" s="371">
        <v>531.6</v>
      </c>
      <c r="H9" s="371">
        <v>541.1</v>
      </c>
      <c r="I9" s="240">
        <f t="shared" si="1"/>
        <v>1.0178705793829947</v>
      </c>
      <c r="J9" s="371">
        <v>0</v>
      </c>
      <c r="K9" s="240">
        <f t="shared" si="2"/>
        <v>0</v>
      </c>
      <c r="L9" s="371">
        <v>287.2</v>
      </c>
      <c r="M9" s="241">
        <f t="shared" si="3"/>
        <v>1.0178705793829947</v>
      </c>
      <c r="N9" s="372">
        <v>9.5</v>
      </c>
      <c r="O9" s="371">
        <v>0.2</v>
      </c>
      <c r="P9" s="240">
        <f t="shared" si="4"/>
        <v>3.7622272385252068E-4</v>
      </c>
      <c r="Q9" s="242">
        <f t="shared" si="5"/>
        <v>9.3000000000000007</v>
      </c>
      <c r="R9" s="240">
        <f t="shared" si="6"/>
        <v>1.7494356659142212E-2</v>
      </c>
      <c r="S9" s="371">
        <v>2643.2</v>
      </c>
      <c r="T9" s="248" t="s">
        <v>198</v>
      </c>
      <c r="U9" s="243" t="s">
        <v>102</v>
      </c>
      <c r="V9" s="243" t="s">
        <v>106</v>
      </c>
      <c r="W9" s="244" t="s">
        <v>200</v>
      </c>
      <c r="X9" s="244">
        <v>1</v>
      </c>
      <c r="Y9" s="253" t="s">
        <v>138</v>
      </c>
      <c r="AB9" s="354">
        <f t="shared" ref="AB9:AI9" si="8">AB7/$AA$7</f>
        <v>0</v>
      </c>
      <c r="AC9" s="354">
        <f t="shared" si="8"/>
        <v>0</v>
      </c>
      <c r="AD9" s="354">
        <f t="shared" ca="1" si="8"/>
        <v>0</v>
      </c>
      <c r="AE9" s="354">
        <f t="shared" ca="1" si="8"/>
        <v>0.95</v>
      </c>
      <c r="AF9" s="354">
        <f t="shared" ca="1" si="8"/>
        <v>0</v>
      </c>
      <c r="AG9" s="354">
        <f t="shared" ca="1" si="8"/>
        <v>0.05</v>
      </c>
      <c r="AH9" s="354">
        <f ca="1">AH7/$AA$7</f>
        <v>0</v>
      </c>
      <c r="AI9" s="354">
        <f t="shared" ca="1" si="8"/>
        <v>0</v>
      </c>
    </row>
    <row r="10" spans="2:35" s="239" customFormat="1" ht="27" customHeight="1">
      <c r="B10" s="596"/>
      <c r="C10" s="597"/>
      <c r="D10" s="235">
        <v>4</v>
      </c>
      <c r="E10" s="389" t="s">
        <v>415</v>
      </c>
      <c r="F10" s="371">
        <v>2226.4</v>
      </c>
      <c r="G10" s="371">
        <v>4430.2</v>
      </c>
      <c r="H10" s="371">
        <v>4430.2</v>
      </c>
      <c r="I10" s="240">
        <f>H10/G10</f>
        <v>1</v>
      </c>
      <c r="J10" s="371">
        <v>69</v>
      </c>
      <c r="K10" s="240">
        <f t="shared" si="2"/>
        <v>1.5574917610943073E-2</v>
      </c>
      <c r="L10" s="371">
        <v>66.599999999999994</v>
      </c>
      <c r="M10" s="241">
        <f t="shared" si="3"/>
        <v>1.015574917610943</v>
      </c>
      <c r="N10" s="372">
        <v>69</v>
      </c>
      <c r="O10" s="371">
        <v>33.4</v>
      </c>
      <c r="P10" s="240">
        <f t="shared" si="4"/>
        <v>7.5391630174709949E-3</v>
      </c>
      <c r="Q10" s="242">
        <f t="shared" si="5"/>
        <v>35.6</v>
      </c>
      <c r="R10" s="240">
        <f t="shared" si="6"/>
        <v>8.0357545934720779E-3</v>
      </c>
      <c r="S10" s="371">
        <v>2366.1999999999998</v>
      </c>
      <c r="T10" s="248" t="s">
        <v>198</v>
      </c>
      <c r="U10" s="243" t="s">
        <v>102</v>
      </c>
      <c r="V10" s="243" t="s">
        <v>106</v>
      </c>
      <c r="W10" s="244" t="s">
        <v>200</v>
      </c>
      <c r="X10" s="244">
        <v>1</v>
      </c>
      <c r="Y10" s="253" t="s">
        <v>138</v>
      </c>
    </row>
    <row r="11" spans="2:35" s="239" customFormat="1" ht="27" customHeight="1">
      <c r="B11" s="596"/>
      <c r="C11" s="597"/>
      <c r="D11" s="235">
        <v>5</v>
      </c>
      <c r="E11" s="389" t="s">
        <v>420</v>
      </c>
      <c r="F11" s="371">
        <v>780.2</v>
      </c>
      <c r="G11" s="371">
        <v>3570.7</v>
      </c>
      <c r="H11" s="371">
        <v>3570.7</v>
      </c>
      <c r="I11" s="240">
        <f t="shared" si="1"/>
        <v>1</v>
      </c>
      <c r="J11" s="371">
        <v>71</v>
      </c>
      <c r="K11" s="240">
        <f t="shared" si="2"/>
        <v>1.9884056347494891E-2</v>
      </c>
      <c r="L11" s="371">
        <v>38.1</v>
      </c>
      <c r="M11" s="241">
        <f t="shared" si="3"/>
        <v>1.0198840563474949</v>
      </c>
      <c r="N11" s="372">
        <v>71</v>
      </c>
      <c r="O11" s="371">
        <v>20.5</v>
      </c>
      <c r="P11" s="240">
        <f t="shared" si="4"/>
        <v>5.7411711989245806E-3</v>
      </c>
      <c r="Q11" s="242">
        <f t="shared" si="5"/>
        <v>50.5</v>
      </c>
      <c r="R11" s="240">
        <f t="shared" si="6"/>
        <v>1.414288514857031E-2</v>
      </c>
      <c r="S11" s="371">
        <v>1923.6</v>
      </c>
      <c r="T11" s="248" t="s">
        <v>198</v>
      </c>
      <c r="U11" s="243" t="s">
        <v>102</v>
      </c>
      <c r="V11" s="243" t="s">
        <v>106</v>
      </c>
      <c r="W11" s="244" t="s">
        <v>212</v>
      </c>
      <c r="X11" s="244">
        <v>1</v>
      </c>
      <c r="Y11" s="337" t="s">
        <v>421</v>
      </c>
    </row>
    <row r="12" spans="2:35" s="239" customFormat="1" ht="27" customHeight="1">
      <c r="B12" s="596"/>
      <c r="C12" s="597"/>
      <c r="D12" s="235">
        <v>6</v>
      </c>
      <c r="E12" s="389" t="s">
        <v>213</v>
      </c>
      <c r="F12" s="371">
        <v>205</v>
      </c>
      <c r="G12" s="371">
        <v>385.6</v>
      </c>
      <c r="H12" s="371">
        <v>395.3</v>
      </c>
      <c r="I12" s="240">
        <f t="shared" si="1"/>
        <v>1.0251556016597509</v>
      </c>
      <c r="J12" s="371">
        <v>0</v>
      </c>
      <c r="K12" s="240">
        <f t="shared" si="2"/>
        <v>0</v>
      </c>
      <c r="L12" s="371">
        <v>215.8</v>
      </c>
      <c r="M12" s="241">
        <f t="shared" si="3"/>
        <v>1.0251556016597509</v>
      </c>
      <c r="N12" s="372">
        <v>9.6999999999999993</v>
      </c>
      <c r="O12" s="371">
        <v>1</v>
      </c>
      <c r="P12" s="240">
        <f t="shared" si="4"/>
        <v>2.5933609958506223E-3</v>
      </c>
      <c r="Q12" s="242">
        <f t="shared" si="5"/>
        <v>8.6999999999999886</v>
      </c>
      <c r="R12" s="240">
        <f t="shared" si="6"/>
        <v>2.2562240663900383E-2</v>
      </c>
      <c r="S12" s="371">
        <v>1886.1</v>
      </c>
      <c r="T12" s="243" t="s">
        <v>198</v>
      </c>
      <c r="U12" s="243" t="s">
        <v>102</v>
      </c>
      <c r="V12" s="243" t="s">
        <v>106</v>
      </c>
      <c r="W12" s="244" t="s">
        <v>200</v>
      </c>
      <c r="X12" s="244">
        <v>1</v>
      </c>
      <c r="Y12" s="337" t="s">
        <v>90</v>
      </c>
    </row>
    <row r="13" spans="2:35" s="239" customFormat="1" ht="27" customHeight="1">
      <c r="B13" s="596"/>
      <c r="C13" s="597"/>
      <c r="D13" s="235">
        <v>7</v>
      </c>
      <c r="E13" s="389" t="s">
        <v>197</v>
      </c>
      <c r="F13" s="371">
        <v>3696.9</v>
      </c>
      <c r="G13" s="371">
        <v>843.3</v>
      </c>
      <c r="H13" s="371">
        <v>899.7</v>
      </c>
      <c r="I13" s="240">
        <f t="shared" si="1"/>
        <v>1.0668801138384918</v>
      </c>
      <c r="J13" s="371">
        <v>11</v>
      </c>
      <c r="K13" s="240">
        <f t="shared" si="2"/>
        <v>1.3043993833748371E-2</v>
      </c>
      <c r="L13" s="371">
        <v>80.3</v>
      </c>
      <c r="M13" s="241">
        <f t="shared" si="3"/>
        <v>1.0799241076722401</v>
      </c>
      <c r="N13" s="372">
        <v>67.400000000000006</v>
      </c>
      <c r="O13" s="371">
        <v>46</v>
      </c>
      <c r="P13" s="240">
        <f t="shared" si="4"/>
        <v>5.4547610577493182E-2</v>
      </c>
      <c r="Q13" s="242">
        <f t="shared" si="5"/>
        <v>21.400000000000091</v>
      </c>
      <c r="R13" s="240">
        <f t="shared" si="6"/>
        <v>2.5376497094746937E-2</v>
      </c>
      <c r="S13" s="371">
        <v>1716.8</v>
      </c>
      <c r="T13" s="248" t="s">
        <v>198</v>
      </c>
      <c r="U13" s="243" t="s">
        <v>102</v>
      </c>
      <c r="V13" s="243" t="s">
        <v>106</v>
      </c>
      <c r="W13" s="244" t="s">
        <v>200</v>
      </c>
      <c r="X13" s="244">
        <v>1</v>
      </c>
      <c r="Y13" s="254" t="s">
        <v>127</v>
      </c>
      <c r="AB13" s="239">
        <v>1</v>
      </c>
      <c r="AC13" s="255" t="s">
        <v>99</v>
      </c>
    </row>
    <row r="14" spans="2:35" s="239" customFormat="1" ht="27" customHeight="1">
      <c r="B14" s="596"/>
      <c r="C14" s="597"/>
      <c r="D14" s="235">
        <v>8</v>
      </c>
      <c r="E14" s="390" t="s">
        <v>191</v>
      </c>
      <c r="F14" s="371">
        <v>5502.4</v>
      </c>
      <c r="G14" s="371">
        <v>1542.4</v>
      </c>
      <c r="H14" s="371">
        <v>1624.9</v>
      </c>
      <c r="I14" s="240">
        <f t="shared" si="1"/>
        <v>1.0534880705394192</v>
      </c>
      <c r="J14" s="371">
        <v>0</v>
      </c>
      <c r="K14" s="240">
        <f>J14/G14</f>
        <v>0</v>
      </c>
      <c r="L14" s="371">
        <v>86.7</v>
      </c>
      <c r="M14" s="241">
        <f>(H14+J14)/G14</f>
        <v>1.0534880705394192</v>
      </c>
      <c r="N14" s="372">
        <v>82.5</v>
      </c>
      <c r="O14" s="371">
        <v>63.4</v>
      </c>
      <c r="P14" s="240">
        <f t="shared" si="4"/>
        <v>4.1104771784232365E-2</v>
      </c>
      <c r="Q14" s="242">
        <f t="shared" si="5"/>
        <v>19.100000000000001</v>
      </c>
      <c r="R14" s="240">
        <f t="shared" si="6"/>
        <v>1.2383298755186721E-2</v>
      </c>
      <c r="S14" s="371">
        <v>1648.5</v>
      </c>
      <c r="T14" s="248" t="s">
        <v>198</v>
      </c>
      <c r="U14" s="243" t="s">
        <v>102</v>
      </c>
      <c r="V14" s="243" t="s">
        <v>106</v>
      </c>
      <c r="W14" s="244" t="s">
        <v>200</v>
      </c>
      <c r="X14" s="244">
        <v>1</v>
      </c>
      <c r="Y14" s="337" t="s">
        <v>90</v>
      </c>
      <c r="AB14" s="239">
        <v>2</v>
      </c>
      <c r="AC14" s="255" t="s">
        <v>192</v>
      </c>
    </row>
    <row r="15" spans="2:35" s="239" customFormat="1" ht="27" customHeight="1">
      <c r="B15" s="596"/>
      <c r="C15" s="597"/>
      <c r="D15" s="235">
        <v>9</v>
      </c>
      <c r="E15" s="389" t="s">
        <v>139</v>
      </c>
      <c r="F15" s="371">
        <v>1005.7</v>
      </c>
      <c r="G15" s="371">
        <v>942.3</v>
      </c>
      <c r="H15" s="371">
        <v>971.6</v>
      </c>
      <c r="I15" s="240">
        <f t="shared" si="1"/>
        <v>1.0310941313806643</v>
      </c>
      <c r="J15" s="371">
        <v>0</v>
      </c>
      <c r="K15" s="240">
        <f t="shared" si="2"/>
        <v>0</v>
      </c>
      <c r="L15" s="371">
        <v>89</v>
      </c>
      <c r="M15" s="241">
        <f t="shared" si="3"/>
        <v>1.0310941313806643</v>
      </c>
      <c r="N15" s="372">
        <v>29.4</v>
      </c>
      <c r="O15" s="371">
        <v>11.3</v>
      </c>
      <c r="P15" s="240">
        <f t="shared" si="4"/>
        <v>1.1991934628037781E-2</v>
      </c>
      <c r="Q15" s="242">
        <f t="shared" si="5"/>
        <v>18.000000000000068</v>
      </c>
      <c r="R15" s="240">
        <f t="shared" si="6"/>
        <v>1.9102196752626626E-2</v>
      </c>
      <c r="S15" s="371">
        <v>1606.4</v>
      </c>
      <c r="T15" s="248" t="s">
        <v>198</v>
      </c>
      <c r="U15" s="243" t="s">
        <v>102</v>
      </c>
      <c r="V15" s="243" t="s">
        <v>106</v>
      </c>
      <c r="W15" s="244" t="s">
        <v>200</v>
      </c>
      <c r="X15" s="244">
        <v>1</v>
      </c>
      <c r="Y15" s="253" t="s">
        <v>130</v>
      </c>
      <c r="AB15" s="239">
        <v>3</v>
      </c>
      <c r="AC15" s="255" t="s">
        <v>101</v>
      </c>
    </row>
    <row r="16" spans="2:35" s="239" customFormat="1" ht="27" customHeight="1">
      <c r="B16" s="596"/>
      <c r="C16" s="597"/>
      <c r="D16" s="235">
        <v>10</v>
      </c>
      <c r="E16" s="389" t="s">
        <v>140</v>
      </c>
      <c r="F16" s="371">
        <v>0</v>
      </c>
      <c r="G16" s="371">
        <v>129.69999999999999</v>
      </c>
      <c r="H16" s="371">
        <v>146.5</v>
      </c>
      <c r="I16" s="240">
        <f t="shared" si="1"/>
        <v>1.1295296838858906</v>
      </c>
      <c r="J16" s="371">
        <v>0</v>
      </c>
      <c r="K16" s="240">
        <f t="shared" si="2"/>
        <v>0</v>
      </c>
      <c r="L16" s="371">
        <v>81.2</v>
      </c>
      <c r="M16" s="241">
        <f t="shared" si="3"/>
        <v>1.1295296838858906</v>
      </c>
      <c r="N16" s="372">
        <v>16.8</v>
      </c>
      <c r="O16" s="371">
        <v>0</v>
      </c>
      <c r="P16" s="240">
        <f t="shared" si="4"/>
        <v>0</v>
      </c>
      <c r="Q16" s="242">
        <f t="shared" si="5"/>
        <v>16.800000000000011</v>
      </c>
      <c r="R16" s="240">
        <f t="shared" si="6"/>
        <v>0.12952968388589062</v>
      </c>
      <c r="S16" s="371">
        <v>1366.3</v>
      </c>
      <c r="T16" s="248" t="s">
        <v>207</v>
      </c>
      <c r="U16" s="243" t="s">
        <v>108</v>
      </c>
      <c r="V16" s="243" t="s">
        <v>211</v>
      </c>
      <c r="W16" s="244"/>
      <c r="X16" s="244">
        <v>1</v>
      </c>
      <c r="Y16" s="253" t="s">
        <v>63</v>
      </c>
      <c r="AB16" s="239">
        <v>4</v>
      </c>
      <c r="AC16" s="255" t="s">
        <v>196</v>
      </c>
    </row>
    <row r="17" spans="2:29" s="239" customFormat="1" ht="27" customHeight="1">
      <c r="B17" s="596"/>
      <c r="C17" s="597"/>
      <c r="D17" s="235">
        <v>11</v>
      </c>
      <c r="E17" s="389" t="s">
        <v>187</v>
      </c>
      <c r="F17" s="371">
        <v>7177.2</v>
      </c>
      <c r="G17" s="371">
        <v>918.2</v>
      </c>
      <c r="H17" s="371">
        <v>1003.5</v>
      </c>
      <c r="I17" s="240">
        <f t="shared" si="1"/>
        <v>1.092899150511871</v>
      </c>
      <c r="J17" s="371">
        <v>0</v>
      </c>
      <c r="K17" s="240">
        <f t="shared" si="2"/>
        <v>0</v>
      </c>
      <c r="L17" s="371">
        <v>100</v>
      </c>
      <c r="M17" s="241">
        <f t="shared" si="3"/>
        <v>1.092899150511871</v>
      </c>
      <c r="N17" s="372">
        <v>85.4</v>
      </c>
      <c r="O17" s="371">
        <v>71.8</v>
      </c>
      <c r="P17" s="240">
        <f t="shared" si="4"/>
        <v>7.819647135700282E-2</v>
      </c>
      <c r="Q17" s="242">
        <f t="shared" si="5"/>
        <v>13.499999999999957</v>
      </c>
      <c r="R17" s="240">
        <f t="shared" si="6"/>
        <v>1.4702679154868174E-2</v>
      </c>
      <c r="S17" s="371">
        <v>1360.9</v>
      </c>
      <c r="T17" s="248" t="s">
        <v>198</v>
      </c>
      <c r="U17" s="243" t="s">
        <v>102</v>
      </c>
      <c r="V17" s="243" t="s">
        <v>106</v>
      </c>
      <c r="W17" s="244" t="s">
        <v>200</v>
      </c>
      <c r="X17" s="244">
        <v>1</v>
      </c>
      <c r="Y17" s="253" t="s">
        <v>188</v>
      </c>
      <c r="AB17" s="239">
        <v>5</v>
      </c>
      <c r="AC17" s="255" t="s">
        <v>107</v>
      </c>
    </row>
    <row r="18" spans="2:29" s="239" customFormat="1" ht="27" customHeight="1">
      <c r="B18" s="596"/>
      <c r="C18" s="597"/>
      <c r="D18" s="235">
        <v>12</v>
      </c>
      <c r="E18" s="389" t="s">
        <v>185</v>
      </c>
      <c r="F18" s="371">
        <v>8650.2999999999993</v>
      </c>
      <c r="G18" s="371">
        <v>2554.9</v>
      </c>
      <c r="H18" s="371">
        <v>2627.8</v>
      </c>
      <c r="I18" s="240">
        <f t="shared" si="1"/>
        <v>1.0285334063955536</v>
      </c>
      <c r="J18" s="371">
        <v>0</v>
      </c>
      <c r="K18" s="240">
        <f t="shared" si="2"/>
        <v>0</v>
      </c>
      <c r="L18" s="371">
        <v>132.5</v>
      </c>
      <c r="M18" s="241">
        <f t="shared" si="3"/>
        <v>1.0285334063955536</v>
      </c>
      <c r="N18" s="372">
        <v>72.900000000000006</v>
      </c>
      <c r="O18" s="371">
        <v>65.3</v>
      </c>
      <c r="P18" s="240">
        <f t="shared" si="4"/>
        <v>2.5558730282985633E-2</v>
      </c>
      <c r="Q18" s="242">
        <f t="shared" si="5"/>
        <v>7.6000000000000938</v>
      </c>
      <c r="R18" s="240">
        <f t="shared" si="6"/>
        <v>2.9746761125680433E-3</v>
      </c>
      <c r="S18" s="371">
        <v>1008.1</v>
      </c>
      <c r="T18" s="248" t="s">
        <v>198</v>
      </c>
      <c r="U18" s="243" t="s">
        <v>102</v>
      </c>
      <c r="V18" s="243" t="s">
        <v>106</v>
      </c>
      <c r="W18" s="244" t="s">
        <v>200</v>
      </c>
      <c r="X18" s="244">
        <v>1</v>
      </c>
      <c r="Y18" s="253" t="s">
        <v>77</v>
      </c>
      <c r="AB18" s="239">
        <v>6</v>
      </c>
      <c r="AC18" s="255" t="s">
        <v>108</v>
      </c>
    </row>
    <row r="19" spans="2:29" s="239" customFormat="1" ht="27" customHeight="1">
      <c r="B19" s="596"/>
      <c r="C19" s="597"/>
      <c r="D19" s="235">
        <v>13</v>
      </c>
      <c r="E19" s="389" t="s">
        <v>122</v>
      </c>
      <c r="F19" s="371">
        <v>3262.4</v>
      </c>
      <c r="G19" s="371">
        <v>1064.7</v>
      </c>
      <c r="H19" s="371">
        <v>1094.7</v>
      </c>
      <c r="I19" s="240">
        <f t="shared" si="1"/>
        <v>1.0281769512538743</v>
      </c>
      <c r="J19" s="371">
        <v>0</v>
      </c>
      <c r="K19" s="240">
        <f t="shared" si="2"/>
        <v>0</v>
      </c>
      <c r="L19" s="371">
        <v>140.6</v>
      </c>
      <c r="M19" s="241">
        <f t="shared" si="3"/>
        <v>1.0281769512538743</v>
      </c>
      <c r="N19" s="372">
        <v>30</v>
      </c>
      <c r="O19" s="371">
        <v>23.2</v>
      </c>
      <c r="P19" s="240">
        <f t="shared" si="4"/>
        <v>2.1790175636329481E-2</v>
      </c>
      <c r="Q19" s="242">
        <f t="shared" si="5"/>
        <v>6.8000000000000007</v>
      </c>
      <c r="R19" s="240">
        <f t="shared" si="6"/>
        <v>6.3867756175448485E-3</v>
      </c>
      <c r="S19" s="371">
        <v>949.5</v>
      </c>
      <c r="T19" s="248" t="s">
        <v>198</v>
      </c>
      <c r="U19" s="243" t="s">
        <v>102</v>
      </c>
      <c r="V19" s="243" t="s">
        <v>106</v>
      </c>
      <c r="W19" s="244" t="s">
        <v>200</v>
      </c>
      <c r="X19" s="244">
        <v>1</v>
      </c>
      <c r="Y19" s="253" t="s">
        <v>76</v>
      </c>
      <c r="AB19" s="239">
        <v>7</v>
      </c>
      <c r="AC19" s="255" t="s">
        <v>109</v>
      </c>
    </row>
    <row r="20" spans="2:29" s="239" customFormat="1" ht="27" customHeight="1">
      <c r="B20" s="596"/>
      <c r="C20" s="597"/>
      <c r="D20" s="235">
        <v>14</v>
      </c>
      <c r="E20" s="389" t="s">
        <v>214</v>
      </c>
      <c r="F20" s="371">
        <v>138.5</v>
      </c>
      <c r="G20" s="371">
        <v>356.6</v>
      </c>
      <c r="H20" s="371">
        <v>356.6</v>
      </c>
      <c r="I20" s="240">
        <f t="shared" si="1"/>
        <v>1</v>
      </c>
      <c r="J20" s="371">
        <v>3.5</v>
      </c>
      <c r="K20" s="240">
        <f t="shared" si="2"/>
        <v>9.8149186763881093E-3</v>
      </c>
      <c r="L20" s="371">
        <v>307.8</v>
      </c>
      <c r="M20" s="241">
        <f t="shared" si="3"/>
        <v>1.0098149186763881</v>
      </c>
      <c r="N20" s="372">
        <v>3.5</v>
      </c>
      <c r="O20" s="371">
        <v>0.4</v>
      </c>
      <c r="P20" s="240">
        <f t="shared" ref="P20:P26" si="9">O20/G20</f>
        <v>1.1217049915872126E-3</v>
      </c>
      <c r="Q20" s="242">
        <f t="shared" ref="Q20:Q26" si="10">((H20+J20)-G20)-O20</f>
        <v>3.1</v>
      </c>
      <c r="R20" s="240">
        <f t="shared" ref="R20:R26" si="11">Q20/G20</f>
        <v>8.6932136848008965E-3</v>
      </c>
      <c r="S20" s="371">
        <v>940.2</v>
      </c>
      <c r="T20" s="248" t="s">
        <v>198</v>
      </c>
      <c r="U20" s="243" t="s">
        <v>102</v>
      </c>
      <c r="V20" s="243" t="s">
        <v>106</v>
      </c>
      <c r="W20" s="244" t="s">
        <v>200</v>
      </c>
      <c r="X20" s="244">
        <v>1</v>
      </c>
      <c r="Y20" s="253" t="s">
        <v>81</v>
      </c>
      <c r="AB20" s="239">
        <v>8</v>
      </c>
      <c r="AC20" s="256" t="s">
        <v>202</v>
      </c>
    </row>
    <row r="21" spans="2:29" s="239" customFormat="1" ht="27" customHeight="1">
      <c r="B21" s="596"/>
      <c r="C21" s="597"/>
      <c r="D21" s="235">
        <v>15</v>
      </c>
      <c r="E21" s="389" t="s">
        <v>132</v>
      </c>
      <c r="F21" s="371">
        <v>347.7</v>
      </c>
      <c r="G21" s="371">
        <v>542</v>
      </c>
      <c r="H21" s="371">
        <v>551</v>
      </c>
      <c r="I21" s="240">
        <f t="shared" si="1"/>
        <v>1.0166051660516606</v>
      </c>
      <c r="J21" s="371">
        <v>6</v>
      </c>
      <c r="K21" s="240">
        <f t="shared" si="2"/>
        <v>1.107011070110701E-2</v>
      </c>
      <c r="L21" s="371">
        <v>82.8</v>
      </c>
      <c r="M21" s="241">
        <f t="shared" si="3"/>
        <v>1.0276752767527675</v>
      </c>
      <c r="N21" s="372">
        <v>15</v>
      </c>
      <c r="O21" s="371">
        <v>4.2</v>
      </c>
      <c r="P21" s="240">
        <f t="shared" si="9"/>
        <v>7.7490774907749077E-3</v>
      </c>
      <c r="Q21" s="242">
        <f t="shared" si="10"/>
        <v>10.8</v>
      </c>
      <c r="R21" s="240">
        <f t="shared" si="11"/>
        <v>1.9926199261992621E-2</v>
      </c>
      <c r="S21" s="371">
        <v>894.9</v>
      </c>
      <c r="T21" s="248" t="s">
        <v>198</v>
      </c>
      <c r="U21" s="243" t="s">
        <v>102</v>
      </c>
      <c r="V21" s="243" t="s">
        <v>106</v>
      </c>
      <c r="W21" s="244" t="s">
        <v>200</v>
      </c>
      <c r="X21" s="244">
        <v>1</v>
      </c>
      <c r="Y21" s="253" t="s">
        <v>81</v>
      </c>
      <c r="AC21" s="255"/>
    </row>
    <row r="22" spans="2:29" s="239" customFormat="1" ht="27" customHeight="1">
      <c r="B22" s="596"/>
      <c r="C22" s="597"/>
      <c r="D22" s="235">
        <v>16</v>
      </c>
      <c r="E22" s="389" t="s">
        <v>215</v>
      </c>
      <c r="F22" s="371">
        <v>0</v>
      </c>
      <c r="G22" s="371">
        <v>172.7</v>
      </c>
      <c r="H22" s="371">
        <v>172.7</v>
      </c>
      <c r="I22" s="240">
        <f t="shared" si="1"/>
        <v>1</v>
      </c>
      <c r="J22" s="371">
        <v>6</v>
      </c>
      <c r="K22" s="240">
        <f t="shared" si="2"/>
        <v>3.4742327735958312E-2</v>
      </c>
      <c r="L22" s="371">
        <v>140.4</v>
      </c>
      <c r="M22" s="241">
        <f t="shared" si="3"/>
        <v>1.0347423277359582</v>
      </c>
      <c r="N22" s="372">
        <v>6</v>
      </c>
      <c r="O22" s="371">
        <v>0</v>
      </c>
      <c r="P22" s="240">
        <f t="shared" si="9"/>
        <v>0</v>
      </c>
      <c r="Q22" s="242">
        <f t="shared" si="10"/>
        <v>6</v>
      </c>
      <c r="R22" s="240">
        <f t="shared" si="11"/>
        <v>3.4742327735958312E-2</v>
      </c>
      <c r="S22" s="371">
        <v>841.3</v>
      </c>
      <c r="T22" s="248" t="s">
        <v>198</v>
      </c>
      <c r="U22" s="243" t="s">
        <v>102</v>
      </c>
      <c r="V22" s="243" t="s">
        <v>106</v>
      </c>
      <c r="W22" s="244" t="s">
        <v>200</v>
      </c>
      <c r="X22" s="244">
        <v>1</v>
      </c>
      <c r="Y22" s="253" t="s">
        <v>84</v>
      </c>
      <c r="AC22" s="255"/>
    </row>
    <row r="23" spans="2:29" s="239" customFormat="1" ht="27" customHeight="1">
      <c r="B23" s="596"/>
      <c r="C23" s="597"/>
      <c r="D23" s="235">
        <v>17</v>
      </c>
      <c r="E23" s="389" t="s">
        <v>186</v>
      </c>
      <c r="F23" s="371">
        <v>7834.1</v>
      </c>
      <c r="G23" s="371">
        <v>2194.1999999999998</v>
      </c>
      <c r="H23" s="371">
        <v>2250.5</v>
      </c>
      <c r="I23" s="240">
        <f t="shared" si="1"/>
        <v>1.0256585543706136</v>
      </c>
      <c r="J23" s="371">
        <v>0</v>
      </c>
      <c r="K23" s="240">
        <f t="shared" si="2"/>
        <v>0</v>
      </c>
      <c r="L23" s="371">
        <v>153.80000000000001</v>
      </c>
      <c r="M23" s="241">
        <f t="shared" si="3"/>
        <v>1.0256585543706136</v>
      </c>
      <c r="N23" s="372">
        <v>56.3</v>
      </c>
      <c r="O23" s="371">
        <v>51</v>
      </c>
      <c r="P23" s="240">
        <f t="shared" si="9"/>
        <v>2.3243095433415371E-2</v>
      </c>
      <c r="Q23" s="242">
        <f t="shared" si="10"/>
        <v>5.3000000000001819</v>
      </c>
      <c r="R23" s="240">
        <f t="shared" si="11"/>
        <v>2.4154589371981508E-3</v>
      </c>
      <c r="S23" s="371">
        <v>828.8</v>
      </c>
      <c r="T23" s="248" t="s">
        <v>198</v>
      </c>
      <c r="U23" s="243" t="s">
        <v>102</v>
      </c>
      <c r="V23" s="243" t="s">
        <v>106</v>
      </c>
      <c r="W23" s="244" t="s">
        <v>200</v>
      </c>
      <c r="X23" s="244">
        <v>1</v>
      </c>
      <c r="Y23" s="253" t="s">
        <v>75</v>
      </c>
      <c r="AB23" s="250">
        <v>1</v>
      </c>
      <c r="AC23" s="255" t="s">
        <v>205</v>
      </c>
    </row>
    <row r="24" spans="2:29" s="239" customFormat="1" ht="27" customHeight="1">
      <c r="B24" s="596"/>
      <c r="C24" s="597"/>
      <c r="D24" s="235">
        <v>18</v>
      </c>
      <c r="E24" s="389" t="s">
        <v>182</v>
      </c>
      <c r="F24" s="371">
        <v>10461.700000000001</v>
      </c>
      <c r="G24" s="371">
        <v>1219</v>
      </c>
      <c r="H24" s="371">
        <v>1380.4</v>
      </c>
      <c r="I24" s="240">
        <f t="shared" si="1"/>
        <v>1.1324036095159968</v>
      </c>
      <c r="J24" s="371">
        <v>0</v>
      </c>
      <c r="K24" s="240">
        <f t="shared" si="2"/>
        <v>0</v>
      </c>
      <c r="L24" s="371">
        <v>69.099999999999994</v>
      </c>
      <c r="M24" s="241">
        <f t="shared" si="3"/>
        <v>1.1324036095159968</v>
      </c>
      <c r="N24" s="372">
        <v>161.4</v>
      </c>
      <c r="O24" s="371">
        <v>151.4</v>
      </c>
      <c r="P24" s="240">
        <f t="shared" si="9"/>
        <v>0.12420016406890895</v>
      </c>
      <c r="Q24" s="242">
        <f t="shared" si="10"/>
        <v>10.000000000000085</v>
      </c>
      <c r="R24" s="240">
        <f t="shared" si="11"/>
        <v>8.2034454470878461E-3</v>
      </c>
      <c r="S24" s="371">
        <v>690.3</v>
      </c>
      <c r="T24" s="248" t="s">
        <v>198</v>
      </c>
      <c r="U24" s="243" t="s">
        <v>102</v>
      </c>
      <c r="V24" s="243" t="s">
        <v>106</v>
      </c>
      <c r="W24" s="244" t="s">
        <v>200</v>
      </c>
      <c r="X24" s="244">
        <v>1</v>
      </c>
      <c r="Y24" s="253" t="s">
        <v>136</v>
      </c>
      <c r="AB24" s="239">
        <v>2</v>
      </c>
      <c r="AC24" s="255" t="s">
        <v>198</v>
      </c>
    </row>
    <row r="25" spans="2:29" s="239" customFormat="1" ht="27" customHeight="1">
      <c r="B25" s="596"/>
      <c r="C25" s="597"/>
      <c r="D25" s="235">
        <v>19</v>
      </c>
      <c r="E25" s="389" t="s">
        <v>216</v>
      </c>
      <c r="F25" s="371">
        <v>145.69999999999999</v>
      </c>
      <c r="G25" s="371">
        <v>220.9</v>
      </c>
      <c r="H25" s="371">
        <v>220.9</v>
      </c>
      <c r="I25" s="240">
        <f t="shared" si="1"/>
        <v>1</v>
      </c>
      <c r="J25" s="371">
        <v>15</v>
      </c>
      <c r="K25" s="240">
        <f t="shared" si="2"/>
        <v>6.7904028972385691E-2</v>
      </c>
      <c r="L25" s="371">
        <v>55</v>
      </c>
      <c r="M25" s="241">
        <f t="shared" si="3"/>
        <v>1.0679040289723858</v>
      </c>
      <c r="N25" s="372">
        <v>15</v>
      </c>
      <c r="O25" s="371">
        <v>2.6</v>
      </c>
      <c r="P25" s="240">
        <f t="shared" si="9"/>
        <v>1.1770031688546853E-2</v>
      </c>
      <c r="Q25" s="242">
        <f t="shared" si="10"/>
        <v>12.4</v>
      </c>
      <c r="R25" s="240">
        <f t="shared" si="11"/>
        <v>5.6133997283838839E-2</v>
      </c>
      <c r="S25" s="371">
        <v>681.6</v>
      </c>
      <c r="T25" s="248" t="s">
        <v>198</v>
      </c>
      <c r="U25" s="243" t="s">
        <v>102</v>
      </c>
      <c r="V25" s="243" t="s">
        <v>106</v>
      </c>
      <c r="W25" s="244" t="s">
        <v>200</v>
      </c>
      <c r="X25" s="244">
        <v>1</v>
      </c>
      <c r="Y25" s="253" t="s">
        <v>63</v>
      </c>
      <c r="AB25" s="251">
        <v>3</v>
      </c>
      <c r="AC25" s="255" t="s">
        <v>207</v>
      </c>
    </row>
    <row r="26" spans="2:29" s="239" customFormat="1" ht="27" customHeight="1">
      <c r="B26" s="598"/>
      <c r="C26" s="599"/>
      <c r="D26" s="235">
        <v>20</v>
      </c>
      <c r="E26" s="389" t="s">
        <v>201</v>
      </c>
      <c r="F26" s="371">
        <v>3077.1</v>
      </c>
      <c r="G26" s="371">
        <v>458.3</v>
      </c>
      <c r="H26" s="371">
        <v>481.4</v>
      </c>
      <c r="I26" s="240">
        <f t="shared" si="1"/>
        <v>1.0504036657211433</v>
      </c>
      <c r="J26" s="371">
        <v>0</v>
      </c>
      <c r="K26" s="240">
        <f t="shared" si="2"/>
        <v>0</v>
      </c>
      <c r="L26" s="371">
        <v>162.4</v>
      </c>
      <c r="M26" s="241">
        <f t="shared" si="3"/>
        <v>1.0504036657211433</v>
      </c>
      <c r="N26" s="372">
        <v>23.1</v>
      </c>
      <c r="O26" s="371">
        <v>19</v>
      </c>
      <c r="P26" s="240">
        <f t="shared" si="9"/>
        <v>4.145756054985817E-2</v>
      </c>
      <c r="Q26" s="242">
        <f t="shared" si="10"/>
        <v>4.0999999999999659</v>
      </c>
      <c r="R26" s="240">
        <f t="shared" si="11"/>
        <v>8.9461051712851104E-3</v>
      </c>
      <c r="S26" s="371">
        <v>677.9</v>
      </c>
      <c r="T26" s="248" t="s">
        <v>198</v>
      </c>
      <c r="U26" s="243" t="s">
        <v>102</v>
      </c>
      <c r="V26" s="243" t="s">
        <v>106</v>
      </c>
      <c r="W26" s="244" t="s">
        <v>200</v>
      </c>
      <c r="X26" s="244">
        <v>1</v>
      </c>
      <c r="Y26" s="253" t="s">
        <v>86</v>
      </c>
      <c r="AB26" s="251">
        <v>4</v>
      </c>
      <c r="AC26" s="255" t="s">
        <v>179</v>
      </c>
    </row>
    <row r="27" spans="2:29" ht="29.5" customHeight="1">
      <c r="C27" s="593"/>
      <c r="D27" s="235"/>
      <c r="AB27" s="239">
        <v>5</v>
      </c>
      <c r="AC27" s="255" t="s">
        <v>208</v>
      </c>
    </row>
    <row r="28" spans="2:29">
      <c r="C28" s="593"/>
    </row>
    <row r="29" spans="2:29">
      <c r="C29" s="593"/>
    </row>
    <row r="30" spans="2:29">
      <c r="C30" s="593"/>
    </row>
    <row r="31" spans="2:29">
      <c r="C31" s="593"/>
    </row>
    <row r="32" spans="2:29">
      <c r="C32" s="593"/>
    </row>
    <row r="33" spans="3:3">
      <c r="C33" s="593"/>
    </row>
    <row r="34" spans="3:3">
      <c r="C34" s="593"/>
    </row>
    <row r="35" spans="3:3">
      <c r="C35" s="593"/>
    </row>
    <row r="36" spans="3:3">
      <c r="C36" s="593"/>
    </row>
    <row r="67" ht="14.15" customHeight="1"/>
    <row r="77" ht="14.15" customHeight="1"/>
    <row r="87" ht="14.15" customHeight="1"/>
    <row r="112" spans="26:26">
      <c r="Z112" s="172" t="s">
        <v>174</v>
      </c>
    </row>
    <row r="113" spans="26:26">
      <c r="Z113" s="239" t="s">
        <v>103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I20" sqref="I20"/>
    </sheetView>
  </sheetViews>
  <sheetFormatPr defaultColWidth="8.26953125" defaultRowHeight="15.5"/>
  <cols>
    <col min="1" max="1" width="18.453125" style="258" customWidth="1"/>
    <col min="2" max="2" width="18.81640625" style="258" bestFit="1" customWidth="1"/>
    <col min="3" max="4" width="14.26953125" style="258" customWidth="1"/>
    <col min="5" max="5" width="17.1796875" style="258" bestFit="1" customWidth="1"/>
    <col min="6" max="6" width="14.26953125" style="258" customWidth="1"/>
    <col min="7" max="10" width="18.453125" style="258" customWidth="1"/>
    <col min="11" max="11" width="17.1796875" style="258" bestFit="1" customWidth="1"/>
    <col min="12" max="12" width="16" style="258" customWidth="1"/>
    <col min="13" max="13" width="18.26953125" style="258" bestFit="1" customWidth="1"/>
    <col min="14" max="15" width="12.7265625" style="258" bestFit="1" customWidth="1"/>
    <col min="16" max="22" width="8.26953125" style="258" customWidth="1"/>
    <col min="23" max="16384" width="8.26953125" style="258"/>
  </cols>
  <sheetData>
    <row r="1" spans="1:18" ht="25.5" customHeight="1">
      <c r="A1" s="630" t="s">
        <v>217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2"/>
    </row>
    <row r="2" spans="1:18" ht="16.5" customHeight="1">
      <c r="A2" s="633" t="s">
        <v>3</v>
      </c>
      <c r="B2" s="635" t="s">
        <v>31</v>
      </c>
      <c r="C2" s="635" t="s">
        <v>218</v>
      </c>
      <c r="D2" s="635" t="s">
        <v>219</v>
      </c>
      <c r="E2" s="635" t="s">
        <v>220</v>
      </c>
      <c r="F2" s="635" t="s">
        <v>134</v>
      </c>
      <c r="G2" s="635" t="s">
        <v>221</v>
      </c>
      <c r="H2" s="635"/>
      <c r="I2" s="635" t="s">
        <v>222</v>
      </c>
      <c r="J2" s="635"/>
      <c r="K2" s="635" t="s">
        <v>223</v>
      </c>
      <c r="L2" s="635"/>
      <c r="M2" s="637" t="s">
        <v>11</v>
      </c>
      <c r="N2" s="638"/>
      <c r="O2" s="639"/>
    </row>
    <row r="3" spans="1:18" ht="37.5" customHeight="1">
      <c r="A3" s="634"/>
      <c r="B3" s="636"/>
      <c r="C3" s="636"/>
      <c r="D3" s="636"/>
      <c r="E3" s="636"/>
      <c r="F3" s="636"/>
      <c r="G3" s="328" t="s">
        <v>224</v>
      </c>
      <c r="H3" s="328" t="s">
        <v>225</v>
      </c>
      <c r="I3" s="328" t="s">
        <v>224</v>
      </c>
      <c r="J3" s="328" t="s">
        <v>225</v>
      </c>
      <c r="K3" s="328" t="s">
        <v>224</v>
      </c>
      <c r="L3" s="328" t="s">
        <v>226</v>
      </c>
      <c r="M3" s="328" t="s">
        <v>31</v>
      </c>
      <c r="N3" s="329" t="s">
        <v>227</v>
      </c>
      <c r="O3" s="382" t="s">
        <v>228</v>
      </c>
    </row>
    <row r="4" spans="1:18" ht="18">
      <c r="A4" s="380">
        <v>45992</v>
      </c>
      <c r="B4" s="344">
        <v>2513777.52</v>
      </c>
      <c r="C4" s="344">
        <v>2332</v>
      </c>
      <c r="D4" s="345">
        <f>C4/B4</f>
        <v>9.2768750672891692E-4</v>
      </c>
      <c r="E4" s="346">
        <v>3358</v>
      </c>
      <c r="F4" s="347">
        <f t="shared" ref="F4:F34" si="0">E4/B4</f>
        <v>1.3358381850753444E-3</v>
      </c>
      <c r="G4" s="344">
        <v>2332</v>
      </c>
      <c r="H4" s="347">
        <f t="shared" ref="H4:H34" si="1">G4/C4</f>
        <v>1</v>
      </c>
      <c r="I4" s="348">
        <v>3358</v>
      </c>
      <c r="J4" s="347">
        <f>I4/E4</f>
        <v>1</v>
      </c>
      <c r="K4" s="349">
        <v>0</v>
      </c>
      <c r="L4" s="350">
        <f>K4/C4</f>
        <v>0</v>
      </c>
      <c r="M4" s="351"/>
      <c r="N4" s="352"/>
      <c r="O4" s="383"/>
    </row>
    <row r="5" spans="1:18" ht="18">
      <c r="A5" s="285">
        <f>A4+1</f>
        <v>45993</v>
      </c>
      <c r="B5" s="259">
        <v>2335254.96</v>
      </c>
      <c r="C5" s="259">
        <v>230</v>
      </c>
      <c r="D5" s="260">
        <f t="shared" ref="D5:D34" si="2">C5/B5</f>
        <v>9.8490316449215465E-5</v>
      </c>
      <c r="E5" s="261">
        <v>741</v>
      </c>
      <c r="F5" s="262">
        <f t="shared" si="0"/>
        <v>3.1731010647334198E-4</v>
      </c>
      <c r="G5" s="259">
        <v>230</v>
      </c>
      <c r="H5" s="262">
        <f t="shared" si="1"/>
        <v>1</v>
      </c>
      <c r="I5" s="263">
        <v>741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23">
        <f>SUM(B5:B11)</f>
        <v>15371290.750000002</v>
      </c>
      <c r="N5" s="623">
        <f>SUM(C5:C11)</f>
        <v>21773</v>
      </c>
      <c r="O5" s="626">
        <f>SUM(E5:E11)</f>
        <v>16560</v>
      </c>
    </row>
    <row r="6" spans="1:18" ht="18">
      <c r="A6" s="377">
        <f t="shared" ref="A6:A34" si="5">A5+1</f>
        <v>45994</v>
      </c>
      <c r="B6" s="266">
        <v>2176837.2799999998</v>
      </c>
      <c r="C6" s="266">
        <v>165</v>
      </c>
      <c r="D6" s="267">
        <f t="shared" si="2"/>
        <v>7.5798040356971476E-5</v>
      </c>
      <c r="E6" s="268">
        <v>310</v>
      </c>
      <c r="F6" s="269">
        <f t="shared" si="0"/>
        <v>1.4240843945855246E-4</v>
      </c>
      <c r="G6" s="266">
        <v>165</v>
      </c>
      <c r="H6" s="269">
        <f t="shared" si="1"/>
        <v>1</v>
      </c>
      <c r="I6" s="270">
        <v>310</v>
      </c>
      <c r="J6" s="269">
        <f t="shared" si="3"/>
        <v>1</v>
      </c>
      <c r="K6" s="271">
        <v>0</v>
      </c>
      <c r="L6" s="272">
        <f t="shared" si="4"/>
        <v>0</v>
      </c>
      <c r="M6" s="624"/>
      <c r="N6" s="624"/>
      <c r="O6" s="627"/>
    </row>
    <row r="7" spans="1:18" ht="18">
      <c r="A7" s="274">
        <f t="shared" si="5"/>
        <v>45995</v>
      </c>
      <c r="B7" s="266">
        <v>2121444.9</v>
      </c>
      <c r="C7" s="266">
        <v>970</v>
      </c>
      <c r="D7" s="267">
        <f t="shared" si="2"/>
        <v>4.572355379109776E-4</v>
      </c>
      <c r="E7" s="268">
        <v>1057</v>
      </c>
      <c r="F7" s="269">
        <f t="shared" si="0"/>
        <v>4.9824532327000346E-4</v>
      </c>
      <c r="G7" s="266">
        <v>970</v>
      </c>
      <c r="H7" s="269">
        <f t="shared" si="1"/>
        <v>1</v>
      </c>
      <c r="I7" s="270">
        <v>1057</v>
      </c>
      <c r="J7" s="269">
        <f t="shared" si="3"/>
        <v>1</v>
      </c>
      <c r="K7" s="271">
        <v>0</v>
      </c>
      <c r="L7" s="272">
        <f t="shared" si="4"/>
        <v>0</v>
      </c>
      <c r="M7" s="624"/>
      <c r="N7" s="624"/>
      <c r="O7" s="627"/>
    </row>
    <row r="8" spans="1:18" ht="18">
      <c r="A8" s="274">
        <f t="shared" si="5"/>
        <v>45996</v>
      </c>
      <c r="B8" s="266">
        <v>1832380.36</v>
      </c>
      <c r="C8" s="266">
        <v>6363</v>
      </c>
      <c r="D8" s="267">
        <f t="shared" si="2"/>
        <v>3.4725323076481782E-3</v>
      </c>
      <c r="E8" s="268">
        <v>6585</v>
      </c>
      <c r="F8" s="269">
        <f t="shared" si="0"/>
        <v>3.593686192969237E-3</v>
      </c>
      <c r="G8" s="266">
        <v>6363</v>
      </c>
      <c r="H8" s="269">
        <f t="shared" si="1"/>
        <v>1</v>
      </c>
      <c r="I8" s="270">
        <v>6585</v>
      </c>
      <c r="J8" s="269">
        <f t="shared" si="3"/>
        <v>1</v>
      </c>
      <c r="K8" s="271">
        <v>0</v>
      </c>
      <c r="L8" s="272">
        <f t="shared" si="4"/>
        <v>0</v>
      </c>
      <c r="M8" s="624"/>
      <c r="N8" s="624"/>
      <c r="O8" s="627"/>
      <c r="P8" s="273"/>
      <c r="Q8" s="273"/>
    </row>
    <row r="9" spans="1:18" ht="18">
      <c r="A9" s="274">
        <f t="shared" si="5"/>
        <v>45997</v>
      </c>
      <c r="B9" s="266">
        <v>1995581.05</v>
      </c>
      <c r="C9" s="266">
        <v>6208</v>
      </c>
      <c r="D9" s="267">
        <f t="shared" si="2"/>
        <v>3.1108733969988341E-3</v>
      </c>
      <c r="E9" s="268">
        <v>3154</v>
      </c>
      <c r="F9" s="269">
        <f t="shared" si="0"/>
        <v>1.5804920576891627E-3</v>
      </c>
      <c r="G9" s="266">
        <v>6208</v>
      </c>
      <c r="H9" s="269">
        <f t="shared" si="1"/>
        <v>1</v>
      </c>
      <c r="I9" s="270">
        <v>3154</v>
      </c>
      <c r="J9" s="269">
        <f t="shared" si="3"/>
        <v>1</v>
      </c>
      <c r="K9" s="271">
        <v>0</v>
      </c>
      <c r="L9" s="272">
        <f t="shared" si="4"/>
        <v>0</v>
      </c>
      <c r="M9" s="624"/>
      <c r="N9" s="624"/>
      <c r="O9" s="627"/>
    </row>
    <row r="10" spans="1:18" ht="18">
      <c r="A10" s="274">
        <f t="shared" si="5"/>
        <v>45998</v>
      </c>
      <c r="B10" s="266">
        <v>2513995.62</v>
      </c>
      <c r="C10" s="266">
        <v>3916</v>
      </c>
      <c r="D10" s="267">
        <f t="shared" si="2"/>
        <v>1.5576797226082677E-3</v>
      </c>
      <c r="E10" s="268">
        <v>1799</v>
      </c>
      <c r="F10" s="269">
        <f t="shared" si="0"/>
        <v>7.1559392772529962E-4</v>
      </c>
      <c r="G10" s="266">
        <v>3916</v>
      </c>
      <c r="H10" s="269">
        <f t="shared" si="1"/>
        <v>1</v>
      </c>
      <c r="I10" s="270">
        <v>1799</v>
      </c>
      <c r="J10" s="269">
        <f t="shared" si="3"/>
        <v>1</v>
      </c>
      <c r="K10" s="271">
        <v>0</v>
      </c>
      <c r="L10" s="272">
        <f t="shared" si="4"/>
        <v>0</v>
      </c>
      <c r="M10" s="624"/>
      <c r="N10" s="624"/>
      <c r="O10" s="627"/>
    </row>
    <row r="11" spans="1:18" ht="18">
      <c r="A11" s="379">
        <f t="shared" si="5"/>
        <v>45999</v>
      </c>
      <c r="B11" s="276">
        <v>2395796.58</v>
      </c>
      <c r="C11" s="276">
        <v>3921</v>
      </c>
      <c r="D11" s="277">
        <f t="shared" si="2"/>
        <v>1.6366164108974561E-3</v>
      </c>
      <c r="E11" s="276">
        <v>2914</v>
      </c>
      <c r="F11" s="278">
        <f t="shared" si="0"/>
        <v>1.2162969194988999E-3</v>
      </c>
      <c r="G11" s="276">
        <v>3921</v>
      </c>
      <c r="H11" s="278">
        <f t="shared" si="1"/>
        <v>1</v>
      </c>
      <c r="I11" s="276">
        <v>2914</v>
      </c>
      <c r="J11" s="278">
        <f t="shared" si="3"/>
        <v>1</v>
      </c>
      <c r="K11" s="276">
        <v>0</v>
      </c>
      <c r="L11" s="279">
        <f t="shared" si="4"/>
        <v>0</v>
      </c>
      <c r="M11" s="625"/>
      <c r="N11" s="625"/>
      <c r="O11" s="628"/>
    </row>
    <row r="12" spans="1:18" ht="18">
      <c r="A12" s="285">
        <f t="shared" si="5"/>
        <v>46000</v>
      </c>
      <c r="B12" s="259">
        <v>3129368.04</v>
      </c>
      <c r="C12" s="381">
        <v>17298</v>
      </c>
      <c r="D12" s="260">
        <f t="shared" si="2"/>
        <v>5.5276336240719067E-3</v>
      </c>
      <c r="E12" s="261">
        <v>29379</v>
      </c>
      <c r="F12" s="262">
        <f t="shared" si="0"/>
        <v>9.3881574888200117E-3</v>
      </c>
      <c r="G12" s="259">
        <v>17298</v>
      </c>
      <c r="H12" s="262">
        <f t="shared" si="1"/>
        <v>1</v>
      </c>
      <c r="I12" s="263">
        <v>29379</v>
      </c>
      <c r="J12" s="262">
        <f t="shared" si="3"/>
        <v>1</v>
      </c>
      <c r="K12" s="264">
        <v>0</v>
      </c>
      <c r="L12" s="265">
        <f t="shared" si="4"/>
        <v>0</v>
      </c>
      <c r="M12" s="623">
        <f t="shared" ref="M12:N12" si="6">SUM(B12:B18)</f>
        <v>17129534.109999999</v>
      </c>
      <c r="N12" s="623">
        <f t="shared" si="6"/>
        <v>68001</v>
      </c>
      <c r="O12" s="626">
        <f>SUM(E12:E18)</f>
        <v>62072</v>
      </c>
    </row>
    <row r="13" spans="1:18" ht="18">
      <c r="A13" s="377">
        <f t="shared" si="5"/>
        <v>46001</v>
      </c>
      <c r="B13" s="266">
        <v>2596020.5</v>
      </c>
      <c r="C13" s="266">
        <v>14639</v>
      </c>
      <c r="D13" s="267">
        <f t="shared" si="2"/>
        <v>5.6390155624734088E-3</v>
      </c>
      <c r="E13" s="268">
        <v>4183</v>
      </c>
      <c r="F13" s="269">
        <f t="shared" si="0"/>
        <v>1.6113123914083113E-3</v>
      </c>
      <c r="G13" s="266">
        <v>14639</v>
      </c>
      <c r="H13" s="269">
        <f t="shared" si="1"/>
        <v>1</v>
      </c>
      <c r="I13" s="270">
        <v>4183</v>
      </c>
      <c r="J13" s="269">
        <f t="shared" si="3"/>
        <v>1</v>
      </c>
      <c r="K13" s="271">
        <v>0</v>
      </c>
      <c r="L13" s="272">
        <f t="shared" si="4"/>
        <v>0</v>
      </c>
      <c r="M13" s="624"/>
      <c r="N13" s="624"/>
      <c r="O13" s="627"/>
    </row>
    <row r="14" spans="1:18" ht="18">
      <c r="A14" s="274">
        <f t="shared" si="5"/>
        <v>46002</v>
      </c>
      <c r="B14" s="266">
        <v>2249510.87</v>
      </c>
      <c r="C14" s="266">
        <v>7198</v>
      </c>
      <c r="D14" s="267">
        <f t="shared" si="2"/>
        <v>3.1998067206494537E-3</v>
      </c>
      <c r="E14" s="268">
        <v>1931</v>
      </c>
      <c r="F14" s="269">
        <f t="shared" si="0"/>
        <v>8.5840883267214441E-4</v>
      </c>
      <c r="G14" s="266">
        <v>7198</v>
      </c>
      <c r="H14" s="269">
        <f t="shared" si="1"/>
        <v>1</v>
      </c>
      <c r="I14" s="270">
        <v>1931</v>
      </c>
      <c r="J14" s="269">
        <f t="shared" si="3"/>
        <v>1</v>
      </c>
      <c r="K14" s="271">
        <v>0</v>
      </c>
      <c r="L14" s="272">
        <f t="shared" si="4"/>
        <v>0</v>
      </c>
      <c r="M14" s="624"/>
      <c r="N14" s="624"/>
      <c r="O14" s="627"/>
    </row>
    <row r="15" spans="1:18" ht="18">
      <c r="A15" s="274">
        <f t="shared" si="5"/>
        <v>46003</v>
      </c>
      <c r="B15" s="266">
        <v>1793030.27</v>
      </c>
      <c r="C15" s="266">
        <v>8582</v>
      </c>
      <c r="D15" s="267">
        <f t="shared" si="2"/>
        <v>4.786310718558031E-3</v>
      </c>
      <c r="E15" s="268">
        <v>6411</v>
      </c>
      <c r="F15" s="269">
        <f t="shared" si="0"/>
        <v>3.57551130466972E-3</v>
      </c>
      <c r="G15" s="266">
        <v>8582</v>
      </c>
      <c r="H15" s="269">
        <f t="shared" si="1"/>
        <v>1</v>
      </c>
      <c r="I15" s="270">
        <v>6411</v>
      </c>
      <c r="J15" s="269">
        <f t="shared" si="3"/>
        <v>1</v>
      </c>
      <c r="K15" s="271">
        <v>0</v>
      </c>
      <c r="L15" s="272">
        <f t="shared" si="4"/>
        <v>0</v>
      </c>
      <c r="M15" s="624"/>
      <c r="N15" s="624"/>
      <c r="O15" s="627"/>
      <c r="P15" s="273"/>
      <c r="Q15" s="280"/>
      <c r="R15" s="280"/>
    </row>
    <row r="16" spans="1:18" ht="18">
      <c r="A16" s="274">
        <f t="shared" si="5"/>
        <v>46004</v>
      </c>
      <c r="B16" s="266">
        <v>2044428.8</v>
      </c>
      <c r="C16" s="266">
        <v>3747</v>
      </c>
      <c r="D16" s="267">
        <f t="shared" si="2"/>
        <v>1.8327857639258457E-3</v>
      </c>
      <c r="E16" s="268">
        <v>3693</v>
      </c>
      <c r="F16" s="269">
        <f t="shared" si="0"/>
        <v>1.8063725183288359E-3</v>
      </c>
      <c r="G16" s="266">
        <v>3747</v>
      </c>
      <c r="H16" s="269">
        <f t="shared" si="1"/>
        <v>1</v>
      </c>
      <c r="I16" s="270">
        <v>3693</v>
      </c>
      <c r="J16" s="269">
        <f t="shared" si="3"/>
        <v>1</v>
      </c>
      <c r="K16" s="271">
        <v>0</v>
      </c>
      <c r="L16" s="272">
        <f t="shared" si="4"/>
        <v>0</v>
      </c>
      <c r="M16" s="624"/>
      <c r="N16" s="624"/>
      <c r="O16" s="627"/>
    </row>
    <row r="17" spans="1:17" ht="18">
      <c r="A17" s="274">
        <f t="shared" si="5"/>
        <v>46005</v>
      </c>
      <c r="B17" s="266">
        <v>2720484.02</v>
      </c>
      <c r="C17" s="266">
        <v>1763</v>
      </c>
      <c r="D17" s="267">
        <f t="shared" si="2"/>
        <v>6.4804644579386276E-4</v>
      </c>
      <c r="E17" s="343">
        <v>9480</v>
      </c>
      <c r="F17" s="269">
        <f t="shared" si="0"/>
        <v>3.4846740250288255E-3</v>
      </c>
      <c r="G17" s="266">
        <v>1763</v>
      </c>
      <c r="H17" s="269">
        <f t="shared" si="1"/>
        <v>1</v>
      </c>
      <c r="I17" s="270">
        <v>9480</v>
      </c>
      <c r="J17" s="269">
        <f t="shared" si="3"/>
        <v>1</v>
      </c>
      <c r="K17" s="271">
        <v>0</v>
      </c>
      <c r="L17" s="272">
        <f t="shared" si="4"/>
        <v>0</v>
      </c>
      <c r="M17" s="624"/>
      <c r="N17" s="624"/>
      <c r="O17" s="627"/>
      <c r="Q17" s="281"/>
    </row>
    <row r="18" spans="1:17" ht="18">
      <c r="A18" s="379">
        <f t="shared" si="5"/>
        <v>46006</v>
      </c>
      <c r="B18" s="276">
        <v>2596691.61</v>
      </c>
      <c r="C18" s="276">
        <v>14774</v>
      </c>
      <c r="D18" s="277">
        <f t="shared" si="2"/>
        <v>5.6895474006634162E-3</v>
      </c>
      <c r="E18" s="282">
        <v>6995</v>
      </c>
      <c r="F18" s="278">
        <f t="shared" si="0"/>
        <v>2.6938123776662107E-3</v>
      </c>
      <c r="G18" s="276">
        <v>14774</v>
      </c>
      <c r="H18" s="278">
        <f t="shared" si="1"/>
        <v>1</v>
      </c>
      <c r="I18" s="283">
        <v>6995</v>
      </c>
      <c r="J18" s="278">
        <f t="shared" si="3"/>
        <v>1</v>
      </c>
      <c r="K18" s="284">
        <v>0</v>
      </c>
      <c r="L18" s="279">
        <f t="shared" si="4"/>
        <v>0</v>
      </c>
      <c r="M18" s="625"/>
      <c r="N18" s="625"/>
      <c r="O18" s="628"/>
    </row>
    <row r="19" spans="1:17" ht="18">
      <c r="A19" s="285">
        <f t="shared" si="5"/>
        <v>46007</v>
      </c>
      <c r="B19" s="259">
        <v>2614596.2800000003</v>
      </c>
      <c r="C19" s="259">
        <v>5730</v>
      </c>
      <c r="D19" s="260">
        <f t="shared" si="2"/>
        <v>2.1915429329686033E-3</v>
      </c>
      <c r="E19" s="261">
        <v>8181</v>
      </c>
      <c r="F19" s="262">
        <f t="shared" si="0"/>
        <v>3.1289725540342311E-3</v>
      </c>
      <c r="G19" s="259">
        <v>5730</v>
      </c>
      <c r="H19" s="262">
        <f t="shared" si="1"/>
        <v>1</v>
      </c>
      <c r="I19" s="263">
        <v>8181</v>
      </c>
      <c r="J19" s="262">
        <f t="shared" si="3"/>
        <v>1</v>
      </c>
      <c r="K19" s="264">
        <v>0</v>
      </c>
      <c r="L19" s="265">
        <f t="shared" si="4"/>
        <v>0</v>
      </c>
      <c r="M19" s="623">
        <f t="shared" ref="M19:N19" si="7">SUM(B19:B25)</f>
        <v>17356992.149999999</v>
      </c>
      <c r="N19" s="623">
        <f t="shared" si="7"/>
        <v>46587</v>
      </c>
      <c r="O19" s="626">
        <f>SUM(E19:E25)</f>
        <v>54898</v>
      </c>
    </row>
    <row r="20" spans="1:17" ht="18">
      <c r="A20" s="377">
        <f t="shared" si="5"/>
        <v>46008</v>
      </c>
      <c r="B20" s="266">
        <v>2455966.04</v>
      </c>
      <c r="C20" s="266">
        <v>5872</v>
      </c>
      <c r="D20" s="267">
        <f t="shared" si="2"/>
        <v>2.3909125388395028E-3</v>
      </c>
      <c r="E20" s="268">
        <v>11732</v>
      </c>
      <c r="F20" s="269">
        <f t="shared" si="0"/>
        <v>4.7769390166323309E-3</v>
      </c>
      <c r="G20" s="266">
        <v>5872</v>
      </c>
      <c r="H20" s="269">
        <f t="shared" si="1"/>
        <v>1</v>
      </c>
      <c r="I20" s="270">
        <v>11732</v>
      </c>
      <c r="J20" s="269">
        <f t="shared" si="3"/>
        <v>1</v>
      </c>
      <c r="K20" s="271">
        <v>0</v>
      </c>
      <c r="L20" s="272">
        <f t="shared" si="4"/>
        <v>0</v>
      </c>
      <c r="M20" s="624"/>
      <c r="N20" s="624"/>
      <c r="O20" s="627"/>
    </row>
    <row r="21" spans="1:17" ht="18">
      <c r="A21" s="274">
        <f t="shared" si="5"/>
        <v>46009</v>
      </c>
      <c r="B21" s="266">
        <v>2339510.52</v>
      </c>
      <c r="C21" s="266">
        <v>2548</v>
      </c>
      <c r="D21" s="267">
        <f t="shared" si="2"/>
        <v>1.0891167097637159E-3</v>
      </c>
      <c r="E21" s="268">
        <v>7765</v>
      </c>
      <c r="F21" s="269">
        <f t="shared" si="0"/>
        <v>3.319070349809754E-3</v>
      </c>
      <c r="G21" s="266">
        <v>2548</v>
      </c>
      <c r="H21" s="269">
        <f t="shared" si="1"/>
        <v>1</v>
      </c>
      <c r="I21" s="270">
        <v>7765</v>
      </c>
      <c r="J21" s="269">
        <f t="shared" si="3"/>
        <v>1</v>
      </c>
      <c r="K21" s="271">
        <v>0</v>
      </c>
      <c r="L21" s="272">
        <f t="shared" si="4"/>
        <v>0</v>
      </c>
      <c r="M21" s="624"/>
      <c r="N21" s="624"/>
      <c r="O21" s="627"/>
    </row>
    <row r="22" spans="1:17" ht="18">
      <c r="A22" s="274">
        <f t="shared" si="5"/>
        <v>46010</v>
      </c>
      <c r="B22" s="266">
        <v>2112449.5500000003</v>
      </c>
      <c r="C22" s="266">
        <v>4872</v>
      </c>
      <c r="D22" s="267">
        <f t="shared" si="2"/>
        <v>2.3063272682654124E-3</v>
      </c>
      <c r="E22" s="268">
        <v>3181</v>
      </c>
      <c r="F22" s="269">
        <f t="shared" si="0"/>
        <v>1.5058347783974294E-3</v>
      </c>
      <c r="G22" s="266">
        <v>4872</v>
      </c>
      <c r="H22" s="269">
        <f t="shared" si="1"/>
        <v>1</v>
      </c>
      <c r="I22" s="270">
        <v>3181</v>
      </c>
      <c r="J22" s="269">
        <f t="shared" si="3"/>
        <v>1</v>
      </c>
      <c r="K22" s="271">
        <v>0</v>
      </c>
      <c r="L22" s="272">
        <f t="shared" si="4"/>
        <v>0</v>
      </c>
      <c r="M22" s="624"/>
      <c r="N22" s="624"/>
      <c r="O22" s="627"/>
      <c r="P22" s="273"/>
    </row>
    <row r="23" spans="1:17" ht="18">
      <c r="A23" s="274">
        <f t="shared" si="5"/>
        <v>46011</v>
      </c>
      <c r="B23" s="266">
        <v>2376517.02</v>
      </c>
      <c r="C23" s="266">
        <v>4116</v>
      </c>
      <c r="D23" s="267">
        <f t="shared" si="2"/>
        <v>1.7319463590460631E-3</v>
      </c>
      <c r="E23" s="268">
        <v>9882</v>
      </c>
      <c r="F23" s="269">
        <f t="shared" si="0"/>
        <v>4.1581860835989302E-3</v>
      </c>
      <c r="G23" s="266">
        <v>4116</v>
      </c>
      <c r="H23" s="269">
        <f t="shared" si="1"/>
        <v>1</v>
      </c>
      <c r="I23" s="270">
        <v>9882</v>
      </c>
      <c r="J23" s="269">
        <f t="shared" si="3"/>
        <v>1</v>
      </c>
      <c r="K23" s="271">
        <v>0</v>
      </c>
      <c r="L23" s="272">
        <f t="shared" si="4"/>
        <v>0</v>
      </c>
      <c r="M23" s="624"/>
      <c r="N23" s="624"/>
      <c r="O23" s="627"/>
    </row>
    <row r="24" spans="1:17" ht="18">
      <c r="A24" s="274">
        <f t="shared" si="5"/>
        <v>46012</v>
      </c>
      <c r="B24" s="266">
        <v>2783602.74</v>
      </c>
      <c r="C24" s="266">
        <v>13150</v>
      </c>
      <c r="D24" s="267">
        <f t="shared" si="2"/>
        <v>4.7240936398848347E-3</v>
      </c>
      <c r="E24" s="268">
        <v>7455</v>
      </c>
      <c r="F24" s="269">
        <f t="shared" si="0"/>
        <v>2.6781838848168398E-3</v>
      </c>
      <c r="G24" s="266">
        <v>13150</v>
      </c>
      <c r="H24" s="269">
        <f t="shared" si="1"/>
        <v>1</v>
      </c>
      <c r="I24" s="270">
        <v>7455</v>
      </c>
      <c r="J24" s="269">
        <f t="shared" si="3"/>
        <v>1</v>
      </c>
      <c r="K24" s="271">
        <v>0</v>
      </c>
      <c r="L24" s="272">
        <f t="shared" si="4"/>
        <v>0</v>
      </c>
      <c r="M24" s="624"/>
      <c r="N24" s="624"/>
      <c r="O24" s="627"/>
    </row>
    <row r="25" spans="1:17" ht="18">
      <c r="A25" s="379">
        <f t="shared" si="5"/>
        <v>46013</v>
      </c>
      <c r="B25" s="276">
        <v>2674350</v>
      </c>
      <c r="C25" s="276">
        <v>10299</v>
      </c>
      <c r="D25" s="277">
        <f t="shared" si="2"/>
        <v>3.851029222053957E-3</v>
      </c>
      <c r="E25" s="282">
        <v>6702</v>
      </c>
      <c r="F25" s="278">
        <f t="shared" si="0"/>
        <v>2.5060295024959336E-3</v>
      </c>
      <c r="G25" s="276">
        <v>10299</v>
      </c>
      <c r="H25" s="278">
        <f t="shared" si="1"/>
        <v>1</v>
      </c>
      <c r="I25" s="283">
        <v>6702</v>
      </c>
      <c r="J25" s="278">
        <f t="shared" si="3"/>
        <v>1</v>
      </c>
      <c r="K25" s="284">
        <v>0</v>
      </c>
      <c r="L25" s="279">
        <f t="shared" si="4"/>
        <v>0</v>
      </c>
      <c r="M25" s="625"/>
      <c r="N25" s="625"/>
      <c r="O25" s="628"/>
    </row>
    <row r="26" spans="1:17" ht="18">
      <c r="A26" s="285">
        <f t="shared" si="5"/>
        <v>46014</v>
      </c>
      <c r="B26" s="259">
        <v>2842340.91</v>
      </c>
      <c r="C26" s="259">
        <v>19604</v>
      </c>
      <c r="D26" s="260">
        <f t="shared" si="2"/>
        <v>6.8971318433438721E-3</v>
      </c>
      <c r="E26" s="261">
        <v>10398</v>
      </c>
      <c r="F26" s="262">
        <f t="shared" si="0"/>
        <v>3.6582522397005501E-3</v>
      </c>
      <c r="G26" s="259">
        <v>19604</v>
      </c>
      <c r="H26" s="262">
        <f t="shared" si="1"/>
        <v>1</v>
      </c>
      <c r="I26" s="263">
        <v>10398</v>
      </c>
      <c r="J26" s="262">
        <f t="shared" si="3"/>
        <v>1</v>
      </c>
      <c r="K26" s="264">
        <v>0</v>
      </c>
      <c r="L26" s="265">
        <f t="shared" si="4"/>
        <v>0</v>
      </c>
      <c r="M26" s="623">
        <f t="shared" ref="M26:N26" si="8">SUM(B26:B32)</f>
        <v>16420357.02</v>
      </c>
      <c r="N26" s="623">
        <f t="shared" si="8"/>
        <v>123143</v>
      </c>
      <c r="O26" s="626">
        <f>SUM(E26:E32)</f>
        <v>46481</v>
      </c>
    </row>
    <row r="27" spans="1:17" ht="18">
      <c r="A27" s="377">
        <f t="shared" si="5"/>
        <v>46015</v>
      </c>
      <c r="B27" s="266">
        <v>1906561.02</v>
      </c>
      <c r="C27" s="266">
        <v>58214</v>
      </c>
      <c r="D27" s="267">
        <f t="shared" si="2"/>
        <v>3.0533510015850425E-2</v>
      </c>
      <c r="E27" s="268">
        <v>9016</v>
      </c>
      <c r="F27" s="269">
        <f t="shared" si="0"/>
        <v>4.7289333545694747E-3</v>
      </c>
      <c r="G27" s="266">
        <v>58214</v>
      </c>
      <c r="H27" s="269">
        <f t="shared" si="1"/>
        <v>1</v>
      </c>
      <c r="I27" s="270">
        <v>9016</v>
      </c>
      <c r="J27" s="269">
        <f t="shared" si="3"/>
        <v>1</v>
      </c>
      <c r="K27" s="271">
        <v>0</v>
      </c>
      <c r="L27" s="272">
        <f t="shared" si="4"/>
        <v>0</v>
      </c>
      <c r="M27" s="624"/>
      <c r="N27" s="624"/>
      <c r="O27" s="627"/>
    </row>
    <row r="28" spans="1:17" ht="18">
      <c r="A28" s="274">
        <f t="shared" si="5"/>
        <v>46016</v>
      </c>
      <c r="B28" s="266">
        <v>2152805.8199999998</v>
      </c>
      <c r="C28" s="266">
        <v>2571</v>
      </c>
      <c r="D28" s="267">
        <f t="shared" si="2"/>
        <v>1.1942554112938993E-3</v>
      </c>
      <c r="E28" s="268">
        <v>1649</v>
      </c>
      <c r="F28" s="269">
        <f t="shared" si="0"/>
        <v>7.6597711910682221E-4</v>
      </c>
      <c r="G28" s="266">
        <v>2571</v>
      </c>
      <c r="H28" s="269">
        <f t="shared" si="1"/>
        <v>1</v>
      </c>
      <c r="I28" s="270">
        <v>1649</v>
      </c>
      <c r="J28" s="269">
        <f t="shared" si="3"/>
        <v>1</v>
      </c>
      <c r="K28" s="271">
        <v>0</v>
      </c>
      <c r="L28" s="272">
        <f t="shared" si="4"/>
        <v>0</v>
      </c>
      <c r="M28" s="624"/>
      <c r="N28" s="624"/>
      <c r="O28" s="627"/>
    </row>
    <row r="29" spans="1:17" ht="18">
      <c r="A29" s="274">
        <f t="shared" si="5"/>
        <v>46017</v>
      </c>
      <c r="B29" s="266">
        <v>2059678.89</v>
      </c>
      <c r="C29" s="266">
        <v>13090</v>
      </c>
      <c r="D29" s="267">
        <f t="shared" si="2"/>
        <v>6.3553595968544397E-3</v>
      </c>
      <c r="E29" s="268">
        <v>3678</v>
      </c>
      <c r="F29" s="269">
        <f t="shared" si="0"/>
        <v>1.7857152480695668E-3</v>
      </c>
      <c r="G29" s="266">
        <v>13090</v>
      </c>
      <c r="H29" s="269">
        <f t="shared" si="1"/>
        <v>1</v>
      </c>
      <c r="I29" s="270">
        <v>3678</v>
      </c>
      <c r="J29" s="269">
        <f t="shared" si="3"/>
        <v>1</v>
      </c>
      <c r="K29" s="271">
        <v>0</v>
      </c>
      <c r="L29" s="272">
        <f t="shared" si="4"/>
        <v>0</v>
      </c>
      <c r="M29" s="624"/>
      <c r="N29" s="624"/>
      <c r="O29" s="627"/>
      <c r="P29" s="273"/>
    </row>
    <row r="30" spans="1:17" ht="18">
      <c r="A30" s="274">
        <f t="shared" si="5"/>
        <v>46018</v>
      </c>
      <c r="B30" s="266">
        <v>2208752.25</v>
      </c>
      <c r="C30" s="266">
        <v>7749</v>
      </c>
      <c r="D30" s="267">
        <f t="shared" si="2"/>
        <v>3.508315611223486E-3</v>
      </c>
      <c r="E30" s="268">
        <v>7291</v>
      </c>
      <c r="F30" s="269">
        <f t="shared" si="0"/>
        <v>3.3009587200194136E-3</v>
      </c>
      <c r="G30" s="266">
        <v>7749</v>
      </c>
      <c r="H30" s="269">
        <f t="shared" si="1"/>
        <v>1</v>
      </c>
      <c r="I30" s="270">
        <v>7291</v>
      </c>
      <c r="J30" s="269">
        <f t="shared" si="3"/>
        <v>1</v>
      </c>
      <c r="K30" s="271">
        <v>0</v>
      </c>
      <c r="L30" s="272">
        <f t="shared" si="4"/>
        <v>0</v>
      </c>
      <c r="M30" s="624"/>
      <c r="N30" s="624"/>
      <c r="O30" s="627"/>
    </row>
    <row r="31" spans="1:17" ht="18">
      <c r="A31" s="274">
        <f t="shared" si="5"/>
        <v>46019</v>
      </c>
      <c r="B31" s="266">
        <v>2697830.95</v>
      </c>
      <c r="C31" s="266">
        <v>16893</v>
      </c>
      <c r="D31" s="267">
        <f t="shared" si="2"/>
        <v>6.2616970125574396E-3</v>
      </c>
      <c r="E31" s="268">
        <v>4559</v>
      </c>
      <c r="F31" s="269">
        <f t="shared" si="0"/>
        <v>1.6898760835996783E-3</v>
      </c>
      <c r="G31" s="266">
        <v>16893</v>
      </c>
      <c r="H31" s="269">
        <f t="shared" si="1"/>
        <v>1</v>
      </c>
      <c r="I31" s="270">
        <v>4559</v>
      </c>
      <c r="J31" s="269">
        <f t="shared" si="3"/>
        <v>1</v>
      </c>
      <c r="K31" s="271">
        <v>0</v>
      </c>
      <c r="L31" s="272">
        <f t="shared" si="4"/>
        <v>0</v>
      </c>
      <c r="M31" s="624"/>
      <c r="N31" s="624"/>
      <c r="O31" s="627"/>
    </row>
    <row r="32" spans="1:17" ht="18">
      <c r="A32" s="379">
        <f t="shared" si="5"/>
        <v>46020</v>
      </c>
      <c r="B32" s="276">
        <v>2552387.1800000002</v>
      </c>
      <c r="C32" s="276">
        <v>5022</v>
      </c>
      <c r="D32" s="277">
        <f t="shared" si="2"/>
        <v>1.9675698261421293E-3</v>
      </c>
      <c r="E32" s="282">
        <v>9890</v>
      </c>
      <c r="F32" s="278">
        <f t="shared" si="0"/>
        <v>3.8748039786032774E-3</v>
      </c>
      <c r="G32" s="276">
        <v>5022</v>
      </c>
      <c r="H32" s="278">
        <f t="shared" si="1"/>
        <v>1</v>
      </c>
      <c r="I32" s="283">
        <v>9890</v>
      </c>
      <c r="J32" s="278">
        <f t="shared" si="3"/>
        <v>1</v>
      </c>
      <c r="K32" s="284">
        <v>0</v>
      </c>
      <c r="L32" s="279">
        <f t="shared" si="4"/>
        <v>0</v>
      </c>
      <c r="M32" s="625"/>
      <c r="N32" s="625"/>
      <c r="O32" s="628"/>
    </row>
    <row r="33" spans="1:15" ht="18">
      <c r="A33" s="378">
        <f t="shared" si="5"/>
        <v>46021</v>
      </c>
      <c r="B33" s="286"/>
      <c r="C33" s="286"/>
      <c r="D33" s="287" t="e">
        <f t="shared" si="2"/>
        <v>#DIV/0!</v>
      </c>
      <c r="E33" s="288"/>
      <c r="F33" s="289" t="e">
        <f t="shared" si="0"/>
        <v>#DIV/0!</v>
      </c>
      <c r="G33" s="286"/>
      <c r="H33" s="289" t="e">
        <f t="shared" si="1"/>
        <v>#DIV/0!</v>
      </c>
      <c r="I33" s="290"/>
      <c r="J33" s="289" t="e">
        <f t="shared" si="3"/>
        <v>#DIV/0!</v>
      </c>
      <c r="K33" s="291">
        <v>0</v>
      </c>
      <c r="L33" s="292" t="e">
        <f t="shared" si="4"/>
        <v>#DIV/0!</v>
      </c>
      <c r="M33" s="375"/>
      <c r="N33" s="375"/>
      <c r="O33" s="384"/>
    </row>
    <row r="34" spans="1:15" ht="18">
      <c r="A34" s="275">
        <f t="shared" si="5"/>
        <v>46022</v>
      </c>
      <c r="B34" s="276"/>
      <c r="C34" s="276"/>
      <c r="D34" s="277" t="e">
        <f t="shared" si="2"/>
        <v>#DIV/0!</v>
      </c>
      <c r="E34" s="282"/>
      <c r="F34" s="278" t="e">
        <f t="shared" si="0"/>
        <v>#DIV/0!</v>
      </c>
      <c r="G34" s="276"/>
      <c r="H34" s="278" t="e">
        <f t="shared" si="1"/>
        <v>#DIV/0!</v>
      </c>
      <c r="I34" s="283"/>
      <c r="J34" s="278" t="e">
        <f t="shared" si="3"/>
        <v>#DIV/0!</v>
      </c>
      <c r="K34" s="284"/>
      <c r="L34" s="279" t="e">
        <f t="shared" si="4"/>
        <v>#DIV/0!</v>
      </c>
      <c r="M34" s="376"/>
      <c r="N34" s="376"/>
      <c r="O34" s="385"/>
    </row>
    <row r="35" spans="1:15" ht="18">
      <c r="A35" s="326" t="s">
        <v>229</v>
      </c>
      <c r="B35" s="286">
        <f>AVERAGE(B4:B34)</f>
        <v>2372136.2603448285</v>
      </c>
      <c r="C35" s="286">
        <f>AVERAGE(C4:C34)</f>
        <v>9028.8275862068967</v>
      </c>
      <c r="D35" s="287">
        <f>C35/B35</f>
        <v>3.8062010758582688E-3</v>
      </c>
      <c r="E35" s="288">
        <f>AVERAGE(E4:E34)</f>
        <v>6323.0689655172409</v>
      </c>
      <c r="F35" s="327">
        <f>E35/B35</f>
        <v>2.6655589188616341E-3</v>
      </c>
      <c r="G35" s="286">
        <f>AVERAGE(G4:G34)</f>
        <v>9028.8275862068967</v>
      </c>
      <c r="H35" s="289">
        <f>G35/C35</f>
        <v>1</v>
      </c>
      <c r="I35" s="290">
        <f>AVERAGE(I4:I34)</f>
        <v>6323.0689655172409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">
      <c r="A36" s="294" t="s">
        <v>98</v>
      </c>
      <c r="B36" s="266">
        <f>SUM(B4:B34)</f>
        <v>68791951.550000027</v>
      </c>
      <c r="C36" s="266">
        <f>SUM(C4:C34)</f>
        <v>261836</v>
      </c>
      <c r="D36" s="267">
        <f>C36/B36</f>
        <v>3.8062010758582688E-3</v>
      </c>
      <c r="E36" s="268">
        <f>SUM(E4:E34)</f>
        <v>183369</v>
      </c>
      <c r="F36" s="295">
        <f>E36/B36</f>
        <v>2.6655589188616345E-3</v>
      </c>
      <c r="G36" s="266">
        <f>SUM(G4:G34)</f>
        <v>261836</v>
      </c>
      <c r="H36" s="269">
        <f>G36/C36</f>
        <v>1</v>
      </c>
      <c r="I36" s="270">
        <f>SUM(I4:I34)</f>
        <v>183369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5.5">
      <c r="A37" s="629"/>
      <c r="B37" s="629"/>
      <c r="C37" s="629"/>
      <c r="D37" s="629"/>
      <c r="E37" s="629"/>
      <c r="F37" s="296"/>
      <c r="G37" s="296"/>
      <c r="H37" s="296"/>
      <c r="I37" s="296"/>
      <c r="J37" s="296"/>
      <c r="K37" s="296"/>
      <c r="L37" s="296"/>
      <c r="M37" s="296"/>
    </row>
    <row r="38" spans="1:15" ht="25.5">
      <c r="A38" s="629"/>
      <c r="B38" s="629"/>
      <c r="C38" s="629"/>
      <c r="D38" s="629"/>
      <c r="E38" s="629"/>
      <c r="F38" s="296"/>
      <c r="G38" s="296"/>
      <c r="H38" s="296"/>
      <c r="I38" s="296"/>
      <c r="J38" s="296"/>
      <c r="K38" s="296"/>
      <c r="L38" s="296"/>
      <c r="M38" s="296"/>
    </row>
    <row r="39" spans="1:15" ht="18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9" width="12.54296875" style="2" customWidth="1"/>
    <col min="10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230</v>
      </c>
      <c r="C2" s="47" t="s">
        <v>231</v>
      </c>
      <c r="D2" s="5" t="s">
        <v>232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233</v>
      </c>
      <c r="B4" s="67"/>
      <c r="C4" s="67"/>
      <c r="D4" s="67"/>
      <c r="E4" s="61" t="s">
        <v>234</v>
      </c>
      <c r="G4" s="60" t="s">
        <v>20</v>
      </c>
      <c r="H4" s="67"/>
      <c r="I4" s="67"/>
      <c r="J4" s="67"/>
      <c r="K4" s="67"/>
      <c r="M4" s="60" t="s">
        <v>235</v>
      </c>
      <c r="N4" s="67"/>
      <c r="O4" s="67"/>
      <c r="P4" s="67"/>
      <c r="Q4" s="67"/>
      <c r="R4" s="67"/>
      <c r="S4" s="60" t="s">
        <v>236</v>
      </c>
      <c r="T4" s="67"/>
      <c r="U4" s="67"/>
      <c r="V4" s="67"/>
      <c r="W4" s="67"/>
    </row>
    <row r="5" spans="1:23" ht="15.75" customHeight="1">
      <c r="A5" s="7"/>
      <c r="B5" s="49" t="s">
        <v>237</v>
      </c>
      <c r="C5" s="7" t="s">
        <v>238</v>
      </c>
      <c r="D5" s="7" t="s">
        <v>144</v>
      </c>
      <c r="E5" s="7" t="s">
        <v>239</v>
      </c>
      <c r="G5" s="7"/>
      <c r="H5" s="49" t="s">
        <v>240</v>
      </c>
      <c r="I5" s="49" t="s">
        <v>237</v>
      </c>
      <c r="J5" s="49" t="s">
        <v>238</v>
      </c>
      <c r="K5" s="7" t="s">
        <v>239</v>
      </c>
      <c r="L5" s="62" t="s">
        <v>241</v>
      </c>
      <c r="M5" s="7"/>
      <c r="N5" s="49" t="s">
        <v>237</v>
      </c>
      <c r="O5" s="49" t="s">
        <v>104</v>
      </c>
      <c r="P5" s="49" t="s">
        <v>238</v>
      </c>
      <c r="Q5" s="49" t="s">
        <v>144</v>
      </c>
      <c r="R5" s="67"/>
      <c r="S5" s="7"/>
      <c r="T5" s="49" t="s">
        <v>237</v>
      </c>
      <c r="U5" s="49" t="s">
        <v>104</v>
      </c>
      <c r="V5" s="49" t="s">
        <v>238</v>
      </c>
      <c r="W5" s="49" t="s">
        <v>144</v>
      </c>
    </row>
    <row r="6" spans="1:23" ht="15.75" customHeight="1">
      <c r="A6" s="49" t="s">
        <v>95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242</v>
      </c>
      <c r="H6" s="11">
        <v>110</v>
      </c>
      <c r="I6" s="11">
        <v>100</v>
      </c>
      <c r="J6" s="11">
        <v>90</v>
      </c>
      <c r="K6" s="12"/>
      <c r="L6" s="62" t="s">
        <v>243</v>
      </c>
      <c r="M6" s="49" t="s">
        <v>244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244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246</v>
      </c>
      <c r="H7" s="14">
        <v>0.8</v>
      </c>
      <c r="I7" s="14">
        <v>0.85</v>
      </c>
      <c r="J7" s="14">
        <v>0.81</v>
      </c>
      <c r="K7" s="14">
        <v>0.84</v>
      </c>
      <c r="L7" s="66" t="s">
        <v>247</v>
      </c>
      <c r="M7" s="49" t="s">
        <v>248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248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249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117</v>
      </c>
      <c r="M8" s="49" t="s">
        <v>251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251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252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253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134</v>
      </c>
      <c r="M9" s="49" t="s">
        <v>254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255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256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257</v>
      </c>
      <c r="M10" s="49" t="s">
        <v>258</v>
      </c>
      <c r="N10" s="9" t="s">
        <v>259</v>
      </c>
      <c r="O10" s="13" t="str">
        <f t="shared" si="1"/>
        <v/>
      </c>
      <c r="P10" s="4" t="s">
        <v>260</v>
      </c>
      <c r="Q10" s="13" t="str">
        <f t="shared" si="2"/>
        <v/>
      </c>
      <c r="S10" s="49" t="s">
        <v>258</v>
      </c>
      <c r="T10" s="9" t="s">
        <v>259</v>
      </c>
      <c r="U10" s="13" t="str">
        <f t="shared" si="3"/>
        <v/>
      </c>
      <c r="V10" s="4" t="s">
        <v>260</v>
      </c>
      <c r="W10" s="13" t="str">
        <f t="shared" si="4"/>
        <v/>
      </c>
    </row>
    <row r="11" spans="1:23" ht="15.75" customHeight="1">
      <c r="A11" s="49" t="s">
        <v>261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262</v>
      </c>
      <c r="H11" s="14">
        <v>0.8</v>
      </c>
      <c r="I11" s="14">
        <v>0.85</v>
      </c>
      <c r="J11" s="14">
        <v>1</v>
      </c>
      <c r="K11" s="14">
        <v>0.92</v>
      </c>
      <c r="L11" s="62" t="s">
        <v>263</v>
      </c>
      <c r="M11" s="49" t="s">
        <v>264</v>
      </c>
      <c r="N11" s="9" t="s">
        <v>259</v>
      </c>
      <c r="O11" s="13" t="str">
        <f t="shared" si="1"/>
        <v/>
      </c>
      <c r="P11" s="4" t="s">
        <v>260</v>
      </c>
      <c r="Q11" s="13" t="str">
        <f t="shared" si="2"/>
        <v/>
      </c>
      <c r="S11" s="49" t="s">
        <v>264</v>
      </c>
      <c r="T11" s="9" t="s">
        <v>259</v>
      </c>
      <c r="U11" s="13" t="str">
        <f t="shared" si="3"/>
        <v/>
      </c>
      <c r="V11" s="4" t="s">
        <v>260</v>
      </c>
      <c r="W11" s="13" t="str">
        <f t="shared" si="4"/>
        <v/>
      </c>
    </row>
    <row r="12" spans="1:23" ht="15.75" customHeight="1">
      <c r="M12" s="49" t="s">
        <v>265</v>
      </c>
      <c r="N12" s="9" t="s">
        <v>259</v>
      </c>
      <c r="O12" s="13" t="str">
        <f t="shared" si="1"/>
        <v/>
      </c>
      <c r="P12" s="4" t="s">
        <v>260</v>
      </c>
      <c r="Q12" s="13" t="str">
        <f t="shared" si="2"/>
        <v/>
      </c>
      <c r="S12" s="49" t="s">
        <v>265</v>
      </c>
      <c r="T12" s="9" t="s">
        <v>259</v>
      </c>
      <c r="U12" s="13" t="str">
        <f t="shared" si="3"/>
        <v/>
      </c>
      <c r="V12" s="4" t="s">
        <v>260</v>
      </c>
      <c r="W12" s="13" t="str">
        <f t="shared" si="4"/>
        <v/>
      </c>
    </row>
    <row r="13" spans="1:23" ht="15.75" customHeight="1">
      <c r="A13" s="60" t="s">
        <v>266</v>
      </c>
      <c r="B13" s="67"/>
      <c r="C13" s="67"/>
      <c r="D13" s="67"/>
      <c r="E13" s="67"/>
      <c r="F13" s="67"/>
      <c r="M13" s="49" t="s">
        <v>267</v>
      </c>
      <c r="N13" s="9" t="s">
        <v>259</v>
      </c>
      <c r="O13" s="13" t="str">
        <f t="shared" si="1"/>
        <v/>
      </c>
      <c r="P13" s="4" t="s">
        <v>260</v>
      </c>
      <c r="Q13" s="13" t="str">
        <f t="shared" si="2"/>
        <v/>
      </c>
      <c r="S13" s="49" t="s">
        <v>267</v>
      </c>
      <c r="T13" s="9" t="s">
        <v>259</v>
      </c>
      <c r="U13" s="13" t="str">
        <f t="shared" si="3"/>
        <v/>
      </c>
      <c r="V13" s="4" t="s">
        <v>260</v>
      </c>
      <c r="W13" s="13" t="str">
        <f t="shared" si="4"/>
        <v/>
      </c>
    </row>
    <row r="14" spans="1:23" ht="12.5">
      <c r="A14" s="7"/>
      <c r="B14" s="49" t="s">
        <v>237</v>
      </c>
      <c r="C14" s="7" t="s">
        <v>238</v>
      </c>
      <c r="D14" s="7" t="s">
        <v>144</v>
      </c>
      <c r="E14" s="7" t="s">
        <v>239</v>
      </c>
      <c r="F14" s="67"/>
      <c r="G14" s="7"/>
      <c r="H14" s="49" t="s">
        <v>237</v>
      </c>
      <c r="I14" s="7" t="s">
        <v>238</v>
      </c>
      <c r="J14" s="7" t="s">
        <v>144</v>
      </c>
      <c r="K14" s="7" t="s">
        <v>239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244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258</v>
      </c>
      <c r="H15" s="4"/>
      <c r="I15" s="4"/>
      <c r="J15" s="16">
        <f>H15-I15</f>
        <v>0</v>
      </c>
      <c r="K15" s="17"/>
      <c r="M15" s="60" t="s">
        <v>268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248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264</v>
      </c>
      <c r="H16" s="4"/>
      <c r="I16" s="4"/>
      <c r="J16" s="16">
        <f>H16-I16</f>
        <v>0</v>
      </c>
      <c r="K16" s="17"/>
      <c r="M16" s="18"/>
      <c r="N16" s="46" t="s">
        <v>98</v>
      </c>
      <c r="O16" s="19"/>
      <c r="P16" s="58" t="s">
        <v>145</v>
      </c>
      <c r="Q16" s="19"/>
      <c r="R16" s="51" t="s">
        <v>269</v>
      </c>
      <c r="S16" s="19"/>
    </row>
    <row r="17" spans="1:27" ht="15.75" customHeight="1">
      <c r="A17" s="49" t="s">
        <v>251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265</v>
      </c>
      <c r="H17" s="4"/>
      <c r="I17" s="4"/>
      <c r="J17" s="16">
        <f>H17-I17</f>
        <v>0</v>
      </c>
      <c r="K17" s="17"/>
      <c r="M17" s="20"/>
      <c r="N17" s="21" t="s">
        <v>103</v>
      </c>
      <c r="O17" s="50" t="s">
        <v>104</v>
      </c>
      <c r="P17" s="8" t="s">
        <v>103</v>
      </c>
      <c r="Q17" s="50" t="s">
        <v>104</v>
      </c>
      <c r="R17" s="8" t="s">
        <v>103</v>
      </c>
      <c r="S17" s="50" t="s">
        <v>104</v>
      </c>
    </row>
    <row r="18" spans="1:27" ht="15.75" customHeight="1">
      <c r="A18" s="49" t="s">
        <v>254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267</v>
      </c>
      <c r="H18" s="4"/>
      <c r="I18" s="4"/>
      <c r="J18" s="16">
        <f>H18-I18</f>
        <v>0</v>
      </c>
      <c r="K18" s="17"/>
      <c r="M18" s="49" t="s">
        <v>250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253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270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51</v>
      </c>
      <c r="C21" s="652" t="s">
        <v>68</v>
      </c>
      <c r="D21" s="642"/>
      <c r="E21" s="643"/>
      <c r="F21" s="49" t="s">
        <v>56</v>
      </c>
      <c r="G21" s="49" t="s">
        <v>271</v>
      </c>
      <c r="H21" s="49" t="s">
        <v>272</v>
      </c>
      <c r="I21" s="8" t="s">
        <v>71</v>
      </c>
      <c r="J21" s="656" t="s">
        <v>72</v>
      </c>
      <c r="K21" s="643"/>
      <c r="M21" s="60" t="s">
        <v>111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244</v>
      </c>
      <c r="B22" s="6">
        <v>1</v>
      </c>
      <c r="C22" s="579" t="s">
        <v>273</v>
      </c>
      <c r="D22" s="642"/>
      <c r="E22" s="643"/>
      <c r="F22" s="4">
        <v>3</v>
      </c>
      <c r="G22" s="4">
        <v>3000</v>
      </c>
      <c r="H22" s="4">
        <v>1000</v>
      </c>
      <c r="I22" s="4">
        <v>10</v>
      </c>
      <c r="J22" s="653" t="s">
        <v>274</v>
      </c>
      <c r="K22" s="643"/>
      <c r="M22" s="52" t="s">
        <v>250</v>
      </c>
      <c r="N22" s="57" t="s">
        <v>51</v>
      </c>
      <c r="O22" s="657" t="s">
        <v>68</v>
      </c>
      <c r="P22" s="642"/>
      <c r="Q22" s="643"/>
      <c r="R22" s="658" t="s">
        <v>115</v>
      </c>
      <c r="S22" s="642"/>
      <c r="T22" s="643"/>
      <c r="U22" s="57" t="s">
        <v>116</v>
      </c>
      <c r="V22" s="57" t="s">
        <v>117</v>
      </c>
      <c r="W22" s="57" t="s">
        <v>118</v>
      </c>
      <c r="X22" s="8" t="s">
        <v>103</v>
      </c>
      <c r="Y22" s="8" t="s">
        <v>71</v>
      </c>
      <c r="Z22" s="656" t="s">
        <v>72</v>
      </c>
      <c r="AA22" s="643"/>
    </row>
    <row r="23" spans="1:27" ht="15.75" customHeight="1">
      <c r="A23" s="23"/>
      <c r="B23" s="6">
        <v>2</v>
      </c>
      <c r="C23" s="646"/>
      <c r="D23" s="642"/>
      <c r="E23" s="643"/>
      <c r="F23" s="4"/>
      <c r="G23" s="4"/>
      <c r="H23" s="4"/>
      <c r="I23" s="4"/>
      <c r="J23" s="646"/>
      <c r="K23" s="643"/>
      <c r="M23" s="56" t="s">
        <v>145</v>
      </c>
      <c r="N23" s="24">
        <v>1</v>
      </c>
      <c r="O23" s="653" t="s">
        <v>275</v>
      </c>
      <c r="P23" s="642"/>
      <c r="Q23" s="643"/>
      <c r="R23" s="653" t="s">
        <v>276</v>
      </c>
      <c r="S23" s="642"/>
      <c r="T23" s="64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3" t="s">
        <v>277</v>
      </c>
      <c r="AA23" s="643"/>
    </row>
    <row r="24" spans="1:27" ht="15.75" customHeight="1">
      <c r="A24" s="23"/>
      <c r="B24" s="6">
        <v>3</v>
      </c>
      <c r="C24" s="646"/>
      <c r="D24" s="642"/>
      <c r="E24" s="643"/>
      <c r="F24" s="4"/>
      <c r="G24" s="4"/>
      <c r="H24" s="4"/>
      <c r="I24" s="4"/>
      <c r="J24" s="646"/>
      <c r="K24" s="643"/>
      <c r="M24" s="25"/>
      <c r="N24" s="24">
        <v>2</v>
      </c>
      <c r="O24" s="579"/>
      <c r="P24" s="642"/>
      <c r="Q24" s="643"/>
      <c r="R24" s="579"/>
      <c r="S24" s="642"/>
      <c r="T24" s="643"/>
      <c r="U24" s="4"/>
      <c r="V24" s="14"/>
      <c r="W24" s="4"/>
      <c r="X24" s="16">
        <f>W24*U24</f>
        <v>0</v>
      </c>
      <c r="Y24" s="4"/>
      <c r="Z24" s="579"/>
      <c r="AA24" s="643"/>
    </row>
    <row r="25" spans="1:27" ht="15.75" customHeight="1">
      <c r="A25" s="23"/>
      <c r="B25" s="6">
        <v>4</v>
      </c>
      <c r="C25" s="646"/>
      <c r="D25" s="642"/>
      <c r="E25" s="643"/>
      <c r="F25" s="4"/>
      <c r="G25" s="4"/>
      <c r="H25" s="4"/>
      <c r="I25" s="4"/>
      <c r="J25" s="646"/>
      <c r="K25" s="643"/>
      <c r="M25" s="25"/>
      <c r="N25" s="24">
        <v>3</v>
      </c>
      <c r="O25" s="579"/>
      <c r="P25" s="642"/>
      <c r="Q25" s="643"/>
      <c r="R25" s="579"/>
      <c r="S25" s="642"/>
      <c r="T25" s="643"/>
      <c r="U25" s="4"/>
      <c r="V25" s="14"/>
      <c r="W25" s="4"/>
      <c r="X25" s="16">
        <f>W25*U25</f>
        <v>0</v>
      </c>
      <c r="Y25" s="4"/>
      <c r="Z25" s="579"/>
      <c r="AA25" s="643"/>
    </row>
    <row r="26" spans="1:27" ht="15.75" customHeight="1">
      <c r="A26" s="23"/>
      <c r="B26" s="26">
        <v>5</v>
      </c>
      <c r="C26" s="660"/>
      <c r="D26" s="648"/>
      <c r="E26" s="649"/>
      <c r="F26" s="27"/>
      <c r="G26" s="27"/>
      <c r="H26" s="27"/>
      <c r="I26" s="27"/>
      <c r="J26" s="660"/>
      <c r="K26" s="649"/>
      <c r="M26" s="25"/>
      <c r="N26" s="24">
        <v>4</v>
      </c>
      <c r="O26" s="579"/>
      <c r="P26" s="642"/>
      <c r="Q26" s="643"/>
      <c r="R26" s="579"/>
      <c r="S26" s="642"/>
      <c r="T26" s="643"/>
      <c r="U26" s="4"/>
      <c r="V26" s="14"/>
      <c r="W26" s="4"/>
      <c r="X26" s="16">
        <f>W26*U26</f>
        <v>0</v>
      </c>
      <c r="Y26" s="4"/>
      <c r="Z26" s="579"/>
      <c r="AA26" s="643"/>
    </row>
    <row r="27" spans="1:27" ht="15.75" customHeight="1">
      <c r="A27" s="23"/>
      <c r="B27" s="69" t="s">
        <v>278</v>
      </c>
      <c r="C27" s="644" t="s">
        <v>279</v>
      </c>
      <c r="D27" s="654"/>
      <c r="E27" s="645"/>
      <c r="F27" s="28">
        <v>4</v>
      </c>
      <c r="G27" s="28">
        <v>2800</v>
      </c>
      <c r="H27" s="28">
        <v>700</v>
      </c>
      <c r="I27" s="28" t="s">
        <v>280</v>
      </c>
      <c r="J27" s="644" t="s">
        <v>281</v>
      </c>
      <c r="K27" s="645"/>
      <c r="M27" s="25"/>
      <c r="N27" s="29">
        <v>5</v>
      </c>
      <c r="O27" s="580"/>
      <c r="P27" s="648"/>
      <c r="Q27" s="649"/>
      <c r="R27" s="580"/>
      <c r="S27" s="648"/>
      <c r="T27" s="649"/>
      <c r="U27" s="27"/>
      <c r="V27" s="30"/>
      <c r="W27" s="27"/>
      <c r="X27" s="31">
        <f>W27*U27</f>
        <v>0</v>
      </c>
      <c r="Y27" s="4"/>
      <c r="Z27" s="580"/>
      <c r="AA27" s="649"/>
    </row>
    <row r="28" spans="1:27" ht="15.75" customHeight="1">
      <c r="A28" s="23"/>
      <c r="B28" s="70" t="s">
        <v>282</v>
      </c>
      <c r="C28" s="646"/>
      <c r="D28" s="642"/>
      <c r="E28" s="643"/>
      <c r="F28" s="4"/>
      <c r="G28" s="4"/>
      <c r="H28" s="4"/>
      <c r="I28" s="4"/>
      <c r="J28" s="646"/>
      <c r="K28" s="643"/>
      <c r="M28" s="32"/>
      <c r="N28" s="55"/>
      <c r="O28" s="647"/>
      <c r="P28" s="642"/>
      <c r="Q28" s="642"/>
      <c r="R28" s="647"/>
      <c r="S28" s="642"/>
      <c r="T28" s="642"/>
      <c r="U28" s="59" t="s">
        <v>124</v>
      </c>
      <c r="V28" s="33">
        <f>X28/N18</f>
        <v>8.3333333333333329E-2</v>
      </c>
      <c r="W28" s="59" t="s">
        <v>125</v>
      </c>
      <c r="X28" s="34">
        <f>SUM(X23:X27)</f>
        <v>100</v>
      </c>
      <c r="Y28" s="45"/>
      <c r="Z28" s="647"/>
      <c r="AA28" s="643"/>
    </row>
    <row r="29" spans="1:27" ht="15.75" customHeight="1">
      <c r="A29" s="23"/>
      <c r="B29" s="70" t="s">
        <v>283</v>
      </c>
      <c r="C29" s="646"/>
      <c r="D29" s="642"/>
      <c r="E29" s="643"/>
      <c r="F29" s="4"/>
      <c r="G29" s="4"/>
      <c r="H29" s="4"/>
      <c r="I29" s="4"/>
      <c r="J29" s="646"/>
      <c r="K29" s="643"/>
      <c r="M29" s="56" t="s">
        <v>269</v>
      </c>
      <c r="N29" s="24">
        <v>1</v>
      </c>
      <c r="O29" s="659" t="s">
        <v>284</v>
      </c>
      <c r="P29" s="655"/>
      <c r="Q29" s="651"/>
      <c r="R29" s="650" t="s">
        <v>285</v>
      </c>
      <c r="S29" s="655"/>
      <c r="T29" s="65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0" t="s">
        <v>286</v>
      </c>
      <c r="AA29" s="651"/>
    </row>
    <row r="30" spans="1:27" ht="15.75" customHeight="1">
      <c r="A30" s="23"/>
      <c r="B30" s="70" t="s">
        <v>287</v>
      </c>
      <c r="C30" s="646"/>
      <c r="D30" s="642"/>
      <c r="E30" s="643"/>
      <c r="F30" s="4"/>
      <c r="G30" s="4"/>
      <c r="H30" s="4"/>
      <c r="I30" s="4"/>
      <c r="J30" s="646"/>
      <c r="K30" s="643"/>
      <c r="M30" s="25"/>
      <c r="N30" s="24">
        <v>2</v>
      </c>
      <c r="O30" s="579"/>
      <c r="P30" s="642"/>
      <c r="Q30" s="643"/>
      <c r="R30" s="579"/>
      <c r="S30" s="642"/>
      <c r="T30" s="643"/>
      <c r="U30" s="4"/>
      <c r="V30" s="14"/>
      <c r="W30" s="4"/>
      <c r="X30" s="16">
        <f>W30*U30</f>
        <v>0</v>
      </c>
      <c r="Y30" s="4"/>
      <c r="Z30" s="579"/>
      <c r="AA30" s="643"/>
    </row>
    <row r="31" spans="1:27" ht="15.75" customHeight="1">
      <c r="A31" s="20"/>
      <c r="B31" s="70" t="s">
        <v>288</v>
      </c>
      <c r="C31" s="646"/>
      <c r="D31" s="642"/>
      <c r="E31" s="643"/>
      <c r="F31" s="4"/>
      <c r="G31" s="4"/>
      <c r="H31" s="4"/>
      <c r="I31" s="4"/>
      <c r="J31" s="646"/>
      <c r="K31" s="643"/>
      <c r="M31" s="25"/>
      <c r="N31" s="24">
        <v>3</v>
      </c>
      <c r="O31" s="579"/>
      <c r="P31" s="642"/>
      <c r="Q31" s="643"/>
      <c r="R31" s="579"/>
      <c r="S31" s="642"/>
      <c r="T31" s="643"/>
      <c r="U31" s="4"/>
      <c r="V31" s="14"/>
      <c r="W31" s="4"/>
      <c r="X31" s="16">
        <f>W31*U31</f>
        <v>0</v>
      </c>
      <c r="Y31" s="4"/>
      <c r="Z31" s="579"/>
      <c r="AA31" s="643"/>
    </row>
    <row r="32" spans="1:27" ht="15.75" customHeight="1">
      <c r="A32" s="67"/>
      <c r="M32" s="25"/>
      <c r="N32" s="24">
        <v>4</v>
      </c>
      <c r="O32" s="579"/>
      <c r="P32" s="642"/>
      <c r="Q32" s="643"/>
      <c r="R32" s="579"/>
      <c r="S32" s="642"/>
      <c r="T32" s="643"/>
      <c r="U32" s="4"/>
      <c r="V32" s="14"/>
      <c r="W32" s="4"/>
      <c r="X32" s="16">
        <f>W32*U32</f>
        <v>0</v>
      </c>
      <c r="Y32" s="4"/>
      <c r="Z32" s="579"/>
      <c r="AA32" s="643"/>
    </row>
    <row r="33" spans="1:27" ht="15.75" customHeight="1">
      <c r="A33" s="18"/>
      <c r="B33" s="49" t="s">
        <v>51</v>
      </c>
      <c r="C33" s="652" t="s">
        <v>68</v>
      </c>
      <c r="D33" s="642"/>
      <c r="E33" s="643"/>
      <c r="F33" s="49" t="s">
        <v>56</v>
      </c>
      <c r="G33" s="49" t="s">
        <v>271</v>
      </c>
      <c r="H33" s="49" t="s">
        <v>272</v>
      </c>
      <c r="I33" s="8" t="s">
        <v>71</v>
      </c>
      <c r="J33" s="656" t="s">
        <v>72</v>
      </c>
      <c r="K33" s="643"/>
      <c r="M33" s="25"/>
      <c r="N33" s="29">
        <v>5</v>
      </c>
      <c r="O33" s="579"/>
      <c r="P33" s="642"/>
      <c r="Q33" s="643"/>
      <c r="R33" s="579"/>
      <c r="S33" s="642"/>
      <c r="T33" s="643"/>
      <c r="U33" s="27"/>
      <c r="V33" s="30"/>
      <c r="W33" s="27"/>
      <c r="X33" s="31">
        <f>W33*U33</f>
        <v>0</v>
      </c>
      <c r="Y33" s="4"/>
      <c r="Z33" s="579"/>
      <c r="AA33" s="643"/>
    </row>
    <row r="34" spans="1:27" ht="15.75" customHeight="1">
      <c r="A34" s="52" t="s">
        <v>248</v>
      </c>
      <c r="B34" s="6">
        <v>1</v>
      </c>
      <c r="C34" s="653" t="s">
        <v>289</v>
      </c>
      <c r="D34" s="642"/>
      <c r="E34" s="643"/>
      <c r="F34" s="4">
        <v>3</v>
      </c>
      <c r="G34" s="4">
        <v>2500</v>
      </c>
      <c r="H34" s="4">
        <v>833.33</v>
      </c>
      <c r="I34" s="4">
        <v>20</v>
      </c>
      <c r="J34" s="653" t="s">
        <v>290</v>
      </c>
      <c r="K34" s="643"/>
      <c r="M34" s="68"/>
      <c r="N34" s="45"/>
      <c r="O34" s="647"/>
      <c r="P34" s="642"/>
      <c r="Q34" s="642"/>
      <c r="R34" s="647"/>
      <c r="S34" s="642"/>
      <c r="T34" s="642"/>
      <c r="U34" s="59" t="s">
        <v>124</v>
      </c>
      <c r="V34" s="33">
        <f>X34/N18</f>
        <v>0.23125000000000001</v>
      </c>
      <c r="W34" s="59" t="s">
        <v>125</v>
      </c>
      <c r="X34" s="34">
        <f>SUM(X29:X33)</f>
        <v>277.5</v>
      </c>
      <c r="Y34" s="45"/>
      <c r="Z34" s="647"/>
      <c r="AA34" s="643"/>
    </row>
    <row r="35" spans="1:27" ht="15.75" customHeight="1">
      <c r="A35" s="23"/>
      <c r="B35" s="6">
        <v>2</v>
      </c>
      <c r="C35" s="579"/>
      <c r="D35" s="642"/>
      <c r="E35" s="643"/>
      <c r="F35" s="4"/>
      <c r="G35" s="4"/>
      <c r="H35" s="4"/>
      <c r="I35" s="4"/>
      <c r="J35" s="579"/>
      <c r="K35" s="643"/>
      <c r="M35" s="1"/>
      <c r="N35" s="1"/>
      <c r="O35" s="640"/>
      <c r="P35" s="641"/>
      <c r="Q35" s="641"/>
      <c r="R35" s="640"/>
      <c r="S35" s="641"/>
      <c r="T35" s="641"/>
      <c r="U35" s="1"/>
      <c r="V35" s="38"/>
      <c r="W35" s="1"/>
      <c r="X35" s="1"/>
      <c r="Y35" s="640"/>
      <c r="Z35" s="641"/>
      <c r="AA35" s="641"/>
    </row>
    <row r="36" spans="1:27" ht="15.75" customHeight="1">
      <c r="A36" s="23"/>
      <c r="B36" s="6">
        <v>3</v>
      </c>
      <c r="C36" s="579"/>
      <c r="D36" s="642"/>
      <c r="E36" s="643"/>
      <c r="F36" s="4"/>
      <c r="G36" s="4"/>
      <c r="H36" s="4"/>
      <c r="I36" s="4"/>
      <c r="J36" s="579"/>
      <c r="K36" s="643"/>
      <c r="M36" s="52" t="s">
        <v>253</v>
      </c>
      <c r="N36" s="57" t="s">
        <v>51</v>
      </c>
      <c r="O36" s="657" t="s">
        <v>68</v>
      </c>
      <c r="P36" s="647"/>
      <c r="Q36" s="661"/>
      <c r="R36" s="658" t="s">
        <v>115</v>
      </c>
      <c r="S36" s="662"/>
      <c r="T36" s="663"/>
      <c r="U36" s="57" t="s">
        <v>116</v>
      </c>
      <c r="V36" s="57" t="s">
        <v>117</v>
      </c>
      <c r="W36" s="57" t="s">
        <v>118</v>
      </c>
      <c r="X36" s="8" t="s">
        <v>103</v>
      </c>
      <c r="Y36" s="8" t="s">
        <v>71</v>
      </c>
      <c r="Z36" s="656" t="s">
        <v>72</v>
      </c>
      <c r="AA36" s="664"/>
    </row>
    <row r="37" spans="1:27" ht="15.75" customHeight="1">
      <c r="A37" s="23"/>
      <c r="B37" s="6">
        <v>4</v>
      </c>
      <c r="C37" s="579"/>
      <c r="D37" s="642"/>
      <c r="E37" s="643"/>
      <c r="F37" s="4"/>
      <c r="G37" s="4"/>
      <c r="H37" s="4"/>
      <c r="I37" s="4"/>
      <c r="J37" s="579"/>
      <c r="K37" s="643"/>
      <c r="M37" s="56" t="s">
        <v>145</v>
      </c>
      <c r="N37" s="24">
        <v>1</v>
      </c>
      <c r="O37" s="653" t="s">
        <v>291</v>
      </c>
      <c r="P37" s="642"/>
      <c r="Q37" s="643"/>
      <c r="R37" s="653" t="s">
        <v>292</v>
      </c>
      <c r="S37" s="642"/>
      <c r="T37" s="64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3" t="s">
        <v>293</v>
      </c>
      <c r="AA37" s="643"/>
    </row>
    <row r="38" spans="1:27" ht="15.75" customHeight="1">
      <c r="A38" s="23"/>
      <c r="B38" s="26">
        <v>5</v>
      </c>
      <c r="C38" s="580"/>
      <c r="D38" s="648"/>
      <c r="E38" s="649"/>
      <c r="F38" s="27"/>
      <c r="G38" s="27"/>
      <c r="H38" s="27"/>
      <c r="I38" s="27"/>
      <c r="J38" s="580"/>
      <c r="K38" s="649"/>
      <c r="M38" s="25"/>
      <c r="N38" s="24">
        <v>2</v>
      </c>
      <c r="O38" s="579"/>
      <c r="P38" s="642"/>
      <c r="Q38" s="643"/>
      <c r="R38" s="579"/>
      <c r="S38" s="642"/>
      <c r="T38" s="643"/>
      <c r="U38" s="4"/>
      <c r="V38" s="14"/>
      <c r="W38" s="4"/>
      <c r="X38" s="16">
        <f>W38*U38</f>
        <v>0</v>
      </c>
      <c r="Y38" s="4"/>
      <c r="Z38" s="579"/>
      <c r="AA38" s="643"/>
    </row>
    <row r="39" spans="1:27" ht="14">
      <c r="A39" s="23"/>
      <c r="B39" s="69" t="s">
        <v>278</v>
      </c>
      <c r="C39" s="644" t="s">
        <v>294</v>
      </c>
      <c r="D39" s="654"/>
      <c r="E39" s="645"/>
      <c r="F39" s="28">
        <v>7</v>
      </c>
      <c r="G39" s="28">
        <v>2200</v>
      </c>
      <c r="H39" s="28">
        <v>314.29000000000002</v>
      </c>
      <c r="I39" s="28">
        <v>-15</v>
      </c>
      <c r="J39" s="644" t="s">
        <v>295</v>
      </c>
      <c r="K39" s="645"/>
      <c r="M39" s="25"/>
      <c r="N39" s="24">
        <v>3</v>
      </c>
      <c r="O39" s="579"/>
      <c r="P39" s="642"/>
      <c r="Q39" s="643"/>
      <c r="R39" s="579"/>
      <c r="S39" s="642"/>
      <c r="T39" s="643"/>
      <c r="U39" s="4"/>
      <c r="V39" s="14"/>
      <c r="W39" s="4"/>
      <c r="X39" s="16">
        <f>W39*U39</f>
        <v>0</v>
      </c>
      <c r="Y39" s="4"/>
      <c r="Z39" s="579"/>
      <c r="AA39" s="643"/>
    </row>
    <row r="40" spans="1:27" ht="14">
      <c r="A40" s="23"/>
      <c r="B40" s="70" t="s">
        <v>282</v>
      </c>
      <c r="C40" s="579"/>
      <c r="D40" s="642"/>
      <c r="E40" s="643"/>
      <c r="F40" s="4"/>
      <c r="G40" s="4"/>
      <c r="H40" s="4"/>
      <c r="I40" s="4"/>
      <c r="J40" s="579"/>
      <c r="K40" s="643"/>
      <c r="M40" s="25"/>
      <c r="N40" s="24">
        <v>4</v>
      </c>
      <c r="O40" s="579"/>
      <c r="P40" s="642"/>
      <c r="Q40" s="643"/>
      <c r="R40" s="579"/>
      <c r="S40" s="642"/>
      <c r="T40" s="643"/>
      <c r="U40" s="4"/>
      <c r="V40" s="14"/>
      <c r="W40" s="4"/>
      <c r="X40" s="16">
        <f>W40*U40</f>
        <v>0</v>
      </c>
      <c r="Y40" s="4"/>
      <c r="Z40" s="579"/>
      <c r="AA40" s="643"/>
    </row>
    <row r="41" spans="1:27" ht="14">
      <c r="A41" s="23"/>
      <c r="B41" s="70" t="s">
        <v>283</v>
      </c>
      <c r="C41" s="579"/>
      <c r="D41" s="642"/>
      <c r="E41" s="643"/>
      <c r="F41" s="4"/>
      <c r="G41" s="4"/>
      <c r="H41" s="4"/>
      <c r="I41" s="4"/>
      <c r="J41" s="579"/>
      <c r="K41" s="643"/>
      <c r="M41" s="25"/>
      <c r="N41" s="29">
        <v>5</v>
      </c>
      <c r="O41" s="580"/>
      <c r="P41" s="648"/>
      <c r="Q41" s="649"/>
      <c r="R41" s="580"/>
      <c r="S41" s="648"/>
      <c r="T41" s="649"/>
      <c r="U41" s="27"/>
      <c r="V41" s="30"/>
      <c r="W41" s="27"/>
      <c r="X41" s="31">
        <f>W41*U41</f>
        <v>0</v>
      </c>
      <c r="Y41" s="4"/>
      <c r="Z41" s="579"/>
      <c r="AA41" s="643"/>
    </row>
    <row r="42" spans="1:27" ht="14">
      <c r="A42" s="23"/>
      <c r="B42" s="70" t="s">
        <v>287</v>
      </c>
      <c r="C42" s="579"/>
      <c r="D42" s="642"/>
      <c r="E42" s="643"/>
      <c r="F42" s="4"/>
      <c r="G42" s="4"/>
      <c r="H42" s="4"/>
      <c r="I42" s="4"/>
      <c r="J42" s="579"/>
      <c r="K42" s="643"/>
      <c r="M42" s="32"/>
      <c r="N42" s="54"/>
      <c r="O42" s="647"/>
      <c r="P42" s="642"/>
      <c r="Q42" s="642"/>
      <c r="R42" s="647"/>
      <c r="S42" s="642"/>
      <c r="T42" s="642"/>
      <c r="U42" s="59" t="s">
        <v>124</v>
      </c>
      <c r="V42" s="33">
        <f>X42/N19</f>
        <v>5.5555555555555552E-2</v>
      </c>
      <c r="W42" s="59" t="s">
        <v>125</v>
      </c>
      <c r="X42" s="34">
        <f>SUM(X37:X41)</f>
        <v>250</v>
      </c>
      <c r="Y42" s="45"/>
      <c r="Z42" s="647"/>
      <c r="AA42" s="643"/>
    </row>
    <row r="43" spans="1:27" ht="14">
      <c r="A43" s="20"/>
      <c r="B43" s="70" t="s">
        <v>288</v>
      </c>
      <c r="C43" s="579"/>
      <c r="D43" s="642"/>
      <c r="E43" s="643"/>
      <c r="F43" s="4"/>
      <c r="G43" s="4"/>
      <c r="H43" s="4"/>
      <c r="I43" s="4"/>
      <c r="J43" s="579"/>
      <c r="K43" s="643"/>
      <c r="M43" s="56" t="s">
        <v>269</v>
      </c>
      <c r="N43" s="24">
        <v>1</v>
      </c>
      <c r="O43" s="653" t="s">
        <v>291</v>
      </c>
      <c r="P43" s="642"/>
      <c r="Q43" s="643"/>
      <c r="R43" s="650" t="s">
        <v>296</v>
      </c>
      <c r="S43" s="655"/>
      <c r="T43" s="65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3" t="s">
        <v>297</v>
      </c>
      <c r="AA43" s="643"/>
    </row>
    <row r="44" spans="1:27" ht="14">
      <c r="A44" s="67"/>
      <c r="M44" s="25"/>
      <c r="N44" s="24">
        <v>2</v>
      </c>
      <c r="O44" s="579"/>
      <c r="P44" s="642"/>
      <c r="Q44" s="643"/>
      <c r="R44" s="579"/>
      <c r="S44" s="642"/>
      <c r="T44" s="643"/>
      <c r="U44" s="4"/>
      <c r="V44" s="14"/>
      <c r="W44" s="4"/>
      <c r="X44" s="37">
        <f>W44*U44</f>
        <v>0</v>
      </c>
      <c r="Y44" s="4"/>
      <c r="Z44" s="579"/>
      <c r="AA44" s="643"/>
    </row>
    <row r="45" spans="1:27" ht="14">
      <c r="A45" s="18"/>
      <c r="B45" s="49" t="s">
        <v>51</v>
      </c>
      <c r="C45" s="652" t="s">
        <v>68</v>
      </c>
      <c r="D45" s="642"/>
      <c r="E45" s="643"/>
      <c r="F45" s="49" t="s">
        <v>56</v>
      </c>
      <c r="G45" s="49" t="s">
        <v>271</v>
      </c>
      <c r="H45" s="49" t="s">
        <v>272</v>
      </c>
      <c r="I45" s="8" t="s">
        <v>71</v>
      </c>
      <c r="J45" s="656" t="s">
        <v>72</v>
      </c>
      <c r="K45" s="643"/>
      <c r="M45" s="25"/>
      <c r="N45" s="24">
        <v>3</v>
      </c>
      <c r="O45" s="579"/>
      <c r="P45" s="642"/>
      <c r="Q45" s="643"/>
      <c r="R45" s="579"/>
      <c r="S45" s="642"/>
      <c r="T45" s="643"/>
      <c r="U45" s="4"/>
      <c r="V45" s="14"/>
      <c r="W45" s="4"/>
      <c r="X45" s="37">
        <f>W45*U45</f>
        <v>0</v>
      </c>
      <c r="Y45" s="4"/>
      <c r="Z45" s="579"/>
      <c r="AA45" s="643"/>
    </row>
    <row r="46" spans="1:27" ht="14">
      <c r="A46" s="52" t="s">
        <v>251</v>
      </c>
      <c r="B46" s="6">
        <v>1</v>
      </c>
      <c r="C46" s="653" t="s">
        <v>275</v>
      </c>
      <c r="D46" s="642"/>
      <c r="E46" s="643"/>
      <c r="F46" s="4">
        <v>15</v>
      </c>
      <c r="G46" s="4">
        <v>1200</v>
      </c>
      <c r="H46" s="4">
        <v>80</v>
      </c>
      <c r="I46" s="4">
        <v>5</v>
      </c>
      <c r="J46" s="653" t="s">
        <v>298</v>
      </c>
      <c r="K46" s="643"/>
      <c r="M46" s="25"/>
      <c r="N46" s="24">
        <v>4</v>
      </c>
      <c r="O46" s="579"/>
      <c r="P46" s="642"/>
      <c r="Q46" s="643"/>
      <c r="R46" s="579"/>
      <c r="S46" s="642"/>
      <c r="T46" s="643"/>
      <c r="U46" s="4"/>
      <c r="V46" s="14"/>
      <c r="W46" s="4"/>
      <c r="X46" s="37">
        <f>W46*U46</f>
        <v>0</v>
      </c>
      <c r="Y46" s="4"/>
      <c r="Z46" s="579"/>
      <c r="AA46" s="643"/>
    </row>
    <row r="47" spans="1:27" ht="14">
      <c r="A47" s="23"/>
      <c r="B47" s="6">
        <v>2</v>
      </c>
      <c r="C47" s="579"/>
      <c r="D47" s="642"/>
      <c r="E47" s="643"/>
      <c r="F47" s="4"/>
      <c r="G47" s="4"/>
      <c r="H47" s="4"/>
      <c r="I47" s="4"/>
      <c r="J47" s="579"/>
      <c r="K47" s="643"/>
      <c r="M47" s="25"/>
      <c r="N47" s="29">
        <v>5</v>
      </c>
      <c r="O47" s="579"/>
      <c r="P47" s="642"/>
      <c r="Q47" s="643"/>
      <c r="R47" s="579"/>
      <c r="S47" s="642"/>
      <c r="T47" s="643"/>
      <c r="U47" s="27"/>
      <c r="V47" s="30"/>
      <c r="W47" s="27"/>
      <c r="X47" s="40">
        <f>W47*U47</f>
        <v>0</v>
      </c>
      <c r="Y47" s="4"/>
      <c r="Z47" s="579"/>
      <c r="AA47" s="643"/>
    </row>
    <row r="48" spans="1:27" ht="14">
      <c r="A48" s="23"/>
      <c r="B48" s="6">
        <v>3</v>
      </c>
      <c r="C48" s="579"/>
      <c r="D48" s="642"/>
      <c r="E48" s="643"/>
      <c r="F48" s="4"/>
      <c r="G48" s="4"/>
      <c r="H48" s="4"/>
      <c r="I48" s="4"/>
      <c r="J48" s="579"/>
      <c r="K48" s="643"/>
      <c r="M48" s="68"/>
      <c r="N48" s="45"/>
      <c r="O48" s="647"/>
      <c r="P48" s="642"/>
      <c r="Q48" s="642"/>
      <c r="R48" s="647"/>
      <c r="S48" s="642"/>
      <c r="T48" s="642"/>
      <c r="U48" s="59" t="s">
        <v>124</v>
      </c>
      <c r="V48" s="33">
        <f>X48/N19</f>
        <v>0.13333333333333333</v>
      </c>
      <c r="W48" s="59" t="s">
        <v>125</v>
      </c>
      <c r="X48" s="34">
        <f>SUM(X43:X47)</f>
        <v>600</v>
      </c>
      <c r="Y48" s="45"/>
      <c r="Z48" s="647"/>
      <c r="AA48" s="643"/>
    </row>
    <row r="49" spans="1:27" ht="14">
      <c r="A49" s="23"/>
      <c r="B49" s="6">
        <v>4</v>
      </c>
      <c r="C49" s="579"/>
      <c r="D49" s="642"/>
      <c r="E49" s="643"/>
      <c r="F49" s="4"/>
      <c r="G49" s="4"/>
      <c r="H49" s="4"/>
      <c r="I49" s="4"/>
      <c r="J49" s="579"/>
      <c r="K49" s="64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80"/>
      <c r="D50" s="648"/>
      <c r="E50" s="649"/>
      <c r="F50" s="27"/>
      <c r="G50" s="27"/>
      <c r="H50" s="27"/>
      <c r="I50" s="27"/>
      <c r="J50" s="580"/>
      <c r="K50" s="649"/>
      <c r="M50" s="64" t="s">
        <v>299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278</v>
      </c>
      <c r="C51" s="644" t="s">
        <v>291</v>
      </c>
      <c r="D51" s="654"/>
      <c r="E51" s="645"/>
      <c r="F51" s="28">
        <v>18</v>
      </c>
      <c r="G51" s="28">
        <v>800</v>
      </c>
      <c r="H51" s="28">
        <v>44.44</v>
      </c>
      <c r="I51" s="28">
        <v>-15</v>
      </c>
      <c r="J51" s="644" t="s">
        <v>300</v>
      </c>
      <c r="K51" s="645"/>
      <c r="M51" s="8"/>
      <c r="N51" s="8" t="s">
        <v>142</v>
      </c>
      <c r="O51" s="657" t="s">
        <v>68</v>
      </c>
      <c r="P51" s="647"/>
      <c r="Q51" s="661"/>
      <c r="R51" s="658" t="s">
        <v>115</v>
      </c>
      <c r="S51" s="662"/>
      <c r="T51" s="663"/>
      <c r="U51" s="57" t="s">
        <v>116</v>
      </c>
      <c r="V51" s="39" t="s">
        <v>143</v>
      </c>
      <c r="W51" s="57" t="s">
        <v>50</v>
      </c>
      <c r="X51" s="8" t="s">
        <v>144</v>
      </c>
      <c r="Y51" s="657" t="s">
        <v>72</v>
      </c>
      <c r="Z51" s="647"/>
      <c r="AA51" s="661"/>
    </row>
    <row r="52" spans="1:27" ht="14">
      <c r="A52" s="23"/>
      <c r="B52" s="70" t="s">
        <v>282</v>
      </c>
      <c r="C52" s="579"/>
      <c r="D52" s="642"/>
      <c r="E52" s="643"/>
      <c r="F52" s="4"/>
      <c r="G52" s="4"/>
      <c r="H52" s="4"/>
      <c r="I52" s="4"/>
      <c r="J52" s="579"/>
      <c r="K52" s="643"/>
      <c r="M52" s="56" t="s">
        <v>145</v>
      </c>
      <c r="N52" s="24">
        <v>1</v>
      </c>
      <c r="O52" s="653" t="s">
        <v>291</v>
      </c>
      <c r="P52" s="642"/>
      <c r="Q52" s="643"/>
      <c r="R52" s="650" t="s">
        <v>296</v>
      </c>
      <c r="S52" s="655"/>
      <c r="T52" s="65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3" t="s">
        <v>301</v>
      </c>
      <c r="Z52" s="642"/>
      <c r="AA52" s="643"/>
    </row>
    <row r="53" spans="1:27" ht="14">
      <c r="A53" s="23"/>
      <c r="B53" s="70" t="s">
        <v>283</v>
      </c>
      <c r="C53" s="579"/>
      <c r="D53" s="642"/>
      <c r="E53" s="643"/>
      <c r="F53" s="4"/>
      <c r="G53" s="4"/>
      <c r="H53" s="4"/>
      <c r="I53" s="4"/>
      <c r="J53" s="579"/>
      <c r="K53" s="643"/>
      <c r="M53" s="25"/>
      <c r="N53" s="29">
        <v>2</v>
      </c>
      <c r="O53" s="580"/>
      <c r="P53" s="648"/>
      <c r="Q53" s="649"/>
      <c r="R53" s="580"/>
      <c r="S53" s="648"/>
      <c r="T53" s="649"/>
      <c r="U53" s="27"/>
      <c r="V53" s="30"/>
      <c r="W53" s="30"/>
      <c r="X53" s="41">
        <f>W53-V53</f>
        <v>0</v>
      </c>
      <c r="Y53" s="580"/>
      <c r="Z53" s="648"/>
      <c r="AA53" s="649"/>
    </row>
    <row r="54" spans="1:27" ht="14">
      <c r="A54" s="23"/>
      <c r="B54" s="70" t="s">
        <v>287</v>
      </c>
      <c r="C54" s="579"/>
      <c r="D54" s="642"/>
      <c r="E54" s="643"/>
      <c r="F54" s="4"/>
      <c r="G54" s="4"/>
      <c r="H54" s="4"/>
      <c r="I54" s="4"/>
      <c r="J54" s="579"/>
      <c r="K54" s="643"/>
      <c r="M54" s="56" t="s">
        <v>269</v>
      </c>
      <c r="N54" s="42">
        <v>1</v>
      </c>
      <c r="O54" s="644" t="s">
        <v>302</v>
      </c>
      <c r="P54" s="654"/>
      <c r="Q54" s="645"/>
      <c r="R54" s="644" t="s">
        <v>303</v>
      </c>
      <c r="S54" s="654"/>
      <c r="T54" s="64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44" t="s">
        <v>304</v>
      </c>
      <c r="Z54" s="654"/>
      <c r="AA54" s="645"/>
    </row>
    <row r="55" spans="1:27" ht="14">
      <c r="A55" s="20"/>
      <c r="B55" s="70" t="s">
        <v>288</v>
      </c>
      <c r="C55" s="579"/>
      <c r="D55" s="642"/>
      <c r="E55" s="643"/>
      <c r="F55" s="4"/>
      <c r="G55" s="4"/>
      <c r="H55" s="4"/>
      <c r="I55" s="4"/>
      <c r="J55" s="579"/>
      <c r="K55" s="643"/>
      <c r="M55" s="22"/>
      <c r="N55" s="24">
        <v>2</v>
      </c>
      <c r="O55" s="579"/>
      <c r="P55" s="642"/>
      <c r="Q55" s="643"/>
      <c r="R55" s="579"/>
      <c r="S55" s="642"/>
      <c r="T55" s="643"/>
      <c r="U55" s="4"/>
      <c r="V55" s="14"/>
      <c r="W55" s="14"/>
      <c r="X55" s="13">
        <f>W55-V55</f>
        <v>0</v>
      </c>
      <c r="Y55" s="579"/>
      <c r="Z55" s="642"/>
      <c r="AA55" s="643"/>
    </row>
  </sheetData>
  <mergeCells count="162">
    <mergeCell ref="Z34:AA34"/>
    <mergeCell ref="Z45:AA45"/>
    <mergeCell ref="Z42:AA42"/>
    <mergeCell ref="Z43:AA43"/>
    <mergeCell ref="Z44:AA44"/>
    <mergeCell ref="Z41:AA41"/>
    <mergeCell ref="Z39:AA39"/>
    <mergeCell ref="Z40:AA40"/>
    <mergeCell ref="Y35:AA35"/>
    <mergeCell ref="Z36:AA36"/>
    <mergeCell ref="Z37:AA37"/>
    <mergeCell ref="Z38:AA38"/>
    <mergeCell ref="Z46:AA46"/>
    <mergeCell ref="Z47:AA47"/>
    <mergeCell ref="J46:K46"/>
    <mergeCell ref="J49:K49"/>
    <mergeCell ref="J50:K50"/>
    <mergeCell ref="R46:T46"/>
    <mergeCell ref="Y55:AA55"/>
    <mergeCell ref="Z48:AA48"/>
    <mergeCell ref="Y51:AA51"/>
    <mergeCell ref="Y52:AA52"/>
    <mergeCell ref="Y53:AA53"/>
    <mergeCell ref="Y54:AA54"/>
    <mergeCell ref="R42:T42"/>
    <mergeCell ref="R43:T43"/>
    <mergeCell ref="R44:T44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J51:K51"/>
    <mergeCell ref="J48:K48"/>
    <mergeCell ref="O47:Q47"/>
    <mergeCell ref="C42:E42"/>
    <mergeCell ref="J42:K42"/>
    <mergeCell ref="J43:K43"/>
    <mergeCell ref="J47:K47"/>
    <mergeCell ref="O45:Q45"/>
    <mergeCell ref="O46:Q46"/>
    <mergeCell ref="R47:T47"/>
    <mergeCell ref="O54:Q54"/>
    <mergeCell ref="R54:T54"/>
    <mergeCell ref="J36:K36"/>
    <mergeCell ref="O36:Q36"/>
    <mergeCell ref="O37:Q37"/>
    <mergeCell ref="O38:Q38"/>
    <mergeCell ref="C36:E36"/>
    <mergeCell ref="C38:E38"/>
    <mergeCell ref="C37:E37"/>
    <mergeCell ref="J38:K38"/>
    <mergeCell ref="J37:K37"/>
    <mergeCell ref="R36:T36"/>
    <mergeCell ref="R39:T39"/>
    <mergeCell ref="R40:T40"/>
    <mergeCell ref="R37:T37"/>
    <mergeCell ref="R38:T38"/>
    <mergeCell ref="R41:T41"/>
    <mergeCell ref="C40:E40"/>
    <mergeCell ref="R45:T45"/>
    <mergeCell ref="O40:Q40"/>
    <mergeCell ref="C39:E39"/>
    <mergeCell ref="J40:K40"/>
    <mergeCell ref="J39:K39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J26:K26"/>
    <mergeCell ref="O26:Q26"/>
    <mergeCell ref="J52:K52"/>
    <mergeCell ref="J53:K53"/>
    <mergeCell ref="J54:K54"/>
    <mergeCell ref="J55:K55"/>
    <mergeCell ref="C21:E21"/>
    <mergeCell ref="J21:K21"/>
    <mergeCell ref="C22:E22"/>
    <mergeCell ref="C26:E26"/>
    <mergeCell ref="C25:E25"/>
    <mergeCell ref="C35:E35"/>
    <mergeCell ref="O55:Q55"/>
    <mergeCell ref="J33:K33"/>
    <mergeCell ref="J34:K34"/>
    <mergeCell ref="O35:Q35"/>
    <mergeCell ref="O39:Q39"/>
    <mergeCell ref="J45:K45"/>
    <mergeCell ref="J41:K41"/>
    <mergeCell ref="O41:Q41"/>
    <mergeCell ref="O42:Q42"/>
    <mergeCell ref="O43:Q43"/>
    <mergeCell ref="O44:Q44"/>
    <mergeCell ref="C41:E41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Z24:AA24"/>
    <mergeCell ref="C24:E24"/>
    <mergeCell ref="J24:K24"/>
    <mergeCell ref="C33:E33"/>
    <mergeCell ref="C34:E34"/>
    <mergeCell ref="C27:E27"/>
    <mergeCell ref="C28:E28"/>
    <mergeCell ref="C29:E29"/>
    <mergeCell ref="C30:E30"/>
    <mergeCell ref="C31:E31"/>
    <mergeCell ref="R24:T24"/>
    <mergeCell ref="R29:T29"/>
    <mergeCell ref="R32:T32"/>
    <mergeCell ref="R33:T33"/>
    <mergeCell ref="R25:T25"/>
    <mergeCell ref="Z25:AA25"/>
    <mergeCell ref="O24:Q24"/>
    <mergeCell ref="O29:Q29"/>
    <mergeCell ref="J29:K29"/>
    <mergeCell ref="J30:K30"/>
    <mergeCell ref="J31:K31"/>
    <mergeCell ref="O33:Q33"/>
    <mergeCell ref="J25:K25"/>
    <mergeCell ref="O25:Q25"/>
    <mergeCell ref="Z31:AA31"/>
    <mergeCell ref="Z32:AA32"/>
    <mergeCell ref="Z33:AA33"/>
    <mergeCell ref="R26:T26"/>
    <mergeCell ref="O27:Q27"/>
    <mergeCell ref="R27:T27"/>
    <mergeCell ref="R28:T28"/>
    <mergeCell ref="Z26:AA26"/>
    <mergeCell ref="Z27:AA27"/>
    <mergeCell ref="Z28:AA28"/>
    <mergeCell ref="Z29:AA29"/>
    <mergeCell ref="Z30:AA30"/>
    <mergeCell ref="O28:Q28"/>
    <mergeCell ref="R35:T35"/>
    <mergeCell ref="O32:Q32"/>
    <mergeCell ref="J27:K27"/>
    <mergeCell ref="J28:K28"/>
    <mergeCell ref="R34:T34"/>
    <mergeCell ref="O30:Q30"/>
    <mergeCell ref="R30:T30"/>
    <mergeCell ref="O31:Q31"/>
    <mergeCell ref="R31:T31"/>
    <mergeCell ref="O34:Q34"/>
    <mergeCell ref="J35:K35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76" customWidth="1"/>
    <col min="3" max="3" width="14" style="176" bestFit="1" customWidth="1"/>
    <col min="4" max="4" width="0.26953125" style="176" customWidth="1"/>
    <col min="5" max="5" width="8.7265625" style="176" customWidth="1"/>
    <col min="6" max="6" width="16.26953125" style="176" bestFit="1" customWidth="1"/>
    <col min="7" max="13" width="8.7265625" style="176" customWidth="1"/>
    <col min="14" max="16384" width="8.7265625" style="176"/>
  </cols>
  <sheetData>
    <row r="2" spans="2:7" ht="15.5">
      <c r="B2" s="665" t="s">
        <v>305</v>
      </c>
      <c r="C2" s="665"/>
      <c r="D2" s="665"/>
      <c r="E2" s="665"/>
      <c r="F2" s="665"/>
    </row>
    <row r="3" spans="2:7" ht="14.5">
      <c r="B3" s="177" t="s">
        <v>306</v>
      </c>
      <c r="C3" s="177" t="s">
        <v>244</v>
      </c>
      <c r="D3" s="178"/>
      <c r="E3" s="177" t="s">
        <v>307</v>
      </c>
      <c r="F3" s="177" t="s">
        <v>308</v>
      </c>
      <c r="G3" s="178"/>
    </row>
    <row r="4" spans="2:7" ht="14.5">
      <c r="B4" s="179" t="s">
        <v>309</v>
      </c>
      <c r="C4" s="179" t="s">
        <v>310</v>
      </c>
      <c r="D4" s="178"/>
      <c r="E4" s="179" t="s">
        <v>311</v>
      </c>
      <c r="F4" s="179" t="s">
        <v>312</v>
      </c>
      <c r="G4" s="178"/>
    </row>
    <row r="5" spans="2:7" ht="14.5">
      <c r="B5" s="179" t="s">
        <v>313</v>
      </c>
      <c r="C5" s="179" t="s">
        <v>314</v>
      </c>
      <c r="D5" s="178"/>
      <c r="E5" s="179" t="s">
        <v>315</v>
      </c>
      <c r="F5" s="179" t="s">
        <v>316</v>
      </c>
      <c r="G5" s="178"/>
    </row>
    <row r="6" spans="2:7" ht="14.5">
      <c r="B6" s="179" t="s">
        <v>317</v>
      </c>
      <c r="C6" s="179" t="s">
        <v>318</v>
      </c>
      <c r="D6" s="178"/>
      <c r="E6" s="180" t="s">
        <v>319</v>
      </c>
      <c r="F6" s="180" t="s">
        <v>60</v>
      </c>
      <c r="G6" s="178"/>
    </row>
    <row r="7" spans="2:7" ht="14.5">
      <c r="B7" s="180" t="s">
        <v>320</v>
      </c>
      <c r="C7" s="180" t="s">
        <v>321</v>
      </c>
      <c r="D7" s="178"/>
      <c r="E7" s="179" t="s">
        <v>322</v>
      </c>
      <c r="F7" s="179" t="s">
        <v>323</v>
      </c>
      <c r="G7" s="178"/>
    </row>
    <row r="8" spans="2:7" ht="14.5">
      <c r="B8" s="179" t="s">
        <v>324</v>
      </c>
      <c r="C8" s="179" t="s">
        <v>325</v>
      </c>
      <c r="D8" s="178"/>
      <c r="E8" s="179" t="s">
        <v>326</v>
      </c>
      <c r="F8" s="179" t="s">
        <v>327</v>
      </c>
      <c r="G8" s="178"/>
    </row>
    <row r="9" spans="2:7" ht="14.5">
      <c r="B9" s="179" t="s">
        <v>328</v>
      </c>
      <c r="C9" s="179" t="s">
        <v>329</v>
      </c>
      <c r="D9" s="178"/>
      <c r="E9" s="180" t="s">
        <v>330</v>
      </c>
      <c r="F9" s="180" t="s">
        <v>331</v>
      </c>
      <c r="G9" s="178"/>
    </row>
    <row r="10" spans="2:7" ht="14.5">
      <c r="B10" s="179" t="s">
        <v>332</v>
      </c>
      <c r="C10" s="179" t="s">
        <v>333</v>
      </c>
      <c r="D10" s="178"/>
      <c r="E10" s="179" t="s">
        <v>334</v>
      </c>
      <c r="F10" s="179" t="s">
        <v>335</v>
      </c>
      <c r="G10" s="178"/>
    </row>
    <row r="11" spans="2:7" ht="14.5">
      <c r="B11" s="179" t="s">
        <v>336</v>
      </c>
      <c r="C11" s="179" t="s">
        <v>337</v>
      </c>
      <c r="D11" s="178"/>
      <c r="E11" s="179" t="s">
        <v>338</v>
      </c>
      <c r="F11" s="179" t="s">
        <v>327</v>
      </c>
      <c r="G11" s="178"/>
    </row>
    <row r="12" spans="2:7" ht="14.5">
      <c r="B12" s="179" t="s">
        <v>339</v>
      </c>
      <c r="C12" s="179" t="s">
        <v>340</v>
      </c>
      <c r="D12" s="178"/>
      <c r="E12" s="179" t="s">
        <v>341</v>
      </c>
      <c r="F12" s="179" t="s">
        <v>265</v>
      </c>
      <c r="G12" s="178"/>
    </row>
    <row r="13" spans="2:7" ht="14.5">
      <c r="B13" s="180" t="s">
        <v>342</v>
      </c>
      <c r="C13" s="180" t="s">
        <v>251</v>
      </c>
      <c r="D13" s="178"/>
      <c r="E13" s="179" t="s">
        <v>343</v>
      </c>
      <c r="F13" s="179" t="s">
        <v>344</v>
      </c>
      <c r="G13" s="178"/>
    </row>
    <row r="14" spans="2:7" ht="14.5">
      <c r="B14" s="179" t="s">
        <v>345</v>
      </c>
      <c r="C14" s="179" t="s">
        <v>346</v>
      </c>
      <c r="D14" s="178"/>
      <c r="E14" s="180" t="s">
        <v>347</v>
      </c>
      <c r="F14" s="180" t="s">
        <v>348</v>
      </c>
      <c r="G14" s="178"/>
    </row>
    <row r="15" spans="2:7" ht="14.5">
      <c r="B15" s="180" t="s">
        <v>349</v>
      </c>
      <c r="C15" s="180" t="s">
        <v>350</v>
      </c>
      <c r="D15" s="178"/>
      <c r="E15" s="179" t="s">
        <v>351</v>
      </c>
      <c r="F15" s="179" t="s">
        <v>348</v>
      </c>
      <c r="G15" s="178"/>
    </row>
    <row r="16" spans="2:7" ht="14.5">
      <c r="B16" s="179" t="s">
        <v>352</v>
      </c>
      <c r="C16" s="179" t="s">
        <v>353</v>
      </c>
      <c r="D16" s="178"/>
      <c r="E16" s="180" t="s">
        <v>354</v>
      </c>
      <c r="F16" s="180" t="s">
        <v>355</v>
      </c>
      <c r="G16" s="178"/>
    </row>
    <row r="17" spans="2:7" ht="14.5">
      <c r="B17" s="179" t="s">
        <v>356</v>
      </c>
      <c r="C17" s="179" t="s">
        <v>357</v>
      </c>
      <c r="D17" s="178"/>
      <c r="E17" s="179" t="s">
        <v>358</v>
      </c>
      <c r="F17" s="179" t="s">
        <v>359</v>
      </c>
      <c r="G17" s="178"/>
    </row>
    <row r="18" spans="2:7" ht="14.5">
      <c r="B18" s="179" t="s">
        <v>360</v>
      </c>
      <c r="C18" s="179" t="s">
        <v>361</v>
      </c>
      <c r="D18" s="178"/>
      <c r="E18" s="179" t="s">
        <v>362</v>
      </c>
      <c r="F18" s="179" t="s">
        <v>363</v>
      </c>
      <c r="G18" s="178"/>
    </row>
    <row r="19" spans="2:7" ht="14.5">
      <c r="B19" s="179" t="s">
        <v>364</v>
      </c>
      <c r="C19" s="179" t="s">
        <v>365</v>
      </c>
      <c r="D19" s="178"/>
      <c r="E19" s="179" t="s">
        <v>366</v>
      </c>
      <c r="F19" s="179" t="s">
        <v>367</v>
      </c>
      <c r="G19" s="178"/>
    </row>
    <row r="20" spans="2:7" ht="14.5">
      <c r="B20" s="179" t="s">
        <v>368</v>
      </c>
      <c r="C20" s="179" t="s">
        <v>369</v>
      </c>
      <c r="D20" s="178"/>
      <c r="G20" s="178"/>
    </row>
    <row r="21" spans="2:7" ht="14.5">
      <c r="D21" s="178"/>
      <c r="G21" s="178"/>
    </row>
    <row r="22" spans="2:7" ht="14.5">
      <c r="D22" s="178"/>
      <c r="G22" s="178"/>
    </row>
    <row r="23" spans="2:7" ht="14.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G31" sqref="G31"/>
    </sheetView>
  </sheetViews>
  <sheetFormatPr defaultColWidth="9.1796875" defaultRowHeight="15.5"/>
  <cols>
    <col min="1" max="1" width="27.1796875" style="204" customWidth="1"/>
    <col min="2" max="6" width="9.1796875" style="204" customWidth="1"/>
    <col min="7" max="7" width="26" style="204" bestFit="1" customWidth="1"/>
    <col min="8" max="14" width="9.1796875" style="204" customWidth="1"/>
    <col min="15" max="16384" width="9.1796875" style="204"/>
  </cols>
  <sheetData>
    <row r="1" spans="1:4">
      <c r="A1" s="229" t="s">
        <v>370</v>
      </c>
      <c r="B1" s="229" t="s">
        <v>56</v>
      </c>
      <c r="C1" s="229" t="s">
        <v>271</v>
      </c>
      <c r="D1" s="203"/>
    </row>
    <row r="2" spans="1:4">
      <c r="A2" s="229" t="s">
        <v>76</v>
      </c>
      <c r="B2" s="229">
        <v>13</v>
      </c>
      <c r="C2" s="229">
        <v>2000</v>
      </c>
      <c r="D2" s="205" t="s">
        <v>371</v>
      </c>
    </row>
    <row r="3" spans="1:4">
      <c r="A3" s="229" t="s">
        <v>372</v>
      </c>
      <c r="B3" s="229">
        <v>15</v>
      </c>
      <c r="C3" s="229">
        <v>1565</v>
      </c>
      <c r="D3" s="205" t="s">
        <v>373</v>
      </c>
    </row>
    <row r="4" spans="1:4">
      <c r="A4" s="229" t="s">
        <v>75</v>
      </c>
      <c r="B4" s="229">
        <v>15</v>
      </c>
      <c r="C4" s="229">
        <v>2000</v>
      </c>
      <c r="D4" s="203"/>
    </row>
    <row r="5" spans="1:4">
      <c r="A5" s="229" t="s">
        <v>74</v>
      </c>
      <c r="B5" s="229">
        <v>12</v>
      </c>
      <c r="C5" s="229">
        <v>2000</v>
      </c>
      <c r="D5" s="203"/>
    </row>
    <row r="6" spans="1:4">
      <c r="A6" s="229" t="s">
        <v>195</v>
      </c>
      <c r="B6" s="229">
        <v>18</v>
      </c>
      <c r="C6" s="229">
        <v>1565</v>
      </c>
      <c r="D6" s="203"/>
    </row>
    <row r="7" spans="1:4">
      <c r="A7" s="229" t="s">
        <v>77</v>
      </c>
      <c r="B7" s="229">
        <v>13</v>
      </c>
      <c r="C7" s="229">
        <v>2000</v>
      </c>
      <c r="D7" s="203"/>
    </row>
    <row r="8" spans="1:4">
      <c r="A8" s="229" t="s">
        <v>374</v>
      </c>
      <c r="B8" s="229">
        <v>14</v>
      </c>
      <c r="C8" s="229">
        <v>1895</v>
      </c>
      <c r="D8" s="203"/>
    </row>
    <row r="9" spans="1:4">
      <c r="A9" s="229" t="s">
        <v>88</v>
      </c>
      <c r="B9" s="229">
        <v>17</v>
      </c>
      <c r="C9" s="229">
        <v>1500</v>
      </c>
      <c r="D9" s="203"/>
    </row>
    <row r="10" spans="1:4">
      <c r="A10" s="229" t="s">
        <v>190</v>
      </c>
      <c r="B10" s="229">
        <v>17</v>
      </c>
      <c r="C10" s="229">
        <v>1565</v>
      </c>
      <c r="D10" s="203"/>
    </row>
    <row r="11" spans="1:4">
      <c r="A11" s="229" t="s">
        <v>375</v>
      </c>
      <c r="B11" s="229">
        <v>14</v>
      </c>
      <c r="C11" s="229">
        <v>1385</v>
      </c>
      <c r="D11" s="203"/>
    </row>
    <row r="12" spans="1:4">
      <c r="A12" s="229" t="s">
        <v>86</v>
      </c>
      <c r="B12" s="229">
        <v>18</v>
      </c>
      <c r="C12" s="229">
        <v>1385</v>
      </c>
      <c r="D12" s="203"/>
    </row>
    <row r="13" spans="1:4">
      <c r="A13" s="229" t="s">
        <v>376</v>
      </c>
      <c r="B13" s="229">
        <v>16</v>
      </c>
      <c r="C13" s="229">
        <v>1385</v>
      </c>
      <c r="D13" s="203"/>
    </row>
    <row r="14" spans="1:4">
      <c r="A14" s="229" t="s">
        <v>136</v>
      </c>
      <c r="B14" s="229">
        <v>17</v>
      </c>
      <c r="C14" s="229">
        <v>1385</v>
      </c>
      <c r="D14" s="203"/>
    </row>
    <row r="15" spans="1:4">
      <c r="A15" s="229" t="s">
        <v>377</v>
      </c>
      <c r="B15" s="229">
        <v>15</v>
      </c>
      <c r="C15" s="229">
        <v>1440</v>
      </c>
      <c r="D15" s="203"/>
    </row>
    <row r="16" spans="1:4">
      <c r="A16" s="229" t="s">
        <v>78</v>
      </c>
      <c r="B16" s="229">
        <v>16</v>
      </c>
      <c r="C16" s="229">
        <v>1385</v>
      </c>
      <c r="D16" s="203"/>
    </row>
    <row r="17" spans="1:5">
      <c r="A17" s="370" t="s">
        <v>120</v>
      </c>
      <c r="B17" s="370">
        <v>15</v>
      </c>
      <c r="C17" s="370">
        <v>1636</v>
      </c>
      <c r="D17" s="203"/>
    </row>
    <row r="18" spans="1:5">
      <c r="A18" s="229" t="s">
        <v>138</v>
      </c>
      <c r="B18" s="229">
        <v>15</v>
      </c>
      <c r="C18" s="229">
        <v>1440</v>
      </c>
      <c r="D18" s="203"/>
    </row>
    <row r="19" spans="1:5">
      <c r="A19" s="229" t="s">
        <v>81</v>
      </c>
      <c r="B19" s="229">
        <v>18</v>
      </c>
      <c r="C19" s="229">
        <v>1440</v>
      </c>
      <c r="D19" s="203"/>
    </row>
    <row r="20" spans="1:5">
      <c r="A20" s="229" t="s">
        <v>84</v>
      </c>
      <c r="B20" s="229">
        <v>19</v>
      </c>
      <c r="C20" s="229">
        <v>1440</v>
      </c>
      <c r="D20" s="203"/>
    </row>
    <row r="21" spans="1:5">
      <c r="A21" s="388" t="s">
        <v>90</v>
      </c>
      <c r="B21" s="229">
        <v>15</v>
      </c>
      <c r="C21" s="229">
        <v>1440</v>
      </c>
      <c r="D21" s="203"/>
    </row>
    <row r="22" spans="1:5">
      <c r="A22" s="229"/>
      <c r="B22" s="229"/>
      <c r="C22" s="229"/>
    </row>
    <row r="23" spans="1:5">
      <c r="A23" s="229"/>
      <c r="B23" s="229"/>
      <c r="C23" s="229"/>
      <c r="E23" s="338" t="s">
        <v>378</v>
      </c>
    </row>
    <row r="24" spans="1:5">
      <c r="A24" s="229"/>
      <c r="B24" s="229"/>
      <c r="C24" s="229"/>
    </row>
    <row r="25" spans="1:5">
      <c r="A25" s="229" t="s">
        <v>61</v>
      </c>
      <c r="B25" s="229">
        <v>13</v>
      </c>
      <c r="C25" s="229">
        <v>1565</v>
      </c>
    </row>
    <row r="26" spans="1:5">
      <c r="A26" s="229" t="s">
        <v>62</v>
      </c>
      <c r="B26" s="229">
        <v>12</v>
      </c>
      <c r="C26" s="229">
        <v>1565</v>
      </c>
    </row>
    <row r="27" spans="1:5">
      <c r="A27" s="229" t="s">
        <v>63</v>
      </c>
      <c r="B27" s="229">
        <v>12</v>
      </c>
      <c r="C27" s="229">
        <v>1565</v>
      </c>
    </row>
    <row r="28" spans="1:5">
      <c r="A28" s="229"/>
      <c r="B28" s="229"/>
      <c r="C28" s="229"/>
    </row>
    <row r="29" spans="1:5">
      <c r="A29" s="229"/>
      <c r="B29" s="229"/>
      <c r="C29" s="229"/>
    </row>
    <row r="30" spans="1: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AE86CF-35AD-4691-805B-3784AB8C9F3E}"/>
</file>

<file path=customXml/itemProps2.xml><?xml version="1.0" encoding="utf-8"?>
<ds:datastoreItem xmlns:ds="http://schemas.openxmlformats.org/officeDocument/2006/customXml" ds:itemID="{96527B31-E154-4CFD-8E92-052449C6661A}"/>
</file>

<file path=customXml/itemProps3.xml><?xml version="1.0" encoding="utf-8"?>
<ds:datastoreItem xmlns:ds="http://schemas.openxmlformats.org/officeDocument/2006/customXml" ds:itemID="{460C924A-1121-462D-93F3-1E9E9C278C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生產管理報表 6-1(週)</vt:lpstr>
      <vt:lpstr>（５-3）品群別人時生產性(微波小吃)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11產線配置圖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2025-12-31T09:48:26Z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